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130" codeName="{85106AD5-7665-2F1B-BB0A-E31DD656B090}"/>
  <workbookPr codeName="ThisWorkbook" defaultThemeVersion="166925"/>
  <mc:AlternateContent xmlns:mc="http://schemas.openxmlformats.org/markup-compatibility/2006">
    <mc:Choice Requires="x15">
      <x15ac:absPath xmlns:x15ac="http://schemas.microsoft.com/office/spreadsheetml/2010/11/ac" url="N:\CIMS\pyCIMS\Model Description\"/>
    </mc:Choice>
  </mc:AlternateContent>
  <xr:revisionPtr revIDLastSave="0" documentId="8_{1CBEA50D-62BF-48A8-B08F-43539B548F60}" xr6:coauthVersionLast="45" xr6:coauthVersionMax="45" xr10:uidLastSave="{00000000-0000-0000-0000-000000000000}"/>
  <bookViews>
    <workbookView xWindow="28770" yWindow="-30" windowWidth="14520" windowHeight="15840" firstSheet="2" activeTab="2" xr2:uid="{E476153B-9FEF-4406-8A04-624F81383283}"/>
    <workbookView xWindow="28680" yWindow="-120" windowWidth="29040" windowHeight="15840" firstSheet="1" activeTab="7" xr2:uid="{4D041D4C-56BC-470F-BB44-7117B6B42A0B}"/>
  </bookViews>
  <sheets>
    <sheet name="Notes" sheetId="110" r:id="rId1"/>
    <sheet name="Formulas" sheetId="117" r:id="rId2"/>
    <sheet name="Lists" sheetId="16" r:id="rId3"/>
    <sheet name="Conversions" sheetId="112" r:id="rId4"/>
    <sheet name="Coefficients" sheetId="109" r:id="rId5"/>
    <sheet name="Incompatible" sheetId="116" r:id="rId6"/>
    <sheet name="Tree" sheetId="102" r:id="rId7"/>
    <sheet name="Model" sheetId="118" r:id="rId8"/>
    <sheet name="Technologies" sheetId="114" r:id="rId9"/>
    <sheet name="Sheet3" sheetId="115" state="hidden" r:id="rId10"/>
    <sheet name="Macro" sheetId="103" r:id="rId11"/>
    <sheet name="Prices" sheetId="111" r:id="rId12"/>
    <sheet name="Residential" sheetId="104" r:id="rId13"/>
    <sheet name="Electricity" sheetId="113" r:id="rId14"/>
    <sheet name="Example calcs 2000" sheetId="105" r:id="rId15"/>
    <sheet name="Example calcs 2005" sheetId="108" r:id="rId16"/>
  </sheets>
  <functionGroups builtInGroupCount="19"/>
  <externalReferences>
    <externalReference r:id="rId17"/>
  </externalReferences>
  <definedNames>
    <definedName name="_xlnm._FilterDatabase" localSheetId="14" hidden="1">'Example calcs 2000'!$H$4:$Z$103</definedName>
    <definedName name="_xlnm._FilterDatabase" localSheetId="15" hidden="1">'Example calcs 2005'!$H$4:$AH$103</definedName>
    <definedName name="_xlnm._FilterDatabase" localSheetId="7" hidden="1">Model!$A$2:$Q$1174</definedName>
    <definedName name="CH4_GJ">Coefficients!$D$275:$BV$302</definedName>
    <definedName name="CO2_GJ">Coefficients!$D$168:$BV$195</definedName>
    <definedName name="CoeffIndex">Coefficients!$A$5:$A$32</definedName>
    <definedName name="CoeffYear">Coefficients!$D$1:$BV$1</definedName>
    <definedName name="Competition" localSheetId="1">Formulas!#REF!:INDEX(Formulas!#REF!,COUNTA(Formulas!#REF!))</definedName>
    <definedName name="Competition" localSheetId="5">Incompatible!$A$2:INDEX(Incompatible!$A:$A,COUNTA(Incompatible!$A:$A))</definedName>
    <definedName name="Competition">Lists!$A$2:INDEX(Lists!$A:$A,COUNTA(Lists!$A:$A))</definedName>
    <definedName name="DemandSupply" localSheetId="1">Formulas!#REF!:INDEX(Formulas!#REF!,COUNTA(Formulas!#REF!))</definedName>
    <definedName name="DemandSupply" localSheetId="5">Incompatible!#REF!:INDEX(Incompatible!#REF!,COUNTA(Incompatible!#REF!))</definedName>
    <definedName name="DemandSupply">Lists!$H$2:INDEX(Lists!$H:$H,COUNTA(Lists!$H:$H))</definedName>
    <definedName name="FuelPrices_Commercial">Prices!$G$62:$Q$103</definedName>
    <definedName name="FuelPrices_Industrial">Prices!$G$106:$Q$147</definedName>
    <definedName name="FuelPrices_Region">Prices!$C$18:$C$59</definedName>
    <definedName name="FuelPrices_Residential">Prices!$G$18:$Q$59</definedName>
    <definedName name="FuelPrices_Transportation">Prices!$G$150:$Q$191</definedName>
    <definedName name="FuelPrices_Type">Prices!$D$18:$D$59</definedName>
    <definedName name="Fuels" localSheetId="1">Formulas!#REF!:INDEX(Formulas!#REF!,COUNTA(Formulas!#REF!))</definedName>
    <definedName name="Fuels" localSheetId="5">Incompatible!#REF!:INDEX(Incompatible!#REF!,COUNTA(Incompatible!#REF!))</definedName>
    <definedName name="Fuels">Lists!$J$2:INDEX(Lists!$J:$J,COUNTA(Lists!$J:$J))</definedName>
    <definedName name="gal_per_bbl">Conversions!$G$3</definedName>
    <definedName name="GHGs" localSheetId="1">Formulas!#REF!:INDEX(Formulas!#REF!,COUNTA(Formulas!#REF!))</definedName>
    <definedName name="GHGs" localSheetId="5">Incompatible!#REF!:INDEX(Incompatible!#REF!,COUNTA(Incompatible!#REF!))</definedName>
    <definedName name="GHGs">Lists!$L$2:INDEX(Lists!$L:$L,COUNTA(Lists!$L:$L))</definedName>
    <definedName name="GJ_per_MMBtu">Conversions!$G$5</definedName>
    <definedName name="GJ_per_MWh">Conversions!$G$6</definedName>
    <definedName name="l_per_gal">Conversions!$G$4</definedName>
    <definedName name="N2O_GJ">Coefficients!$D$307:$BV$334</definedName>
    <definedName name="OLE_LINK11" localSheetId="1">Formulas!$L$49</definedName>
    <definedName name="OLE_LINK15" localSheetId="1">Formulas!$L$71</definedName>
    <definedName name="OLE_LINK16" localSheetId="1">Formulas!$B$91</definedName>
    <definedName name="OLE_LINK3" localSheetId="1">Formulas!$M$16</definedName>
    <definedName name="OLE_LINK8" localSheetId="1">Formulas!$B$61</definedName>
    <definedName name="Regions" localSheetId="1">Formulas!#REF!:INDEX(Formulas!#REF!,COUNTA(Formulas!#REF!))</definedName>
    <definedName name="Regions" localSheetId="5">Incompatible!#REF!:INDEX(Incompatible!#REF!,COUNTA(Incompatible!#REF!))</definedName>
    <definedName name="Regions">Lists!$D$2:INDEX(Lists!$D:$D,COUNTA(Lists!$D:$D))</definedName>
    <definedName name="Sectors" localSheetId="1">Formulas!#REF!:INDEX(Formulas!#REF!,COUNTA(Formulas!#REF!))</definedName>
    <definedName name="Sectors" localSheetId="5">Incompatible!#REF!:INDEX(Incompatible!#REF!,COUNTA(Incompatible!#REF!))</definedName>
    <definedName name="Sectors">Lists!$G$2:INDEX(Lists!$G:$G,COUNTA(Lists!$G:$G))</definedName>
    <definedName name="Year" localSheetId="7">Model!$G$2:$Q$2</definedName>
    <definedName name="Year">Tree!#REF!</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25" i="102" l="1"/>
  <c r="A24" i="102"/>
  <c r="A23" i="102"/>
  <c r="A22" i="102"/>
  <c r="A21" i="102"/>
  <c r="A20" i="102"/>
  <c r="A19" i="102"/>
  <c r="A18" i="102"/>
  <c r="A17" i="102"/>
  <c r="A16" i="102"/>
  <c r="A15" i="102"/>
  <c r="A14" i="102"/>
  <c r="A13" i="102"/>
  <c r="A12" i="102"/>
  <c r="A11" i="102"/>
  <c r="A10" i="102"/>
  <c r="A9" i="102"/>
  <c r="A8" i="102"/>
  <c r="A7" i="102"/>
  <c r="A6" i="102"/>
  <c r="A5" i="102"/>
  <c r="A4" i="102"/>
  <c r="A1" i="102" l="1"/>
  <c r="A3" i="102"/>
  <c r="H831" i="118" l="1"/>
  <c r="C1" i="102" l="1" a="1"/>
  <c r="C1" i="102" s="1"/>
  <c r="F1150" i="118"/>
  <c r="F1145" i="118"/>
  <c r="F1140" i="118"/>
  <c r="F1119" i="118"/>
  <c r="H1115" i="118"/>
  <c r="I1115" i="118" s="1"/>
  <c r="J1115" i="118" s="1"/>
  <c r="K1115" i="118" s="1"/>
  <c r="L1115" i="118" s="1"/>
  <c r="M1115" i="118" s="1"/>
  <c r="N1115" i="118" s="1"/>
  <c r="O1115" i="118" s="1"/>
  <c r="P1115" i="118" s="1"/>
  <c r="Q1115" i="118" s="1"/>
  <c r="H1102" i="118"/>
  <c r="I1102" i="118" s="1"/>
  <c r="J1102" i="118" s="1"/>
  <c r="K1102" i="118" s="1"/>
  <c r="L1102" i="118" s="1"/>
  <c r="M1102" i="118" s="1"/>
  <c r="N1102" i="118" s="1"/>
  <c r="O1102" i="118" s="1"/>
  <c r="P1102" i="118" s="1"/>
  <c r="Q1102" i="118" s="1"/>
  <c r="H1101" i="118"/>
  <c r="I1101" i="118" s="1"/>
  <c r="J1101" i="118" s="1"/>
  <c r="K1101" i="118" s="1"/>
  <c r="L1101" i="118" s="1"/>
  <c r="M1101" i="118" s="1"/>
  <c r="N1101" i="118" s="1"/>
  <c r="O1101" i="118" s="1"/>
  <c r="P1101" i="118" s="1"/>
  <c r="Q1101" i="118" s="1"/>
  <c r="H1093" i="118"/>
  <c r="I1093" i="118" s="1"/>
  <c r="J1093" i="118" s="1"/>
  <c r="K1093" i="118" s="1"/>
  <c r="L1093" i="118" s="1"/>
  <c r="M1093" i="118" s="1"/>
  <c r="N1093" i="118" s="1"/>
  <c r="O1093" i="118" s="1"/>
  <c r="P1093" i="118" s="1"/>
  <c r="Q1093" i="118" s="1"/>
  <c r="H1091" i="118"/>
  <c r="I1091" i="118" s="1"/>
  <c r="J1091" i="118" s="1"/>
  <c r="K1091" i="118" s="1"/>
  <c r="L1091" i="118" s="1"/>
  <c r="M1091" i="118" s="1"/>
  <c r="N1091" i="118" s="1"/>
  <c r="O1091" i="118" s="1"/>
  <c r="P1091" i="118" s="1"/>
  <c r="Q1091" i="118" s="1"/>
  <c r="H1090" i="118"/>
  <c r="I1090" i="118" s="1"/>
  <c r="J1090" i="118" s="1"/>
  <c r="K1090" i="118" s="1"/>
  <c r="L1090" i="118" s="1"/>
  <c r="M1090" i="118" s="1"/>
  <c r="N1090" i="118" s="1"/>
  <c r="O1090" i="118" s="1"/>
  <c r="P1090" i="118" s="1"/>
  <c r="Q1090" i="118" s="1"/>
  <c r="H1089" i="118"/>
  <c r="I1089" i="118" s="1"/>
  <c r="J1089" i="118" s="1"/>
  <c r="K1089" i="118" s="1"/>
  <c r="L1089" i="118" s="1"/>
  <c r="M1089" i="118" s="1"/>
  <c r="N1089" i="118" s="1"/>
  <c r="O1089" i="118" s="1"/>
  <c r="P1089" i="118" s="1"/>
  <c r="Q1089" i="118" s="1"/>
  <c r="F1084" i="118"/>
  <c r="H1081" i="118"/>
  <c r="I1081" i="118" s="1"/>
  <c r="J1081" i="118" s="1"/>
  <c r="K1081" i="118" s="1"/>
  <c r="L1081" i="118" s="1"/>
  <c r="M1081" i="118" s="1"/>
  <c r="N1081" i="118" s="1"/>
  <c r="O1081" i="118" s="1"/>
  <c r="P1081" i="118" s="1"/>
  <c r="Q1081" i="118" s="1"/>
  <c r="G1080" i="118"/>
  <c r="H1080" i="118" s="1"/>
  <c r="I1080" i="118" s="1"/>
  <c r="J1080" i="118" s="1"/>
  <c r="K1080" i="118" s="1"/>
  <c r="L1080" i="118" s="1"/>
  <c r="M1080" i="118" s="1"/>
  <c r="N1080" i="118" s="1"/>
  <c r="O1080" i="118" s="1"/>
  <c r="P1080" i="118" s="1"/>
  <c r="Q1080" i="118" s="1"/>
  <c r="H1078" i="118"/>
  <c r="I1078" i="118" s="1"/>
  <c r="J1078" i="118" s="1"/>
  <c r="K1078" i="118" s="1"/>
  <c r="L1078" i="118" s="1"/>
  <c r="M1078" i="118" s="1"/>
  <c r="N1078" i="118" s="1"/>
  <c r="O1078" i="118" s="1"/>
  <c r="P1078" i="118" s="1"/>
  <c r="Q1078" i="118" s="1"/>
  <c r="H1065" i="118"/>
  <c r="I1065" i="118" s="1"/>
  <c r="J1065" i="118" s="1"/>
  <c r="K1065" i="118" s="1"/>
  <c r="L1065" i="118" s="1"/>
  <c r="M1065" i="118" s="1"/>
  <c r="N1065" i="118" s="1"/>
  <c r="O1065" i="118" s="1"/>
  <c r="P1065" i="118" s="1"/>
  <c r="Q1065" i="118" s="1"/>
  <c r="G1064" i="118"/>
  <c r="H1064" i="118" s="1"/>
  <c r="I1064" i="118" s="1"/>
  <c r="J1064" i="118" s="1"/>
  <c r="K1064" i="118" s="1"/>
  <c r="L1064" i="118" s="1"/>
  <c r="M1064" i="118" s="1"/>
  <c r="N1064" i="118" s="1"/>
  <c r="O1064" i="118" s="1"/>
  <c r="P1064" i="118" s="1"/>
  <c r="Q1064" i="118" s="1"/>
  <c r="H1056" i="118"/>
  <c r="I1056" i="118" s="1"/>
  <c r="J1056" i="118" s="1"/>
  <c r="K1056" i="118" s="1"/>
  <c r="L1056" i="118" s="1"/>
  <c r="M1056" i="118" s="1"/>
  <c r="N1056" i="118" s="1"/>
  <c r="O1056" i="118" s="1"/>
  <c r="P1056" i="118" s="1"/>
  <c r="Q1056" i="118" s="1"/>
  <c r="H1054" i="118"/>
  <c r="I1054" i="118" s="1"/>
  <c r="J1054" i="118" s="1"/>
  <c r="K1054" i="118" s="1"/>
  <c r="L1054" i="118" s="1"/>
  <c r="M1054" i="118" s="1"/>
  <c r="N1054" i="118" s="1"/>
  <c r="O1054" i="118" s="1"/>
  <c r="P1054" i="118" s="1"/>
  <c r="Q1054" i="118" s="1"/>
  <c r="H1053" i="118"/>
  <c r="I1053" i="118" s="1"/>
  <c r="J1053" i="118" s="1"/>
  <c r="K1053" i="118" s="1"/>
  <c r="L1053" i="118" s="1"/>
  <c r="M1053" i="118" s="1"/>
  <c r="N1053" i="118" s="1"/>
  <c r="O1053" i="118" s="1"/>
  <c r="P1053" i="118" s="1"/>
  <c r="Q1053" i="118" s="1"/>
  <c r="H1052" i="118"/>
  <c r="I1052" i="118" s="1"/>
  <c r="J1052" i="118" s="1"/>
  <c r="K1052" i="118" s="1"/>
  <c r="L1052" i="118" s="1"/>
  <c r="M1052" i="118" s="1"/>
  <c r="N1052" i="118" s="1"/>
  <c r="O1052" i="118" s="1"/>
  <c r="P1052" i="118" s="1"/>
  <c r="Q1052" i="118" s="1"/>
  <c r="H1050" i="118"/>
  <c r="I1050" i="118" s="1"/>
  <c r="J1050" i="118" s="1"/>
  <c r="K1050" i="118" s="1"/>
  <c r="L1050" i="118" s="1"/>
  <c r="M1050" i="118" s="1"/>
  <c r="N1050" i="118" s="1"/>
  <c r="O1050" i="118" s="1"/>
  <c r="P1050" i="118" s="1"/>
  <c r="Q1050" i="118" s="1"/>
  <c r="G1049" i="118"/>
  <c r="H1049" i="118" s="1"/>
  <c r="I1049" i="118" s="1"/>
  <c r="J1049" i="118" s="1"/>
  <c r="K1049" i="118" s="1"/>
  <c r="L1049" i="118" s="1"/>
  <c r="M1049" i="118" s="1"/>
  <c r="N1049" i="118" s="1"/>
  <c r="O1049" i="118" s="1"/>
  <c r="P1049" i="118" s="1"/>
  <c r="Q1049" i="118" s="1"/>
  <c r="H1047" i="118"/>
  <c r="I1047" i="118" s="1"/>
  <c r="J1047" i="118" s="1"/>
  <c r="K1047" i="118" s="1"/>
  <c r="L1047" i="118" s="1"/>
  <c r="M1047" i="118" s="1"/>
  <c r="N1047" i="118" s="1"/>
  <c r="O1047" i="118" s="1"/>
  <c r="P1047" i="118" s="1"/>
  <c r="Q1047" i="118" s="1"/>
  <c r="H1034" i="118"/>
  <c r="I1034" i="118" s="1"/>
  <c r="J1034" i="118" s="1"/>
  <c r="K1034" i="118" s="1"/>
  <c r="L1034" i="118" s="1"/>
  <c r="M1034" i="118" s="1"/>
  <c r="N1034" i="118" s="1"/>
  <c r="O1034" i="118" s="1"/>
  <c r="P1034" i="118" s="1"/>
  <c r="Q1034" i="118" s="1"/>
  <c r="G1033" i="118"/>
  <c r="H1033" i="118" s="1"/>
  <c r="I1033" i="118" s="1"/>
  <c r="J1033" i="118" s="1"/>
  <c r="K1033" i="118" s="1"/>
  <c r="L1033" i="118" s="1"/>
  <c r="M1033" i="118" s="1"/>
  <c r="N1033" i="118" s="1"/>
  <c r="O1033" i="118" s="1"/>
  <c r="P1033" i="118" s="1"/>
  <c r="Q1033" i="118" s="1"/>
  <c r="H1025" i="118"/>
  <c r="I1025" i="118" s="1"/>
  <c r="J1025" i="118" s="1"/>
  <c r="K1025" i="118" s="1"/>
  <c r="L1025" i="118" s="1"/>
  <c r="M1025" i="118" s="1"/>
  <c r="N1025" i="118" s="1"/>
  <c r="O1025" i="118" s="1"/>
  <c r="P1025" i="118" s="1"/>
  <c r="Q1025" i="118" s="1"/>
  <c r="H1023" i="118"/>
  <c r="I1023" i="118" s="1"/>
  <c r="J1023" i="118" s="1"/>
  <c r="K1023" i="118" s="1"/>
  <c r="L1023" i="118" s="1"/>
  <c r="M1023" i="118" s="1"/>
  <c r="N1023" i="118" s="1"/>
  <c r="O1023" i="118" s="1"/>
  <c r="P1023" i="118" s="1"/>
  <c r="Q1023" i="118" s="1"/>
  <c r="H1022" i="118"/>
  <c r="I1022" i="118" s="1"/>
  <c r="J1022" i="118" s="1"/>
  <c r="K1022" i="118" s="1"/>
  <c r="L1022" i="118" s="1"/>
  <c r="M1022" i="118" s="1"/>
  <c r="N1022" i="118" s="1"/>
  <c r="O1022" i="118" s="1"/>
  <c r="P1022" i="118" s="1"/>
  <c r="Q1022" i="118" s="1"/>
  <c r="H1021" i="118"/>
  <c r="I1021" i="118" s="1"/>
  <c r="J1021" i="118" s="1"/>
  <c r="K1021" i="118" s="1"/>
  <c r="L1021" i="118" s="1"/>
  <c r="M1021" i="118" s="1"/>
  <c r="N1021" i="118" s="1"/>
  <c r="O1021" i="118" s="1"/>
  <c r="P1021" i="118" s="1"/>
  <c r="Q1021" i="118" s="1"/>
  <c r="H1019" i="118"/>
  <c r="I1019" i="118" s="1"/>
  <c r="J1019" i="118" s="1"/>
  <c r="K1019" i="118" s="1"/>
  <c r="L1019" i="118" s="1"/>
  <c r="M1019" i="118" s="1"/>
  <c r="N1019" i="118" s="1"/>
  <c r="O1019" i="118" s="1"/>
  <c r="P1019" i="118" s="1"/>
  <c r="Q1019" i="118" s="1"/>
  <c r="H1018" i="118"/>
  <c r="I1018" i="118" s="1"/>
  <c r="J1018" i="118" s="1"/>
  <c r="K1018" i="118" s="1"/>
  <c r="L1018" i="118" s="1"/>
  <c r="M1018" i="118" s="1"/>
  <c r="N1018" i="118" s="1"/>
  <c r="O1018" i="118" s="1"/>
  <c r="P1018" i="118" s="1"/>
  <c r="Q1018" i="118" s="1"/>
  <c r="F1016" i="118"/>
  <c r="H1013" i="118"/>
  <c r="I1013" i="118" s="1"/>
  <c r="J1013" i="118" s="1"/>
  <c r="K1013" i="118" s="1"/>
  <c r="L1013" i="118" s="1"/>
  <c r="M1013" i="118" s="1"/>
  <c r="N1013" i="118" s="1"/>
  <c r="O1013" i="118" s="1"/>
  <c r="P1013" i="118" s="1"/>
  <c r="Q1013" i="118" s="1"/>
  <c r="G1012" i="118"/>
  <c r="H1012" i="118" s="1"/>
  <c r="I1012" i="118" s="1"/>
  <c r="J1012" i="118" s="1"/>
  <c r="K1012" i="118" s="1"/>
  <c r="L1012" i="118" s="1"/>
  <c r="M1012" i="118" s="1"/>
  <c r="N1012" i="118" s="1"/>
  <c r="O1012" i="118" s="1"/>
  <c r="P1012" i="118" s="1"/>
  <c r="Q1012" i="118" s="1"/>
  <c r="H1010" i="118"/>
  <c r="I1010" i="118" s="1"/>
  <c r="J1010" i="118" s="1"/>
  <c r="K1010" i="118" s="1"/>
  <c r="L1010" i="118" s="1"/>
  <c r="M1010" i="118" s="1"/>
  <c r="N1010" i="118" s="1"/>
  <c r="O1010" i="118" s="1"/>
  <c r="P1010" i="118" s="1"/>
  <c r="Q1010" i="118" s="1"/>
  <c r="H997" i="118"/>
  <c r="I997" i="118" s="1"/>
  <c r="J997" i="118" s="1"/>
  <c r="K997" i="118" s="1"/>
  <c r="L997" i="118" s="1"/>
  <c r="M997" i="118" s="1"/>
  <c r="N997" i="118" s="1"/>
  <c r="O997" i="118" s="1"/>
  <c r="P997" i="118" s="1"/>
  <c r="Q997" i="118" s="1"/>
  <c r="G996" i="118"/>
  <c r="H996" i="118" s="1"/>
  <c r="I996" i="118" s="1"/>
  <c r="J996" i="118" s="1"/>
  <c r="K996" i="118" s="1"/>
  <c r="L996" i="118" s="1"/>
  <c r="M996" i="118" s="1"/>
  <c r="N996" i="118" s="1"/>
  <c r="O996" i="118" s="1"/>
  <c r="P996" i="118" s="1"/>
  <c r="Q996" i="118" s="1"/>
  <c r="H988" i="118"/>
  <c r="I988" i="118" s="1"/>
  <c r="J988" i="118" s="1"/>
  <c r="K988" i="118" s="1"/>
  <c r="L988" i="118" s="1"/>
  <c r="M988" i="118" s="1"/>
  <c r="N988" i="118" s="1"/>
  <c r="O988" i="118" s="1"/>
  <c r="P988" i="118" s="1"/>
  <c r="Q988" i="118" s="1"/>
  <c r="H986" i="118"/>
  <c r="I986" i="118" s="1"/>
  <c r="J986" i="118" s="1"/>
  <c r="K986" i="118" s="1"/>
  <c r="L986" i="118" s="1"/>
  <c r="M986" i="118" s="1"/>
  <c r="N986" i="118" s="1"/>
  <c r="O986" i="118" s="1"/>
  <c r="P986" i="118" s="1"/>
  <c r="Q986" i="118" s="1"/>
  <c r="H985" i="118"/>
  <c r="I985" i="118" s="1"/>
  <c r="J985" i="118" s="1"/>
  <c r="K985" i="118" s="1"/>
  <c r="L985" i="118" s="1"/>
  <c r="M985" i="118" s="1"/>
  <c r="N985" i="118" s="1"/>
  <c r="O985" i="118" s="1"/>
  <c r="P985" i="118" s="1"/>
  <c r="Q985" i="118" s="1"/>
  <c r="H984" i="118"/>
  <c r="I984" i="118" s="1"/>
  <c r="J984" i="118" s="1"/>
  <c r="K984" i="118" s="1"/>
  <c r="L984" i="118" s="1"/>
  <c r="M984" i="118" s="1"/>
  <c r="N984" i="118" s="1"/>
  <c r="O984" i="118" s="1"/>
  <c r="P984" i="118" s="1"/>
  <c r="Q984" i="118" s="1"/>
  <c r="H982" i="118"/>
  <c r="I982" i="118" s="1"/>
  <c r="J982" i="118" s="1"/>
  <c r="K982" i="118" s="1"/>
  <c r="L982" i="118" s="1"/>
  <c r="M982" i="118" s="1"/>
  <c r="N982" i="118" s="1"/>
  <c r="O982" i="118" s="1"/>
  <c r="P982" i="118" s="1"/>
  <c r="Q982" i="118" s="1"/>
  <c r="G981" i="118"/>
  <c r="H981" i="118" s="1"/>
  <c r="I981" i="118" s="1"/>
  <c r="J981" i="118" s="1"/>
  <c r="K981" i="118" s="1"/>
  <c r="L981" i="118" s="1"/>
  <c r="M981" i="118" s="1"/>
  <c r="N981" i="118" s="1"/>
  <c r="O981" i="118" s="1"/>
  <c r="P981" i="118" s="1"/>
  <c r="Q981" i="118" s="1"/>
  <c r="H979" i="118"/>
  <c r="I979" i="118" s="1"/>
  <c r="J979" i="118" s="1"/>
  <c r="K979" i="118" s="1"/>
  <c r="L979" i="118" s="1"/>
  <c r="M979" i="118" s="1"/>
  <c r="N979" i="118" s="1"/>
  <c r="O979" i="118" s="1"/>
  <c r="P979" i="118" s="1"/>
  <c r="Q979" i="118" s="1"/>
  <c r="H966" i="118"/>
  <c r="I966" i="118" s="1"/>
  <c r="J966" i="118" s="1"/>
  <c r="K966" i="118" s="1"/>
  <c r="L966" i="118" s="1"/>
  <c r="M966" i="118" s="1"/>
  <c r="N966" i="118" s="1"/>
  <c r="O966" i="118" s="1"/>
  <c r="P966" i="118" s="1"/>
  <c r="Q966" i="118" s="1"/>
  <c r="G965" i="118"/>
  <c r="H965" i="118" s="1"/>
  <c r="I965" i="118" s="1"/>
  <c r="J965" i="118" s="1"/>
  <c r="K965" i="118" s="1"/>
  <c r="L965" i="118" s="1"/>
  <c r="M965" i="118" s="1"/>
  <c r="N965" i="118" s="1"/>
  <c r="O965" i="118" s="1"/>
  <c r="P965" i="118" s="1"/>
  <c r="Q965" i="118" s="1"/>
  <c r="H957" i="118"/>
  <c r="I957" i="118" s="1"/>
  <c r="J957" i="118" s="1"/>
  <c r="K957" i="118" s="1"/>
  <c r="L957" i="118" s="1"/>
  <c r="M957" i="118" s="1"/>
  <c r="N957" i="118" s="1"/>
  <c r="O957" i="118" s="1"/>
  <c r="P957" i="118" s="1"/>
  <c r="Q957" i="118" s="1"/>
  <c r="H955" i="118"/>
  <c r="I955" i="118" s="1"/>
  <c r="J955" i="118" s="1"/>
  <c r="K955" i="118" s="1"/>
  <c r="L955" i="118" s="1"/>
  <c r="M955" i="118" s="1"/>
  <c r="N955" i="118" s="1"/>
  <c r="O955" i="118" s="1"/>
  <c r="P955" i="118" s="1"/>
  <c r="Q955" i="118" s="1"/>
  <c r="H954" i="118"/>
  <c r="I954" i="118" s="1"/>
  <c r="J954" i="118" s="1"/>
  <c r="K954" i="118" s="1"/>
  <c r="L954" i="118" s="1"/>
  <c r="M954" i="118" s="1"/>
  <c r="N954" i="118" s="1"/>
  <c r="O954" i="118" s="1"/>
  <c r="P954" i="118" s="1"/>
  <c r="Q954" i="118" s="1"/>
  <c r="H953" i="118"/>
  <c r="I953" i="118" s="1"/>
  <c r="J953" i="118" s="1"/>
  <c r="K953" i="118" s="1"/>
  <c r="L953" i="118" s="1"/>
  <c r="M953" i="118" s="1"/>
  <c r="N953" i="118" s="1"/>
  <c r="O953" i="118" s="1"/>
  <c r="P953" i="118" s="1"/>
  <c r="Q953" i="118" s="1"/>
  <c r="H951" i="118"/>
  <c r="I951" i="118" s="1"/>
  <c r="J951" i="118" s="1"/>
  <c r="K951" i="118" s="1"/>
  <c r="L951" i="118" s="1"/>
  <c r="M951" i="118" s="1"/>
  <c r="N951" i="118" s="1"/>
  <c r="O951" i="118" s="1"/>
  <c r="P951" i="118" s="1"/>
  <c r="Q951" i="118" s="1"/>
  <c r="G950" i="118"/>
  <c r="H950" i="118" s="1"/>
  <c r="I950" i="118" s="1"/>
  <c r="J950" i="118" s="1"/>
  <c r="K950" i="118" s="1"/>
  <c r="L950" i="118" s="1"/>
  <c r="M950" i="118" s="1"/>
  <c r="N950" i="118" s="1"/>
  <c r="O950" i="118" s="1"/>
  <c r="P950" i="118" s="1"/>
  <c r="Q950" i="118" s="1"/>
  <c r="H948" i="118"/>
  <c r="I948" i="118" s="1"/>
  <c r="J948" i="118" s="1"/>
  <c r="K948" i="118" s="1"/>
  <c r="L948" i="118" s="1"/>
  <c r="M948" i="118" s="1"/>
  <c r="N948" i="118" s="1"/>
  <c r="O948" i="118" s="1"/>
  <c r="P948" i="118" s="1"/>
  <c r="Q948" i="118" s="1"/>
  <c r="H935" i="118"/>
  <c r="I935" i="118" s="1"/>
  <c r="J935" i="118" s="1"/>
  <c r="K935" i="118" s="1"/>
  <c r="L935" i="118" s="1"/>
  <c r="M935" i="118" s="1"/>
  <c r="N935" i="118" s="1"/>
  <c r="O935" i="118" s="1"/>
  <c r="P935" i="118" s="1"/>
  <c r="Q935" i="118" s="1"/>
  <c r="G934" i="118"/>
  <c r="H934" i="118" s="1"/>
  <c r="I934" i="118" s="1"/>
  <c r="J934" i="118" s="1"/>
  <c r="K934" i="118" s="1"/>
  <c r="L934" i="118" s="1"/>
  <c r="M934" i="118" s="1"/>
  <c r="N934" i="118" s="1"/>
  <c r="O934" i="118" s="1"/>
  <c r="P934" i="118" s="1"/>
  <c r="Q934" i="118" s="1"/>
  <c r="H926" i="118"/>
  <c r="I926" i="118" s="1"/>
  <c r="J926" i="118" s="1"/>
  <c r="K926" i="118" s="1"/>
  <c r="L926" i="118" s="1"/>
  <c r="M926" i="118" s="1"/>
  <c r="N926" i="118" s="1"/>
  <c r="O926" i="118" s="1"/>
  <c r="P926" i="118" s="1"/>
  <c r="Q926" i="118" s="1"/>
  <c r="H924" i="118"/>
  <c r="I924" i="118" s="1"/>
  <c r="J924" i="118" s="1"/>
  <c r="K924" i="118" s="1"/>
  <c r="L924" i="118" s="1"/>
  <c r="M924" i="118" s="1"/>
  <c r="N924" i="118" s="1"/>
  <c r="O924" i="118" s="1"/>
  <c r="P924" i="118" s="1"/>
  <c r="Q924" i="118" s="1"/>
  <c r="H923" i="118"/>
  <c r="I923" i="118" s="1"/>
  <c r="J923" i="118" s="1"/>
  <c r="K923" i="118" s="1"/>
  <c r="L923" i="118" s="1"/>
  <c r="M923" i="118" s="1"/>
  <c r="N923" i="118" s="1"/>
  <c r="O923" i="118" s="1"/>
  <c r="P923" i="118" s="1"/>
  <c r="Q923" i="118" s="1"/>
  <c r="H922" i="118"/>
  <c r="I922" i="118" s="1"/>
  <c r="J922" i="118" s="1"/>
  <c r="K922" i="118" s="1"/>
  <c r="L922" i="118" s="1"/>
  <c r="M922" i="118" s="1"/>
  <c r="N922" i="118" s="1"/>
  <c r="O922" i="118" s="1"/>
  <c r="P922" i="118" s="1"/>
  <c r="Q922" i="118" s="1"/>
  <c r="H920" i="118"/>
  <c r="I920" i="118" s="1"/>
  <c r="J920" i="118" s="1"/>
  <c r="K920" i="118" s="1"/>
  <c r="L920" i="118" s="1"/>
  <c r="M920" i="118" s="1"/>
  <c r="N920" i="118" s="1"/>
  <c r="O920" i="118" s="1"/>
  <c r="P920" i="118" s="1"/>
  <c r="Q920" i="118" s="1"/>
  <c r="H919" i="118"/>
  <c r="I919" i="118" s="1"/>
  <c r="J919" i="118" s="1"/>
  <c r="K919" i="118" s="1"/>
  <c r="L919" i="118" s="1"/>
  <c r="M919" i="118" s="1"/>
  <c r="N919" i="118" s="1"/>
  <c r="O919" i="118" s="1"/>
  <c r="P919" i="118" s="1"/>
  <c r="Q919" i="118" s="1"/>
  <c r="F917" i="118"/>
  <c r="H914" i="118"/>
  <c r="I914" i="118" s="1"/>
  <c r="J914" i="118" s="1"/>
  <c r="K914" i="118" s="1"/>
  <c r="L914" i="118" s="1"/>
  <c r="M914" i="118" s="1"/>
  <c r="N914" i="118" s="1"/>
  <c r="O914" i="118" s="1"/>
  <c r="P914" i="118" s="1"/>
  <c r="Q914" i="118" s="1"/>
  <c r="H888" i="118"/>
  <c r="I888" i="118" s="1"/>
  <c r="J888" i="118" s="1"/>
  <c r="K888" i="118" s="1"/>
  <c r="L888" i="118" s="1"/>
  <c r="M888" i="118" s="1"/>
  <c r="N888" i="118" s="1"/>
  <c r="O888" i="118" s="1"/>
  <c r="P888" i="118" s="1"/>
  <c r="Q888" i="118" s="1"/>
  <c r="H887" i="118"/>
  <c r="I887" i="118" s="1"/>
  <c r="J887" i="118" s="1"/>
  <c r="K887" i="118" s="1"/>
  <c r="L887" i="118" s="1"/>
  <c r="M887" i="118" s="1"/>
  <c r="N887" i="118" s="1"/>
  <c r="O887" i="118" s="1"/>
  <c r="P887" i="118" s="1"/>
  <c r="Q887" i="118" s="1"/>
  <c r="H885" i="118"/>
  <c r="I885" i="118" s="1"/>
  <c r="J885" i="118" s="1"/>
  <c r="K885" i="118" s="1"/>
  <c r="L885" i="118" s="1"/>
  <c r="M885" i="118" s="1"/>
  <c r="N885" i="118" s="1"/>
  <c r="O885" i="118" s="1"/>
  <c r="P885" i="118" s="1"/>
  <c r="Q885" i="118" s="1"/>
  <c r="H858" i="118"/>
  <c r="I858" i="118" s="1"/>
  <c r="J858" i="118" s="1"/>
  <c r="K858" i="118" s="1"/>
  <c r="L858" i="118" s="1"/>
  <c r="M858" i="118" s="1"/>
  <c r="N858" i="118" s="1"/>
  <c r="O858" i="118" s="1"/>
  <c r="P858" i="118" s="1"/>
  <c r="Q858" i="118" s="1"/>
  <c r="H857" i="118"/>
  <c r="I857" i="118" s="1"/>
  <c r="J857" i="118" s="1"/>
  <c r="K857" i="118" s="1"/>
  <c r="L857" i="118" s="1"/>
  <c r="M857" i="118" s="1"/>
  <c r="N857" i="118" s="1"/>
  <c r="O857" i="118" s="1"/>
  <c r="P857" i="118" s="1"/>
  <c r="Q857" i="118" s="1"/>
  <c r="H855" i="118"/>
  <c r="I855" i="118" s="1"/>
  <c r="J855" i="118" s="1"/>
  <c r="K855" i="118" s="1"/>
  <c r="L855" i="118" s="1"/>
  <c r="M855" i="118" s="1"/>
  <c r="N855" i="118" s="1"/>
  <c r="O855" i="118" s="1"/>
  <c r="P855" i="118" s="1"/>
  <c r="Q855" i="118" s="1"/>
  <c r="F853" i="118"/>
  <c r="G848" i="118"/>
  <c r="G849" i="118" s="1"/>
  <c r="F846" i="118"/>
  <c r="Q843" i="118"/>
  <c r="P843" i="118"/>
  <c r="O843" i="118"/>
  <c r="N843" i="118"/>
  <c r="M843" i="118"/>
  <c r="L843" i="118"/>
  <c r="K843" i="118"/>
  <c r="J843" i="118"/>
  <c r="I843" i="118"/>
  <c r="H843" i="118"/>
  <c r="G843" i="118"/>
  <c r="I831" i="118"/>
  <c r="J831" i="118" s="1"/>
  <c r="K831" i="118" s="1"/>
  <c r="L831" i="118" s="1"/>
  <c r="M831" i="118" s="1"/>
  <c r="N831" i="118" s="1"/>
  <c r="O831" i="118" s="1"/>
  <c r="P831" i="118" s="1"/>
  <c r="Q831" i="118" s="1"/>
  <c r="H830" i="118"/>
  <c r="I830" i="118" s="1"/>
  <c r="J830" i="118" s="1"/>
  <c r="K830" i="118" s="1"/>
  <c r="L830" i="118" s="1"/>
  <c r="M830" i="118" s="1"/>
  <c r="N830" i="118" s="1"/>
  <c r="O830" i="118" s="1"/>
  <c r="P830" i="118" s="1"/>
  <c r="Q830" i="118" s="1"/>
  <c r="H829" i="118"/>
  <c r="I829" i="118" s="1"/>
  <c r="J829" i="118" s="1"/>
  <c r="K829" i="118" s="1"/>
  <c r="L829" i="118" s="1"/>
  <c r="M829" i="118" s="1"/>
  <c r="N829" i="118" s="1"/>
  <c r="O829" i="118" s="1"/>
  <c r="P829" i="118" s="1"/>
  <c r="Q829" i="118" s="1"/>
  <c r="H828" i="118"/>
  <c r="I828" i="118" s="1"/>
  <c r="J828" i="118" s="1"/>
  <c r="K828" i="118" s="1"/>
  <c r="L828" i="118" s="1"/>
  <c r="M828" i="118" s="1"/>
  <c r="N828" i="118" s="1"/>
  <c r="O828" i="118" s="1"/>
  <c r="P828" i="118" s="1"/>
  <c r="Q828" i="118" s="1"/>
  <c r="F825" i="118"/>
  <c r="H819" i="118"/>
  <c r="I819" i="118" s="1"/>
  <c r="J819" i="118" s="1"/>
  <c r="K819" i="118" s="1"/>
  <c r="L819" i="118" s="1"/>
  <c r="M819" i="118" s="1"/>
  <c r="N819" i="118" s="1"/>
  <c r="O819" i="118" s="1"/>
  <c r="P819" i="118" s="1"/>
  <c r="Q819" i="118" s="1"/>
  <c r="H814" i="118"/>
  <c r="I814" i="118" s="1"/>
  <c r="J814" i="118" s="1"/>
  <c r="K814" i="118" s="1"/>
  <c r="L814" i="118" s="1"/>
  <c r="M814" i="118" s="1"/>
  <c r="N814" i="118" s="1"/>
  <c r="O814" i="118" s="1"/>
  <c r="P814" i="118" s="1"/>
  <c r="Q814" i="118" s="1"/>
  <c r="H813" i="118"/>
  <c r="I813" i="118" s="1"/>
  <c r="J813" i="118" s="1"/>
  <c r="K813" i="118" s="1"/>
  <c r="L813" i="118" s="1"/>
  <c r="M813" i="118" s="1"/>
  <c r="N813" i="118" s="1"/>
  <c r="O813" i="118" s="1"/>
  <c r="P813" i="118" s="1"/>
  <c r="Q813" i="118" s="1"/>
  <c r="H812" i="118"/>
  <c r="I812" i="118" s="1"/>
  <c r="J812" i="118" s="1"/>
  <c r="K812" i="118" s="1"/>
  <c r="L812" i="118" s="1"/>
  <c r="M812" i="118" s="1"/>
  <c r="N812" i="118" s="1"/>
  <c r="O812" i="118" s="1"/>
  <c r="P812" i="118" s="1"/>
  <c r="Q812" i="118" s="1"/>
  <c r="H810" i="118"/>
  <c r="I810" i="118" s="1"/>
  <c r="J810" i="118" s="1"/>
  <c r="K810" i="118" s="1"/>
  <c r="L810" i="118" s="1"/>
  <c r="M810" i="118" s="1"/>
  <c r="N810" i="118" s="1"/>
  <c r="O810" i="118" s="1"/>
  <c r="P810" i="118" s="1"/>
  <c r="Q810" i="118" s="1"/>
  <c r="H809" i="118"/>
  <c r="I809" i="118" s="1"/>
  <c r="J809" i="118" s="1"/>
  <c r="K809" i="118" s="1"/>
  <c r="L809" i="118" s="1"/>
  <c r="M809" i="118" s="1"/>
  <c r="N809" i="118" s="1"/>
  <c r="O809" i="118" s="1"/>
  <c r="P809" i="118" s="1"/>
  <c r="Q809" i="118" s="1"/>
  <c r="H808" i="118"/>
  <c r="I808" i="118" s="1"/>
  <c r="J808" i="118" s="1"/>
  <c r="K808" i="118" s="1"/>
  <c r="L808" i="118" s="1"/>
  <c r="M808" i="118" s="1"/>
  <c r="N808" i="118" s="1"/>
  <c r="O808" i="118" s="1"/>
  <c r="P808" i="118" s="1"/>
  <c r="Q808" i="118" s="1"/>
  <c r="H807" i="118"/>
  <c r="I807" i="118" s="1"/>
  <c r="J807" i="118" s="1"/>
  <c r="K807" i="118" s="1"/>
  <c r="L807" i="118" s="1"/>
  <c r="M807" i="118" s="1"/>
  <c r="N807" i="118" s="1"/>
  <c r="O807" i="118" s="1"/>
  <c r="P807" i="118" s="1"/>
  <c r="Q807" i="118" s="1"/>
  <c r="H806" i="118"/>
  <c r="I806" i="118" s="1"/>
  <c r="J806" i="118" s="1"/>
  <c r="K806" i="118" s="1"/>
  <c r="L806" i="118" s="1"/>
  <c r="M806" i="118" s="1"/>
  <c r="N806" i="118" s="1"/>
  <c r="O806" i="118" s="1"/>
  <c r="P806" i="118" s="1"/>
  <c r="Q806" i="118" s="1"/>
  <c r="H805" i="118"/>
  <c r="I805" i="118" s="1"/>
  <c r="J805" i="118" s="1"/>
  <c r="K805" i="118" s="1"/>
  <c r="L805" i="118" s="1"/>
  <c r="M805" i="118" s="1"/>
  <c r="N805" i="118" s="1"/>
  <c r="O805" i="118" s="1"/>
  <c r="P805" i="118" s="1"/>
  <c r="Q805" i="118" s="1"/>
  <c r="H797" i="118"/>
  <c r="I797" i="118" s="1"/>
  <c r="J797" i="118" s="1"/>
  <c r="K797" i="118" s="1"/>
  <c r="L797" i="118" s="1"/>
  <c r="M797" i="118" s="1"/>
  <c r="N797" i="118" s="1"/>
  <c r="O797" i="118" s="1"/>
  <c r="P797" i="118" s="1"/>
  <c r="Q797" i="118" s="1"/>
  <c r="H795" i="118"/>
  <c r="I795" i="118" s="1"/>
  <c r="J795" i="118" s="1"/>
  <c r="K795" i="118" s="1"/>
  <c r="L795" i="118" s="1"/>
  <c r="M795" i="118" s="1"/>
  <c r="N795" i="118" s="1"/>
  <c r="O795" i="118" s="1"/>
  <c r="P795" i="118" s="1"/>
  <c r="Q795" i="118" s="1"/>
  <c r="H794" i="118"/>
  <c r="I794" i="118" s="1"/>
  <c r="J794" i="118" s="1"/>
  <c r="K794" i="118" s="1"/>
  <c r="L794" i="118" s="1"/>
  <c r="M794" i="118" s="1"/>
  <c r="N794" i="118" s="1"/>
  <c r="O794" i="118" s="1"/>
  <c r="P794" i="118" s="1"/>
  <c r="Q794" i="118" s="1"/>
  <c r="H793" i="118"/>
  <c r="I793" i="118" s="1"/>
  <c r="J793" i="118" s="1"/>
  <c r="K793" i="118" s="1"/>
  <c r="L793" i="118" s="1"/>
  <c r="M793" i="118" s="1"/>
  <c r="N793" i="118" s="1"/>
  <c r="O793" i="118" s="1"/>
  <c r="P793" i="118" s="1"/>
  <c r="Q793" i="118" s="1"/>
  <c r="H788" i="118"/>
  <c r="I788" i="118" s="1"/>
  <c r="J788" i="118" s="1"/>
  <c r="K788" i="118" s="1"/>
  <c r="L788" i="118" s="1"/>
  <c r="M788" i="118" s="1"/>
  <c r="N788" i="118" s="1"/>
  <c r="O788" i="118" s="1"/>
  <c r="P788" i="118" s="1"/>
  <c r="Q788" i="118" s="1"/>
  <c r="H775" i="118"/>
  <c r="I775" i="118" s="1"/>
  <c r="J775" i="118" s="1"/>
  <c r="K775" i="118" s="1"/>
  <c r="L775" i="118" s="1"/>
  <c r="M775" i="118" s="1"/>
  <c r="N775" i="118" s="1"/>
  <c r="O775" i="118" s="1"/>
  <c r="P775" i="118" s="1"/>
  <c r="Q775" i="118" s="1"/>
  <c r="H774" i="118"/>
  <c r="I774" i="118" s="1"/>
  <c r="J774" i="118" s="1"/>
  <c r="K774" i="118" s="1"/>
  <c r="L774" i="118" s="1"/>
  <c r="M774" i="118" s="1"/>
  <c r="N774" i="118" s="1"/>
  <c r="O774" i="118" s="1"/>
  <c r="P774" i="118" s="1"/>
  <c r="Q774" i="118" s="1"/>
  <c r="H766" i="118"/>
  <c r="I766" i="118" s="1"/>
  <c r="J766" i="118" s="1"/>
  <c r="K766" i="118" s="1"/>
  <c r="L766" i="118" s="1"/>
  <c r="M766" i="118" s="1"/>
  <c r="N766" i="118" s="1"/>
  <c r="O766" i="118" s="1"/>
  <c r="P766" i="118" s="1"/>
  <c r="Q766" i="118" s="1"/>
  <c r="H764" i="118"/>
  <c r="I764" i="118" s="1"/>
  <c r="J764" i="118" s="1"/>
  <c r="K764" i="118" s="1"/>
  <c r="L764" i="118" s="1"/>
  <c r="M764" i="118" s="1"/>
  <c r="N764" i="118" s="1"/>
  <c r="O764" i="118" s="1"/>
  <c r="P764" i="118" s="1"/>
  <c r="Q764" i="118" s="1"/>
  <c r="H763" i="118"/>
  <c r="I763" i="118" s="1"/>
  <c r="J763" i="118" s="1"/>
  <c r="K763" i="118" s="1"/>
  <c r="L763" i="118" s="1"/>
  <c r="M763" i="118" s="1"/>
  <c r="N763" i="118" s="1"/>
  <c r="O763" i="118" s="1"/>
  <c r="P763" i="118" s="1"/>
  <c r="Q763" i="118" s="1"/>
  <c r="H762" i="118"/>
  <c r="I762" i="118" s="1"/>
  <c r="J762" i="118" s="1"/>
  <c r="K762" i="118" s="1"/>
  <c r="L762" i="118" s="1"/>
  <c r="M762" i="118" s="1"/>
  <c r="N762" i="118" s="1"/>
  <c r="O762" i="118" s="1"/>
  <c r="P762" i="118" s="1"/>
  <c r="Q762" i="118" s="1"/>
  <c r="H757" i="118"/>
  <c r="I757" i="118" s="1"/>
  <c r="J757" i="118" s="1"/>
  <c r="K757" i="118" s="1"/>
  <c r="L757" i="118" s="1"/>
  <c r="M757" i="118" s="1"/>
  <c r="N757" i="118" s="1"/>
  <c r="O757" i="118" s="1"/>
  <c r="P757" i="118" s="1"/>
  <c r="Q757" i="118" s="1"/>
  <c r="H744" i="118"/>
  <c r="I744" i="118" s="1"/>
  <c r="J744" i="118" s="1"/>
  <c r="K744" i="118" s="1"/>
  <c r="L744" i="118" s="1"/>
  <c r="M744" i="118" s="1"/>
  <c r="N744" i="118" s="1"/>
  <c r="O744" i="118" s="1"/>
  <c r="P744" i="118" s="1"/>
  <c r="Q744" i="118" s="1"/>
  <c r="H743" i="118"/>
  <c r="I743" i="118" s="1"/>
  <c r="J743" i="118" s="1"/>
  <c r="K743" i="118" s="1"/>
  <c r="L743" i="118" s="1"/>
  <c r="M743" i="118" s="1"/>
  <c r="N743" i="118" s="1"/>
  <c r="O743" i="118" s="1"/>
  <c r="P743" i="118" s="1"/>
  <c r="Q743" i="118" s="1"/>
  <c r="H735" i="118"/>
  <c r="I735" i="118" s="1"/>
  <c r="J735" i="118" s="1"/>
  <c r="K735" i="118" s="1"/>
  <c r="L735" i="118" s="1"/>
  <c r="M735" i="118" s="1"/>
  <c r="N735" i="118" s="1"/>
  <c r="O735" i="118" s="1"/>
  <c r="P735" i="118" s="1"/>
  <c r="Q735" i="118" s="1"/>
  <c r="H733" i="118"/>
  <c r="I733" i="118" s="1"/>
  <c r="J733" i="118" s="1"/>
  <c r="K733" i="118" s="1"/>
  <c r="L733" i="118" s="1"/>
  <c r="M733" i="118" s="1"/>
  <c r="N733" i="118" s="1"/>
  <c r="O733" i="118" s="1"/>
  <c r="P733" i="118" s="1"/>
  <c r="Q733" i="118" s="1"/>
  <c r="H732" i="118"/>
  <c r="I732" i="118" s="1"/>
  <c r="J732" i="118" s="1"/>
  <c r="K732" i="118" s="1"/>
  <c r="L732" i="118" s="1"/>
  <c r="M732" i="118" s="1"/>
  <c r="N732" i="118" s="1"/>
  <c r="O732" i="118" s="1"/>
  <c r="P732" i="118" s="1"/>
  <c r="Q732" i="118" s="1"/>
  <c r="H731" i="118"/>
  <c r="I731" i="118" s="1"/>
  <c r="J731" i="118" s="1"/>
  <c r="K731" i="118" s="1"/>
  <c r="L731" i="118" s="1"/>
  <c r="M731" i="118" s="1"/>
  <c r="N731" i="118" s="1"/>
  <c r="O731" i="118" s="1"/>
  <c r="P731" i="118" s="1"/>
  <c r="Q731" i="118" s="1"/>
  <c r="H729" i="118"/>
  <c r="I729" i="118" s="1"/>
  <c r="J729" i="118" s="1"/>
  <c r="K729" i="118" s="1"/>
  <c r="L729" i="118" s="1"/>
  <c r="M729" i="118" s="1"/>
  <c r="N729" i="118" s="1"/>
  <c r="O729" i="118" s="1"/>
  <c r="P729" i="118" s="1"/>
  <c r="Q729" i="118" s="1"/>
  <c r="F727" i="118"/>
  <c r="H721" i="118"/>
  <c r="I721" i="118" s="1"/>
  <c r="J721" i="118" s="1"/>
  <c r="K721" i="118" s="1"/>
  <c r="L721" i="118" s="1"/>
  <c r="M721" i="118" s="1"/>
  <c r="N721" i="118" s="1"/>
  <c r="O721" i="118" s="1"/>
  <c r="P721" i="118" s="1"/>
  <c r="Q721" i="118" s="1"/>
  <c r="H713" i="118"/>
  <c r="I713" i="118" s="1"/>
  <c r="J713" i="118" s="1"/>
  <c r="K713" i="118" s="1"/>
  <c r="L713" i="118" s="1"/>
  <c r="M713" i="118" s="1"/>
  <c r="N713" i="118" s="1"/>
  <c r="O713" i="118" s="1"/>
  <c r="P713" i="118" s="1"/>
  <c r="Q713" i="118" s="1"/>
  <c r="H708" i="118"/>
  <c r="I708" i="118" s="1"/>
  <c r="J708" i="118" s="1"/>
  <c r="K708" i="118" s="1"/>
  <c r="L708" i="118" s="1"/>
  <c r="M708" i="118" s="1"/>
  <c r="N708" i="118" s="1"/>
  <c r="O708" i="118" s="1"/>
  <c r="P708" i="118" s="1"/>
  <c r="Q708" i="118" s="1"/>
  <c r="H707" i="118"/>
  <c r="I707" i="118" s="1"/>
  <c r="J707" i="118" s="1"/>
  <c r="K707" i="118" s="1"/>
  <c r="L707" i="118" s="1"/>
  <c r="M707" i="118" s="1"/>
  <c r="N707" i="118" s="1"/>
  <c r="O707" i="118" s="1"/>
  <c r="P707" i="118" s="1"/>
  <c r="Q707" i="118" s="1"/>
  <c r="H699" i="118"/>
  <c r="I699" i="118" s="1"/>
  <c r="J699" i="118" s="1"/>
  <c r="K699" i="118" s="1"/>
  <c r="L699" i="118" s="1"/>
  <c r="M699" i="118" s="1"/>
  <c r="N699" i="118" s="1"/>
  <c r="O699" i="118" s="1"/>
  <c r="P699" i="118" s="1"/>
  <c r="Q699" i="118" s="1"/>
  <c r="H697" i="118"/>
  <c r="I697" i="118" s="1"/>
  <c r="J697" i="118" s="1"/>
  <c r="K697" i="118" s="1"/>
  <c r="L697" i="118" s="1"/>
  <c r="M697" i="118" s="1"/>
  <c r="N697" i="118" s="1"/>
  <c r="O697" i="118" s="1"/>
  <c r="P697" i="118" s="1"/>
  <c r="Q697" i="118" s="1"/>
  <c r="H696" i="118"/>
  <c r="I696" i="118" s="1"/>
  <c r="J696" i="118" s="1"/>
  <c r="K696" i="118" s="1"/>
  <c r="L696" i="118" s="1"/>
  <c r="M696" i="118" s="1"/>
  <c r="N696" i="118" s="1"/>
  <c r="O696" i="118" s="1"/>
  <c r="P696" i="118" s="1"/>
  <c r="Q696" i="118" s="1"/>
  <c r="H695" i="118"/>
  <c r="I695" i="118" s="1"/>
  <c r="J695" i="118" s="1"/>
  <c r="K695" i="118" s="1"/>
  <c r="L695" i="118" s="1"/>
  <c r="M695" i="118" s="1"/>
  <c r="N695" i="118" s="1"/>
  <c r="O695" i="118" s="1"/>
  <c r="P695" i="118" s="1"/>
  <c r="Q695" i="118" s="1"/>
  <c r="H690" i="118"/>
  <c r="I690" i="118" s="1"/>
  <c r="J690" i="118" s="1"/>
  <c r="K690" i="118" s="1"/>
  <c r="L690" i="118" s="1"/>
  <c r="M690" i="118" s="1"/>
  <c r="N690" i="118" s="1"/>
  <c r="O690" i="118" s="1"/>
  <c r="P690" i="118" s="1"/>
  <c r="Q690" i="118" s="1"/>
  <c r="H682" i="118"/>
  <c r="I682" i="118" s="1"/>
  <c r="J682" i="118" s="1"/>
  <c r="K682" i="118" s="1"/>
  <c r="L682" i="118" s="1"/>
  <c r="M682" i="118" s="1"/>
  <c r="N682" i="118" s="1"/>
  <c r="O682" i="118" s="1"/>
  <c r="P682" i="118" s="1"/>
  <c r="Q682" i="118" s="1"/>
  <c r="H677" i="118"/>
  <c r="I677" i="118" s="1"/>
  <c r="J677" i="118" s="1"/>
  <c r="K677" i="118" s="1"/>
  <c r="L677" i="118" s="1"/>
  <c r="M677" i="118" s="1"/>
  <c r="N677" i="118" s="1"/>
  <c r="O677" i="118" s="1"/>
  <c r="P677" i="118" s="1"/>
  <c r="Q677" i="118" s="1"/>
  <c r="H676" i="118"/>
  <c r="I676" i="118" s="1"/>
  <c r="J676" i="118" s="1"/>
  <c r="K676" i="118" s="1"/>
  <c r="L676" i="118" s="1"/>
  <c r="M676" i="118" s="1"/>
  <c r="N676" i="118" s="1"/>
  <c r="O676" i="118" s="1"/>
  <c r="P676" i="118" s="1"/>
  <c r="Q676" i="118" s="1"/>
  <c r="H668" i="118"/>
  <c r="I668" i="118" s="1"/>
  <c r="J668" i="118" s="1"/>
  <c r="K668" i="118" s="1"/>
  <c r="L668" i="118" s="1"/>
  <c r="M668" i="118" s="1"/>
  <c r="N668" i="118" s="1"/>
  <c r="O668" i="118" s="1"/>
  <c r="P668" i="118" s="1"/>
  <c r="Q668" i="118" s="1"/>
  <c r="H666" i="118"/>
  <c r="I666" i="118" s="1"/>
  <c r="J666" i="118" s="1"/>
  <c r="K666" i="118" s="1"/>
  <c r="L666" i="118" s="1"/>
  <c r="M666" i="118" s="1"/>
  <c r="N666" i="118" s="1"/>
  <c r="O666" i="118" s="1"/>
  <c r="P666" i="118" s="1"/>
  <c r="Q666" i="118" s="1"/>
  <c r="H665" i="118"/>
  <c r="I665" i="118" s="1"/>
  <c r="J665" i="118" s="1"/>
  <c r="K665" i="118" s="1"/>
  <c r="L665" i="118" s="1"/>
  <c r="M665" i="118" s="1"/>
  <c r="N665" i="118" s="1"/>
  <c r="O665" i="118" s="1"/>
  <c r="P665" i="118" s="1"/>
  <c r="Q665" i="118" s="1"/>
  <c r="H664" i="118"/>
  <c r="I664" i="118" s="1"/>
  <c r="J664" i="118" s="1"/>
  <c r="K664" i="118" s="1"/>
  <c r="L664" i="118" s="1"/>
  <c r="M664" i="118" s="1"/>
  <c r="N664" i="118" s="1"/>
  <c r="O664" i="118" s="1"/>
  <c r="P664" i="118" s="1"/>
  <c r="Q664" i="118" s="1"/>
  <c r="H662" i="118"/>
  <c r="I662" i="118" s="1"/>
  <c r="J662" i="118" s="1"/>
  <c r="K662" i="118" s="1"/>
  <c r="L662" i="118" s="1"/>
  <c r="M662" i="118" s="1"/>
  <c r="N662" i="118" s="1"/>
  <c r="O662" i="118" s="1"/>
  <c r="P662" i="118" s="1"/>
  <c r="Q662" i="118" s="1"/>
  <c r="F660" i="118"/>
  <c r="H655" i="118"/>
  <c r="I655" i="118" s="1"/>
  <c r="J655" i="118" s="1"/>
  <c r="K655" i="118" s="1"/>
  <c r="L655" i="118" s="1"/>
  <c r="M655" i="118" s="1"/>
  <c r="N655" i="118" s="1"/>
  <c r="O655" i="118" s="1"/>
  <c r="P655" i="118" s="1"/>
  <c r="Q655" i="118" s="1"/>
  <c r="H647" i="118"/>
  <c r="I647" i="118" s="1"/>
  <c r="J647" i="118" s="1"/>
  <c r="K647" i="118" s="1"/>
  <c r="L647" i="118" s="1"/>
  <c r="M647" i="118" s="1"/>
  <c r="N647" i="118" s="1"/>
  <c r="O647" i="118" s="1"/>
  <c r="P647" i="118" s="1"/>
  <c r="Q647" i="118" s="1"/>
  <c r="H642" i="118"/>
  <c r="I642" i="118" s="1"/>
  <c r="J642" i="118" s="1"/>
  <c r="K642" i="118" s="1"/>
  <c r="L642" i="118" s="1"/>
  <c r="M642" i="118" s="1"/>
  <c r="N642" i="118" s="1"/>
  <c r="O642" i="118" s="1"/>
  <c r="P642" i="118" s="1"/>
  <c r="Q642" i="118" s="1"/>
  <c r="H641" i="118"/>
  <c r="I641" i="118" s="1"/>
  <c r="J641" i="118" s="1"/>
  <c r="K641" i="118" s="1"/>
  <c r="L641" i="118" s="1"/>
  <c r="M641" i="118" s="1"/>
  <c r="N641" i="118" s="1"/>
  <c r="O641" i="118" s="1"/>
  <c r="P641" i="118" s="1"/>
  <c r="Q641" i="118" s="1"/>
  <c r="H633" i="118"/>
  <c r="I633" i="118" s="1"/>
  <c r="J633" i="118" s="1"/>
  <c r="K633" i="118" s="1"/>
  <c r="L633" i="118" s="1"/>
  <c r="M633" i="118" s="1"/>
  <c r="N633" i="118" s="1"/>
  <c r="O633" i="118" s="1"/>
  <c r="P633" i="118" s="1"/>
  <c r="Q633" i="118" s="1"/>
  <c r="H631" i="118"/>
  <c r="I631" i="118" s="1"/>
  <c r="J631" i="118" s="1"/>
  <c r="K631" i="118" s="1"/>
  <c r="L631" i="118" s="1"/>
  <c r="M631" i="118" s="1"/>
  <c r="N631" i="118" s="1"/>
  <c r="O631" i="118" s="1"/>
  <c r="P631" i="118" s="1"/>
  <c r="Q631" i="118" s="1"/>
  <c r="H630" i="118"/>
  <c r="I630" i="118" s="1"/>
  <c r="J630" i="118" s="1"/>
  <c r="K630" i="118" s="1"/>
  <c r="L630" i="118" s="1"/>
  <c r="M630" i="118" s="1"/>
  <c r="N630" i="118" s="1"/>
  <c r="O630" i="118" s="1"/>
  <c r="P630" i="118" s="1"/>
  <c r="Q630" i="118" s="1"/>
  <c r="H629" i="118"/>
  <c r="I629" i="118" s="1"/>
  <c r="J629" i="118" s="1"/>
  <c r="K629" i="118" s="1"/>
  <c r="L629" i="118" s="1"/>
  <c r="M629" i="118" s="1"/>
  <c r="N629" i="118" s="1"/>
  <c r="O629" i="118" s="1"/>
  <c r="P629" i="118" s="1"/>
  <c r="Q629" i="118" s="1"/>
  <c r="H625" i="118"/>
  <c r="I625" i="118" s="1"/>
  <c r="J625" i="118" s="1"/>
  <c r="K625" i="118" s="1"/>
  <c r="L625" i="118" s="1"/>
  <c r="M625" i="118" s="1"/>
  <c r="N625" i="118" s="1"/>
  <c r="O625" i="118" s="1"/>
  <c r="P625" i="118" s="1"/>
  <c r="Q625" i="118" s="1"/>
  <c r="H612" i="118"/>
  <c r="I612" i="118" s="1"/>
  <c r="J612" i="118" s="1"/>
  <c r="K612" i="118" s="1"/>
  <c r="L612" i="118" s="1"/>
  <c r="M612" i="118" s="1"/>
  <c r="N612" i="118" s="1"/>
  <c r="O612" i="118" s="1"/>
  <c r="P612" i="118" s="1"/>
  <c r="Q612" i="118" s="1"/>
  <c r="H611" i="118"/>
  <c r="I611" i="118" s="1"/>
  <c r="J611" i="118" s="1"/>
  <c r="K611" i="118" s="1"/>
  <c r="L611" i="118" s="1"/>
  <c r="M611" i="118" s="1"/>
  <c r="N611" i="118" s="1"/>
  <c r="O611" i="118" s="1"/>
  <c r="P611" i="118" s="1"/>
  <c r="Q611" i="118" s="1"/>
  <c r="H603" i="118"/>
  <c r="I603" i="118" s="1"/>
  <c r="J603" i="118" s="1"/>
  <c r="K603" i="118" s="1"/>
  <c r="L603" i="118" s="1"/>
  <c r="M603" i="118" s="1"/>
  <c r="N603" i="118" s="1"/>
  <c r="O603" i="118" s="1"/>
  <c r="P603" i="118" s="1"/>
  <c r="Q603" i="118" s="1"/>
  <c r="H601" i="118"/>
  <c r="I601" i="118" s="1"/>
  <c r="J601" i="118" s="1"/>
  <c r="K601" i="118" s="1"/>
  <c r="L601" i="118" s="1"/>
  <c r="M601" i="118" s="1"/>
  <c r="N601" i="118" s="1"/>
  <c r="O601" i="118" s="1"/>
  <c r="P601" i="118" s="1"/>
  <c r="Q601" i="118" s="1"/>
  <c r="H600" i="118"/>
  <c r="I600" i="118" s="1"/>
  <c r="J600" i="118" s="1"/>
  <c r="K600" i="118" s="1"/>
  <c r="L600" i="118" s="1"/>
  <c r="M600" i="118" s="1"/>
  <c r="N600" i="118" s="1"/>
  <c r="O600" i="118" s="1"/>
  <c r="P600" i="118" s="1"/>
  <c r="Q600" i="118" s="1"/>
  <c r="H599" i="118"/>
  <c r="I599" i="118" s="1"/>
  <c r="J599" i="118" s="1"/>
  <c r="K599" i="118" s="1"/>
  <c r="L599" i="118" s="1"/>
  <c r="M599" i="118" s="1"/>
  <c r="N599" i="118" s="1"/>
  <c r="O599" i="118" s="1"/>
  <c r="P599" i="118" s="1"/>
  <c r="Q599" i="118" s="1"/>
  <c r="H595" i="118"/>
  <c r="I595" i="118" s="1"/>
  <c r="J595" i="118" s="1"/>
  <c r="K595" i="118" s="1"/>
  <c r="L595" i="118" s="1"/>
  <c r="M595" i="118" s="1"/>
  <c r="N595" i="118" s="1"/>
  <c r="O595" i="118" s="1"/>
  <c r="P595" i="118" s="1"/>
  <c r="Q595" i="118" s="1"/>
  <c r="H587" i="118"/>
  <c r="I587" i="118" s="1"/>
  <c r="J587" i="118" s="1"/>
  <c r="K587" i="118" s="1"/>
  <c r="L587" i="118" s="1"/>
  <c r="M587" i="118" s="1"/>
  <c r="N587" i="118" s="1"/>
  <c r="O587" i="118" s="1"/>
  <c r="P587" i="118" s="1"/>
  <c r="Q587" i="118" s="1"/>
  <c r="H582" i="118"/>
  <c r="I582" i="118" s="1"/>
  <c r="J582" i="118" s="1"/>
  <c r="K582" i="118" s="1"/>
  <c r="L582" i="118" s="1"/>
  <c r="M582" i="118" s="1"/>
  <c r="N582" i="118" s="1"/>
  <c r="O582" i="118" s="1"/>
  <c r="P582" i="118" s="1"/>
  <c r="Q582" i="118" s="1"/>
  <c r="H581" i="118"/>
  <c r="I581" i="118" s="1"/>
  <c r="J581" i="118" s="1"/>
  <c r="K581" i="118" s="1"/>
  <c r="L581" i="118" s="1"/>
  <c r="M581" i="118" s="1"/>
  <c r="N581" i="118" s="1"/>
  <c r="O581" i="118" s="1"/>
  <c r="P581" i="118" s="1"/>
  <c r="Q581" i="118" s="1"/>
  <c r="H573" i="118"/>
  <c r="I573" i="118" s="1"/>
  <c r="J573" i="118" s="1"/>
  <c r="K573" i="118" s="1"/>
  <c r="L573" i="118" s="1"/>
  <c r="M573" i="118" s="1"/>
  <c r="N573" i="118" s="1"/>
  <c r="O573" i="118" s="1"/>
  <c r="P573" i="118" s="1"/>
  <c r="Q573" i="118" s="1"/>
  <c r="H571" i="118"/>
  <c r="I571" i="118" s="1"/>
  <c r="J571" i="118" s="1"/>
  <c r="K571" i="118" s="1"/>
  <c r="L571" i="118" s="1"/>
  <c r="M571" i="118" s="1"/>
  <c r="N571" i="118" s="1"/>
  <c r="O571" i="118" s="1"/>
  <c r="P571" i="118" s="1"/>
  <c r="Q571" i="118" s="1"/>
  <c r="H570" i="118"/>
  <c r="I570" i="118" s="1"/>
  <c r="J570" i="118" s="1"/>
  <c r="K570" i="118" s="1"/>
  <c r="L570" i="118" s="1"/>
  <c r="M570" i="118" s="1"/>
  <c r="N570" i="118" s="1"/>
  <c r="O570" i="118" s="1"/>
  <c r="P570" i="118" s="1"/>
  <c r="Q570" i="118" s="1"/>
  <c r="H569" i="118"/>
  <c r="I569" i="118" s="1"/>
  <c r="J569" i="118" s="1"/>
  <c r="K569" i="118" s="1"/>
  <c r="L569" i="118" s="1"/>
  <c r="M569" i="118" s="1"/>
  <c r="N569" i="118" s="1"/>
  <c r="O569" i="118" s="1"/>
  <c r="P569" i="118" s="1"/>
  <c r="Q569" i="118" s="1"/>
  <c r="H565" i="118"/>
  <c r="I565" i="118" s="1"/>
  <c r="J565" i="118" s="1"/>
  <c r="K565" i="118" s="1"/>
  <c r="L565" i="118" s="1"/>
  <c r="M565" i="118" s="1"/>
  <c r="N565" i="118" s="1"/>
  <c r="O565" i="118" s="1"/>
  <c r="P565" i="118" s="1"/>
  <c r="Q565" i="118" s="1"/>
  <c r="H552" i="118"/>
  <c r="I552" i="118" s="1"/>
  <c r="J552" i="118" s="1"/>
  <c r="K552" i="118" s="1"/>
  <c r="L552" i="118" s="1"/>
  <c r="M552" i="118" s="1"/>
  <c r="N552" i="118" s="1"/>
  <c r="O552" i="118" s="1"/>
  <c r="P552" i="118" s="1"/>
  <c r="Q552" i="118" s="1"/>
  <c r="H551" i="118"/>
  <c r="I551" i="118" s="1"/>
  <c r="J551" i="118" s="1"/>
  <c r="K551" i="118" s="1"/>
  <c r="L551" i="118" s="1"/>
  <c r="M551" i="118" s="1"/>
  <c r="N551" i="118" s="1"/>
  <c r="O551" i="118" s="1"/>
  <c r="P551" i="118" s="1"/>
  <c r="Q551" i="118" s="1"/>
  <c r="H543" i="118"/>
  <c r="I543" i="118" s="1"/>
  <c r="J543" i="118" s="1"/>
  <c r="K543" i="118" s="1"/>
  <c r="L543" i="118" s="1"/>
  <c r="M543" i="118" s="1"/>
  <c r="N543" i="118" s="1"/>
  <c r="O543" i="118" s="1"/>
  <c r="P543" i="118" s="1"/>
  <c r="Q543" i="118" s="1"/>
  <c r="H541" i="118"/>
  <c r="I541" i="118" s="1"/>
  <c r="J541" i="118" s="1"/>
  <c r="K541" i="118" s="1"/>
  <c r="L541" i="118" s="1"/>
  <c r="M541" i="118" s="1"/>
  <c r="N541" i="118" s="1"/>
  <c r="O541" i="118" s="1"/>
  <c r="P541" i="118" s="1"/>
  <c r="Q541" i="118" s="1"/>
  <c r="H540" i="118"/>
  <c r="I540" i="118" s="1"/>
  <c r="J540" i="118" s="1"/>
  <c r="K540" i="118" s="1"/>
  <c r="L540" i="118" s="1"/>
  <c r="M540" i="118" s="1"/>
  <c r="N540" i="118" s="1"/>
  <c r="O540" i="118" s="1"/>
  <c r="P540" i="118" s="1"/>
  <c r="Q540" i="118" s="1"/>
  <c r="H539" i="118"/>
  <c r="I539" i="118" s="1"/>
  <c r="J539" i="118" s="1"/>
  <c r="K539" i="118" s="1"/>
  <c r="L539" i="118" s="1"/>
  <c r="M539" i="118" s="1"/>
  <c r="N539" i="118" s="1"/>
  <c r="O539" i="118" s="1"/>
  <c r="P539" i="118" s="1"/>
  <c r="Q539" i="118" s="1"/>
  <c r="H535" i="118"/>
  <c r="I535" i="118" s="1"/>
  <c r="J535" i="118" s="1"/>
  <c r="K535" i="118" s="1"/>
  <c r="L535" i="118" s="1"/>
  <c r="M535" i="118" s="1"/>
  <c r="N535" i="118" s="1"/>
  <c r="O535" i="118" s="1"/>
  <c r="P535" i="118" s="1"/>
  <c r="Q535" i="118" s="1"/>
  <c r="H527" i="118"/>
  <c r="I527" i="118" s="1"/>
  <c r="J527" i="118" s="1"/>
  <c r="K527" i="118" s="1"/>
  <c r="L527" i="118" s="1"/>
  <c r="M527" i="118" s="1"/>
  <c r="N527" i="118" s="1"/>
  <c r="O527" i="118" s="1"/>
  <c r="P527" i="118" s="1"/>
  <c r="Q527" i="118" s="1"/>
  <c r="H522" i="118"/>
  <c r="I522" i="118" s="1"/>
  <c r="J522" i="118" s="1"/>
  <c r="K522" i="118" s="1"/>
  <c r="L522" i="118" s="1"/>
  <c r="M522" i="118" s="1"/>
  <c r="N522" i="118" s="1"/>
  <c r="O522" i="118" s="1"/>
  <c r="P522" i="118" s="1"/>
  <c r="Q522" i="118" s="1"/>
  <c r="H521" i="118"/>
  <c r="I521" i="118" s="1"/>
  <c r="J521" i="118" s="1"/>
  <c r="K521" i="118" s="1"/>
  <c r="L521" i="118" s="1"/>
  <c r="M521" i="118" s="1"/>
  <c r="N521" i="118" s="1"/>
  <c r="O521" i="118" s="1"/>
  <c r="P521" i="118" s="1"/>
  <c r="Q521" i="118" s="1"/>
  <c r="H513" i="118"/>
  <c r="I513" i="118" s="1"/>
  <c r="J513" i="118" s="1"/>
  <c r="K513" i="118" s="1"/>
  <c r="L513" i="118" s="1"/>
  <c r="M513" i="118" s="1"/>
  <c r="N513" i="118" s="1"/>
  <c r="O513" i="118" s="1"/>
  <c r="P513" i="118" s="1"/>
  <c r="Q513" i="118" s="1"/>
  <c r="H511" i="118"/>
  <c r="I511" i="118" s="1"/>
  <c r="J511" i="118" s="1"/>
  <c r="K511" i="118" s="1"/>
  <c r="L511" i="118" s="1"/>
  <c r="M511" i="118" s="1"/>
  <c r="N511" i="118" s="1"/>
  <c r="O511" i="118" s="1"/>
  <c r="P511" i="118" s="1"/>
  <c r="Q511" i="118" s="1"/>
  <c r="H510" i="118"/>
  <c r="I510" i="118" s="1"/>
  <c r="J510" i="118" s="1"/>
  <c r="K510" i="118" s="1"/>
  <c r="L510" i="118" s="1"/>
  <c r="M510" i="118" s="1"/>
  <c r="N510" i="118" s="1"/>
  <c r="O510" i="118" s="1"/>
  <c r="P510" i="118" s="1"/>
  <c r="Q510" i="118" s="1"/>
  <c r="H509" i="118"/>
  <c r="I509" i="118" s="1"/>
  <c r="J509" i="118" s="1"/>
  <c r="K509" i="118" s="1"/>
  <c r="L509" i="118" s="1"/>
  <c r="M509" i="118" s="1"/>
  <c r="N509" i="118" s="1"/>
  <c r="O509" i="118" s="1"/>
  <c r="P509" i="118" s="1"/>
  <c r="Q509" i="118" s="1"/>
  <c r="H505" i="118"/>
  <c r="I505" i="118" s="1"/>
  <c r="J505" i="118" s="1"/>
  <c r="K505" i="118" s="1"/>
  <c r="L505" i="118" s="1"/>
  <c r="M505" i="118" s="1"/>
  <c r="N505" i="118" s="1"/>
  <c r="O505" i="118" s="1"/>
  <c r="P505" i="118" s="1"/>
  <c r="Q505" i="118" s="1"/>
  <c r="H492" i="118"/>
  <c r="I492" i="118" s="1"/>
  <c r="J492" i="118" s="1"/>
  <c r="K492" i="118" s="1"/>
  <c r="L492" i="118" s="1"/>
  <c r="M492" i="118" s="1"/>
  <c r="N492" i="118" s="1"/>
  <c r="O492" i="118" s="1"/>
  <c r="P492" i="118" s="1"/>
  <c r="Q492" i="118" s="1"/>
  <c r="H491" i="118"/>
  <c r="I491" i="118" s="1"/>
  <c r="J491" i="118" s="1"/>
  <c r="K491" i="118" s="1"/>
  <c r="L491" i="118" s="1"/>
  <c r="M491" i="118" s="1"/>
  <c r="N491" i="118" s="1"/>
  <c r="O491" i="118" s="1"/>
  <c r="P491" i="118" s="1"/>
  <c r="Q491" i="118" s="1"/>
  <c r="H483" i="118"/>
  <c r="I483" i="118" s="1"/>
  <c r="J483" i="118" s="1"/>
  <c r="K483" i="118" s="1"/>
  <c r="L483" i="118" s="1"/>
  <c r="M483" i="118" s="1"/>
  <c r="N483" i="118" s="1"/>
  <c r="O483" i="118" s="1"/>
  <c r="P483" i="118" s="1"/>
  <c r="Q483" i="118" s="1"/>
  <c r="H481" i="118"/>
  <c r="I481" i="118" s="1"/>
  <c r="J481" i="118" s="1"/>
  <c r="K481" i="118" s="1"/>
  <c r="L481" i="118" s="1"/>
  <c r="M481" i="118" s="1"/>
  <c r="N481" i="118" s="1"/>
  <c r="O481" i="118" s="1"/>
  <c r="P481" i="118" s="1"/>
  <c r="Q481" i="118" s="1"/>
  <c r="H480" i="118"/>
  <c r="I480" i="118" s="1"/>
  <c r="J480" i="118" s="1"/>
  <c r="K480" i="118" s="1"/>
  <c r="L480" i="118" s="1"/>
  <c r="M480" i="118" s="1"/>
  <c r="N480" i="118" s="1"/>
  <c r="O480" i="118" s="1"/>
  <c r="P480" i="118" s="1"/>
  <c r="Q480" i="118" s="1"/>
  <c r="H479" i="118"/>
  <c r="I479" i="118" s="1"/>
  <c r="J479" i="118" s="1"/>
  <c r="K479" i="118" s="1"/>
  <c r="L479" i="118" s="1"/>
  <c r="M479" i="118" s="1"/>
  <c r="N479" i="118" s="1"/>
  <c r="O479" i="118" s="1"/>
  <c r="P479" i="118" s="1"/>
  <c r="Q479" i="118" s="1"/>
  <c r="H475" i="118"/>
  <c r="I475" i="118" s="1"/>
  <c r="J475" i="118" s="1"/>
  <c r="K475" i="118" s="1"/>
  <c r="L475" i="118" s="1"/>
  <c r="M475" i="118" s="1"/>
  <c r="N475" i="118" s="1"/>
  <c r="O475" i="118" s="1"/>
  <c r="P475" i="118" s="1"/>
  <c r="Q475" i="118" s="1"/>
  <c r="H467" i="118"/>
  <c r="I467" i="118" s="1"/>
  <c r="J467" i="118" s="1"/>
  <c r="K467" i="118" s="1"/>
  <c r="L467" i="118" s="1"/>
  <c r="M467" i="118" s="1"/>
  <c r="N467" i="118" s="1"/>
  <c r="O467" i="118" s="1"/>
  <c r="P467" i="118" s="1"/>
  <c r="Q467" i="118" s="1"/>
  <c r="H462" i="118"/>
  <c r="I462" i="118" s="1"/>
  <c r="J462" i="118" s="1"/>
  <c r="K462" i="118" s="1"/>
  <c r="L462" i="118" s="1"/>
  <c r="M462" i="118" s="1"/>
  <c r="N462" i="118" s="1"/>
  <c r="O462" i="118" s="1"/>
  <c r="P462" i="118" s="1"/>
  <c r="Q462" i="118" s="1"/>
  <c r="H461" i="118"/>
  <c r="I461" i="118" s="1"/>
  <c r="J461" i="118" s="1"/>
  <c r="K461" i="118" s="1"/>
  <c r="L461" i="118" s="1"/>
  <c r="M461" i="118" s="1"/>
  <c r="N461" i="118" s="1"/>
  <c r="O461" i="118" s="1"/>
  <c r="P461" i="118" s="1"/>
  <c r="Q461" i="118" s="1"/>
  <c r="H453" i="118"/>
  <c r="I453" i="118" s="1"/>
  <c r="J453" i="118" s="1"/>
  <c r="K453" i="118" s="1"/>
  <c r="L453" i="118" s="1"/>
  <c r="M453" i="118" s="1"/>
  <c r="N453" i="118" s="1"/>
  <c r="O453" i="118" s="1"/>
  <c r="P453" i="118" s="1"/>
  <c r="Q453" i="118" s="1"/>
  <c r="H451" i="118"/>
  <c r="I451" i="118" s="1"/>
  <c r="J451" i="118" s="1"/>
  <c r="K451" i="118" s="1"/>
  <c r="L451" i="118" s="1"/>
  <c r="M451" i="118" s="1"/>
  <c r="N451" i="118" s="1"/>
  <c r="O451" i="118" s="1"/>
  <c r="P451" i="118" s="1"/>
  <c r="Q451" i="118" s="1"/>
  <c r="H450" i="118"/>
  <c r="I450" i="118" s="1"/>
  <c r="J450" i="118" s="1"/>
  <c r="K450" i="118" s="1"/>
  <c r="L450" i="118" s="1"/>
  <c r="M450" i="118" s="1"/>
  <c r="N450" i="118" s="1"/>
  <c r="O450" i="118" s="1"/>
  <c r="P450" i="118" s="1"/>
  <c r="Q450" i="118" s="1"/>
  <c r="H449" i="118"/>
  <c r="I449" i="118" s="1"/>
  <c r="J449" i="118" s="1"/>
  <c r="K449" i="118" s="1"/>
  <c r="L449" i="118" s="1"/>
  <c r="M449" i="118" s="1"/>
  <c r="N449" i="118" s="1"/>
  <c r="O449" i="118" s="1"/>
  <c r="P449" i="118" s="1"/>
  <c r="Q449" i="118" s="1"/>
  <c r="H445" i="118"/>
  <c r="I445" i="118" s="1"/>
  <c r="J445" i="118" s="1"/>
  <c r="K445" i="118" s="1"/>
  <c r="L445" i="118" s="1"/>
  <c r="M445" i="118" s="1"/>
  <c r="N445" i="118" s="1"/>
  <c r="O445" i="118" s="1"/>
  <c r="P445" i="118" s="1"/>
  <c r="Q445" i="118" s="1"/>
  <c r="H432" i="118"/>
  <c r="I432" i="118" s="1"/>
  <c r="J432" i="118" s="1"/>
  <c r="K432" i="118" s="1"/>
  <c r="L432" i="118" s="1"/>
  <c r="M432" i="118" s="1"/>
  <c r="N432" i="118" s="1"/>
  <c r="O432" i="118" s="1"/>
  <c r="P432" i="118" s="1"/>
  <c r="Q432" i="118" s="1"/>
  <c r="H423" i="118"/>
  <c r="I423" i="118" s="1"/>
  <c r="J423" i="118" s="1"/>
  <c r="K423" i="118" s="1"/>
  <c r="L423" i="118" s="1"/>
  <c r="M423" i="118" s="1"/>
  <c r="N423" i="118" s="1"/>
  <c r="O423" i="118" s="1"/>
  <c r="P423" i="118" s="1"/>
  <c r="Q423" i="118" s="1"/>
  <c r="H420" i="118"/>
  <c r="I420" i="118" s="1"/>
  <c r="J420" i="118" s="1"/>
  <c r="K420" i="118" s="1"/>
  <c r="L420" i="118" s="1"/>
  <c r="M420" i="118" s="1"/>
  <c r="N420" i="118" s="1"/>
  <c r="O420" i="118" s="1"/>
  <c r="P420" i="118" s="1"/>
  <c r="Q420" i="118" s="1"/>
  <c r="H419" i="118"/>
  <c r="I419" i="118" s="1"/>
  <c r="J419" i="118" s="1"/>
  <c r="K419" i="118" s="1"/>
  <c r="L419" i="118" s="1"/>
  <c r="M419" i="118" s="1"/>
  <c r="N419" i="118" s="1"/>
  <c r="O419" i="118" s="1"/>
  <c r="P419" i="118" s="1"/>
  <c r="Q419" i="118" s="1"/>
  <c r="H417" i="118"/>
  <c r="I417" i="118" s="1"/>
  <c r="J417" i="118" s="1"/>
  <c r="K417" i="118" s="1"/>
  <c r="L417" i="118" s="1"/>
  <c r="M417" i="118" s="1"/>
  <c r="N417" i="118" s="1"/>
  <c r="O417" i="118" s="1"/>
  <c r="P417" i="118" s="1"/>
  <c r="Q417" i="118" s="1"/>
  <c r="F415" i="118"/>
  <c r="Q412" i="118"/>
  <c r="P412" i="118"/>
  <c r="O412" i="118"/>
  <c r="N412" i="118"/>
  <c r="M412" i="118"/>
  <c r="L412" i="118"/>
  <c r="K412" i="118"/>
  <c r="J412" i="118"/>
  <c r="I412" i="118"/>
  <c r="H412" i="118"/>
  <c r="G412" i="118"/>
  <c r="H397" i="118"/>
  <c r="I397" i="118" s="1"/>
  <c r="J397" i="118" s="1"/>
  <c r="K397" i="118" s="1"/>
  <c r="L397" i="118" s="1"/>
  <c r="M397" i="118" s="1"/>
  <c r="N397" i="118" s="1"/>
  <c r="O397" i="118" s="1"/>
  <c r="P397" i="118" s="1"/>
  <c r="Q397" i="118" s="1"/>
  <c r="H388" i="118"/>
  <c r="I388" i="118" s="1"/>
  <c r="J388" i="118" s="1"/>
  <c r="K388" i="118" s="1"/>
  <c r="L388" i="118" s="1"/>
  <c r="M388" i="118" s="1"/>
  <c r="N388" i="118" s="1"/>
  <c r="O388" i="118" s="1"/>
  <c r="P388" i="118" s="1"/>
  <c r="Q388" i="118" s="1"/>
  <c r="H386" i="118"/>
  <c r="I386" i="118" s="1"/>
  <c r="J386" i="118" s="1"/>
  <c r="K386" i="118" s="1"/>
  <c r="L386" i="118" s="1"/>
  <c r="M386" i="118" s="1"/>
  <c r="N386" i="118" s="1"/>
  <c r="O386" i="118" s="1"/>
  <c r="P386" i="118" s="1"/>
  <c r="Q386" i="118" s="1"/>
  <c r="H385" i="118"/>
  <c r="I385" i="118" s="1"/>
  <c r="J385" i="118" s="1"/>
  <c r="K385" i="118" s="1"/>
  <c r="L385" i="118" s="1"/>
  <c r="M385" i="118" s="1"/>
  <c r="N385" i="118" s="1"/>
  <c r="O385" i="118" s="1"/>
  <c r="P385" i="118" s="1"/>
  <c r="Q385" i="118" s="1"/>
  <c r="H384" i="118"/>
  <c r="I384" i="118" s="1"/>
  <c r="J384" i="118" s="1"/>
  <c r="K384" i="118" s="1"/>
  <c r="L384" i="118" s="1"/>
  <c r="M384" i="118" s="1"/>
  <c r="N384" i="118" s="1"/>
  <c r="O384" i="118" s="1"/>
  <c r="P384" i="118" s="1"/>
  <c r="Q384" i="118" s="1"/>
  <c r="Q382" i="118"/>
  <c r="P382" i="118"/>
  <c r="O382" i="118"/>
  <c r="N382" i="118"/>
  <c r="M382" i="118"/>
  <c r="L382" i="118"/>
  <c r="K382" i="118"/>
  <c r="J382" i="118"/>
  <c r="I382" i="118"/>
  <c r="H382" i="118"/>
  <c r="G382" i="118"/>
  <c r="H367" i="118"/>
  <c r="I367" i="118" s="1"/>
  <c r="J367" i="118" s="1"/>
  <c r="K367" i="118" s="1"/>
  <c r="L367" i="118" s="1"/>
  <c r="M367" i="118" s="1"/>
  <c r="N367" i="118" s="1"/>
  <c r="O367" i="118" s="1"/>
  <c r="P367" i="118" s="1"/>
  <c r="Q367" i="118" s="1"/>
  <c r="H358" i="118"/>
  <c r="I358" i="118" s="1"/>
  <c r="J358" i="118" s="1"/>
  <c r="K358" i="118" s="1"/>
  <c r="L358" i="118" s="1"/>
  <c r="M358" i="118" s="1"/>
  <c r="N358" i="118" s="1"/>
  <c r="O358" i="118" s="1"/>
  <c r="P358" i="118" s="1"/>
  <c r="Q358" i="118" s="1"/>
  <c r="H356" i="118"/>
  <c r="I356" i="118" s="1"/>
  <c r="J356" i="118" s="1"/>
  <c r="K356" i="118" s="1"/>
  <c r="L356" i="118" s="1"/>
  <c r="M356" i="118" s="1"/>
  <c r="N356" i="118" s="1"/>
  <c r="O356" i="118" s="1"/>
  <c r="P356" i="118" s="1"/>
  <c r="Q356" i="118" s="1"/>
  <c r="H355" i="118"/>
  <c r="I355" i="118" s="1"/>
  <c r="J355" i="118" s="1"/>
  <c r="K355" i="118" s="1"/>
  <c r="L355" i="118" s="1"/>
  <c r="M355" i="118" s="1"/>
  <c r="N355" i="118" s="1"/>
  <c r="O355" i="118" s="1"/>
  <c r="P355" i="118" s="1"/>
  <c r="Q355" i="118" s="1"/>
  <c r="H354" i="118"/>
  <c r="I354" i="118" s="1"/>
  <c r="J354" i="118" s="1"/>
  <c r="K354" i="118" s="1"/>
  <c r="L354" i="118" s="1"/>
  <c r="M354" i="118" s="1"/>
  <c r="N354" i="118" s="1"/>
  <c r="O354" i="118" s="1"/>
  <c r="P354" i="118" s="1"/>
  <c r="Q354" i="118" s="1"/>
  <c r="J352" i="118"/>
  <c r="K352" i="118" s="1"/>
  <c r="L352" i="118" s="1"/>
  <c r="M352" i="118" s="1"/>
  <c r="N352" i="118" s="1"/>
  <c r="O352" i="118" s="1"/>
  <c r="P352" i="118" s="1"/>
  <c r="Q352" i="118" s="1"/>
  <c r="I352" i="118"/>
  <c r="H352" i="118"/>
  <c r="G352" i="118"/>
  <c r="H337" i="118"/>
  <c r="I337" i="118" s="1"/>
  <c r="J337" i="118" s="1"/>
  <c r="K337" i="118" s="1"/>
  <c r="L337" i="118" s="1"/>
  <c r="M337" i="118" s="1"/>
  <c r="N337" i="118" s="1"/>
  <c r="O337" i="118" s="1"/>
  <c r="P337" i="118" s="1"/>
  <c r="Q337" i="118" s="1"/>
  <c r="H328" i="118"/>
  <c r="I328" i="118" s="1"/>
  <c r="J328" i="118" s="1"/>
  <c r="K328" i="118" s="1"/>
  <c r="L328" i="118" s="1"/>
  <c r="M328" i="118" s="1"/>
  <c r="N328" i="118" s="1"/>
  <c r="O328" i="118" s="1"/>
  <c r="P328" i="118" s="1"/>
  <c r="Q328" i="118" s="1"/>
  <c r="H326" i="118"/>
  <c r="I326" i="118" s="1"/>
  <c r="J326" i="118" s="1"/>
  <c r="K326" i="118" s="1"/>
  <c r="L326" i="118" s="1"/>
  <c r="M326" i="118" s="1"/>
  <c r="N326" i="118" s="1"/>
  <c r="O326" i="118" s="1"/>
  <c r="P326" i="118" s="1"/>
  <c r="Q326" i="118" s="1"/>
  <c r="H325" i="118"/>
  <c r="I325" i="118" s="1"/>
  <c r="J325" i="118" s="1"/>
  <c r="K325" i="118" s="1"/>
  <c r="L325" i="118" s="1"/>
  <c r="M325" i="118" s="1"/>
  <c r="N325" i="118" s="1"/>
  <c r="O325" i="118" s="1"/>
  <c r="P325" i="118" s="1"/>
  <c r="Q325" i="118" s="1"/>
  <c r="H324" i="118"/>
  <c r="I324" i="118" s="1"/>
  <c r="J324" i="118" s="1"/>
  <c r="K324" i="118" s="1"/>
  <c r="L324" i="118" s="1"/>
  <c r="M324" i="118" s="1"/>
  <c r="N324" i="118" s="1"/>
  <c r="O324" i="118" s="1"/>
  <c r="P324" i="118" s="1"/>
  <c r="Q324" i="118" s="1"/>
  <c r="Q322" i="118"/>
  <c r="P322" i="118"/>
  <c r="O322" i="118"/>
  <c r="N322" i="118"/>
  <c r="M322" i="118"/>
  <c r="L322" i="118"/>
  <c r="K322" i="118"/>
  <c r="J322" i="118"/>
  <c r="I322" i="118"/>
  <c r="H322" i="118"/>
  <c r="G322" i="118"/>
  <c r="G307" i="118"/>
  <c r="H307" i="118" s="1"/>
  <c r="I307" i="118" s="1"/>
  <c r="J307" i="118" s="1"/>
  <c r="K307" i="118" s="1"/>
  <c r="L307" i="118" s="1"/>
  <c r="M307" i="118" s="1"/>
  <c r="N307" i="118" s="1"/>
  <c r="O307" i="118" s="1"/>
  <c r="P307" i="118" s="1"/>
  <c r="Q307" i="118" s="1"/>
  <c r="H298" i="118"/>
  <c r="I298" i="118" s="1"/>
  <c r="J298" i="118" s="1"/>
  <c r="K298" i="118" s="1"/>
  <c r="L298" i="118" s="1"/>
  <c r="M298" i="118" s="1"/>
  <c r="N298" i="118" s="1"/>
  <c r="O298" i="118" s="1"/>
  <c r="P298" i="118" s="1"/>
  <c r="Q298" i="118" s="1"/>
  <c r="H296" i="118"/>
  <c r="I296" i="118" s="1"/>
  <c r="J296" i="118" s="1"/>
  <c r="K296" i="118" s="1"/>
  <c r="L296" i="118" s="1"/>
  <c r="M296" i="118" s="1"/>
  <c r="N296" i="118" s="1"/>
  <c r="O296" i="118" s="1"/>
  <c r="P296" i="118" s="1"/>
  <c r="Q296" i="118" s="1"/>
  <c r="H295" i="118"/>
  <c r="I295" i="118" s="1"/>
  <c r="J295" i="118" s="1"/>
  <c r="K295" i="118" s="1"/>
  <c r="L295" i="118" s="1"/>
  <c r="M295" i="118" s="1"/>
  <c r="N295" i="118" s="1"/>
  <c r="O295" i="118" s="1"/>
  <c r="P295" i="118" s="1"/>
  <c r="Q295" i="118" s="1"/>
  <c r="H294" i="118"/>
  <c r="I294" i="118" s="1"/>
  <c r="J294" i="118" s="1"/>
  <c r="K294" i="118" s="1"/>
  <c r="L294" i="118" s="1"/>
  <c r="M294" i="118" s="1"/>
  <c r="N294" i="118" s="1"/>
  <c r="O294" i="118" s="1"/>
  <c r="P294" i="118" s="1"/>
  <c r="Q294" i="118" s="1"/>
  <c r="H292" i="118"/>
  <c r="I292" i="118" s="1"/>
  <c r="J292" i="118" s="1"/>
  <c r="K292" i="118" s="1"/>
  <c r="L292" i="118" s="1"/>
  <c r="M292" i="118" s="1"/>
  <c r="N292" i="118" s="1"/>
  <c r="O292" i="118" s="1"/>
  <c r="P292" i="118" s="1"/>
  <c r="Q292" i="118" s="1"/>
  <c r="H291" i="118"/>
  <c r="I291" i="118" s="1"/>
  <c r="J291" i="118" s="1"/>
  <c r="K291" i="118" s="1"/>
  <c r="L291" i="118" s="1"/>
  <c r="M291" i="118" s="1"/>
  <c r="N291" i="118" s="1"/>
  <c r="O291" i="118" s="1"/>
  <c r="P291" i="118" s="1"/>
  <c r="Q291" i="118" s="1"/>
  <c r="F289" i="118"/>
  <c r="H286" i="118"/>
  <c r="I286" i="118" s="1"/>
  <c r="J286" i="118" s="1"/>
  <c r="K286" i="118" s="1"/>
  <c r="L286" i="118" s="1"/>
  <c r="M286" i="118" s="1"/>
  <c r="N286" i="118" s="1"/>
  <c r="O286" i="118" s="1"/>
  <c r="P286" i="118" s="1"/>
  <c r="Q286" i="118" s="1"/>
  <c r="H259" i="118"/>
  <c r="I259" i="118" s="1"/>
  <c r="J259" i="118" s="1"/>
  <c r="K259" i="118" s="1"/>
  <c r="L259" i="118" s="1"/>
  <c r="M259" i="118" s="1"/>
  <c r="N259" i="118" s="1"/>
  <c r="O259" i="118" s="1"/>
  <c r="P259" i="118" s="1"/>
  <c r="Q259" i="118" s="1"/>
  <c r="H258" i="118"/>
  <c r="I258" i="118" s="1"/>
  <c r="J258" i="118" s="1"/>
  <c r="K258" i="118" s="1"/>
  <c r="L258" i="118" s="1"/>
  <c r="M258" i="118" s="1"/>
  <c r="N258" i="118" s="1"/>
  <c r="O258" i="118" s="1"/>
  <c r="P258" i="118" s="1"/>
  <c r="Q258" i="118" s="1"/>
  <c r="H256" i="118"/>
  <c r="I256" i="118" s="1"/>
  <c r="J256" i="118" s="1"/>
  <c r="K256" i="118" s="1"/>
  <c r="L256" i="118" s="1"/>
  <c r="M256" i="118" s="1"/>
  <c r="N256" i="118" s="1"/>
  <c r="O256" i="118" s="1"/>
  <c r="P256" i="118" s="1"/>
  <c r="Q256" i="118" s="1"/>
  <c r="H241" i="118"/>
  <c r="I241" i="118" s="1"/>
  <c r="J241" i="118" s="1"/>
  <c r="K241" i="118" s="1"/>
  <c r="L241" i="118" s="1"/>
  <c r="M241" i="118" s="1"/>
  <c r="N241" i="118" s="1"/>
  <c r="O241" i="118" s="1"/>
  <c r="P241" i="118" s="1"/>
  <c r="Q241" i="118" s="1"/>
  <c r="H232" i="118"/>
  <c r="I232" i="118" s="1"/>
  <c r="J232" i="118" s="1"/>
  <c r="K232" i="118" s="1"/>
  <c r="L232" i="118" s="1"/>
  <c r="M232" i="118" s="1"/>
  <c r="N232" i="118" s="1"/>
  <c r="O232" i="118" s="1"/>
  <c r="P232" i="118" s="1"/>
  <c r="Q232" i="118" s="1"/>
  <c r="H230" i="118"/>
  <c r="I230" i="118" s="1"/>
  <c r="J230" i="118" s="1"/>
  <c r="K230" i="118" s="1"/>
  <c r="L230" i="118" s="1"/>
  <c r="M230" i="118" s="1"/>
  <c r="N230" i="118" s="1"/>
  <c r="O230" i="118" s="1"/>
  <c r="P230" i="118" s="1"/>
  <c r="Q230" i="118" s="1"/>
  <c r="H229" i="118"/>
  <c r="I229" i="118" s="1"/>
  <c r="J229" i="118" s="1"/>
  <c r="K229" i="118" s="1"/>
  <c r="L229" i="118" s="1"/>
  <c r="M229" i="118" s="1"/>
  <c r="N229" i="118" s="1"/>
  <c r="O229" i="118" s="1"/>
  <c r="P229" i="118" s="1"/>
  <c r="Q229" i="118" s="1"/>
  <c r="H228" i="118"/>
  <c r="I228" i="118" s="1"/>
  <c r="J228" i="118" s="1"/>
  <c r="K228" i="118" s="1"/>
  <c r="L228" i="118" s="1"/>
  <c r="M228" i="118" s="1"/>
  <c r="N228" i="118" s="1"/>
  <c r="O228" i="118" s="1"/>
  <c r="P228" i="118" s="1"/>
  <c r="Q228" i="118" s="1"/>
  <c r="H226" i="118"/>
  <c r="I226" i="118" s="1"/>
  <c r="J226" i="118" s="1"/>
  <c r="K226" i="118" s="1"/>
  <c r="L226" i="118" s="1"/>
  <c r="M226" i="118" s="1"/>
  <c r="N226" i="118" s="1"/>
  <c r="O226" i="118" s="1"/>
  <c r="P226" i="118" s="1"/>
  <c r="Q226" i="118" s="1"/>
  <c r="F224" i="118"/>
  <c r="H221" i="118"/>
  <c r="I221" i="118" s="1"/>
  <c r="J221" i="118" s="1"/>
  <c r="K221" i="118" s="1"/>
  <c r="L221" i="118" s="1"/>
  <c r="M221" i="118" s="1"/>
  <c r="N221" i="118" s="1"/>
  <c r="O221" i="118" s="1"/>
  <c r="P221" i="118" s="1"/>
  <c r="Q221" i="118" s="1"/>
  <c r="H206" i="118"/>
  <c r="I206" i="118" s="1"/>
  <c r="J206" i="118" s="1"/>
  <c r="K206" i="118" s="1"/>
  <c r="L206" i="118" s="1"/>
  <c r="M206" i="118" s="1"/>
  <c r="N206" i="118" s="1"/>
  <c r="O206" i="118" s="1"/>
  <c r="P206" i="118" s="1"/>
  <c r="Q206" i="118" s="1"/>
  <c r="H197" i="118"/>
  <c r="I197" i="118" s="1"/>
  <c r="J197" i="118" s="1"/>
  <c r="K197" i="118" s="1"/>
  <c r="L197" i="118" s="1"/>
  <c r="M197" i="118" s="1"/>
  <c r="N197" i="118" s="1"/>
  <c r="O197" i="118" s="1"/>
  <c r="P197" i="118" s="1"/>
  <c r="Q197" i="118" s="1"/>
  <c r="H195" i="118"/>
  <c r="I195" i="118" s="1"/>
  <c r="J195" i="118" s="1"/>
  <c r="K195" i="118" s="1"/>
  <c r="L195" i="118" s="1"/>
  <c r="M195" i="118" s="1"/>
  <c r="N195" i="118" s="1"/>
  <c r="O195" i="118" s="1"/>
  <c r="P195" i="118" s="1"/>
  <c r="Q195" i="118" s="1"/>
  <c r="H194" i="118"/>
  <c r="I194" i="118" s="1"/>
  <c r="J194" i="118" s="1"/>
  <c r="K194" i="118" s="1"/>
  <c r="L194" i="118" s="1"/>
  <c r="M194" i="118" s="1"/>
  <c r="N194" i="118" s="1"/>
  <c r="O194" i="118" s="1"/>
  <c r="P194" i="118" s="1"/>
  <c r="Q194" i="118" s="1"/>
  <c r="H193" i="118"/>
  <c r="I193" i="118" s="1"/>
  <c r="J193" i="118" s="1"/>
  <c r="K193" i="118" s="1"/>
  <c r="L193" i="118" s="1"/>
  <c r="M193" i="118" s="1"/>
  <c r="N193" i="118" s="1"/>
  <c r="O193" i="118" s="1"/>
  <c r="P193" i="118" s="1"/>
  <c r="Q193" i="118" s="1"/>
  <c r="H191" i="118"/>
  <c r="I191" i="118" s="1"/>
  <c r="J191" i="118" s="1"/>
  <c r="K191" i="118" s="1"/>
  <c r="L191" i="118" s="1"/>
  <c r="M191" i="118" s="1"/>
  <c r="N191" i="118" s="1"/>
  <c r="O191" i="118" s="1"/>
  <c r="P191" i="118" s="1"/>
  <c r="Q191" i="118" s="1"/>
  <c r="H176" i="118"/>
  <c r="I176" i="118" s="1"/>
  <c r="J176" i="118" s="1"/>
  <c r="K176" i="118" s="1"/>
  <c r="L176" i="118" s="1"/>
  <c r="M176" i="118" s="1"/>
  <c r="N176" i="118" s="1"/>
  <c r="O176" i="118" s="1"/>
  <c r="P176" i="118" s="1"/>
  <c r="Q176" i="118" s="1"/>
  <c r="H167" i="118"/>
  <c r="I167" i="118" s="1"/>
  <c r="J167" i="118" s="1"/>
  <c r="K167" i="118" s="1"/>
  <c r="L167" i="118" s="1"/>
  <c r="M167" i="118" s="1"/>
  <c r="N167" i="118" s="1"/>
  <c r="O167" i="118" s="1"/>
  <c r="P167" i="118" s="1"/>
  <c r="Q167" i="118" s="1"/>
  <c r="H165" i="118"/>
  <c r="I165" i="118" s="1"/>
  <c r="J165" i="118" s="1"/>
  <c r="K165" i="118" s="1"/>
  <c r="L165" i="118" s="1"/>
  <c r="M165" i="118" s="1"/>
  <c r="N165" i="118" s="1"/>
  <c r="O165" i="118" s="1"/>
  <c r="P165" i="118" s="1"/>
  <c r="Q165" i="118" s="1"/>
  <c r="H164" i="118"/>
  <c r="I164" i="118" s="1"/>
  <c r="J164" i="118" s="1"/>
  <c r="K164" i="118" s="1"/>
  <c r="L164" i="118" s="1"/>
  <c r="M164" i="118" s="1"/>
  <c r="N164" i="118" s="1"/>
  <c r="O164" i="118" s="1"/>
  <c r="P164" i="118" s="1"/>
  <c r="Q164" i="118" s="1"/>
  <c r="H163" i="118"/>
  <c r="I163" i="118" s="1"/>
  <c r="J163" i="118" s="1"/>
  <c r="K163" i="118" s="1"/>
  <c r="L163" i="118" s="1"/>
  <c r="M163" i="118" s="1"/>
  <c r="N163" i="118" s="1"/>
  <c r="O163" i="118" s="1"/>
  <c r="P163" i="118" s="1"/>
  <c r="Q163" i="118" s="1"/>
  <c r="H161" i="118"/>
  <c r="I161" i="118" s="1"/>
  <c r="J161" i="118" s="1"/>
  <c r="K161" i="118" s="1"/>
  <c r="L161" i="118" s="1"/>
  <c r="M161" i="118" s="1"/>
  <c r="N161" i="118" s="1"/>
  <c r="O161" i="118" s="1"/>
  <c r="P161" i="118" s="1"/>
  <c r="Q161" i="118" s="1"/>
  <c r="H146" i="118"/>
  <c r="I146" i="118" s="1"/>
  <c r="J146" i="118" s="1"/>
  <c r="K146" i="118" s="1"/>
  <c r="L146" i="118" s="1"/>
  <c r="M146" i="118" s="1"/>
  <c r="N146" i="118" s="1"/>
  <c r="O146" i="118" s="1"/>
  <c r="P146" i="118" s="1"/>
  <c r="Q146" i="118" s="1"/>
  <c r="H137" i="118"/>
  <c r="I137" i="118" s="1"/>
  <c r="J137" i="118" s="1"/>
  <c r="K137" i="118" s="1"/>
  <c r="L137" i="118" s="1"/>
  <c r="M137" i="118" s="1"/>
  <c r="N137" i="118" s="1"/>
  <c r="O137" i="118" s="1"/>
  <c r="P137" i="118" s="1"/>
  <c r="Q137" i="118" s="1"/>
  <c r="H135" i="118"/>
  <c r="I135" i="118" s="1"/>
  <c r="J135" i="118" s="1"/>
  <c r="K135" i="118" s="1"/>
  <c r="L135" i="118" s="1"/>
  <c r="M135" i="118" s="1"/>
  <c r="N135" i="118" s="1"/>
  <c r="O135" i="118" s="1"/>
  <c r="P135" i="118" s="1"/>
  <c r="Q135" i="118" s="1"/>
  <c r="H134" i="118"/>
  <c r="I134" i="118" s="1"/>
  <c r="J134" i="118" s="1"/>
  <c r="K134" i="118" s="1"/>
  <c r="L134" i="118" s="1"/>
  <c r="M134" i="118" s="1"/>
  <c r="N134" i="118" s="1"/>
  <c r="O134" i="118" s="1"/>
  <c r="P134" i="118" s="1"/>
  <c r="Q134" i="118" s="1"/>
  <c r="H133" i="118"/>
  <c r="I133" i="118" s="1"/>
  <c r="J133" i="118" s="1"/>
  <c r="K133" i="118" s="1"/>
  <c r="L133" i="118" s="1"/>
  <c r="M133" i="118" s="1"/>
  <c r="N133" i="118" s="1"/>
  <c r="O133" i="118" s="1"/>
  <c r="P133" i="118" s="1"/>
  <c r="Q133" i="118" s="1"/>
  <c r="H131" i="118"/>
  <c r="I131" i="118" s="1"/>
  <c r="J131" i="118" s="1"/>
  <c r="K131" i="118" s="1"/>
  <c r="L131" i="118" s="1"/>
  <c r="M131" i="118" s="1"/>
  <c r="N131" i="118" s="1"/>
  <c r="O131" i="118" s="1"/>
  <c r="P131" i="118" s="1"/>
  <c r="Q131" i="118" s="1"/>
  <c r="H107" i="118"/>
  <c r="I107" i="118" s="1"/>
  <c r="J107" i="118" s="1"/>
  <c r="K107" i="118" s="1"/>
  <c r="L107" i="118" s="1"/>
  <c r="M107" i="118" s="1"/>
  <c r="N107" i="118" s="1"/>
  <c r="O107" i="118" s="1"/>
  <c r="P107" i="118" s="1"/>
  <c r="Q107" i="118" s="1"/>
  <c r="H105" i="118"/>
  <c r="I105" i="118" s="1"/>
  <c r="J105" i="118" s="1"/>
  <c r="K105" i="118" s="1"/>
  <c r="L105" i="118" s="1"/>
  <c r="M105" i="118" s="1"/>
  <c r="N105" i="118" s="1"/>
  <c r="O105" i="118" s="1"/>
  <c r="P105" i="118" s="1"/>
  <c r="Q105" i="118" s="1"/>
  <c r="H104" i="118"/>
  <c r="I104" i="118" s="1"/>
  <c r="J104" i="118" s="1"/>
  <c r="K104" i="118" s="1"/>
  <c r="L104" i="118" s="1"/>
  <c r="M104" i="118" s="1"/>
  <c r="N104" i="118" s="1"/>
  <c r="O104" i="118" s="1"/>
  <c r="P104" i="118" s="1"/>
  <c r="Q104" i="118" s="1"/>
  <c r="H103" i="118"/>
  <c r="I103" i="118" s="1"/>
  <c r="J103" i="118" s="1"/>
  <c r="K103" i="118" s="1"/>
  <c r="L103" i="118" s="1"/>
  <c r="M103" i="118" s="1"/>
  <c r="N103" i="118" s="1"/>
  <c r="O103" i="118" s="1"/>
  <c r="P103" i="118" s="1"/>
  <c r="Q103" i="118" s="1"/>
  <c r="H101" i="118"/>
  <c r="I101" i="118" s="1"/>
  <c r="J101" i="118" s="1"/>
  <c r="K101" i="118" s="1"/>
  <c r="L101" i="118" s="1"/>
  <c r="M101" i="118" s="1"/>
  <c r="N101" i="118" s="1"/>
  <c r="O101" i="118" s="1"/>
  <c r="P101" i="118" s="1"/>
  <c r="Q101" i="118" s="1"/>
  <c r="H77" i="118"/>
  <c r="I77" i="118" s="1"/>
  <c r="J77" i="118" s="1"/>
  <c r="K77" i="118" s="1"/>
  <c r="L77" i="118" s="1"/>
  <c r="M77" i="118" s="1"/>
  <c r="N77" i="118" s="1"/>
  <c r="O77" i="118" s="1"/>
  <c r="P77" i="118" s="1"/>
  <c r="Q77" i="118" s="1"/>
  <c r="H75" i="118"/>
  <c r="I75" i="118" s="1"/>
  <c r="J75" i="118" s="1"/>
  <c r="K75" i="118" s="1"/>
  <c r="L75" i="118" s="1"/>
  <c r="M75" i="118" s="1"/>
  <c r="N75" i="118" s="1"/>
  <c r="O75" i="118" s="1"/>
  <c r="P75" i="118" s="1"/>
  <c r="Q75" i="118" s="1"/>
  <c r="H74" i="118"/>
  <c r="I74" i="118" s="1"/>
  <c r="J74" i="118" s="1"/>
  <c r="K74" i="118" s="1"/>
  <c r="L74" i="118" s="1"/>
  <c r="M74" i="118" s="1"/>
  <c r="N74" i="118" s="1"/>
  <c r="O74" i="118" s="1"/>
  <c r="P74" i="118" s="1"/>
  <c r="Q74" i="118" s="1"/>
  <c r="H73" i="118"/>
  <c r="I73" i="118" s="1"/>
  <c r="J73" i="118" s="1"/>
  <c r="K73" i="118" s="1"/>
  <c r="L73" i="118" s="1"/>
  <c r="M73" i="118" s="1"/>
  <c r="N73" i="118" s="1"/>
  <c r="O73" i="118" s="1"/>
  <c r="P73" i="118" s="1"/>
  <c r="Q73" i="118" s="1"/>
  <c r="H71" i="118"/>
  <c r="I71" i="118" s="1"/>
  <c r="J71" i="118" s="1"/>
  <c r="K71" i="118" s="1"/>
  <c r="L71" i="118" s="1"/>
  <c r="M71" i="118" s="1"/>
  <c r="N71" i="118" s="1"/>
  <c r="O71" i="118" s="1"/>
  <c r="P71" i="118" s="1"/>
  <c r="Q71" i="118" s="1"/>
  <c r="F69" i="118"/>
  <c r="Q64" i="118"/>
  <c r="P64" i="118"/>
  <c r="O64" i="118"/>
  <c r="N64" i="118"/>
  <c r="M64" i="118"/>
  <c r="L64" i="118"/>
  <c r="K64" i="118"/>
  <c r="J64" i="118"/>
  <c r="I64" i="118"/>
  <c r="H64" i="118"/>
  <c r="G64" i="118"/>
  <c r="Q59" i="118"/>
  <c r="P59" i="118"/>
  <c r="O59" i="118"/>
  <c r="N59" i="118"/>
  <c r="M59" i="118"/>
  <c r="L59" i="118"/>
  <c r="K59" i="118"/>
  <c r="J59" i="118"/>
  <c r="I59" i="118"/>
  <c r="H59" i="118"/>
  <c r="G59" i="118"/>
  <c r="Q54" i="118"/>
  <c r="P54" i="118"/>
  <c r="O54" i="118"/>
  <c r="N54" i="118"/>
  <c r="M54" i="118"/>
  <c r="L54" i="118"/>
  <c r="K54" i="118"/>
  <c r="J54" i="118"/>
  <c r="I54" i="118"/>
  <c r="H54" i="118"/>
  <c r="G54" i="118"/>
  <c r="Q49" i="118"/>
  <c r="P49" i="118"/>
  <c r="O49" i="118"/>
  <c r="N49" i="118"/>
  <c r="M49" i="118"/>
  <c r="L49" i="118"/>
  <c r="K49" i="118"/>
  <c r="J49" i="118"/>
  <c r="I49" i="118"/>
  <c r="H49" i="118"/>
  <c r="G49" i="118"/>
  <c r="F45" i="118"/>
  <c r="F31" i="118"/>
  <c r="Q28" i="118"/>
  <c r="P28" i="118"/>
  <c r="O28" i="118"/>
  <c r="N28" i="118"/>
  <c r="M28" i="118"/>
  <c r="L28" i="118"/>
  <c r="K28" i="118"/>
  <c r="G28" i="118"/>
  <c r="C28" i="118"/>
  <c r="Q19" i="118"/>
  <c r="P19" i="118"/>
  <c r="O19" i="118"/>
  <c r="N19" i="118"/>
  <c r="M19" i="118"/>
  <c r="L19" i="118"/>
  <c r="K19" i="118"/>
  <c r="J19" i="118"/>
  <c r="I19" i="118"/>
  <c r="H19" i="118"/>
  <c r="G19" i="118"/>
  <c r="C19" i="118"/>
  <c r="Q18" i="118"/>
  <c r="P18" i="118"/>
  <c r="O18" i="118"/>
  <c r="N18" i="118"/>
  <c r="M18" i="118"/>
  <c r="L18" i="118"/>
  <c r="K18" i="118"/>
  <c r="J18" i="118"/>
  <c r="I18" i="118"/>
  <c r="H18" i="118"/>
  <c r="G18" i="118"/>
  <c r="C18" i="118"/>
  <c r="F16" i="118"/>
  <c r="F11" i="118"/>
  <c r="K849" i="118" l="1"/>
  <c r="I849" i="118"/>
  <c r="G1135" i="118"/>
  <c r="G842" i="118"/>
  <c r="H842" i="118" s="1"/>
  <c r="I842" i="118" s="1"/>
  <c r="J842" i="118" s="1"/>
  <c r="K842" i="118" s="1"/>
  <c r="L842" i="118" s="1"/>
  <c r="M842" i="118" s="1"/>
  <c r="N842" i="118" s="1"/>
  <c r="O842" i="118" s="1"/>
  <c r="P842" i="118" s="1"/>
  <c r="Q842" i="118" s="1"/>
  <c r="G840" i="118"/>
  <c r="H840" i="118" s="1"/>
  <c r="I840" i="118" s="1"/>
  <c r="J840" i="118" s="1"/>
  <c r="K840" i="118" s="1"/>
  <c r="L840" i="118" s="1"/>
  <c r="M840" i="118" s="1"/>
  <c r="N840" i="118" s="1"/>
  <c r="O840" i="118" s="1"/>
  <c r="P840" i="118" s="1"/>
  <c r="Q840" i="118" s="1"/>
  <c r="G841" i="118"/>
  <c r="H841" i="118" s="1"/>
  <c r="I841" i="118" s="1"/>
  <c r="J841" i="118" s="1"/>
  <c r="K841" i="118" s="1"/>
  <c r="L841" i="118" s="1"/>
  <c r="M841" i="118" s="1"/>
  <c r="N841" i="118" s="1"/>
  <c r="O841" i="118" s="1"/>
  <c r="P841" i="118" s="1"/>
  <c r="Q841" i="118" s="1"/>
  <c r="P849" i="118"/>
  <c r="H849" i="118"/>
  <c r="N849" i="118"/>
  <c r="L849" i="118"/>
  <c r="J849" i="118"/>
  <c r="M849" i="118"/>
  <c r="O849" i="118"/>
  <c r="Q849" i="118"/>
  <c r="G1134" i="118"/>
  <c r="H1135" i="118"/>
  <c r="H1134" i="118"/>
  <c r="I1135" i="118"/>
  <c r="I1134" i="118"/>
  <c r="J1135" i="118"/>
  <c r="K1135" i="118" s="1"/>
  <c r="L1135" i="118" s="1"/>
  <c r="M1135" i="118" s="1"/>
  <c r="N1135" i="118" s="1"/>
  <c r="O1135" i="118" s="1"/>
  <c r="P1135" i="118" s="1"/>
  <c r="Q1135" i="118" s="1"/>
  <c r="J1134" i="118"/>
  <c r="K1134" i="118" s="1"/>
  <c r="L1134" i="118" s="1"/>
  <c r="M1134" i="118" s="1"/>
  <c r="N1134" i="118" s="1"/>
  <c r="O1134" i="118" s="1"/>
  <c r="P1134" i="118" s="1"/>
  <c r="Q1134" i="118" s="1"/>
  <c r="G1137" i="118"/>
  <c r="G1136" i="118"/>
  <c r="H1136" i="118" s="1"/>
  <c r="I1136" i="118" s="1"/>
  <c r="J1136" i="118" s="1"/>
  <c r="K1136" i="118" s="1"/>
  <c r="L1136" i="118" s="1"/>
  <c r="M1136" i="118" s="1"/>
  <c r="N1136" i="118" s="1"/>
  <c r="O1136" i="118" s="1"/>
  <c r="P1136" i="118" s="1"/>
  <c r="Q1136" i="118" s="1"/>
  <c r="H1137" i="118"/>
  <c r="I1137" i="118" s="1"/>
  <c r="J1137" i="118" s="1"/>
  <c r="K1137" i="118" s="1"/>
  <c r="L1137" i="118" s="1"/>
  <c r="M1137" i="118" s="1"/>
  <c r="N1137" i="118" s="1"/>
  <c r="O1137" i="118" s="1"/>
  <c r="P1137" i="118" s="1"/>
  <c r="Q1137" i="118" s="1"/>
  <c r="C10" i="115"/>
  <c r="N192" i="114" l="1"/>
  <c r="O192" i="114" s="1"/>
  <c r="P192" i="114" s="1"/>
  <c r="Q192" i="114" s="1"/>
  <c r="R192" i="114" s="1"/>
  <c r="S192" i="114" s="1"/>
  <c r="T192" i="114" s="1"/>
  <c r="U192" i="114" s="1"/>
  <c r="V192" i="114" s="1"/>
  <c r="W192" i="114" s="1"/>
  <c r="N191" i="114"/>
  <c r="O191" i="114" s="1"/>
  <c r="P191" i="114" s="1"/>
  <c r="Q191" i="114" s="1"/>
  <c r="R191" i="114" s="1"/>
  <c r="S191" i="114" s="1"/>
  <c r="T191" i="114" s="1"/>
  <c r="U191" i="114" s="1"/>
  <c r="V191" i="114" s="1"/>
  <c r="W191" i="114" s="1"/>
  <c r="N176" i="114"/>
  <c r="O176" i="114" s="1"/>
  <c r="P176" i="114" s="1"/>
  <c r="Q176" i="114" s="1"/>
  <c r="R176" i="114" s="1"/>
  <c r="S176" i="114" s="1"/>
  <c r="T176" i="114" s="1"/>
  <c r="U176" i="114" s="1"/>
  <c r="V176" i="114" s="1"/>
  <c r="W176" i="114" s="1"/>
  <c r="N167" i="114"/>
  <c r="O167" i="114" s="1"/>
  <c r="P167" i="114" s="1"/>
  <c r="Q167" i="114" s="1"/>
  <c r="R167" i="114" s="1"/>
  <c r="S167" i="114" s="1"/>
  <c r="T167" i="114" s="1"/>
  <c r="U167" i="114" s="1"/>
  <c r="V167" i="114" s="1"/>
  <c r="W167" i="114" s="1"/>
  <c r="N165" i="114"/>
  <c r="O165" i="114" s="1"/>
  <c r="P165" i="114" s="1"/>
  <c r="Q165" i="114" s="1"/>
  <c r="R165" i="114" s="1"/>
  <c r="S165" i="114" s="1"/>
  <c r="T165" i="114" s="1"/>
  <c r="U165" i="114" s="1"/>
  <c r="V165" i="114" s="1"/>
  <c r="W165" i="114" s="1"/>
  <c r="N164" i="114"/>
  <c r="O164" i="114" s="1"/>
  <c r="P164" i="114" s="1"/>
  <c r="Q164" i="114" s="1"/>
  <c r="R164" i="114" s="1"/>
  <c r="S164" i="114" s="1"/>
  <c r="T164" i="114" s="1"/>
  <c r="U164" i="114" s="1"/>
  <c r="V164" i="114" s="1"/>
  <c r="W164" i="114" s="1"/>
  <c r="N163" i="114"/>
  <c r="O163" i="114" s="1"/>
  <c r="P163" i="114" s="1"/>
  <c r="Q163" i="114" s="1"/>
  <c r="R163" i="114" s="1"/>
  <c r="S163" i="114" s="1"/>
  <c r="T163" i="114" s="1"/>
  <c r="U163" i="114" s="1"/>
  <c r="V163" i="114" s="1"/>
  <c r="W163" i="114" s="1"/>
  <c r="N161" i="114"/>
  <c r="O161" i="114" s="1"/>
  <c r="P161" i="114" s="1"/>
  <c r="Q161" i="114" s="1"/>
  <c r="R161" i="114" s="1"/>
  <c r="S161" i="114" s="1"/>
  <c r="T161" i="114" s="1"/>
  <c r="U161" i="114" s="1"/>
  <c r="V161" i="114" s="1"/>
  <c r="W161" i="114" s="1"/>
  <c r="N160" i="114"/>
  <c r="O160" i="114" s="1"/>
  <c r="P160" i="114" s="1"/>
  <c r="Q160" i="114" s="1"/>
  <c r="R160" i="114" s="1"/>
  <c r="S160" i="114" s="1"/>
  <c r="T160" i="114" s="1"/>
  <c r="U160" i="114" s="1"/>
  <c r="V160" i="114" s="1"/>
  <c r="W160" i="114" s="1"/>
  <c r="N145" i="114"/>
  <c r="O145" i="114" s="1"/>
  <c r="P145" i="114" s="1"/>
  <c r="Q145" i="114" s="1"/>
  <c r="R145" i="114" s="1"/>
  <c r="S145" i="114" s="1"/>
  <c r="T145" i="114" s="1"/>
  <c r="U145" i="114" s="1"/>
  <c r="V145" i="114" s="1"/>
  <c r="W145" i="114" s="1"/>
  <c r="N136" i="114"/>
  <c r="O136" i="114" s="1"/>
  <c r="P136" i="114" s="1"/>
  <c r="Q136" i="114" s="1"/>
  <c r="R136" i="114" s="1"/>
  <c r="S136" i="114" s="1"/>
  <c r="T136" i="114" s="1"/>
  <c r="U136" i="114" s="1"/>
  <c r="V136" i="114" s="1"/>
  <c r="W136" i="114" s="1"/>
  <c r="N134" i="114"/>
  <c r="O134" i="114" s="1"/>
  <c r="P134" i="114" s="1"/>
  <c r="Q134" i="114" s="1"/>
  <c r="R134" i="114" s="1"/>
  <c r="S134" i="114" s="1"/>
  <c r="T134" i="114" s="1"/>
  <c r="U134" i="114" s="1"/>
  <c r="V134" i="114" s="1"/>
  <c r="W134" i="114" s="1"/>
  <c r="N133" i="114"/>
  <c r="O133" i="114" s="1"/>
  <c r="P133" i="114" s="1"/>
  <c r="Q133" i="114" s="1"/>
  <c r="R133" i="114" s="1"/>
  <c r="S133" i="114" s="1"/>
  <c r="T133" i="114" s="1"/>
  <c r="U133" i="114" s="1"/>
  <c r="V133" i="114" s="1"/>
  <c r="W133" i="114" s="1"/>
  <c r="N132" i="114"/>
  <c r="O132" i="114" s="1"/>
  <c r="P132" i="114" s="1"/>
  <c r="Q132" i="114" s="1"/>
  <c r="R132" i="114" s="1"/>
  <c r="S132" i="114" s="1"/>
  <c r="T132" i="114" s="1"/>
  <c r="U132" i="114" s="1"/>
  <c r="V132" i="114" s="1"/>
  <c r="W132" i="114" s="1"/>
  <c r="N130" i="114"/>
  <c r="O130" i="114" s="1"/>
  <c r="P130" i="114" s="1"/>
  <c r="Q130" i="114" s="1"/>
  <c r="R130" i="114" s="1"/>
  <c r="S130" i="114" s="1"/>
  <c r="T130" i="114" s="1"/>
  <c r="U130" i="114" s="1"/>
  <c r="V130" i="114" s="1"/>
  <c r="W130" i="114" s="1"/>
  <c r="N129" i="114"/>
  <c r="O129" i="114" s="1"/>
  <c r="P129" i="114" s="1"/>
  <c r="Q129" i="114" s="1"/>
  <c r="R129" i="114" s="1"/>
  <c r="S129" i="114" s="1"/>
  <c r="T129" i="114" s="1"/>
  <c r="U129" i="114" s="1"/>
  <c r="V129" i="114" s="1"/>
  <c r="W129" i="114" s="1"/>
  <c r="N114" i="114"/>
  <c r="O114" i="114" s="1"/>
  <c r="P114" i="114" s="1"/>
  <c r="Q114" i="114" s="1"/>
  <c r="R114" i="114" s="1"/>
  <c r="S114" i="114" s="1"/>
  <c r="T114" i="114" s="1"/>
  <c r="U114" i="114" s="1"/>
  <c r="V114" i="114" s="1"/>
  <c r="W114" i="114" s="1"/>
  <c r="N105" i="114"/>
  <c r="O105" i="114" s="1"/>
  <c r="P105" i="114" s="1"/>
  <c r="Q105" i="114" s="1"/>
  <c r="R105" i="114" s="1"/>
  <c r="S105" i="114" s="1"/>
  <c r="T105" i="114" s="1"/>
  <c r="U105" i="114" s="1"/>
  <c r="V105" i="114" s="1"/>
  <c r="W105" i="114" s="1"/>
  <c r="N103" i="114"/>
  <c r="O103" i="114" s="1"/>
  <c r="P103" i="114" s="1"/>
  <c r="Q103" i="114" s="1"/>
  <c r="R103" i="114" s="1"/>
  <c r="S103" i="114" s="1"/>
  <c r="T103" i="114" s="1"/>
  <c r="U103" i="114" s="1"/>
  <c r="V103" i="114" s="1"/>
  <c r="W103" i="114" s="1"/>
  <c r="N102" i="114"/>
  <c r="O102" i="114" s="1"/>
  <c r="P102" i="114" s="1"/>
  <c r="Q102" i="114" s="1"/>
  <c r="R102" i="114" s="1"/>
  <c r="S102" i="114" s="1"/>
  <c r="T102" i="114" s="1"/>
  <c r="U102" i="114" s="1"/>
  <c r="V102" i="114" s="1"/>
  <c r="W102" i="114" s="1"/>
  <c r="N101" i="114"/>
  <c r="O101" i="114" s="1"/>
  <c r="P101" i="114" s="1"/>
  <c r="Q101" i="114" s="1"/>
  <c r="R101" i="114" s="1"/>
  <c r="S101" i="114" s="1"/>
  <c r="T101" i="114" s="1"/>
  <c r="U101" i="114" s="1"/>
  <c r="V101" i="114" s="1"/>
  <c r="W101" i="114" s="1"/>
  <c r="N99" i="114"/>
  <c r="O99" i="114" s="1"/>
  <c r="P99" i="114" s="1"/>
  <c r="Q99" i="114" s="1"/>
  <c r="R99" i="114" s="1"/>
  <c r="S99" i="114" s="1"/>
  <c r="T99" i="114" s="1"/>
  <c r="U99" i="114" s="1"/>
  <c r="V99" i="114" s="1"/>
  <c r="W99" i="114" s="1"/>
  <c r="N98" i="114"/>
  <c r="O98" i="114" s="1"/>
  <c r="P98" i="114" s="1"/>
  <c r="Q98" i="114" s="1"/>
  <c r="R98" i="114" s="1"/>
  <c r="S98" i="114" s="1"/>
  <c r="T98" i="114" s="1"/>
  <c r="U98" i="114" s="1"/>
  <c r="V98" i="114" s="1"/>
  <c r="W98" i="114" s="1"/>
  <c r="N74" i="114"/>
  <c r="O74" i="114" s="1"/>
  <c r="P74" i="114" s="1"/>
  <c r="Q74" i="114" s="1"/>
  <c r="R74" i="114" s="1"/>
  <c r="S74" i="114" s="1"/>
  <c r="T74" i="114" s="1"/>
  <c r="U74" i="114" s="1"/>
  <c r="V74" i="114" s="1"/>
  <c r="W74" i="114" s="1"/>
  <c r="N72" i="114"/>
  <c r="O72" i="114" s="1"/>
  <c r="P72" i="114" s="1"/>
  <c r="Q72" i="114" s="1"/>
  <c r="R72" i="114" s="1"/>
  <c r="S72" i="114" s="1"/>
  <c r="T72" i="114" s="1"/>
  <c r="U72" i="114" s="1"/>
  <c r="V72" i="114" s="1"/>
  <c r="W72" i="114" s="1"/>
  <c r="N71" i="114"/>
  <c r="O71" i="114" s="1"/>
  <c r="P71" i="114" s="1"/>
  <c r="Q71" i="114" s="1"/>
  <c r="R71" i="114" s="1"/>
  <c r="S71" i="114" s="1"/>
  <c r="T71" i="114" s="1"/>
  <c r="U71" i="114" s="1"/>
  <c r="V71" i="114" s="1"/>
  <c r="W71" i="114" s="1"/>
  <c r="N70" i="114"/>
  <c r="O70" i="114" s="1"/>
  <c r="P70" i="114" s="1"/>
  <c r="Q70" i="114" s="1"/>
  <c r="R70" i="114" s="1"/>
  <c r="S70" i="114" s="1"/>
  <c r="T70" i="114" s="1"/>
  <c r="U70" i="114" s="1"/>
  <c r="V70" i="114" s="1"/>
  <c r="W70" i="114" s="1"/>
  <c r="N68" i="114"/>
  <c r="O68" i="114" s="1"/>
  <c r="P68" i="114" s="1"/>
  <c r="Q68" i="114" s="1"/>
  <c r="R68" i="114" s="1"/>
  <c r="S68" i="114" s="1"/>
  <c r="T68" i="114" s="1"/>
  <c r="U68" i="114" s="1"/>
  <c r="V68" i="114" s="1"/>
  <c r="W68" i="114" s="1"/>
  <c r="N67" i="114"/>
  <c r="O67" i="114" s="1"/>
  <c r="P67" i="114" s="1"/>
  <c r="Q67" i="114" s="1"/>
  <c r="R67" i="114" s="1"/>
  <c r="S67" i="114" s="1"/>
  <c r="T67" i="114" s="1"/>
  <c r="U67" i="114" s="1"/>
  <c r="V67" i="114" s="1"/>
  <c r="W67" i="114" s="1"/>
  <c r="N43" i="114"/>
  <c r="O43" i="114" s="1"/>
  <c r="P43" i="114" s="1"/>
  <c r="Q43" i="114" s="1"/>
  <c r="R43" i="114" s="1"/>
  <c r="S43" i="114" s="1"/>
  <c r="T43" i="114" s="1"/>
  <c r="U43" i="114" s="1"/>
  <c r="V43" i="114" s="1"/>
  <c r="W43" i="114" s="1"/>
  <c r="N41" i="114"/>
  <c r="O41" i="114" s="1"/>
  <c r="P41" i="114" s="1"/>
  <c r="Q41" i="114" s="1"/>
  <c r="R41" i="114" s="1"/>
  <c r="S41" i="114" s="1"/>
  <c r="T41" i="114" s="1"/>
  <c r="U41" i="114" s="1"/>
  <c r="V41" i="114" s="1"/>
  <c r="W41" i="114" s="1"/>
  <c r="N40" i="114"/>
  <c r="O40" i="114" s="1"/>
  <c r="P40" i="114" s="1"/>
  <c r="Q40" i="114" s="1"/>
  <c r="R40" i="114" s="1"/>
  <c r="S40" i="114" s="1"/>
  <c r="T40" i="114" s="1"/>
  <c r="U40" i="114" s="1"/>
  <c r="V40" i="114" s="1"/>
  <c r="W40" i="114" s="1"/>
  <c r="N39" i="114"/>
  <c r="O39" i="114" s="1"/>
  <c r="P39" i="114" s="1"/>
  <c r="Q39" i="114" s="1"/>
  <c r="R39" i="114" s="1"/>
  <c r="S39" i="114" s="1"/>
  <c r="T39" i="114" s="1"/>
  <c r="U39" i="114" s="1"/>
  <c r="V39" i="114" s="1"/>
  <c r="W39" i="114" s="1"/>
  <c r="K24" i="115" l="1"/>
  <c r="J24" i="115"/>
  <c r="I24" i="115"/>
  <c r="H24" i="115"/>
  <c r="G24" i="115"/>
  <c r="F24" i="115"/>
  <c r="E24" i="115"/>
  <c r="K10" i="115" l="1"/>
  <c r="J10" i="115"/>
  <c r="I10" i="115"/>
  <c r="H10" i="115"/>
  <c r="G10" i="115"/>
  <c r="F10" i="115"/>
  <c r="E10" i="115"/>
  <c r="D10" i="115"/>
  <c r="E2" i="115"/>
  <c r="E12" i="115" s="1"/>
  <c r="G15" i="113"/>
  <c r="K11" i="115" l="1"/>
  <c r="G11" i="115"/>
  <c r="J11" i="115"/>
  <c r="F11" i="115"/>
  <c r="I11" i="115"/>
  <c r="H11" i="115"/>
  <c r="F2" i="115"/>
  <c r="F12" i="115" l="1"/>
  <c r="G2" i="115"/>
  <c r="G12" i="115" s="1"/>
  <c r="H2" i="115" l="1"/>
  <c r="H12" i="115" s="1"/>
  <c r="I2" i="115" l="1"/>
  <c r="I12" i="115" s="1"/>
  <c r="J2" i="115" l="1"/>
  <c r="J12" i="115" s="1"/>
  <c r="K2" i="115" l="1"/>
  <c r="K12" i="115" s="1"/>
  <c r="H17" i="113" l="1"/>
  <c r="I17" i="113" s="1"/>
  <c r="H16" i="113"/>
  <c r="G9" i="113"/>
  <c r="G16" i="113"/>
  <c r="H8" i="113"/>
  <c r="I8" i="113" s="1"/>
  <c r="J8" i="113" s="1"/>
  <c r="K8" i="113" s="1"/>
  <c r="L8" i="113" s="1"/>
  <c r="M8" i="113" s="1"/>
  <c r="N8" i="113" s="1"/>
  <c r="O8" i="113" s="1"/>
  <c r="P8" i="113" s="1"/>
  <c r="Q8" i="113" s="1"/>
  <c r="H7" i="113"/>
  <c r="I7" i="113" s="1"/>
  <c r="J7" i="113" s="1"/>
  <c r="K7" i="113" s="1"/>
  <c r="L7" i="113" s="1"/>
  <c r="M7" i="113" s="1"/>
  <c r="N7" i="113" s="1"/>
  <c r="O7" i="113" s="1"/>
  <c r="P7" i="113" s="1"/>
  <c r="Q7" i="113" s="1"/>
  <c r="H6" i="113"/>
  <c r="I6" i="113" s="1"/>
  <c r="J6" i="113" s="1"/>
  <c r="K6" i="113" s="1"/>
  <c r="L6" i="113" s="1"/>
  <c r="M6" i="113" s="1"/>
  <c r="N6" i="113" s="1"/>
  <c r="O6" i="113" s="1"/>
  <c r="P6" i="113" s="1"/>
  <c r="Q6" i="113" s="1"/>
  <c r="H5" i="113"/>
  <c r="I5" i="113" s="1"/>
  <c r="J5" i="113" s="1"/>
  <c r="K5" i="113" s="1"/>
  <c r="L5" i="113" s="1"/>
  <c r="M5" i="113" s="1"/>
  <c r="N5" i="113" s="1"/>
  <c r="O5" i="113" s="1"/>
  <c r="P5" i="113" s="1"/>
  <c r="Q5" i="113" s="1"/>
  <c r="Q11" i="113"/>
  <c r="P11" i="113"/>
  <c r="O11" i="113"/>
  <c r="N11" i="113"/>
  <c r="M11" i="113"/>
  <c r="L11" i="113"/>
  <c r="K11" i="113"/>
  <c r="J11" i="113"/>
  <c r="I11" i="113"/>
  <c r="H11" i="113"/>
  <c r="Q10" i="113"/>
  <c r="P10" i="113"/>
  <c r="O10" i="113"/>
  <c r="N10" i="113"/>
  <c r="M10" i="113"/>
  <c r="L10" i="113"/>
  <c r="K10" i="113"/>
  <c r="J10" i="113"/>
  <c r="I10" i="113"/>
  <c r="H10" i="113"/>
  <c r="G11" i="113"/>
  <c r="G10" i="113"/>
  <c r="G12" i="113"/>
  <c r="G13" i="113"/>
  <c r="J17" i="113" l="1"/>
  <c r="I16" i="113"/>
  <c r="H9" i="113"/>
  <c r="K17" i="113" l="1"/>
  <c r="J16" i="113"/>
  <c r="I9" i="113"/>
  <c r="K16" i="113" l="1"/>
  <c r="L17" i="113"/>
  <c r="J9" i="113"/>
  <c r="M17" i="113" l="1"/>
  <c r="L16" i="113"/>
  <c r="K9" i="113"/>
  <c r="M16" i="113" l="1"/>
  <c r="N17" i="113"/>
  <c r="L9" i="113"/>
  <c r="BG191" i="111"/>
  <c r="O191" i="111" s="1"/>
  <c r="P191" i="111" s="1"/>
  <c r="Q191" i="111" s="1"/>
  <c r="BF191" i="111"/>
  <c r="BE191" i="111"/>
  <c r="BD191" i="111"/>
  <c r="BC191" i="111"/>
  <c r="BB191" i="111"/>
  <c r="N191" i="111" s="1"/>
  <c r="BA191" i="111"/>
  <c r="AZ191" i="111"/>
  <c r="AY191" i="111"/>
  <c r="AX191" i="111"/>
  <c r="AW191" i="111"/>
  <c r="M191" i="111" s="1"/>
  <c r="AV191" i="111"/>
  <c r="AU191" i="111"/>
  <c r="AT191" i="111"/>
  <c r="AS191" i="111"/>
  <c r="AR191" i="111"/>
  <c r="L191" i="111" s="1"/>
  <c r="AQ191" i="111"/>
  <c r="AP191" i="111"/>
  <c r="AO191" i="111"/>
  <c r="AN191" i="111"/>
  <c r="AM191" i="111"/>
  <c r="K191" i="111" s="1"/>
  <c r="AL191" i="111"/>
  <c r="AK191" i="111"/>
  <c r="AJ191" i="111"/>
  <c r="AI191" i="111"/>
  <c r="AH191" i="111"/>
  <c r="J191" i="111" s="1"/>
  <c r="AG191" i="111"/>
  <c r="AF191" i="111"/>
  <c r="AE191" i="111"/>
  <c r="AD191" i="111"/>
  <c r="AC191" i="111"/>
  <c r="I191" i="111" s="1"/>
  <c r="AB191" i="111"/>
  <c r="AA191" i="111"/>
  <c r="Z191" i="111"/>
  <c r="Y191" i="111"/>
  <c r="X191" i="111"/>
  <c r="H191" i="111" s="1"/>
  <c r="G191" i="111" s="1"/>
  <c r="BG190" i="111"/>
  <c r="O190" i="111" s="1"/>
  <c r="P190" i="111" s="1"/>
  <c r="Q190" i="111" s="1"/>
  <c r="BF190" i="111"/>
  <c r="BE190" i="111"/>
  <c r="BD190" i="111"/>
  <c r="BC190" i="111"/>
  <c r="BB190" i="111"/>
  <c r="N190" i="111" s="1"/>
  <c r="BA190" i="111"/>
  <c r="AZ190" i="111"/>
  <c r="AY190" i="111"/>
  <c r="AX190" i="111"/>
  <c r="AW190" i="111"/>
  <c r="M190" i="111" s="1"/>
  <c r="AV190" i="111"/>
  <c r="AU190" i="111"/>
  <c r="AT190" i="111"/>
  <c r="AS190" i="111"/>
  <c r="AR190" i="111"/>
  <c r="L190" i="111" s="1"/>
  <c r="AQ190" i="111"/>
  <c r="AP190" i="111"/>
  <c r="AO190" i="111"/>
  <c r="AN190" i="111"/>
  <c r="AM190" i="111"/>
  <c r="K190" i="111" s="1"/>
  <c r="AL190" i="111"/>
  <c r="AK190" i="111"/>
  <c r="AJ190" i="111"/>
  <c r="AI190" i="111"/>
  <c r="AH190" i="111"/>
  <c r="J190" i="111" s="1"/>
  <c r="AG190" i="111"/>
  <c r="AF190" i="111"/>
  <c r="AE190" i="111"/>
  <c r="AD190" i="111"/>
  <c r="AC190" i="111"/>
  <c r="I190" i="111" s="1"/>
  <c r="AB190" i="111"/>
  <c r="AA190" i="111"/>
  <c r="Z190" i="111"/>
  <c r="Y190" i="111"/>
  <c r="X190" i="111"/>
  <c r="H190" i="111" s="1"/>
  <c r="G190" i="111" s="1"/>
  <c r="BG189" i="111"/>
  <c r="O189" i="111" s="1"/>
  <c r="P189" i="111" s="1"/>
  <c r="Q189" i="111" s="1"/>
  <c r="BF189" i="111"/>
  <c r="BE189" i="111"/>
  <c r="BD189" i="111"/>
  <c r="BC189" i="111"/>
  <c r="BB189" i="111"/>
  <c r="N189" i="111" s="1"/>
  <c r="BA189" i="111"/>
  <c r="AZ189" i="111"/>
  <c r="AY189" i="111"/>
  <c r="AX189" i="111"/>
  <c r="AW189" i="111"/>
  <c r="M189" i="111" s="1"/>
  <c r="AV189" i="111"/>
  <c r="AU189" i="111"/>
  <c r="AT189" i="111"/>
  <c r="AS189" i="111"/>
  <c r="AR189" i="111"/>
  <c r="L189" i="111" s="1"/>
  <c r="AQ189" i="111"/>
  <c r="AP189" i="111"/>
  <c r="AO189" i="111"/>
  <c r="AN189" i="111"/>
  <c r="AM189" i="111"/>
  <c r="K189" i="111" s="1"/>
  <c r="AL189" i="111"/>
  <c r="AK189" i="111"/>
  <c r="AJ189" i="111"/>
  <c r="AI189" i="111"/>
  <c r="AH189" i="111"/>
  <c r="J189" i="111" s="1"/>
  <c r="AG189" i="111"/>
  <c r="AF189" i="111"/>
  <c r="AE189" i="111"/>
  <c r="AD189" i="111"/>
  <c r="AC189" i="111"/>
  <c r="I189" i="111" s="1"/>
  <c r="AB189" i="111"/>
  <c r="AA189" i="111"/>
  <c r="Z189" i="111"/>
  <c r="Y189" i="111"/>
  <c r="X189" i="111"/>
  <c r="H189" i="111" s="1"/>
  <c r="G189" i="111" s="1"/>
  <c r="BG188" i="111"/>
  <c r="O188" i="111" s="1"/>
  <c r="P188" i="111" s="1"/>
  <c r="Q188" i="111" s="1"/>
  <c r="BF188" i="111"/>
  <c r="BE188" i="111"/>
  <c r="BD188" i="111"/>
  <c r="BC188" i="111"/>
  <c r="BB188" i="111"/>
  <c r="N188" i="111" s="1"/>
  <c r="BA188" i="111"/>
  <c r="AZ188" i="111"/>
  <c r="AY188" i="111"/>
  <c r="AX188" i="111"/>
  <c r="AW188" i="111"/>
  <c r="M188" i="111" s="1"/>
  <c r="AV188" i="111"/>
  <c r="AU188" i="111"/>
  <c r="AT188" i="111"/>
  <c r="AS188" i="111"/>
  <c r="AR188" i="111"/>
  <c r="L188" i="111" s="1"/>
  <c r="AQ188" i="111"/>
  <c r="AP188" i="111"/>
  <c r="AO188" i="111"/>
  <c r="AN188" i="111"/>
  <c r="AM188" i="111"/>
  <c r="K188" i="111" s="1"/>
  <c r="AL188" i="111"/>
  <c r="AK188" i="111"/>
  <c r="AJ188" i="111"/>
  <c r="AI188" i="111"/>
  <c r="AH188" i="111"/>
  <c r="J188" i="111" s="1"/>
  <c r="AG188" i="111"/>
  <c r="AF188" i="111"/>
  <c r="AE188" i="111"/>
  <c r="AD188" i="111"/>
  <c r="AC188" i="111"/>
  <c r="I188" i="111" s="1"/>
  <c r="AB188" i="111"/>
  <c r="AA188" i="111"/>
  <c r="Z188" i="111"/>
  <c r="Y188" i="111"/>
  <c r="X188" i="111"/>
  <c r="H188" i="111" s="1"/>
  <c r="G188" i="111" s="1"/>
  <c r="BG187" i="111"/>
  <c r="O187" i="111" s="1"/>
  <c r="P187" i="111" s="1"/>
  <c r="Q187" i="111" s="1"/>
  <c r="BF187" i="111"/>
  <c r="BE187" i="111"/>
  <c r="BD187" i="111"/>
  <c r="BC187" i="111"/>
  <c r="BB187" i="111"/>
  <c r="N187" i="111" s="1"/>
  <c r="BA187" i="111"/>
  <c r="AZ187" i="111"/>
  <c r="AY187" i="111"/>
  <c r="AX187" i="111"/>
  <c r="AW187" i="111"/>
  <c r="M187" i="111" s="1"/>
  <c r="AV187" i="111"/>
  <c r="AU187" i="111"/>
  <c r="AT187" i="111"/>
  <c r="AS187" i="111"/>
  <c r="AR187" i="111"/>
  <c r="L187" i="111" s="1"/>
  <c r="AQ187" i="111"/>
  <c r="AP187" i="111"/>
  <c r="AO187" i="111"/>
  <c r="AN187" i="111"/>
  <c r="AM187" i="111"/>
  <c r="K187" i="111" s="1"/>
  <c r="AL187" i="111"/>
  <c r="AK187" i="111"/>
  <c r="AJ187" i="111"/>
  <c r="AI187" i="111"/>
  <c r="AH187" i="111"/>
  <c r="J187" i="111" s="1"/>
  <c r="AG187" i="111"/>
  <c r="AF187" i="111"/>
  <c r="AE187" i="111"/>
  <c r="AD187" i="111"/>
  <c r="AC187" i="111"/>
  <c r="I187" i="111" s="1"/>
  <c r="AB187" i="111"/>
  <c r="AA187" i="111"/>
  <c r="Z187" i="111"/>
  <c r="Y187" i="111"/>
  <c r="X187" i="111"/>
  <c r="H187" i="111" s="1"/>
  <c r="G187" i="111" s="1"/>
  <c r="BG186" i="111"/>
  <c r="O186" i="111" s="1"/>
  <c r="P186" i="111" s="1"/>
  <c r="Q186" i="111" s="1"/>
  <c r="BF186" i="111"/>
  <c r="BE186" i="111"/>
  <c r="BD186" i="111"/>
  <c r="BC186" i="111"/>
  <c r="BB186" i="111"/>
  <c r="N186" i="111" s="1"/>
  <c r="BA186" i="111"/>
  <c r="AZ186" i="111"/>
  <c r="AY186" i="111"/>
  <c r="AX186" i="111"/>
  <c r="AW186" i="111"/>
  <c r="M186" i="111" s="1"/>
  <c r="AV186" i="111"/>
  <c r="AU186" i="111"/>
  <c r="AT186" i="111"/>
  <c r="AS186" i="111"/>
  <c r="AR186" i="111"/>
  <c r="L186" i="111" s="1"/>
  <c r="AQ186" i="111"/>
  <c r="AP186" i="111"/>
  <c r="AO186" i="111"/>
  <c r="AN186" i="111"/>
  <c r="AM186" i="111"/>
  <c r="K186" i="111" s="1"/>
  <c r="AL186" i="111"/>
  <c r="AK186" i="111"/>
  <c r="AJ186" i="111"/>
  <c r="AI186" i="111"/>
  <c r="AH186" i="111"/>
  <c r="J186" i="111" s="1"/>
  <c r="AG186" i="111"/>
  <c r="AF186" i="111"/>
  <c r="AE186" i="111"/>
  <c r="AD186" i="111"/>
  <c r="AC186" i="111"/>
  <c r="I186" i="111" s="1"/>
  <c r="AB186" i="111"/>
  <c r="AA186" i="111"/>
  <c r="Z186" i="111"/>
  <c r="Y186" i="111"/>
  <c r="X186" i="111"/>
  <c r="H186" i="111" s="1"/>
  <c r="G186" i="111" s="1"/>
  <c r="BG185" i="111"/>
  <c r="O185" i="111" s="1"/>
  <c r="P185" i="111" s="1"/>
  <c r="Q185" i="111" s="1"/>
  <c r="BF185" i="111"/>
  <c r="BE185" i="111"/>
  <c r="BD185" i="111"/>
  <c r="BC185" i="111"/>
  <c r="BB185" i="111"/>
  <c r="N185" i="111" s="1"/>
  <c r="BA185" i="111"/>
  <c r="AZ185" i="111"/>
  <c r="AY185" i="111"/>
  <c r="AX185" i="111"/>
  <c r="AW185" i="111"/>
  <c r="M185" i="111" s="1"/>
  <c r="AV185" i="111"/>
  <c r="AU185" i="111"/>
  <c r="AT185" i="111"/>
  <c r="AS185" i="111"/>
  <c r="AR185" i="111"/>
  <c r="L185" i="111" s="1"/>
  <c r="AQ185" i="111"/>
  <c r="AP185" i="111"/>
  <c r="AO185" i="111"/>
  <c r="AN185" i="111"/>
  <c r="AM185" i="111"/>
  <c r="K185" i="111" s="1"/>
  <c r="AL185" i="111"/>
  <c r="AK185" i="111"/>
  <c r="AJ185" i="111"/>
  <c r="AI185" i="111"/>
  <c r="AH185" i="111"/>
  <c r="J185" i="111" s="1"/>
  <c r="AG185" i="111"/>
  <c r="AF185" i="111"/>
  <c r="AE185" i="111"/>
  <c r="AD185" i="111"/>
  <c r="AC185" i="111"/>
  <c r="I185" i="111" s="1"/>
  <c r="AB185" i="111"/>
  <c r="AA185" i="111"/>
  <c r="Z185" i="111"/>
  <c r="Y185" i="111"/>
  <c r="X185" i="111"/>
  <c r="H185" i="111" s="1"/>
  <c r="G185" i="111" s="1"/>
  <c r="BG184" i="111"/>
  <c r="O184" i="111" s="1"/>
  <c r="P184" i="111" s="1"/>
  <c r="Q184" i="111" s="1"/>
  <c r="BF184" i="111"/>
  <c r="BE184" i="111"/>
  <c r="BD184" i="111"/>
  <c r="BC184" i="111"/>
  <c r="BB184" i="111"/>
  <c r="N184" i="111" s="1"/>
  <c r="BA184" i="111"/>
  <c r="AZ184" i="111"/>
  <c r="AY184" i="111"/>
  <c r="AX184" i="111"/>
  <c r="AW184" i="111"/>
  <c r="M184" i="111" s="1"/>
  <c r="AV184" i="111"/>
  <c r="AU184" i="111"/>
  <c r="AT184" i="111"/>
  <c r="AS184" i="111"/>
  <c r="AR184" i="111"/>
  <c r="L184" i="111" s="1"/>
  <c r="AQ184" i="111"/>
  <c r="AP184" i="111"/>
  <c r="AO184" i="111"/>
  <c r="AN184" i="111"/>
  <c r="AM184" i="111"/>
  <c r="K184" i="111" s="1"/>
  <c r="AL184" i="111"/>
  <c r="AK184" i="111"/>
  <c r="AJ184" i="111"/>
  <c r="AI184" i="111"/>
  <c r="AH184" i="111"/>
  <c r="J184" i="111" s="1"/>
  <c r="AG184" i="111"/>
  <c r="AF184" i="111"/>
  <c r="AE184" i="111"/>
  <c r="AD184" i="111"/>
  <c r="AC184" i="111"/>
  <c r="I184" i="111" s="1"/>
  <c r="AB184" i="111"/>
  <c r="AA184" i="111"/>
  <c r="Z184" i="111"/>
  <c r="Y184" i="111"/>
  <c r="X184" i="111"/>
  <c r="H184" i="111" s="1"/>
  <c r="G184" i="111" s="1"/>
  <c r="BG183" i="111"/>
  <c r="O183" i="111" s="1"/>
  <c r="P183" i="111" s="1"/>
  <c r="Q183" i="111" s="1"/>
  <c r="BF183" i="111"/>
  <c r="BE183" i="111"/>
  <c r="BD183" i="111"/>
  <c r="BC183" i="111"/>
  <c r="BB183" i="111"/>
  <c r="N183" i="111" s="1"/>
  <c r="BA183" i="111"/>
  <c r="AZ183" i="111"/>
  <c r="AY183" i="111"/>
  <c r="AX183" i="111"/>
  <c r="AW183" i="111"/>
  <c r="M183" i="111" s="1"/>
  <c r="AV183" i="111"/>
  <c r="AU183" i="111"/>
  <c r="AT183" i="111"/>
  <c r="AS183" i="111"/>
  <c r="AR183" i="111"/>
  <c r="L183" i="111" s="1"/>
  <c r="AQ183" i="111"/>
  <c r="AP183" i="111"/>
  <c r="AO183" i="111"/>
  <c r="AN183" i="111"/>
  <c r="AM183" i="111"/>
  <c r="K183" i="111" s="1"/>
  <c r="AL183" i="111"/>
  <c r="AK183" i="111"/>
  <c r="AJ183" i="111"/>
  <c r="AI183" i="111"/>
  <c r="AH183" i="111"/>
  <c r="J183" i="111" s="1"/>
  <c r="AG183" i="111"/>
  <c r="AF183" i="111"/>
  <c r="AE183" i="111"/>
  <c r="AD183" i="111"/>
  <c r="AC183" i="111"/>
  <c r="I183" i="111" s="1"/>
  <c r="AB183" i="111"/>
  <c r="AA183" i="111"/>
  <c r="Z183" i="111"/>
  <c r="Y183" i="111"/>
  <c r="X183" i="111"/>
  <c r="H183" i="111" s="1"/>
  <c r="G183" i="111" s="1"/>
  <c r="BG182" i="111"/>
  <c r="O182" i="111" s="1"/>
  <c r="P182" i="111" s="1"/>
  <c r="Q182" i="111" s="1"/>
  <c r="BF182" i="111"/>
  <c r="BE182" i="111"/>
  <c r="BD182" i="111"/>
  <c r="BC182" i="111"/>
  <c r="BB182" i="111"/>
  <c r="N182" i="111" s="1"/>
  <c r="BA182" i="111"/>
  <c r="AZ182" i="111"/>
  <c r="AY182" i="111"/>
  <c r="AX182" i="111"/>
  <c r="AW182" i="111"/>
  <c r="M182" i="111" s="1"/>
  <c r="AV182" i="111"/>
  <c r="AU182" i="111"/>
  <c r="AT182" i="111"/>
  <c r="AS182" i="111"/>
  <c r="AR182" i="111"/>
  <c r="L182" i="111" s="1"/>
  <c r="AQ182" i="111"/>
  <c r="AP182" i="111"/>
  <c r="AO182" i="111"/>
  <c r="AN182" i="111"/>
  <c r="AM182" i="111"/>
  <c r="K182" i="111" s="1"/>
  <c r="AL182" i="111"/>
  <c r="AK182" i="111"/>
  <c r="AJ182" i="111"/>
  <c r="AI182" i="111"/>
  <c r="AH182" i="111"/>
  <c r="J182" i="111" s="1"/>
  <c r="AG182" i="111"/>
  <c r="AF182" i="111"/>
  <c r="AE182" i="111"/>
  <c r="AD182" i="111"/>
  <c r="AC182" i="111"/>
  <c r="I182" i="111" s="1"/>
  <c r="AB182" i="111"/>
  <c r="AA182" i="111"/>
  <c r="Z182" i="111"/>
  <c r="Y182" i="111"/>
  <c r="X182" i="111"/>
  <c r="H182" i="111" s="1"/>
  <c r="G182" i="111" s="1"/>
  <c r="BG181" i="111"/>
  <c r="O181" i="111" s="1"/>
  <c r="P181" i="111" s="1"/>
  <c r="Q181" i="111" s="1"/>
  <c r="BF181" i="111"/>
  <c r="BE181" i="111"/>
  <c r="BD181" i="111"/>
  <c r="BC181" i="111"/>
  <c r="BB181" i="111"/>
  <c r="N181" i="111" s="1"/>
  <c r="BA181" i="111"/>
  <c r="AZ181" i="111"/>
  <c r="AY181" i="111"/>
  <c r="AX181" i="111"/>
  <c r="AW181" i="111"/>
  <c r="M181" i="111" s="1"/>
  <c r="AV181" i="111"/>
  <c r="AU181" i="111"/>
  <c r="AT181" i="111"/>
  <c r="AS181" i="111"/>
  <c r="AR181" i="111"/>
  <c r="L181" i="111" s="1"/>
  <c r="AQ181" i="111"/>
  <c r="AP181" i="111"/>
  <c r="AO181" i="111"/>
  <c r="AN181" i="111"/>
  <c r="AM181" i="111"/>
  <c r="K181" i="111" s="1"/>
  <c r="AL181" i="111"/>
  <c r="AK181" i="111"/>
  <c r="AJ181" i="111"/>
  <c r="AI181" i="111"/>
  <c r="AH181" i="111"/>
  <c r="J181" i="111" s="1"/>
  <c r="AG181" i="111"/>
  <c r="AF181" i="111"/>
  <c r="AE181" i="111"/>
  <c r="AD181" i="111"/>
  <c r="AC181" i="111"/>
  <c r="I181" i="111" s="1"/>
  <c r="AB181" i="111"/>
  <c r="AA181" i="111"/>
  <c r="Z181" i="111"/>
  <c r="Y181" i="111"/>
  <c r="X181" i="111"/>
  <c r="H181" i="111" s="1"/>
  <c r="G181" i="111" s="1"/>
  <c r="BG180" i="111"/>
  <c r="O180" i="111" s="1"/>
  <c r="P180" i="111" s="1"/>
  <c r="Q180" i="111" s="1"/>
  <c r="BF180" i="111"/>
  <c r="BE180" i="111"/>
  <c r="BD180" i="111"/>
  <c r="BC180" i="111"/>
  <c r="BB180" i="111"/>
  <c r="N180" i="111" s="1"/>
  <c r="BA180" i="111"/>
  <c r="AZ180" i="111"/>
  <c r="AY180" i="111"/>
  <c r="AX180" i="111"/>
  <c r="AW180" i="111"/>
  <c r="M180" i="111" s="1"/>
  <c r="AV180" i="111"/>
  <c r="AU180" i="111"/>
  <c r="AT180" i="111"/>
  <c r="AS180" i="111"/>
  <c r="AR180" i="111"/>
  <c r="L180" i="111" s="1"/>
  <c r="AQ180" i="111"/>
  <c r="AP180" i="111"/>
  <c r="AO180" i="111"/>
  <c r="AN180" i="111"/>
  <c r="AM180" i="111"/>
  <c r="AL180" i="111"/>
  <c r="AK180" i="111"/>
  <c r="AJ180" i="111"/>
  <c r="AI180" i="111"/>
  <c r="AH180" i="111"/>
  <c r="J180" i="111" s="1"/>
  <c r="AG180" i="111"/>
  <c r="AF180" i="111"/>
  <c r="AE180" i="111"/>
  <c r="AD180" i="111"/>
  <c r="AC180" i="111"/>
  <c r="I180" i="111" s="1"/>
  <c r="AB180" i="111"/>
  <c r="AA180" i="111"/>
  <c r="Z180" i="111"/>
  <c r="Y180" i="111"/>
  <c r="X180" i="111"/>
  <c r="H180" i="111" s="1"/>
  <c r="G180" i="111" s="1"/>
  <c r="K180" i="111"/>
  <c r="BG179" i="111"/>
  <c r="O179" i="111" s="1"/>
  <c r="P179" i="111" s="1"/>
  <c r="Q179" i="111" s="1"/>
  <c r="BF179" i="111"/>
  <c r="BE179" i="111"/>
  <c r="BD179" i="111"/>
  <c r="BC179" i="111"/>
  <c r="BB179" i="111"/>
  <c r="N179" i="111" s="1"/>
  <c r="BA179" i="111"/>
  <c r="AZ179" i="111"/>
  <c r="AY179" i="111"/>
  <c r="AX179" i="111"/>
  <c r="AW179" i="111"/>
  <c r="M179" i="111" s="1"/>
  <c r="AV179" i="111"/>
  <c r="AU179" i="111"/>
  <c r="AT179" i="111"/>
  <c r="AS179" i="111"/>
  <c r="AR179" i="111"/>
  <c r="L179" i="111" s="1"/>
  <c r="AQ179" i="111"/>
  <c r="AP179" i="111"/>
  <c r="AO179" i="111"/>
  <c r="AN179" i="111"/>
  <c r="AM179" i="111"/>
  <c r="K179" i="111" s="1"/>
  <c r="AL179" i="111"/>
  <c r="AK179" i="111"/>
  <c r="AJ179" i="111"/>
  <c r="AI179" i="111"/>
  <c r="AH179" i="111"/>
  <c r="J179" i="111" s="1"/>
  <c r="AG179" i="111"/>
  <c r="AF179" i="111"/>
  <c r="AE179" i="111"/>
  <c r="AD179" i="111"/>
  <c r="AC179" i="111"/>
  <c r="I179" i="111" s="1"/>
  <c r="AB179" i="111"/>
  <c r="AA179" i="111"/>
  <c r="Z179" i="111"/>
  <c r="Y179" i="111"/>
  <c r="X179" i="111"/>
  <c r="H179" i="111" s="1"/>
  <c r="G179" i="111" s="1"/>
  <c r="BG178" i="111"/>
  <c r="O178" i="111" s="1"/>
  <c r="P178" i="111" s="1"/>
  <c r="Q178" i="111" s="1"/>
  <c r="BF178" i="111"/>
  <c r="BE178" i="111"/>
  <c r="BD178" i="111"/>
  <c r="BC178" i="111"/>
  <c r="BB178" i="111"/>
  <c r="N178" i="111" s="1"/>
  <c r="BA178" i="111"/>
  <c r="AZ178" i="111"/>
  <c r="AY178" i="111"/>
  <c r="AX178" i="111"/>
  <c r="AW178" i="111"/>
  <c r="M178" i="111" s="1"/>
  <c r="AV178" i="111"/>
  <c r="AU178" i="111"/>
  <c r="AT178" i="111"/>
  <c r="AS178" i="111"/>
  <c r="AR178" i="111"/>
  <c r="L178" i="111" s="1"/>
  <c r="AQ178" i="111"/>
  <c r="AP178" i="111"/>
  <c r="AO178" i="111"/>
  <c r="AN178" i="111"/>
  <c r="AM178" i="111"/>
  <c r="K178" i="111" s="1"/>
  <c r="AL178" i="111"/>
  <c r="AK178" i="111"/>
  <c r="AJ178" i="111"/>
  <c r="AI178" i="111"/>
  <c r="AH178" i="111"/>
  <c r="J178" i="111" s="1"/>
  <c r="AG178" i="111"/>
  <c r="AF178" i="111"/>
  <c r="AE178" i="111"/>
  <c r="AD178" i="111"/>
  <c r="AC178" i="111"/>
  <c r="I178" i="111" s="1"/>
  <c r="AB178" i="111"/>
  <c r="AA178" i="111"/>
  <c r="Z178" i="111"/>
  <c r="Y178" i="111"/>
  <c r="X178" i="111"/>
  <c r="H178" i="111" s="1"/>
  <c r="G178" i="111" s="1"/>
  <c r="BG177" i="111"/>
  <c r="O177" i="111" s="1"/>
  <c r="P177" i="111" s="1"/>
  <c r="Q177" i="111" s="1"/>
  <c r="BF177" i="111"/>
  <c r="BE177" i="111"/>
  <c r="BD177" i="111"/>
  <c r="BC177" i="111"/>
  <c r="BB177" i="111"/>
  <c r="N177" i="111" s="1"/>
  <c r="BA177" i="111"/>
  <c r="AZ177" i="111"/>
  <c r="AY177" i="111"/>
  <c r="AX177" i="111"/>
  <c r="AW177" i="111"/>
  <c r="M177" i="111" s="1"/>
  <c r="AV177" i="111"/>
  <c r="AU177" i="111"/>
  <c r="AT177" i="111"/>
  <c r="AS177" i="111"/>
  <c r="AR177" i="111"/>
  <c r="L177" i="111" s="1"/>
  <c r="AQ177" i="111"/>
  <c r="AP177" i="111"/>
  <c r="AO177" i="111"/>
  <c r="AN177" i="111"/>
  <c r="AM177" i="111"/>
  <c r="K177" i="111" s="1"/>
  <c r="AL177" i="111"/>
  <c r="AK177" i="111"/>
  <c r="AJ177" i="111"/>
  <c r="AI177" i="111"/>
  <c r="AH177" i="111"/>
  <c r="J177" i="111" s="1"/>
  <c r="AG177" i="111"/>
  <c r="AF177" i="111"/>
  <c r="AE177" i="111"/>
  <c r="AD177" i="111"/>
  <c r="AC177" i="111"/>
  <c r="I177" i="111" s="1"/>
  <c r="AB177" i="111"/>
  <c r="AA177" i="111"/>
  <c r="Z177" i="111"/>
  <c r="Y177" i="111"/>
  <c r="X177" i="111"/>
  <c r="H177" i="111" s="1"/>
  <c r="G177" i="111" s="1"/>
  <c r="BG176" i="111"/>
  <c r="O176" i="111" s="1"/>
  <c r="P176" i="111" s="1"/>
  <c r="Q176" i="111" s="1"/>
  <c r="BF176" i="111"/>
  <c r="BE176" i="111"/>
  <c r="BD176" i="111"/>
  <c r="BC176" i="111"/>
  <c r="BB176" i="111"/>
  <c r="N176" i="111" s="1"/>
  <c r="BA176" i="111"/>
  <c r="AZ176" i="111"/>
  <c r="AY176" i="111"/>
  <c r="AX176" i="111"/>
  <c r="AW176" i="111"/>
  <c r="M176" i="111" s="1"/>
  <c r="AV176" i="111"/>
  <c r="AU176" i="111"/>
  <c r="AT176" i="111"/>
  <c r="AS176" i="111"/>
  <c r="AR176" i="111"/>
  <c r="L176" i="111" s="1"/>
  <c r="AQ176" i="111"/>
  <c r="AP176" i="111"/>
  <c r="AO176" i="111"/>
  <c r="AN176" i="111"/>
  <c r="AM176" i="111"/>
  <c r="AL176" i="111"/>
  <c r="AK176" i="111"/>
  <c r="AJ176" i="111"/>
  <c r="AI176" i="111"/>
  <c r="AH176" i="111"/>
  <c r="J176" i="111" s="1"/>
  <c r="AG176" i="111"/>
  <c r="AF176" i="111"/>
  <c r="AE176" i="111"/>
  <c r="AD176" i="111"/>
  <c r="AC176" i="111"/>
  <c r="I176" i="111" s="1"/>
  <c r="AB176" i="111"/>
  <c r="AA176" i="111"/>
  <c r="Z176" i="111"/>
  <c r="Y176" i="111"/>
  <c r="X176" i="111"/>
  <c r="H176" i="111" s="1"/>
  <c r="G176" i="111" s="1"/>
  <c r="K176" i="111"/>
  <c r="BG175" i="111"/>
  <c r="O175" i="111" s="1"/>
  <c r="P175" i="111" s="1"/>
  <c r="Q175" i="111" s="1"/>
  <c r="BF175" i="111"/>
  <c r="BE175" i="111"/>
  <c r="BD175" i="111"/>
  <c r="BC175" i="111"/>
  <c r="BB175" i="111"/>
  <c r="N175" i="111" s="1"/>
  <c r="BA175" i="111"/>
  <c r="AZ175" i="111"/>
  <c r="AY175" i="111"/>
  <c r="AX175" i="111"/>
  <c r="AW175" i="111"/>
  <c r="M175" i="111" s="1"/>
  <c r="AV175" i="111"/>
  <c r="AU175" i="111"/>
  <c r="AT175" i="111"/>
  <c r="AS175" i="111"/>
  <c r="AR175" i="111"/>
  <c r="L175" i="111" s="1"/>
  <c r="AQ175" i="111"/>
  <c r="AP175" i="111"/>
  <c r="AO175" i="111"/>
  <c r="AN175" i="111"/>
  <c r="AM175" i="111"/>
  <c r="K175" i="111" s="1"/>
  <c r="AL175" i="111"/>
  <c r="AK175" i="111"/>
  <c r="AJ175" i="111"/>
  <c r="AI175" i="111"/>
  <c r="AH175" i="111"/>
  <c r="J175" i="111" s="1"/>
  <c r="AG175" i="111"/>
  <c r="AF175" i="111"/>
  <c r="AE175" i="111"/>
  <c r="AD175" i="111"/>
  <c r="AC175" i="111"/>
  <c r="I175" i="111" s="1"/>
  <c r="AB175" i="111"/>
  <c r="AA175" i="111"/>
  <c r="Z175" i="111"/>
  <c r="Y175" i="111"/>
  <c r="X175" i="111"/>
  <c r="H175" i="111" s="1"/>
  <c r="G175" i="111" s="1"/>
  <c r="BG174" i="111"/>
  <c r="O174" i="111" s="1"/>
  <c r="P174" i="111" s="1"/>
  <c r="Q174" i="111" s="1"/>
  <c r="BF174" i="111"/>
  <c r="BE174" i="111"/>
  <c r="BD174" i="111"/>
  <c r="BC174" i="111"/>
  <c r="BB174" i="111"/>
  <c r="N174" i="111" s="1"/>
  <c r="BA174" i="111"/>
  <c r="AZ174" i="111"/>
  <c r="AY174" i="111"/>
  <c r="AX174" i="111"/>
  <c r="AW174" i="111"/>
  <c r="M174" i="111" s="1"/>
  <c r="AV174" i="111"/>
  <c r="AU174" i="111"/>
  <c r="AT174" i="111"/>
  <c r="AS174" i="111"/>
  <c r="AR174" i="111"/>
  <c r="L174" i="111" s="1"/>
  <c r="AQ174" i="111"/>
  <c r="AP174" i="111"/>
  <c r="AO174" i="111"/>
  <c r="AN174" i="111"/>
  <c r="AM174" i="111"/>
  <c r="K174" i="111" s="1"/>
  <c r="AL174" i="111"/>
  <c r="AK174" i="111"/>
  <c r="AJ174" i="111"/>
  <c r="AI174" i="111"/>
  <c r="AH174" i="111"/>
  <c r="J174" i="111" s="1"/>
  <c r="AG174" i="111"/>
  <c r="AF174" i="111"/>
  <c r="AE174" i="111"/>
  <c r="AD174" i="111"/>
  <c r="AC174" i="111"/>
  <c r="I174" i="111" s="1"/>
  <c r="AB174" i="111"/>
  <c r="AA174" i="111"/>
  <c r="Z174" i="111"/>
  <c r="Y174" i="111"/>
  <c r="X174" i="111"/>
  <c r="H174" i="111" s="1"/>
  <c r="G174" i="111" s="1"/>
  <c r="BG173" i="111"/>
  <c r="O173" i="111" s="1"/>
  <c r="P173" i="111" s="1"/>
  <c r="Q173" i="111" s="1"/>
  <c r="BF173" i="111"/>
  <c r="BE173" i="111"/>
  <c r="BD173" i="111"/>
  <c r="BC173" i="111"/>
  <c r="BB173" i="111"/>
  <c r="N173" i="111" s="1"/>
  <c r="BA173" i="111"/>
  <c r="AZ173" i="111"/>
  <c r="AY173" i="111"/>
  <c r="AX173" i="111"/>
  <c r="AW173" i="111"/>
  <c r="M173" i="111" s="1"/>
  <c r="AV173" i="111"/>
  <c r="AU173" i="111"/>
  <c r="AT173" i="111"/>
  <c r="AS173" i="111"/>
  <c r="AR173" i="111"/>
  <c r="L173" i="111" s="1"/>
  <c r="AQ173" i="111"/>
  <c r="AP173" i="111"/>
  <c r="AO173" i="111"/>
  <c r="AN173" i="111"/>
  <c r="AM173" i="111"/>
  <c r="K173" i="111" s="1"/>
  <c r="AL173" i="111"/>
  <c r="AK173" i="111"/>
  <c r="AJ173" i="111"/>
  <c r="AI173" i="111"/>
  <c r="AH173" i="111"/>
  <c r="J173" i="111" s="1"/>
  <c r="AG173" i="111"/>
  <c r="AF173" i="111"/>
  <c r="AE173" i="111"/>
  <c r="AD173" i="111"/>
  <c r="AC173" i="111"/>
  <c r="I173" i="111" s="1"/>
  <c r="AB173" i="111"/>
  <c r="AA173" i="111"/>
  <c r="Z173" i="111"/>
  <c r="Y173" i="111"/>
  <c r="X173" i="111"/>
  <c r="H173" i="111" s="1"/>
  <c r="G173" i="111" s="1"/>
  <c r="BG172" i="111"/>
  <c r="O172" i="111" s="1"/>
  <c r="P172" i="111" s="1"/>
  <c r="Q172" i="111" s="1"/>
  <c r="BF172" i="111"/>
  <c r="BE172" i="111"/>
  <c r="BD172" i="111"/>
  <c r="BC172" i="111"/>
  <c r="BB172" i="111"/>
  <c r="N172" i="111" s="1"/>
  <c r="BA172" i="111"/>
  <c r="AZ172" i="111"/>
  <c r="AY172" i="111"/>
  <c r="AX172" i="111"/>
  <c r="AW172" i="111"/>
  <c r="M172" i="111" s="1"/>
  <c r="AV172" i="111"/>
  <c r="AU172" i="111"/>
  <c r="AT172" i="111"/>
  <c r="AS172" i="111"/>
  <c r="AR172" i="111"/>
  <c r="L172" i="111" s="1"/>
  <c r="AQ172" i="111"/>
  <c r="AP172" i="111"/>
  <c r="AO172" i="111"/>
  <c r="AN172" i="111"/>
  <c r="AM172" i="111"/>
  <c r="K172" i="111" s="1"/>
  <c r="AL172" i="111"/>
  <c r="AK172" i="111"/>
  <c r="AJ172" i="111"/>
  <c r="AI172" i="111"/>
  <c r="AH172" i="111"/>
  <c r="J172" i="111" s="1"/>
  <c r="AG172" i="111"/>
  <c r="AF172" i="111"/>
  <c r="AE172" i="111"/>
  <c r="AD172" i="111"/>
  <c r="AC172" i="111"/>
  <c r="I172" i="111" s="1"/>
  <c r="AB172" i="111"/>
  <c r="AA172" i="111"/>
  <c r="Z172" i="111"/>
  <c r="Y172" i="111"/>
  <c r="X172" i="111"/>
  <c r="H172" i="111" s="1"/>
  <c r="G172" i="111" s="1"/>
  <c r="BG171" i="111"/>
  <c r="O171" i="111" s="1"/>
  <c r="P171" i="111" s="1"/>
  <c r="Q171" i="111" s="1"/>
  <c r="BF171" i="111"/>
  <c r="BE171" i="111"/>
  <c r="BD171" i="111"/>
  <c r="BC171" i="111"/>
  <c r="BB171" i="111"/>
  <c r="N171" i="111" s="1"/>
  <c r="BA171" i="111"/>
  <c r="AZ171" i="111"/>
  <c r="AY171" i="111"/>
  <c r="AX171" i="111"/>
  <c r="AW171" i="111"/>
  <c r="M171" i="111" s="1"/>
  <c r="AV171" i="111"/>
  <c r="AU171" i="111"/>
  <c r="AT171" i="111"/>
  <c r="AS171" i="111"/>
  <c r="AR171" i="111"/>
  <c r="L171" i="111" s="1"/>
  <c r="AQ171" i="111"/>
  <c r="AP171" i="111"/>
  <c r="AO171" i="111"/>
  <c r="AN171" i="111"/>
  <c r="AM171" i="111"/>
  <c r="K171" i="111" s="1"/>
  <c r="AL171" i="111"/>
  <c r="AK171" i="111"/>
  <c r="AJ171" i="111"/>
  <c r="AI171" i="111"/>
  <c r="AH171" i="111"/>
  <c r="J171" i="111" s="1"/>
  <c r="AG171" i="111"/>
  <c r="AF171" i="111"/>
  <c r="AE171" i="111"/>
  <c r="AD171" i="111"/>
  <c r="AC171" i="111"/>
  <c r="I171" i="111" s="1"/>
  <c r="AB171" i="111"/>
  <c r="AA171" i="111"/>
  <c r="Z171" i="111"/>
  <c r="Y171" i="111"/>
  <c r="X171" i="111"/>
  <c r="H171" i="111" s="1"/>
  <c r="G171" i="111" s="1"/>
  <c r="BG170" i="111"/>
  <c r="O170" i="111" s="1"/>
  <c r="P170" i="111" s="1"/>
  <c r="Q170" i="111" s="1"/>
  <c r="BF170" i="111"/>
  <c r="BE170" i="111"/>
  <c r="BD170" i="111"/>
  <c r="BC170" i="111"/>
  <c r="BB170" i="111"/>
  <c r="N170" i="111" s="1"/>
  <c r="BA170" i="111"/>
  <c r="AZ170" i="111"/>
  <c r="AY170" i="111"/>
  <c r="AX170" i="111"/>
  <c r="AW170" i="111"/>
  <c r="M170" i="111" s="1"/>
  <c r="AV170" i="111"/>
  <c r="AU170" i="111"/>
  <c r="AT170" i="111"/>
  <c r="AS170" i="111"/>
  <c r="AR170" i="111"/>
  <c r="L170" i="111" s="1"/>
  <c r="AQ170" i="111"/>
  <c r="AP170" i="111"/>
  <c r="AO170" i="111"/>
  <c r="AN170" i="111"/>
  <c r="AM170" i="111"/>
  <c r="K170" i="111" s="1"/>
  <c r="AL170" i="111"/>
  <c r="AK170" i="111"/>
  <c r="AJ170" i="111"/>
  <c r="AI170" i="111"/>
  <c r="AH170" i="111"/>
  <c r="J170" i="111" s="1"/>
  <c r="AG170" i="111"/>
  <c r="AF170" i="111"/>
  <c r="AE170" i="111"/>
  <c r="AD170" i="111"/>
  <c r="AC170" i="111"/>
  <c r="I170" i="111" s="1"/>
  <c r="AB170" i="111"/>
  <c r="AA170" i="111"/>
  <c r="Z170" i="111"/>
  <c r="Y170" i="111"/>
  <c r="X170" i="111"/>
  <c r="H170" i="111" s="1"/>
  <c r="G170" i="111" s="1"/>
  <c r="BG169" i="111"/>
  <c r="O169" i="111" s="1"/>
  <c r="P169" i="111" s="1"/>
  <c r="Q169" i="111" s="1"/>
  <c r="BF169" i="111"/>
  <c r="BE169" i="111"/>
  <c r="BD169" i="111"/>
  <c r="BC169" i="111"/>
  <c r="BB169" i="111"/>
  <c r="N169" i="111" s="1"/>
  <c r="BA169" i="111"/>
  <c r="AZ169" i="111"/>
  <c r="AY169" i="111"/>
  <c r="AX169" i="111"/>
  <c r="AW169" i="111"/>
  <c r="M169" i="111" s="1"/>
  <c r="AV169" i="111"/>
  <c r="AU169" i="111"/>
  <c r="AT169" i="111"/>
  <c r="AS169" i="111"/>
  <c r="AR169" i="111"/>
  <c r="L169" i="111" s="1"/>
  <c r="AQ169" i="111"/>
  <c r="AP169" i="111"/>
  <c r="AO169" i="111"/>
  <c r="AN169" i="111"/>
  <c r="AM169" i="111"/>
  <c r="K169" i="111" s="1"/>
  <c r="AL169" i="111"/>
  <c r="AK169" i="111"/>
  <c r="AJ169" i="111"/>
  <c r="AI169" i="111"/>
  <c r="AH169" i="111"/>
  <c r="J169" i="111" s="1"/>
  <c r="AG169" i="111"/>
  <c r="AF169" i="111"/>
  <c r="AE169" i="111"/>
  <c r="AD169" i="111"/>
  <c r="AC169" i="111"/>
  <c r="I169" i="111" s="1"/>
  <c r="AB169" i="111"/>
  <c r="AA169" i="111"/>
  <c r="Z169" i="111"/>
  <c r="Y169" i="111"/>
  <c r="X169" i="111"/>
  <c r="H169" i="111" s="1"/>
  <c r="G169" i="111" s="1"/>
  <c r="BG168" i="111"/>
  <c r="O168" i="111" s="1"/>
  <c r="P168" i="111" s="1"/>
  <c r="Q168" i="111" s="1"/>
  <c r="BF168" i="111"/>
  <c r="BE168" i="111"/>
  <c r="BD168" i="111"/>
  <c r="BC168" i="111"/>
  <c r="BB168" i="111"/>
  <c r="N168" i="111" s="1"/>
  <c r="BA168" i="111"/>
  <c r="AZ168" i="111"/>
  <c r="AY168" i="111"/>
  <c r="AX168" i="111"/>
  <c r="AW168" i="111"/>
  <c r="M168" i="111" s="1"/>
  <c r="AV168" i="111"/>
  <c r="AU168" i="111"/>
  <c r="AT168" i="111"/>
  <c r="AS168" i="111"/>
  <c r="AR168" i="111"/>
  <c r="L168" i="111" s="1"/>
  <c r="AQ168" i="111"/>
  <c r="AP168" i="111"/>
  <c r="AO168" i="111"/>
  <c r="AN168" i="111"/>
  <c r="AM168" i="111"/>
  <c r="K168" i="111" s="1"/>
  <c r="AL168" i="111"/>
  <c r="AK168" i="111"/>
  <c r="AJ168" i="111"/>
  <c r="AI168" i="111"/>
  <c r="AH168" i="111"/>
  <c r="J168" i="111" s="1"/>
  <c r="AG168" i="111"/>
  <c r="AF168" i="111"/>
  <c r="AE168" i="111"/>
  <c r="AD168" i="111"/>
  <c r="AC168" i="111"/>
  <c r="I168" i="111" s="1"/>
  <c r="AB168" i="111"/>
  <c r="AA168" i="111"/>
  <c r="Z168" i="111"/>
  <c r="Y168" i="111"/>
  <c r="X168" i="111"/>
  <c r="H168" i="111" s="1"/>
  <c r="G168" i="111" s="1"/>
  <c r="BG167" i="111"/>
  <c r="O167" i="111" s="1"/>
  <c r="P167" i="111" s="1"/>
  <c r="Q167" i="111" s="1"/>
  <c r="BF167" i="111"/>
  <c r="BE167" i="111"/>
  <c r="BD167" i="111"/>
  <c r="BC167" i="111"/>
  <c r="BB167" i="111"/>
  <c r="N167" i="111" s="1"/>
  <c r="BA167" i="111"/>
  <c r="AZ167" i="111"/>
  <c r="AY167" i="111"/>
  <c r="AX167" i="111"/>
  <c r="AW167" i="111"/>
  <c r="M167" i="111" s="1"/>
  <c r="AV167" i="111"/>
  <c r="AU167" i="111"/>
  <c r="AT167" i="111"/>
  <c r="AS167" i="111"/>
  <c r="AR167" i="111"/>
  <c r="L167" i="111" s="1"/>
  <c r="AQ167" i="111"/>
  <c r="AP167" i="111"/>
  <c r="AO167" i="111"/>
  <c r="AN167" i="111"/>
  <c r="AM167" i="111"/>
  <c r="K167" i="111" s="1"/>
  <c r="AL167" i="111"/>
  <c r="AK167" i="111"/>
  <c r="AJ167" i="111"/>
  <c r="AI167" i="111"/>
  <c r="AH167" i="111"/>
  <c r="J167" i="111" s="1"/>
  <c r="AG167" i="111"/>
  <c r="AF167" i="111"/>
  <c r="AE167" i="111"/>
  <c r="AD167" i="111"/>
  <c r="AC167" i="111"/>
  <c r="I167" i="111" s="1"/>
  <c r="AB167" i="111"/>
  <c r="AA167" i="111"/>
  <c r="Z167" i="111"/>
  <c r="Y167" i="111"/>
  <c r="X167" i="111"/>
  <c r="H167" i="111" s="1"/>
  <c r="G167" i="111" s="1"/>
  <c r="BG166" i="111"/>
  <c r="O166" i="111" s="1"/>
  <c r="P166" i="111" s="1"/>
  <c r="Q166" i="111" s="1"/>
  <c r="BF166" i="111"/>
  <c r="BE166" i="111"/>
  <c r="BD166" i="111"/>
  <c r="BC166" i="111"/>
  <c r="BB166" i="111"/>
  <c r="N166" i="111" s="1"/>
  <c r="BA166" i="111"/>
  <c r="AZ166" i="111"/>
  <c r="AY166" i="111"/>
  <c r="AX166" i="111"/>
  <c r="AW166" i="111"/>
  <c r="M166" i="111" s="1"/>
  <c r="AV166" i="111"/>
  <c r="AU166" i="111"/>
  <c r="AT166" i="111"/>
  <c r="AS166" i="111"/>
  <c r="AR166" i="111"/>
  <c r="L166" i="111" s="1"/>
  <c r="AQ166" i="111"/>
  <c r="AP166" i="111"/>
  <c r="AO166" i="111"/>
  <c r="AN166" i="111"/>
  <c r="AM166" i="111"/>
  <c r="K166" i="111" s="1"/>
  <c r="AL166" i="111"/>
  <c r="AK166" i="111"/>
  <c r="AJ166" i="111"/>
  <c r="AI166" i="111"/>
  <c r="AH166" i="111"/>
  <c r="J166" i="111" s="1"/>
  <c r="AG166" i="111"/>
  <c r="AF166" i="111"/>
  <c r="AE166" i="111"/>
  <c r="AD166" i="111"/>
  <c r="AC166" i="111"/>
  <c r="I166" i="111" s="1"/>
  <c r="AB166" i="111"/>
  <c r="AA166" i="111"/>
  <c r="Z166" i="111"/>
  <c r="Y166" i="111"/>
  <c r="X166" i="111"/>
  <c r="H166" i="111" s="1"/>
  <c r="G166" i="111" s="1"/>
  <c r="BG165" i="111"/>
  <c r="O165" i="111" s="1"/>
  <c r="P165" i="111" s="1"/>
  <c r="Q165" i="111" s="1"/>
  <c r="BF165" i="111"/>
  <c r="BE165" i="111"/>
  <c r="BD165" i="111"/>
  <c r="BC165" i="111"/>
  <c r="BB165" i="111"/>
  <c r="N165" i="111" s="1"/>
  <c r="BA165" i="111"/>
  <c r="AZ165" i="111"/>
  <c r="AY165" i="111"/>
  <c r="AX165" i="111"/>
  <c r="AW165" i="111"/>
  <c r="M165" i="111" s="1"/>
  <c r="AV165" i="111"/>
  <c r="AU165" i="111"/>
  <c r="AT165" i="111"/>
  <c r="AS165" i="111"/>
  <c r="AR165" i="111"/>
  <c r="L165" i="111" s="1"/>
  <c r="AQ165" i="111"/>
  <c r="AP165" i="111"/>
  <c r="AO165" i="111"/>
  <c r="AN165" i="111"/>
  <c r="AM165" i="111"/>
  <c r="K165" i="111" s="1"/>
  <c r="AL165" i="111"/>
  <c r="AK165" i="111"/>
  <c r="AJ165" i="111"/>
  <c r="AI165" i="111"/>
  <c r="AH165" i="111"/>
  <c r="J165" i="111" s="1"/>
  <c r="AG165" i="111"/>
  <c r="AF165" i="111"/>
  <c r="AE165" i="111"/>
  <c r="AD165" i="111"/>
  <c r="AC165" i="111"/>
  <c r="I165" i="111" s="1"/>
  <c r="AB165" i="111"/>
  <c r="AA165" i="111"/>
  <c r="Z165" i="111"/>
  <c r="Y165" i="111"/>
  <c r="X165" i="111"/>
  <c r="H165" i="111" s="1"/>
  <c r="G165" i="111" s="1"/>
  <c r="BG164" i="111"/>
  <c r="O164" i="111" s="1"/>
  <c r="P164" i="111" s="1"/>
  <c r="Q164" i="111" s="1"/>
  <c r="BF164" i="111"/>
  <c r="BE164" i="111"/>
  <c r="BD164" i="111"/>
  <c r="BC164" i="111"/>
  <c r="BB164" i="111"/>
  <c r="N164" i="111" s="1"/>
  <c r="BA164" i="111"/>
  <c r="AZ164" i="111"/>
  <c r="AY164" i="111"/>
  <c r="AX164" i="111"/>
  <c r="AW164" i="111"/>
  <c r="M164" i="111" s="1"/>
  <c r="AV164" i="111"/>
  <c r="AU164" i="111"/>
  <c r="AT164" i="111"/>
  <c r="AS164" i="111"/>
  <c r="AR164" i="111"/>
  <c r="L164" i="111" s="1"/>
  <c r="AQ164" i="111"/>
  <c r="AP164" i="111"/>
  <c r="AO164" i="111"/>
  <c r="AN164" i="111"/>
  <c r="AM164" i="111"/>
  <c r="K164" i="111" s="1"/>
  <c r="AL164" i="111"/>
  <c r="AK164" i="111"/>
  <c r="AJ164" i="111"/>
  <c r="AI164" i="111"/>
  <c r="AH164" i="111"/>
  <c r="J164" i="111" s="1"/>
  <c r="AG164" i="111"/>
  <c r="AF164" i="111"/>
  <c r="AE164" i="111"/>
  <c r="AD164" i="111"/>
  <c r="AC164" i="111"/>
  <c r="I164" i="111" s="1"/>
  <c r="AB164" i="111"/>
  <c r="AA164" i="111"/>
  <c r="Z164" i="111"/>
  <c r="Y164" i="111"/>
  <c r="X164" i="111"/>
  <c r="H164" i="111" s="1"/>
  <c r="G164" i="111" s="1"/>
  <c r="BG163" i="111"/>
  <c r="O163" i="111" s="1"/>
  <c r="P163" i="111" s="1"/>
  <c r="Q163" i="111" s="1"/>
  <c r="BF163" i="111"/>
  <c r="BE163" i="111"/>
  <c r="BD163" i="111"/>
  <c r="BC163" i="111"/>
  <c r="BB163" i="111"/>
  <c r="N163" i="111" s="1"/>
  <c r="BA163" i="111"/>
  <c r="AZ163" i="111"/>
  <c r="AY163" i="111"/>
  <c r="AX163" i="111"/>
  <c r="AW163" i="111"/>
  <c r="M163" i="111" s="1"/>
  <c r="AV163" i="111"/>
  <c r="AU163" i="111"/>
  <c r="AT163" i="111"/>
  <c r="AS163" i="111"/>
  <c r="AR163" i="111"/>
  <c r="L163" i="111" s="1"/>
  <c r="AQ163" i="111"/>
  <c r="AP163" i="111"/>
  <c r="AO163" i="111"/>
  <c r="AN163" i="111"/>
  <c r="AM163" i="111"/>
  <c r="K163" i="111" s="1"/>
  <c r="AL163" i="111"/>
  <c r="AK163" i="111"/>
  <c r="AJ163" i="111"/>
  <c r="AI163" i="111"/>
  <c r="AH163" i="111"/>
  <c r="J163" i="111" s="1"/>
  <c r="AG163" i="111"/>
  <c r="AF163" i="111"/>
  <c r="AE163" i="111"/>
  <c r="AD163" i="111"/>
  <c r="AC163" i="111"/>
  <c r="I163" i="111" s="1"/>
  <c r="AB163" i="111"/>
  <c r="AA163" i="111"/>
  <c r="Z163" i="111"/>
  <c r="Y163" i="111"/>
  <c r="X163" i="111"/>
  <c r="H163" i="111" s="1"/>
  <c r="G163" i="111" s="1"/>
  <c r="BG162" i="111"/>
  <c r="O162" i="111" s="1"/>
  <c r="P162" i="111" s="1"/>
  <c r="Q162" i="111" s="1"/>
  <c r="BF162" i="111"/>
  <c r="BE162" i="111"/>
  <c r="BD162" i="111"/>
  <c r="BC162" i="111"/>
  <c r="BB162" i="111"/>
  <c r="N162" i="111" s="1"/>
  <c r="BA162" i="111"/>
  <c r="AZ162" i="111"/>
  <c r="AY162" i="111"/>
  <c r="AX162" i="111"/>
  <c r="AW162" i="111"/>
  <c r="M162" i="111" s="1"/>
  <c r="AV162" i="111"/>
  <c r="AU162" i="111"/>
  <c r="AT162" i="111"/>
  <c r="AS162" i="111"/>
  <c r="AR162" i="111"/>
  <c r="L162" i="111" s="1"/>
  <c r="AQ162" i="111"/>
  <c r="AP162" i="111"/>
  <c r="AO162" i="111"/>
  <c r="AN162" i="111"/>
  <c r="AM162" i="111"/>
  <c r="K162" i="111" s="1"/>
  <c r="AL162" i="111"/>
  <c r="AK162" i="111"/>
  <c r="AJ162" i="111"/>
  <c r="AI162" i="111"/>
  <c r="AH162" i="111"/>
  <c r="J162" i="111" s="1"/>
  <c r="AG162" i="111"/>
  <c r="AF162" i="111"/>
  <c r="AE162" i="111"/>
  <c r="AD162" i="111"/>
  <c r="AC162" i="111"/>
  <c r="I162" i="111" s="1"/>
  <c r="AB162" i="111"/>
  <c r="AA162" i="111"/>
  <c r="Z162" i="111"/>
  <c r="Y162" i="111"/>
  <c r="X162" i="111"/>
  <c r="H162" i="111" s="1"/>
  <c r="G162" i="111" s="1"/>
  <c r="BG161" i="111"/>
  <c r="O161" i="111" s="1"/>
  <c r="P161" i="111" s="1"/>
  <c r="Q161" i="111" s="1"/>
  <c r="BF161" i="111"/>
  <c r="BE161" i="111"/>
  <c r="BD161" i="111"/>
  <c r="BC161" i="111"/>
  <c r="BB161" i="111"/>
  <c r="N161" i="111" s="1"/>
  <c r="BA161" i="111"/>
  <c r="AZ161" i="111"/>
  <c r="AY161" i="111"/>
  <c r="AX161" i="111"/>
  <c r="AW161" i="111"/>
  <c r="M161" i="111" s="1"/>
  <c r="AV161" i="111"/>
  <c r="AU161" i="111"/>
  <c r="AT161" i="111"/>
  <c r="AS161" i="111"/>
  <c r="AR161" i="111"/>
  <c r="L161" i="111" s="1"/>
  <c r="AQ161" i="111"/>
  <c r="AP161" i="111"/>
  <c r="AO161" i="111"/>
  <c r="AN161" i="111"/>
  <c r="AM161" i="111"/>
  <c r="K161" i="111" s="1"/>
  <c r="AL161" i="111"/>
  <c r="AK161" i="111"/>
  <c r="AJ161" i="111"/>
  <c r="AI161" i="111"/>
  <c r="AH161" i="111"/>
  <c r="J161" i="111" s="1"/>
  <c r="AG161" i="111"/>
  <c r="AF161" i="111"/>
  <c r="AE161" i="111"/>
  <c r="AD161" i="111"/>
  <c r="AC161" i="111"/>
  <c r="I161" i="111" s="1"/>
  <c r="AB161" i="111"/>
  <c r="AA161" i="111"/>
  <c r="Z161" i="111"/>
  <c r="Y161" i="111"/>
  <c r="X161" i="111"/>
  <c r="H161" i="111" s="1"/>
  <c r="G161" i="111" s="1"/>
  <c r="BG160" i="111"/>
  <c r="O160" i="111" s="1"/>
  <c r="P160" i="111" s="1"/>
  <c r="Q160" i="111" s="1"/>
  <c r="BF160" i="111"/>
  <c r="BE160" i="111"/>
  <c r="BD160" i="111"/>
  <c r="BC160" i="111"/>
  <c r="BB160" i="111"/>
  <c r="N160" i="111" s="1"/>
  <c r="BA160" i="111"/>
  <c r="AZ160" i="111"/>
  <c r="AY160" i="111"/>
  <c r="AX160" i="111"/>
  <c r="AW160" i="111"/>
  <c r="M160" i="111" s="1"/>
  <c r="AV160" i="111"/>
  <c r="AU160" i="111"/>
  <c r="AT160" i="111"/>
  <c r="AS160" i="111"/>
  <c r="AR160" i="111"/>
  <c r="L160" i="111" s="1"/>
  <c r="AQ160" i="111"/>
  <c r="AP160" i="111"/>
  <c r="AO160" i="111"/>
  <c r="AN160" i="111"/>
  <c r="AM160" i="111"/>
  <c r="K160" i="111" s="1"/>
  <c r="AL160" i="111"/>
  <c r="AK160" i="111"/>
  <c r="AJ160" i="111"/>
  <c r="AI160" i="111"/>
  <c r="AH160" i="111"/>
  <c r="J160" i="111" s="1"/>
  <c r="AG160" i="111"/>
  <c r="AF160" i="111"/>
  <c r="AE160" i="111"/>
  <c r="AD160" i="111"/>
  <c r="AC160" i="111"/>
  <c r="I160" i="111" s="1"/>
  <c r="AB160" i="111"/>
  <c r="AA160" i="111"/>
  <c r="Z160" i="111"/>
  <c r="Y160" i="111"/>
  <c r="X160" i="111"/>
  <c r="H160" i="111" s="1"/>
  <c r="G160" i="111" s="1"/>
  <c r="BG159" i="111"/>
  <c r="O159" i="111" s="1"/>
  <c r="P159" i="111" s="1"/>
  <c r="Q159" i="111" s="1"/>
  <c r="BF159" i="111"/>
  <c r="BE159" i="111"/>
  <c r="BD159" i="111"/>
  <c r="BC159" i="111"/>
  <c r="BB159" i="111"/>
  <c r="N159" i="111" s="1"/>
  <c r="BA159" i="111"/>
  <c r="AZ159" i="111"/>
  <c r="AY159" i="111"/>
  <c r="AX159" i="111"/>
  <c r="AW159" i="111"/>
  <c r="M159" i="111" s="1"/>
  <c r="AV159" i="111"/>
  <c r="AU159" i="111"/>
  <c r="AT159" i="111"/>
  <c r="AS159" i="111"/>
  <c r="AR159" i="111"/>
  <c r="L159" i="111" s="1"/>
  <c r="AQ159" i="111"/>
  <c r="AP159" i="111"/>
  <c r="AO159" i="111"/>
  <c r="AN159" i="111"/>
  <c r="AM159" i="111"/>
  <c r="K159" i="111" s="1"/>
  <c r="AL159" i="111"/>
  <c r="AK159" i="111"/>
  <c r="AJ159" i="111"/>
  <c r="AI159" i="111"/>
  <c r="AH159" i="111"/>
  <c r="J159" i="111" s="1"/>
  <c r="AG159" i="111"/>
  <c r="AF159" i="111"/>
  <c r="AE159" i="111"/>
  <c r="AD159" i="111"/>
  <c r="AC159" i="111"/>
  <c r="I159" i="111" s="1"/>
  <c r="AB159" i="111"/>
  <c r="AA159" i="111"/>
  <c r="Z159" i="111"/>
  <c r="Y159" i="111"/>
  <c r="X159" i="111"/>
  <c r="H159" i="111" s="1"/>
  <c r="G159" i="111" s="1"/>
  <c r="BG158" i="111"/>
  <c r="O158" i="111" s="1"/>
  <c r="P158" i="111" s="1"/>
  <c r="Q158" i="111" s="1"/>
  <c r="BF158" i="111"/>
  <c r="BE158" i="111"/>
  <c r="BD158" i="111"/>
  <c r="BC158" i="111"/>
  <c r="BB158" i="111"/>
  <c r="N158" i="111" s="1"/>
  <c r="BA158" i="111"/>
  <c r="AZ158" i="111"/>
  <c r="AY158" i="111"/>
  <c r="AX158" i="111"/>
  <c r="AW158" i="111"/>
  <c r="M158" i="111" s="1"/>
  <c r="AV158" i="111"/>
  <c r="AU158" i="111"/>
  <c r="AT158" i="111"/>
  <c r="AS158" i="111"/>
  <c r="AR158" i="111"/>
  <c r="L158" i="111" s="1"/>
  <c r="AQ158" i="111"/>
  <c r="AP158" i="111"/>
  <c r="AO158" i="111"/>
  <c r="AN158" i="111"/>
  <c r="AM158" i="111"/>
  <c r="K158" i="111" s="1"/>
  <c r="AL158" i="111"/>
  <c r="AK158" i="111"/>
  <c r="AJ158" i="111"/>
  <c r="AI158" i="111"/>
  <c r="AH158" i="111"/>
  <c r="J158" i="111" s="1"/>
  <c r="AG158" i="111"/>
  <c r="AF158" i="111"/>
  <c r="AE158" i="111"/>
  <c r="AD158" i="111"/>
  <c r="AC158" i="111"/>
  <c r="I158" i="111" s="1"/>
  <c r="AB158" i="111"/>
  <c r="AA158" i="111"/>
  <c r="Z158" i="111"/>
  <c r="Y158" i="111"/>
  <c r="X158" i="111"/>
  <c r="H158" i="111" s="1"/>
  <c r="G158" i="111" s="1"/>
  <c r="BG157" i="111"/>
  <c r="O157" i="111" s="1"/>
  <c r="P157" i="111" s="1"/>
  <c r="Q157" i="111" s="1"/>
  <c r="BF157" i="111"/>
  <c r="BE157" i="111"/>
  <c r="BD157" i="111"/>
  <c r="BC157" i="111"/>
  <c r="BB157" i="111"/>
  <c r="N157" i="111" s="1"/>
  <c r="BA157" i="111"/>
  <c r="AZ157" i="111"/>
  <c r="AY157" i="111"/>
  <c r="AX157" i="111"/>
  <c r="AW157" i="111"/>
  <c r="M157" i="111" s="1"/>
  <c r="AV157" i="111"/>
  <c r="AU157" i="111"/>
  <c r="AT157" i="111"/>
  <c r="AS157" i="111"/>
  <c r="AR157" i="111"/>
  <c r="L157" i="111" s="1"/>
  <c r="AQ157" i="111"/>
  <c r="AP157" i="111"/>
  <c r="AO157" i="111"/>
  <c r="AN157" i="111"/>
  <c r="AM157" i="111"/>
  <c r="K157" i="111" s="1"/>
  <c r="AL157" i="111"/>
  <c r="AK157" i="111"/>
  <c r="AJ157" i="111"/>
  <c r="AI157" i="111"/>
  <c r="AH157" i="111"/>
  <c r="J157" i="111" s="1"/>
  <c r="AG157" i="111"/>
  <c r="AF157" i="111"/>
  <c r="AE157" i="111"/>
  <c r="AD157" i="111"/>
  <c r="AC157" i="111"/>
  <c r="I157" i="111" s="1"/>
  <c r="AB157" i="111"/>
  <c r="AA157" i="111"/>
  <c r="Z157" i="111"/>
  <c r="Y157" i="111"/>
  <c r="X157" i="111"/>
  <c r="H157" i="111" s="1"/>
  <c r="G157" i="111" s="1"/>
  <c r="BG156" i="111"/>
  <c r="O156" i="111" s="1"/>
  <c r="P156" i="111" s="1"/>
  <c r="Q156" i="111" s="1"/>
  <c r="BF156" i="111"/>
  <c r="BE156" i="111"/>
  <c r="BD156" i="111"/>
  <c r="BC156" i="111"/>
  <c r="BB156" i="111"/>
  <c r="N156" i="111" s="1"/>
  <c r="BA156" i="111"/>
  <c r="AZ156" i="111"/>
  <c r="AY156" i="111"/>
  <c r="AX156" i="111"/>
  <c r="AW156" i="111"/>
  <c r="M156" i="111" s="1"/>
  <c r="AV156" i="111"/>
  <c r="AU156" i="111"/>
  <c r="AT156" i="111"/>
  <c r="AS156" i="111"/>
  <c r="AR156" i="111"/>
  <c r="L156" i="111" s="1"/>
  <c r="AQ156" i="111"/>
  <c r="AP156" i="111"/>
  <c r="AO156" i="111"/>
  <c r="AN156" i="111"/>
  <c r="AM156" i="111"/>
  <c r="K156" i="111" s="1"/>
  <c r="AL156" i="111"/>
  <c r="AK156" i="111"/>
  <c r="AJ156" i="111"/>
  <c r="AI156" i="111"/>
  <c r="AH156" i="111"/>
  <c r="J156" i="111" s="1"/>
  <c r="AG156" i="111"/>
  <c r="AF156" i="111"/>
  <c r="AE156" i="111"/>
  <c r="AD156" i="111"/>
  <c r="AC156" i="111"/>
  <c r="I156" i="111" s="1"/>
  <c r="AB156" i="111"/>
  <c r="AA156" i="111"/>
  <c r="Z156" i="111"/>
  <c r="Y156" i="111"/>
  <c r="X156" i="111"/>
  <c r="H156" i="111" s="1"/>
  <c r="G156" i="111" s="1"/>
  <c r="BG155" i="111"/>
  <c r="O155" i="111" s="1"/>
  <c r="P155" i="111" s="1"/>
  <c r="Q155" i="111" s="1"/>
  <c r="BF155" i="111"/>
  <c r="BE155" i="111"/>
  <c r="BD155" i="111"/>
  <c r="BC155" i="111"/>
  <c r="BB155" i="111"/>
  <c r="N155" i="111" s="1"/>
  <c r="BA155" i="111"/>
  <c r="AZ155" i="111"/>
  <c r="AY155" i="111"/>
  <c r="AX155" i="111"/>
  <c r="AW155" i="111"/>
  <c r="M155" i="111" s="1"/>
  <c r="AV155" i="111"/>
  <c r="AU155" i="111"/>
  <c r="AT155" i="111"/>
  <c r="AS155" i="111"/>
  <c r="AR155" i="111"/>
  <c r="L155" i="111" s="1"/>
  <c r="AQ155" i="111"/>
  <c r="AP155" i="111"/>
  <c r="AO155" i="111"/>
  <c r="AN155" i="111"/>
  <c r="AM155" i="111"/>
  <c r="AL155" i="111"/>
  <c r="AK155" i="111"/>
  <c r="AJ155" i="111"/>
  <c r="AI155" i="111"/>
  <c r="AH155" i="111"/>
  <c r="J155" i="111" s="1"/>
  <c r="AG155" i="111"/>
  <c r="AF155" i="111"/>
  <c r="AE155" i="111"/>
  <c r="AD155" i="111"/>
  <c r="AC155" i="111"/>
  <c r="I155" i="111" s="1"/>
  <c r="AB155" i="111"/>
  <c r="AA155" i="111"/>
  <c r="Z155" i="111"/>
  <c r="Y155" i="111"/>
  <c r="X155" i="111"/>
  <c r="H155" i="111" s="1"/>
  <c r="G155" i="111" s="1"/>
  <c r="K155" i="111"/>
  <c r="BG154" i="111"/>
  <c r="O154" i="111" s="1"/>
  <c r="P154" i="111" s="1"/>
  <c r="Q154" i="111" s="1"/>
  <c r="BF154" i="111"/>
  <c r="BE154" i="111"/>
  <c r="BD154" i="111"/>
  <c r="BC154" i="111"/>
  <c r="BB154" i="111"/>
  <c r="N154" i="111" s="1"/>
  <c r="BA154" i="111"/>
  <c r="AZ154" i="111"/>
  <c r="AY154" i="111"/>
  <c r="AX154" i="111"/>
  <c r="AW154" i="111"/>
  <c r="M154" i="111" s="1"/>
  <c r="AV154" i="111"/>
  <c r="AU154" i="111"/>
  <c r="AT154" i="111"/>
  <c r="AS154" i="111"/>
  <c r="AR154" i="111"/>
  <c r="L154" i="111" s="1"/>
  <c r="AQ154" i="111"/>
  <c r="AP154" i="111"/>
  <c r="AO154" i="111"/>
  <c r="AN154" i="111"/>
  <c r="AM154" i="111"/>
  <c r="K154" i="111" s="1"/>
  <c r="AL154" i="111"/>
  <c r="AK154" i="111"/>
  <c r="AJ154" i="111"/>
  <c r="AI154" i="111"/>
  <c r="AH154" i="111"/>
  <c r="J154" i="111" s="1"/>
  <c r="AG154" i="111"/>
  <c r="AF154" i="111"/>
  <c r="AE154" i="111"/>
  <c r="AD154" i="111"/>
  <c r="AC154" i="111"/>
  <c r="I154" i="111" s="1"/>
  <c r="AB154" i="111"/>
  <c r="AA154" i="111"/>
  <c r="Z154" i="111"/>
  <c r="Y154" i="111"/>
  <c r="X154" i="111"/>
  <c r="H154" i="111" s="1"/>
  <c r="G154" i="111" s="1"/>
  <c r="BG153" i="111"/>
  <c r="O153" i="111" s="1"/>
  <c r="P153" i="111" s="1"/>
  <c r="Q153" i="111" s="1"/>
  <c r="BF153" i="111"/>
  <c r="BE153" i="111"/>
  <c r="BD153" i="111"/>
  <c r="BC153" i="111"/>
  <c r="BB153" i="111"/>
  <c r="N153" i="111" s="1"/>
  <c r="BA153" i="111"/>
  <c r="AZ153" i="111"/>
  <c r="AY153" i="111"/>
  <c r="AX153" i="111"/>
  <c r="AW153" i="111"/>
  <c r="M153" i="111" s="1"/>
  <c r="AV153" i="111"/>
  <c r="AU153" i="111"/>
  <c r="AT153" i="111"/>
  <c r="AS153" i="111"/>
  <c r="AR153" i="111"/>
  <c r="L153" i="111" s="1"/>
  <c r="AQ153" i="111"/>
  <c r="AP153" i="111"/>
  <c r="AO153" i="111"/>
  <c r="AN153" i="111"/>
  <c r="AM153" i="111"/>
  <c r="K153" i="111" s="1"/>
  <c r="AL153" i="111"/>
  <c r="AK153" i="111"/>
  <c r="AJ153" i="111"/>
  <c r="AI153" i="111"/>
  <c r="AH153" i="111"/>
  <c r="J153" i="111" s="1"/>
  <c r="AG153" i="111"/>
  <c r="AF153" i="111"/>
  <c r="AE153" i="111"/>
  <c r="AD153" i="111"/>
  <c r="AC153" i="111"/>
  <c r="I153" i="111" s="1"/>
  <c r="AB153" i="111"/>
  <c r="AA153" i="111"/>
  <c r="Z153" i="111"/>
  <c r="Y153" i="111"/>
  <c r="X153" i="111"/>
  <c r="H153" i="111" s="1"/>
  <c r="G153" i="111" s="1"/>
  <c r="BG152" i="111"/>
  <c r="O152" i="111" s="1"/>
  <c r="P152" i="111" s="1"/>
  <c r="Q152" i="111" s="1"/>
  <c r="BF152" i="111"/>
  <c r="BE152" i="111"/>
  <c r="BD152" i="111"/>
  <c r="BC152" i="111"/>
  <c r="BB152" i="111"/>
  <c r="N152" i="111" s="1"/>
  <c r="BA152" i="111"/>
  <c r="AZ152" i="111"/>
  <c r="AY152" i="111"/>
  <c r="AX152" i="111"/>
  <c r="AW152" i="111"/>
  <c r="M152" i="111" s="1"/>
  <c r="AV152" i="111"/>
  <c r="AU152" i="111"/>
  <c r="AT152" i="111"/>
  <c r="AS152" i="111"/>
  <c r="AR152" i="111"/>
  <c r="L152" i="111" s="1"/>
  <c r="AQ152" i="111"/>
  <c r="AP152" i="111"/>
  <c r="AO152" i="111"/>
  <c r="AN152" i="111"/>
  <c r="AM152" i="111"/>
  <c r="K152" i="111" s="1"/>
  <c r="AL152" i="111"/>
  <c r="AK152" i="111"/>
  <c r="AJ152" i="111"/>
  <c r="AI152" i="111"/>
  <c r="AH152" i="111"/>
  <c r="J152" i="111" s="1"/>
  <c r="AG152" i="111"/>
  <c r="AF152" i="111"/>
  <c r="AE152" i="111"/>
  <c r="AD152" i="111"/>
  <c r="AC152" i="111"/>
  <c r="I152" i="111" s="1"/>
  <c r="AB152" i="111"/>
  <c r="AA152" i="111"/>
  <c r="Z152" i="111"/>
  <c r="Y152" i="111"/>
  <c r="X152" i="111"/>
  <c r="H152" i="111" s="1"/>
  <c r="G152" i="111" s="1"/>
  <c r="BG151" i="111"/>
  <c r="O151" i="111" s="1"/>
  <c r="P151" i="111" s="1"/>
  <c r="Q151" i="111" s="1"/>
  <c r="BF151" i="111"/>
  <c r="BE151" i="111"/>
  <c r="BD151" i="111"/>
  <c r="BC151" i="111"/>
  <c r="BB151" i="111"/>
  <c r="N151" i="111" s="1"/>
  <c r="BA151" i="111"/>
  <c r="AZ151" i="111"/>
  <c r="AY151" i="111"/>
  <c r="AX151" i="111"/>
  <c r="AW151" i="111"/>
  <c r="M151" i="111" s="1"/>
  <c r="AV151" i="111"/>
  <c r="AU151" i="111"/>
  <c r="AT151" i="111"/>
  <c r="AS151" i="111"/>
  <c r="AR151" i="111"/>
  <c r="L151" i="111" s="1"/>
  <c r="AQ151" i="111"/>
  <c r="AP151" i="111"/>
  <c r="AO151" i="111"/>
  <c r="AN151" i="111"/>
  <c r="AM151" i="111"/>
  <c r="K151" i="111" s="1"/>
  <c r="AL151" i="111"/>
  <c r="AK151" i="111"/>
  <c r="AJ151" i="111"/>
  <c r="AI151" i="111"/>
  <c r="AH151" i="111"/>
  <c r="J151" i="111" s="1"/>
  <c r="AG151" i="111"/>
  <c r="AF151" i="111"/>
  <c r="AE151" i="111"/>
  <c r="AD151" i="111"/>
  <c r="AC151" i="111"/>
  <c r="I151" i="111" s="1"/>
  <c r="AB151" i="111"/>
  <c r="AA151" i="111"/>
  <c r="Z151" i="111"/>
  <c r="Y151" i="111"/>
  <c r="X151" i="111"/>
  <c r="H151" i="111" s="1"/>
  <c r="G151" i="111" s="1"/>
  <c r="BG150" i="111"/>
  <c r="O150" i="111" s="1"/>
  <c r="P150" i="111" s="1"/>
  <c r="Q150" i="111" s="1"/>
  <c r="BF150" i="111"/>
  <c r="BE150" i="111"/>
  <c r="BD150" i="111"/>
  <c r="BC150" i="111"/>
  <c r="BB150" i="111"/>
  <c r="N150" i="111" s="1"/>
  <c r="BA150" i="111"/>
  <c r="AZ150" i="111"/>
  <c r="AY150" i="111"/>
  <c r="AX150" i="111"/>
  <c r="AW150" i="111"/>
  <c r="M150" i="111" s="1"/>
  <c r="AV150" i="111"/>
  <c r="AU150" i="111"/>
  <c r="AT150" i="111"/>
  <c r="AS150" i="111"/>
  <c r="AR150" i="111"/>
  <c r="L150" i="111" s="1"/>
  <c r="AQ150" i="111"/>
  <c r="AP150" i="111"/>
  <c r="AO150" i="111"/>
  <c r="AN150" i="111"/>
  <c r="AM150" i="111"/>
  <c r="K150" i="111" s="1"/>
  <c r="AL150" i="111"/>
  <c r="AK150" i="111"/>
  <c r="AJ150" i="111"/>
  <c r="AI150" i="111"/>
  <c r="AH150" i="111"/>
  <c r="J150" i="111" s="1"/>
  <c r="AG150" i="111"/>
  <c r="AF150" i="111"/>
  <c r="AE150" i="111"/>
  <c r="AD150" i="111"/>
  <c r="AC150" i="111"/>
  <c r="I150" i="111" s="1"/>
  <c r="AB150" i="111"/>
  <c r="AA150" i="111"/>
  <c r="Z150" i="111"/>
  <c r="Y150" i="111"/>
  <c r="X150" i="111"/>
  <c r="H150" i="111" s="1"/>
  <c r="G150" i="111" s="1"/>
  <c r="BG147" i="111"/>
  <c r="O147" i="111" s="1"/>
  <c r="P147" i="111" s="1"/>
  <c r="Q147" i="111" s="1"/>
  <c r="BF147" i="111"/>
  <c r="BE147" i="111"/>
  <c r="BD147" i="111"/>
  <c r="BC147" i="111"/>
  <c r="BB147" i="111"/>
  <c r="N147" i="111" s="1"/>
  <c r="BA147" i="111"/>
  <c r="AZ147" i="111"/>
  <c r="AY147" i="111"/>
  <c r="AX147" i="111"/>
  <c r="AW147" i="111"/>
  <c r="M147" i="111" s="1"/>
  <c r="AV147" i="111"/>
  <c r="AU147" i="111"/>
  <c r="AT147" i="111"/>
  <c r="AS147" i="111"/>
  <c r="AR147" i="111"/>
  <c r="L147" i="111" s="1"/>
  <c r="AQ147" i="111"/>
  <c r="AP147" i="111"/>
  <c r="AO147" i="111"/>
  <c r="AN147" i="111"/>
  <c r="AM147" i="111"/>
  <c r="K147" i="111" s="1"/>
  <c r="AL147" i="111"/>
  <c r="AK147" i="111"/>
  <c r="AJ147" i="111"/>
  <c r="AI147" i="111"/>
  <c r="AH147" i="111"/>
  <c r="J147" i="111" s="1"/>
  <c r="AG147" i="111"/>
  <c r="AF147" i="111"/>
  <c r="AE147" i="111"/>
  <c r="AD147" i="111"/>
  <c r="AC147" i="111"/>
  <c r="I147" i="111" s="1"/>
  <c r="AB147" i="111"/>
  <c r="AA147" i="111"/>
  <c r="Z147" i="111"/>
  <c r="Y147" i="111"/>
  <c r="X147" i="111"/>
  <c r="H147" i="111" s="1"/>
  <c r="G147" i="111" s="1"/>
  <c r="BG146" i="111"/>
  <c r="O146" i="111" s="1"/>
  <c r="P146" i="111" s="1"/>
  <c r="Q146" i="111" s="1"/>
  <c r="BF146" i="111"/>
  <c r="BE146" i="111"/>
  <c r="BD146" i="111"/>
  <c r="BC146" i="111"/>
  <c r="BB146" i="111"/>
  <c r="N146" i="111" s="1"/>
  <c r="BA146" i="111"/>
  <c r="AZ146" i="111"/>
  <c r="AY146" i="111"/>
  <c r="AX146" i="111"/>
  <c r="AW146" i="111"/>
  <c r="M146" i="111" s="1"/>
  <c r="AV146" i="111"/>
  <c r="AU146" i="111"/>
  <c r="AT146" i="111"/>
  <c r="AS146" i="111"/>
  <c r="AR146" i="111"/>
  <c r="L146" i="111" s="1"/>
  <c r="AQ146" i="111"/>
  <c r="AP146" i="111"/>
  <c r="AO146" i="111"/>
  <c r="AN146" i="111"/>
  <c r="AM146" i="111"/>
  <c r="K146" i="111" s="1"/>
  <c r="AL146" i="111"/>
  <c r="AK146" i="111"/>
  <c r="AJ146" i="111"/>
  <c r="AI146" i="111"/>
  <c r="AH146" i="111"/>
  <c r="J146" i="111" s="1"/>
  <c r="AG146" i="111"/>
  <c r="AF146" i="111"/>
  <c r="AE146" i="111"/>
  <c r="AD146" i="111"/>
  <c r="AC146" i="111"/>
  <c r="I146" i="111" s="1"/>
  <c r="AB146" i="111"/>
  <c r="AA146" i="111"/>
  <c r="Z146" i="111"/>
  <c r="Y146" i="111"/>
  <c r="X146" i="111"/>
  <c r="H146" i="111" s="1"/>
  <c r="G146" i="111" s="1"/>
  <c r="BG145" i="111"/>
  <c r="O145" i="111" s="1"/>
  <c r="P145" i="111" s="1"/>
  <c r="Q145" i="111" s="1"/>
  <c r="BF145" i="111"/>
  <c r="BE145" i="111"/>
  <c r="BD145" i="111"/>
  <c r="BC145" i="111"/>
  <c r="BB145" i="111"/>
  <c r="N145" i="111" s="1"/>
  <c r="BA145" i="111"/>
  <c r="AZ145" i="111"/>
  <c r="AY145" i="111"/>
  <c r="AX145" i="111"/>
  <c r="AW145" i="111"/>
  <c r="M145" i="111" s="1"/>
  <c r="AV145" i="111"/>
  <c r="AU145" i="111"/>
  <c r="AT145" i="111"/>
  <c r="AS145" i="111"/>
  <c r="AR145" i="111"/>
  <c r="L145" i="111" s="1"/>
  <c r="AQ145" i="111"/>
  <c r="AP145" i="111"/>
  <c r="AO145" i="111"/>
  <c r="AN145" i="111"/>
  <c r="AM145" i="111"/>
  <c r="K145" i="111" s="1"/>
  <c r="AL145" i="111"/>
  <c r="AK145" i="111"/>
  <c r="AJ145" i="111"/>
  <c r="AI145" i="111"/>
  <c r="AH145" i="111"/>
  <c r="J145" i="111" s="1"/>
  <c r="AG145" i="111"/>
  <c r="AF145" i="111"/>
  <c r="AE145" i="111"/>
  <c r="AD145" i="111"/>
  <c r="AC145" i="111"/>
  <c r="I145" i="111" s="1"/>
  <c r="AB145" i="111"/>
  <c r="AA145" i="111"/>
  <c r="Z145" i="111"/>
  <c r="Y145" i="111"/>
  <c r="X145" i="111"/>
  <c r="H145" i="111" s="1"/>
  <c r="G145" i="111" s="1"/>
  <c r="BG144" i="111"/>
  <c r="O144" i="111" s="1"/>
  <c r="P144" i="111" s="1"/>
  <c r="Q144" i="111" s="1"/>
  <c r="BF144" i="111"/>
  <c r="BE144" i="111"/>
  <c r="BD144" i="111"/>
  <c r="BC144" i="111"/>
  <c r="BB144" i="111"/>
  <c r="N144" i="111" s="1"/>
  <c r="BA144" i="111"/>
  <c r="AZ144" i="111"/>
  <c r="AY144" i="111"/>
  <c r="AX144" i="111"/>
  <c r="AW144" i="111"/>
  <c r="M144" i="111" s="1"/>
  <c r="AV144" i="111"/>
  <c r="AU144" i="111"/>
  <c r="AT144" i="111"/>
  <c r="AS144" i="111"/>
  <c r="AR144" i="111"/>
  <c r="L144" i="111" s="1"/>
  <c r="AQ144" i="111"/>
  <c r="AP144" i="111"/>
  <c r="AO144" i="111"/>
  <c r="AN144" i="111"/>
  <c r="AM144" i="111"/>
  <c r="K144" i="111" s="1"/>
  <c r="AL144" i="111"/>
  <c r="AK144" i="111"/>
  <c r="AJ144" i="111"/>
  <c r="AI144" i="111"/>
  <c r="AH144" i="111"/>
  <c r="J144" i="111" s="1"/>
  <c r="AG144" i="111"/>
  <c r="AF144" i="111"/>
  <c r="AE144" i="111"/>
  <c r="AD144" i="111"/>
  <c r="AC144" i="111"/>
  <c r="I144" i="111" s="1"/>
  <c r="AB144" i="111"/>
  <c r="AA144" i="111"/>
  <c r="Z144" i="111"/>
  <c r="Y144" i="111"/>
  <c r="X144" i="111"/>
  <c r="H144" i="111" s="1"/>
  <c r="G144" i="111" s="1"/>
  <c r="BG143" i="111"/>
  <c r="O143" i="111" s="1"/>
  <c r="P143" i="111" s="1"/>
  <c r="Q143" i="111" s="1"/>
  <c r="BF143" i="111"/>
  <c r="BE143" i="111"/>
  <c r="BD143" i="111"/>
  <c r="BC143" i="111"/>
  <c r="BB143" i="111"/>
  <c r="N143" i="111" s="1"/>
  <c r="BA143" i="111"/>
  <c r="AZ143" i="111"/>
  <c r="AY143" i="111"/>
  <c r="AX143" i="111"/>
  <c r="AW143" i="111"/>
  <c r="M143" i="111" s="1"/>
  <c r="AV143" i="111"/>
  <c r="AU143" i="111"/>
  <c r="AT143" i="111"/>
  <c r="AS143" i="111"/>
  <c r="AR143" i="111"/>
  <c r="L143" i="111" s="1"/>
  <c r="AQ143" i="111"/>
  <c r="AP143" i="111"/>
  <c r="AO143" i="111"/>
  <c r="AN143" i="111"/>
  <c r="AM143" i="111"/>
  <c r="K143" i="111" s="1"/>
  <c r="AL143" i="111"/>
  <c r="AK143" i="111"/>
  <c r="AJ143" i="111"/>
  <c r="AI143" i="111"/>
  <c r="AH143" i="111"/>
  <c r="J143" i="111" s="1"/>
  <c r="AG143" i="111"/>
  <c r="AF143" i="111"/>
  <c r="AE143" i="111"/>
  <c r="AD143" i="111"/>
  <c r="AC143" i="111"/>
  <c r="I143" i="111" s="1"/>
  <c r="AB143" i="111"/>
  <c r="AA143" i="111"/>
  <c r="Z143" i="111"/>
  <c r="Y143" i="111"/>
  <c r="X143" i="111"/>
  <c r="H143" i="111" s="1"/>
  <c r="G143" i="111" s="1"/>
  <c r="BG142" i="111"/>
  <c r="O142" i="111" s="1"/>
  <c r="P142" i="111" s="1"/>
  <c r="Q142" i="111" s="1"/>
  <c r="BF142" i="111"/>
  <c r="BE142" i="111"/>
  <c r="BD142" i="111"/>
  <c r="BC142" i="111"/>
  <c r="BB142" i="111"/>
  <c r="N142" i="111" s="1"/>
  <c r="BA142" i="111"/>
  <c r="AZ142" i="111"/>
  <c r="AY142" i="111"/>
  <c r="AX142" i="111"/>
  <c r="AW142" i="111"/>
  <c r="M142" i="111" s="1"/>
  <c r="AV142" i="111"/>
  <c r="AU142" i="111"/>
  <c r="AT142" i="111"/>
  <c r="AS142" i="111"/>
  <c r="AR142" i="111"/>
  <c r="L142" i="111" s="1"/>
  <c r="AQ142" i="111"/>
  <c r="AP142" i="111"/>
  <c r="AO142" i="111"/>
  <c r="AN142" i="111"/>
  <c r="AM142" i="111"/>
  <c r="K142" i="111" s="1"/>
  <c r="AL142" i="111"/>
  <c r="AK142" i="111"/>
  <c r="AJ142" i="111"/>
  <c r="AI142" i="111"/>
  <c r="AH142" i="111"/>
  <c r="J142" i="111" s="1"/>
  <c r="AG142" i="111"/>
  <c r="AF142" i="111"/>
  <c r="AE142" i="111"/>
  <c r="AD142" i="111"/>
  <c r="AC142" i="111"/>
  <c r="I142" i="111" s="1"/>
  <c r="AB142" i="111"/>
  <c r="AA142" i="111"/>
  <c r="Z142" i="111"/>
  <c r="Y142" i="111"/>
  <c r="X142" i="111"/>
  <c r="H142" i="111" s="1"/>
  <c r="G142" i="111" s="1"/>
  <c r="BG141" i="111"/>
  <c r="O141" i="111" s="1"/>
  <c r="P141" i="111" s="1"/>
  <c r="Q141" i="111" s="1"/>
  <c r="BF141" i="111"/>
  <c r="BE141" i="111"/>
  <c r="BD141" i="111"/>
  <c r="BC141" i="111"/>
  <c r="BB141" i="111"/>
  <c r="N141" i="111" s="1"/>
  <c r="BA141" i="111"/>
  <c r="AZ141" i="111"/>
  <c r="AY141" i="111"/>
  <c r="AX141" i="111"/>
  <c r="AW141" i="111"/>
  <c r="M141" i="111" s="1"/>
  <c r="AV141" i="111"/>
  <c r="AU141" i="111"/>
  <c r="AT141" i="111"/>
  <c r="AS141" i="111"/>
  <c r="AR141" i="111"/>
  <c r="L141" i="111" s="1"/>
  <c r="AQ141" i="111"/>
  <c r="AP141" i="111"/>
  <c r="AO141" i="111"/>
  <c r="AN141" i="111"/>
  <c r="AM141" i="111"/>
  <c r="K141" i="111" s="1"/>
  <c r="AL141" i="111"/>
  <c r="AK141" i="111"/>
  <c r="AJ141" i="111"/>
  <c r="AI141" i="111"/>
  <c r="AH141" i="111"/>
  <c r="J141" i="111" s="1"/>
  <c r="AG141" i="111"/>
  <c r="AF141" i="111"/>
  <c r="AE141" i="111"/>
  <c r="AD141" i="111"/>
  <c r="AC141" i="111"/>
  <c r="I141" i="111" s="1"/>
  <c r="AB141" i="111"/>
  <c r="AA141" i="111"/>
  <c r="Z141" i="111"/>
  <c r="Y141" i="111"/>
  <c r="X141" i="111"/>
  <c r="H141" i="111" s="1"/>
  <c r="G141" i="111" s="1"/>
  <c r="BG140" i="111"/>
  <c r="O140" i="111" s="1"/>
  <c r="P140" i="111" s="1"/>
  <c r="Q140" i="111" s="1"/>
  <c r="BF140" i="111"/>
  <c r="BE140" i="111"/>
  <c r="BD140" i="111"/>
  <c r="BC140" i="111"/>
  <c r="BB140" i="111"/>
  <c r="N140" i="111" s="1"/>
  <c r="BA140" i="111"/>
  <c r="AZ140" i="111"/>
  <c r="AY140" i="111"/>
  <c r="AX140" i="111"/>
  <c r="AW140" i="111"/>
  <c r="M140" i="111" s="1"/>
  <c r="AV140" i="111"/>
  <c r="AU140" i="111"/>
  <c r="AT140" i="111"/>
  <c r="AS140" i="111"/>
  <c r="AR140" i="111"/>
  <c r="L140" i="111" s="1"/>
  <c r="AQ140" i="111"/>
  <c r="AP140" i="111"/>
  <c r="AO140" i="111"/>
  <c r="AN140" i="111"/>
  <c r="AM140" i="111"/>
  <c r="K140" i="111" s="1"/>
  <c r="AL140" i="111"/>
  <c r="AK140" i="111"/>
  <c r="AJ140" i="111"/>
  <c r="AI140" i="111"/>
  <c r="AH140" i="111"/>
  <c r="J140" i="111" s="1"/>
  <c r="AG140" i="111"/>
  <c r="AF140" i="111"/>
  <c r="AE140" i="111"/>
  <c r="AD140" i="111"/>
  <c r="AC140" i="111"/>
  <c r="I140" i="111" s="1"/>
  <c r="AB140" i="111"/>
  <c r="AA140" i="111"/>
  <c r="Z140" i="111"/>
  <c r="Y140" i="111"/>
  <c r="X140" i="111"/>
  <c r="H140" i="111" s="1"/>
  <c r="G140" i="111" s="1"/>
  <c r="BG139" i="111"/>
  <c r="O139" i="111" s="1"/>
  <c r="P139" i="111" s="1"/>
  <c r="Q139" i="111" s="1"/>
  <c r="BF139" i="111"/>
  <c r="BE139" i="111"/>
  <c r="BD139" i="111"/>
  <c r="BC139" i="111"/>
  <c r="BB139" i="111"/>
  <c r="N139" i="111" s="1"/>
  <c r="BA139" i="111"/>
  <c r="AZ139" i="111"/>
  <c r="AY139" i="111"/>
  <c r="AX139" i="111"/>
  <c r="AW139" i="111"/>
  <c r="M139" i="111" s="1"/>
  <c r="AV139" i="111"/>
  <c r="AU139" i="111"/>
  <c r="AT139" i="111"/>
  <c r="AS139" i="111"/>
  <c r="AR139" i="111"/>
  <c r="L139" i="111" s="1"/>
  <c r="AQ139" i="111"/>
  <c r="AP139" i="111"/>
  <c r="AO139" i="111"/>
  <c r="AN139" i="111"/>
  <c r="AM139" i="111"/>
  <c r="K139" i="111" s="1"/>
  <c r="AL139" i="111"/>
  <c r="AK139" i="111"/>
  <c r="AJ139" i="111"/>
  <c r="AI139" i="111"/>
  <c r="AH139" i="111"/>
  <c r="J139" i="111" s="1"/>
  <c r="AG139" i="111"/>
  <c r="AF139" i="111"/>
  <c r="AE139" i="111"/>
  <c r="AD139" i="111"/>
  <c r="AC139" i="111"/>
  <c r="I139" i="111" s="1"/>
  <c r="AB139" i="111"/>
  <c r="AA139" i="111"/>
  <c r="Z139" i="111"/>
  <c r="Y139" i="111"/>
  <c r="X139" i="111"/>
  <c r="H139" i="111" s="1"/>
  <c r="G139" i="111" s="1"/>
  <c r="BG138" i="111"/>
  <c r="O138" i="111" s="1"/>
  <c r="P138" i="111" s="1"/>
  <c r="Q138" i="111" s="1"/>
  <c r="BF138" i="111"/>
  <c r="BE138" i="111"/>
  <c r="BD138" i="111"/>
  <c r="BC138" i="111"/>
  <c r="BB138" i="111"/>
  <c r="N138" i="111" s="1"/>
  <c r="BA138" i="111"/>
  <c r="AZ138" i="111"/>
  <c r="AY138" i="111"/>
  <c r="AX138" i="111"/>
  <c r="AW138" i="111"/>
  <c r="M138" i="111" s="1"/>
  <c r="AV138" i="111"/>
  <c r="AU138" i="111"/>
  <c r="AT138" i="111"/>
  <c r="AS138" i="111"/>
  <c r="AR138" i="111"/>
  <c r="L138" i="111" s="1"/>
  <c r="AQ138" i="111"/>
  <c r="AP138" i="111"/>
  <c r="AO138" i="111"/>
  <c r="AN138" i="111"/>
  <c r="AM138" i="111"/>
  <c r="K138" i="111" s="1"/>
  <c r="AL138" i="111"/>
  <c r="AK138" i="111"/>
  <c r="AJ138" i="111"/>
  <c r="AI138" i="111"/>
  <c r="AH138" i="111"/>
  <c r="J138" i="111" s="1"/>
  <c r="AG138" i="111"/>
  <c r="AF138" i="111"/>
  <c r="AE138" i="111"/>
  <c r="AD138" i="111"/>
  <c r="AC138" i="111"/>
  <c r="I138" i="111" s="1"/>
  <c r="AB138" i="111"/>
  <c r="AA138" i="111"/>
  <c r="Z138" i="111"/>
  <c r="Y138" i="111"/>
  <c r="X138" i="111"/>
  <c r="H138" i="111" s="1"/>
  <c r="G138" i="111" s="1"/>
  <c r="BG137" i="111"/>
  <c r="O137" i="111" s="1"/>
  <c r="P137" i="111" s="1"/>
  <c r="Q137" i="111" s="1"/>
  <c r="BF137" i="111"/>
  <c r="BE137" i="111"/>
  <c r="BD137" i="111"/>
  <c r="BC137" i="111"/>
  <c r="BB137" i="111"/>
  <c r="N137" i="111" s="1"/>
  <c r="BA137" i="111"/>
  <c r="AZ137" i="111"/>
  <c r="AY137" i="111"/>
  <c r="AX137" i="111"/>
  <c r="AW137" i="111"/>
  <c r="M137" i="111" s="1"/>
  <c r="AV137" i="111"/>
  <c r="AU137" i="111"/>
  <c r="AT137" i="111"/>
  <c r="AS137" i="111"/>
  <c r="AR137" i="111"/>
  <c r="L137" i="111" s="1"/>
  <c r="AQ137" i="111"/>
  <c r="AP137" i="111"/>
  <c r="AO137" i="111"/>
  <c r="AN137" i="111"/>
  <c r="AM137" i="111"/>
  <c r="K137" i="111" s="1"/>
  <c r="AL137" i="111"/>
  <c r="AK137" i="111"/>
  <c r="AJ137" i="111"/>
  <c r="AI137" i="111"/>
  <c r="AH137" i="111"/>
  <c r="J137" i="111" s="1"/>
  <c r="AG137" i="111"/>
  <c r="AF137" i="111"/>
  <c r="AE137" i="111"/>
  <c r="AD137" i="111"/>
  <c r="AC137" i="111"/>
  <c r="I137" i="111" s="1"/>
  <c r="AB137" i="111"/>
  <c r="AA137" i="111"/>
  <c r="Z137" i="111"/>
  <c r="Y137" i="111"/>
  <c r="X137" i="111"/>
  <c r="H137" i="111" s="1"/>
  <c r="G137" i="111" s="1"/>
  <c r="BG136" i="111"/>
  <c r="O136" i="111" s="1"/>
  <c r="P136" i="111" s="1"/>
  <c r="Q136" i="111" s="1"/>
  <c r="BF136" i="111"/>
  <c r="BE136" i="111"/>
  <c r="BD136" i="111"/>
  <c r="BC136" i="111"/>
  <c r="BB136" i="111"/>
  <c r="N136" i="111" s="1"/>
  <c r="BA136" i="111"/>
  <c r="AZ136" i="111"/>
  <c r="AY136" i="111"/>
  <c r="AX136" i="111"/>
  <c r="AW136" i="111"/>
  <c r="M136" i="111" s="1"/>
  <c r="AV136" i="111"/>
  <c r="AU136" i="111"/>
  <c r="AT136" i="111"/>
  <c r="AS136" i="111"/>
  <c r="AR136" i="111"/>
  <c r="L136" i="111" s="1"/>
  <c r="AQ136" i="111"/>
  <c r="AP136" i="111"/>
  <c r="AO136" i="111"/>
  <c r="AN136" i="111"/>
  <c r="AM136" i="111"/>
  <c r="K136" i="111" s="1"/>
  <c r="AL136" i="111"/>
  <c r="AK136" i="111"/>
  <c r="AJ136" i="111"/>
  <c r="AI136" i="111"/>
  <c r="AH136" i="111"/>
  <c r="J136" i="111" s="1"/>
  <c r="AG136" i="111"/>
  <c r="AF136" i="111"/>
  <c r="AE136" i="111"/>
  <c r="AD136" i="111"/>
  <c r="AC136" i="111"/>
  <c r="I136" i="111" s="1"/>
  <c r="AB136" i="111"/>
  <c r="AA136" i="111"/>
  <c r="Z136" i="111"/>
  <c r="Y136" i="111"/>
  <c r="X136" i="111"/>
  <c r="H136" i="111" s="1"/>
  <c r="G136" i="111" s="1"/>
  <c r="BG135" i="111"/>
  <c r="O135" i="111" s="1"/>
  <c r="P135" i="111" s="1"/>
  <c r="Q135" i="111" s="1"/>
  <c r="BF135" i="111"/>
  <c r="BE135" i="111"/>
  <c r="BD135" i="111"/>
  <c r="BC135" i="111"/>
  <c r="BB135" i="111"/>
  <c r="N135" i="111" s="1"/>
  <c r="BA135" i="111"/>
  <c r="AZ135" i="111"/>
  <c r="AY135" i="111"/>
  <c r="AX135" i="111"/>
  <c r="AW135" i="111"/>
  <c r="M135" i="111" s="1"/>
  <c r="AV135" i="111"/>
  <c r="AU135" i="111"/>
  <c r="AT135" i="111"/>
  <c r="AS135" i="111"/>
  <c r="AR135" i="111"/>
  <c r="L135" i="111" s="1"/>
  <c r="AQ135" i="111"/>
  <c r="AP135" i="111"/>
  <c r="AO135" i="111"/>
  <c r="AN135" i="111"/>
  <c r="AM135" i="111"/>
  <c r="K135" i="111" s="1"/>
  <c r="AL135" i="111"/>
  <c r="AK135" i="111"/>
  <c r="AJ135" i="111"/>
  <c r="AI135" i="111"/>
  <c r="AH135" i="111"/>
  <c r="J135" i="111" s="1"/>
  <c r="AG135" i="111"/>
  <c r="AF135" i="111"/>
  <c r="AE135" i="111"/>
  <c r="AD135" i="111"/>
  <c r="AC135" i="111"/>
  <c r="I135" i="111" s="1"/>
  <c r="AB135" i="111"/>
  <c r="AA135" i="111"/>
  <c r="Z135" i="111"/>
  <c r="Y135" i="111"/>
  <c r="X135" i="111"/>
  <c r="H135" i="111" s="1"/>
  <c r="G135" i="111" s="1"/>
  <c r="BG134" i="111"/>
  <c r="O134" i="111" s="1"/>
  <c r="P134" i="111" s="1"/>
  <c r="Q134" i="111" s="1"/>
  <c r="BF134" i="111"/>
  <c r="BE134" i="111"/>
  <c r="BD134" i="111"/>
  <c r="BC134" i="111"/>
  <c r="BB134" i="111"/>
  <c r="N134" i="111" s="1"/>
  <c r="BA134" i="111"/>
  <c r="AZ134" i="111"/>
  <c r="AY134" i="111"/>
  <c r="AX134" i="111"/>
  <c r="AW134" i="111"/>
  <c r="M134" i="111" s="1"/>
  <c r="AV134" i="111"/>
  <c r="AU134" i="111"/>
  <c r="AT134" i="111"/>
  <c r="AS134" i="111"/>
  <c r="AR134" i="111"/>
  <c r="L134" i="111" s="1"/>
  <c r="AQ134" i="111"/>
  <c r="AP134" i="111"/>
  <c r="AO134" i="111"/>
  <c r="AN134" i="111"/>
  <c r="AM134" i="111"/>
  <c r="K134" i="111" s="1"/>
  <c r="AL134" i="111"/>
  <c r="AK134" i="111"/>
  <c r="AJ134" i="111"/>
  <c r="AI134" i="111"/>
  <c r="AH134" i="111"/>
  <c r="J134" i="111" s="1"/>
  <c r="AG134" i="111"/>
  <c r="AF134" i="111"/>
  <c r="AE134" i="111"/>
  <c r="AD134" i="111"/>
  <c r="AC134" i="111"/>
  <c r="I134" i="111" s="1"/>
  <c r="AB134" i="111"/>
  <c r="AA134" i="111"/>
  <c r="Z134" i="111"/>
  <c r="Y134" i="111"/>
  <c r="X134" i="111"/>
  <c r="H134" i="111" s="1"/>
  <c r="G134" i="111" s="1"/>
  <c r="BG133" i="111"/>
  <c r="O133" i="111" s="1"/>
  <c r="P133" i="111" s="1"/>
  <c r="Q133" i="111" s="1"/>
  <c r="BF133" i="111"/>
  <c r="BE133" i="111"/>
  <c r="BD133" i="111"/>
  <c r="BC133" i="111"/>
  <c r="BB133" i="111"/>
  <c r="N133" i="111" s="1"/>
  <c r="BA133" i="111"/>
  <c r="AZ133" i="111"/>
  <c r="AY133" i="111"/>
  <c r="AX133" i="111"/>
  <c r="AW133" i="111"/>
  <c r="M133" i="111" s="1"/>
  <c r="AV133" i="111"/>
  <c r="AU133" i="111"/>
  <c r="AT133" i="111"/>
  <c r="AS133" i="111"/>
  <c r="AR133" i="111"/>
  <c r="L133" i="111" s="1"/>
  <c r="AQ133" i="111"/>
  <c r="AP133" i="111"/>
  <c r="AO133" i="111"/>
  <c r="AN133" i="111"/>
  <c r="AM133" i="111"/>
  <c r="K133" i="111" s="1"/>
  <c r="AL133" i="111"/>
  <c r="AK133" i="111"/>
  <c r="AJ133" i="111"/>
  <c r="AI133" i="111"/>
  <c r="AH133" i="111"/>
  <c r="J133" i="111" s="1"/>
  <c r="AG133" i="111"/>
  <c r="AF133" i="111"/>
  <c r="AE133" i="111"/>
  <c r="AD133" i="111"/>
  <c r="AC133" i="111"/>
  <c r="I133" i="111" s="1"/>
  <c r="AB133" i="111"/>
  <c r="AA133" i="111"/>
  <c r="Z133" i="111"/>
  <c r="Y133" i="111"/>
  <c r="X133" i="111"/>
  <c r="H133" i="111" s="1"/>
  <c r="G133" i="111" s="1"/>
  <c r="BG132" i="111"/>
  <c r="O132" i="111" s="1"/>
  <c r="P132" i="111" s="1"/>
  <c r="Q132" i="111" s="1"/>
  <c r="BF132" i="111"/>
  <c r="BE132" i="111"/>
  <c r="BD132" i="111"/>
  <c r="BC132" i="111"/>
  <c r="BB132" i="111"/>
  <c r="N132" i="111" s="1"/>
  <c r="BA132" i="111"/>
  <c r="AZ132" i="111"/>
  <c r="AY132" i="111"/>
  <c r="AX132" i="111"/>
  <c r="AW132" i="111"/>
  <c r="M132" i="111" s="1"/>
  <c r="AV132" i="111"/>
  <c r="AU132" i="111"/>
  <c r="AT132" i="111"/>
  <c r="AS132" i="111"/>
  <c r="AR132" i="111"/>
  <c r="L132" i="111" s="1"/>
  <c r="AQ132" i="111"/>
  <c r="AP132" i="111"/>
  <c r="AO132" i="111"/>
  <c r="AN132" i="111"/>
  <c r="AM132" i="111"/>
  <c r="K132" i="111" s="1"/>
  <c r="AL132" i="111"/>
  <c r="AK132" i="111"/>
  <c r="AJ132" i="111"/>
  <c r="AI132" i="111"/>
  <c r="AH132" i="111"/>
  <c r="J132" i="111" s="1"/>
  <c r="AG132" i="111"/>
  <c r="AF132" i="111"/>
  <c r="AE132" i="111"/>
  <c r="AD132" i="111"/>
  <c r="AC132" i="111"/>
  <c r="I132" i="111" s="1"/>
  <c r="AB132" i="111"/>
  <c r="AA132" i="111"/>
  <c r="Z132" i="111"/>
  <c r="Y132" i="111"/>
  <c r="X132" i="111"/>
  <c r="H132" i="111" s="1"/>
  <c r="G132" i="111" s="1"/>
  <c r="BG131" i="111"/>
  <c r="O131" i="111" s="1"/>
  <c r="P131" i="111" s="1"/>
  <c r="Q131" i="111" s="1"/>
  <c r="BF131" i="111"/>
  <c r="BE131" i="111"/>
  <c r="BD131" i="111"/>
  <c r="BC131" i="111"/>
  <c r="BB131" i="111"/>
  <c r="N131" i="111" s="1"/>
  <c r="BA131" i="111"/>
  <c r="AZ131" i="111"/>
  <c r="AY131" i="111"/>
  <c r="AX131" i="111"/>
  <c r="AW131" i="111"/>
  <c r="M131" i="111" s="1"/>
  <c r="AV131" i="111"/>
  <c r="AU131" i="111"/>
  <c r="AT131" i="111"/>
  <c r="AS131" i="111"/>
  <c r="AR131" i="111"/>
  <c r="L131" i="111" s="1"/>
  <c r="AQ131" i="111"/>
  <c r="AP131" i="111"/>
  <c r="AO131" i="111"/>
  <c r="AN131" i="111"/>
  <c r="AM131" i="111"/>
  <c r="K131" i="111" s="1"/>
  <c r="AL131" i="111"/>
  <c r="AK131" i="111"/>
  <c r="AJ131" i="111"/>
  <c r="AI131" i="111"/>
  <c r="AH131" i="111"/>
  <c r="J131" i="111" s="1"/>
  <c r="AG131" i="111"/>
  <c r="AF131" i="111"/>
  <c r="AE131" i="111"/>
  <c r="AD131" i="111"/>
  <c r="AC131" i="111"/>
  <c r="I131" i="111" s="1"/>
  <c r="AB131" i="111"/>
  <c r="AA131" i="111"/>
  <c r="Z131" i="111"/>
  <c r="Y131" i="111"/>
  <c r="X131" i="111"/>
  <c r="H131" i="111" s="1"/>
  <c r="G131" i="111" s="1"/>
  <c r="BG130" i="111"/>
  <c r="O130" i="111" s="1"/>
  <c r="P130" i="111" s="1"/>
  <c r="Q130" i="111" s="1"/>
  <c r="BF130" i="111"/>
  <c r="BE130" i="111"/>
  <c r="BD130" i="111"/>
  <c r="BC130" i="111"/>
  <c r="BB130" i="111"/>
  <c r="N130" i="111" s="1"/>
  <c r="BA130" i="111"/>
  <c r="AZ130" i="111"/>
  <c r="AY130" i="111"/>
  <c r="AX130" i="111"/>
  <c r="AW130" i="111"/>
  <c r="M130" i="111" s="1"/>
  <c r="AV130" i="111"/>
  <c r="AU130" i="111"/>
  <c r="AT130" i="111"/>
  <c r="AS130" i="111"/>
  <c r="AR130" i="111"/>
  <c r="L130" i="111" s="1"/>
  <c r="AQ130" i="111"/>
  <c r="AP130" i="111"/>
  <c r="AO130" i="111"/>
  <c r="AN130" i="111"/>
  <c r="AM130" i="111"/>
  <c r="K130" i="111" s="1"/>
  <c r="AL130" i="111"/>
  <c r="AK130" i="111"/>
  <c r="AJ130" i="111"/>
  <c r="AI130" i="111"/>
  <c r="AH130" i="111"/>
  <c r="J130" i="111" s="1"/>
  <c r="AG130" i="111"/>
  <c r="AF130" i="111"/>
  <c r="AE130" i="111"/>
  <c r="AD130" i="111"/>
  <c r="AC130" i="111"/>
  <c r="I130" i="111" s="1"/>
  <c r="AB130" i="111"/>
  <c r="AA130" i="111"/>
  <c r="Z130" i="111"/>
  <c r="Y130" i="111"/>
  <c r="X130" i="111"/>
  <c r="H130" i="111" s="1"/>
  <c r="G130" i="111" s="1"/>
  <c r="BG129" i="111"/>
  <c r="O129" i="111" s="1"/>
  <c r="BF129" i="111"/>
  <c r="BE129" i="111"/>
  <c r="BD129" i="111"/>
  <c r="BC129" i="111"/>
  <c r="BB129" i="111"/>
  <c r="N129" i="111" s="1"/>
  <c r="N834" i="118" s="1"/>
  <c r="BA129" i="111"/>
  <c r="AZ129" i="111"/>
  <c r="AY129" i="111"/>
  <c r="AX129" i="111"/>
  <c r="AW129" i="111"/>
  <c r="M129" i="111" s="1"/>
  <c r="M834" i="118" s="1"/>
  <c r="AV129" i="111"/>
  <c r="AU129" i="111"/>
  <c r="AT129" i="111"/>
  <c r="AS129" i="111"/>
  <c r="AR129" i="111"/>
  <c r="L129" i="111" s="1"/>
  <c r="L834" i="118" s="1"/>
  <c r="AQ129" i="111"/>
  <c r="AP129" i="111"/>
  <c r="AO129" i="111"/>
  <c r="AN129" i="111"/>
  <c r="AM129" i="111"/>
  <c r="K129" i="111" s="1"/>
  <c r="K834" i="118" s="1"/>
  <c r="AL129" i="111"/>
  <c r="AK129" i="111"/>
  <c r="AJ129" i="111"/>
  <c r="AI129" i="111"/>
  <c r="AH129" i="111"/>
  <c r="J129" i="111" s="1"/>
  <c r="J834" i="118" s="1"/>
  <c r="AG129" i="111"/>
  <c r="AF129" i="111"/>
  <c r="AE129" i="111"/>
  <c r="AD129" i="111"/>
  <c r="AC129" i="111"/>
  <c r="I129" i="111" s="1"/>
  <c r="I834" i="118" s="1"/>
  <c r="AB129" i="111"/>
  <c r="AA129" i="111"/>
  <c r="Z129" i="111"/>
  <c r="Y129" i="111"/>
  <c r="X129" i="111"/>
  <c r="H129" i="111" s="1"/>
  <c r="BG128" i="111"/>
  <c r="O128" i="111" s="1"/>
  <c r="P128" i="111" s="1"/>
  <c r="Q128" i="111" s="1"/>
  <c r="BF128" i="111"/>
  <c r="BE128" i="111"/>
  <c r="BD128" i="111"/>
  <c r="BC128" i="111"/>
  <c r="BB128" i="111"/>
  <c r="N128" i="111" s="1"/>
  <c r="BA128" i="111"/>
  <c r="AZ128" i="111"/>
  <c r="AY128" i="111"/>
  <c r="AX128" i="111"/>
  <c r="AW128" i="111"/>
  <c r="M128" i="111" s="1"/>
  <c r="AV128" i="111"/>
  <c r="AU128" i="111"/>
  <c r="AT128" i="111"/>
  <c r="AS128" i="111"/>
  <c r="AR128" i="111"/>
  <c r="L128" i="111" s="1"/>
  <c r="AQ128" i="111"/>
  <c r="AP128" i="111"/>
  <c r="AO128" i="111"/>
  <c r="AN128" i="111"/>
  <c r="AM128" i="111"/>
  <c r="K128" i="111" s="1"/>
  <c r="AL128" i="111"/>
  <c r="AK128" i="111"/>
  <c r="AJ128" i="111"/>
  <c r="AI128" i="111"/>
  <c r="AH128" i="111"/>
  <c r="J128" i="111" s="1"/>
  <c r="AG128" i="111"/>
  <c r="AF128" i="111"/>
  <c r="AE128" i="111"/>
  <c r="AD128" i="111"/>
  <c r="AC128" i="111"/>
  <c r="I128" i="111" s="1"/>
  <c r="AB128" i="111"/>
  <c r="AA128" i="111"/>
  <c r="Z128" i="111"/>
  <c r="Y128" i="111"/>
  <c r="X128" i="111"/>
  <c r="H128" i="111" s="1"/>
  <c r="G128" i="111" s="1"/>
  <c r="BG127" i="111"/>
  <c r="O127" i="111" s="1"/>
  <c r="P127" i="111" s="1"/>
  <c r="Q127" i="111" s="1"/>
  <c r="BF127" i="111"/>
  <c r="BE127" i="111"/>
  <c r="BD127" i="111"/>
  <c r="BC127" i="111"/>
  <c r="BB127" i="111"/>
  <c r="N127" i="111" s="1"/>
  <c r="BA127" i="111"/>
  <c r="AZ127" i="111"/>
  <c r="AY127" i="111"/>
  <c r="AX127" i="111"/>
  <c r="AW127" i="111"/>
  <c r="M127" i="111" s="1"/>
  <c r="AV127" i="111"/>
  <c r="AU127" i="111"/>
  <c r="AT127" i="111"/>
  <c r="AS127" i="111"/>
  <c r="AR127" i="111"/>
  <c r="L127" i="111" s="1"/>
  <c r="AQ127" i="111"/>
  <c r="AP127" i="111"/>
  <c r="AO127" i="111"/>
  <c r="AN127" i="111"/>
  <c r="AM127" i="111"/>
  <c r="K127" i="111" s="1"/>
  <c r="AL127" i="111"/>
  <c r="AK127" i="111"/>
  <c r="AJ127" i="111"/>
  <c r="AI127" i="111"/>
  <c r="AH127" i="111"/>
  <c r="J127" i="111" s="1"/>
  <c r="AG127" i="111"/>
  <c r="AF127" i="111"/>
  <c r="AE127" i="111"/>
  <c r="AD127" i="111"/>
  <c r="AC127" i="111"/>
  <c r="I127" i="111" s="1"/>
  <c r="AB127" i="111"/>
  <c r="AA127" i="111"/>
  <c r="Z127" i="111"/>
  <c r="Y127" i="111"/>
  <c r="X127" i="111"/>
  <c r="H127" i="111" s="1"/>
  <c r="G127" i="111" s="1"/>
  <c r="BG126" i="111"/>
  <c r="O126" i="111" s="1"/>
  <c r="P126" i="111" s="1"/>
  <c r="Q126" i="111" s="1"/>
  <c r="BF126" i="111"/>
  <c r="BE126" i="111"/>
  <c r="BD126" i="111"/>
  <c r="BC126" i="111"/>
  <c r="BB126" i="111"/>
  <c r="N126" i="111" s="1"/>
  <c r="BA126" i="111"/>
  <c r="AZ126" i="111"/>
  <c r="AY126" i="111"/>
  <c r="AX126" i="111"/>
  <c r="AW126" i="111"/>
  <c r="M126" i="111" s="1"/>
  <c r="AV126" i="111"/>
  <c r="AU126" i="111"/>
  <c r="AT126" i="111"/>
  <c r="AS126" i="111"/>
  <c r="AR126" i="111"/>
  <c r="L126" i="111" s="1"/>
  <c r="AQ126" i="111"/>
  <c r="AP126" i="111"/>
  <c r="AO126" i="111"/>
  <c r="AN126" i="111"/>
  <c r="AM126" i="111"/>
  <c r="K126" i="111" s="1"/>
  <c r="AL126" i="111"/>
  <c r="AK126" i="111"/>
  <c r="AJ126" i="111"/>
  <c r="AI126" i="111"/>
  <c r="AH126" i="111"/>
  <c r="J126" i="111" s="1"/>
  <c r="AG126" i="111"/>
  <c r="AF126" i="111"/>
  <c r="AE126" i="111"/>
  <c r="AD126" i="111"/>
  <c r="AC126" i="111"/>
  <c r="I126" i="111" s="1"/>
  <c r="AB126" i="111"/>
  <c r="AA126" i="111"/>
  <c r="Z126" i="111"/>
  <c r="Y126" i="111"/>
  <c r="X126" i="111"/>
  <c r="H126" i="111" s="1"/>
  <c r="G126" i="111" s="1"/>
  <c r="BG125" i="111"/>
  <c r="O125" i="111" s="1"/>
  <c r="P125" i="111" s="1"/>
  <c r="Q125" i="111" s="1"/>
  <c r="BF125" i="111"/>
  <c r="BE125" i="111"/>
  <c r="BD125" i="111"/>
  <c r="BC125" i="111"/>
  <c r="BB125" i="111"/>
  <c r="N125" i="111" s="1"/>
  <c r="BA125" i="111"/>
  <c r="AZ125" i="111"/>
  <c r="AY125" i="111"/>
  <c r="AX125" i="111"/>
  <c r="AW125" i="111"/>
  <c r="M125" i="111" s="1"/>
  <c r="AV125" i="111"/>
  <c r="AU125" i="111"/>
  <c r="AT125" i="111"/>
  <c r="AS125" i="111"/>
  <c r="AR125" i="111"/>
  <c r="L125" i="111" s="1"/>
  <c r="AQ125" i="111"/>
  <c r="AP125" i="111"/>
  <c r="AO125" i="111"/>
  <c r="AN125" i="111"/>
  <c r="AM125" i="111"/>
  <c r="K125" i="111" s="1"/>
  <c r="AL125" i="111"/>
  <c r="AK125" i="111"/>
  <c r="AJ125" i="111"/>
  <c r="AI125" i="111"/>
  <c r="AH125" i="111"/>
  <c r="J125" i="111" s="1"/>
  <c r="AG125" i="111"/>
  <c r="AF125" i="111"/>
  <c r="AE125" i="111"/>
  <c r="AD125" i="111"/>
  <c r="AC125" i="111"/>
  <c r="I125" i="111" s="1"/>
  <c r="AB125" i="111"/>
  <c r="AA125" i="111"/>
  <c r="Z125" i="111"/>
  <c r="Y125" i="111"/>
  <c r="X125" i="111"/>
  <c r="H125" i="111" s="1"/>
  <c r="G125" i="111" s="1"/>
  <c r="BG124" i="111"/>
  <c r="O124" i="111" s="1"/>
  <c r="P124" i="111" s="1"/>
  <c r="Q124" i="111" s="1"/>
  <c r="BF124" i="111"/>
  <c r="BE124" i="111"/>
  <c r="BD124" i="111"/>
  <c r="BC124" i="111"/>
  <c r="BB124" i="111"/>
  <c r="N124" i="111" s="1"/>
  <c r="BA124" i="111"/>
  <c r="AZ124" i="111"/>
  <c r="AY124" i="111"/>
  <c r="AX124" i="111"/>
  <c r="AW124" i="111"/>
  <c r="M124" i="111" s="1"/>
  <c r="AV124" i="111"/>
  <c r="AU124" i="111"/>
  <c r="AT124" i="111"/>
  <c r="AS124" i="111"/>
  <c r="AR124" i="111"/>
  <c r="L124" i="111" s="1"/>
  <c r="AQ124" i="111"/>
  <c r="AP124" i="111"/>
  <c r="AO124" i="111"/>
  <c r="AN124" i="111"/>
  <c r="AM124" i="111"/>
  <c r="K124" i="111" s="1"/>
  <c r="AL124" i="111"/>
  <c r="AK124" i="111"/>
  <c r="AJ124" i="111"/>
  <c r="AI124" i="111"/>
  <c r="AH124" i="111"/>
  <c r="J124" i="111" s="1"/>
  <c r="AG124" i="111"/>
  <c r="AF124" i="111"/>
  <c r="AE124" i="111"/>
  <c r="AD124" i="111"/>
  <c r="AC124" i="111"/>
  <c r="I124" i="111" s="1"/>
  <c r="AB124" i="111"/>
  <c r="AA124" i="111"/>
  <c r="Z124" i="111"/>
  <c r="Y124" i="111"/>
  <c r="X124" i="111"/>
  <c r="H124" i="111" s="1"/>
  <c r="G124" i="111" s="1"/>
  <c r="BG123" i="111"/>
  <c r="O123" i="111" s="1"/>
  <c r="P123" i="111" s="1"/>
  <c r="Q123" i="111" s="1"/>
  <c r="BF123" i="111"/>
  <c r="BE123" i="111"/>
  <c r="BD123" i="111"/>
  <c r="BC123" i="111"/>
  <c r="BB123" i="111"/>
  <c r="N123" i="111" s="1"/>
  <c r="BA123" i="111"/>
  <c r="AZ123" i="111"/>
  <c r="AY123" i="111"/>
  <c r="AX123" i="111"/>
  <c r="AW123" i="111"/>
  <c r="M123" i="111" s="1"/>
  <c r="AV123" i="111"/>
  <c r="AU123" i="111"/>
  <c r="AT123" i="111"/>
  <c r="AS123" i="111"/>
  <c r="AR123" i="111"/>
  <c r="L123" i="111" s="1"/>
  <c r="AQ123" i="111"/>
  <c r="AP123" i="111"/>
  <c r="AO123" i="111"/>
  <c r="AN123" i="111"/>
  <c r="AM123" i="111"/>
  <c r="K123" i="111" s="1"/>
  <c r="AL123" i="111"/>
  <c r="AK123" i="111"/>
  <c r="AJ123" i="111"/>
  <c r="AI123" i="111"/>
  <c r="AH123" i="111"/>
  <c r="J123" i="111" s="1"/>
  <c r="AG123" i="111"/>
  <c r="AF123" i="111"/>
  <c r="AE123" i="111"/>
  <c r="AD123" i="111"/>
  <c r="AC123" i="111"/>
  <c r="I123" i="111" s="1"/>
  <c r="AB123" i="111"/>
  <c r="AA123" i="111"/>
  <c r="Z123" i="111"/>
  <c r="Y123" i="111"/>
  <c r="X123" i="111"/>
  <c r="H123" i="111" s="1"/>
  <c r="G123" i="111" s="1"/>
  <c r="BG122" i="111"/>
  <c r="O122" i="111" s="1"/>
  <c r="P122" i="111" s="1"/>
  <c r="Q122" i="111" s="1"/>
  <c r="BF122" i="111"/>
  <c r="BE122" i="111"/>
  <c r="BD122" i="111"/>
  <c r="BC122" i="111"/>
  <c r="BB122" i="111"/>
  <c r="N122" i="111" s="1"/>
  <c r="BA122" i="111"/>
  <c r="AZ122" i="111"/>
  <c r="AY122" i="111"/>
  <c r="AX122" i="111"/>
  <c r="AW122" i="111"/>
  <c r="M122" i="111" s="1"/>
  <c r="AV122" i="111"/>
  <c r="AU122" i="111"/>
  <c r="AT122" i="111"/>
  <c r="AS122" i="111"/>
  <c r="AR122" i="111"/>
  <c r="L122" i="111" s="1"/>
  <c r="AQ122" i="111"/>
  <c r="AP122" i="111"/>
  <c r="AO122" i="111"/>
  <c r="AN122" i="111"/>
  <c r="AM122" i="111"/>
  <c r="K122" i="111" s="1"/>
  <c r="AL122" i="111"/>
  <c r="AK122" i="111"/>
  <c r="AJ122" i="111"/>
  <c r="AI122" i="111"/>
  <c r="AH122" i="111"/>
  <c r="J122" i="111" s="1"/>
  <c r="AG122" i="111"/>
  <c r="AF122" i="111"/>
  <c r="AE122" i="111"/>
  <c r="AD122" i="111"/>
  <c r="AC122" i="111"/>
  <c r="I122" i="111" s="1"/>
  <c r="AB122" i="111"/>
  <c r="AA122" i="111"/>
  <c r="Z122" i="111"/>
  <c r="Y122" i="111"/>
  <c r="X122" i="111"/>
  <c r="H122" i="111" s="1"/>
  <c r="G122" i="111" s="1"/>
  <c r="BG121" i="111"/>
  <c r="O121" i="111" s="1"/>
  <c r="P121" i="111" s="1"/>
  <c r="Q121" i="111" s="1"/>
  <c r="BF121" i="111"/>
  <c r="BE121" i="111"/>
  <c r="BD121" i="111"/>
  <c r="BC121" i="111"/>
  <c r="BB121" i="111"/>
  <c r="N121" i="111" s="1"/>
  <c r="BA121" i="111"/>
  <c r="AZ121" i="111"/>
  <c r="AY121" i="111"/>
  <c r="AX121" i="111"/>
  <c r="AW121" i="111"/>
  <c r="M121" i="111" s="1"/>
  <c r="AV121" i="111"/>
  <c r="AU121" i="111"/>
  <c r="AT121" i="111"/>
  <c r="AS121" i="111"/>
  <c r="AR121" i="111"/>
  <c r="L121" i="111" s="1"/>
  <c r="AQ121" i="111"/>
  <c r="AP121" i="111"/>
  <c r="AO121" i="111"/>
  <c r="AN121" i="111"/>
  <c r="AM121" i="111"/>
  <c r="K121" i="111" s="1"/>
  <c r="AL121" i="111"/>
  <c r="AK121" i="111"/>
  <c r="AJ121" i="111"/>
  <c r="AI121" i="111"/>
  <c r="AH121" i="111"/>
  <c r="J121" i="111" s="1"/>
  <c r="AG121" i="111"/>
  <c r="AF121" i="111"/>
  <c r="AE121" i="111"/>
  <c r="AD121" i="111"/>
  <c r="AC121" i="111"/>
  <c r="I121" i="111" s="1"/>
  <c r="AB121" i="111"/>
  <c r="AA121" i="111"/>
  <c r="Z121" i="111"/>
  <c r="Y121" i="111"/>
  <c r="X121" i="111"/>
  <c r="H121" i="111" s="1"/>
  <c r="G121" i="111" s="1"/>
  <c r="BG120" i="111"/>
  <c r="O120" i="111" s="1"/>
  <c r="P120" i="111" s="1"/>
  <c r="Q120" i="111" s="1"/>
  <c r="BF120" i="111"/>
  <c r="BE120" i="111"/>
  <c r="BD120" i="111"/>
  <c r="BC120" i="111"/>
  <c r="BB120" i="111"/>
  <c r="N120" i="111" s="1"/>
  <c r="BA120" i="111"/>
  <c r="AZ120" i="111"/>
  <c r="AY120" i="111"/>
  <c r="AX120" i="111"/>
  <c r="AW120" i="111"/>
  <c r="M120" i="111" s="1"/>
  <c r="AV120" i="111"/>
  <c r="AU120" i="111"/>
  <c r="AT120" i="111"/>
  <c r="AS120" i="111"/>
  <c r="AR120" i="111"/>
  <c r="L120" i="111" s="1"/>
  <c r="AQ120" i="111"/>
  <c r="AP120" i="111"/>
  <c r="AO120" i="111"/>
  <c r="AN120" i="111"/>
  <c r="AM120" i="111"/>
  <c r="K120" i="111" s="1"/>
  <c r="AL120" i="111"/>
  <c r="AK120" i="111"/>
  <c r="AJ120" i="111"/>
  <c r="AI120" i="111"/>
  <c r="AH120" i="111"/>
  <c r="J120" i="111" s="1"/>
  <c r="AG120" i="111"/>
  <c r="AF120" i="111"/>
  <c r="AE120" i="111"/>
  <c r="AD120" i="111"/>
  <c r="AC120" i="111"/>
  <c r="I120" i="111" s="1"/>
  <c r="AB120" i="111"/>
  <c r="AA120" i="111"/>
  <c r="Z120" i="111"/>
  <c r="Y120" i="111"/>
  <c r="X120" i="111"/>
  <c r="H120" i="111" s="1"/>
  <c r="G120" i="111" s="1"/>
  <c r="BG119" i="111"/>
  <c r="O119" i="111" s="1"/>
  <c r="P119" i="111" s="1"/>
  <c r="Q119" i="111" s="1"/>
  <c r="BF119" i="111"/>
  <c r="BE119" i="111"/>
  <c r="BD119" i="111"/>
  <c r="BC119" i="111"/>
  <c r="BB119" i="111"/>
  <c r="N119" i="111" s="1"/>
  <c r="BA119" i="111"/>
  <c r="AZ119" i="111"/>
  <c r="AY119" i="111"/>
  <c r="AX119" i="111"/>
  <c r="AW119" i="111"/>
  <c r="M119" i="111" s="1"/>
  <c r="AV119" i="111"/>
  <c r="AU119" i="111"/>
  <c r="AT119" i="111"/>
  <c r="AS119" i="111"/>
  <c r="AR119" i="111"/>
  <c r="L119" i="111" s="1"/>
  <c r="AQ119" i="111"/>
  <c r="AP119" i="111"/>
  <c r="AO119" i="111"/>
  <c r="AN119" i="111"/>
  <c r="AM119" i="111"/>
  <c r="K119" i="111" s="1"/>
  <c r="AL119" i="111"/>
  <c r="AK119" i="111"/>
  <c r="AJ119" i="111"/>
  <c r="AI119" i="111"/>
  <c r="AH119" i="111"/>
  <c r="J119" i="111" s="1"/>
  <c r="AG119" i="111"/>
  <c r="AF119" i="111"/>
  <c r="AE119" i="111"/>
  <c r="AD119" i="111"/>
  <c r="AC119" i="111"/>
  <c r="I119" i="111" s="1"/>
  <c r="AB119" i="111"/>
  <c r="AA119" i="111"/>
  <c r="Z119" i="111"/>
  <c r="Y119" i="111"/>
  <c r="X119" i="111"/>
  <c r="H119" i="111" s="1"/>
  <c r="G119" i="111" s="1"/>
  <c r="BG118" i="111"/>
  <c r="O118" i="111" s="1"/>
  <c r="P118" i="111" s="1"/>
  <c r="Q118" i="111" s="1"/>
  <c r="BF118" i="111"/>
  <c r="BE118" i="111"/>
  <c r="BD118" i="111"/>
  <c r="BC118" i="111"/>
  <c r="BB118" i="111"/>
  <c r="N118" i="111" s="1"/>
  <c r="BA118" i="111"/>
  <c r="AZ118" i="111"/>
  <c r="AY118" i="111"/>
  <c r="AX118" i="111"/>
  <c r="AW118" i="111"/>
  <c r="M118" i="111" s="1"/>
  <c r="AV118" i="111"/>
  <c r="AU118" i="111"/>
  <c r="AT118" i="111"/>
  <c r="AS118" i="111"/>
  <c r="AR118" i="111"/>
  <c r="L118" i="111" s="1"/>
  <c r="AQ118" i="111"/>
  <c r="AP118" i="111"/>
  <c r="AO118" i="111"/>
  <c r="AN118" i="111"/>
  <c r="AM118" i="111"/>
  <c r="K118" i="111" s="1"/>
  <c r="AL118" i="111"/>
  <c r="AK118" i="111"/>
  <c r="AJ118" i="111"/>
  <c r="AI118" i="111"/>
  <c r="AH118" i="111"/>
  <c r="J118" i="111" s="1"/>
  <c r="AG118" i="111"/>
  <c r="AF118" i="111"/>
  <c r="AE118" i="111"/>
  <c r="AD118" i="111"/>
  <c r="AC118" i="111"/>
  <c r="I118" i="111" s="1"/>
  <c r="AB118" i="111"/>
  <c r="AA118" i="111"/>
  <c r="Z118" i="111"/>
  <c r="Y118" i="111"/>
  <c r="X118" i="111"/>
  <c r="H118" i="111" s="1"/>
  <c r="G118" i="111" s="1"/>
  <c r="BG117" i="111"/>
  <c r="O117" i="111" s="1"/>
  <c r="P117" i="111" s="1"/>
  <c r="Q117" i="111" s="1"/>
  <c r="BF117" i="111"/>
  <c r="BE117" i="111"/>
  <c r="BD117" i="111"/>
  <c r="BC117" i="111"/>
  <c r="BB117" i="111"/>
  <c r="N117" i="111" s="1"/>
  <c r="BA117" i="111"/>
  <c r="AZ117" i="111"/>
  <c r="AY117" i="111"/>
  <c r="AX117" i="111"/>
  <c r="AW117" i="111"/>
  <c r="M117" i="111" s="1"/>
  <c r="AV117" i="111"/>
  <c r="AU117" i="111"/>
  <c r="AT117" i="111"/>
  <c r="AS117" i="111"/>
  <c r="AR117" i="111"/>
  <c r="L117" i="111" s="1"/>
  <c r="AQ117" i="111"/>
  <c r="AP117" i="111"/>
  <c r="AO117" i="111"/>
  <c r="AN117" i="111"/>
  <c r="AM117" i="111"/>
  <c r="K117" i="111" s="1"/>
  <c r="AL117" i="111"/>
  <c r="AK117" i="111"/>
  <c r="AJ117" i="111"/>
  <c r="AI117" i="111"/>
  <c r="AH117" i="111"/>
  <c r="J117" i="111" s="1"/>
  <c r="AG117" i="111"/>
  <c r="AF117" i="111"/>
  <c r="AE117" i="111"/>
  <c r="AD117" i="111"/>
  <c r="AC117" i="111"/>
  <c r="I117" i="111" s="1"/>
  <c r="AB117" i="111"/>
  <c r="AA117" i="111"/>
  <c r="Z117" i="111"/>
  <c r="Y117" i="111"/>
  <c r="X117" i="111"/>
  <c r="H117" i="111" s="1"/>
  <c r="G117" i="111" s="1"/>
  <c r="BG116" i="111"/>
  <c r="O116" i="111" s="1"/>
  <c r="P116" i="111" s="1"/>
  <c r="Q116" i="111" s="1"/>
  <c r="BF116" i="111"/>
  <c r="BE116" i="111"/>
  <c r="BD116" i="111"/>
  <c r="BC116" i="111"/>
  <c r="BB116" i="111"/>
  <c r="N116" i="111" s="1"/>
  <c r="BA116" i="111"/>
  <c r="AZ116" i="111"/>
  <c r="AY116" i="111"/>
  <c r="AX116" i="111"/>
  <c r="AW116" i="111"/>
  <c r="M116" i="111" s="1"/>
  <c r="AV116" i="111"/>
  <c r="AU116" i="111"/>
  <c r="AT116" i="111"/>
  <c r="AS116" i="111"/>
  <c r="AR116" i="111"/>
  <c r="L116" i="111" s="1"/>
  <c r="AQ116" i="111"/>
  <c r="AP116" i="111"/>
  <c r="AO116" i="111"/>
  <c r="AN116" i="111"/>
  <c r="AM116" i="111"/>
  <c r="K116" i="111" s="1"/>
  <c r="AL116" i="111"/>
  <c r="AK116" i="111"/>
  <c r="AJ116" i="111"/>
  <c r="AI116" i="111"/>
  <c r="AH116" i="111"/>
  <c r="J116" i="111" s="1"/>
  <c r="AG116" i="111"/>
  <c r="AF116" i="111"/>
  <c r="AE116" i="111"/>
  <c r="AD116" i="111"/>
  <c r="AC116" i="111"/>
  <c r="I116" i="111" s="1"/>
  <c r="AB116" i="111"/>
  <c r="AA116" i="111"/>
  <c r="Z116" i="111"/>
  <c r="Y116" i="111"/>
  <c r="X116" i="111"/>
  <c r="H116" i="111" s="1"/>
  <c r="G116" i="111" s="1"/>
  <c r="BG115" i="111"/>
  <c r="O115" i="111" s="1"/>
  <c r="P115" i="111" s="1"/>
  <c r="Q115" i="111" s="1"/>
  <c r="BF115" i="111"/>
  <c r="BE115" i="111"/>
  <c r="BD115" i="111"/>
  <c r="BC115" i="111"/>
  <c r="BB115" i="111"/>
  <c r="N115" i="111" s="1"/>
  <c r="BA115" i="111"/>
  <c r="AZ115" i="111"/>
  <c r="AY115" i="111"/>
  <c r="AX115" i="111"/>
  <c r="AW115" i="111"/>
  <c r="M115" i="111" s="1"/>
  <c r="AV115" i="111"/>
  <c r="AU115" i="111"/>
  <c r="AT115" i="111"/>
  <c r="AS115" i="111"/>
  <c r="AR115" i="111"/>
  <c r="L115" i="111" s="1"/>
  <c r="AQ115" i="111"/>
  <c r="AP115" i="111"/>
  <c r="AO115" i="111"/>
  <c r="AN115" i="111"/>
  <c r="AM115" i="111"/>
  <c r="K115" i="111" s="1"/>
  <c r="AL115" i="111"/>
  <c r="AK115" i="111"/>
  <c r="AJ115" i="111"/>
  <c r="AI115" i="111"/>
  <c r="AH115" i="111"/>
  <c r="J115" i="111" s="1"/>
  <c r="AG115" i="111"/>
  <c r="AF115" i="111"/>
  <c r="AE115" i="111"/>
  <c r="AD115" i="111"/>
  <c r="AC115" i="111"/>
  <c r="I115" i="111" s="1"/>
  <c r="AB115" i="111"/>
  <c r="AA115" i="111"/>
  <c r="Z115" i="111"/>
  <c r="Y115" i="111"/>
  <c r="X115" i="111"/>
  <c r="H115" i="111" s="1"/>
  <c r="G115" i="111" s="1"/>
  <c r="BG114" i="111"/>
  <c r="O114" i="111" s="1"/>
  <c r="P114" i="111" s="1"/>
  <c r="Q114" i="111" s="1"/>
  <c r="BF114" i="111"/>
  <c r="BE114" i="111"/>
  <c r="BD114" i="111"/>
  <c r="BC114" i="111"/>
  <c r="BB114" i="111"/>
  <c r="N114" i="111" s="1"/>
  <c r="BA114" i="111"/>
  <c r="AZ114" i="111"/>
  <c r="AY114" i="111"/>
  <c r="AX114" i="111"/>
  <c r="AW114" i="111"/>
  <c r="M114" i="111" s="1"/>
  <c r="AV114" i="111"/>
  <c r="AU114" i="111"/>
  <c r="AT114" i="111"/>
  <c r="AS114" i="111"/>
  <c r="AR114" i="111"/>
  <c r="L114" i="111" s="1"/>
  <c r="AQ114" i="111"/>
  <c r="AP114" i="111"/>
  <c r="AO114" i="111"/>
  <c r="AN114" i="111"/>
  <c r="AM114" i="111"/>
  <c r="K114" i="111" s="1"/>
  <c r="AL114" i="111"/>
  <c r="AK114" i="111"/>
  <c r="AJ114" i="111"/>
  <c r="AI114" i="111"/>
  <c r="AH114" i="111"/>
  <c r="J114" i="111" s="1"/>
  <c r="AG114" i="111"/>
  <c r="AF114" i="111"/>
  <c r="AE114" i="111"/>
  <c r="AD114" i="111"/>
  <c r="AC114" i="111"/>
  <c r="I114" i="111" s="1"/>
  <c r="AB114" i="111"/>
  <c r="AA114" i="111"/>
  <c r="Z114" i="111"/>
  <c r="Y114" i="111"/>
  <c r="X114" i="111"/>
  <c r="H114" i="111" s="1"/>
  <c r="G114" i="111" s="1"/>
  <c r="BG113" i="111"/>
  <c r="O113" i="111" s="1"/>
  <c r="P113" i="111" s="1"/>
  <c r="Q113" i="111" s="1"/>
  <c r="BF113" i="111"/>
  <c r="BE113" i="111"/>
  <c r="BD113" i="111"/>
  <c r="BC113" i="111"/>
  <c r="BB113" i="111"/>
  <c r="N113" i="111" s="1"/>
  <c r="BA113" i="111"/>
  <c r="AZ113" i="111"/>
  <c r="AY113" i="111"/>
  <c r="AX113" i="111"/>
  <c r="AW113" i="111"/>
  <c r="M113" i="111" s="1"/>
  <c r="AV113" i="111"/>
  <c r="AU113" i="111"/>
  <c r="AT113" i="111"/>
  <c r="AS113" i="111"/>
  <c r="AR113" i="111"/>
  <c r="L113" i="111" s="1"/>
  <c r="AQ113" i="111"/>
  <c r="AP113" i="111"/>
  <c r="AO113" i="111"/>
  <c r="AN113" i="111"/>
  <c r="AM113" i="111"/>
  <c r="K113" i="111" s="1"/>
  <c r="AL113" i="111"/>
  <c r="AK113" i="111"/>
  <c r="AJ113" i="111"/>
  <c r="AI113" i="111"/>
  <c r="AH113" i="111"/>
  <c r="J113" i="111" s="1"/>
  <c r="AG113" i="111"/>
  <c r="AF113" i="111"/>
  <c r="AE113" i="111"/>
  <c r="AD113" i="111"/>
  <c r="AC113" i="111"/>
  <c r="I113" i="111" s="1"/>
  <c r="AB113" i="111"/>
  <c r="AA113" i="111"/>
  <c r="Z113" i="111"/>
  <c r="Y113" i="111"/>
  <c r="X113" i="111"/>
  <c r="H113" i="111" s="1"/>
  <c r="G113" i="111" s="1"/>
  <c r="BG112" i="111"/>
  <c r="O112" i="111" s="1"/>
  <c r="P112" i="111" s="1"/>
  <c r="Q112" i="111" s="1"/>
  <c r="BF112" i="111"/>
  <c r="BE112" i="111"/>
  <c r="BD112" i="111"/>
  <c r="BC112" i="111"/>
  <c r="BB112" i="111"/>
  <c r="N112" i="111" s="1"/>
  <c r="BA112" i="111"/>
  <c r="AZ112" i="111"/>
  <c r="AY112" i="111"/>
  <c r="AX112" i="111"/>
  <c r="AW112" i="111"/>
  <c r="M112" i="111" s="1"/>
  <c r="AV112" i="111"/>
  <c r="AU112" i="111"/>
  <c r="AT112" i="111"/>
  <c r="AS112" i="111"/>
  <c r="AR112" i="111"/>
  <c r="L112" i="111" s="1"/>
  <c r="AQ112" i="111"/>
  <c r="AP112" i="111"/>
  <c r="AO112" i="111"/>
  <c r="AN112" i="111"/>
  <c r="AM112" i="111"/>
  <c r="K112" i="111" s="1"/>
  <c r="AL112" i="111"/>
  <c r="AK112" i="111"/>
  <c r="AJ112" i="111"/>
  <c r="AI112" i="111"/>
  <c r="AH112" i="111"/>
  <c r="J112" i="111" s="1"/>
  <c r="AG112" i="111"/>
  <c r="AF112" i="111"/>
  <c r="AE112" i="111"/>
  <c r="AD112" i="111"/>
  <c r="AC112" i="111"/>
  <c r="I112" i="111" s="1"/>
  <c r="AB112" i="111"/>
  <c r="AA112" i="111"/>
  <c r="Z112" i="111"/>
  <c r="Y112" i="111"/>
  <c r="X112" i="111"/>
  <c r="H112" i="111" s="1"/>
  <c r="G112" i="111" s="1"/>
  <c r="BG111" i="111"/>
  <c r="O111" i="111" s="1"/>
  <c r="P111" i="111" s="1"/>
  <c r="Q111" i="111" s="1"/>
  <c r="BF111" i="111"/>
  <c r="BE111" i="111"/>
  <c r="BD111" i="111"/>
  <c r="BC111" i="111"/>
  <c r="BB111" i="111"/>
  <c r="N111" i="111" s="1"/>
  <c r="BA111" i="111"/>
  <c r="AZ111" i="111"/>
  <c r="AY111" i="111"/>
  <c r="AX111" i="111"/>
  <c r="AW111" i="111"/>
  <c r="M111" i="111" s="1"/>
  <c r="AV111" i="111"/>
  <c r="AU111" i="111"/>
  <c r="AT111" i="111"/>
  <c r="AS111" i="111"/>
  <c r="AR111" i="111"/>
  <c r="L111" i="111" s="1"/>
  <c r="AQ111" i="111"/>
  <c r="AP111" i="111"/>
  <c r="AO111" i="111"/>
  <c r="AN111" i="111"/>
  <c r="AM111" i="111"/>
  <c r="K111" i="111" s="1"/>
  <c r="AL111" i="111"/>
  <c r="AK111" i="111"/>
  <c r="AJ111" i="111"/>
  <c r="AI111" i="111"/>
  <c r="AH111" i="111"/>
  <c r="J111" i="111" s="1"/>
  <c r="AG111" i="111"/>
  <c r="AF111" i="111"/>
  <c r="AE111" i="111"/>
  <c r="AD111" i="111"/>
  <c r="AC111" i="111"/>
  <c r="I111" i="111" s="1"/>
  <c r="AB111" i="111"/>
  <c r="AA111" i="111"/>
  <c r="Z111" i="111"/>
  <c r="Y111" i="111"/>
  <c r="X111" i="111"/>
  <c r="H111" i="111" s="1"/>
  <c r="G111" i="111" s="1"/>
  <c r="BG110" i="111"/>
  <c r="O110" i="111" s="1"/>
  <c r="P110" i="111" s="1"/>
  <c r="Q110" i="111" s="1"/>
  <c r="BF110" i="111"/>
  <c r="BE110" i="111"/>
  <c r="BD110" i="111"/>
  <c r="BC110" i="111"/>
  <c r="BB110" i="111"/>
  <c r="N110" i="111" s="1"/>
  <c r="BA110" i="111"/>
  <c r="AZ110" i="111"/>
  <c r="AY110" i="111"/>
  <c r="AX110" i="111"/>
  <c r="AW110" i="111"/>
  <c r="M110" i="111" s="1"/>
  <c r="AV110" i="111"/>
  <c r="AU110" i="111"/>
  <c r="AT110" i="111"/>
  <c r="AS110" i="111"/>
  <c r="AR110" i="111"/>
  <c r="L110" i="111" s="1"/>
  <c r="AQ110" i="111"/>
  <c r="AP110" i="111"/>
  <c r="AO110" i="111"/>
  <c r="AN110" i="111"/>
  <c r="AM110" i="111"/>
  <c r="K110" i="111" s="1"/>
  <c r="AL110" i="111"/>
  <c r="AK110" i="111"/>
  <c r="AJ110" i="111"/>
  <c r="AI110" i="111"/>
  <c r="AH110" i="111"/>
  <c r="J110" i="111" s="1"/>
  <c r="AG110" i="111"/>
  <c r="AF110" i="111"/>
  <c r="AE110" i="111"/>
  <c r="AD110" i="111"/>
  <c r="AC110" i="111"/>
  <c r="I110" i="111" s="1"/>
  <c r="AB110" i="111"/>
  <c r="AA110" i="111"/>
  <c r="Z110" i="111"/>
  <c r="Y110" i="111"/>
  <c r="X110" i="111"/>
  <c r="H110" i="111" s="1"/>
  <c r="G110" i="111" s="1"/>
  <c r="BG109" i="111"/>
  <c r="O109" i="111" s="1"/>
  <c r="P109" i="111" s="1"/>
  <c r="Q109" i="111" s="1"/>
  <c r="BF109" i="111"/>
  <c r="BE109" i="111"/>
  <c r="BD109" i="111"/>
  <c r="BC109" i="111"/>
  <c r="BB109" i="111"/>
  <c r="N109" i="111" s="1"/>
  <c r="BA109" i="111"/>
  <c r="AZ109" i="111"/>
  <c r="AY109" i="111"/>
  <c r="AX109" i="111"/>
  <c r="AW109" i="111"/>
  <c r="M109" i="111" s="1"/>
  <c r="AV109" i="111"/>
  <c r="AU109" i="111"/>
  <c r="AT109" i="111"/>
  <c r="AS109" i="111"/>
  <c r="AR109" i="111"/>
  <c r="L109" i="111" s="1"/>
  <c r="AQ109" i="111"/>
  <c r="AP109" i="111"/>
  <c r="AO109" i="111"/>
  <c r="AN109" i="111"/>
  <c r="AM109" i="111"/>
  <c r="K109" i="111" s="1"/>
  <c r="AL109" i="111"/>
  <c r="AK109" i="111"/>
  <c r="AJ109" i="111"/>
  <c r="AI109" i="111"/>
  <c r="AH109" i="111"/>
  <c r="J109" i="111" s="1"/>
  <c r="AG109" i="111"/>
  <c r="AF109" i="111"/>
  <c r="AE109" i="111"/>
  <c r="AD109" i="111"/>
  <c r="AC109" i="111"/>
  <c r="I109" i="111" s="1"/>
  <c r="AB109" i="111"/>
  <c r="AA109" i="111"/>
  <c r="Z109" i="111"/>
  <c r="Y109" i="111"/>
  <c r="X109" i="111"/>
  <c r="H109" i="111" s="1"/>
  <c r="G109" i="111" s="1"/>
  <c r="BG108" i="111"/>
  <c r="O108" i="111" s="1"/>
  <c r="P108" i="111" s="1"/>
  <c r="Q108" i="111" s="1"/>
  <c r="BF108" i="111"/>
  <c r="BE108" i="111"/>
  <c r="BD108" i="111"/>
  <c r="BC108" i="111"/>
  <c r="BB108" i="111"/>
  <c r="N108" i="111" s="1"/>
  <c r="BA108" i="111"/>
  <c r="AZ108" i="111"/>
  <c r="AY108" i="111"/>
  <c r="AX108" i="111"/>
  <c r="AW108" i="111"/>
  <c r="M108" i="111" s="1"/>
  <c r="AV108" i="111"/>
  <c r="AU108" i="111"/>
  <c r="AT108" i="111"/>
  <c r="AS108" i="111"/>
  <c r="AR108" i="111"/>
  <c r="L108" i="111" s="1"/>
  <c r="AQ108" i="111"/>
  <c r="AP108" i="111"/>
  <c r="AO108" i="111"/>
  <c r="AN108" i="111"/>
  <c r="AM108" i="111"/>
  <c r="K108" i="111" s="1"/>
  <c r="AL108" i="111"/>
  <c r="AK108" i="111"/>
  <c r="AJ108" i="111"/>
  <c r="AI108" i="111"/>
  <c r="AH108" i="111"/>
  <c r="J108" i="111" s="1"/>
  <c r="AG108" i="111"/>
  <c r="AF108" i="111"/>
  <c r="AE108" i="111"/>
  <c r="AD108" i="111"/>
  <c r="AC108" i="111"/>
  <c r="I108" i="111" s="1"/>
  <c r="AB108" i="111"/>
  <c r="AA108" i="111"/>
  <c r="Z108" i="111"/>
  <c r="Y108" i="111"/>
  <c r="X108" i="111"/>
  <c r="H108" i="111" s="1"/>
  <c r="G108" i="111" s="1"/>
  <c r="BG107" i="111"/>
  <c r="O107" i="111" s="1"/>
  <c r="P107" i="111" s="1"/>
  <c r="Q107" i="111" s="1"/>
  <c r="BF107" i="111"/>
  <c r="BE107" i="111"/>
  <c r="BD107" i="111"/>
  <c r="BC107" i="111"/>
  <c r="BB107" i="111"/>
  <c r="N107" i="111" s="1"/>
  <c r="BA107" i="111"/>
  <c r="AZ107" i="111"/>
  <c r="AY107" i="111"/>
  <c r="AX107" i="111"/>
  <c r="AW107" i="111"/>
  <c r="M107" i="111" s="1"/>
  <c r="AV107" i="111"/>
  <c r="AU107" i="111"/>
  <c r="AT107" i="111"/>
  <c r="AS107" i="111"/>
  <c r="AR107" i="111"/>
  <c r="L107" i="111" s="1"/>
  <c r="AQ107" i="111"/>
  <c r="AP107" i="111"/>
  <c r="AO107" i="111"/>
  <c r="AN107" i="111"/>
  <c r="AM107" i="111"/>
  <c r="K107" i="111" s="1"/>
  <c r="AL107" i="111"/>
  <c r="AK107" i="111"/>
  <c r="AJ107" i="111"/>
  <c r="AI107" i="111"/>
  <c r="AH107" i="111"/>
  <c r="J107" i="111" s="1"/>
  <c r="AG107" i="111"/>
  <c r="AF107" i="111"/>
  <c r="AE107" i="111"/>
  <c r="AD107" i="111"/>
  <c r="AC107" i="111"/>
  <c r="I107" i="111" s="1"/>
  <c r="AB107" i="111"/>
  <c r="AA107" i="111"/>
  <c r="Z107" i="111"/>
  <c r="Y107" i="111"/>
  <c r="X107" i="111"/>
  <c r="H107" i="111" s="1"/>
  <c r="G107" i="111" s="1"/>
  <c r="BG106" i="111"/>
  <c r="O106" i="111" s="1"/>
  <c r="P106" i="111" s="1"/>
  <c r="Q106" i="111" s="1"/>
  <c r="BF106" i="111"/>
  <c r="BE106" i="111"/>
  <c r="BD106" i="111"/>
  <c r="BC106" i="111"/>
  <c r="BB106" i="111"/>
  <c r="N106" i="111" s="1"/>
  <c r="BA106" i="111"/>
  <c r="AZ106" i="111"/>
  <c r="AY106" i="111"/>
  <c r="AX106" i="111"/>
  <c r="AW106" i="111"/>
  <c r="M106" i="111" s="1"/>
  <c r="AV106" i="111"/>
  <c r="AU106" i="111"/>
  <c r="AT106" i="111"/>
  <c r="AS106" i="111"/>
  <c r="AR106" i="111"/>
  <c r="L106" i="111" s="1"/>
  <c r="AQ106" i="111"/>
  <c r="AP106" i="111"/>
  <c r="AO106" i="111"/>
  <c r="AN106" i="111"/>
  <c r="AM106" i="111"/>
  <c r="K106" i="111" s="1"/>
  <c r="AL106" i="111"/>
  <c r="AK106" i="111"/>
  <c r="AJ106" i="111"/>
  <c r="AI106" i="111"/>
  <c r="AH106" i="111"/>
  <c r="J106" i="111" s="1"/>
  <c r="AG106" i="111"/>
  <c r="AF106" i="111"/>
  <c r="AE106" i="111"/>
  <c r="AD106" i="111"/>
  <c r="AC106" i="111"/>
  <c r="I106" i="111" s="1"/>
  <c r="AB106" i="111"/>
  <c r="AA106" i="111"/>
  <c r="Z106" i="111"/>
  <c r="Y106" i="111"/>
  <c r="X106" i="111"/>
  <c r="H106" i="111" s="1"/>
  <c r="G106" i="111" s="1"/>
  <c r="BG103" i="111"/>
  <c r="O103" i="111" s="1"/>
  <c r="P103" i="111" s="1"/>
  <c r="Q103" i="111" s="1"/>
  <c r="BF103" i="111"/>
  <c r="BE103" i="111"/>
  <c r="BD103" i="111"/>
  <c r="BC103" i="111"/>
  <c r="BB103" i="111"/>
  <c r="N103" i="111" s="1"/>
  <c r="BA103" i="111"/>
  <c r="AZ103" i="111"/>
  <c r="AY103" i="111"/>
  <c r="AX103" i="111"/>
  <c r="AW103" i="111"/>
  <c r="M103" i="111" s="1"/>
  <c r="AV103" i="111"/>
  <c r="AU103" i="111"/>
  <c r="AT103" i="111"/>
  <c r="AS103" i="111"/>
  <c r="AR103" i="111"/>
  <c r="L103" i="111" s="1"/>
  <c r="AQ103" i="111"/>
  <c r="AP103" i="111"/>
  <c r="AO103" i="111"/>
  <c r="AN103" i="111"/>
  <c r="AM103" i="111"/>
  <c r="K103" i="111" s="1"/>
  <c r="AL103" i="111"/>
  <c r="AK103" i="111"/>
  <c r="AJ103" i="111"/>
  <c r="AI103" i="111"/>
  <c r="AH103" i="111"/>
  <c r="J103" i="111" s="1"/>
  <c r="AG103" i="111"/>
  <c r="AF103" i="111"/>
  <c r="AE103" i="111"/>
  <c r="AD103" i="111"/>
  <c r="AC103" i="111"/>
  <c r="I103" i="111" s="1"/>
  <c r="AB103" i="111"/>
  <c r="AA103" i="111"/>
  <c r="Z103" i="111"/>
  <c r="Y103" i="111"/>
  <c r="X103" i="111"/>
  <c r="H103" i="111" s="1"/>
  <c r="G103" i="111" s="1"/>
  <c r="BG102" i="111"/>
  <c r="O102" i="111" s="1"/>
  <c r="P102" i="111" s="1"/>
  <c r="Q102" i="111" s="1"/>
  <c r="BF102" i="111"/>
  <c r="BE102" i="111"/>
  <c r="BD102" i="111"/>
  <c r="BC102" i="111"/>
  <c r="BB102" i="111"/>
  <c r="N102" i="111" s="1"/>
  <c r="BA102" i="111"/>
  <c r="AZ102" i="111"/>
  <c r="AY102" i="111"/>
  <c r="AX102" i="111"/>
  <c r="AW102" i="111"/>
  <c r="M102" i="111" s="1"/>
  <c r="AV102" i="111"/>
  <c r="AU102" i="111"/>
  <c r="AT102" i="111"/>
  <c r="AS102" i="111"/>
  <c r="AR102" i="111"/>
  <c r="L102" i="111" s="1"/>
  <c r="AQ102" i="111"/>
  <c r="AP102" i="111"/>
  <c r="AO102" i="111"/>
  <c r="AN102" i="111"/>
  <c r="AM102" i="111"/>
  <c r="K102" i="111" s="1"/>
  <c r="AL102" i="111"/>
  <c r="AK102" i="111"/>
  <c r="AJ102" i="111"/>
  <c r="AI102" i="111"/>
  <c r="AH102" i="111"/>
  <c r="J102" i="111" s="1"/>
  <c r="AG102" i="111"/>
  <c r="AF102" i="111"/>
  <c r="AE102" i="111"/>
  <c r="AD102" i="111"/>
  <c r="AC102" i="111"/>
  <c r="I102" i="111" s="1"/>
  <c r="AB102" i="111"/>
  <c r="AA102" i="111"/>
  <c r="Z102" i="111"/>
  <c r="Y102" i="111"/>
  <c r="X102" i="111"/>
  <c r="H102" i="111" s="1"/>
  <c r="G102" i="111" s="1"/>
  <c r="BG101" i="111"/>
  <c r="O101" i="111" s="1"/>
  <c r="P101" i="111" s="1"/>
  <c r="Q101" i="111" s="1"/>
  <c r="BF101" i="111"/>
  <c r="BE101" i="111"/>
  <c r="BD101" i="111"/>
  <c r="BC101" i="111"/>
  <c r="BB101" i="111"/>
  <c r="N101" i="111" s="1"/>
  <c r="BA101" i="111"/>
  <c r="AZ101" i="111"/>
  <c r="AY101" i="111"/>
  <c r="AX101" i="111"/>
  <c r="AW101" i="111"/>
  <c r="M101" i="111" s="1"/>
  <c r="AV101" i="111"/>
  <c r="AU101" i="111"/>
  <c r="AT101" i="111"/>
  <c r="AS101" i="111"/>
  <c r="AR101" i="111"/>
  <c r="L101" i="111" s="1"/>
  <c r="AQ101" i="111"/>
  <c r="AP101" i="111"/>
  <c r="AO101" i="111"/>
  <c r="AN101" i="111"/>
  <c r="AM101" i="111"/>
  <c r="K101" i="111" s="1"/>
  <c r="AL101" i="111"/>
  <c r="AK101" i="111"/>
  <c r="AJ101" i="111"/>
  <c r="AI101" i="111"/>
  <c r="AH101" i="111"/>
  <c r="J101" i="111" s="1"/>
  <c r="AG101" i="111"/>
  <c r="AF101" i="111"/>
  <c r="AE101" i="111"/>
  <c r="AD101" i="111"/>
  <c r="AC101" i="111"/>
  <c r="I101" i="111" s="1"/>
  <c r="AB101" i="111"/>
  <c r="AA101" i="111"/>
  <c r="Z101" i="111"/>
  <c r="Y101" i="111"/>
  <c r="X101" i="111"/>
  <c r="H101" i="111" s="1"/>
  <c r="G101" i="111" s="1"/>
  <c r="BG100" i="111"/>
  <c r="O100" i="111" s="1"/>
  <c r="P100" i="111" s="1"/>
  <c r="Q100" i="111" s="1"/>
  <c r="BF100" i="111"/>
  <c r="BE100" i="111"/>
  <c r="BD100" i="111"/>
  <c r="BC100" i="111"/>
  <c r="BB100" i="111"/>
  <c r="N100" i="111" s="1"/>
  <c r="BA100" i="111"/>
  <c r="AZ100" i="111"/>
  <c r="AY100" i="111"/>
  <c r="AX100" i="111"/>
  <c r="AW100" i="111"/>
  <c r="M100" i="111" s="1"/>
  <c r="AV100" i="111"/>
  <c r="AU100" i="111"/>
  <c r="AT100" i="111"/>
  <c r="AS100" i="111"/>
  <c r="AR100" i="111"/>
  <c r="L100" i="111" s="1"/>
  <c r="AQ100" i="111"/>
  <c r="AP100" i="111"/>
  <c r="AO100" i="111"/>
  <c r="AN100" i="111"/>
  <c r="AM100" i="111"/>
  <c r="K100" i="111" s="1"/>
  <c r="AL100" i="111"/>
  <c r="AK100" i="111"/>
  <c r="AJ100" i="111"/>
  <c r="AI100" i="111"/>
  <c r="AH100" i="111"/>
  <c r="J100" i="111" s="1"/>
  <c r="AG100" i="111"/>
  <c r="AF100" i="111"/>
  <c r="AE100" i="111"/>
  <c r="AD100" i="111"/>
  <c r="AC100" i="111"/>
  <c r="I100" i="111" s="1"/>
  <c r="AB100" i="111"/>
  <c r="AA100" i="111"/>
  <c r="Z100" i="111"/>
  <c r="Y100" i="111"/>
  <c r="X100" i="111"/>
  <c r="H100" i="111" s="1"/>
  <c r="G100" i="111" s="1"/>
  <c r="BG99" i="111"/>
  <c r="O99" i="111" s="1"/>
  <c r="P99" i="111" s="1"/>
  <c r="Q99" i="111" s="1"/>
  <c r="BF99" i="111"/>
  <c r="BE99" i="111"/>
  <c r="BD99" i="111"/>
  <c r="BC99" i="111"/>
  <c r="BB99" i="111"/>
  <c r="N99" i="111" s="1"/>
  <c r="BA99" i="111"/>
  <c r="AZ99" i="111"/>
  <c r="AY99" i="111"/>
  <c r="AX99" i="111"/>
  <c r="AW99" i="111"/>
  <c r="M99" i="111" s="1"/>
  <c r="AV99" i="111"/>
  <c r="AU99" i="111"/>
  <c r="AT99" i="111"/>
  <c r="AS99" i="111"/>
  <c r="AR99" i="111"/>
  <c r="L99" i="111" s="1"/>
  <c r="AQ99" i="111"/>
  <c r="AP99" i="111"/>
  <c r="AO99" i="111"/>
  <c r="AN99" i="111"/>
  <c r="AM99" i="111"/>
  <c r="K99" i="111" s="1"/>
  <c r="AL99" i="111"/>
  <c r="AK99" i="111"/>
  <c r="AJ99" i="111"/>
  <c r="AI99" i="111"/>
  <c r="AH99" i="111"/>
  <c r="J99" i="111" s="1"/>
  <c r="AG99" i="111"/>
  <c r="AF99" i="111"/>
  <c r="AE99" i="111"/>
  <c r="AD99" i="111"/>
  <c r="AC99" i="111"/>
  <c r="I99" i="111" s="1"/>
  <c r="AB99" i="111"/>
  <c r="AA99" i="111"/>
  <c r="Z99" i="111"/>
  <c r="Y99" i="111"/>
  <c r="X99" i="111"/>
  <c r="H99" i="111" s="1"/>
  <c r="G99" i="111" s="1"/>
  <c r="BG98" i="111"/>
  <c r="O98" i="111" s="1"/>
  <c r="P98" i="111" s="1"/>
  <c r="Q98" i="111" s="1"/>
  <c r="BF98" i="111"/>
  <c r="BE98" i="111"/>
  <c r="BD98" i="111"/>
  <c r="BC98" i="111"/>
  <c r="BB98" i="111"/>
  <c r="N98" i="111" s="1"/>
  <c r="BA98" i="111"/>
  <c r="AZ98" i="111"/>
  <c r="AY98" i="111"/>
  <c r="AX98" i="111"/>
  <c r="AW98" i="111"/>
  <c r="M98" i="111" s="1"/>
  <c r="AV98" i="111"/>
  <c r="AU98" i="111"/>
  <c r="AT98" i="111"/>
  <c r="AS98" i="111"/>
  <c r="AR98" i="111"/>
  <c r="L98" i="111" s="1"/>
  <c r="AQ98" i="111"/>
  <c r="AP98" i="111"/>
  <c r="AO98" i="111"/>
  <c r="AN98" i="111"/>
  <c r="AM98" i="111"/>
  <c r="K98" i="111" s="1"/>
  <c r="AL98" i="111"/>
  <c r="AK98" i="111"/>
  <c r="AJ98" i="111"/>
  <c r="AI98" i="111"/>
  <c r="AH98" i="111"/>
  <c r="J98" i="111" s="1"/>
  <c r="AG98" i="111"/>
  <c r="AF98" i="111"/>
  <c r="AE98" i="111"/>
  <c r="AD98" i="111"/>
  <c r="AC98" i="111"/>
  <c r="I98" i="111" s="1"/>
  <c r="AB98" i="111"/>
  <c r="AA98" i="111"/>
  <c r="Z98" i="111"/>
  <c r="Y98" i="111"/>
  <c r="X98" i="111"/>
  <c r="H98" i="111" s="1"/>
  <c r="G98" i="111" s="1"/>
  <c r="BG97" i="111"/>
  <c r="O97" i="111" s="1"/>
  <c r="P97" i="111" s="1"/>
  <c r="Q97" i="111" s="1"/>
  <c r="BF97" i="111"/>
  <c r="BE97" i="111"/>
  <c r="BD97" i="111"/>
  <c r="BC97" i="111"/>
  <c r="BB97" i="111"/>
  <c r="N97" i="111" s="1"/>
  <c r="BA97" i="111"/>
  <c r="AZ97" i="111"/>
  <c r="AY97" i="111"/>
  <c r="AX97" i="111"/>
  <c r="AW97" i="111"/>
  <c r="M97" i="111" s="1"/>
  <c r="AV97" i="111"/>
  <c r="AU97" i="111"/>
  <c r="AT97" i="111"/>
  <c r="AS97" i="111"/>
  <c r="AR97" i="111"/>
  <c r="L97" i="111" s="1"/>
  <c r="AQ97" i="111"/>
  <c r="AP97" i="111"/>
  <c r="AO97" i="111"/>
  <c r="AN97" i="111"/>
  <c r="AM97" i="111"/>
  <c r="K97" i="111" s="1"/>
  <c r="AL97" i="111"/>
  <c r="AK97" i="111"/>
  <c r="AJ97" i="111"/>
  <c r="AI97" i="111"/>
  <c r="AH97" i="111"/>
  <c r="J97" i="111" s="1"/>
  <c r="AG97" i="111"/>
  <c r="AF97" i="111"/>
  <c r="AE97" i="111"/>
  <c r="AD97" i="111"/>
  <c r="AC97" i="111"/>
  <c r="I97" i="111" s="1"/>
  <c r="AB97" i="111"/>
  <c r="AA97" i="111"/>
  <c r="Z97" i="111"/>
  <c r="Y97" i="111"/>
  <c r="X97" i="111"/>
  <c r="H97" i="111" s="1"/>
  <c r="G97" i="111" s="1"/>
  <c r="BG96" i="111"/>
  <c r="O96" i="111" s="1"/>
  <c r="P96" i="111" s="1"/>
  <c r="Q96" i="111" s="1"/>
  <c r="BF96" i="111"/>
  <c r="BE96" i="111"/>
  <c r="BD96" i="111"/>
  <c r="BC96" i="111"/>
  <c r="BB96" i="111"/>
  <c r="N96" i="111" s="1"/>
  <c r="BA96" i="111"/>
  <c r="AZ96" i="111"/>
  <c r="AY96" i="111"/>
  <c r="AX96" i="111"/>
  <c r="AW96" i="111"/>
  <c r="M96" i="111" s="1"/>
  <c r="AV96" i="111"/>
  <c r="AU96" i="111"/>
  <c r="AT96" i="111"/>
  <c r="AS96" i="111"/>
  <c r="AR96" i="111"/>
  <c r="L96" i="111" s="1"/>
  <c r="AQ96" i="111"/>
  <c r="AP96" i="111"/>
  <c r="AO96" i="111"/>
  <c r="AN96" i="111"/>
  <c r="AM96" i="111"/>
  <c r="K96" i="111" s="1"/>
  <c r="AL96" i="111"/>
  <c r="AK96" i="111"/>
  <c r="AJ96" i="111"/>
  <c r="AI96" i="111"/>
  <c r="AH96" i="111"/>
  <c r="J96" i="111" s="1"/>
  <c r="AG96" i="111"/>
  <c r="AF96" i="111"/>
  <c r="AE96" i="111"/>
  <c r="AD96" i="111"/>
  <c r="AC96" i="111"/>
  <c r="I96" i="111" s="1"/>
  <c r="AB96" i="111"/>
  <c r="AA96" i="111"/>
  <c r="Z96" i="111"/>
  <c r="Y96" i="111"/>
  <c r="X96" i="111"/>
  <c r="H96" i="111" s="1"/>
  <c r="G96" i="111" s="1"/>
  <c r="BG95" i="111"/>
  <c r="O95" i="111" s="1"/>
  <c r="P95" i="111" s="1"/>
  <c r="Q95" i="111" s="1"/>
  <c r="BF95" i="111"/>
  <c r="BE95" i="111"/>
  <c r="BD95" i="111"/>
  <c r="BC95" i="111"/>
  <c r="BB95" i="111"/>
  <c r="N95" i="111" s="1"/>
  <c r="BA95" i="111"/>
  <c r="AZ95" i="111"/>
  <c r="AY95" i="111"/>
  <c r="AX95" i="111"/>
  <c r="AW95" i="111"/>
  <c r="M95" i="111" s="1"/>
  <c r="AV95" i="111"/>
  <c r="AU95" i="111"/>
  <c r="AT95" i="111"/>
  <c r="AS95" i="111"/>
  <c r="AR95" i="111"/>
  <c r="L95" i="111" s="1"/>
  <c r="AQ95" i="111"/>
  <c r="AP95" i="111"/>
  <c r="AO95" i="111"/>
  <c r="AN95" i="111"/>
  <c r="AM95" i="111"/>
  <c r="K95" i="111" s="1"/>
  <c r="AL95" i="111"/>
  <c r="AK95" i="111"/>
  <c r="AJ95" i="111"/>
  <c r="AI95" i="111"/>
  <c r="AH95" i="111"/>
  <c r="J95" i="111" s="1"/>
  <c r="AG95" i="111"/>
  <c r="AF95" i="111"/>
  <c r="AE95" i="111"/>
  <c r="AD95" i="111"/>
  <c r="AC95" i="111"/>
  <c r="I95" i="111" s="1"/>
  <c r="AB95" i="111"/>
  <c r="AA95" i="111"/>
  <c r="Z95" i="111"/>
  <c r="Y95" i="111"/>
  <c r="X95" i="111"/>
  <c r="H95" i="111" s="1"/>
  <c r="G95" i="111" s="1"/>
  <c r="BG94" i="111"/>
  <c r="O94" i="111" s="1"/>
  <c r="P94" i="111" s="1"/>
  <c r="Q94" i="111" s="1"/>
  <c r="BF94" i="111"/>
  <c r="BE94" i="111"/>
  <c r="BD94" i="111"/>
  <c r="BC94" i="111"/>
  <c r="BB94" i="111"/>
  <c r="N94" i="111" s="1"/>
  <c r="BA94" i="111"/>
  <c r="AZ94" i="111"/>
  <c r="AY94" i="111"/>
  <c r="AX94" i="111"/>
  <c r="AW94" i="111"/>
  <c r="M94" i="111" s="1"/>
  <c r="AV94" i="111"/>
  <c r="AU94" i="111"/>
  <c r="AT94" i="111"/>
  <c r="AS94" i="111"/>
  <c r="AR94" i="111"/>
  <c r="L94" i="111" s="1"/>
  <c r="AQ94" i="111"/>
  <c r="AP94" i="111"/>
  <c r="AO94" i="111"/>
  <c r="AN94" i="111"/>
  <c r="AM94" i="111"/>
  <c r="K94" i="111" s="1"/>
  <c r="AL94" i="111"/>
  <c r="AK94" i="111"/>
  <c r="AJ94" i="111"/>
  <c r="AI94" i="111"/>
  <c r="AH94" i="111"/>
  <c r="J94" i="111" s="1"/>
  <c r="AG94" i="111"/>
  <c r="AF94" i="111"/>
  <c r="AE94" i="111"/>
  <c r="AD94" i="111"/>
  <c r="AC94" i="111"/>
  <c r="I94" i="111" s="1"/>
  <c r="AB94" i="111"/>
  <c r="AA94" i="111"/>
  <c r="Z94" i="111"/>
  <c r="Y94" i="111"/>
  <c r="X94" i="111"/>
  <c r="H94" i="111" s="1"/>
  <c r="G94" i="111" s="1"/>
  <c r="BG93" i="111"/>
  <c r="O93" i="111" s="1"/>
  <c r="P93" i="111" s="1"/>
  <c r="Q93" i="111" s="1"/>
  <c r="BF93" i="111"/>
  <c r="BE93" i="111"/>
  <c r="BD93" i="111"/>
  <c r="BC93" i="111"/>
  <c r="BB93" i="111"/>
  <c r="N93" i="111" s="1"/>
  <c r="BA93" i="111"/>
  <c r="AZ93" i="111"/>
  <c r="AY93" i="111"/>
  <c r="AX93" i="111"/>
  <c r="AW93" i="111"/>
  <c r="M93" i="111" s="1"/>
  <c r="AV93" i="111"/>
  <c r="AU93" i="111"/>
  <c r="AT93" i="111"/>
  <c r="AS93" i="111"/>
  <c r="AR93" i="111"/>
  <c r="L93" i="111" s="1"/>
  <c r="AQ93" i="111"/>
  <c r="AP93" i="111"/>
  <c r="AO93" i="111"/>
  <c r="AN93" i="111"/>
  <c r="AM93" i="111"/>
  <c r="K93" i="111" s="1"/>
  <c r="AL93" i="111"/>
  <c r="AK93" i="111"/>
  <c r="AJ93" i="111"/>
  <c r="AI93" i="111"/>
  <c r="AH93" i="111"/>
  <c r="J93" i="111" s="1"/>
  <c r="AG93" i="111"/>
  <c r="AF93" i="111"/>
  <c r="AE93" i="111"/>
  <c r="AD93" i="111"/>
  <c r="AC93" i="111"/>
  <c r="I93" i="111" s="1"/>
  <c r="AB93" i="111"/>
  <c r="AA93" i="111"/>
  <c r="Z93" i="111"/>
  <c r="Y93" i="111"/>
  <c r="X93" i="111"/>
  <c r="H93" i="111" s="1"/>
  <c r="G93" i="111" s="1"/>
  <c r="BG92" i="111"/>
  <c r="O92" i="111" s="1"/>
  <c r="P92" i="111" s="1"/>
  <c r="Q92" i="111" s="1"/>
  <c r="BF92" i="111"/>
  <c r="BE92" i="111"/>
  <c r="BD92" i="111"/>
  <c r="BC92" i="111"/>
  <c r="BB92" i="111"/>
  <c r="N92" i="111" s="1"/>
  <c r="BA92" i="111"/>
  <c r="AZ92" i="111"/>
  <c r="AY92" i="111"/>
  <c r="AX92" i="111"/>
  <c r="AW92" i="111"/>
  <c r="M92" i="111" s="1"/>
  <c r="AV92" i="111"/>
  <c r="AU92" i="111"/>
  <c r="AT92" i="111"/>
  <c r="AS92" i="111"/>
  <c r="AR92" i="111"/>
  <c r="L92" i="111" s="1"/>
  <c r="AQ92" i="111"/>
  <c r="AP92" i="111"/>
  <c r="AO92" i="111"/>
  <c r="AN92" i="111"/>
  <c r="AM92" i="111"/>
  <c r="K92" i="111" s="1"/>
  <c r="AL92" i="111"/>
  <c r="AK92" i="111"/>
  <c r="AJ92" i="111"/>
  <c r="AI92" i="111"/>
  <c r="AH92" i="111"/>
  <c r="J92" i="111" s="1"/>
  <c r="AG92" i="111"/>
  <c r="AF92" i="111"/>
  <c r="AE92" i="111"/>
  <c r="AD92" i="111"/>
  <c r="AC92" i="111"/>
  <c r="I92" i="111" s="1"/>
  <c r="AB92" i="111"/>
  <c r="AA92" i="111"/>
  <c r="Z92" i="111"/>
  <c r="Y92" i="111"/>
  <c r="X92" i="111"/>
  <c r="H92" i="111" s="1"/>
  <c r="G92" i="111" s="1"/>
  <c r="BG91" i="111"/>
  <c r="O91" i="111" s="1"/>
  <c r="P91" i="111" s="1"/>
  <c r="Q91" i="111" s="1"/>
  <c r="BF91" i="111"/>
  <c r="BE91" i="111"/>
  <c r="BD91" i="111"/>
  <c r="BC91" i="111"/>
  <c r="BB91" i="111"/>
  <c r="N91" i="111" s="1"/>
  <c r="BA91" i="111"/>
  <c r="AZ91" i="111"/>
  <c r="AY91" i="111"/>
  <c r="AX91" i="111"/>
  <c r="AW91" i="111"/>
  <c r="M91" i="111" s="1"/>
  <c r="AV91" i="111"/>
  <c r="AU91" i="111"/>
  <c r="AT91" i="111"/>
  <c r="AS91" i="111"/>
  <c r="AR91" i="111"/>
  <c r="L91" i="111" s="1"/>
  <c r="AQ91" i="111"/>
  <c r="AP91" i="111"/>
  <c r="AO91" i="111"/>
  <c r="AN91" i="111"/>
  <c r="AM91" i="111"/>
  <c r="K91" i="111" s="1"/>
  <c r="AL91" i="111"/>
  <c r="AK91" i="111"/>
  <c r="AJ91" i="111"/>
  <c r="AI91" i="111"/>
  <c r="AH91" i="111"/>
  <c r="J91" i="111" s="1"/>
  <c r="AG91" i="111"/>
  <c r="AF91" i="111"/>
  <c r="AE91" i="111"/>
  <c r="AD91" i="111"/>
  <c r="AC91" i="111"/>
  <c r="I91" i="111" s="1"/>
  <c r="AB91" i="111"/>
  <c r="AA91" i="111"/>
  <c r="Z91" i="111"/>
  <c r="Y91" i="111"/>
  <c r="X91" i="111"/>
  <c r="H91" i="111" s="1"/>
  <c r="G91" i="111" s="1"/>
  <c r="BG90" i="111"/>
  <c r="O90" i="111" s="1"/>
  <c r="P90" i="111" s="1"/>
  <c r="Q90" i="111" s="1"/>
  <c r="BF90" i="111"/>
  <c r="BE90" i="111"/>
  <c r="BD90" i="111"/>
  <c r="BC90" i="111"/>
  <c r="BB90" i="111"/>
  <c r="N90" i="111" s="1"/>
  <c r="BA90" i="111"/>
  <c r="AZ90" i="111"/>
  <c r="AY90" i="111"/>
  <c r="AX90" i="111"/>
  <c r="AW90" i="111"/>
  <c r="M90" i="111" s="1"/>
  <c r="AV90" i="111"/>
  <c r="AU90" i="111"/>
  <c r="AT90" i="111"/>
  <c r="AS90" i="111"/>
  <c r="AR90" i="111"/>
  <c r="L90" i="111" s="1"/>
  <c r="AQ90" i="111"/>
  <c r="AP90" i="111"/>
  <c r="AO90" i="111"/>
  <c r="AN90" i="111"/>
  <c r="AM90" i="111"/>
  <c r="K90" i="111" s="1"/>
  <c r="AL90" i="111"/>
  <c r="AK90" i="111"/>
  <c r="AJ90" i="111"/>
  <c r="AI90" i="111"/>
  <c r="AH90" i="111"/>
  <c r="J90" i="111" s="1"/>
  <c r="AG90" i="111"/>
  <c r="AF90" i="111"/>
  <c r="AE90" i="111"/>
  <c r="AD90" i="111"/>
  <c r="AC90" i="111"/>
  <c r="I90" i="111" s="1"/>
  <c r="AB90" i="111"/>
  <c r="AA90" i="111"/>
  <c r="Z90" i="111"/>
  <c r="Y90" i="111"/>
  <c r="X90" i="111"/>
  <c r="H90" i="111" s="1"/>
  <c r="G90" i="111" s="1"/>
  <c r="BG89" i="111"/>
  <c r="O89" i="111" s="1"/>
  <c r="P89" i="111" s="1"/>
  <c r="Q89" i="111" s="1"/>
  <c r="BF89" i="111"/>
  <c r="BE89" i="111"/>
  <c r="BD89" i="111"/>
  <c r="BC89" i="111"/>
  <c r="BB89" i="111"/>
  <c r="N89" i="111" s="1"/>
  <c r="BA89" i="111"/>
  <c r="AZ89" i="111"/>
  <c r="AY89" i="111"/>
  <c r="AX89" i="111"/>
  <c r="AW89" i="111"/>
  <c r="M89" i="111" s="1"/>
  <c r="AV89" i="111"/>
  <c r="AU89" i="111"/>
  <c r="AT89" i="111"/>
  <c r="AS89" i="111"/>
  <c r="AR89" i="111"/>
  <c r="L89" i="111" s="1"/>
  <c r="AQ89" i="111"/>
  <c r="AP89" i="111"/>
  <c r="AO89" i="111"/>
  <c r="AN89" i="111"/>
  <c r="AM89" i="111"/>
  <c r="K89" i="111" s="1"/>
  <c r="AL89" i="111"/>
  <c r="AK89" i="111"/>
  <c r="AJ89" i="111"/>
  <c r="AI89" i="111"/>
  <c r="AH89" i="111"/>
  <c r="J89" i="111" s="1"/>
  <c r="AG89" i="111"/>
  <c r="AF89" i="111"/>
  <c r="AE89" i="111"/>
  <c r="AD89" i="111"/>
  <c r="AC89" i="111"/>
  <c r="I89" i="111" s="1"/>
  <c r="AB89" i="111"/>
  <c r="AA89" i="111"/>
  <c r="Z89" i="111"/>
  <c r="Y89" i="111"/>
  <c r="X89" i="111"/>
  <c r="H89" i="111" s="1"/>
  <c r="G89" i="111" s="1"/>
  <c r="BG88" i="111"/>
  <c r="O88" i="111" s="1"/>
  <c r="P88" i="111" s="1"/>
  <c r="Q88" i="111" s="1"/>
  <c r="BF88" i="111"/>
  <c r="BE88" i="111"/>
  <c r="BD88" i="111"/>
  <c r="BC88" i="111"/>
  <c r="BB88" i="111"/>
  <c r="N88" i="111" s="1"/>
  <c r="BA88" i="111"/>
  <c r="AZ88" i="111"/>
  <c r="AY88" i="111"/>
  <c r="AX88" i="111"/>
  <c r="AW88" i="111"/>
  <c r="M88" i="111" s="1"/>
  <c r="AV88" i="111"/>
  <c r="AU88" i="111"/>
  <c r="AT88" i="111"/>
  <c r="AS88" i="111"/>
  <c r="AR88" i="111"/>
  <c r="L88" i="111" s="1"/>
  <c r="AQ88" i="111"/>
  <c r="AP88" i="111"/>
  <c r="AO88" i="111"/>
  <c r="AN88" i="111"/>
  <c r="AM88" i="111"/>
  <c r="K88" i="111" s="1"/>
  <c r="AL88" i="111"/>
  <c r="AK88" i="111"/>
  <c r="AJ88" i="111"/>
  <c r="AI88" i="111"/>
  <c r="AH88" i="111"/>
  <c r="J88" i="111" s="1"/>
  <c r="AG88" i="111"/>
  <c r="AF88" i="111"/>
  <c r="AE88" i="111"/>
  <c r="AD88" i="111"/>
  <c r="AC88" i="111"/>
  <c r="I88" i="111" s="1"/>
  <c r="AB88" i="111"/>
  <c r="AA88" i="111"/>
  <c r="Z88" i="111"/>
  <c r="Y88" i="111"/>
  <c r="X88" i="111"/>
  <c r="H88" i="111" s="1"/>
  <c r="G88" i="111" s="1"/>
  <c r="BG87" i="111"/>
  <c r="O87" i="111" s="1"/>
  <c r="P87" i="111" s="1"/>
  <c r="Q87" i="111" s="1"/>
  <c r="BF87" i="111"/>
  <c r="BE87" i="111"/>
  <c r="BD87" i="111"/>
  <c r="BC87" i="111"/>
  <c r="BB87" i="111"/>
  <c r="N87" i="111" s="1"/>
  <c r="BA87" i="111"/>
  <c r="AZ87" i="111"/>
  <c r="AY87" i="111"/>
  <c r="AX87" i="111"/>
  <c r="AW87" i="111"/>
  <c r="M87" i="111" s="1"/>
  <c r="AV87" i="111"/>
  <c r="AU87" i="111"/>
  <c r="AT87" i="111"/>
  <c r="AS87" i="111"/>
  <c r="AR87" i="111"/>
  <c r="L87" i="111" s="1"/>
  <c r="AQ87" i="111"/>
  <c r="AP87" i="111"/>
  <c r="AO87" i="111"/>
  <c r="AN87" i="111"/>
  <c r="AM87" i="111"/>
  <c r="K87" i="111" s="1"/>
  <c r="AL87" i="111"/>
  <c r="AK87" i="111"/>
  <c r="AJ87" i="111"/>
  <c r="AI87" i="111"/>
  <c r="AH87" i="111"/>
  <c r="J87" i="111" s="1"/>
  <c r="AG87" i="111"/>
  <c r="AF87" i="111"/>
  <c r="AE87" i="111"/>
  <c r="AD87" i="111"/>
  <c r="AC87" i="111"/>
  <c r="I87" i="111" s="1"/>
  <c r="AB87" i="111"/>
  <c r="AA87" i="111"/>
  <c r="Z87" i="111"/>
  <c r="Y87" i="111"/>
  <c r="X87" i="111"/>
  <c r="H87" i="111" s="1"/>
  <c r="G87" i="111" s="1"/>
  <c r="BG86" i="111"/>
  <c r="O86" i="111" s="1"/>
  <c r="P86" i="111" s="1"/>
  <c r="Q86" i="111" s="1"/>
  <c r="BF86" i="111"/>
  <c r="BE86" i="111"/>
  <c r="BD86" i="111"/>
  <c r="BC86" i="111"/>
  <c r="BB86" i="111"/>
  <c r="N86" i="111" s="1"/>
  <c r="BA86" i="111"/>
  <c r="AZ86" i="111"/>
  <c r="AY86" i="111"/>
  <c r="AX86" i="111"/>
  <c r="AW86" i="111"/>
  <c r="M86" i="111" s="1"/>
  <c r="AV86" i="111"/>
  <c r="AU86" i="111"/>
  <c r="AT86" i="111"/>
  <c r="AS86" i="111"/>
  <c r="AR86" i="111"/>
  <c r="L86" i="111" s="1"/>
  <c r="AQ86" i="111"/>
  <c r="AP86" i="111"/>
  <c r="AO86" i="111"/>
  <c r="AN86" i="111"/>
  <c r="AM86" i="111"/>
  <c r="K86" i="111" s="1"/>
  <c r="AL86" i="111"/>
  <c r="AK86" i="111"/>
  <c r="AJ86" i="111"/>
  <c r="AI86" i="111"/>
  <c r="AH86" i="111"/>
  <c r="J86" i="111" s="1"/>
  <c r="AG86" i="111"/>
  <c r="AF86" i="111"/>
  <c r="AE86" i="111"/>
  <c r="AD86" i="111"/>
  <c r="AC86" i="111"/>
  <c r="I86" i="111" s="1"/>
  <c r="AB86" i="111"/>
  <c r="AA86" i="111"/>
  <c r="Z86" i="111"/>
  <c r="Y86" i="111"/>
  <c r="X86" i="111"/>
  <c r="H86" i="111" s="1"/>
  <c r="G86" i="111" s="1"/>
  <c r="BG85" i="111"/>
  <c r="O85" i="111" s="1"/>
  <c r="P85" i="111" s="1"/>
  <c r="Q85" i="111" s="1"/>
  <c r="BF85" i="111"/>
  <c r="BE85" i="111"/>
  <c r="BD85" i="111"/>
  <c r="BC85" i="111"/>
  <c r="BB85" i="111"/>
  <c r="N85" i="111" s="1"/>
  <c r="BA85" i="111"/>
  <c r="AZ85" i="111"/>
  <c r="AY85" i="111"/>
  <c r="AX85" i="111"/>
  <c r="AW85" i="111"/>
  <c r="M85" i="111" s="1"/>
  <c r="AV85" i="111"/>
  <c r="AU85" i="111"/>
  <c r="AT85" i="111"/>
  <c r="AS85" i="111"/>
  <c r="AR85" i="111"/>
  <c r="L85" i="111" s="1"/>
  <c r="AQ85" i="111"/>
  <c r="AP85" i="111"/>
  <c r="AO85" i="111"/>
  <c r="AN85" i="111"/>
  <c r="AM85" i="111"/>
  <c r="K85" i="111" s="1"/>
  <c r="AL85" i="111"/>
  <c r="AK85" i="111"/>
  <c r="AJ85" i="111"/>
  <c r="AI85" i="111"/>
  <c r="AH85" i="111"/>
  <c r="J85" i="111" s="1"/>
  <c r="AG85" i="111"/>
  <c r="AF85" i="111"/>
  <c r="AE85" i="111"/>
  <c r="AD85" i="111"/>
  <c r="AC85" i="111"/>
  <c r="I85" i="111" s="1"/>
  <c r="AB85" i="111"/>
  <c r="AA85" i="111"/>
  <c r="Z85" i="111"/>
  <c r="Y85" i="111"/>
  <c r="X85" i="111"/>
  <c r="H85" i="111" s="1"/>
  <c r="G85" i="111" s="1"/>
  <c r="BG84" i="111"/>
  <c r="O84" i="111" s="1"/>
  <c r="P84" i="111" s="1"/>
  <c r="Q84" i="111" s="1"/>
  <c r="BF84" i="111"/>
  <c r="BE84" i="111"/>
  <c r="BD84" i="111"/>
  <c r="BC84" i="111"/>
  <c r="BB84" i="111"/>
  <c r="N84" i="111" s="1"/>
  <c r="BA84" i="111"/>
  <c r="AZ84" i="111"/>
  <c r="AY84" i="111"/>
  <c r="AX84" i="111"/>
  <c r="AW84" i="111"/>
  <c r="M84" i="111" s="1"/>
  <c r="AV84" i="111"/>
  <c r="AU84" i="111"/>
  <c r="AT84" i="111"/>
  <c r="AS84" i="111"/>
  <c r="AR84" i="111"/>
  <c r="L84" i="111" s="1"/>
  <c r="AQ84" i="111"/>
  <c r="AP84" i="111"/>
  <c r="AO84" i="111"/>
  <c r="AN84" i="111"/>
  <c r="AM84" i="111"/>
  <c r="K84" i="111" s="1"/>
  <c r="AL84" i="111"/>
  <c r="AK84" i="111"/>
  <c r="AJ84" i="111"/>
  <c r="AI84" i="111"/>
  <c r="AH84" i="111"/>
  <c r="J84" i="111" s="1"/>
  <c r="AG84" i="111"/>
  <c r="AF84" i="111"/>
  <c r="AE84" i="111"/>
  <c r="AD84" i="111"/>
  <c r="AC84" i="111"/>
  <c r="I84" i="111" s="1"/>
  <c r="AB84" i="111"/>
  <c r="AA84" i="111"/>
  <c r="Z84" i="111"/>
  <c r="Y84" i="111"/>
  <c r="X84" i="111"/>
  <c r="H84" i="111" s="1"/>
  <c r="G84" i="111" s="1"/>
  <c r="BG83" i="111"/>
  <c r="O83" i="111" s="1"/>
  <c r="P83" i="111" s="1"/>
  <c r="Q83" i="111" s="1"/>
  <c r="BF83" i="111"/>
  <c r="BE83" i="111"/>
  <c r="BD83" i="111"/>
  <c r="BC83" i="111"/>
  <c r="BB83" i="111"/>
  <c r="N83" i="111" s="1"/>
  <c r="BA83" i="111"/>
  <c r="AZ83" i="111"/>
  <c r="AY83" i="111"/>
  <c r="AX83" i="111"/>
  <c r="AW83" i="111"/>
  <c r="M83" i="111" s="1"/>
  <c r="AV83" i="111"/>
  <c r="AU83" i="111"/>
  <c r="AT83" i="111"/>
  <c r="AS83" i="111"/>
  <c r="AR83" i="111"/>
  <c r="L83" i="111" s="1"/>
  <c r="AQ83" i="111"/>
  <c r="AP83" i="111"/>
  <c r="AO83" i="111"/>
  <c r="AN83" i="111"/>
  <c r="AM83" i="111"/>
  <c r="K83" i="111" s="1"/>
  <c r="AL83" i="111"/>
  <c r="AK83" i="111"/>
  <c r="AJ83" i="111"/>
  <c r="AI83" i="111"/>
  <c r="AH83" i="111"/>
  <c r="J83" i="111" s="1"/>
  <c r="AG83" i="111"/>
  <c r="AF83" i="111"/>
  <c r="AE83" i="111"/>
  <c r="AD83" i="111"/>
  <c r="AC83" i="111"/>
  <c r="I83" i="111" s="1"/>
  <c r="AB83" i="111"/>
  <c r="AA83" i="111"/>
  <c r="Z83" i="111"/>
  <c r="Y83" i="111"/>
  <c r="X83" i="111"/>
  <c r="H83" i="111" s="1"/>
  <c r="G83" i="111" s="1"/>
  <c r="BG82" i="111"/>
  <c r="O82" i="111" s="1"/>
  <c r="P82" i="111" s="1"/>
  <c r="Q82" i="111" s="1"/>
  <c r="BF82" i="111"/>
  <c r="BE82" i="111"/>
  <c r="BD82" i="111"/>
  <c r="BC82" i="111"/>
  <c r="BB82" i="111"/>
  <c r="N82" i="111" s="1"/>
  <c r="BA82" i="111"/>
  <c r="AZ82" i="111"/>
  <c r="AY82" i="111"/>
  <c r="AX82" i="111"/>
  <c r="AW82" i="111"/>
  <c r="M82" i="111" s="1"/>
  <c r="AV82" i="111"/>
  <c r="AU82" i="111"/>
  <c r="AT82" i="111"/>
  <c r="AS82" i="111"/>
  <c r="AR82" i="111"/>
  <c r="L82" i="111" s="1"/>
  <c r="AQ82" i="111"/>
  <c r="AP82" i="111"/>
  <c r="AO82" i="111"/>
  <c r="AN82" i="111"/>
  <c r="AM82" i="111"/>
  <c r="K82" i="111" s="1"/>
  <c r="AL82" i="111"/>
  <c r="AK82" i="111"/>
  <c r="AJ82" i="111"/>
  <c r="AI82" i="111"/>
  <c r="AH82" i="111"/>
  <c r="J82" i="111" s="1"/>
  <c r="AG82" i="111"/>
  <c r="AF82" i="111"/>
  <c r="AE82" i="111"/>
  <c r="AD82" i="111"/>
  <c r="AC82" i="111"/>
  <c r="I82" i="111" s="1"/>
  <c r="AB82" i="111"/>
  <c r="AA82" i="111"/>
  <c r="Z82" i="111"/>
  <c r="Y82" i="111"/>
  <c r="X82" i="111"/>
  <c r="H82" i="111" s="1"/>
  <c r="G82" i="111" s="1"/>
  <c r="BG81" i="111"/>
  <c r="O81" i="111" s="1"/>
  <c r="P81" i="111" s="1"/>
  <c r="Q81" i="111" s="1"/>
  <c r="BF81" i="111"/>
  <c r="BE81" i="111"/>
  <c r="BD81" i="111"/>
  <c r="BC81" i="111"/>
  <c r="BB81" i="111"/>
  <c r="N81" i="111" s="1"/>
  <c r="BA81" i="111"/>
  <c r="AZ81" i="111"/>
  <c r="AY81" i="111"/>
  <c r="AX81" i="111"/>
  <c r="AW81" i="111"/>
  <c r="M81" i="111" s="1"/>
  <c r="AV81" i="111"/>
  <c r="AU81" i="111"/>
  <c r="AT81" i="111"/>
  <c r="AS81" i="111"/>
  <c r="AR81" i="111"/>
  <c r="L81" i="111" s="1"/>
  <c r="AQ81" i="111"/>
  <c r="AP81" i="111"/>
  <c r="AO81" i="111"/>
  <c r="AN81" i="111"/>
  <c r="AM81" i="111"/>
  <c r="K81" i="111" s="1"/>
  <c r="AL81" i="111"/>
  <c r="AK81" i="111"/>
  <c r="AJ81" i="111"/>
  <c r="AI81" i="111"/>
  <c r="AH81" i="111"/>
  <c r="J81" i="111" s="1"/>
  <c r="AG81" i="111"/>
  <c r="AF81" i="111"/>
  <c r="AE81" i="111"/>
  <c r="AD81" i="111"/>
  <c r="AC81" i="111"/>
  <c r="I81" i="111" s="1"/>
  <c r="AB81" i="111"/>
  <c r="AA81" i="111"/>
  <c r="Z81" i="111"/>
  <c r="Y81" i="111"/>
  <c r="X81" i="111"/>
  <c r="H81" i="111" s="1"/>
  <c r="G81" i="111" s="1"/>
  <c r="BG80" i="111"/>
  <c r="O80" i="111" s="1"/>
  <c r="P80" i="111" s="1"/>
  <c r="Q80" i="111" s="1"/>
  <c r="BF80" i="111"/>
  <c r="BE80" i="111"/>
  <c r="BD80" i="111"/>
  <c r="BC80" i="111"/>
  <c r="BB80" i="111"/>
  <c r="N80" i="111" s="1"/>
  <c r="BA80" i="111"/>
  <c r="AZ80" i="111"/>
  <c r="AY80" i="111"/>
  <c r="AX80" i="111"/>
  <c r="AW80" i="111"/>
  <c r="M80" i="111" s="1"/>
  <c r="AV80" i="111"/>
  <c r="AU80" i="111"/>
  <c r="AT80" i="111"/>
  <c r="AS80" i="111"/>
  <c r="AR80" i="111"/>
  <c r="L80" i="111" s="1"/>
  <c r="AQ80" i="111"/>
  <c r="AP80" i="111"/>
  <c r="AO80" i="111"/>
  <c r="AN80" i="111"/>
  <c r="AM80" i="111"/>
  <c r="K80" i="111" s="1"/>
  <c r="AL80" i="111"/>
  <c r="AK80" i="111"/>
  <c r="AJ80" i="111"/>
  <c r="AI80" i="111"/>
  <c r="AH80" i="111"/>
  <c r="J80" i="111" s="1"/>
  <c r="AG80" i="111"/>
  <c r="AF80" i="111"/>
  <c r="AE80" i="111"/>
  <c r="AD80" i="111"/>
  <c r="AC80" i="111"/>
  <c r="I80" i="111" s="1"/>
  <c r="AB80" i="111"/>
  <c r="AA80" i="111"/>
  <c r="Z80" i="111"/>
  <c r="Y80" i="111"/>
  <c r="X80" i="111"/>
  <c r="H80" i="111" s="1"/>
  <c r="G80" i="111" s="1"/>
  <c r="BG79" i="111"/>
  <c r="O79" i="111" s="1"/>
  <c r="P79" i="111" s="1"/>
  <c r="Q79" i="111" s="1"/>
  <c r="BF79" i="111"/>
  <c r="BE79" i="111"/>
  <c r="BD79" i="111"/>
  <c r="BC79" i="111"/>
  <c r="BB79" i="111"/>
  <c r="N79" i="111" s="1"/>
  <c r="BA79" i="111"/>
  <c r="AZ79" i="111"/>
  <c r="AY79" i="111"/>
  <c r="AX79" i="111"/>
  <c r="AW79" i="111"/>
  <c r="M79" i="111" s="1"/>
  <c r="AV79" i="111"/>
  <c r="AU79" i="111"/>
  <c r="AT79" i="111"/>
  <c r="AS79" i="111"/>
  <c r="AR79" i="111"/>
  <c r="L79" i="111" s="1"/>
  <c r="AQ79" i="111"/>
  <c r="AP79" i="111"/>
  <c r="AO79" i="111"/>
  <c r="AN79" i="111"/>
  <c r="AM79" i="111"/>
  <c r="K79" i="111" s="1"/>
  <c r="AL79" i="111"/>
  <c r="AK79" i="111"/>
  <c r="AJ79" i="111"/>
  <c r="AI79" i="111"/>
  <c r="AH79" i="111"/>
  <c r="J79" i="111" s="1"/>
  <c r="AG79" i="111"/>
  <c r="AF79" i="111"/>
  <c r="AE79" i="111"/>
  <c r="AD79" i="111"/>
  <c r="AC79" i="111"/>
  <c r="I79" i="111" s="1"/>
  <c r="AB79" i="111"/>
  <c r="AA79" i="111"/>
  <c r="Z79" i="111"/>
  <c r="Y79" i="111"/>
  <c r="X79" i="111"/>
  <c r="H79" i="111" s="1"/>
  <c r="G79" i="111" s="1"/>
  <c r="BG78" i="111"/>
  <c r="O78" i="111" s="1"/>
  <c r="P78" i="111" s="1"/>
  <c r="Q78" i="111" s="1"/>
  <c r="BF78" i="111"/>
  <c r="BE78" i="111"/>
  <c r="BD78" i="111"/>
  <c r="BC78" i="111"/>
  <c r="BB78" i="111"/>
  <c r="N78" i="111" s="1"/>
  <c r="BA78" i="111"/>
  <c r="AZ78" i="111"/>
  <c r="AY78" i="111"/>
  <c r="AX78" i="111"/>
  <c r="AW78" i="111"/>
  <c r="M78" i="111" s="1"/>
  <c r="AV78" i="111"/>
  <c r="AU78" i="111"/>
  <c r="AT78" i="111"/>
  <c r="AS78" i="111"/>
  <c r="AR78" i="111"/>
  <c r="L78" i="111" s="1"/>
  <c r="AQ78" i="111"/>
  <c r="AP78" i="111"/>
  <c r="AO78" i="111"/>
  <c r="AN78" i="111"/>
  <c r="AM78" i="111"/>
  <c r="K78" i="111" s="1"/>
  <c r="AL78" i="111"/>
  <c r="AK78" i="111"/>
  <c r="AJ78" i="111"/>
  <c r="AI78" i="111"/>
  <c r="AH78" i="111"/>
  <c r="J78" i="111" s="1"/>
  <c r="AG78" i="111"/>
  <c r="AF78" i="111"/>
  <c r="AE78" i="111"/>
  <c r="AD78" i="111"/>
  <c r="AC78" i="111"/>
  <c r="I78" i="111" s="1"/>
  <c r="AB78" i="111"/>
  <c r="AA78" i="111"/>
  <c r="Z78" i="111"/>
  <c r="Y78" i="111"/>
  <c r="X78" i="111"/>
  <c r="H78" i="111" s="1"/>
  <c r="G78" i="111" s="1"/>
  <c r="BG77" i="111"/>
  <c r="O77" i="111" s="1"/>
  <c r="P77" i="111" s="1"/>
  <c r="Q77" i="111" s="1"/>
  <c r="BF77" i="111"/>
  <c r="BE77" i="111"/>
  <c r="BD77" i="111"/>
  <c r="BC77" i="111"/>
  <c r="BB77" i="111"/>
  <c r="N77" i="111" s="1"/>
  <c r="BA77" i="111"/>
  <c r="AZ77" i="111"/>
  <c r="AY77" i="111"/>
  <c r="AX77" i="111"/>
  <c r="AW77" i="111"/>
  <c r="M77" i="111" s="1"/>
  <c r="AV77" i="111"/>
  <c r="AU77" i="111"/>
  <c r="AT77" i="111"/>
  <c r="AS77" i="111"/>
  <c r="AR77" i="111"/>
  <c r="L77" i="111" s="1"/>
  <c r="AQ77" i="111"/>
  <c r="AP77" i="111"/>
  <c r="AO77" i="111"/>
  <c r="AN77" i="111"/>
  <c r="AM77" i="111"/>
  <c r="K77" i="111" s="1"/>
  <c r="AL77" i="111"/>
  <c r="AK77" i="111"/>
  <c r="AJ77" i="111"/>
  <c r="AI77" i="111"/>
  <c r="AH77" i="111"/>
  <c r="J77" i="111" s="1"/>
  <c r="AG77" i="111"/>
  <c r="AF77" i="111"/>
  <c r="AE77" i="111"/>
  <c r="AD77" i="111"/>
  <c r="AC77" i="111"/>
  <c r="I77" i="111" s="1"/>
  <c r="AB77" i="111"/>
  <c r="AA77" i="111"/>
  <c r="Z77" i="111"/>
  <c r="Y77" i="111"/>
  <c r="X77" i="111"/>
  <c r="H77" i="111" s="1"/>
  <c r="G77" i="111" s="1"/>
  <c r="BG76" i="111"/>
  <c r="O76" i="111" s="1"/>
  <c r="P76" i="111" s="1"/>
  <c r="Q76" i="111" s="1"/>
  <c r="BF76" i="111"/>
  <c r="BE76" i="111"/>
  <c r="BD76" i="111"/>
  <c r="BC76" i="111"/>
  <c r="BB76" i="111"/>
  <c r="N76" i="111" s="1"/>
  <c r="BA76" i="111"/>
  <c r="AZ76" i="111"/>
  <c r="AY76" i="111"/>
  <c r="AX76" i="111"/>
  <c r="AW76" i="111"/>
  <c r="M76" i="111" s="1"/>
  <c r="AV76" i="111"/>
  <c r="AU76" i="111"/>
  <c r="AT76" i="111"/>
  <c r="AS76" i="111"/>
  <c r="AR76" i="111"/>
  <c r="L76" i="111" s="1"/>
  <c r="AQ76" i="111"/>
  <c r="AP76" i="111"/>
  <c r="AO76" i="111"/>
  <c r="AN76" i="111"/>
  <c r="AM76" i="111"/>
  <c r="K76" i="111" s="1"/>
  <c r="AL76" i="111"/>
  <c r="AK76" i="111"/>
  <c r="AJ76" i="111"/>
  <c r="AI76" i="111"/>
  <c r="AH76" i="111"/>
  <c r="J76" i="111" s="1"/>
  <c r="AG76" i="111"/>
  <c r="AF76" i="111"/>
  <c r="AE76" i="111"/>
  <c r="AD76" i="111"/>
  <c r="AC76" i="111"/>
  <c r="I76" i="111" s="1"/>
  <c r="AB76" i="111"/>
  <c r="AA76" i="111"/>
  <c r="Z76" i="111"/>
  <c r="Y76" i="111"/>
  <c r="X76" i="111"/>
  <c r="H76" i="111" s="1"/>
  <c r="G76" i="111" s="1"/>
  <c r="BG75" i="111"/>
  <c r="O75" i="111" s="1"/>
  <c r="P75" i="111" s="1"/>
  <c r="Q75" i="111" s="1"/>
  <c r="BF75" i="111"/>
  <c r="BE75" i="111"/>
  <c r="BD75" i="111"/>
  <c r="BC75" i="111"/>
  <c r="BB75" i="111"/>
  <c r="N75" i="111" s="1"/>
  <c r="BA75" i="111"/>
  <c r="AZ75" i="111"/>
  <c r="AY75" i="111"/>
  <c r="AX75" i="111"/>
  <c r="AW75" i="111"/>
  <c r="M75" i="111" s="1"/>
  <c r="AV75" i="111"/>
  <c r="AU75" i="111"/>
  <c r="AT75" i="111"/>
  <c r="AS75" i="111"/>
  <c r="AR75" i="111"/>
  <c r="L75" i="111" s="1"/>
  <c r="AQ75" i="111"/>
  <c r="AP75" i="111"/>
  <c r="AO75" i="111"/>
  <c r="AN75" i="111"/>
  <c r="AM75" i="111"/>
  <c r="K75" i="111" s="1"/>
  <c r="AL75" i="111"/>
  <c r="AK75" i="111"/>
  <c r="AJ75" i="111"/>
  <c r="AI75" i="111"/>
  <c r="AH75" i="111"/>
  <c r="J75" i="111" s="1"/>
  <c r="AG75" i="111"/>
  <c r="AF75" i="111"/>
  <c r="AE75" i="111"/>
  <c r="AD75" i="111"/>
  <c r="AC75" i="111"/>
  <c r="I75" i="111" s="1"/>
  <c r="AB75" i="111"/>
  <c r="AA75" i="111"/>
  <c r="Z75" i="111"/>
  <c r="Y75" i="111"/>
  <c r="X75" i="111"/>
  <c r="H75" i="111" s="1"/>
  <c r="G75" i="111" s="1"/>
  <c r="BG74" i="111"/>
  <c r="O74" i="111" s="1"/>
  <c r="P74" i="111" s="1"/>
  <c r="Q74" i="111" s="1"/>
  <c r="BF74" i="111"/>
  <c r="BE74" i="111"/>
  <c r="BD74" i="111"/>
  <c r="BC74" i="111"/>
  <c r="BB74" i="111"/>
  <c r="N74" i="111" s="1"/>
  <c r="BA74" i="111"/>
  <c r="AZ74" i="111"/>
  <c r="AY74" i="111"/>
  <c r="AX74" i="111"/>
  <c r="AW74" i="111"/>
  <c r="M74" i="111" s="1"/>
  <c r="AV74" i="111"/>
  <c r="AU74" i="111"/>
  <c r="AT74" i="111"/>
  <c r="AS74" i="111"/>
  <c r="AR74" i="111"/>
  <c r="L74" i="111" s="1"/>
  <c r="AQ74" i="111"/>
  <c r="AP74" i="111"/>
  <c r="AO74" i="111"/>
  <c r="AN74" i="111"/>
  <c r="AM74" i="111"/>
  <c r="K74" i="111" s="1"/>
  <c r="AL74" i="111"/>
  <c r="AK74" i="111"/>
  <c r="AJ74" i="111"/>
  <c r="AI74" i="111"/>
  <c r="AH74" i="111"/>
  <c r="J74" i="111" s="1"/>
  <c r="AG74" i="111"/>
  <c r="AF74" i="111"/>
  <c r="AE74" i="111"/>
  <c r="AD74" i="111"/>
  <c r="AC74" i="111"/>
  <c r="I74" i="111" s="1"/>
  <c r="AB74" i="111"/>
  <c r="AA74" i="111"/>
  <c r="Z74" i="111"/>
  <c r="Y74" i="111"/>
  <c r="X74" i="111"/>
  <c r="H74" i="111" s="1"/>
  <c r="G74" i="111" s="1"/>
  <c r="BG73" i="111"/>
  <c r="O73" i="111" s="1"/>
  <c r="P73" i="111" s="1"/>
  <c r="Q73" i="111" s="1"/>
  <c r="BF73" i="111"/>
  <c r="BE73" i="111"/>
  <c r="BD73" i="111"/>
  <c r="BC73" i="111"/>
  <c r="BB73" i="111"/>
  <c r="N73" i="111" s="1"/>
  <c r="BA73" i="111"/>
  <c r="AZ73" i="111"/>
  <c r="AY73" i="111"/>
  <c r="AX73" i="111"/>
  <c r="AW73" i="111"/>
  <c r="M73" i="111" s="1"/>
  <c r="AV73" i="111"/>
  <c r="AU73" i="111"/>
  <c r="AT73" i="111"/>
  <c r="AS73" i="111"/>
  <c r="AR73" i="111"/>
  <c r="L73" i="111" s="1"/>
  <c r="AQ73" i="111"/>
  <c r="AP73" i="111"/>
  <c r="AO73" i="111"/>
  <c r="AN73" i="111"/>
  <c r="AM73" i="111"/>
  <c r="K73" i="111" s="1"/>
  <c r="AL73" i="111"/>
  <c r="AK73" i="111"/>
  <c r="AJ73" i="111"/>
  <c r="AI73" i="111"/>
  <c r="AH73" i="111"/>
  <c r="J73" i="111" s="1"/>
  <c r="AG73" i="111"/>
  <c r="AF73" i="111"/>
  <c r="AE73" i="111"/>
  <c r="AD73" i="111"/>
  <c r="AC73" i="111"/>
  <c r="I73" i="111" s="1"/>
  <c r="AB73" i="111"/>
  <c r="AA73" i="111"/>
  <c r="Z73" i="111"/>
  <c r="Y73" i="111"/>
  <c r="X73" i="111"/>
  <c r="H73" i="111" s="1"/>
  <c r="G73" i="111" s="1"/>
  <c r="BG72" i="111"/>
  <c r="O72" i="111" s="1"/>
  <c r="P72" i="111" s="1"/>
  <c r="Q72" i="111" s="1"/>
  <c r="BF72" i="111"/>
  <c r="BE72" i="111"/>
  <c r="BD72" i="111"/>
  <c r="BC72" i="111"/>
  <c r="BB72" i="111"/>
  <c r="N72" i="111" s="1"/>
  <c r="BA72" i="111"/>
  <c r="AZ72" i="111"/>
  <c r="AY72" i="111"/>
  <c r="AX72" i="111"/>
  <c r="AW72" i="111"/>
  <c r="M72" i="111" s="1"/>
  <c r="AV72" i="111"/>
  <c r="AU72" i="111"/>
  <c r="AT72" i="111"/>
  <c r="AS72" i="111"/>
  <c r="AR72" i="111"/>
  <c r="L72" i="111" s="1"/>
  <c r="AQ72" i="111"/>
  <c r="AP72" i="111"/>
  <c r="AO72" i="111"/>
  <c r="AN72" i="111"/>
  <c r="AM72" i="111"/>
  <c r="K72" i="111" s="1"/>
  <c r="AL72" i="111"/>
  <c r="AK72" i="111"/>
  <c r="AJ72" i="111"/>
  <c r="AI72" i="111"/>
  <c r="AH72" i="111"/>
  <c r="J72" i="111" s="1"/>
  <c r="AG72" i="111"/>
  <c r="AF72" i="111"/>
  <c r="AE72" i="111"/>
  <c r="AD72" i="111"/>
  <c r="AC72" i="111"/>
  <c r="I72" i="111" s="1"/>
  <c r="AB72" i="111"/>
  <c r="AA72" i="111"/>
  <c r="Z72" i="111"/>
  <c r="Y72" i="111"/>
  <c r="X72" i="111"/>
  <c r="H72" i="111" s="1"/>
  <c r="G72" i="111" s="1"/>
  <c r="BG71" i="111"/>
  <c r="O71" i="111" s="1"/>
  <c r="P71" i="111" s="1"/>
  <c r="Q71" i="111" s="1"/>
  <c r="BF71" i="111"/>
  <c r="BE71" i="111"/>
  <c r="BD71" i="111"/>
  <c r="BC71" i="111"/>
  <c r="BB71" i="111"/>
  <c r="N71" i="111" s="1"/>
  <c r="BA71" i="111"/>
  <c r="AZ71" i="111"/>
  <c r="AY71" i="111"/>
  <c r="AX71" i="111"/>
  <c r="AW71" i="111"/>
  <c r="M71" i="111" s="1"/>
  <c r="AV71" i="111"/>
  <c r="AU71" i="111"/>
  <c r="AT71" i="111"/>
  <c r="AS71" i="111"/>
  <c r="AR71" i="111"/>
  <c r="L71" i="111" s="1"/>
  <c r="AQ71" i="111"/>
  <c r="AP71" i="111"/>
  <c r="AO71" i="111"/>
  <c r="AN71" i="111"/>
  <c r="AM71" i="111"/>
  <c r="K71" i="111" s="1"/>
  <c r="AL71" i="111"/>
  <c r="AK71" i="111"/>
  <c r="AJ71" i="111"/>
  <c r="AI71" i="111"/>
  <c r="AH71" i="111"/>
  <c r="J71" i="111" s="1"/>
  <c r="AG71" i="111"/>
  <c r="AF71" i="111"/>
  <c r="AE71" i="111"/>
  <c r="AD71" i="111"/>
  <c r="AC71" i="111"/>
  <c r="I71" i="111" s="1"/>
  <c r="AB71" i="111"/>
  <c r="AA71" i="111"/>
  <c r="Z71" i="111"/>
  <c r="Y71" i="111"/>
  <c r="X71" i="111"/>
  <c r="H71" i="111" s="1"/>
  <c r="G71" i="111" s="1"/>
  <c r="BG70" i="111"/>
  <c r="O70" i="111" s="1"/>
  <c r="P70" i="111" s="1"/>
  <c r="Q70" i="111" s="1"/>
  <c r="BF70" i="111"/>
  <c r="BE70" i="111"/>
  <c r="BD70" i="111"/>
  <c r="BC70" i="111"/>
  <c r="BB70" i="111"/>
  <c r="N70" i="111" s="1"/>
  <c r="BA70" i="111"/>
  <c r="AZ70" i="111"/>
  <c r="AY70" i="111"/>
  <c r="AX70" i="111"/>
  <c r="AW70" i="111"/>
  <c r="M70" i="111" s="1"/>
  <c r="AV70" i="111"/>
  <c r="AU70" i="111"/>
  <c r="AT70" i="111"/>
  <c r="AS70" i="111"/>
  <c r="AR70" i="111"/>
  <c r="L70" i="111" s="1"/>
  <c r="AQ70" i="111"/>
  <c r="AP70" i="111"/>
  <c r="AO70" i="111"/>
  <c r="AN70" i="111"/>
  <c r="AM70" i="111"/>
  <c r="K70" i="111" s="1"/>
  <c r="AL70" i="111"/>
  <c r="AK70" i="111"/>
  <c r="AJ70" i="111"/>
  <c r="AI70" i="111"/>
  <c r="AH70" i="111"/>
  <c r="J70" i="111" s="1"/>
  <c r="AG70" i="111"/>
  <c r="AF70" i="111"/>
  <c r="AE70" i="111"/>
  <c r="AD70" i="111"/>
  <c r="AC70" i="111"/>
  <c r="I70" i="111" s="1"/>
  <c r="AB70" i="111"/>
  <c r="AA70" i="111"/>
  <c r="Z70" i="111"/>
  <c r="Y70" i="111"/>
  <c r="X70" i="111"/>
  <c r="H70" i="111" s="1"/>
  <c r="G70" i="111" s="1"/>
  <c r="BG69" i="111"/>
  <c r="O69" i="111" s="1"/>
  <c r="P69" i="111" s="1"/>
  <c r="Q69" i="111" s="1"/>
  <c r="BF69" i="111"/>
  <c r="BE69" i="111"/>
  <c r="BD69" i="111"/>
  <c r="BC69" i="111"/>
  <c r="BB69" i="111"/>
  <c r="N69" i="111" s="1"/>
  <c r="BA69" i="111"/>
  <c r="AZ69" i="111"/>
  <c r="AY69" i="111"/>
  <c r="AX69" i="111"/>
  <c r="AW69" i="111"/>
  <c r="M69" i="111" s="1"/>
  <c r="AV69" i="111"/>
  <c r="AU69" i="111"/>
  <c r="AT69" i="111"/>
  <c r="AS69" i="111"/>
  <c r="AR69" i="111"/>
  <c r="L69" i="111" s="1"/>
  <c r="AQ69" i="111"/>
  <c r="AP69" i="111"/>
  <c r="AO69" i="111"/>
  <c r="AN69" i="111"/>
  <c r="AM69" i="111"/>
  <c r="K69" i="111" s="1"/>
  <c r="AL69" i="111"/>
  <c r="AK69" i="111"/>
  <c r="AJ69" i="111"/>
  <c r="AI69" i="111"/>
  <c r="AH69" i="111"/>
  <c r="J69" i="111" s="1"/>
  <c r="AG69" i="111"/>
  <c r="AF69" i="111"/>
  <c r="AE69" i="111"/>
  <c r="AD69" i="111"/>
  <c r="AC69" i="111"/>
  <c r="I69" i="111" s="1"/>
  <c r="AB69" i="111"/>
  <c r="AA69" i="111"/>
  <c r="Z69" i="111"/>
  <c r="Y69" i="111"/>
  <c r="X69" i="111"/>
  <c r="H69" i="111" s="1"/>
  <c r="G69" i="111" s="1"/>
  <c r="BG68" i="111"/>
  <c r="O68" i="111" s="1"/>
  <c r="P68" i="111" s="1"/>
  <c r="Q68" i="111" s="1"/>
  <c r="BF68" i="111"/>
  <c r="BE68" i="111"/>
  <c r="BD68" i="111"/>
  <c r="BC68" i="111"/>
  <c r="BB68" i="111"/>
  <c r="N68" i="111" s="1"/>
  <c r="BA68" i="111"/>
  <c r="AZ68" i="111"/>
  <c r="AY68" i="111"/>
  <c r="AX68" i="111"/>
  <c r="AW68" i="111"/>
  <c r="M68" i="111" s="1"/>
  <c r="AV68" i="111"/>
  <c r="AU68" i="111"/>
  <c r="AT68" i="111"/>
  <c r="AS68" i="111"/>
  <c r="AR68" i="111"/>
  <c r="L68" i="111" s="1"/>
  <c r="AQ68" i="111"/>
  <c r="AP68" i="111"/>
  <c r="AO68" i="111"/>
  <c r="AN68" i="111"/>
  <c r="AM68" i="111"/>
  <c r="K68" i="111" s="1"/>
  <c r="AL68" i="111"/>
  <c r="AK68" i="111"/>
  <c r="AJ68" i="111"/>
  <c r="AI68" i="111"/>
  <c r="AH68" i="111"/>
  <c r="J68" i="111" s="1"/>
  <c r="AG68" i="111"/>
  <c r="AF68" i="111"/>
  <c r="AE68" i="111"/>
  <c r="AD68" i="111"/>
  <c r="AC68" i="111"/>
  <c r="I68" i="111" s="1"/>
  <c r="AB68" i="111"/>
  <c r="AA68" i="111"/>
  <c r="Z68" i="111"/>
  <c r="Y68" i="111"/>
  <c r="X68" i="111"/>
  <c r="H68" i="111" s="1"/>
  <c r="G68" i="111" s="1"/>
  <c r="BG67" i="111"/>
  <c r="O67" i="111" s="1"/>
  <c r="P67" i="111" s="1"/>
  <c r="Q67" i="111" s="1"/>
  <c r="BF67" i="111"/>
  <c r="BE67" i="111"/>
  <c r="BD67" i="111"/>
  <c r="BC67" i="111"/>
  <c r="BB67" i="111"/>
  <c r="N67" i="111" s="1"/>
  <c r="BA67" i="111"/>
  <c r="AZ67" i="111"/>
  <c r="AY67" i="111"/>
  <c r="AX67" i="111"/>
  <c r="AW67" i="111"/>
  <c r="M67" i="111" s="1"/>
  <c r="AV67" i="111"/>
  <c r="AU67" i="111"/>
  <c r="AT67" i="111"/>
  <c r="AS67" i="111"/>
  <c r="AR67" i="111"/>
  <c r="L67" i="111" s="1"/>
  <c r="AQ67" i="111"/>
  <c r="AP67" i="111"/>
  <c r="AO67" i="111"/>
  <c r="AN67" i="111"/>
  <c r="AM67" i="111"/>
  <c r="K67" i="111" s="1"/>
  <c r="AL67" i="111"/>
  <c r="AK67" i="111"/>
  <c r="AJ67" i="111"/>
  <c r="AI67" i="111"/>
  <c r="AH67" i="111"/>
  <c r="J67" i="111" s="1"/>
  <c r="AG67" i="111"/>
  <c r="AF67" i="111"/>
  <c r="AE67" i="111"/>
  <c r="AD67" i="111"/>
  <c r="AC67" i="111"/>
  <c r="I67" i="111" s="1"/>
  <c r="AB67" i="111"/>
  <c r="AA67" i="111"/>
  <c r="Z67" i="111"/>
  <c r="Y67" i="111"/>
  <c r="X67" i="111"/>
  <c r="H67" i="111" s="1"/>
  <c r="G67" i="111" s="1"/>
  <c r="BG66" i="111"/>
  <c r="O66" i="111" s="1"/>
  <c r="P66" i="111" s="1"/>
  <c r="Q66" i="111" s="1"/>
  <c r="BF66" i="111"/>
  <c r="BE66" i="111"/>
  <c r="BD66" i="111"/>
  <c r="BC66" i="111"/>
  <c r="BB66" i="111"/>
  <c r="N66" i="111" s="1"/>
  <c r="BA66" i="111"/>
  <c r="AZ66" i="111"/>
  <c r="AY66" i="111"/>
  <c r="AX66" i="111"/>
  <c r="AW66" i="111"/>
  <c r="M66" i="111" s="1"/>
  <c r="AV66" i="111"/>
  <c r="AU66" i="111"/>
  <c r="AT66" i="111"/>
  <c r="AS66" i="111"/>
  <c r="AR66" i="111"/>
  <c r="L66" i="111" s="1"/>
  <c r="AQ66" i="111"/>
  <c r="AP66" i="111"/>
  <c r="AO66" i="111"/>
  <c r="AN66" i="111"/>
  <c r="AM66" i="111"/>
  <c r="K66" i="111" s="1"/>
  <c r="AL66" i="111"/>
  <c r="AK66" i="111"/>
  <c r="AJ66" i="111"/>
  <c r="AI66" i="111"/>
  <c r="AH66" i="111"/>
  <c r="J66" i="111" s="1"/>
  <c r="AG66" i="111"/>
  <c r="AF66" i="111"/>
  <c r="AE66" i="111"/>
  <c r="AD66" i="111"/>
  <c r="AC66" i="111"/>
  <c r="I66" i="111" s="1"/>
  <c r="AB66" i="111"/>
  <c r="AA66" i="111"/>
  <c r="Z66" i="111"/>
  <c r="Y66" i="111"/>
  <c r="X66" i="111"/>
  <c r="H66" i="111" s="1"/>
  <c r="G66" i="111" s="1"/>
  <c r="BG65" i="111"/>
  <c r="O65" i="111" s="1"/>
  <c r="P65" i="111" s="1"/>
  <c r="Q65" i="111" s="1"/>
  <c r="BF65" i="111"/>
  <c r="BE65" i="111"/>
  <c r="BD65" i="111"/>
  <c r="BC65" i="111"/>
  <c r="BB65" i="111"/>
  <c r="N65" i="111" s="1"/>
  <c r="BA65" i="111"/>
  <c r="AZ65" i="111"/>
  <c r="AY65" i="111"/>
  <c r="AX65" i="111"/>
  <c r="AW65" i="111"/>
  <c r="M65" i="111" s="1"/>
  <c r="AV65" i="111"/>
  <c r="AU65" i="111"/>
  <c r="AT65" i="111"/>
  <c r="AS65" i="111"/>
  <c r="AR65" i="111"/>
  <c r="L65" i="111" s="1"/>
  <c r="AQ65" i="111"/>
  <c r="AP65" i="111"/>
  <c r="AO65" i="111"/>
  <c r="AN65" i="111"/>
  <c r="AM65" i="111"/>
  <c r="K65" i="111" s="1"/>
  <c r="AL65" i="111"/>
  <c r="AK65" i="111"/>
  <c r="AJ65" i="111"/>
  <c r="AI65" i="111"/>
  <c r="AH65" i="111"/>
  <c r="J65" i="111" s="1"/>
  <c r="AG65" i="111"/>
  <c r="AF65" i="111"/>
  <c r="AE65" i="111"/>
  <c r="AD65" i="111"/>
  <c r="AC65" i="111"/>
  <c r="I65" i="111" s="1"/>
  <c r="AB65" i="111"/>
  <c r="AA65" i="111"/>
  <c r="Z65" i="111"/>
  <c r="Y65" i="111"/>
  <c r="X65" i="111"/>
  <c r="H65" i="111" s="1"/>
  <c r="G65" i="111" s="1"/>
  <c r="BG64" i="111"/>
  <c r="O64" i="111" s="1"/>
  <c r="P64" i="111" s="1"/>
  <c r="Q64" i="111" s="1"/>
  <c r="BF64" i="111"/>
  <c r="BE64" i="111"/>
  <c r="BD64" i="111"/>
  <c r="BC64" i="111"/>
  <c r="BB64" i="111"/>
  <c r="N64" i="111" s="1"/>
  <c r="BA64" i="111"/>
  <c r="AZ64" i="111"/>
  <c r="AY64" i="111"/>
  <c r="AX64" i="111"/>
  <c r="AW64" i="111"/>
  <c r="M64" i="111" s="1"/>
  <c r="AV64" i="111"/>
  <c r="AU64" i="111"/>
  <c r="AT64" i="111"/>
  <c r="AS64" i="111"/>
  <c r="AR64" i="111"/>
  <c r="L64" i="111" s="1"/>
  <c r="AQ64" i="111"/>
  <c r="AP64" i="111"/>
  <c r="AO64" i="111"/>
  <c r="AN64" i="111"/>
  <c r="AM64" i="111"/>
  <c r="K64" i="111" s="1"/>
  <c r="AL64" i="111"/>
  <c r="AK64" i="111"/>
  <c r="AJ64" i="111"/>
  <c r="AI64" i="111"/>
  <c r="AH64" i="111"/>
  <c r="J64" i="111" s="1"/>
  <c r="AG64" i="111"/>
  <c r="AF64" i="111"/>
  <c r="AE64" i="111"/>
  <c r="AD64" i="111"/>
  <c r="AC64" i="111"/>
  <c r="I64" i="111" s="1"/>
  <c r="AB64" i="111"/>
  <c r="AA64" i="111"/>
  <c r="Z64" i="111"/>
  <c r="Y64" i="111"/>
  <c r="X64" i="111"/>
  <c r="H64" i="111" s="1"/>
  <c r="G64" i="111" s="1"/>
  <c r="BG63" i="111"/>
  <c r="O63" i="111" s="1"/>
  <c r="P63" i="111" s="1"/>
  <c r="Q63" i="111" s="1"/>
  <c r="BF63" i="111"/>
  <c r="BE63" i="111"/>
  <c r="BD63" i="111"/>
  <c r="BC63" i="111"/>
  <c r="BB63" i="111"/>
  <c r="N63" i="111" s="1"/>
  <c r="BA63" i="111"/>
  <c r="AZ63" i="111"/>
  <c r="AY63" i="111"/>
  <c r="AX63" i="111"/>
  <c r="AW63" i="111"/>
  <c r="M63" i="111" s="1"/>
  <c r="AV63" i="111"/>
  <c r="AU63" i="111"/>
  <c r="AT63" i="111"/>
  <c r="AS63" i="111"/>
  <c r="AR63" i="111"/>
  <c r="L63" i="111" s="1"/>
  <c r="AQ63" i="111"/>
  <c r="AP63" i="111"/>
  <c r="AO63" i="111"/>
  <c r="AN63" i="111"/>
  <c r="AM63" i="111"/>
  <c r="K63" i="111" s="1"/>
  <c r="AL63" i="111"/>
  <c r="AK63" i="111"/>
  <c r="AJ63" i="111"/>
  <c r="AI63" i="111"/>
  <c r="AH63" i="111"/>
  <c r="J63" i="111" s="1"/>
  <c r="AG63" i="111"/>
  <c r="AF63" i="111"/>
  <c r="AE63" i="111"/>
  <c r="AD63" i="111"/>
  <c r="AC63" i="111"/>
  <c r="I63" i="111" s="1"/>
  <c r="AB63" i="111"/>
  <c r="AA63" i="111"/>
  <c r="Z63" i="111"/>
  <c r="Y63" i="111"/>
  <c r="X63" i="111"/>
  <c r="H63" i="111" s="1"/>
  <c r="G63" i="111" s="1"/>
  <c r="BG62" i="111"/>
  <c r="O62" i="111" s="1"/>
  <c r="P62" i="111" s="1"/>
  <c r="Q62" i="111" s="1"/>
  <c r="BF62" i="111"/>
  <c r="BE62" i="111"/>
  <c r="BD62" i="111"/>
  <c r="BC62" i="111"/>
  <c r="BB62" i="111"/>
  <c r="N62" i="111" s="1"/>
  <c r="BA62" i="111"/>
  <c r="AZ62" i="111"/>
  <c r="AY62" i="111"/>
  <c r="AX62" i="111"/>
  <c r="AW62" i="111"/>
  <c r="M62" i="111" s="1"/>
  <c r="AV62" i="111"/>
  <c r="AU62" i="111"/>
  <c r="AT62" i="111"/>
  <c r="AS62" i="111"/>
  <c r="AR62" i="111"/>
  <c r="L62" i="111" s="1"/>
  <c r="AQ62" i="111"/>
  <c r="AP62" i="111"/>
  <c r="AO62" i="111"/>
  <c r="AN62" i="111"/>
  <c r="AM62" i="111"/>
  <c r="K62" i="111" s="1"/>
  <c r="AL62" i="111"/>
  <c r="AK62" i="111"/>
  <c r="AJ62" i="111"/>
  <c r="AI62" i="111"/>
  <c r="AH62" i="111"/>
  <c r="J62" i="111" s="1"/>
  <c r="AG62" i="111"/>
  <c r="AF62" i="111"/>
  <c r="AE62" i="111"/>
  <c r="AD62" i="111"/>
  <c r="AC62" i="111"/>
  <c r="I62" i="111" s="1"/>
  <c r="AB62" i="111"/>
  <c r="AA62" i="111"/>
  <c r="Z62" i="111"/>
  <c r="Y62" i="111"/>
  <c r="X62" i="111"/>
  <c r="H62" i="111" s="1"/>
  <c r="G62" i="111" s="1"/>
  <c r="Q15" i="111"/>
  <c r="P15" i="111"/>
  <c r="O15" i="111"/>
  <c r="N15" i="111"/>
  <c r="M15" i="111"/>
  <c r="L15" i="111"/>
  <c r="K15" i="111"/>
  <c r="J15" i="111"/>
  <c r="I15" i="111"/>
  <c r="H15" i="111"/>
  <c r="G15" i="111"/>
  <c r="Q14" i="111"/>
  <c r="P14" i="111"/>
  <c r="O14" i="111"/>
  <c r="N14" i="111"/>
  <c r="M14" i="111"/>
  <c r="L14" i="111"/>
  <c r="K14" i="111"/>
  <c r="J14" i="111"/>
  <c r="I14" i="111"/>
  <c r="H14" i="111"/>
  <c r="G14" i="111"/>
  <c r="Q13" i="111"/>
  <c r="P13" i="111"/>
  <c r="O13" i="111"/>
  <c r="N13" i="111"/>
  <c r="M13" i="111"/>
  <c r="L13" i="111"/>
  <c r="K13" i="111"/>
  <c r="J13" i="111"/>
  <c r="I13" i="111"/>
  <c r="H13" i="111"/>
  <c r="G13" i="111"/>
  <c r="Q12" i="111"/>
  <c r="P12" i="111"/>
  <c r="O12" i="111"/>
  <c r="N12" i="111"/>
  <c r="M12" i="111"/>
  <c r="L12" i="111"/>
  <c r="K12" i="111"/>
  <c r="J12" i="111"/>
  <c r="I12" i="111"/>
  <c r="H12" i="111"/>
  <c r="G12" i="111"/>
  <c r="Q11" i="111"/>
  <c r="P11" i="111"/>
  <c r="O11" i="111"/>
  <c r="N11" i="111"/>
  <c r="M11" i="111"/>
  <c r="L11" i="111"/>
  <c r="K11" i="111"/>
  <c r="J11" i="111"/>
  <c r="I11" i="111"/>
  <c r="H11" i="111"/>
  <c r="G11" i="111"/>
  <c r="Q10" i="111"/>
  <c r="P10" i="111"/>
  <c r="O10" i="111"/>
  <c r="M10" i="111"/>
  <c r="L10" i="111"/>
  <c r="K10" i="111"/>
  <c r="J10" i="111"/>
  <c r="I10" i="111"/>
  <c r="H10" i="111"/>
  <c r="G10" i="111"/>
  <c r="N10" i="111"/>
  <c r="AS122" i="109"/>
  <c r="AT122" i="109" s="1"/>
  <c r="AU122" i="109" s="1"/>
  <c r="AV122" i="109" s="1"/>
  <c r="AW122" i="109" s="1"/>
  <c r="AX122" i="109" s="1"/>
  <c r="AY122" i="109" s="1"/>
  <c r="AZ122" i="109" s="1"/>
  <c r="BA122" i="109" s="1"/>
  <c r="BB122" i="109" s="1"/>
  <c r="BC122" i="109" s="1"/>
  <c r="BD122" i="109" s="1"/>
  <c r="BE122" i="109" s="1"/>
  <c r="BF122" i="109" s="1"/>
  <c r="BG122" i="109" s="1"/>
  <c r="BH122" i="109" s="1"/>
  <c r="BI122" i="109" s="1"/>
  <c r="BJ122" i="109" s="1"/>
  <c r="BK122" i="109" s="1"/>
  <c r="BL122" i="109" s="1"/>
  <c r="BM122" i="109" s="1"/>
  <c r="BN122" i="109" s="1"/>
  <c r="BO122" i="109" s="1"/>
  <c r="BP122" i="109" s="1"/>
  <c r="BQ122" i="109" s="1"/>
  <c r="BR122" i="109" s="1"/>
  <c r="BS122" i="109" s="1"/>
  <c r="BT122" i="109" s="1"/>
  <c r="BU122" i="109" s="1"/>
  <c r="BV122" i="109" s="1"/>
  <c r="AS157" i="109"/>
  <c r="AT157" i="109" s="1"/>
  <c r="AU157" i="109" s="1"/>
  <c r="AV157" i="109" s="1"/>
  <c r="AW157" i="109" s="1"/>
  <c r="AX157" i="109" s="1"/>
  <c r="AY157" i="109" s="1"/>
  <c r="AZ157" i="109" s="1"/>
  <c r="BA157" i="109" s="1"/>
  <c r="BB157" i="109" s="1"/>
  <c r="BC157" i="109" s="1"/>
  <c r="BD157" i="109" s="1"/>
  <c r="BE157" i="109" s="1"/>
  <c r="BF157" i="109" s="1"/>
  <c r="BG157" i="109" s="1"/>
  <c r="BH157" i="109" s="1"/>
  <c r="BI157" i="109" s="1"/>
  <c r="BJ157" i="109" s="1"/>
  <c r="BK157" i="109" s="1"/>
  <c r="BL157" i="109" s="1"/>
  <c r="BM157" i="109" s="1"/>
  <c r="BN157" i="109" s="1"/>
  <c r="BO157" i="109" s="1"/>
  <c r="BP157" i="109" s="1"/>
  <c r="BQ157" i="109" s="1"/>
  <c r="BR157" i="109" s="1"/>
  <c r="BS157" i="109" s="1"/>
  <c r="BT157" i="109" s="1"/>
  <c r="BU157" i="109" s="1"/>
  <c r="BV157" i="109" s="1"/>
  <c r="AS156" i="109"/>
  <c r="AT156" i="109" s="1"/>
  <c r="AU156" i="109" s="1"/>
  <c r="AV156" i="109" s="1"/>
  <c r="AW156" i="109" s="1"/>
  <c r="AX156" i="109" s="1"/>
  <c r="AY156" i="109" s="1"/>
  <c r="AZ156" i="109" s="1"/>
  <c r="BA156" i="109" s="1"/>
  <c r="BB156" i="109" s="1"/>
  <c r="BC156" i="109" s="1"/>
  <c r="BD156" i="109" s="1"/>
  <c r="BE156" i="109" s="1"/>
  <c r="BF156" i="109" s="1"/>
  <c r="BG156" i="109" s="1"/>
  <c r="BH156" i="109" s="1"/>
  <c r="BI156" i="109" s="1"/>
  <c r="BJ156" i="109" s="1"/>
  <c r="BK156" i="109" s="1"/>
  <c r="BL156" i="109" s="1"/>
  <c r="BM156" i="109" s="1"/>
  <c r="BN156" i="109" s="1"/>
  <c r="BO156" i="109" s="1"/>
  <c r="BP156" i="109" s="1"/>
  <c r="BQ156" i="109" s="1"/>
  <c r="BR156" i="109" s="1"/>
  <c r="BS156" i="109" s="1"/>
  <c r="BT156" i="109" s="1"/>
  <c r="BU156" i="109" s="1"/>
  <c r="BV156" i="109" s="1"/>
  <c r="AS162" i="109"/>
  <c r="AT162" i="109" s="1"/>
  <c r="AU162" i="109" s="1"/>
  <c r="AV162" i="109" s="1"/>
  <c r="AW162" i="109" s="1"/>
  <c r="AX162" i="109" s="1"/>
  <c r="AY162" i="109" s="1"/>
  <c r="AZ162" i="109" s="1"/>
  <c r="BA162" i="109" s="1"/>
  <c r="BB162" i="109" s="1"/>
  <c r="BC162" i="109" s="1"/>
  <c r="BD162" i="109" s="1"/>
  <c r="BE162" i="109" s="1"/>
  <c r="BF162" i="109" s="1"/>
  <c r="BG162" i="109" s="1"/>
  <c r="BH162" i="109" s="1"/>
  <c r="BI162" i="109" s="1"/>
  <c r="BJ162" i="109" s="1"/>
  <c r="BK162" i="109" s="1"/>
  <c r="BL162" i="109" s="1"/>
  <c r="BM162" i="109" s="1"/>
  <c r="BN162" i="109" s="1"/>
  <c r="BO162" i="109" s="1"/>
  <c r="BP162" i="109" s="1"/>
  <c r="BQ162" i="109" s="1"/>
  <c r="BR162" i="109" s="1"/>
  <c r="BS162" i="109" s="1"/>
  <c r="BT162" i="109" s="1"/>
  <c r="BU162" i="109" s="1"/>
  <c r="BV162" i="109" s="1"/>
  <c r="AS163" i="109"/>
  <c r="AT163" i="109" s="1"/>
  <c r="AU163" i="109" s="1"/>
  <c r="AV163" i="109" s="1"/>
  <c r="AW163" i="109" s="1"/>
  <c r="AX163" i="109" s="1"/>
  <c r="AY163" i="109" s="1"/>
  <c r="AZ163" i="109" s="1"/>
  <c r="BA163" i="109" s="1"/>
  <c r="BB163" i="109" s="1"/>
  <c r="BC163" i="109" s="1"/>
  <c r="BD163" i="109" s="1"/>
  <c r="BE163" i="109" s="1"/>
  <c r="BF163" i="109" s="1"/>
  <c r="BG163" i="109" s="1"/>
  <c r="BH163" i="109" s="1"/>
  <c r="BI163" i="109" s="1"/>
  <c r="BJ163" i="109" s="1"/>
  <c r="BK163" i="109" s="1"/>
  <c r="BL163" i="109" s="1"/>
  <c r="BM163" i="109" s="1"/>
  <c r="BN163" i="109" s="1"/>
  <c r="BO163" i="109" s="1"/>
  <c r="BP163" i="109" s="1"/>
  <c r="BQ163" i="109" s="1"/>
  <c r="BR163" i="109" s="1"/>
  <c r="BS163" i="109" s="1"/>
  <c r="BT163" i="109" s="1"/>
  <c r="BU163" i="109" s="1"/>
  <c r="BV163" i="109" s="1"/>
  <c r="AS206" i="109"/>
  <c r="AT206" i="109" s="1"/>
  <c r="AU206" i="109" s="1"/>
  <c r="AV206" i="109" s="1"/>
  <c r="AW206" i="109" s="1"/>
  <c r="AX206" i="109" s="1"/>
  <c r="AY206" i="109" s="1"/>
  <c r="AZ206" i="109" s="1"/>
  <c r="BA206" i="109" s="1"/>
  <c r="BB206" i="109" s="1"/>
  <c r="BC206" i="109" s="1"/>
  <c r="BD206" i="109" s="1"/>
  <c r="BE206" i="109" s="1"/>
  <c r="BF206" i="109" s="1"/>
  <c r="BG206" i="109" s="1"/>
  <c r="BH206" i="109" s="1"/>
  <c r="BI206" i="109" s="1"/>
  <c r="BJ206" i="109" s="1"/>
  <c r="BK206" i="109" s="1"/>
  <c r="BL206" i="109" s="1"/>
  <c r="BM206" i="109" s="1"/>
  <c r="BN206" i="109" s="1"/>
  <c r="BO206" i="109" s="1"/>
  <c r="BP206" i="109" s="1"/>
  <c r="BQ206" i="109" s="1"/>
  <c r="BR206" i="109" s="1"/>
  <c r="BS206" i="109" s="1"/>
  <c r="BT206" i="109" s="1"/>
  <c r="BU206" i="109" s="1"/>
  <c r="BV206" i="109" s="1"/>
  <c r="AS205" i="109"/>
  <c r="AT205" i="109" s="1"/>
  <c r="AU205" i="109" s="1"/>
  <c r="AV205" i="109" s="1"/>
  <c r="AW205" i="109" s="1"/>
  <c r="AX205" i="109" s="1"/>
  <c r="AY205" i="109" s="1"/>
  <c r="AZ205" i="109" s="1"/>
  <c r="BA205" i="109" s="1"/>
  <c r="BB205" i="109" s="1"/>
  <c r="BC205" i="109" s="1"/>
  <c r="BD205" i="109" s="1"/>
  <c r="BE205" i="109" s="1"/>
  <c r="BF205" i="109" s="1"/>
  <c r="BG205" i="109" s="1"/>
  <c r="BH205" i="109" s="1"/>
  <c r="BI205" i="109" s="1"/>
  <c r="BJ205" i="109" s="1"/>
  <c r="BK205" i="109" s="1"/>
  <c r="BL205" i="109" s="1"/>
  <c r="BM205" i="109" s="1"/>
  <c r="BN205" i="109" s="1"/>
  <c r="BO205" i="109" s="1"/>
  <c r="BP205" i="109" s="1"/>
  <c r="BQ205" i="109" s="1"/>
  <c r="BR205" i="109" s="1"/>
  <c r="BS205" i="109" s="1"/>
  <c r="BT205" i="109" s="1"/>
  <c r="BU205" i="109" s="1"/>
  <c r="BV205" i="109" s="1"/>
  <c r="AS204" i="109"/>
  <c r="AT204" i="109" s="1"/>
  <c r="AU204" i="109" s="1"/>
  <c r="AV204" i="109" s="1"/>
  <c r="AW204" i="109" s="1"/>
  <c r="AX204" i="109" s="1"/>
  <c r="AY204" i="109" s="1"/>
  <c r="AZ204" i="109" s="1"/>
  <c r="BA204" i="109" s="1"/>
  <c r="BB204" i="109" s="1"/>
  <c r="BC204" i="109" s="1"/>
  <c r="BD204" i="109" s="1"/>
  <c r="BE204" i="109" s="1"/>
  <c r="BF204" i="109" s="1"/>
  <c r="BG204" i="109" s="1"/>
  <c r="BH204" i="109" s="1"/>
  <c r="BI204" i="109" s="1"/>
  <c r="BJ204" i="109" s="1"/>
  <c r="BK204" i="109" s="1"/>
  <c r="BL204" i="109" s="1"/>
  <c r="BM204" i="109" s="1"/>
  <c r="BN204" i="109" s="1"/>
  <c r="BO204" i="109" s="1"/>
  <c r="BP204" i="109" s="1"/>
  <c r="BQ204" i="109" s="1"/>
  <c r="BR204" i="109" s="1"/>
  <c r="BS204" i="109" s="1"/>
  <c r="BT204" i="109" s="1"/>
  <c r="BU204" i="109" s="1"/>
  <c r="BV204" i="109" s="1"/>
  <c r="AS203" i="109"/>
  <c r="AT203" i="109" s="1"/>
  <c r="AU203" i="109" s="1"/>
  <c r="AV203" i="109" s="1"/>
  <c r="AW203" i="109" s="1"/>
  <c r="AX203" i="109" s="1"/>
  <c r="AY203" i="109" s="1"/>
  <c r="AZ203" i="109" s="1"/>
  <c r="BA203" i="109" s="1"/>
  <c r="BB203" i="109" s="1"/>
  <c r="BC203" i="109" s="1"/>
  <c r="BD203" i="109" s="1"/>
  <c r="BE203" i="109" s="1"/>
  <c r="BF203" i="109" s="1"/>
  <c r="BG203" i="109" s="1"/>
  <c r="BH203" i="109" s="1"/>
  <c r="BI203" i="109" s="1"/>
  <c r="BJ203" i="109" s="1"/>
  <c r="BK203" i="109" s="1"/>
  <c r="BL203" i="109" s="1"/>
  <c r="BM203" i="109" s="1"/>
  <c r="BN203" i="109" s="1"/>
  <c r="BO203" i="109" s="1"/>
  <c r="BP203" i="109" s="1"/>
  <c r="BQ203" i="109" s="1"/>
  <c r="BR203" i="109" s="1"/>
  <c r="BS203" i="109" s="1"/>
  <c r="BT203" i="109" s="1"/>
  <c r="BU203" i="109" s="1"/>
  <c r="BV203" i="109" s="1"/>
  <c r="AS202" i="109"/>
  <c r="AT202" i="109" s="1"/>
  <c r="AU202" i="109" s="1"/>
  <c r="AV202" i="109" s="1"/>
  <c r="AW202" i="109" s="1"/>
  <c r="AX202" i="109" s="1"/>
  <c r="AY202" i="109" s="1"/>
  <c r="AZ202" i="109" s="1"/>
  <c r="BA202" i="109" s="1"/>
  <c r="BB202" i="109" s="1"/>
  <c r="BC202" i="109" s="1"/>
  <c r="BD202" i="109" s="1"/>
  <c r="BE202" i="109" s="1"/>
  <c r="BF202" i="109" s="1"/>
  <c r="BG202" i="109" s="1"/>
  <c r="BH202" i="109" s="1"/>
  <c r="BI202" i="109" s="1"/>
  <c r="BJ202" i="109" s="1"/>
  <c r="BK202" i="109" s="1"/>
  <c r="BL202" i="109" s="1"/>
  <c r="BM202" i="109" s="1"/>
  <c r="BN202" i="109" s="1"/>
  <c r="BO202" i="109" s="1"/>
  <c r="BP202" i="109" s="1"/>
  <c r="BQ202" i="109" s="1"/>
  <c r="BR202" i="109" s="1"/>
  <c r="BS202" i="109" s="1"/>
  <c r="BT202" i="109" s="1"/>
  <c r="BU202" i="109" s="1"/>
  <c r="BV202" i="109" s="1"/>
  <c r="AS197" i="109"/>
  <c r="AT197" i="109" s="1"/>
  <c r="AU197" i="109" s="1"/>
  <c r="AV197" i="109" s="1"/>
  <c r="AW197" i="109" s="1"/>
  <c r="AX197" i="109" s="1"/>
  <c r="AY197" i="109" s="1"/>
  <c r="AZ197" i="109" s="1"/>
  <c r="BA197" i="109" s="1"/>
  <c r="BB197" i="109" s="1"/>
  <c r="BC197" i="109" s="1"/>
  <c r="BD197" i="109" s="1"/>
  <c r="BE197" i="109" s="1"/>
  <c r="BF197" i="109" s="1"/>
  <c r="BG197" i="109" s="1"/>
  <c r="BH197" i="109" s="1"/>
  <c r="BI197" i="109" s="1"/>
  <c r="BJ197" i="109" s="1"/>
  <c r="BK197" i="109" s="1"/>
  <c r="BL197" i="109" s="1"/>
  <c r="BM197" i="109" s="1"/>
  <c r="BN197" i="109" s="1"/>
  <c r="BO197" i="109" s="1"/>
  <c r="BP197" i="109" s="1"/>
  <c r="BQ197" i="109" s="1"/>
  <c r="BR197" i="109" s="1"/>
  <c r="BS197" i="109" s="1"/>
  <c r="BT197" i="109" s="1"/>
  <c r="BU197" i="109" s="1"/>
  <c r="BV197" i="109" s="1"/>
  <c r="AS366" i="109"/>
  <c r="AT366" i="109" s="1"/>
  <c r="AU366" i="109" s="1"/>
  <c r="AV366" i="109" s="1"/>
  <c r="AW366" i="109" s="1"/>
  <c r="AX366" i="109" s="1"/>
  <c r="AY366" i="109" s="1"/>
  <c r="AZ366" i="109" s="1"/>
  <c r="BA366" i="109" s="1"/>
  <c r="BB366" i="109" s="1"/>
  <c r="BC366" i="109" s="1"/>
  <c r="BD366" i="109" s="1"/>
  <c r="BE366" i="109" s="1"/>
  <c r="BF366" i="109" s="1"/>
  <c r="BG366" i="109" s="1"/>
  <c r="BH366" i="109" s="1"/>
  <c r="BI366" i="109" s="1"/>
  <c r="BJ366" i="109" s="1"/>
  <c r="BK366" i="109" s="1"/>
  <c r="BL366" i="109" s="1"/>
  <c r="BM366" i="109" s="1"/>
  <c r="BN366" i="109" s="1"/>
  <c r="BO366" i="109" s="1"/>
  <c r="BP366" i="109" s="1"/>
  <c r="BQ366" i="109" s="1"/>
  <c r="BR366" i="109" s="1"/>
  <c r="BS366" i="109" s="1"/>
  <c r="BT366" i="109" s="1"/>
  <c r="BU366" i="109" s="1"/>
  <c r="BV366" i="109" s="1"/>
  <c r="AS365" i="109"/>
  <c r="AT365" i="109" s="1"/>
  <c r="AU365" i="109" s="1"/>
  <c r="AV365" i="109" s="1"/>
  <c r="AW365" i="109" s="1"/>
  <c r="AX365" i="109" s="1"/>
  <c r="AY365" i="109" s="1"/>
  <c r="AZ365" i="109" s="1"/>
  <c r="BA365" i="109" s="1"/>
  <c r="BB365" i="109" s="1"/>
  <c r="BC365" i="109" s="1"/>
  <c r="BD365" i="109" s="1"/>
  <c r="BE365" i="109" s="1"/>
  <c r="BF365" i="109" s="1"/>
  <c r="BG365" i="109" s="1"/>
  <c r="BH365" i="109" s="1"/>
  <c r="BI365" i="109" s="1"/>
  <c r="BJ365" i="109" s="1"/>
  <c r="BK365" i="109" s="1"/>
  <c r="BL365" i="109" s="1"/>
  <c r="BM365" i="109" s="1"/>
  <c r="BN365" i="109" s="1"/>
  <c r="BO365" i="109" s="1"/>
  <c r="BP365" i="109" s="1"/>
  <c r="BQ365" i="109" s="1"/>
  <c r="BR365" i="109" s="1"/>
  <c r="BS365" i="109" s="1"/>
  <c r="BT365" i="109" s="1"/>
  <c r="BU365" i="109" s="1"/>
  <c r="BV365" i="109" s="1"/>
  <c r="AS364" i="109"/>
  <c r="AT364" i="109" s="1"/>
  <c r="AU364" i="109" s="1"/>
  <c r="AV364" i="109" s="1"/>
  <c r="AW364" i="109" s="1"/>
  <c r="AX364" i="109" s="1"/>
  <c r="AY364" i="109" s="1"/>
  <c r="AZ364" i="109" s="1"/>
  <c r="BA364" i="109" s="1"/>
  <c r="BB364" i="109" s="1"/>
  <c r="BC364" i="109" s="1"/>
  <c r="BD364" i="109" s="1"/>
  <c r="BE364" i="109" s="1"/>
  <c r="BF364" i="109" s="1"/>
  <c r="BG364" i="109" s="1"/>
  <c r="BH364" i="109" s="1"/>
  <c r="BI364" i="109" s="1"/>
  <c r="BJ364" i="109" s="1"/>
  <c r="BK364" i="109" s="1"/>
  <c r="BL364" i="109" s="1"/>
  <c r="BM364" i="109" s="1"/>
  <c r="BN364" i="109" s="1"/>
  <c r="BO364" i="109" s="1"/>
  <c r="BP364" i="109" s="1"/>
  <c r="BQ364" i="109" s="1"/>
  <c r="BR364" i="109" s="1"/>
  <c r="BS364" i="109" s="1"/>
  <c r="BT364" i="109" s="1"/>
  <c r="BU364" i="109" s="1"/>
  <c r="BV364" i="109" s="1"/>
  <c r="AS363" i="109"/>
  <c r="AT363" i="109" s="1"/>
  <c r="AU363" i="109" s="1"/>
  <c r="AV363" i="109" s="1"/>
  <c r="AW363" i="109" s="1"/>
  <c r="AX363" i="109" s="1"/>
  <c r="AY363" i="109" s="1"/>
  <c r="AZ363" i="109" s="1"/>
  <c r="BA363" i="109" s="1"/>
  <c r="BB363" i="109" s="1"/>
  <c r="BC363" i="109" s="1"/>
  <c r="BD363" i="109" s="1"/>
  <c r="BE363" i="109" s="1"/>
  <c r="BF363" i="109" s="1"/>
  <c r="BG363" i="109" s="1"/>
  <c r="BH363" i="109" s="1"/>
  <c r="BI363" i="109" s="1"/>
  <c r="BJ363" i="109" s="1"/>
  <c r="BK363" i="109" s="1"/>
  <c r="BL363" i="109" s="1"/>
  <c r="BM363" i="109" s="1"/>
  <c r="BN363" i="109" s="1"/>
  <c r="BO363" i="109" s="1"/>
  <c r="BP363" i="109" s="1"/>
  <c r="BQ363" i="109" s="1"/>
  <c r="BR363" i="109" s="1"/>
  <c r="BS363" i="109" s="1"/>
  <c r="BT363" i="109" s="1"/>
  <c r="BU363" i="109" s="1"/>
  <c r="BV363" i="109" s="1"/>
  <c r="AS362" i="109"/>
  <c r="AT362" i="109" s="1"/>
  <c r="AU362" i="109" s="1"/>
  <c r="AV362" i="109" s="1"/>
  <c r="AW362" i="109" s="1"/>
  <c r="AX362" i="109" s="1"/>
  <c r="AY362" i="109" s="1"/>
  <c r="AZ362" i="109" s="1"/>
  <c r="BA362" i="109" s="1"/>
  <c r="BB362" i="109" s="1"/>
  <c r="BC362" i="109" s="1"/>
  <c r="BD362" i="109" s="1"/>
  <c r="BE362" i="109" s="1"/>
  <c r="BF362" i="109" s="1"/>
  <c r="BG362" i="109" s="1"/>
  <c r="BH362" i="109" s="1"/>
  <c r="BI362" i="109" s="1"/>
  <c r="BJ362" i="109" s="1"/>
  <c r="BK362" i="109" s="1"/>
  <c r="BL362" i="109" s="1"/>
  <c r="BM362" i="109" s="1"/>
  <c r="BN362" i="109" s="1"/>
  <c r="BO362" i="109" s="1"/>
  <c r="BP362" i="109" s="1"/>
  <c r="BQ362" i="109" s="1"/>
  <c r="BR362" i="109" s="1"/>
  <c r="BS362" i="109" s="1"/>
  <c r="BT362" i="109" s="1"/>
  <c r="BU362" i="109" s="1"/>
  <c r="BV362" i="109" s="1"/>
  <c r="AS361" i="109"/>
  <c r="AT361" i="109" s="1"/>
  <c r="AU361" i="109" s="1"/>
  <c r="AV361" i="109" s="1"/>
  <c r="AW361" i="109" s="1"/>
  <c r="AX361" i="109" s="1"/>
  <c r="AY361" i="109" s="1"/>
  <c r="AZ361" i="109" s="1"/>
  <c r="BA361" i="109" s="1"/>
  <c r="BB361" i="109" s="1"/>
  <c r="BC361" i="109" s="1"/>
  <c r="BD361" i="109" s="1"/>
  <c r="BE361" i="109" s="1"/>
  <c r="BF361" i="109" s="1"/>
  <c r="BG361" i="109" s="1"/>
  <c r="BH361" i="109" s="1"/>
  <c r="BI361" i="109" s="1"/>
  <c r="BJ361" i="109" s="1"/>
  <c r="BK361" i="109" s="1"/>
  <c r="BL361" i="109" s="1"/>
  <c r="BM361" i="109" s="1"/>
  <c r="BN361" i="109" s="1"/>
  <c r="BO361" i="109" s="1"/>
  <c r="BP361" i="109" s="1"/>
  <c r="BQ361" i="109" s="1"/>
  <c r="BR361" i="109" s="1"/>
  <c r="BS361" i="109" s="1"/>
  <c r="BT361" i="109" s="1"/>
  <c r="BU361" i="109" s="1"/>
  <c r="BV361" i="109" s="1"/>
  <c r="AS360" i="109"/>
  <c r="AT360" i="109" s="1"/>
  <c r="AU360" i="109" s="1"/>
  <c r="AV360" i="109" s="1"/>
  <c r="AW360" i="109" s="1"/>
  <c r="AX360" i="109" s="1"/>
  <c r="AY360" i="109" s="1"/>
  <c r="AZ360" i="109" s="1"/>
  <c r="BA360" i="109" s="1"/>
  <c r="BB360" i="109" s="1"/>
  <c r="BC360" i="109" s="1"/>
  <c r="BD360" i="109" s="1"/>
  <c r="BE360" i="109" s="1"/>
  <c r="BF360" i="109" s="1"/>
  <c r="BG360" i="109" s="1"/>
  <c r="BH360" i="109" s="1"/>
  <c r="BI360" i="109" s="1"/>
  <c r="BJ360" i="109" s="1"/>
  <c r="BK360" i="109" s="1"/>
  <c r="BL360" i="109" s="1"/>
  <c r="BM360" i="109" s="1"/>
  <c r="BN360" i="109" s="1"/>
  <c r="BO360" i="109" s="1"/>
  <c r="BP360" i="109" s="1"/>
  <c r="BQ360" i="109" s="1"/>
  <c r="BR360" i="109" s="1"/>
  <c r="BS360" i="109" s="1"/>
  <c r="BT360" i="109" s="1"/>
  <c r="BU360" i="109" s="1"/>
  <c r="BV360" i="109" s="1"/>
  <c r="AS359" i="109"/>
  <c r="AT359" i="109" s="1"/>
  <c r="AU359" i="109" s="1"/>
  <c r="AV359" i="109" s="1"/>
  <c r="AW359" i="109" s="1"/>
  <c r="AX359" i="109" s="1"/>
  <c r="AY359" i="109" s="1"/>
  <c r="AZ359" i="109" s="1"/>
  <c r="BA359" i="109" s="1"/>
  <c r="BB359" i="109" s="1"/>
  <c r="BC359" i="109" s="1"/>
  <c r="BD359" i="109" s="1"/>
  <c r="BE359" i="109" s="1"/>
  <c r="BF359" i="109" s="1"/>
  <c r="BG359" i="109" s="1"/>
  <c r="BH359" i="109" s="1"/>
  <c r="BI359" i="109" s="1"/>
  <c r="BJ359" i="109" s="1"/>
  <c r="BK359" i="109" s="1"/>
  <c r="BL359" i="109" s="1"/>
  <c r="BM359" i="109" s="1"/>
  <c r="BN359" i="109" s="1"/>
  <c r="BO359" i="109" s="1"/>
  <c r="BP359" i="109" s="1"/>
  <c r="BQ359" i="109" s="1"/>
  <c r="BR359" i="109" s="1"/>
  <c r="BS359" i="109" s="1"/>
  <c r="BT359" i="109" s="1"/>
  <c r="BU359" i="109" s="1"/>
  <c r="BV359" i="109" s="1"/>
  <c r="AS358" i="109"/>
  <c r="AT358" i="109" s="1"/>
  <c r="AU358" i="109" s="1"/>
  <c r="AV358" i="109" s="1"/>
  <c r="AW358" i="109" s="1"/>
  <c r="AX358" i="109" s="1"/>
  <c r="AY358" i="109" s="1"/>
  <c r="AZ358" i="109" s="1"/>
  <c r="BA358" i="109" s="1"/>
  <c r="BB358" i="109" s="1"/>
  <c r="BC358" i="109" s="1"/>
  <c r="BD358" i="109" s="1"/>
  <c r="BE358" i="109" s="1"/>
  <c r="BF358" i="109" s="1"/>
  <c r="BG358" i="109" s="1"/>
  <c r="BH358" i="109" s="1"/>
  <c r="BI358" i="109" s="1"/>
  <c r="BJ358" i="109" s="1"/>
  <c r="BK358" i="109" s="1"/>
  <c r="BL358" i="109" s="1"/>
  <c r="BM358" i="109" s="1"/>
  <c r="BN358" i="109" s="1"/>
  <c r="BO358" i="109" s="1"/>
  <c r="BP358" i="109" s="1"/>
  <c r="BQ358" i="109" s="1"/>
  <c r="BR358" i="109" s="1"/>
  <c r="BS358" i="109" s="1"/>
  <c r="BT358" i="109" s="1"/>
  <c r="BU358" i="109" s="1"/>
  <c r="BV358" i="109" s="1"/>
  <c r="BA357" i="109"/>
  <c r="BB357" i="109" s="1"/>
  <c r="BC357" i="109" s="1"/>
  <c r="BD357" i="109" s="1"/>
  <c r="BE357" i="109" s="1"/>
  <c r="BF357" i="109" s="1"/>
  <c r="BG357" i="109" s="1"/>
  <c r="BH357" i="109" s="1"/>
  <c r="BI357" i="109" s="1"/>
  <c r="BJ357" i="109" s="1"/>
  <c r="BK357" i="109" s="1"/>
  <c r="BL357" i="109" s="1"/>
  <c r="BM357" i="109" s="1"/>
  <c r="BN357" i="109" s="1"/>
  <c r="BO357" i="109" s="1"/>
  <c r="BP357" i="109" s="1"/>
  <c r="BQ357" i="109" s="1"/>
  <c r="BR357" i="109" s="1"/>
  <c r="BS357" i="109" s="1"/>
  <c r="BT357" i="109" s="1"/>
  <c r="BU357" i="109" s="1"/>
  <c r="BV357" i="109" s="1"/>
  <c r="AS357" i="109"/>
  <c r="AT357" i="109" s="1"/>
  <c r="AU357" i="109" s="1"/>
  <c r="AV357" i="109" s="1"/>
  <c r="AW357" i="109" s="1"/>
  <c r="AX357" i="109" s="1"/>
  <c r="AY357" i="109" s="1"/>
  <c r="AZ357" i="109" s="1"/>
  <c r="AY356" i="109"/>
  <c r="AZ356" i="109" s="1"/>
  <c r="BA356" i="109" s="1"/>
  <c r="BB356" i="109" s="1"/>
  <c r="BC356" i="109" s="1"/>
  <c r="BD356" i="109" s="1"/>
  <c r="BE356" i="109" s="1"/>
  <c r="BF356" i="109" s="1"/>
  <c r="BG356" i="109" s="1"/>
  <c r="BH356" i="109" s="1"/>
  <c r="BI356" i="109" s="1"/>
  <c r="BJ356" i="109" s="1"/>
  <c r="BK356" i="109" s="1"/>
  <c r="BL356" i="109" s="1"/>
  <c r="BM356" i="109" s="1"/>
  <c r="BN356" i="109" s="1"/>
  <c r="BO356" i="109" s="1"/>
  <c r="BP356" i="109" s="1"/>
  <c r="BQ356" i="109" s="1"/>
  <c r="BR356" i="109" s="1"/>
  <c r="BS356" i="109" s="1"/>
  <c r="BT356" i="109" s="1"/>
  <c r="BU356" i="109" s="1"/>
  <c r="BV356" i="109" s="1"/>
  <c r="AS356" i="109"/>
  <c r="AT356" i="109" s="1"/>
  <c r="AU356" i="109" s="1"/>
  <c r="AV356" i="109" s="1"/>
  <c r="AW356" i="109" s="1"/>
  <c r="AX356" i="109" s="1"/>
  <c r="AS355" i="109"/>
  <c r="AT355" i="109" s="1"/>
  <c r="AU355" i="109" s="1"/>
  <c r="AV355" i="109" s="1"/>
  <c r="AW355" i="109" s="1"/>
  <c r="AX355" i="109" s="1"/>
  <c r="AY355" i="109" s="1"/>
  <c r="AZ355" i="109" s="1"/>
  <c r="BA355" i="109" s="1"/>
  <c r="BB355" i="109" s="1"/>
  <c r="BC355" i="109" s="1"/>
  <c r="BD355" i="109" s="1"/>
  <c r="BE355" i="109" s="1"/>
  <c r="BF355" i="109" s="1"/>
  <c r="BG355" i="109" s="1"/>
  <c r="BH355" i="109" s="1"/>
  <c r="BI355" i="109" s="1"/>
  <c r="BJ355" i="109" s="1"/>
  <c r="BK355" i="109" s="1"/>
  <c r="BL355" i="109" s="1"/>
  <c r="BM355" i="109" s="1"/>
  <c r="BN355" i="109" s="1"/>
  <c r="BO355" i="109" s="1"/>
  <c r="BP355" i="109" s="1"/>
  <c r="BQ355" i="109" s="1"/>
  <c r="BR355" i="109" s="1"/>
  <c r="BS355" i="109" s="1"/>
  <c r="BT355" i="109" s="1"/>
  <c r="BU355" i="109" s="1"/>
  <c r="BV355" i="109" s="1"/>
  <c r="AS354" i="109"/>
  <c r="AT354" i="109" s="1"/>
  <c r="AU354" i="109" s="1"/>
  <c r="AV354" i="109" s="1"/>
  <c r="AW354" i="109" s="1"/>
  <c r="AX354" i="109" s="1"/>
  <c r="AY354" i="109" s="1"/>
  <c r="AZ354" i="109" s="1"/>
  <c r="BA354" i="109" s="1"/>
  <c r="BB354" i="109" s="1"/>
  <c r="BC354" i="109" s="1"/>
  <c r="BD354" i="109" s="1"/>
  <c r="BE354" i="109" s="1"/>
  <c r="BF354" i="109" s="1"/>
  <c r="BG354" i="109" s="1"/>
  <c r="BH354" i="109" s="1"/>
  <c r="BI354" i="109" s="1"/>
  <c r="BJ354" i="109" s="1"/>
  <c r="BK354" i="109" s="1"/>
  <c r="BL354" i="109" s="1"/>
  <c r="BM354" i="109" s="1"/>
  <c r="BN354" i="109" s="1"/>
  <c r="BO354" i="109" s="1"/>
  <c r="BP354" i="109" s="1"/>
  <c r="BQ354" i="109" s="1"/>
  <c r="BR354" i="109" s="1"/>
  <c r="BS354" i="109" s="1"/>
  <c r="BT354" i="109" s="1"/>
  <c r="BU354" i="109" s="1"/>
  <c r="BV354" i="109" s="1"/>
  <c r="AS353" i="109"/>
  <c r="AT353" i="109" s="1"/>
  <c r="AU353" i="109" s="1"/>
  <c r="AV353" i="109" s="1"/>
  <c r="AW353" i="109" s="1"/>
  <c r="AX353" i="109" s="1"/>
  <c r="AY353" i="109" s="1"/>
  <c r="AZ353" i="109" s="1"/>
  <c r="BA353" i="109" s="1"/>
  <c r="BB353" i="109" s="1"/>
  <c r="BC353" i="109" s="1"/>
  <c r="BD353" i="109" s="1"/>
  <c r="BE353" i="109" s="1"/>
  <c r="BF353" i="109" s="1"/>
  <c r="BG353" i="109" s="1"/>
  <c r="BH353" i="109" s="1"/>
  <c r="BI353" i="109" s="1"/>
  <c r="BJ353" i="109" s="1"/>
  <c r="BK353" i="109" s="1"/>
  <c r="BL353" i="109" s="1"/>
  <c r="BM353" i="109" s="1"/>
  <c r="BN353" i="109" s="1"/>
  <c r="BO353" i="109" s="1"/>
  <c r="BP353" i="109" s="1"/>
  <c r="BQ353" i="109" s="1"/>
  <c r="BR353" i="109" s="1"/>
  <c r="BS353" i="109" s="1"/>
  <c r="BT353" i="109" s="1"/>
  <c r="BU353" i="109" s="1"/>
  <c r="BV353" i="109" s="1"/>
  <c r="AS352" i="109"/>
  <c r="AT352" i="109" s="1"/>
  <c r="AU352" i="109" s="1"/>
  <c r="AV352" i="109" s="1"/>
  <c r="AW352" i="109" s="1"/>
  <c r="AX352" i="109" s="1"/>
  <c r="AY352" i="109" s="1"/>
  <c r="AZ352" i="109" s="1"/>
  <c r="BA352" i="109" s="1"/>
  <c r="BB352" i="109" s="1"/>
  <c r="BC352" i="109" s="1"/>
  <c r="BD352" i="109" s="1"/>
  <c r="BE352" i="109" s="1"/>
  <c r="BF352" i="109" s="1"/>
  <c r="BG352" i="109" s="1"/>
  <c r="BH352" i="109" s="1"/>
  <c r="BI352" i="109" s="1"/>
  <c r="BJ352" i="109" s="1"/>
  <c r="BK352" i="109" s="1"/>
  <c r="BL352" i="109" s="1"/>
  <c r="BM352" i="109" s="1"/>
  <c r="BN352" i="109" s="1"/>
  <c r="BO352" i="109" s="1"/>
  <c r="BP352" i="109" s="1"/>
  <c r="BQ352" i="109" s="1"/>
  <c r="BR352" i="109" s="1"/>
  <c r="BS352" i="109" s="1"/>
  <c r="BT352" i="109" s="1"/>
  <c r="BU352" i="109" s="1"/>
  <c r="BV352" i="109" s="1"/>
  <c r="AS351" i="109"/>
  <c r="AT351" i="109" s="1"/>
  <c r="AU351" i="109" s="1"/>
  <c r="AV351" i="109" s="1"/>
  <c r="AW351" i="109" s="1"/>
  <c r="AX351" i="109" s="1"/>
  <c r="AY351" i="109" s="1"/>
  <c r="AZ351" i="109" s="1"/>
  <c r="BA351" i="109" s="1"/>
  <c r="BB351" i="109" s="1"/>
  <c r="BC351" i="109" s="1"/>
  <c r="BD351" i="109" s="1"/>
  <c r="BE351" i="109" s="1"/>
  <c r="BF351" i="109" s="1"/>
  <c r="BG351" i="109" s="1"/>
  <c r="BH351" i="109" s="1"/>
  <c r="BI351" i="109" s="1"/>
  <c r="BJ351" i="109" s="1"/>
  <c r="BK351" i="109" s="1"/>
  <c r="BL351" i="109" s="1"/>
  <c r="BM351" i="109" s="1"/>
  <c r="BN351" i="109" s="1"/>
  <c r="BO351" i="109" s="1"/>
  <c r="BP351" i="109" s="1"/>
  <c r="BQ351" i="109" s="1"/>
  <c r="BR351" i="109" s="1"/>
  <c r="BS351" i="109" s="1"/>
  <c r="BT351" i="109" s="1"/>
  <c r="BU351" i="109" s="1"/>
  <c r="BV351" i="109" s="1"/>
  <c r="AS350" i="109"/>
  <c r="AT350" i="109" s="1"/>
  <c r="AU350" i="109" s="1"/>
  <c r="AV350" i="109" s="1"/>
  <c r="AW350" i="109" s="1"/>
  <c r="AX350" i="109" s="1"/>
  <c r="AY350" i="109" s="1"/>
  <c r="AZ350" i="109" s="1"/>
  <c r="BA350" i="109" s="1"/>
  <c r="BB350" i="109" s="1"/>
  <c r="BC350" i="109" s="1"/>
  <c r="BD350" i="109" s="1"/>
  <c r="BE350" i="109" s="1"/>
  <c r="BF350" i="109" s="1"/>
  <c r="BG350" i="109" s="1"/>
  <c r="BH350" i="109" s="1"/>
  <c r="BI350" i="109" s="1"/>
  <c r="BJ350" i="109" s="1"/>
  <c r="BK350" i="109" s="1"/>
  <c r="BL350" i="109" s="1"/>
  <c r="BM350" i="109" s="1"/>
  <c r="BN350" i="109" s="1"/>
  <c r="BO350" i="109" s="1"/>
  <c r="BP350" i="109" s="1"/>
  <c r="BQ350" i="109" s="1"/>
  <c r="BR350" i="109" s="1"/>
  <c r="BS350" i="109" s="1"/>
  <c r="BT350" i="109" s="1"/>
  <c r="BU350" i="109" s="1"/>
  <c r="BV350" i="109" s="1"/>
  <c r="AS349" i="109"/>
  <c r="AT349" i="109" s="1"/>
  <c r="AU349" i="109" s="1"/>
  <c r="AV349" i="109" s="1"/>
  <c r="AW349" i="109" s="1"/>
  <c r="AX349" i="109" s="1"/>
  <c r="AY349" i="109" s="1"/>
  <c r="AZ349" i="109" s="1"/>
  <c r="BA349" i="109" s="1"/>
  <c r="BB349" i="109" s="1"/>
  <c r="BC349" i="109" s="1"/>
  <c r="BD349" i="109" s="1"/>
  <c r="BE349" i="109" s="1"/>
  <c r="BF349" i="109" s="1"/>
  <c r="BG349" i="109" s="1"/>
  <c r="BH349" i="109" s="1"/>
  <c r="BI349" i="109" s="1"/>
  <c r="BJ349" i="109" s="1"/>
  <c r="BK349" i="109" s="1"/>
  <c r="BL349" i="109" s="1"/>
  <c r="BM349" i="109" s="1"/>
  <c r="BN349" i="109" s="1"/>
  <c r="BO349" i="109" s="1"/>
  <c r="BP349" i="109" s="1"/>
  <c r="BQ349" i="109" s="1"/>
  <c r="BR349" i="109" s="1"/>
  <c r="BS349" i="109" s="1"/>
  <c r="BT349" i="109" s="1"/>
  <c r="BU349" i="109" s="1"/>
  <c r="BV349" i="109" s="1"/>
  <c r="AS348" i="109"/>
  <c r="AT348" i="109" s="1"/>
  <c r="AU348" i="109" s="1"/>
  <c r="AV348" i="109" s="1"/>
  <c r="AW348" i="109" s="1"/>
  <c r="AX348" i="109" s="1"/>
  <c r="AY348" i="109" s="1"/>
  <c r="AZ348" i="109" s="1"/>
  <c r="BA348" i="109" s="1"/>
  <c r="BB348" i="109" s="1"/>
  <c r="BC348" i="109" s="1"/>
  <c r="BD348" i="109" s="1"/>
  <c r="BE348" i="109" s="1"/>
  <c r="BF348" i="109" s="1"/>
  <c r="BG348" i="109" s="1"/>
  <c r="BH348" i="109" s="1"/>
  <c r="BI348" i="109" s="1"/>
  <c r="BJ348" i="109" s="1"/>
  <c r="BK348" i="109" s="1"/>
  <c r="BL348" i="109" s="1"/>
  <c r="BM348" i="109" s="1"/>
  <c r="BN348" i="109" s="1"/>
  <c r="BO348" i="109" s="1"/>
  <c r="BP348" i="109" s="1"/>
  <c r="BQ348" i="109" s="1"/>
  <c r="BR348" i="109" s="1"/>
  <c r="BS348" i="109" s="1"/>
  <c r="BT348" i="109" s="1"/>
  <c r="BU348" i="109" s="1"/>
  <c r="BV348" i="109" s="1"/>
  <c r="AS347" i="109"/>
  <c r="AT347" i="109" s="1"/>
  <c r="AU347" i="109" s="1"/>
  <c r="AV347" i="109" s="1"/>
  <c r="AW347" i="109" s="1"/>
  <c r="AX347" i="109" s="1"/>
  <c r="AY347" i="109" s="1"/>
  <c r="AZ347" i="109" s="1"/>
  <c r="BA347" i="109" s="1"/>
  <c r="BB347" i="109" s="1"/>
  <c r="BC347" i="109" s="1"/>
  <c r="BD347" i="109" s="1"/>
  <c r="BE347" i="109" s="1"/>
  <c r="BF347" i="109" s="1"/>
  <c r="BG347" i="109" s="1"/>
  <c r="BH347" i="109" s="1"/>
  <c r="BI347" i="109" s="1"/>
  <c r="BJ347" i="109" s="1"/>
  <c r="BK347" i="109" s="1"/>
  <c r="BL347" i="109" s="1"/>
  <c r="BM347" i="109" s="1"/>
  <c r="BN347" i="109" s="1"/>
  <c r="BO347" i="109" s="1"/>
  <c r="BP347" i="109" s="1"/>
  <c r="BQ347" i="109" s="1"/>
  <c r="BR347" i="109" s="1"/>
  <c r="BS347" i="109" s="1"/>
  <c r="BT347" i="109" s="1"/>
  <c r="BU347" i="109" s="1"/>
  <c r="BV347" i="109" s="1"/>
  <c r="AS346" i="109"/>
  <c r="AT346" i="109" s="1"/>
  <c r="AU346" i="109" s="1"/>
  <c r="AV346" i="109" s="1"/>
  <c r="AW346" i="109" s="1"/>
  <c r="AX346" i="109" s="1"/>
  <c r="AY346" i="109" s="1"/>
  <c r="AZ346" i="109" s="1"/>
  <c r="BA346" i="109" s="1"/>
  <c r="BB346" i="109" s="1"/>
  <c r="BC346" i="109" s="1"/>
  <c r="BD346" i="109" s="1"/>
  <c r="BE346" i="109" s="1"/>
  <c r="BF346" i="109" s="1"/>
  <c r="BG346" i="109" s="1"/>
  <c r="BH346" i="109" s="1"/>
  <c r="BI346" i="109" s="1"/>
  <c r="BJ346" i="109" s="1"/>
  <c r="BK346" i="109" s="1"/>
  <c r="BL346" i="109" s="1"/>
  <c r="BM346" i="109" s="1"/>
  <c r="BN346" i="109" s="1"/>
  <c r="BO346" i="109" s="1"/>
  <c r="BP346" i="109" s="1"/>
  <c r="BQ346" i="109" s="1"/>
  <c r="BR346" i="109" s="1"/>
  <c r="BS346" i="109" s="1"/>
  <c r="BT346" i="109" s="1"/>
  <c r="BU346" i="109" s="1"/>
  <c r="BV346" i="109" s="1"/>
  <c r="AS345" i="109"/>
  <c r="AT345" i="109" s="1"/>
  <c r="AU345" i="109" s="1"/>
  <c r="AV345" i="109" s="1"/>
  <c r="AW345" i="109" s="1"/>
  <c r="AX345" i="109" s="1"/>
  <c r="AY345" i="109" s="1"/>
  <c r="AZ345" i="109" s="1"/>
  <c r="BA345" i="109" s="1"/>
  <c r="BB345" i="109" s="1"/>
  <c r="BC345" i="109" s="1"/>
  <c r="BD345" i="109" s="1"/>
  <c r="BE345" i="109" s="1"/>
  <c r="BF345" i="109" s="1"/>
  <c r="BG345" i="109" s="1"/>
  <c r="BH345" i="109" s="1"/>
  <c r="BI345" i="109" s="1"/>
  <c r="BJ345" i="109" s="1"/>
  <c r="BK345" i="109" s="1"/>
  <c r="BL345" i="109" s="1"/>
  <c r="BM345" i="109" s="1"/>
  <c r="BN345" i="109" s="1"/>
  <c r="BO345" i="109" s="1"/>
  <c r="BP345" i="109" s="1"/>
  <c r="BQ345" i="109" s="1"/>
  <c r="BR345" i="109" s="1"/>
  <c r="BS345" i="109" s="1"/>
  <c r="BT345" i="109" s="1"/>
  <c r="BU345" i="109" s="1"/>
  <c r="BV345" i="109" s="1"/>
  <c r="AS344" i="109"/>
  <c r="AT344" i="109" s="1"/>
  <c r="AU344" i="109" s="1"/>
  <c r="AV344" i="109" s="1"/>
  <c r="AW344" i="109" s="1"/>
  <c r="AX344" i="109" s="1"/>
  <c r="AY344" i="109" s="1"/>
  <c r="AZ344" i="109" s="1"/>
  <c r="BA344" i="109" s="1"/>
  <c r="BB344" i="109" s="1"/>
  <c r="BC344" i="109" s="1"/>
  <c r="BD344" i="109" s="1"/>
  <c r="BE344" i="109" s="1"/>
  <c r="BF344" i="109" s="1"/>
  <c r="BG344" i="109" s="1"/>
  <c r="BH344" i="109" s="1"/>
  <c r="BI344" i="109" s="1"/>
  <c r="BJ344" i="109" s="1"/>
  <c r="BK344" i="109" s="1"/>
  <c r="BL344" i="109" s="1"/>
  <c r="BM344" i="109" s="1"/>
  <c r="BN344" i="109" s="1"/>
  <c r="BO344" i="109" s="1"/>
  <c r="BP344" i="109" s="1"/>
  <c r="BQ344" i="109" s="1"/>
  <c r="BR344" i="109" s="1"/>
  <c r="BS344" i="109" s="1"/>
  <c r="BT344" i="109" s="1"/>
  <c r="BU344" i="109" s="1"/>
  <c r="BV344" i="109" s="1"/>
  <c r="AS343" i="109"/>
  <c r="AT343" i="109" s="1"/>
  <c r="AU343" i="109" s="1"/>
  <c r="AV343" i="109" s="1"/>
  <c r="AW343" i="109" s="1"/>
  <c r="AX343" i="109" s="1"/>
  <c r="AY343" i="109" s="1"/>
  <c r="AZ343" i="109" s="1"/>
  <c r="BA343" i="109" s="1"/>
  <c r="BB343" i="109" s="1"/>
  <c r="BC343" i="109" s="1"/>
  <c r="BD343" i="109" s="1"/>
  <c r="BE343" i="109" s="1"/>
  <c r="BF343" i="109" s="1"/>
  <c r="BG343" i="109" s="1"/>
  <c r="BH343" i="109" s="1"/>
  <c r="BI343" i="109" s="1"/>
  <c r="BJ343" i="109" s="1"/>
  <c r="BK343" i="109" s="1"/>
  <c r="BL343" i="109" s="1"/>
  <c r="BM343" i="109" s="1"/>
  <c r="BN343" i="109" s="1"/>
  <c r="BO343" i="109" s="1"/>
  <c r="BP343" i="109" s="1"/>
  <c r="BQ343" i="109" s="1"/>
  <c r="BR343" i="109" s="1"/>
  <c r="BS343" i="109" s="1"/>
  <c r="BT343" i="109" s="1"/>
  <c r="BU343" i="109" s="1"/>
  <c r="BV343" i="109" s="1"/>
  <c r="AS342" i="109"/>
  <c r="AT342" i="109" s="1"/>
  <c r="AU342" i="109" s="1"/>
  <c r="AV342" i="109" s="1"/>
  <c r="AW342" i="109" s="1"/>
  <c r="AX342" i="109" s="1"/>
  <c r="AY342" i="109" s="1"/>
  <c r="AZ342" i="109" s="1"/>
  <c r="BA342" i="109" s="1"/>
  <c r="BB342" i="109" s="1"/>
  <c r="BC342" i="109" s="1"/>
  <c r="BD342" i="109" s="1"/>
  <c r="BE342" i="109" s="1"/>
  <c r="BF342" i="109" s="1"/>
  <c r="BG342" i="109" s="1"/>
  <c r="BH342" i="109" s="1"/>
  <c r="BI342" i="109" s="1"/>
  <c r="BJ342" i="109" s="1"/>
  <c r="BK342" i="109" s="1"/>
  <c r="BL342" i="109" s="1"/>
  <c r="BM342" i="109" s="1"/>
  <c r="BN342" i="109" s="1"/>
  <c r="BO342" i="109" s="1"/>
  <c r="BP342" i="109" s="1"/>
  <c r="BQ342" i="109" s="1"/>
  <c r="BR342" i="109" s="1"/>
  <c r="BS342" i="109" s="1"/>
  <c r="BT342" i="109" s="1"/>
  <c r="BU342" i="109" s="1"/>
  <c r="BV342" i="109" s="1"/>
  <c r="AS341" i="109"/>
  <c r="AT341" i="109" s="1"/>
  <c r="AU341" i="109" s="1"/>
  <c r="AV341" i="109" s="1"/>
  <c r="AW341" i="109" s="1"/>
  <c r="AX341" i="109" s="1"/>
  <c r="AY341" i="109" s="1"/>
  <c r="AZ341" i="109" s="1"/>
  <c r="BA341" i="109" s="1"/>
  <c r="BB341" i="109" s="1"/>
  <c r="BC341" i="109" s="1"/>
  <c r="BD341" i="109" s="1"/>
  <c r="BE341" i="109" s="1"/>
  <c r="BF341" i="109" s="1"/>
  <c r="BG341" i="109" s="1"/>
  <c r="BH341" i="109" s="1"/>
  <c r="BI341" i="109" s="1"/>
  <c r="BJ341" i="109" s="1"/>
  <c r="BK341" i="109" s="1"/>
  <c r="BL341" i="109" s="1"/>
  <c r="BM341" i="109" s="1"/>
  <c r="BN341" i="109" s="1"/>
  <c r="BO341" i="109" s="1"/>
  <c r="BP341" i="109" s="1"/>
  <c r="BQ341" i="109" s="1"/>
  <c r="BR341" i="109" s="1"/>
  <c r="BS341" i="109" s="1"/>
  <c r="BT341" i="109" s="1"/>
  <c r="BU341" i="109" s="1"/>
  <c r="BV341" i="109" s="1"/>
  <c r="AS340" i="109"/>
  <c r="AT340" i="109" s="1"/>
  <c r="AU340" i="109" s="1"/>
  <c r="AV340" i="109" s="1"/>
  <c r="AW340" i="109" s="1"/>
  <c r="AX340" i="109" s="1"/>
  <c r="AY340" i="109" s="1"/>
  <c r="AZ340" i="109" s="1"/>
  <c r="BA340" i="109" s="1"/>
  <c r="BB340" i="109" s="1"/>
  <c r="BC340" i="109" s="1"/>
  <c r="BD340" i="109" s="1"/>
  <c r="BE340" i="109" s="1"/>
  <c r="BF340" i="109" s="1"/>
  <c r="BG340" i="109" s="1"/>
  <c r="BH340" i="109" s="1"/>
  <c r="BI340" i="109" s="1"/>
  <c r="BJ340" i="109" s="1"/>
  <c r="BK340" i="109" s="1"/>
  <c r="BL340" i="109" s="1"/>
  <c r="BM340" i="109" s="1"/>
  <c r="BN340" i="109" s="1"/>
  <c r="BO340" i="109" s="1"/>
  <c r="BP340" i="109" s="1"/>
  <c r="BQ340" i="109" s="1"/>
  <c r="BR340" i="109" s="1"/>
  <c r="BS340" i="109" s="1"/>
  <c r="BT340" i="109" s="1"/>
  <c r="BU340" i="109" s="1"/>
  <c r="BV340" i="109" s="1"/>
  <c r="AS339" i="109"/>
  <c r="AT339" i="109" s="1"/>
  <c r="AU339" i="109" s="1"/>
  <c r="AV339" i="109" s="1"/>
  <c r="AW339" i="109" s="1"/>
  <c r="AX339" i="109" s="1"/>
  <c r="AY339" i="109" s="1"/>
  <c r="AZ339" i="109" s="1"/>
  <c r="BA339" i="109" s="1"/>
  <c r="BB339" i="109" s="1"/>
  <c r="BC339" i="109" s="1"/>
  <c r="BD339" i="109" s="1"/>
  <c r="BE339" i="109" s="1"/>
  <c r="BF339" i="109" s="1"/>
  <c r="BG339" i="109" s="1"/>
  <c r="BH339" i="109" s="1"/>
  <c r="BI339" i="109" s="1"/>
  <c r="BJ339" i="109" s="1"/>
  <c r="BK339" i="109" s="1"/>
  <c r="BL339" i="109" s="1"/>
  <c r="BM339" i="109" s="1"/>
  <c r="BN339" i="109" s="1"/>
  <c r="BO339" i="109" s="1"/>
  <c r="BP339" i="109" s="1"/>
  <c r="BQ339" i="109" s="1"/>
  <c r="BR339" i="109" s="1"/>
  <c r="BS339" i="109" s="1"/>
  <c r="BT339" i="109" s="1"/>
  <c r="BU339" i="109" s="1"/>
  <c r="BV339" i="109" s="1"/>
  <c r="AT334" i="109"/>
  <c r="AU334" i="109" s="1"/>
  <c r="AV334" i="109" s="1"/>
  <c r="AW334" i="109" s="1"/>
  <c r="AX334" i="109" s="1"/>
  <c r="AY334" i="109" s="1"/>
  <c r="AZ334" i="109" s="1"/>
  <c r="BA334" i="109" s="1"/>
  <c r="BB334" i="109" s="1"/>
  <c r="BC334" i="109" s="1"/>
  <c r="BD334" i="109" s="1"/>
  <c r="BE334" i="109" s="1"/>
  <c r="BF334" i="109" s="1"/>
  <c r="BG334" i="109" s="1"/>
  <c r="BH334" i="109" s="1"/>
  <c r="BI334" i="109" s="1"/>
  <c r="BJ334" i="109" s="1"/>
  <c r="BK334" i="109" s="1"/>
  <c r="BL334" i="109" s="1"/>
  <c r="BM334" i="109" s="1"/>
  <c r="BN334" i="109" s="1"/>
  <c r="BO334" i="109" s="1"/>
  <c r="BP334" i="109" s="1"/>
  <c r="BQ334" i="109" s="1"/>
  <c r="BR334" i="109" s="1"/>
  <c r="BS334" i="109" s="1"/>
  <c r="BT334" i="109" s="1"/>
  <c r="BU334" i="109" s="1"/>
  <c r="BV334" i="109" s="1"/>
  <c r="AS334" i="109"/>
  <c r="AS333" i="109"/>
  <c r="AT333" i="109" s="1"/>
  <c r="AU333" i="109" s="1"/>
  <c r="AV333" i="109" s="1"/>
  <c r="AW333" i="109" s="1"/>
  <c r="AX333" i="109" s="1"/>
  <c r="AY333" i="109" s="1"/>
  <c r="AZ333" i="109" s="1"/>
  <c r="BA333" i="109" s="1"/>
  <c r="BB333" i="109" s="1"/>
  <c r="BC333" i="109" s="1"/>
  <c r="BD333" i="109" s="1"/>
  <c r="BE333" i="109" s="1"/>
  <c r="BF333" i="109" s="1"/>
  <c r="BG333" i="109" s="1"/>
  <c r="BH333" i="109" s="1"/>
  <c r="BI333" i="109" s="1"/>
  <c r="BJ333" i="109" s="1"/>
  <c r="BK333" i="109" s="1"/>
  <c r="BL333" i="109" s="1"/>
  <c r="BM333" i="109" s="1"/>
  <c r="BN333" i="109" s="1"/>
  <c r="BO333" i="109" s="1"/>
  <c r="BP333" i="109" s="1"/>
  <c r="BQ333" i="109" s="1"/>
  <c r="BR333" i="109" s="1"/>
  <c r="BS333" i="109" s="1"/>
  <c r="BT333" i="109" s="1"/>
  <c r="BU333" i="109" s="1"/>
  <c r="BV333" i="109" s="1"/>
  <c r="BK332" i="109"/>
  <c r="BL332" i="109" s="1"/>
  <c r="BM332" i="109" s="1"/>
  <c r="BN332" i="109" s="1"/>
  <c r="BO332" i="109" s="1"/>
  <c r="BP332" i="109" s="1"/>
  <c r="BQ332" i="109" s="1"/>
  <c r="BR332" i="109" s="1"/>
  <c r="BS332" i="109" s="1"/>
  <c r="BT332" i="109" s="1"/>
  <c r="BU332" i="109" s="1"/>
  <c r="BV332" i="109" s="1"/>
  <c r="AU332" i="109"/>
  <c r="AV332" i="109" s="1"/>
  <c r="AW332" i="109" s="1"/>
  <c r="AX332" i="109" s="1"/>
  <c r="AY332" i="109" s="1"/>
  <c r="AZ332" i="109" s="1"/>
  <c r="BA332" i="109" s="1"/>
  <c r="BB332" i="109" s="1"/>
  <c r="BC332" i="109" s="1"/>
  <c r="BD332" i="109" s="1"/>
  <c r="BE332" i="109" s="1"/>
  <c r="BF332" i="109" s="1"/>
  <c r="BG332" i="109" s="1"/>
  <c r="BH332" i="109" s="1"/>
  <c r="BI332" i="109" s="1"/>
  <c r="BJ332" i="109" s="1"/>
  <c r="AT332" i="109"/>
  <c r="AS332" i="109"/>
  <c r="AV331" i="109"/>
  <c r="AW331" i="109" s="1"/>
  <c r="AX331" i="109" s="1"/>
  <c r="AY331" i="109" s="1"/>
  <c r="AZ331" i="109" s="1"/>
  <c r="BA331" i="109" s="1"/>
  <c r="BB331" i="109" s="1"/>
  <c r="BC331" i="109" s="1"/>
  <c r="BD331" i="109" s="1"/>
  <c r="BE331" i="109" s="1"/>
  <c r="BF331" i="109" s="1"/>
  <c r="BG331" i="109" s="1"/>
  <c r="BH331" i="109" s="1"/>
  <c r="BI331" i="109" s="1"/>
  <c r="BJ331" i="109" s="1"/>
  <c r="BK331" i="109" s="1"/>
  <c r="BL331" i="109" s="1"/>
  <c r="BM331" i="109" s="1"/>
  <c r="BN331" i="109" s="1"/>
  <c r="BO331" i="109" s="1"/>
  <c r="BP331" i="109" s="1"/>
  <c r="BQ331" i="109" s="1"/>
  <c r="BR331" i="109" s="1"/>
  <c r="BS331" i="109" s="1"/>
  <c r="BT331" i="109" s="1"/>
  <c r="BU331" i="109" s="1"/>
  <c r="BV331" i="109" s="1"/>
  <c r="AS331" i="109"/>
  <c r="AT331" i="109" s="1"/>
  <c r="AU331" i="109" s="1"/>
  <c r="BB330" i="109"/>
  <c r="BC330" i="109" s="1"/>
  <c r="BD330" i="109" s="1"/>
  <c r="BE330" i="109" s="1"/>
  <c r="BF330" i="109" s="1"/>
  <c r="BG330" i="109" s="1"/>
  <c r="BH330" i="109" s="1"/>
  <c r="BI330" i="109" s="1"/>
  <c r="BJ330" i="109" s="1"/>
  <c r="BK330" i="109" s="1"/>
  <c r="BL330" i="109" s="1"/>
  <c r="BM330" i="109" s="1"/>
  <c r="BN330" i="109" s="1"/>
  <c r="BO330" i="109" s="1"/>
  <c r="BP330" i="109" s="1"/>
  <c r="BQ330" i="109" s="1"/>
  <c r="BR330" i="109" s="1"/>
  <c r="BS330" i="109" s="1"/>
  <c r="BT330" i="109" s="1"/>
  <c r="BU330" i="109" s="1"/>
  <c r="BV330" i="109" s="1"/>
  <c r="AT330" i="109"/>
  <c r="AU330" i="109" s="1"/>
  <c r="AV330" i="109" s="1"/>
  <c r="AW330" i="109" s="1"/>
  <c r="AX330" i="109" s="1"/>
  <c r="AY330" i="109" s="1"/>
  <c r="AZ330" i="109" s="1"/>
  <c r="BA330" i="109" s="1"/>
  <c r="AS330" i="109"/>
  <c r="AS329" i="109"/>
  <c r="AT329" i="109" s="1"/>
  <c r="AU329" i="109" s="1"/>
  <c r="AV329" i="109" s="1"/>
  <c r="AW329" i="109" s="1"/>
  <c r="AX329" i="109" s="1"/>
  <c r="AY329" i="109" s="1"/>
  <c r="AZ329" i="109" s="1"/>
  <c r="BA329" i="109" s="1"/>
  <c r="BB329" i="109" s="1"/>
  <c r="BC329" i="109" s="1"/>
  <c r="BD329" i="109" s="1"/>
  <c r="BE329" i="109" s="1"/>
  <c r="BF329" i="109" s="1"/>
  <c r="BG329" i="109" s="1"/>
  <c r="BH329" i="109" s="1"/>
  <c r="BI329" i="109" s="1"/>
  <c r="BJ329" i="109" s="1"/>
  <c r="BK329" i="109" s="1"/>
  <c r="BL329" i="109" s="1"/>
  <c r="BM329" i="109" s="1"/>
  <c r="BN329" i="109" s="1"/>
  <c r="BO329" i="109" s="1"/>
  <c r="BP329" i="109" s="1"/>
  <c r="BQ329" i="109" s="1"/>
  <c r="BR329" i="109" s="1"/>
  <c r="BS329" i="109" s="1"/>
  <c r="BT329" i="109" s="1"/>
  <c r="BU329" i="109" s="1"/>
  <c r="BV329" i="109" s="1"/>
  <c r="BG328" i="109"/>
  <c r="BH328" i="109" s="1"/>
  <c r="BI328" i="109" s="1"/>
  <c r="BJ328" i="109" s="1"/>
  <c r="BK328" i="109" s="1"/>
  <c r="BL328" i="109" s="1"/>
  <c r="BM328" i="109" s="1"/>
  <c r="BN328" i="109" s="1"/>
  <c r="BO328" i="109" s="1"/>
  <c r="BP328" i="109" s="1"/>
  <c r="BQ328" i="109" s="1"/>
  <c r="BR328" i="109" s="1"/>
  <c r="BS328" i="109" s="1"/>
  <c r="BT328" i="109" s="1"/>
  <c r="BU328" i="109" s="1"/>
  <c r="BV328" i="109" s="1"/>
  <c r="AU328" i="109"/>
  <c r="AV328" i="109" s="1"/>
  <c r="AW328" i="109" s="1"/>
  <c r="AX328" i="109" s="1"/>
  <c r="AY328" i="109" s="1"/>
  <c r="AZ328" i="109" s="1"/>
  <c r="BA328" i="109" s="1"/>
  <c r="BB328" i="109" s="1"/>
  <c r="BC328" i="109" s="1"/>
  <c r="BD328" i="109" s="1"/>
  <c r="BE328" i="109" s="1"/>
  <c r="BF328" i="109" s="1"/>
  <c r="AT328" i="109"/>
  <c r="AS328" i="109"/>
  <c r="AV327" i="109"/>
  <c r="AW327" i="109" s="1"/>
  <c r="AX327" i="109" s="1"/>
  <c r="AY327" i="109" s="1"/>
  <c r="AZ327" i="109" s="1"/>
  <c r="BA327" i="109" s="1"/>
  <c r="BB327" i="109" s="1"/>
  <c r="BC327" i="109" s="1"/>
  <c r="BD327" i="109" s="1"/>
  <c r="BE327" i="109" s="1"/>
  <c r="BF327" i="109" s="1"/>
  <c r="BG327" i="109" s="1"/>
  <c r="BH327" i="109" s="1"/>
  <c r="BI327" i="109" s="1"/>
  <c r="BJ327" i="109" s="1"/>
  <c r="BK327" i="109" s="1"/>
  <c r="BL327" i="109" s="1"/>
  <c r="BM327" i="109" s="1"/>
  <c r="BN327" i="109" s="1"/>
  <c r="BO327" i="109" s="1"/>
  <c r="BP327" i="109" s="1"/>
  <c r="BQ327" i="109" s="1"/>
  <c r="BR327" i="109" s="1"/>
  <c r="BS327" i="109" s="1"/>
  <c r="BT327" i="109" s="1"/>
  <c r="BU327" i="109" s="1"/>
  <c r="BV327" i="109" s="1"/>
  <c r="AS327" i="109"/>
  <c r="AT327" i="109" s="1"/>
  <c r="AU327" i="109" s="1"/>
  <c r="AT326" i="109"/>
  <c r="AU326" i="109" s="1"/>
  <c r="AV326" i="109" s="1"/>
  <c r="AW326" i="109" s="1"/>
  <c r="AX326" i="109" s="1"/>
  <c r="AY326" i="109" s="1"/>
  <c r="AZ326" i="109" s="1"/>
  <c r="BA326" i="109" s="1"/>
  <c r="BB326" i="109" s="1"/>
  <c r="BC326" i="109" s="1"/>
  <c r="BD326" i="109" s="1"/>
  <c r="BE326" i="109" s="1"/>
  <c r="BF326" i="109" s="1"/>
  <c r="BG326" i="109" s="1"/>
  <c r="BH326" i="109" s="1"/>
  <c r="BI326" i="109" s="1"/>
  <c r="BJ326" i="109" s="1"/>
  <c r="BK326" i="109" s="1"/>
  <c r="BL326" i="109" s="1"/>
  <c r="BM326" i="109" s="1"/>
  <c r="BN326" i="109" s="1"/>
  <c r="BO326" i="109" s="1"/>
  <c r="BP326" i="109" s="1"/>
  <c r="BQ326" i="109" s="1"/>
  <c r="BR326" i="109" s="1"/>
  <c r="BS326" i="109" s="1"/>
  <c r="BT326" i="109" s="1"/>
  <c r="BU326" i="109" s="1"/>
  <c r="BV326" i="109" s="1"/>
  <c r="AS326" i="109"/>
  <c r="BU325" i="109"/>
  <c r="BV325" i="109" s="1"/>
  <c r="AS325" i="109"/>
  <c r="AT325" i="109" s="1"/>
  <c r="AU325" i="109" s="1"/>
  <c r="AV325" i="109" s="1"/>
  <c r="AW325" i="109" s="1"/>
  <c r="AX325" i="109" s="1"/>
  <c r="AY325" i="109" s="1"/>
  <c r="AZ325" i="109" s="1"/>
  <c r="BA325" i="109" s="1"/>
  <c r="BB325" i="109" s="1"/>
  <c r="BC325" i="109" s="1"/>
  <c r="BD325" i="109" s="1"/>
  <c r="BE325" i="109" s="1"/>
  <c r="BF325" i="109" s="1"/>
  <c r="BG325" i="109" s="1"/>
  <c r="BH325" i="109" s="1"/>
  <c r="BI325" i="109" s="1"/>
  <c r="BJ325" i="109" s="1"/>
  <c r="BK325" i="109" s="1"/>
  <c r="BL325" i="109" s="1"/>
  <c r="BM325" i="109" s="1"/>
  <c r="BN325" i="109" s="1"/>
  <c r="BO325" i="109" s="1"/>
  <c r="BP325" i="109" s="1"/>
  <c r="BQ325" i="109" s="1"/>
  <c r="BR325" i="109" s="1"/>
  <c r="BS325" i="109" s="1"/>
  <c r="BT325" i="109" s="1"/>
  <c r="AT324" i="109"/>
  <c r="AU324" i="109" s="1"/>
  <c r="AV324" i="109" s="1"/>
  <c r="AW324" i="109" s="1"/>
  <c r="AX324" i="109" s="1"/>
  <c r="AY324" i="109" s="1"/>
  <c r="AZ324" i="109" s="1"/>
  <c r="BA324" i="109" s="1"/>
  <c r="BB324" i="109" s="1"/>
  <c r="BC324" i="109" s="1"/>
  <c r="BD324" i="109" s="1"/>
  <c r="BE324" i="109" s="1"/>
  <c r="BF324" i="109" s="1"/>
  <c r="BG324" i="109" s="1"/>
  <c r="BH324" i="109" s="1"/>
  <c r="BI324" i="109" s="1"/>
  <c r="BJ324" i="109" s="1"/>
  <c r="BK324" i="109" s="1"/>
  <c r="BL324" i="109" s="1"/>
  <c r="BM324" i="109" s="1"/>
  <c r="BN324" i="109" s="1"/>
  <c r="BO324" i="109" s="1"/>
  <c r="BP324" i="109" s="1"/>
  <c r="BQ324" i="109" s="1"/>
  <c r="BR324" i="109" s="1"/>
  <c r="BS324" i="109" s="1"/>
  <c r="BT324" i="109" s="1"/>
  <c r="BU324" i="109" s="1"/>
  <c r="BV324" i="109" s="1"/>
  <c r="AS324" i="109"/>
  <c r="AS323" i="109"/>
  <c r="AT323" i="109" s="1"/>
  <c r="AU323" i="109" s="1"/>
  <c r="AV323" i="109" s="1"/>
  <c r="AW323" i="109" s="1"/>
  <c r="AX323" i="109" s="1"/>
  <c r="AY323" i="109" s="1"/>
  <c r="AZ323" i="109" s="1"/>
  <c r="BA323" i="109" s="1"/>
  <c r="BB323" i="109" s="1"/>
  <c r="BC323" i="109" s="1"/>
  <c r="BD323" i="109" s="1"/>
  <c r="BE323" i="109" s="1"/>
  <c r="BF323" i="109" s="1"/>
  <c r="BG323" i="109" s="1"/>
  <c r="BH323" i="109" s="1"/>
  <c r="BI323" i="109" s="1"/>
  <c r="BJ323" i="109" s="1"/>
  <c r="BK323" i="109" s="1"/>
  <c r="BL323" i="109" s="1"/>
  <c r="BM323" i="109" s="1"/>
  <c r="BN323" i="109" s="1"/>
  <c r="BO323" i="109" s="1"/>
  <c r="BP323" i="109" s="1"/>
  <c r="BQ323" i="109" s="1"/>
  <c r="BR323" i="109" s="1"/>
  <c r="BS323" i="109" s="1"/>
  <c r="BT323" i="109" s="1"/>
  <c r="BU323" i="109" s="1"/>
  <c r="BV323" i="109" s="1"/>
  <c r="AS322" i="109"/>
  <c r="AT322" i="109" s="1"/>
  <c r="AU322" i="109" s="1"/>
  <c r="AV322" i="109" s="1"/>
  <c r="AW322" i="109" s="1"/>
  <c r="AX322" i="109" s="1"/>
  <c r="AY322" i="109" s="1"/>
  <c r="AZ322" i="109" s="1"/>
  <c r="BA322" i="109" s="1"/>
  <c r="BB322" i="109" s="1"/>
  <c r="BC322" i="109" s="1"/>
  <c r="BD322" i="109" s="1"/>
  <c r="BE322" i="109" s="1"/>
  <c r="BF322" i="109" s="1"/>
  <c r="BG322" i="109" s="1"/>
  <c r="BH322" i="109" s="1"/>
  <c r="BI322" i="109" s="1"/>
  <c r="BJ322" i="109" s="1"/>
  <c r="BK322" i="109" s="1"/>
  <c r="BL322" i="109" s="1"/>
  <c r="BM322" i="109" s="1"/>
  <c r="BN322" i="109" s="1"/>
  <c r="BO322" i="109" s="1"/>
  <c r="BP322" i="109" s="1"/>
  <c r="BQ322" i="109" s="1"/>
  <c r="BR322" i="109" s="1"/>
  <c r="BS322" i="109" s="1"/>
  <c r="BT322" i="109" s="1"/>
  <c r="BU322" i="109" s="1"/>
  <c r="BV322" i="109" s="1"/>
  <c r="BQ321" i="109"/>
  <c r="BR321" i="109" s="1"/>
  <c r="BS321" i="109" s="1"/>
  <c r="BT321" i="109" s="1"/>
  <c r="BU321" i="109" s="1"/>
  <c r="BV321" i="109" s="1"/>
  <c r="BA321" i="109"/>
  <c r="BB321" i="109" s="1"/>
  <c r="BC321" i="109" s="1"/>
  <c r="BD321" i="109" s="1"/>
  <c r="BE321" i="109" s="1"/>
  <c r="BF321" i="109" s="1"/>
  <c r="BG321" i="109" s="1"/>
  <c r="BH321" i="109" s="1"/>
  <c r="BI321" i="109" s="1"/>
  <c r="BJ321" i="109" s="1"/>
  <c r="BK321" i="109" s="1"/>
  <c r="BL321" i="109" s="1"/>
  <c r="BM321" i="109" s="1"/>
  <c r="BN321" i="109" s="1"/>
  <c r="BO321" i="109" s="1"/>
  <c r="BP321" i="109" s="1"/>
  <c r="AS321" i="109"/>
  <c r="AT321" i="109" s="1"/>
  <c r="AU321" i="109" s="1"/>
  <c r="AV321" i="109" s="1"/>
  <c r="AW321" i="109" s="1"/>
  <c r="AX321" i="109" s="1"/>
  <c r="AY321" i="109" s="1"/>
  <c r="AZ321" i="109" s="1"/>
  <c r="BI320" i="109"/>
  <c r="BJ320" i="109" s="1"/>
  <c r="BK320" i="109" s="1"/>
  <c r="BL320" i="109" s="1"/>
  <c r="BM320" i="109" s="1"/>
  <c r="BN320" i="109" s="1"/>
  <c r="BO320" i="109" s="1"/>
  <c r="BP320" i="109" s="1"/>
  <c r="BQ320" i="109" s="1"/>
  <c r="BR320" i="109" s="1"/>
  <c r="BS320" i="109" s="1"/>
  <c r="BT320" i="109" s="1"/>
  <c r="BU320" i="109" s="1"/>
  <c r="BV320" i="109" s="1"/>
  <c r="BA320" i="109"/>
  <c r="BB320" i="109" s="1"/>
  <c r="BC320" i="109" s="1"/>
  <c r="BD320" i="109" s="1"/>
  <c r="BE320" i="109" s="1"/>
  <c r="BF320" i="109" s="1"/>
  <c r="BG320" i="109" s="1"/>
  <c r="BH320" i="109" s="1"/>
  <c r="AS320" i="109"/>
  <c r="AT320" i="109" s="1"/>
  <c r="AU320" i="109" s="1"/>
  <c r="AV320" i="109" s="1"/>
  <c r="AW320" i="109" s="1"/>
  <c r="AX320" i="109" s="1"/>
  <c r="AY320" i="109" s="1"/>
  <c r="AZ320" i="109" s="1"/>
  <c r="BG319" i="109"/>
  <c r="BH319" i="109" s="1"/>
  <c r="BI319" i="109" s="1"/>
  <c r="BJ319" i="109" s="1"/>
  <c r="BK319" i="109" s="1"/>
  <c r="BL319" i="109" s="1"/>
  <c r="BM319" i="109" s="1"/>
  <c r="BN319" i="109" s="1"/>
  <c r="BO319" i="109" s="1"/>
  <c r="BP319" i="109" s="1"/>
  <c r="BQ319" i="109" s="1"/>
  <c r="BR319" i="109" s="1"/>
  <c r="BS319" i="109" s="1"/>
  <c r="BT319" i="109" s="1"/>
  <c r="BU319" i="109" s="1"/>
  <c r="BV319" i="109" s="1"/>
  <c r="AY319" i="109"/>
  <c r="AZ319" i="109" s="1"/>
  <c r="BA319" i="109" s="1"/>
  <c r="BB319" i="109" s="1"/>
  <c r="BC319" i="109" s="1"/>
  <c r="BD319" i="109" s="1"/>
  <c r="BE319" i="109" s="1"/>
  <c r="BF319" i="109" s="1"/>
  <c r="AU319" i="109"/>
  <c r="AV319" i="109" s="1"/>
  <c r="AW319" i="109" s="1"/>
  <c r="AX319" i="109" s="1"/>
  <c r="AS319" i="109"/>
  <c r="AT319" i="109" s="1"/>
  <c r="AS318" i="109"/>
  <c r="AT318" i="109" s="1"/>
  <c r="AU318" i="109" s="1"/>
  <c r="AV318" i="109" s="1"/>
  <c r="AW318" i="109" s="1"/>
  <c r="AX318" i="109" s="1"/>
  <c r="AY318" i="109" s="1"/>
  <c r="AZ318" i="109" s="1"/>
  <c r="BA318" i="109" s="1"/>
  <c r="BB318" i="109" s="1"/>
  <c r="BC318" i="109" s="1"/>
  <c r="BD318" i="109" s="1"/>
  <c r="BE318" i="109" s="1"/>
  <c r="BF318" i="109" s="1"/>
  <c r="BG318" i="109" s="1"/>
  <c r="BH318" i="109" s="1"/>
  <c r="BI318" i="109" s="1"/>
  <c r="BJ318" i="109" s="1"/>
  <c r="BK318" i="109" s="1"/>
  <c r="BL318" i="109" s="1"/>
  <c r="BM318" i="109" s="1"/>
  <c r="BN318" i="109" s="1"/>
  <c r="BO318" i="109" s="1"/>
  <c r="BP318" i="109" s="1"/>
  <c r="BQ318" i="109" s="1"/>
  <c r="BR318" i="109" s="1"/>
  <c r="BS318" i="109" s="1"/>
  <c r="BT318" i="109" s="1"/>
  <c r="BU318" i="109" s="1"/>
  <c r="BV318" i="109" s="1"/>
  <c r="AT317" i="109"/>
  <c r="AU317" i="109" s="1"/>
  <c r="AV317" i="109" s="1"/>
  <c r="AW317" i="109" s="1"/>
  <c r="AX317" i="109" s="1"/>
  <c r="AY317" i="109" s="1"/>
  <c r="AZ317" i="109" s="1"/>
  <c r="BA317" i="109" s="1"/>
  <c r="BB317" i="109" s="1"/>
  <c r="BC317" i="109" s="1"/>
  <c r="BD317" i="109" s="1"/>
  <c r="BE317" i="109" s="1"/>
  <c r="BF317" i="109" s="1"/>
  <c r="BG317" i="109" s="1"/>
  <c r="BH317" i="109" s="1"/>
  <c r="BI317" i="109" s="1"/>
  <c r="BJ317" i="109" s="1"/>
  <c r="BK317" i="109" s="1"/>
  <c r="BL317" i="109" s="1"/>
  <c r="BM317" i="109" s="1"/>
  <c r="BN317" i="109" s="1"/>
  <c r="BO317" i="109" s="1"/>
  <c r="BP317" i="109" s="1"/>
  <c r="BQ317" i="109" s="1"/>
  <c r="BR317" i="109" s="1"/>
  <c r="BS317" i="109" s="1"/>
  <c r="BT317" i="109" s="1"/>
  <c r="BU317" i="109" s="1"/>
  <c r="BV317" i="109" s="1"/>
  <c r="AS317" i="109"/>
  <c r="AX316" i="109"/>
  <c r="AY316" i="109" s="1"/>
  <c r="AZ316" i="109" s="1"/>
  <c r="BA316" i="109" s="1"/>
  <c r="BB316" i="109" s="1"/>
  <c r="BC316" i="109" s="1"/>
  <c r="BD316" i="109" s="1"/>
  <c r="BE316" i="109" s="1"/>
  <c r="BF316" i="109" s="1"/>
  <c r="BG316" i="109" s="1"/>
  <c r="BH316" i="109" s="1"/>
  <c r="BI316" i="109" s="1"/>
  <c r="BJ316" i="109" s="1"/>
  <c r="BK316" i="109" s="1"/>
  <c r="BL316" i="109" s="1"/>
  <c r="BM316" i="109" s="1"/>
  <c r="BN316" i="109" s="1"/>
  <c r="BO316" i="109" s="1"/>
  <c r="BP316" i="109" s="1"/>
  <c r="BQ316" i="109" s="1"/>
  <c r="BR316" i="109" s="1"/>
  <c r="BS316" i="109" s="1"/>
  <c r="BT316" i="109" s="1"/>
  <c r="BU316" i="109" s="1"/>
  <c r="BV316" i="109" s="1"/>
  <c r="AT316" i="109"/>
  <c r="AU316" i="109" s="1"/>
  <c r="AV316" i="109" s="1"/>
  <c r="AW316" i="109" s="1"/>
  <c r="AS316" i="109"/>
  <c r="AZ315" i="109"/>
  <c r="BA315" i="109" s="1"/>
  <c r="BB315" i="109" s="1"/>
  <c r="BC315" i="109" s="1"/>
  <c r="BD315" i="109" s="1"/>
  <c r="BE315" i="109" s="1"/>
  <c r="BF315" i="109" s="1"/>
  <c r="BG315" i="109" s="1"/>
  <c r="BH315" i="109" s="1"/>
  <c r="BI315" i="109" s="1"/>
  <c r="BJ315" i="109" s="1"/>
  <c r="BK315" i="109" s="1"/>
  <c r="BL315" i="109" s="1"/>
  <c r="BM315" i="109" s="1"/>
  <c r="BN315" i="109" s="1"/>
  <c r="BO315" i="109" s="1"/>
  <c r="BP315" i="109" s="1"/>
  <c r="BQ315" i="109" s="1"/>
  <c r="BR315" i="109" s="1"/>
  <c r="BS315" i="109" s="1"/>
  <c r="BT315" i="109" s="1"/>
  <c r="BU315" i="109" s="1"/>
  <c r="BV315" i="109" s="1"/>
  <c r="AV315" i="109"/>
  <c r="AW315" i="109" s="1"/>
  <c r="AX315" i="109" s="1"/>
  <c r="AY315" i="109" s="1"/>
  <c r="AT315" i="109"/>
  <c r="AU315" i="109" s="1"/>
  <c r="AS315" i="109"/>
  <c r="BF314" i="109"/>
  <c r="BG314" i="109" s="1"/>
  <c r="BH314" i="109" s="1"/>
  <c r="BI314" i="109" s="1"/>
  <c r="BJ314" i="109" s="1"/>
  <c r="BK314" i="109" s="1"/>
  <c r="BL314" i="109" s="1"/>
  <c r="BM314" i="109" s="1"/>
  <c r="BN314" i="109" s="1"/>
  <c r="BO314" i="109" s="1"/>
  <c r="BP314" i="109" s="1"/>
  <c r="BQ314" i="109" s="1"/>
  <c r="BR314" i="109" s="1"/>
  <c r="BS314" i="109" s="1"/>
  <c r="BT314" i="109" s="1"/>
  <c r="BU314" i="109" s="1"/>
  <c r="BV314" i="109" s="1"/>
  <c r="BB314" i="109"/>
  <c r="BC314" i="109" s="1"/>
  <c r="BD314" i="109" s="1"/>
  <c r="BE314" i="109" s="1"/>
  <c r="AX314" i="109"/>
  <c r="AY314" i="109" s="1"/>
  <c r="AZ314" i="109" s="1"/>
  <c r="BA314" i="109" s="1"/>
  <c r="AT314" i="109"/>
  <c r="AU314" i="109" s="1"/>
  <c r="AV314" i="109" s="1"/>
  <c r="AW314" i="109" s="1"/>
  <c r="AS314" i="109"/>
  <c r="AT313" i="109"/>
  <c r="AU313" i="109" s="1"/>
  <c r="AV313" i="109" s="1"/>
  <c r="AW313" i="109" s="1"/>
  <c r="AX313" i="109" s="1"/>
  <c r="AY313" i="109" s="1"/>
  <c r="AZ313" i="109" s="1"/>
  <c r="BA313" i="109" s="1"/>
  <c r="BB313" i="109" s="1"/>
  <c r="BC313" i="109" s="1"/>
  <c r="BD313" i="109" s="1"/>
  <c r="BE313" i="109" s="1"/>
  <c r="BF313" i="109" s="1"/>
  <c r="BG313" i="109" s="1"/>
  <c r="BH313" i="109" s="1"/>
  <c r="BI313" i="109" s="1"/>
  <c r="BJ313" i="109" s="1"/>
  <c r="BK313" i="109" s="1"/>
  <c r="BL313" i="109" s="1"/>
  <c r="BM313" i="109" s="1"/>
  <c r="BN313" i="109" s="1"/>
  <c r="BO313" i="109" s="1"/>
  <c r="BP313" i="109" s="1"/>
  <c r="BQ313" i="109" s="1"/>
  <c r="BR313" i="109" s="1"/>
  <c r="BS313" i="109" s="1"/>
  <c r="BT313" i="109" s="1"/>
  <c r="BU313" i="109" s="1"/>
  <c r="BV313" i="109" s="1"/>
  <c r="AS313" i="109"/>
  <c r="AX312" i="109"/>
  <c r="AY312" i="109" s="1"/>
  <c r="AZ312" i="109" s="1"/>
  <c r="BA312" i="109" s="1"/>
  <c r="BB312" i="109" s="1"/>
  <c r="BC312" i="109" s="1"/>
  <c r="BD312" i="109" s="1"/>
  <c r="BE312" i="109" s="1"/>
  <c r="BF312" i="109" s="1"/>
  <c r="BG312" i="109" s="1"/>
  <c r="BH312" i="109" s="1"/>
  <c r="BI312" i="109" s="1"/>
  <c r="BJ312" i="109" s="1"/>
  <c r="BK312" i="109" s="1"/>
  <c r="BL312" i="109" s="1"/>
  <c r="BM312" i="109" s="1"/>
  <c r="BN312" i="109" s="1"/>
  <c r="BO312" i="109" s="1"/>
  <c r="BP312" i="109" s="1"/>
  <c r="BQ312" i="109" s="1"/>
  <c r="BR312" i="109" s="1"/>
  <c r="BS312" i="109" s="1"/>
  <c r="BT312" i="109" s="1"/>
  <c r="BU312" i="109" s="1"/>
  <c r="BV312" i="109" s="1"/>
  <c r="AT312" i="109"/>
  <c r="AU312" i="109" s="1"/>
  <c r="AV312" i="109" s="1"/>
  <c r="AW312" i="109" s="1"/>
  <c r="AS312" i="109"/>
  <c r="AZ311" i="109"/>
  <c r="BA311" i="109" s="1"/>
  <c r="BB311" i="109" s="1"/>
  <c r="BC311" i="109" s="1"/>
  <c r="BD311" i="109" s="1"/>
  <c r="BE311" i="109" s="1"/>
  <c r="BF311" i="109" s="1"/>
  <c r="BG311" i="109" s="1"/>
  <c r="BH311" i="109" s="1"/>
  <c r="BI311" i="109" s="1"/>
  <c r="BJ311" i="109" s="1"/>
  <c r="BK311" i="109" s="1"/>
  <c r="BL311" i="109" s="1"/>
  <c r="BM311" i="109" s="1"/>
  <c r="BN311" i="109" s="1"/>
  <c r="BO311" i="109" s="1"/>
  <c r="BP311" i="109" s="1"/>
  <c r="BQ311" i="109" s="1"/>
  <c r="BR311" i="109" s="1"/>
  <c r="BS311" i="109" s="1"/>
  <c r="BT311" i="109" s="1"/>
  <c r="BU311" i="109" s="1"/>
  <c r="BV311" i="109" s="1"/>
  <c r="AV311" i="109"/>
  <c r="AW311" i="109" s="1"/>
  <c r="AX311" i="109" s="1"/>
  <c r="AY311" i="109" s="1"/>
  <c r="AT311" i="109"/>
  <c r="AU311" i="109" s="1"/>
  <c r="AS311" i="109"/>
  <c r="BF310" i="109"/>
  <c r="BG310" i="109" s="1"/>
  <c r="BH310" i="109" s="1"/>
  <c r="BI310" i="109" s="1"/>
  <c r="BJ310" i="109" s="1"/>
  <c r="BK310" i="109" s="1"/>
  <c r="BL310" i="109" s="1"/>
  <c r="BM310" i="109" s="1"/>
  <c r="BN310" i="109" s="1"/>
  <c r="BO310" i="109" s="1"/>
  <c r="BP310" i="109" s="1"/>
  <c r="BQ310" i="109" s="1"/>
  <c r="BR310" i="109" s="1"/>
  <c r="BS310" i="109" s="1"/>
  <c r="BT310" i="109" s="1"/>
  <c r="BU310" i="109" s="1"/>
  <c r="BV310" i="109" s="1"/>
  <c r="BB310" i="109"/>
  <c r="BC310" i="109" s="1"/>
  <c r="BD310" i="109" s="1"/>
  <c r="BE310" i="109" s="1"/>
  <c r="AX310" i="109"/>
  <c r="AY310" i="109" s="1"/>
  <c r="AZ310" i="109" s="1"/>
  <c r="BA310" i="109" s="1"/>
  <c r="AT310" i="109"/>
  <c r="AU310" i="109" s="1"/>
  <c r="AV310" i="109" s="1"/>
  <c r="AW310" i="109" s="1"/>
  <c r="AS310" i="109"/>
  <c r="AT309" i="109"/>
  <c r="AU309" i="109" s="1"/>
  <c r="AV309" i="109" s="1"/>
  <c r="AW309" i="109" s="1"/>
  <c r="AX309" i="109" s="1"/>
  <c r="AY309" i="109" s="1"/>
  <c r="AZ309" i="109" s="1"/>
  <c r="BA309" i="109" s="1"/>
  <c r="BB309" i="109" s="1"/>
  <c r="BC309" i="109" s="1"/>
  <c r="BD309" i="109" s="1"/>
  <c r="BE309" i="109" s="1"/>
  <c r="BF309" i="109" s="1"/>
  <c r="BG309" i="109" s="1"/>
  <c r="BH309" i="109" s="1"/>
  <c r="BI309" i="109" s="1"/>
  <c r="BJ309" i="109" s="1"/>
  <c r="BK309" i="109" s="1"/>
  <c r="BL309" i="109" s="1"/>
  <c r="BM309" i="109" s="1"/>
  <c r="BN309" i="109" s="1"/>
  <c r="BO309" i="109" s="1"/>
  <c r="BP309" i="109" s="1"/>
  <c r="BQ309" i="109" s="1"/>
  <c r="BR309" i="109" s="1"/>
  <c r="BS309" i="109" s="1"/>
  <c r="BT309" i="109" s="1"/>
  <c r="BU309" i="109" s="1"/>
  <c r="BV309" i="109" s="1"/>
  <c r="AS309" i="109"/>
  <c r="AV308" i="109"/>
  <c r="AW308" i="109" s="1"/>
  <c r="AX308" i="109" s="1"/>
  <c r="AY308" i="109" s="1"/>
  <c r="AZ308" i="109" s="1"/>
  <c r="BA308" i="109" s="1"/>
  <c r="BB308" i="109" s="1"/>
  <c r="BC308" i="109" s="1"/>
  <c r="BD308" i="109" s="1"/>
  <c r="BE308" i="109" s="1"/>
  <c r="BF308" i="109" s="1"/>
  <c r="BG308" i="109" s="1"/>
  <c r="BH308" i="109" s="1"/>
  <c r="BI308" i="109" s="1"/>
  <c r="BJ308" i="109" s="1"/>
  <c r="BK308" i="109" s="1"/>
  <c r="BL308" i="109" s="1"/>
  <c r="BM308" i="109" s="1"/>
  <c r="BN308" i="109" s="1"/>
  <c r="BO308" i="109" s="1"/>
  <c r="BP308" i="109" s="1"/>
  <c r="BQ308" i="109" s="1"/>
  <c r="BR308" i="109" s="1"/>
  <c r="BS308" i="109" s="1"/>
  <c r="BT308" i="109" s="1"/>
  <c r="BU308" i="109" s="1"/>
  <c r="BV308" i="109" s="1"/>
  <c r="AT308" i="109"/>
  <c r="AU308" i="109" s="1"/>
  <c r="AS308" i="109"/>
  <c r="AV307" i="109"/>
  <c r="AW307" i="109" s="1"/>
  <c r="AX307" i="109" s="1"/>
  <c r="AY307" i="109" s="1"/>
  <c r="AZ307" i="109" s="1"/>
  <c r="BA307" i="109" s="1"/>
  <c r="BB307" i="109" s="1"/>
  <c r="BC307" i="109" s="1"/>
  <c r="BD307" i="109" s="1"/>
  <c r="BE307" i="109" s="1"/>
  <c r="BF307" i="109" s="1"/>
  <c r="BG307" i="109" s="1"/>
  <c r="BH307" i="109" s="1"/>
  <c r="BI307" i="109" s="1"/>
  <c r="BJ307" i="109" s="1"/>
  <c r="BK307" i="109" s="1"/>
  <c r="BL307" i="109" s="1"/>
  <c r="BM307" i="109" s="1"/>
  <c r="BN307" i="109" s="1"/>
  <c r="BO307" i="109" s="1"/>
  <c r="BP307" i="109" s="1"/>
  <c r="BQ307" i="109" s="1"/>
  <c r="BR307" i="109" s="1"/>
  <c r="BS307" i="109" s="1"/>
  <c r="BT307" i="109" s="1"/>
  <c r="BU307" i="109" s="1"/>
  <c r="BV307" i="109" s="1"/>
  <c r="AT307" i="109"/>
  <c r="AU307" i="109" s="1"/>
  <c r="AS307" i="109"/>
  <c r="AS302" i="109"/>
  <c r="AT302" i="109" s="1"/>
  <c r="AU302" i="109" s="1"/>
  <c r="AV302" i="109" s="1"/>
  <c r="AW302" i="109" s="1"/>
  <c r="AX302" i="109" s="1"/>
  <c r="AY302" i="109" s="1"/>
  <c r="AZ302" i="109" s="1"/>
  <c r="BA302" i="109" s="1"/>
  <c r="BB302" i="109" s="1"/>
  <c r="BC302" i="109" s="1"/>
  <c r="BD302" i="109" s="1"/>
  <c r="BE302" i="109" s="1"/>
  <c r="BF302" i="109" s="1"/>
  <c r="BG302" i="109" s="1"/>
  <c r="BH302" i="109" s="1"/>
  <c r="BI302" i="109" s="1"/>
  <c r="BJ302" i="109" s="1"/>
  <c r="BK302" i="109" s="1"/>
  <c r="BL302" i="109" s="1"/>
  <c r="BM302" i="109" s="1"/>
  <c r="BN302" i="109" s="1"/>
  <c r="BO302" i="109" s="1"/>
  <c r="BP302" i="109" s="1"/>
  <c r="BQ302" i="109" s="1"/>
  <c r="BR302" i="109" s="1"/>
  <c r="BS302" i="109" s="1"/>
  <c r="BT302" i="109" s="1"/>
  <c r="BU302" i="109" s="1"/>
  <c r="BV302" i="109" s="1"/>
  <c r="AS301" i="109"/>
  <c r="AT301" i="109" s="1"/>
  <c r="AU301" i="109" s="1"/>
  <c r="AV301" i="109" s="1"/>
  <c r="AW301" i="109" s="1"/>
  <c r="AX301" i="109" s="1"/>
  <c r="AY301" i="109" s="1"/>
  <c r="AZ301" i="109" s="1"/>
  <c r="BA301" i="109" s="1"/>
  <c r="BB301" i="109" s="1"/>
  <c r="BC301" i="109" s="1"/>
  <c r="BD301" i="109" s="1"/>
  <c r="BE301" i="109" s="1"/>
  <c r="BF301" i="109" s="1"/>
  <c r="BG301" i="109" s="1"/>
  <c r="BH301" i="109" s="1"/>
  <c r="BI301" i="109" s="1"/>
  <c r="BJ301" i="109" s="1"/>
  <c r="BK301" i="109" s="1"/>
  <c r="BL301" i="109" s="1"/>
  <c r="BM301" i="109" s="1"/>
  <c r="BN301" i="109" s="1"/>
  <c r="BO301" i="109" s="1"/>
  <c r="BP301" i="109" s="1"/>
  <c r="BQ301" i="109" s="1"/>
  <c r="BR301" i="109" s="1"/>
  <c r="BS301" i="109" s="1"/>
  <c r="BT301" i="109" s="1"/>
  <c r="BU301" i="109" s="1"/>
  <c r="BV301" i="109" s="1"/>
  <c r="AS300" i="109"/>
  <c r="AT300" i="109" s="1"/>
  <c r="AU300" i="109" s="1"/>
  <c r="AV300" i="109" s="1"/>
  <c r="AW300" i="109" s="1"/>
  <c r="AX300" i="109" s="1"/>
  <c r="AY300" i="109" s="1"/>
  <c r="AZ300" i="109" s="1"/>
  <c r="BA300" i="109" s="1"/>
  <c r="BB300" i="109" s="1"/>
  <c r="BC300" i="109" s="1"/>
  <c r="BD300" i="109" s="1"/>
  <c r="BE300" i="109" s="1"/>
  <c r="BF300" i="109" s="1"/>
  <c r="BG300" i="109" s="1"/>
  <c r="BH300" i="109" s="1"/>
  <c r="BI300" i="109" s="1"/>
  <c r="BJ300" i="109" s="1"/>
  <c r="BK300" i="109" s="1"/>
  <c r="BL300" i="109" s="1"/>
  <c r="BM300" i="109" s="1"/>
  <c r="BN300" i="109" s="1"/>
  <c r="BO300" i="109" s="1"/>
  <c r="BP300" i="109" s="1"/>
  <c r="BQ300" i="109" s="1"/>
  <c r="BR300" i="109" s="1"/>
  <c r="BS300" i="109" s="1"/>
  <c r="BT300" i="109" s="1"/>
  <c r="BU300" i="109" s="1"/>
  <c r="BV300" i="109" s="1"/>
  <c r="AS299" i="109"/>
  <c r="AT299" i="109" s="1"/>
  <c r="AU299" i="109" s="1"/>
  <c r="AV299" i="109" s="1"/>
  <c r="AW299" i="109" s="1"/>
  <c r="AX299" i="109" s="1"/>
  <c r="AY299" i="109" s="1"/>
  <c r="AZ299" i="109" s="1"/>
  <c r="BA299" i="109" s="1"/>
  <c r="BB299" i="109" s="1"/>
  <c r="BC299" i="109" s="1"/>
  <c r="BD299" i="109" s="1"/>
  <c r="BE299" i="109" s="1"/>
  <c r="BF299" i="109" s="1"/>
  <c r="BG299" i="109" s="1"/>
  <c r="BH299" i="109" s="1"/>
  <c r="BI299" i="109" s="1"/>
  <c r="BJ299" i="109" s="1"/>
  <c r="BK299" i="109" s="1"/>
  <c r="BL299" i="109" s="1"/>
  <c r="BM299" i="109" s="1"/>
  <c r="BN299" i="109" s="1"/>
  <c r="BO299" i="109" s="1"/>
  <c r="BP299" i="109" s="1"/>
  <c r="BQ299" i="109" s="1"/>
  <c r="BR299" i="109" s="1"/>
  <c r="BS299" i="109" s="1"/>
  <c r="BT299" i="109" s="1"/>
  <c r="BU299" i="109" s="1"/>
  <c r="BV299" i="109" s="1"/>
  <c r="AS298" i="109"/>
  <c r="AT298" i="109" s="1"/>
  <c r="AU298" i="109" s="1"/>
  <c r="AV298" i="109" s="1"/>
  <c r="AW298" i="109" s="1"/>
  <c r="AX298" i="109" s="1"/>
  <c r="AY298" i="109" s="1"/>
  <c r="AZ298" i="109" s="1"/>
  <c r="BA298" i="109" s="1"/>
  <c r="BB298" i="109" s="1"/>
  <c r="BC298" i="109" s="1"/>
  <c r="BD298" i="109" s="1"/>
  <c r="BE298" i="109" s="1"/>
  <c r="BF298" i="109" s="1"/>
  <c r="BG298" i="109" s="1"/>
  <c r="BH298" i="109" s="1"/>
  <c r="BI298" i="109" s="1"/>
  <c r="BJ298" i="109" s="1"/>
  <c r="BK298" i="109" s="1"/>
  <c r="BL298" i="109" s="1"/>
  <c r="BM298" i="109" s="1"/>
  <c r="BN298" i="109" s="1"/>
  <c r="BO298" i="109" s="1"/>
  <c r="BP298" i="109" s="1"/>
  <c r="BQ298" i="109" s="1"/>
  <c r="BR298" i="109" s="1"/>
  <c r="BS298" i="109" s="1"/>
  <c r="BT298" i="109" s="1"/>
  <c r="BU298" i="109" s="1"/>
  <c r="BV298" i="109" s="1"/>
  <c r="AS297" i="109"/>
  <c r="AT297" i="109" s="1"/>
  <c r="AU297" i="109" s="1"/>
  <c r="AV297" i="109" s="1"/>
  <c r="AW297" i="109" s="1"/>
  <c r="AX297" i="109" s="1"/>
  <c r="AY297" i="109" s="1"/>
  <c r="AZ297" i="109" s="1"/>
  <c r="BA297" i="109" s="1"/>
  <c r="BB297" i="109" s="1"/>
  <c r="BC297" i="109" s="1"/>
  <c r="BD297" i="109" s="1"/>
  <c r="BE297" i="109" s="1"/>
  <c r="BF297" i="109" s="1"/>
  <c r="BG297" i="109" s="1"/>
  <c r="BH297" i="109" s="1"/>
  <c r="BI297" i="109" s="1"/>
  <c r="BJ297" i="109" s="1"/>
  <c r="BK297" i="109" s="1"/>
  <c r="BL297" i="109" s="1"/>
  <c r="BM297" i="109" s="1"/>
  <c r="BN297" i="109" s="1"/>
  <c r="BO297" i="109" s="1"/>
  <c r="BP297" i="109" s="1"/>
  <c r="BQ297" i="109" s="1"/>
  <c r="BR297" i="109" s="1"/>
  <c r="BS297" i="109" s="1"/>
  <c r="BT297" i="109" s="1"/>
  <c r="BU297" i="109" s="1"/>
  <c r="BV297" i="109" s="1"/>
  <c r="AS296" i="109"/>
  <c r="AT296" i="109" s="1"/>
  <c r="AU296" i="109" s="1"/>
  <c r="AV296" i="109" s="1"/>
  <c r="AW296" i="109" s="1"/>
  <c r="AX296" i="109" s="1"/>
  <c r="AY296" i="109" s="1"/>
  <c r="AZ296" i="109" s="1"/>
  <c r="BA296" i="109" s="1"/>
  <c r="BB296" i="109" s="1"/>
  <c r="BC296" i="109" s="1"/>
  <c r="BD296" i="109" s="1"/>
  <c r="BE296" i="109" s="1"/>
  <c r="BF296" i="109" s="1"/>
  <c r="BG296" i="109" s="1"/>
  <c r="BH296" i="109" s="1"/>
  <c r="BI296" i="109" s="1"/>
  <c r="BJ296" i="109" s="1"/>
  <c r="BK296" i="109" s="1"/>
  <c r="BL296" i="109" s="1"/>
  <c r="BM296" i="109" s="1"/>
  <c r="BN296" i="109" s="1"/>
  <c r="BO296" i="109" s="1"/>
  <c r="BP296" i="109" s="1"/>
  <c r="BQ296" i="109" s="1"/>
  <c r="BR296" i="109" s="1"/>
  <c r="BS296" i="109" s="1"/>
  <c r="BT296" i="109" s="1"/>
  <c r="BU296" i="109" s="1"/>
  <c r="BV296" i="109" s="1"/>
  <c r="AS295" i="109"/>
  <c r="AT295" i="109" s="1"/>
  <c r="AU295" i="109" s="1"/>
  <c r="AV295" i="109" s="1"/>
  <c r="AW295" i="109" s="1"/>
  <c r="AX295" i="109" s="1"/>
  <c r="AY295" i="109" s="1"/>
  <c r="AZ295" i="109" s="1"/>
  <c r="BA295" i="109" s="1"/>
  <c r="BB295" i="109" s="1"/>
  <c r="BC295" i="109" s="1"/>
  <c r="BD295" i="109" s="1"/>
  <c r="BE295" i="109" s="1"/>
  <c r="BF295" i="109" s="1"/>
  <c r="BG295" i="109" s="1"/>
  <c r="BH295" i="109" s="1"/>
  <c r="BI295" i="109" s="1"/>
  <c r="BJ295" i="109" s="1"/>
  <c r="BK295" i="109" s="1"/>
  <c r="BL295" i="109" s="1"/>
  <c r="BM295" i="109" s="1"/>
  <c r="BN295" i="109" s="1"/>
  <c r="BO295" i="109" s="1"/>
  <c r="BP295" i="109" s="1"/>
  <c r="BQ295" i="109" s="1"/>
  <c r="BR295" i="109" s="1"/>
  <c r="BS295" i="109" s="1"/>
  <c r="BT295" i="109" s="1"/>
  <c r="BU295" i="109" s="1"/>
  <c r="BV295" i="109" s="1"/>
  <c r="AW294" i="109"/>
  <c r="AX294" i="109" s="1"/>
  <c r="AY294" i="109" s="1"/>
  <c r="AZ294" i="109" s="1"/>
  <c r="BA294" i="109" s="1"/>
  <c r="BB294" i="109" s="1"/>
  <c r="BC294" i="109" s="1"/>
  <c r="BD294" i="109" s="1"/>
  <c r="BE294" i="109" s="1"/>
  <c r="BF294" i="109" s="1"/>
  <c r="BG294" i="109" s="1"/>
  <c r="BH294" i="109" s="1"/>
  <c r="BI294" i="109" s="1"/>
  <c r="BJ294" i="109" s="1"/>
  <c r="BK294" i="109" s="1"/>
  <c r="BL294" i="109" s="1"/>
  <c r="BM294" i="109" s="1"/>
  <c r="BN294" i="109" s="1"/>
  <c r="BO294" i="109" s="1"/>
  <c r="BP294" i="109" s="1"/>
  <c r="BQ294" i="109" s="1"/>
  <c r="BR294" i="109" s="1"/>
  <c r="BS294" i="109" s="1"/>
  <c r="BT294" i="109" s="1"/>
  <c r="BU294" i="109" s="1"/>
  <c r="BV294" i="109" s="1"/>
  <c r="AS294" i="109"/>
  <c r="AT294" i="109" s="1"/>
  <c r="AU294" i="109" s="1"/>
  <c r="AV294" i="109" s="1"/>
  <c r="BC293" i="109"/>
  <c r="BD293" i="109" s="1"/>
  <c r="BE293" i="109" s="1"/>
  <c r="BF293" i="109" s="1"/>
  <c r="BG293" i="109" s="1"/>
  <c r="BH293" i="109" s="1"/>
  <c r="BI293" i="109" s="1"/>
  <c r="BJ293" i="109" s="1"/>
  <c r="BK293" i="109" s="1"/>
  <c r="BL293" i="109" s="1"/>
  <c r="BM293" i="109" s="1"/>
  <c r="BN293" i="109" s="1"/>
  <c r="BO293" i="109" s="1"/>
  <c r="BP293" i="109" s="1"/>
  <c r="BQ293" i="109" s="1"/>
  <c r="BR293" i="109" s="1"/>
  <c r="BS293" i="109" s="1"/>
  <c r="BT293" i="109" s="1"/>
  <c r="BU293" i="109" s="1"/>
  <c r="BV293" i="109" s="1"/>
  <c r="AU293" i="109"/>
  <c r="AV293" i="109" s="1"/>
  <c r="AW293" i="109" s="1"/>
  <c r="AX293" i="109" s="1"/>
  <c r="AY293" i="109" s="1"/>
  <c r="AZ293" i="109" s="1"/>
  <c r="BA293" i="109" s="1"/>
  <c r="BB293" i="109" s="1"/>
  <c r="AS293" i="109"/>
  <c r="AT293" i="109" s="1"/>
  <c r="AS292" i="109"/>
  <c r="AT292" i="109" s="1"/>
  <c r="AU292" i="109" s="1"/>
  <c r="AV292" i="109" s="1"/>
  <c r="AW292" i="109" s="1"/>
  <c r="AX292" i="109" s="1"/>
  <c r="AY292" i="109" s="1"/>
  <c r="AZ292" i="109" s="1"/>
  <c r="BA292" i="109" s="1"/>
  <c r="BB292" i="109" s="1"/>
  <c r="BC292" i="109" s="1"/>
  <c r="BD292" i="109" s="1"/>
  <c r="BE292" i="109" s="1"/>
  <c r="BF292" i="109" s="1"/>
  <c r="BG292" i="109" s="1"/>
  <c r="BH292" i="109" s="1"/>
  <c r="BI292" i="109" s="1"/>
  <c r="BJ292" i="109" s="1"/>
  <c r="BK292" i="109" s="1"/>
  <c r="BL292" i="109" s="1"/>
  <c r="BM292" i="109" s="1"/>
  <c r="BN292" i="109" s="1"/>
  <c r="BO292" i="109" s="1"/>
  <c r="BP292" i="109" s="1"/>
  <c r="BQ292" i="109" s="1"/>
  <c r="BR292" i="109" s="1"/>
  <c r="BS292" i="109" s="1"/>
  <c r="BT292" i="109" s="1"/>
  <c r="BU292" i="109" s="1"/>
  <c r="BV292" i="109" s="1"/>
  <c r="AT291" i="109"/>
  <c r="AU291" i="109" s="1"/>
  <c r="AV291" i="109" s="1"/>
  <c r="AW291" i="109" s="1"/>
  <c r="AX291" i="109" s="1"/>
  <c r="AY291" i="109" s="1"/>
  <c r="AZ291" i="109" s="1"/>
  <c r="BA291" i="109" s="1"/>
  <c r="BB291" i="109" s="1"/>
  <c r="BC291" i="109" s="1"/>
  <c r="BD291" i="109" s="1"/>
  <c r="BE291" i="109" s="1"/>
  <c r="BF291" i="109" s="1"/>
  <c r="BG291" i="109" s="1"/>
  <c r="BH291" i="109" s="1"/>
  <c r="BI291" i="109" s="1"/>
  <c r="BJ291" i="109" s="1"/>
  <c r="BK291" i="109" s="1"/>
  <c r="BL291" i="109" s="1"/>
  <c r="BM291" i="109" s="1"/>
  <c r="BN291" i="109" s="1"/>
  <c r="BO291" i="109" s="1"/>
  <c r="BP291" i="109" s="1"/>
  <c r="BQ291" i="109" s="1"/>
  <c r="BR291" i="109" s="1"/>
  <c r="BS291" i="109" s="1"/>
  <c r="BT291" i="109" s="1"/>
  <c r="BU291" i="109" s="1"/>
  <c r="BV291" i="109" s="1"/>
  <c r="AS291" i="109"/>
  <c r="AV290" i="109"/>
  <c r="AW290" i="109" s="1"/>
  <c r="AX290" i="109" s="1"/>
  <c r="AY290" i="109" s="1"/>
  <c r="AZ290" i="109" s="1"/>
  <c r="BA290" i="109" s="1"/>
  <c r="BB290" i="109" s="1"/>
  <c r="BC290" i="109" s="1"/>
  <c r="BD290" i="109" s="1"/>
  <c r="BE290" i="109" s="1"/>
  <c r="BF290" i="109" s="1"/>
  <c r="BG290" i="109" s="1"/>
  <c r="BH290" i="109" s="1"/>
  <c r="BI290" i="109" s="1"/>
  <c r="BJ290" i="109" s="1"/>
  <c r="BK290" i="109" s="1"/>
  <c r="BL290" i="109" s="1"/>
  <c r="BM290" i="109" s="1"/>
  <c r="BN290" i="109" s="1"/>
  <c r="BO290" i="109" s="1"/>
  <c r="BP290" i="109" s="1"/>
  <c r="BQ290" i="109" s="1"/>
  <c r="BR290" i="109" s="1"/>
  <c r="BS290" i="109" s="1"/>
  <c r="BT290" i="109" s="1"/>
  <c r="BU290" i="109" s="1"/>
  <c r="BV290" i="109" s="1"/>
  <c r="AT290" i="109"/>
  <c r="AU290" i="109" s="1"/>
  <c r="AS290" i="109"/>
  <c r="AT289" i="109"/>
  <c r="AU289" i="109" s="1"/>
  <c r="AV289" i="109" s="1"/>
  <c r="AW289" i="109" s="1"/>
  <c r="AX289" i="109" s="1"/>
  <c r="AY289" i="109" s="1"/>
  <c r="AZ289" i="109" s="1"/>
  <c r="BA289" i="109" s="1"/>
  <c r="BB289" i="109" s="1"/>
  <c r="BC289" i="109" s="1"/>
  <c r="BD289" i="109" s="1"/>
  <c r="BE289" i="109" s="1"/>
  <c r="BF289" i="109" s="1"/>
  <c r="BG289" i="109" s="1"/>
  <c r="BH289" i="109" s="1"/>
  <c r="BI289" i="109" s="1"/>
  <c r="BJ289" i="109" s="1"/>
  <c r="BK289" i="109" s="1"/>
  <c r="BL289" i="109" s="1"/>
  <c r="BM289" i="109" s="1"/>
  <c r="BN289" i="109" s="1"/>
  <c r="BO289" i="109" s="1"/>
  <c r="BP289" i="109" s="1"/>
  <c r="BQ289" i="109" s="1"/>
  <c r="BR289" i="109" s="1"/>
  <c r="BS289" i="109" s="1"/>
  <c r="BT289" i="109" s="1"/>
  <c r="BU289" i="109" s="1"/>
  <c r="BV289" i="109" s="1"/>
  <c r="AS289" i="109"/>
  <c r="AV288" i="109"/>
  <c r="AW288" i="109" s="1"/>
  <c r="AX288" i="109" s="1"/>
  <c r="AY288" i="109" s="1"/>
  <c r="AZ288" i="109" s="1"/>
  <c r="BA288" i="109" s="1"/>
  <c r="BB288" i="109" s="1"/>
  <c r="BC288" i="109" s="1"/>
  <c r="BD288" i="109" s="1"/>
  <c r="BE288" i="109" s="1"/>
  <c r="BF288" i="109" s="1"/>
  <c r="BG288" i="109" s="1"/>
  <c r="BH288" i="109" s="1"/>
  <c r="BI288" i="109" s="1"/>
  <c r="BJ288" i="109" s="1"/>
  <c r="BK288" i="109" s="1"/>
  <c r="BL288" i="109" s="1"/>
  <c r="BM288" i="109" s="1"/>
  <c r="BN288" i="109" s="1"/>
  <c r="BO288" i="109" s="1"/>
  <c r="BP288" i="109" s="1"/>
  <c r="BQ288" i="109" s="1"/>
  <c r="BR288" i="109" s="1"/>
  <c r="BS288" i="109" s="1"/>
  <c r="BT288" i="109" s="1"/>
  <c r="BU288" i="109" s="1"/>
  <c r="BV288" i="109" s="1"/>
  <c r="AT288" i="109"/>
  <c r="AU288" i="109" s="1"/>
  <c r="AS288" i="109"/>
  <c r="AT287" i="109"/>
  <c r="AU287" i="109" s="1"/>
  <c r="AV287" i="109" s="1"/>
  <c r="AW287" i="109" s="1"/>
  <c r="AX287" i="109" s="1"/>
  <c r="AY287" i="109" s="1"/>
  <c r="AZ287" i="109" s="1"/>
  <c r="BA287" i="109" s="1"/>
  <c r="BB287" i="109" s="1"/>
  <c r="BC287" i="109" s="1"/>
  <c r="BD287" i="109" s="1"/>
  <c r="BE287" i="109" s="1"/>
  <c r="BF287" i="109" s="1"/>
  <c r="BG287" i="109" s="1"/>
  <c r="BH287" i="109" s="1"/>
  <c r="BI287" i="109" s="1"/>
  <c r="BJ287" i="109" s="1"/>
  <c r="BK287" i="109" s="1"/>
  <c r="BL287" i="109" s="1"/>
  <c r="BM287" i="109" s="1"/>
  <c r="BN287" i="109" s="1"/>
  <c r="BO287" i="109" s="1"/>
  <c r="BP287" i="109" s="1"/>
  <c r="BQ287" i="109" s="1"/>
  <c r="BR287" i="109" s="1"/>
  <c r="BS287" i="109" s="1"/>
  <c r="BT287" i="109" s="1"/>
  <c r="BU287" i="109" s="1"/>
  <c r="BV287" i="109" s="1"/>
  <c r="AS287" i="109"/>
  <c r="AV286" i="109"/>
  <c r="AW286" i="109" s="1"/>
  <c r="AX286" i="109" s="1"/>
  <c r="AY286" i="109" s="1"/>
  <c r="AZ286" i="109" s="1"/>
  <c r="BA286" i="109" s="1"/>
  <c r="BB286" i="109" s="1"/>
  <c r="BC286" i="109" s="1"/>
  <c r="BD286" i="109" s="1"/>
  <c r="BE286" i="109" s="1"/>
  <c r="BF286" i="109" s="1"/>
  <c r="BG286" i="109" s="1"/>
  <c r="BH286" i="109" s="1"/>
  <c r="BI286" i="109" s="1"/>
  <c r="BJ286" i="109" s="1"/>
  <c r="BK286" i="109" s="1"/>
  <c r="BL286" i="109" s="1"/>
  <c r="BM286" i="109" s="1"/>
  <c r="BN286" i="109" s="1"/>
  <c r="BO286" i="109" s="1"/>
  <c r="BP286" i="109" s="1"/>
  <c r="BQ286" i="109" s="1"/>
  <c r="BR286" i="109" s="1"/>
  <c r="BS286" i="109" s="1"/>
  <c r="BT286" i="109" s="1"/>
  <c r="BU286" i="109" s="1"/>
  <c r="BV286" i="109" s="1"/>
  <c r="AT286" i="109"/>
  <c r="AU286" i="109" s="1"/>
  <c r="AS286" i="109"/>
  <c r="AT285" i="109"/>
  <c r="AU285" i="109" s="1"/>
  <c r="AV285" i="109" s="1"/>
  <c r="AW285" i="109" s="1"/>
  <c r="AX285" i="109" s="1"/>
  <c r="AY285" i="109" s="1"/>
  <c r="AZ285" i="109" s="1"/>
  <c r="BA285" i="109" s="1"/>
  <c r="BB285" i="109" s="1"/>
  <c r="BC285" i="109" s="1"/>
  <c r="BD285" i="109" s="1"/>
  <c r="BE285" i="109" s="1"/>
  <c r="BF285" i="109" s="1"/>
  <c r="BG285" i="109" s="1"/>
  <c r="BH285" i="109" s="1"/>
  <c r="BI285" i="109" s="1"/>
  <c r="BJ285" i="109" s="1"/>
  <c r="BK285" i="109" s="1"/>
  <c r="BL285" i="109" s="1"/>
  <c r="BM285" i="109" s="1"/>
  <c r="BN285" i="109" s="1"/>
  <c r="BO285" i="109" s="1"/>
  <c r="BP285" i="109" s="1"/>
  <c r="BQ285" i="109" s="1"/>
  <c r="BR285" i="109" s="1"/>
  <c r="BS285" i="109" s="1"/>
  <c r="BT285" i="109" s="1"/>
  <c r="BU285" i="109" s="1"/>
  <c r="BV285" i="109" s="1"/>
  <c r="AS285" i="109"/>
  <c r="AU284" i="109"/>
  <c r="AV284" i="109" s="1"/>
  <c r="AW284" i="109" s="1"/>
  <c r="AX284" i="109" s="1"/>
  <c r="AY284" i="109" s="1"/>
  <c r="AZ284" i="109" s="1"/>
  <c r="BA284" i="109" s="1"/>
  <c r="BB284" i="109" s="1"/>
  <c r="BC284" i="109" s="1"/>
  <c r="BD284" i="109" s="1"/>
  <c r="BE284" i="109" s="1"/>
  <c r="BF284" i="109" s="1"/>
  <c r="BG284" i="109" s="1"/>
  <c r="BH284" i="109" s="1"/>
  <c r="BI284" i="109" s="1"/>
  <c r="BJ284" i="109" s="1"/>
  <c r="BK284" i="109" s="1"/>
  <c r="BL284" i="109" s="1"/>
  <c r="BM284" i="109" s="1"/>
  <c r="BN284" i="109" s="1"/>
  <c r="BO284" i="109" s="1"/>
  <c r="BP284" i="109" s="1"/>
  <c r="BQ284" i="109" s="1"/>
  <c r="BR284" i="109" s="1"/>
  <c r="BS284" i="109" s="1"/>
  <c r="BT284" i="109" s="1"/>
  <c r="BU284" i="109" s="1"/>
  <c r="BV284" i="109" s="1"/>
  <c r="AS284" i="109"/>
  <c r="AT284" i="109" s="1"/>
  <c r="AT283" i="109"/>
  <c r="AU283" i="109" s="1"/>
  <c r="AV283" i="109" s="1"/>
  <c r="AW283" i="109" s="1"/>
  <c r="AX283" i="109" s="1"/>
  <c r="AY283" i="109" s="1"/>
  <c r="AZ283" i="109" s="1"/>
  <c r="BA283" i="109" s="1"/>
  <c r="BB283" i="109" s="1"/>
  <c r="BC283" i="109" s="1"/>
  <c r="BD283" i="109" s="1"/>
  <c r="BE283" i="109" s="1"/>
  <c r="BF283" i="109" s="1"/>
  <c r="BG283" i="109" s="1"/>
  <c r="BH283" i="109" s="1"/>
  <c r="BI283" i="109" s="1"/>
  <c r="BJ283" i="109" s="1"/>
  <c r="BK283" i="109" s="1"/>
  <c r="BL283" i="109" s="1"/>
  <c r="BM283" i="109" s="1"/>
  <c r="BN283" i="109" s="1"/>
  <c r="BO283" i="109" s="1"/>
  <c r="BP283" i="109" s="1"/>
  <c r="BQ283" i="109" s="1"/>
  <c r="BR283" i="109" s="1"/>
  <c r="BS283" i="109" s="1"/>
  <c r="BT283" i="109" s="1"/>
  <c r="BU283" i="109" s="1"/>
  <c r="BV283" i="109" s="1"/>
  <c r="AS283" i="109"/>
  <c r="AT282" i="109"/>
  <c r="AU282" i="109" s="1"/>
  <c r="AV282" i="109" s="1"/>
  <c r="AW282" i="109" s="1"/>
  <c r="AX282" i="109" s="1"/>
  <c r="AY282" i="109" s="1"/>
  <c r="AZ282" i="109" s="1"/>
  <c r="BA282" i="109" s="1"/>
  <c r="BB282" i="109" s="1"/>
  <c r="BC282" i="109" s="1"/>
  <c r="BD282" i="109" s="1"/>
  <c r="BE282" i="109" s="1"/>
  <c r="BF282" i="109" s="1"/>
  <c r="BG282" i="109" s="1"/>
  <c r="BH282" i="109" s="1"/>
  <c r="BI282" i="109" s="1"/>
  <c r="BJ282" i="109" s="1"/>
  <c r="BK282" i="109" s="1"/>
  <c r="BL282" i="109" s="1"/>
  <c r="BM282" i="109" s="1"/>
  <c r="BN282" i="109" s="1"/>
  <c r="BO282" i="109" s="1"/>
  <c r="BP282" i="109" s="1"/>
  <c r="BQ282" i="109" s="1"/>
  <c r="BR282" i="109" s="1"/>
  <c r="BS282" i="109" s="1"/>
  <c r="BT282" i="109" s="1"/>
  <c r="BU282" i="109" s="1"/>
  <c r="BV282" i="109" s="1"/>
  <c r="AS282" i="109"/>
  <c r="AX281" i="109"/>
  <c r="AY281" i="109" s="1"/>
  <c r="AZ281" i="109" s="1"/>
  <c r="BA281" i="109" s="1"/>
  <c r="BB281" i="109" s="1"/>
  <c r="BC281" i="109" s="1"/>
  <c r="BD281" i="109" s="1"/>
  <c r="BE281" i="109" s="1"/>
  <c r="BF281" i="109" s="1"/>
  <c r="BG281" i="109" s="1"/>
  <c r="BH281" i="109" s="1"/>
  <c r="BI281" i="109" s="1"/>
  <c r="BJ281" i="109" s="1"/>
  <c r="BK281" i="109" s="1"/>
  <c r="BL281" i="109" s="1"/>
  <c r="BM281" i="109" s="1"/>
  <c r="BN281" i="109" s="1"/>
  <c r="BO281" i="109" s="1"/>
  <c r="BP281" i="109" s="1"/>
  <c r="BQ281" i="109" s="1"/>
  <c r="BR281" i="109" s="1"/>
  <c r="BS281" i="109" s="1"/>
  <c r="BT281" i="109" s="1"/>
  <c r="BU281" i="109" s="1"/>
  <c r="BV281" i="109" s="1"/>
  <c r="AT281" i="109"/>
  <c r="AU281" i="109" s="1"/>
  <c r="AV281" i="109" s="1"/>
  <c r="AW281" i="109" s="1"/>
  <c r="AS281" i="109"/>
  <c r="AT280" i="109"/>
  <c r="AU280" i="109" s="1"/>
  <c r="AV280" i="109" s="1"/>
  <c r="AW280" i="109" s="1"/>
  <c r="AX280" i="109" s="1"/>
  <c r="AY280" i="109" s="1"/>
  <c r="AZ280" i="109" s="1"/>
  <c r="BA280" i="109" s="1"/>
  <c r="BB280" i="109" s="1"/>
  <c r="BC280" i="109" s="1"/>
  <c r="BD280" i="109" s="1"/>
  <c r="BE280" i="109" s="1"/>
  <c r="BF280" i="109" s="1"/>
  <c r="BG280" i="109" s="1"/>
  <c r="BH280" i="109" s="1"/>
  <c r="BI280" i="109" s="1"/>
  <c r="BJ280" i="109" s="1"/>
  <c r="BK280" i="109" s="1"/>
  <c r="BL280" i="109" s="1"/>
  <c r="BM280" i="109" s="1"/>
  <c r="BN280" i="109" s="1"/>
  <c r="BO280" i="109" s="1"/>
  <c r="BP280" i="109" s="1"/>
  <c r="BQ280" i="109" s="1"/>
  <c r="BR280" i="109" s="1"/>
  <c r="BS280" i="109" s="1"/>
  <c r="BT280" i="109" s="1"/>
  <c r="BU280" i="109" s="1"/>
  <c r="BV280" i="109" s="1"/>
  <c r="AS280" i="109"/>
  <c r="AT279" i="109"/>
  <c r="AU279" i="109" s="1"/>
  <c r="AV279" i="109" s="1"/>
  <c r="AW279" i="109" s="1"/>
  <c r="AX279" i="109" s="1"/>
  <c r="AY279" i="109" s="1"/>
  <c r="AZ279" i="109" s="1"/>
  <c r="BA279" i="109" s="1"/>
  <c r="BB279" i="109" s="1"/>
  <c r="BC279" i="109" s="1"/>
  <c r="BD279" i="109" s="1"/>
  <c r="BE279" i="109" s="1"/>
  <c r="BF279" i="109" s="1"/>
  <c r="BG279" i="109" s="1"/>
  <c r="BH279" i="109" s="1"/>
  <c r="BI279" i="109" s="1"/>
  <c r="BJ279" i="109" s="1"/>
  <c r="BK279" i="109" s="1"/>
  <c r="BL279" i="109" s="1"/>
  <c r="BM279" i="109" s="1"/>
  <c r="BN279" i="109" s="1"/>
  <c r="BO279" i="109" s="1"/>
  <c r="BP279" i="109" s="1"/>
  <c r="BQ279" i="109" s="1"/>
  <c r="BR279" i="109" s="1"/>
  <c r="BS279" i="109" s="1"/>
  <c r="BT279" i="109" s="1"/>
  <c r="BU279" i="109" s="1"/>
  <c r="BV279" i="109" s="1"/>
  <c r="AS279" i="109"/>
  <c r="AT278" i="109"/>
  <c r="AU278" i="109" s="1"/>
  <c r="AV278" i="109" s="1"/>
  <c r="AW278" i="109" s="1"/>
  <c r="AX278" i="109" s="1"/>
  <c r="AY278" i="109" s="1"/>
  <c r="AZ278" i="109" s="1"/>
  <c r="BA278" i="109" s="1"/>
  <c r="BB278" i="109" s="1"/>
  <c r="BC278" i="109" s="1"/>
  <c r="BD278" i="109" s="1"/>
  <c r="BE278" i="109" s="1"/>
  <c r="BF278" i="109" s="1"/>
  <c r="BG278" i="109" s="1"/>
  <c r="BH278" i="109" s="1"/>
  <c r="BI278" i="109" s="1"/>
  <c r="BJ278" i="109" s="1"/>
  <c r="BK278" i="109" s="1"/>
  <c r="BL278" i="109" s="1"/>
  <c r="BM278" i="109" s="1"/>
  <c r="BN278" i="109" s="1"/>
  <c r="BO278" i="109" s="1"/>
  <c r="BP278" i="109" s="1"/>
  <c r="BQ278" i="109" s="1"/>
  <c r="BR278" i="109" s="1"/>
  <c r="BS278" i="109" s="1"/>
  <c r="BT278" i="109" s="1"/>
  <c r="BU278" i="109" s="1"/>
  <c r="BV278" i="109" s="1"/>
  <c r="AS278" i="109"/>
  <c r="AX277" i="109"/>
  <c r="AY277" i="109" s="1"/>
  <c r="AZ277" i="109" s="1"/>
  <c r="BA277" i="109" s="1"/>
  <c r="BB277" i="109" s="1"/>
  <c r="BC277" i="109" s="1"/>
  <c r="BD277" i="109" s="1"/>
  <c r="BE277" i="109" s="1"/>
  <c r="BF277" i="109" s="1"/>
  <c r="BG277" i="109" s="1"/>
  <c r="BH277" i="109" s="1"/>
  <c r="BI277" i="109" s="1"/>
  <c r="BJ277" i="109" s="1"/>
  <c r="BK277" i="109" s="1"/>
  <c r="BL277" i="109" s="1"/>
  <c r="BM277" i="109" s="1"/>
  <c r="BN277" i="109" s="1"/>
  <c r="BO277" i="109" s="1"/>
  <c r="BP277" i="109" s="1"/>
  <c r="BQ277" i="109" s="1"/>
  <c r="BR277" i="109" s="1"/>
  <c r="BS277" i="109" s="1"/>
  <c r="BT277" i="109" s="1"/>
  <c r="BU277" i="109" s="1"/>
  <c r="BV277" i="109" s="1"/>
  <c r="AT277" i="109"/>
  <c r="AU277" i="109" s="1"/>
  <c r="AV277" i="109" s="1"/>
  <c r="AW277" i="109" s="1"/>
  <c r="AS277" i="109"/>
  <c r="AT276" i="109"/>
  <c r="AU276" i="109" s="1"/>
  <c r="AV276" i="109" s="1"/>
  <c r="AW276" i="109" s="1"/>
  <c r="AX276" i="109" s="1"/>
  <c r="AY276" i="109" s="1"/>
  <c r="AZ276" i="109" s="1"/>
  <c r="BA276" i="109" s="1"/>
  <c r="BB276" i="109" s="1"/>
  <c r="BC276" i="109" s="1"/>
  <c r="BD276" i="109" s="1"/>
  <c r="BE276" i="109" s="1"/>
  <c r="BF276" i="109" s="1"/>
  <c r="BG276" i="109" s="1"/>
  <c r="BH276" i="109" s="1"/>
  <c r="BI276" i="109" s="1"/>
  <c r="BJ276" i="109" s="1"/>
  <c r="BK276" i="109" s="1"/>
  <c r="BL276" i="109" s="1"/>
  <c r="BM276" i="109" s="1"/>
  <c r="BN276" i="109" s="1"/>
  <c r="BO276" i="109" s="1"/>
  <c r="BP276" i="109" s="1"/>
  <c r="BQ276" i="109" s="1"/>
  <c r="BR276" i="109" s="1"/>
  <c r="BS276" i="109" s="1"/>
  <c r="BT276" i="109" s="1"/>
  <c r="BU276" i="109" s="1"/>
  <c r="BV276" i="109" s="1"/>
  <c r="AS276" i="109"/>
  <c r="AT275" i="109"/>
  <c r="AU275" i="109" s="1"/>
  <c r="AV275" i="109" s="1"/>
  <c r="AW275" i="109" s="1"/>
  <c r="AX275" i="109" s="1"/>
  <c r="AY275" i="109" s="1"/>
  <c r="AZ275" i="109" s="1"/>
  <c r="BA275" i="109" s="1"/>
  <c r="BB275" i="109" s="1"/>
  <c r="BC275" i="109" s="1"/>
  <c r="BD275" i="109" s="1"/>
  <c r="BE275" i="109" s="1"/>
  <c r="BF275" i="109" s="1"/>
  <c r="BG275" i="109" s="1"/>
  <c r="BH275" i="109" s="1"/>
  <c r="BI275" i="109" s="1"/>
  <c r="BJ275" i="109" s="1"/>
  <c r="BK275" i="109" s="1"/>
  <c r="BL275" i="109" s="1"/>
  <c r="BM275" i="109" s="1"/>
  <c r="BN275" i="109" s="1"/>
  <c r="BO275" i="109" s="1"/>
  <c r="BP275" i="109" s="1"/>
  <c r="BQ275" i="109" s="1"/>
  <c r="BR275" i="109" s="1"/>
  <c r="BS275" i="109" s="1"/>
  <c r="BT275" i="109" s="1"/>
  <c r="BU275" i="109" s="1"/>
  <c r="BV275" i="109" s="1"/>
  <c r="AS275" i="109"/>
  <c r="AS270" i="109"/>
  <c r="AT270" i="109" s="1"/>
  <c r="AU270" i="109" s="1"/>
  <c r="AV270" i="109" s="1"/>
  <c r="AW270" i="109" s="1"/>
  <c r="AX270" i="109" s="1"/>
  <c r="AY270" i="109" s="1"/>
  <c r="AZ270" i="109" s="1"/>
  <c r="BA270" i="109" s="1"/>
  <c r="BB270" i="109" s="1"/>
  <c r="BC270" i="109" s="1"/>
  <c r="BD270" i="109" s="1"/>
  <c r="BE270" i="109" s="1"/>
  <c r="BF270" i="109" s="1"/>
  <c r="BG270" i="109" s="1"/>
  <c r="BH270" i="109" s="1"/>
  <c r="BI270" i="109" s="1"/>
  <c r="BJ270" i="109" s="1"/>
  <c r="BK270" i="109" s="1"/>
  <c r="BL270" i="109" s="1"/>
  <c r="BM270" i="109" s="1"/>
  <c r="BN270" i="109" s="1"/>
  <c r="BO270" i="109" s="1"/>
  <c r="BP270" i="109" s="1"/>
  <c r="BQ270" i="109" s="1"/>
  <c r="BR270" i="109" s="1"/>
  <c r="BS270" i="109" s="1"/>
  <c r="BT270" i="109" s="1"/>
  <c r="BU270" i="109" s="1"/>
  <c r="BV270" i="109" s="1"/>
  <c r="AW269" i="109"/>
  <c r="AX269" i="109" s="1"/>
  <c r="AY269" i="109" s="1"/>
  <c r="AZ269" i="109" s="1"/>
  <c r="BA269" i="109" s="1"/>
  <c r="BB269" i="109" s="1"/>
  <c r="BC269" i="109" s="1"/>
  <c r="BD269" i="109" s="1"/>
  <c r="BE269" i="109" s="1"/>
  <c r="BF269" i="109" s="1"/>
  <c r="BG269" i="109" s="1"/>
  <c r="BH269" i="109" s="1"/>
  <c r="BI269" i="109" s="1"/>
  <c r="BJ269" i="109" s="1"/>
  <c r="BK269" i="109" s="1"/>
  <c r="BL269" i="109" s="1"/>
  <c r="BM269" i="109" s="1"/>
  <c r="BN269" i="109" s="1"/>
  <c r="BO269" i="109" s="1"/>
  <c r="BP269" i="109" s="1"/>
  <c r="BQ269" i="109" s="1"/>
  <c r="BR269" i="109" s="1"/>
  <c r="BS269" i="109" s="1"/>
  <c r="BT269" i="109" s="1"/>
  <c r="BU269" i="109" s="1"/>
  <c r="BV269" i="109" s="1"/>
  <c r="AS269" i="109"/>
  <c r="AT269" i="109" s="1"/>
  <c r="AU269" i="109" s="1"/>
  <c r="AV269" i="109" s="1"/>
  <c r="BC268" i="109"/>
  <c r="BD268" i="109" s="1"/>
  <c r="BE268" i="109" s="1"/>
  <c r="BF268" i="109" s="1"/>
  <c r="BG268" i="109" s="1"/>
  <c r="BH268" i="109" s="1"/>
  <c r="BI268" i="109" s="1"/>
  <c r="BJ268" i="109" s="1"/>
  <c r="BK268" i="109" s="1"/>
  <c r="BL268" i="109" s="1"/>
  <c r="BM268" i="109" s="1"/>
  <c r="BN268" i="109" s="1"/>
  <c r="BO268" i="109" s="1"/>
  <c r="BP268" i="109" s="1"/>
  <c r="BQ268" i="109" s="1"/>
  <c r="BR268" i="109" s="1"/>
  <c r="BS268" i="109" s="1"/>
  <c r="BT268" i="109" s="1"/>
  <c r="BU268" i="109" s="1"/>
  <c r="BV268" i="109" s="1"/>
  <c r="AU268" i="109"/>
  <c r="AV268" i="109" s="1"/>
  <c r="AW268" i="109" s="1"/>
  <c r="AX268" i="109" s="1"/>
  <c r="AY268" i="109" s="1"/>
  <c r="AZ268" i="109" s="1"/>
  <c r="BA268" i="109" s="1"/>
  <c r="BB268" i="109" s="1"/>
  <c r="AS268" i="109"/>
  <c r="AT268" i="109" s="1"/>
  <c r="AS267" i="109"/>
  <c r="AT267" i="109" s="1"/>
  <c r="AU267" i="109" s="1"/>
  <c r="AV267" i="109" s="1"/>
  <c r="AW267" i="109" s="1"/>
  <c r="AX267" i="109" s="1"/>
  <c r="AY267" i="109" s="1"/>
  <c r="AZ267" i="109" s="1"/>
  <c r="BA267" i="109" s="1"/>
  <c r="BB267" i="109" s="1"/>
  <c r="BC267" i="109" s="1"/>
  <c r="BD267" i="109" s="1"/>
  <c r="BE267" i="109" s="1"/>
  <c r="BF267" i="109" s="1"/>
  <c r="BG267" i="109" s="1"/>
  <c r="BH267" i="109" s="1"/>
  <c r="BI267" i="109" s="1"/>
  <c r="BJ267" i="109" s="1"/>
  <c r="BK267" i="109" s="1"/>
  <c r="BL267" i="109" s="1"/>
  <c r="BM267" i="109" s="1"/>
  <c r="BN267" i="109" s="1"/>
  <c r="BO267" i="109" s="1"/>
  <c r="BP267" i="109" s="1"/>
  <c r="BQ267" i="109" s="1"/>
  <c r="BR267" i="109" s="1"/>
  <c r="BS267" i="109" s="1"/>
  <c r="BT267" i="109" s="1"/>
  <c r="BU267" i="109" s="1"/>
  <c r="BV267" i="109" s="1"/>
  <c r="AU266" i="109"/>
  <c r="AV266" i="109" s="1"/>
  <c r="AW266" i="109" s="1"/>
  <c r="AX266" i="109" s="1"/>
  <c r="AY266" i="109" s="1"/>
  <c r="AZ266" i="109" s="1"/>
  <c r="BA266" i="109" s="1"/>
  <c r="BB266" i="109" s="1"/>
  <c r="BC266" i="109" s="1"/>
  <c r="BD266" i="109" s="1"/>
  <c r="BE266" i="109" s="1"/>
  <c r="BF266" i="109" s="1"/>
  <c r="BG266" i="109" s="1"/>
  <c r="BH266" i="109" s="1"/>
  <c r="BI266" i="109" s="1"/>
  <c r="BJ266" i="109" s="1"/>
  <c r="BK266" i="109" s="1"/>
  <c r="BL266" i="109" s="1"/>
  <c r="BM266" i="109" s="1"/>
  <c r="BN266" i="109" s="1"/>
  <c r="BO266" i="109" s="1"/>
  <c r="BP266" i="109" s="1"/>
  <c r="BQ266" i="109" s="1"/>
  <c r="BR266" i="109" s="1"/>
  <c r="BS266" i="109" s="1"/>
  <c r="BT266" i="109" s="1"/>
  <c r="BU266" i="109" s="1"/>
  <c r="BV266" i="109" s="1"/>
  <c r="AS266" i="109"/>
  <c r="AT266" i="109" s="1"/>
  <c r="BU265" i="109"/>
  <c r="BV265" i="109" s="1"/>
  <c r="AS265" i="109"/>
  <c r="AT265" i="109" s="1"/>
  <c r="AU265" i="109" s="1"/>
  <c r="AV265" i="109" s="1"/>
  <c r="AW265" i="109" s="1"/>
  <c r="AX265" i="109" s="1"/>
  <c r="AY265" i="109" s="1"/>
  <c r="AZ265" i="109" s="1"/>
  <c r="BA265" i="109" s="1"/>
  <c r="BB265" i="109" s="1"/>
  <c r="BC265" i="109" s="1"/>
  <c r="BD265" i="109" s="1"/>
  <c r="BE265" i="109" s="1"/>
  <c r="BF265" i="109" s="1"/>
  <c r="BG265" i="109" s="1"/>
  <c r="BH265" i="109" s="1"/>
  <c r="BI265" i="109" s="1"/>
  <c r="BJ265" i="109" s="1"/>
  <c r="BK265" i="109" s="1"/>
  <c r="BL265" i="109" s="1"/>
  <c r="BM265" i="109" s="1"/>
  <c r="BN265" i="109" s="1"/>
  <c r="BO265" i="109" s="1"/>
  <c r="BP265" i="109" s="1"/>
  <c r="BQ265" i="109" s="1"/>
  <c r="BR265" i="109" s="1"/>
  <c r="BS265" i="109" s="1"/>
  <c r="BT265" i="109" s="1"/>
  <c r="AU264" i="109"/>
  <c r="AV264" i="109" s="1"/>
  <c r="AW264" i="109" s="1"/>
  <c r="AX264" i="109" s="1"/>
  <c r="AY264" i="109" s="1"/>
  <c r="AZ264" i="109" s="1"/>
  <c r="BA264" i="109" s="1"/>
  <c r="BB264" i="109" s="1"/>
  <c r="BC264" i="109" s="1"/>
  <c r="BD264" i="109" s="1"/>
  <c r="BE264" i="109" s="1"/>
  <c r="BF264" i="109" s="1"/>
  <c r="BG264" i="109" s="1"/>
  <c r="BH264" i="109" s="1"/>
  <c r="BI264" i="109" s="1"/>
  <c r="BJ264" i="109" s="1"/>
  <c r="BK264" i="109" s="1"/>
  <c r="BL264" i="109" s="1"/>
  <c r="BM264" i="109" s="1"/>
  <c r="BN264" i="109" s="1"/>
  <c r="BO264" i="109" s="1"/>
  <c r="BP264" i="109" s="1"/>
  <c r="BQ264" i="109" s="1"/>
  <c r="BR264" i="109" s="1"/>
  <c r="BS264" i="109" s="1"/>
  <c r="BT264" i="109" s="1"/>
  <c r="BU264" i="109" s="1"/>
  <c r="BV264" i="109" s="1"/>
  <c r="AS264" i="109"/>
  <c r="AT264" i="109" s="1"/>
  <c r="BA263" i="109"/>
  <c r="BB263" i="109" s="1"/>
  <c r="BC263" i="109" s="1"/>
  <c r="BD263" i="109" s="1"/>
  <c r="BE263" i="109" s="1"/>
  <c r="BF263" i="109" s="1"/>
  <c r="BG263" i="109" s="1"/>
  <c r="BH263" i="109" s="1"/>
  <c r="BI263" i="109" s="1"/>
  <c r="BJ263" i="109" s="1"/>
  <c r="BK263" i="109" s="1"/>
  <c r="BL263" i="109" s="1"/>
  <c r="BM263" i="109" s="1"/>
  <c r="BN263" i="109" s="1"/>
  <c r="BO263" i="109" s="1"/>
  <c r="BP263" i="109" s="1"/>
  <c r="BQ263" i="109" s="1"/>
  <c r="BR263" i="109" s="1"/>
  <c r="BS263" i="109" s="1"/>
  <c r="BT263" i="109" s="1"/>
  <c r="BU263" i="109" s="1"/>
  <c r="BV263" i="109" s="1"/>
  <c r="AS263" i="109"/>
  <c r="AT263" i="109" s="1"/>
  <c r="AU263" i="109" s="1"/>
  <c r="AV263" i="109" s="1"/>
  <c r="AW263" i="109" s="1"/>
  <c r="AX263" i="109" s="1"/>
  <c r="AY263" i="109" s="1"/>
  <c r="AZ263" i="109" s="1"/>
  <c r="AY262" i="109"/>
  <c r="AZ262" i="109" s="1"/>
  <c r="BA262" i="109" s="1"/>
  <c r="BB262" i="109" s="1"/>
  <c r="BC262" i="109" s="1"/>
  <c r="BD262" i="109" s="1"/>
  <c r="BE262" i="109" s="1"/>
  <c r="BF262" i="109" s="1"/>
  <c r="BG262" i="109" s="1"/>
  <c r="BH262" i="109" s="1"/>
  <c r="BI262" i="109" s="1"/>
  <c r="BJ262" i="109" s="1"/>
  <c r="BK262" i="109" s="1"/>
  <c r="BL262" i="109" s="1"/>
  <c r="BM262" i="109" s="1"/>
  <c r="BN262" i="109" s="1"/>
  <c r="BO262" i="109" s="1"/>
  <c r="BP262" i="109" s="1"/>
  <c r="BQ262" i="109" s="1"/>
  <c r="BR262" i="109" s="1"/>
  <c r="BS262" i="109" s="1"/>
  <c r="BT262" i="109" s="1"/>
  <c r="BU262" i="109" s="1"/>
  <c r="BV262" i="109" s="1"/>
  <c r="AU262" i="109"/>
  <c r="AV262" i="109" s="1"/>
  <c r="AW262" i="109" s="1"/>
  <c r="AX262" i="109" s="1"/>
  <c r="AS262" i="109"/>
  <c r="AT262" i="109" s="1"/>
  <c r="AW261" i="109"/>
  <c r="AX261" i="109" s="1"/>
  <c r="AY261" i="109" s="1"/>
  <c r="AZ261" i="109" s="1"/>
  <c r="BA261" i="109" s="1"/>
  <c r="BB261" i="109" s="1"/>
  <c r="BC261" i="109" s="1"/>
  <c r="BD261" i="109" s="1"/>
  <c r="BE261" i="109" s="1"/>
  <c r="BF261" i="109" s="1"/>
  <c r="BG261" i="109" s="1"/>
  <c r="BH261" i="109" s="1"/>
  <c r="BI261" i="109" s="1"/>
  <c r="BJ261" i="109" s="1"/>
  <c r="BK261" i="109" s="1"/>
  <c r="BL261" i="109" s="1"/>
  <c r="BM261" i="109" s="1"/>
  <c r="BN261" i="109" s="1"/>
  <c r="BO261" i="109" s="1"/>
  <c r="BP261" i="109" s="1"/>
  <c r="BQ261" i="109" s="1"/>
  <c r="BR261" i="109" s="1"/>
  <c r="BS261" i="109" s="1"/>
  <c r="BT261" i="109" s="1"/>
  <c r="BU261" i="109" s="1"/>
  <c r="BV261" i="109" s="1"/>
  <c r="AS261" i="109"/>
  <c r="AT261" i="109" s="1"/>
  <c r="AU261" i="109" s="1"/>
  <c r="AV261" i="109" s="1"/>
  <c r="BS260" i="109"/>
  <c r="BT260" i="109" s="1"/>
  <c r="BU260" i="109" s="1"/>
  <c r="BV260" i="109" s="1"/>
  <c r="BC260" i="109"/>
  <c r="BD260" i="109" s="1"/>
  <c r="BE260" i="109" s="1"/>
  <c r="BF260" i="109" s="1"/>
  <c r="BG260" i="109" s="1"/>
  <c r="BH260" i="109" s="1"/>
  <c r="BI260" i="109" s="1"/>
  <c r="BJ260" i="109" s="1"/>
  <c r="BK260" i="109" s="1"/>
  <c r="BL260" i="109" s="1"/>
  <c r="BM260" i="109" s="1"/>
  <c r="BN260" i="109" s="1"/>
  <c r="BO260" i="109" s="1"/>
  <c r="BP260" i="109" s="1"/>
  <c r="BQ260" i="109" s="1"/>
  <c r="BR260" i="109" s="1"/>
  <c r="AU260" i="109"/>
  <c r="AV260" i="109" s="1"/>
  <c r="AW260" i="109" s="1"/>
  <c r="AX260" i="109" s="1"/>
  <c r="AY260" i="109" s="1"/>
  <c r="AZ260" i="109" s="1"/>
  <c r="BA260" i="109" s="1"/>
  <c r="BB260" i="109" s="1"/>
  <c r="AS260" i="109"/>
  <c r="AT260" i="109" s="1"/>
  <c r="BC259" i="109"/>
  <c r="BD259" i="109" s="1"/>
  <c r="BE259" i="109" s="1"/>
  <c r="BF259" i="109" s="1"/>
  <c r="BG259" i="109" s="1"/>
  <c r="BH259" i="109" s="1"/>
  <c r="BI259" i="109" s="1"/>
  <c r="BJ259" i="109" s="1"/>
  <c r="BK259" i="109" s="1"/>
  <c r="BL259" i="109" s="1"/>
  <c r="BM259" i="109" s="1"/>
  <c r="BN259" i="109" s="1"/>
  <c r="BO259" i="109" s="1"/>
  <c r="BP259" i="109" s="1"/>
  <c r="BQ259" i="109" s="1"/>
  <c r="BR259" i="109" s="1"/>
  <c r="BS259" i="109" s="1"/>
  <c r="BT259" i="109" s="1"/>
  <c r="BU259" i="109" s="1"/>
  <c r="BV259" i="109" s="1"/>
  <c r="AU259" i="109"/>
  <c r="AV259" i="109" s="1"/>
  <c r="AW259" i="109" s="1"/>
  <c r="AX259" i="109" s="1"/>
  <c r="AY259" i="109" s="1"/>
  <c r="AZ259" i="109" s="1"/>
  <c r="BA259" i="109" s="1"/>
  <c r="BB259" i="109" s="1"/>
  <c r="AS259" i="109"/>
  <c r="AT259" i="109" s="1"/>
  <c r="BE258" i="109"/>
  <c r="BF258" i="109" s="1"/>
  <c r="BG258" i="109" s="1"/>
  <c r="BH258" i="109" s="1"/>
  <c r="BI258" i="109" s="1"/>
  <c r="BJ258" i="109" s="1"/>
  <c r="BK258" i="109" s="1"/>
  <c r="BL258" i="109" s="1"/>
  <c r="BM258" i="109" s="1"/>
  <c r="BN258" i="109" s="1"/>
  <c r="BO258" i="109" s="1"/>
  <c r="BP258" i="109" s="1"/>
  <c r="BQ258" i="109" s="1"/>
  <c r="BR258" i="109" s="1"/>
  <c r="BS258" i="109" s="1"/>
  <c r="BT258" i="109" s="1"/>
  <c r="BU258" i="109" s="1"/>
  <c r="BV258" i="109" s="1"/>
  <c r="AW258" i="109"/>
  <c r="AX258" i="109" s="1"/>
  <c r="AY258" i="109" s="1"/>
  <c r="AZ258" i="109" s="1"/>
  <c r="BA258" i="109" s="1"/>
  <c r="BB258" i="109" s="1"/>
  <c r="BC258" i="109" s="1"/>
  <c r="BD258" i="109" s="1"/>
  <c r="AS258" i="109"/>
  <c r="AT258" i="109" s="1"/>
  <c r="AU258" i="109" s="1"/>
  <c r="AV258" i="109" s="1"/>
  <c r="BC257" i="109"/>
  <c r="BD257" i="109" s="1"/>
  <c r="BE257" i="109" s="1"/>
  <c r="BF257" i="109" s="1"/>
  <c r="BG257" i="109" s="1"/>
  <c r="BH257" i="109" s="1"/>
  <c r="BI257" i="109" s="1"/>
  <c r="BJ257" i="109" s="1"/>
  <c r="BK257" i="109" s="1"/>
  <c r="BL257" i="109" s="1"/>
  <c r="BM257" i="109" s="1"/>
  <c r="BN257" i="109" s="1"/>
  <c r="BO257" i="109" s="1"/>
  <c r="BP257" i="109" s="1"/>
  <c r="BQ257" i="109" s="1"/>
  <c r="BR257" i="109" s="1"/>
  <c r="BS257" i="109" s="1"/>
  <c r="BT257" i="109" s="1"/>
  <c r="BU257" i="109" s="1"/>
  <c r="BV257" i="109" s="1"/>
  <c r="AU257" i="109"/>
  <c r="AV257" i="109" s="1"/>
  <c r="AW257" i="109" s="1"/>
  <c r="AX257" i="109" s="1"/>
  <c r="AY257" i="109" s="1"/>
  <c r="AZ257" i="109" s="1"/>
  <c r="BA257" i="109" s="1"/>
  <c r="BB257" i="109" s="1"/>
  <c r="AS257" i="109"/>
  <c r="AT257" i="109" s="1"/>
  <c r="AU256" i="109"/>
  <c r="AV256" i="109" s="1"/>
  <c r="AW256" i="109" s="1"/>
  <c r="AX256" i="109" s="1"/>
  <c r="AY256" i="109" s="1"/>
  <c r="AZ256" i="109" s="1"/>
  <c r="BA256" i="109" s="1"/>
  <c r="BB256" i="109" s="1"/>
  <c r="BC256" i="109" s="1"/>
  <c r="BD256" i="109" s="1"/>
  <c r="BE256" i="109" s="1"/>
  <c r="BF256" i="109" s="1"/>
  <c r="BG256" i="109" s="1"/>
  <c r="BH256" i="109" s="1"/>
  <c r="BI256" i="109" s="1"/>
  <c r="BJ256" i="109" s="1"/>
  <c r="BK256" i="109" s="1"/>
  <c r="BL256" i="109" s="1"/>
  <c r="BM256" i="109" s="1"/>
  <c r="BN256" i="109" s="1"/>
  <c r="BO256" i="109" s="1"/>
  <c r="BP256" i="109" s="1"/>
  <c r="BQ256" i="109" s="1"/>
  <c r="BR256" i="109" s="1"/>
  <c r="BS256" i="109" s="1"/>
  <c r="BT256" i="109" s="1"/>
  <c r="BU256" i="109" s="1"/>
  <c r="BV256" i="109" s="1"/>
  <c r="AS256" i="109"/>
  <c r="AT256" i="109" s="1"/>
  <c r="AS255" i="109"/>
  <c r="AT255" i="109" s="1"/>
  <c r="AU255" i="109" s="1"/>
  <c r="AV255" i="109" s="1"/>
  <c r="AW255" i="109" s="1"/>
  <c r="AX255" i="109" s="1"/>
  <c r="AY255" i="109" s="1"/>
  <c r="AZ255" i="109" s="1"/>
  <c r="BA255" i="109" s="1"/>
  <c r="BB255" i="109" s="1"/>
  <c r="BC255" i="109" s="1"/>
  <c r="BD255" i="109" s="1"/>
  <c r="BE255" i="109" s="1"/>
  <c r="BF255" i="109" s="1"/>
  <c r="BG255" i="109" s="1"/>
  <c r="BH255" i="109" s="1"/>
  <c r="BI255" i="109" s="1"/>
  <c r="BJ255" i="109" s="1"/>
  <c r="BK255" i="109" s="1"/>
  <c r="BL255" i="109" s="1"/>
  <c r="BM255" i="109" s="1"/>
  <c r="BN255" i="109" s="1"/>
  <c r="BO255" i="109" s="1"/>
  <c r="BP255" i="109" s="1"/>
  <c r="BQ255" i="109" s="1"/>
  <c r="BR255" i="109" s="1"/>
  <c r="BS255" i="109" s="1"/>
  <c r="BT255" i="109" s="1"/>
  <c r="BU255" i="109" s="1"/>
  <c r="BV255" i="109" s="1"/>
  <c r="AU254" i="109"/>
  <c r="AV254" i="109" s="1"/>
  <c r="AW254" i="109" s="1"/>
  <c r="AX254" i="109" s="1"/>
  <c r="AY254" i="109" s="1"/>
  <c r="AZ254" i="109" s="1"/>
  <c r="BA254" i="109" s="1"/>
  <c r="BB254" i="109" s="1"/>
  <c r="BC254" i="109" s="1"/>
  <c r="BD254" i="109" s="1"/>
  <c r="BE254" i="109" s="1"/>
  <c r="BF254" i="109" s="1"/>
  <c r="BG254" i="109" s="1"/>
  <c r="BH254" i="109" s="1"/>
  <c r="BI254" i="109" s="1"/>
  <c r="BJ254" i="109" s="1"/>
  <c r="BK254" i="109" s="1"/>
  <c r="BL254" i="109" s="1"/>
  <c r="BM254" i="109" s="1"/>
  <c r="BN254" i="109" s="1"/>
  <c r="BO254" i="109" s="1"/>
  <c r="BP254" i="109" s="1"/>
  <c r="BQ254" i="109" s="1"/>
  <c r="BR254" i="109" s="1"/>
  <c r="BS254" i="109" s="1"/>
  <c r="BT254" i="109" s="1"/>
  <c r="BU254" i="109" s="1"/>
  <c r="BV254" i="109" s="1"/>
  <c r="AS254" i="109"/>
  <c r="AT254" i="109" s="1"/>
  <c r="AW253" i="109"/>
  <c r="AX253" i="109" s="1"/>
  <c r="AY253" i="109" s="1"/>
  <c r="AZ253" i="109" s="1"/>
  <c r="BA253" i="109" s="1"/>
  <c r="BB253" i="109" s="1"/>
  <c r="BC253" i="109" s="1"/>
  <c r="BD253" i="109" s="1"/>
  <c r="BE253" i="109" s="1"/>
  <c r="BF253" i="109" s="1"/>
  <c r="BG253" i="109" s="1"/>
  <c r="BH253" i="109" s="1"/>
  <c r="BI253" i="109" s="1"/>
  <c r="BJ253" i="109" s="1"/>
  <c r="BK253" i="109" s="1"/>
  <c r="BL253" i="109" s="1"/>
  <c r="BM253" i="109" s="1"/>
  <c r="BN253" i="109" s="1"/>
  <c r="BO253" i="109" s="1"/>
  <c r="BP253" i="109" s="1"/>
  <c r="BQ253" i="109" s="1"/>
  <c r="BR253" i="109" s="1"/>
  <c r="BS253" i="109" s="1"/>
  <c r="BT253" i="109" s="1"/>
  <c r="BU253" i="109" s="1"/>
  <c r="BV253" i="109" s="1"/>
  <c r="AS253" i="109"/>
  <c r="AT253" i="109" s="1"/>
  <c r="AU253" i="109" s="1"/>
  <c r="AV253" i="109" s="1"/>
  <c r="AU252" i="109"/>
  <c r="AV252" i="109" s="1"/>
  <c r="AW252" i="109" s="1"/>
  <c r="AX252" i="109" s="1"/>
  <c r="AY252" i="109" s="1"/>
  <c r="AZ252" i="109" s="1"/>
  <c r="BA252" i="109" s="1"/>
  <c r="BB252" i="109" s="1"/>
  <c r="BC252" i="109" s="1"/>
  <c r="BD252" i="109" s="1"/>
  <c r="BE252" i="109" s="1"/>
  <c r="BF252" i="109" s="1"/>
  <c r="BG252" i="109" s="1"/>
  <c r="BH252" i="109" s="1"/>
  <c r="BI252" i="109" s="1"/>
  <c r="BJ252" i="109" s="1"/>
  <c r="BK252" i="109" s="1"/>
  <c r="BL252" i="109" s="1"/>
  <c r="BM252" i="109" s="1"/>
  <c r="BN252" i="109" s="1"/>
  <c r="BO252" i="109" s="1"/>
  <c r="BP252" i="109" s="1"/>
  <c r="BQ252" i="109" s="1"/>
  <c r="BR252" i="109" s="1"/>
  <c r="BS252" i="109" s="1"/>
  <c r="BT252" i="109" s="1"/>
  <c r="BU252" i="109" s="1"/>
  <c r="BV252" i="109" s="1"/>
  <c r="AS252" i="109"/>
  <c r="AT252" i="109" s="1"/>
  <c r="AW251" i="109"/>
  <c r="AX251" i="109" s="1"/>
  <c r="AY251" i="109" s="1"/>
  <c r="AZ251" i="109" s="1"/>
  <c r="BA251" i="109" s="1"/>
  <c r="BB251" i="109" s="1"/>
  <c r="BC251" i="109" s="1"/>
  <c r="BD251" i="109" s="1"/>
  <c r="BE251" i="109" s="1"/>
  <c r="BF251" i="109" s="1"/>
  <c r="BG251" i="109" s="1"/>
  <c r="BH251" i="109" s="1"/>
  <c r="BI251" i="109" s="1"/>
  <c r="BJ251" i="109" s="1"/>
  <c r="BK251" i="109" s="1"/>
  <c r="BL251" i="109" s="1"/>
  <c r="BM251" i="109" s="1"/>
  <c r="BN251" i="109" s="1"/>
  <c r="BO251" i="109" s="1"/>
  <c r="BP251" i="109" s="1"/>
  <c r="BQ251" i="109" s="1"/>
  <c r="BR251" i="109" s="1"/>
  <c r="BS251" i="109" s="1"/>
  <c r="BT251" i="109" s="1"/>
  <c r="BU251" i="109" s="1"/>
  <c r="BV251" i="109" s="1"/>
  <c r="AS251" i="109"/>
  <c r="AT251" i="109" s="1"/>
  <c r="AU251" i="109" s="1"/>
  <c r="AV251" i="109" s="1"/>
  <c r="AU250" i="109"/>
  <c r="AV250" i="109" s="1"/>
  <c r="AW250" i="109" s="1"/>
  <c r="AX250" i="109" s="1"/>
  <c r="AY250" i="109" s="1"/>
  <c r="AZ250" i="109" s="1"/>
  <c r="BA250" i="109" s="1"/>
  <c r="BB250" i="109" s="1"/>
  <c r="BC250" i="109" s="1"/>
  <c r="BD250" i="109" s="1"/>
  <c r="BE250" i="109" s="1"/>
  <c r="BF250" i="109" s="1"/>
  <c r="BG250" i="109" s="1"/>
  <c r="BH250" i="109" s="1"/>
  <c r="BI250" i="109" s="1"/>
  <c r="BJ250" i="109" s="1"/>
  <c r="BK250" i="109" s="1"/>
  <c r="BL250" i="109" s="1"/>
  <c r="BM250" i="109" s="1"/>
  <c r="BN250" i="109" s="1"/>
  <c r="BO250" i="109" s="1"/>
  <c r="BP250" i="109" s="1"/>
  <c r="BQ250" i="109" s="1"/>
  <c r="BR250" i="109" s="1"/>
  <c r="BS250" i="109" s="1"/>
  <c r="BT250" i="109" s="1"/>
  <c r="BU250" i="109" s="1"/>
  <c r="BV250" i="109" s="1"/>
  <c r="AS250" i="109"/>
  <c r="AT250" i="109" s="1"/>
  <c r="AW249" i="109"/>
  <c r="AX249" i="109" s="1"/>
  <c r="AY249" i="109" s="1"/>
  <c r="AZ249" i="109" s="1"/>
  <c r="BA249" i="109" s="1"/>
  <c r="BB249" i="109" s="1"/>
  <c r="BC249" i="109" s="1"/>
  <c r="BD249" i="109" s="1"/>
  <c r="BE249" i="109" s="1"/>
  <c r="BF249" i="109" s="1"/>
  <c r="BG249" i="109" s="1"/>
  <c r="BH249" i="109" s="1"/>
  <c r="BI249" i="109" s="1"/>
  <c r="BJ249" i="109" s="1"/>
  <c r="BK249" i="109" s="1"/>
  <c r="BL249" i="109" s="1"/>
  <c r="BM249" i="109" s="1"/>
  <c r="BN249" i="109" s="1"/>
  <c r="BO249" i="109" s="1"/>
  <c r="BP249" i="109" s="1"/>
  <c r="BQ249" i="109" s="1"/>
  <c r="BR249" i="109" s="1"/>
  <c r="BS249" i="109" s="1"/>
  <c r="BT249" i="109" s="1"/>
  <c r="BU249" i="109" s="1"/>
  <c r="BV249" i="109" s="1"/>
  <c r="AS249" i="109"/>
  <c r="AT249" i="109" s="1"/>
  <c r="AU249" i="109" s="1"/>
  <c r="AV249" i="109" s="1"/>
  <c r="AU248" i="109"/>
  <c r="AV248" i="109" s="1"/>
  <c r="AW248" i="109" s="1"/>
  <c r="AX248" i="109" s="1"/>
  <c r="AY248" i="109" s="1"/>
  <c r="AZ248" i="109" s="1"/>
  <c r="BA248" i="109" s="1"/>
  <c r="BB248" i="109" s="1"/>
  <c r="BC248" i="109" s="1"/>
  <c r="BD248" i="109" s="1"/>
  <c r="BE248" i="109" s="1"/>
  <c r="BF248" i="109" s="1"/>
  <c r="BG248" i="109" s="1"/>
  <c r="BH248" i="109" s="1"/>
  <c r="BI248" i="109" s="1"/>
  <c r="BJ248" i="109" s="1"/>
  <c r="BK248" i="109" s="1"/>
  <c r="BL248" i="109" s="1"/>
  <c r="BM248" i="109" s="1"/>
  <c r="BN248" i="109" s="1"/>
  <c r="BO248" i="109" s="1"/>
  <c r="BP248" i="109" s="1"/>
  <c r="BQ248" i="109" s="1"/>
  <c r="BR248" i="109" s="1"/>
  <c r="BS248" i="109" s="1"/>
  <c r="BT248" i="109" s="1"/>
  <c r="BU248" i="109" s="1"/>
  <c r="BV248" i="109" s="1"/>
  <c r="AS248" i="109"/>
  <c r="AT248" i="109" s="1"/>
  <c r="AW247" i="109"/>
  <c r="AX247" i="109" s="1"/>
  <c r="AY247" i="109" s="1"/>
  <c r="AZ247" i="109" s="1"/>
  <c r="BA247" i="109" s="1"/>
  <c r="BB247" i="109" s="1"/>
  <c r="BC247" i="109" s="1"/>
  <c r="BD247" i="109" s="1"/>
  <c r="BE247" i="109" s="1"/>
  <c r="BF247" i="109" s="1"/>
  <c r="BG247" i="109" s="1"/>
  <c r="BH247" i="109" s="1"/>
  <c r="BI247" i="109" s="1"/>
  <c r="BJ247" i="109" s="1"/>
  <c r="BK247" i="109" s="1"/>
  <c r="BL247" i="109" s="1"/>
  <c r="BM247" i="109" s="1"/>
  <c r="BN247" i="109" s="1"/>
  <c r="BO247" i="109" s="1"/>
  <c r="BP247" i="109" s="1"/>
  <c r="BQ247" i="109" s="1"/>
  <c r="BR247" i="109" s="1"/>
  <c r="BS247" i="109" s="1"/>
  <c r="BT247" i="109" s="1"/>
  <c r="BU247" i="109" s="1"/>
  <c r="BV247" i="109" s="1"/>
  <c r="AS247" i="109"/>
  <c r="AT247" i="109" s="1"/>
  <c r="AU247" i="109" s="1"/>
  <c r="AV247" i="109" s="1"/>
  <c r="AU246" i="109"/>
  <c r="AV246" i="109" s="1"/>
  <c r="AW246" i="109" s="1"/>
  <c r="AX246" i="109" s="1"/>
  <c r="AY246" i="109" s="1"/>
  <c r="AZ246" i="109" s="1"/>
  <c r="BA246" i="109" s="1"/>
  <c r="BB246" i="109" s="1"/>
  <c r="BC246" i="109" s="1"/>
  <c r="BD246" i="109" s="1"/>
  <c r="BE246" i="109" s="1"/>
  <c r="BF246" i="109" s="1"/>
  <c r="BG246" i="109" s="1"/>
  <c r="BH246" i="109" s="1"/>
  <c r="BI246" i="109" s="1"/>
  <c r="BJ246" i="109" s="1"/>
  <c r="BK246" i="109" s="1"/>
  <c r="BL246" i="109" s="1"/>
  <c r="BM246" i="109" s="1"/>
  <c r="BN246" i="109" s="1"/>
  <c r="BO246" i="109" s="1"/>
  <c r="BP246" i="109" s="1"/>
  <c r="BQ246" i="109" s="1"/>
  <c r="BR246" i="109" s="1"/>
  <c r="BS246" i="109" s="1"/>
  <c r="BT246" i="109" s="1"/>
  <c r="BU246" i="109" s="1"/>
  <c r="BV246" i="109" s="1"/>
  <c r="AS246" i="109"/>
  <c r="AT246" i="109" s="1"/>
  <c r="AW245" i="109"/>
  <c r="AX245" i="109" s="1"/>
  <c r="AY245" i="109" s="1"/>
  <c r="AZ245" i="109" s="1"/>
  <c r="BA245" i="109" s="1"/>
  <c r="BB245" i="109" s="1"/>
  <c r="BC245" i="109" s="1"/>
  <c r="BD245" i="109" s="1"/>
  <c r="BE245" i="109" s="1"/>
  <c r="BF245" i="109" s="1"/>
  <c r="BG245" i="109" s="1"/>
  <c r="BH245" i="109" s="1"/>
  <c r="BI245" i="109" s="1"/>
  <c r="BJ245" i="109" s="1"/>
  <c r="BK245" i="109" s="1"/>
  <c r="BL245" i="109" s="1"/>
  <c r="BM245" i="109" s="1"/>
  <c r="BN245" i="109" s="1"/>
  <c r="BO245" i="109" s="1"/>
  <c r="BP245" i="109" s="1"/>
  <c r="BQ245" i="109" s="1"/>
  <c r="BR245" i="109" s="1"/>
  <c r="BS245" i="109" s="1"/>
  <c r="BT245" i="109" s="1"/>
  <c r="BU245" i="109" s="1"/>
  <c r="BV245" i="109" s="1"/>
  <c r="AS245" i="109"/>
  <c r="AT245" i="109" s="1"/>
  <c r="AU245" i="109" s="1"/>
  <c r="AV245" i="109" s="1"/>
  <c r="AU244" i="109"/>
  <c r="AV244" i="109" s="1"/>
  <c r="AW244" i="109" s="1"/>
  <c r="AX244" i="109" s="1"/>
  <c r="AY244" i="109" s="1"/>
  <c r="AZ244" i="109" s="1"/>
  <c r="BA244" i="109" s="1"/>
  <c r="BB244" i="109" s="1"/>
  <c r="BC244" i="109" s="1"/>
  <c r="BD244" i="109" s="1"/>
  <c r="BE244" i="109" s="1"/>
  <c r="BF244" i="109" s="1"/>
  <c r="BG244" i="109" s="1"/>
  <c r="BH244" i="109" s="1"/>
  <c r="BI244" i="109" s="1"/>
  <c r="BJ244" i="109" s="1"/>
  <c r="BK244" i="109" s="1"/>
  <c r="BL244" i="109" s="1"/>
  <c r="BM244" i="109" s="1"/>
  <c r="BN244" i="109" s="1"/>
  <c r="BO244" i="109" s="1"/>
  <c r="BP244" i="109" s="1"/>
  <c r="BQ244" i="109" s="1"/>
  <c r="BR244" i="109" s="1"/>
  <c r="BS244" i="109" s="1"/>
  <c r="BT244" i="109" s="1"/>
  <c r="BU244" i="109" s="1"/>
  <c r="BV244" i="109" s="1"/>
  <c r="AS244" i="109"/>
  <c r="AT244" i="109" s="1"/>
  <c r="AS243" i="109"/>
  <c r="AT243" i="109" s="1"/>
  <c r="AU243" i="109" s="1"/>
  <c r="AV243" i="109" s="1"/>
  <c r="AW243" i="109" s="1"/>
  <c r="AX243" i="109" s="1"/>
  <c r="AY243" i="109" s="1"/>
  <c r="AZ243" i="109" s="1"/>
  <c r="BA243" i="109" s="1"/>
  <c r="BB243" i="109" s="1"/>
  <c r="BC243" i="109" s="1"/>
  <c r="BD243" i="109" s="1"/>
  <c r="BE243" i="109" s="1"/>
  <c r="BF243" i="109" s="1"/>
  <c r="BG243" i="109" s="1"/>
  <c r="BH243" i="109" s="1"/>
  <c r="BI243" i="109" s="1"/>
  <c r="BJ243" i="109" s="1"/>
  <c r="BK243" i="109" s="1"/>
  <c r="BL243" i="109" s="1"/>
  <c r="BM243" i="109" s="1"/>
  <c r="BN243" i="109" s="1"/>
  <c r="BO243" i="109" s="1"/>
  <c r="BP243" i="109" s="1"/>
  <c r="BQ243" i="109" s="1"/>
  <c r="BR243" i="109" s="1"/>
  <c r="BS243" i="109" s="1"/>
  <c r="BT243" i="109" s="1"/>
  <c r="BU243" i="109" s="1"/>
  <c r="BV243" i="109" s="1"/>
  <c r="AS238" i="109"/>
  <c r="AT238" i="109" s="1"/>
  <c r="AU238" i="109" s="1"/>
  <c r="AV238" i="109" s="1"/>
  <c r="AW238" i="109" s="1"/>
  <c r="AX238" i="109" s="1"/>
  <c r="AY238" i="109" s="1"/>
  <c r="AZ238" i="109" s="1"/>
  <c r="BA238" i="109" s="1"/>
  <c r="BB238" i="109" s="1"/>
  <c r="BC238" i="109" s="1"/>
  <c r="BD238" i="109" s="1"/>
  <c r="BE238" i="109" s="1"/>
  <c r="BF238" i="109" s="1"/>
  <c r="BG238" i="109" s="1"/>
  <c r="BH238" i="109" s="1"/>
  <c r="BI238" i="109" s="1"/>
  <c r="BJ238" i="109" s="1"/>
  <c r="BK238" i="109" s="1"/>
  <c r="BL238" i="109" s="1"/>
  <c r="BM238" i="109" s="1"/>
  <c r="BN238" i="109" s="1"/>
  <c r="BO238" i="109" s="1"/>
  <c r="BP238" i="109" s="1"/>
  <c r="BQ238" i="109" s="1"/>
  <c r="BR238" i="109" s="1"/>
  <c r="BS238" i="109" s="1"/>
  <c r="BT238" i="109" s="1"/>
  <c r="BU238" i="109" s="1"/>
  <c r="BV238" i="109" s="1"/>
  <c r="AS237" i="109"/>
  <c r="AT237" i="109" s="1"/>
  <c r="AU237" i="109" s="1"/>
  <c r="AV237" i="109" s="1"/>
  <c r="AW237" i="109" s="1"/>
  <c r="AX237" i="109" s="1"/>
  <c r="AY237" i="109" s="1"/>
  <c r="AZ237" i="109" s="1"/>
  <c r="BA237" i="109" s="1"/>
  <c r="BB237" i="109" s="1"/>
  <c r="BC237" i="109" s="1"/>
  <c r="BD237" i="109" s="1"/>
  <c r="BE237" i="109" s="1"/>
  <c r="BF237" i="109" s="1"/>
  <c r="BG237" i="109" s="1"/>
  <c r="BH237" i="109" s="1"/>
  <c r="BI237" i="109" s="1"/>
  <c r="BJ237" i="109" s="1"/>
  <c r="BK237" i="109" s="1"/>
  <c r="BL237" i="109" s="1"/>
  <c r="BM237" i="109" s="1"/>
  <c r="BN237" i="109" s="1"/>
  <c r="BO237" i="109" s="1"/>
  <c r="BP237" i="109" s="1"/>
  <c r="BQ237" i="109" s="1"/>
  <c r="BR237" i="109" s="1"/>
  <c r="BS237" i="109" s="1"/>
  <c r="BT237" i="109" s="1"/>
  <c r="BU237" i="109" s="1"/>
  <c r="BV237" i="109" s="1"/>
  <c r="AS236" i="109"/>
  <c r="AT236" i="109" s="1"/>
  <c r="AU236" i="109" s="1"/>
  <c r="AV236" i="109" s="1"/>
  <c r="AW236" i="109" s="1"/>
  <c r="AX236" i="109" s="1"/>
  <c r="AY236" i="109" s="1"/>
  <c r="AZ236" i="109" s="1"/>
  <c r="BA236" i="109" s="1"/>
  <c r="BB236" i="109" s="1"/>
  <c r="BC236" i="109" s="1"/>
  <c r="BD236" i="109" s="1"/>
  <c r="BE236" i="109" s="1"/>
  <c r="BF236" i="109" s="1"/>
  <c r="BG236" i="109" s="1"/>
  <c r="BH236" i="109" s="1"/>
  <c r="BI236" i="109" s="1"/>
  <c r="BJ236" i="109" s="1"/>
  <c r="BK236" i="109" s="1"/>
  <c r="BL236" i="109" s="1"/>
  <c r="BM236" i="109" s="1"/>
  <c r="BN236" i="109" s="1"/>
  <c r="BO236" i="109" s="1"/>
  <c r="BP236" i="109" s="1"/>
  <c r="BQ236" i="109" s="1"/>
  <c r="BR236" i="109" s="1"/>
  <c r="BS236" i="109" s="1"/>
  <c r="BT236" i="109" s="1"/>
  <c r="BU236" i="109" s="1"/>
  <c r="BV236" i="109" s="1"/>
  <c r="AS235" i="109"/>
  <c r="AT235" i="109" s="1"/>
  <c r="AU235" i="109" s="1"/>
  <c r="AV235" i="109" s="1"/>
  <c r="AW235" i="109" s="1"/>
  <c r="AX235" i="109" s="1"/>
  <c r="AY235" i="109" s="1"/>
  <c r="AZ235" i="109" s="1"/>
  <c r="BA235" i="109" s="1"/>
  <c r="BB235" i="109" s="1"/>
  <c r="BC235" i="109" s="1"/>
  <c r="BD235" i="109" s="1"/>
  <c r="BE235" i="109" s="1"/>
  <c r="BF235" i="109" s="1"/>
  <c r="BG235" i="109" s="1"/>
  <c r="BH235" i="109" s="1"/>
  <c r="BI235" i="109" s="1"/>
  <c r="BJ235" i="109" s="1"/>
  <c r="BK235" i="109" s="1"/>
  <c r="BL235" i="109" s="1"/>
  <c r="BM235" i="109" s="1"/>
  <c r="BN235" i="109" s="1"/>
  <c r="BO235" i="109" s="1"/>
  <c r="BP235" i="109" s="1"/>
  <c r="BQ235" i="109" s="1"/>
  <c r="BR235" i="109" s="1"/>
  <c r="BS235" i="109" s="1"/>
  <c r="BT235" i="109" s="1"/>
  <c r="BU235" i="109" s="1"/>
  <c r="BV235" i="109" s="1"/>
  <c r="AS234" i="109"/>
  <c r="AT234" i="109" s="1"/>
  <c r="AU234" i="109" s="1"/>
  <c r="AV234" i="109" s="1"/>
  <c r="AW234" i="109" s="1"/>
  <c r="AX234" i="109" s="1"/>
  <c r="AY234" i="109" s="1"/>
  <c r="AZ234" i="109" s="1"/>
  <c r="BA234" i="109" s="1"/>
  <c r="BB234" i="109" s="1"/>
  <c r="BC234" i="109" s="1"/>
  <c r="BD234" i="109" s="1"/>
  <c r="BE234" i="109" s="1"/>
  <c r="BF234" i="109" s="1"/>
  <c r="BG234" i="109" s="1"/>
  <c r="BH234" i="109" s="1"/>
  <c r="BI234" i="109" s="1"/>
  <c r="BJ234" i="109" s="1"/>
  <c r="BK234" i="109" s="1"/>
  <c r="BL234" i="109" s="1"/>
  <c r="BM234" i="109" s="1"/>
  <c r="BN234" i="109" s="1"/>
  <c r="BO234" i="109" s="1"/>
  <c r="BP234" i="109" s="1"/>
  <c r="BQ234" i="109" s="1"/>
  <c r="BR234" i="109" s="1"/>
  <c r="BS234" i="109" s="1"/>
  <c r="BT234" i="109" s="1"/>
  <c r="BU234" i="109" s="1"/>
  <c r="BV234" i="109" s="1"/>
  <c r="AS233" i="109"/>
  <c r="AT233" i="109" s="1"/>
  <c r="AU233" i="109" s="1"/>
  <c r="AV233" i="109" s="1"/>
  <c r="AW233" i="109" s="1"/>
  <c r="AX233" i="109" s="1"/>
  <c r="AY233" i="109" s="1"/>
  <c r="AZ233" i="109" s="1"/>
  <c r="BA233" i="109" s="1"/>
  <c r="BB233" i="109" s="1"/>
  <c r="BC233" i="109" s="1"/>
  <c r="BD233" i="109" s="1"/>
  <c r="BE233" i="109" s="1"/>
  <c r="BF233" i="109" s="1"/>
  <c r="BG233" i="109" s="1"/>
  <c r="BH233" i="109" s="1"/>
  <c r="BI233" i="109" s="1"/>
  <c r="BJ233" i="109" s="1"/>
  <c r="BK233" i="109" s="1"/>
  <c r="BL233" i="109" s="1"/>
  <c r="BM233" i="109" s="1"/>
  <c r="BN233" i="109" s="1"/>
  <c r="BO233" i="109" s="1"/>
  <c r="BP233" i="109" s="1"/>
  <c r="BQ233" i="109" s="1"/>
  <c r="BR233" i="109" s="1"/>
  <c r="BS233" i="109" s="1"/>
  <c r="BT233" i="109" s="1"/>
  <c r="BU233" i="109" s="1"/>
  <c r="BV233" i="109" s="1"/>
  <c r="AS232" i="109"/>
  <c r="AT232" i="109" s="1"/>
  <c r="AU232" i="109" s="1"/>
  <c r="AV232" i="109" s="1"/>
  <c r="AW232" i="109" s="1"/>
  <c r="AX232" i="109" s="1"/>
  <c r="AY232" i="109" s="1"/>
  <c r="AZ232" i="109" s="1"/>
  <c r="BA232" i="109" s="1"/>
  <c r="BB232" i="109" s="1"/>
  <c r="BC232" i="109" s="1"/>
  <c r="BD232" i="109" s="1"/>
  <c r="BE232" i="109" s="1"/>
  <c r="BF232" i="109" s="1"/>
  <c r="BG232" i="109" s="1"/>
  <c r="BH232" i="109" s="1"/>
  <c r="BI232" i="109" s="1"/>
  <c r="BJ232" i="109" s="1"/>
  <c r="BK232" i="109" s="1"/>
  <c r="BL232" i="109" s="1"/>
  <c r="BM232" i="109" s="1"/>
  <c r="BN232" i="109" s="1"/>
  <c r="BO232" i="109" s="1"/>
  <c r="BP232" i="109" s="1"/>
  <c r="BQ232" i="109" s="1"/>
  <c r="BR232" i="109" s="1"/>
  <c r="BS232" i="109" s="1"/>
  <c r="BT232" i="109" s="1"/>
  <c r="BU232" i="109" s="1"/>
  <c r="BV232" i="109" s="1"/>
  <c r="AS231" i="109"/>
  <c r="AT231" i="109" s="1"/>
  <c r="AU231" i="109" s="1"/>
  <c r="AV231" i="109" s="1"/>
  <c r="AW231" i="109" s="1"/>
  <c r="AX231" i="109" s="1"/>
  <c r="AY231" i="109" s="1"/>
  <c r="AZ231" i="109" s="1"/>
  <c r="BA231" i="109" s="1"/>
  <c r="BB231" i="109" s="1"/>
  <c r="BC231" i="109" s="1"/>
  <c r="BD231" i="109" s="1"/>
  <c r="BE231" i="109" s="1"/>
  <c r="BF231" i="109" s="1"/>
  <c r="BG231" i="109" s="1"/>
  <c r="BH231" i="109" s="1"/>
  <c r="BI231" i="109" s="1"/>
  <c r="BJ231" i="109" s="1"/>
  <c r="BK231" i="109" s="1"/>
  <c r="BL231" i="109" s="1"/>
  <c r="BM231" i="109" s="1"/>
  <c r="BN231" i="109" s="1"/>
  <c r="BO231" i="109" s="1"/>
  <c r="BP231" i="109" s="1"/>
  <c r="BQ231" i="109" s="1"/>
  <c r="BR231" i="109" s="1"/>
  <c r="BS231" i="109" s="1"/>
  <c r="BT231" i="109" s="1"/>
  <c r="BU231" i="109" s="1"/>
  <c r="BV231" i="109" s="1"/>
  <c r="AS230" i="109"/>
  <c r="AT230" i="109" s="1"/>
  <c r="AU230" i="109" s="1"/>
  <c r="AV230" i="109" s="1"/>
  <c r="AW230" i="109" s="1"/>
  <c r="AX230" i="109" s="1"/>
  <c r="AY230" i="109" s="1"/>
  <c r="AZ230" i="109" s="1"/>
  <c r="BA230" i="109" s="1"/>
  <c r="BB230" i="109" s="1"/>
  <c r="BC230" i="109" s="1"/>
  <c r="BD230" i="109" s="1"/>
  <c r="BE230" i="109" s="1"/>
  <c r="BF230" i="109" s="1"/>
  <c r="BG230" i="109" s="1"/>
  <c r="BH230" i="109" s="1"/>
  <c r="BI230" i="109" s="1"/>
  <c r="BJ230" i="109" s="1"/>
  <c r="BK230" i="109" s="1"/>
  <c r="BL230" i="109" s="1"/>
  <c r="BM230" i="109" s="1"/>
  <c r="BN230" i="109" s="1"/>
  <c r="BO230" i="109" s="1"/>
  <c r="BP230" i="109" s="1"/>
  <c r="BQ230" i="109" s="1"/>
  <c r="BR230" i="109" s="1"/>
  <c r="BS230" i="109" s="1"/>
  <c r="BT230" i="109" s="1"/>
  <c r="BU230" i="109" s="1"/>
  <c r="BV230" i="109" s="1"/>
  <c r="AS229" i="109"/>
  <c r="AT229" i="109" s="1"/>
  <c r="AU229" i="109" s="1"/>
  <c r="AV229" i="109" s="1"/>
  <c r="AW229" i="109" s="1"/>
  <c r="AX229" i="109" s="1"/>
  <c r="AY229" i="109" s="1"/>
  <c r="AZ229" i="109" s="1"/>
  <c r="BA229" i="109" s="1"/>
  <c r="BB229" i="109" s="1"/>
  <c r="BC229" i="109" s="1"/>
  <c r="BD229" i="109" s="1"/>
  <c r="BE229" i="109" s="1"/>
  <c r="BF229" i="109" s="1"/>
  <c r="BG229" i="109" s="1"/>
  <c r="BH229" i="109" s="1"/>
  <c r="BI229" i="109" s="1"/>
  <c r="BJ229" i="109" s="1"/>
  <c r="BK229" i="109" s="1"/>
  <c r="BL229" i="109" s="1"/>
  <c r="BM229" i="109" s="1"/>
  <c r="BN229" i="109" s="1"/>
  <c r="BO229" i="109" s="1"/>
  <c r="BP229" i="109" s="1"/>
  <c r="BQ229" i="109" s="1"/>
  <c r="BR229" i="109" s="1"/>
  <c r="BS229" i="109" s="1"/>
  <c r="BT229" i="109" s="1"/>
  <c r="BU229" i="109" s="1"/>
  <c r="BV229" i="109" s="1"/>
  <c r="AW228" i="109"/>
  <c r="AX228" i="109" s="1"/>
  <c r="AY228" i="109" s="1"/>
  <c r="AZ228" i="109" s="1"/>
  <c r="BA228" i="109" s="1"/>
  <c r="BB228" i="109" s="1"/>
  <c r="BC228" i="109" s="1"/>
  <c r="BD228" i="109" s="1"/>
  <c r="BE228" i="109" s="1"/>
  <c r="BF228" i="109" s="1"/>
  <c r="BG228" i="109" s="1"/>
  <c r="BH228" i="109" s="1"/>
  <c r="BI228" i="109" s="1"/>
  <c r="BJ228" i="109" s="1"/>
  <c r="BK228" i="109" s="1"/>
  <c r="BL228" i="109" s="1"/>
  <c r="BM228" i="109" s="1"/>
  <c r="BN228" i="109" s="1"/>
  <c r="BO228" i="109" s="1"/>
  <c r="BP228" i="109" s="1"/>
  <c r="BQ228" i="109" s="1"/>
  <c r="BR228" i="109" s="1"/>
  <c r="BS228" i="109" s="1"/>
  <c r="BT228" i="109" s="1"/>
  <c r="BU228" i="109" s="1"/>
  <c r="BV228" i="109" s="1"/>
  <c r="AS228" i="109"/>
  <c r="AT228" i="109" s="1"/>
  <c r="AU228" i="109" s="1"/>
  <c r="AV228" i="109" s="1"/>
  <c r="AS227" i="109"/>
  <c r="AT227" i="109" s="1"/>
  <c r="AU227" i="109" s="1"/>
  <c r="AV227" i="109" s="1"/>
  <c r="AW227" i="109" s="1"/>
  <c r="AX227" i="109" s="1"/>
  <c r="AY227" i="109" s="1"/>
  <c r="AZ227" i="109" s="1"/>
  <c r="BA227" i="109" s="1"/>
  <c r="BB227" i="109" s="1"/>
  <c r="BC227" i="109" s="1"/>
  <c r="BD227" i="109" s="1"/>
  <c r="BE227" i="109" s="1"/>
  <c r="BF227" i="109" s="1"/>
  <c r="BG227" i="109" s="1"/>
  <c r="BH227" i="109" s="1"/>
  <c r="BI227" i="109" s="1"/>
  <c r="BJ227" i="109" s="1"/>
  <c r="BK227" i="109" s="1"/>
  <c r="BL227" i="109" s="1"/>
  <c r="BM227" i="109" s="1"/>
  <c r="BN227" i="109" s="1"/>
  <c r="BO227" i="109" s="1"/>
  <c r="BP227" i="109" s="1"/>
  <c r="BQ227" i="109" s="1"/>
  <c r="BR227" i="109" s="1"/>
  <c r="BS227" i="109" s="1"/>
  <c r="BT227" i="109" s="1"/>
  <c r="BU227" i="109" s="1"/>
  <c r="BV227" i="109" s="1"/>
  <c r="AT226" i="109"/>
  <c r="AU226" i="109" s="1"/>
  <c r="AV226" i="109" s="1"/>
  <c r="AW226" i="109" s="1"/>
  <c r="AX226" i="109" s="1"/>
  <c r="AY226" i="109" s="1"/>
  <c r="AZ226" i="109" s="1"/>
  <c r="BA226" i="109" s="1"/>
  <c r="BB226" i="109" s="1"/>
  <c r="BC226" i="109" s="1"/>
  <c r="BD226" i="109" s="1"/>
  <c r="BE226" i="109" s="1"/>
  <c r="BF226" i="109" s="1"/>
  <c r="BG226" i="109" s="1"/>
  <c r="BH226" i="109" s="1"/>
  <c r="BI226" i="109" s="1"/>
  <c r="BJ226" i="109" s="1"/>
  <c r="BK226" i="109" s="1"/>
  <c r="BL226" i="109" s="1"/>
  <c r="BM226" i="109" s="1"/>
  <c r="BN226" i="109" s="1"/>
  <c r="BO226" i="109" s="1"/>
  <c r="BP226" i="109" s="1"/>
  <c r="BQ226" i="109" s="1"/>
  <c r="BR226" i="109" s="1"/>
  <c r="BS226" i="109" s="1"/>
  <c r="BT226" i="109" s="1"/>
  <c r="BU226" i="109" s="1"/>
  <c r="BV226" i="109" s="1"/>
  <c r="AS226" i="109"/>
  <c r="AV225" i="109"/>
  <c r="AW225" i="109" s="1"/>
  <c r="AX225" i="109" s="1"/>
  <c r="AY225" i="109" s="1"/>
  <c r="AZ225" i="109" s="1"/>
  <c r="BA225" i="109" s="1"/>
  <c r="BB225" i="109" s="1"/>
  <c r="BC225" i="109" s="1"/>
  <c r="BD225" i="109" s="1"/>
  <c r="BE225" i="109" s="1"/>
  <c r="BF225" i="109" s="1"/>
  <c r="BG225" i="109" s="1"/>
  <c r="BH225" i="109" s="1"/>
  <c r="BI225" i="109" s="1"/>
  <c r="BJ225" i="109" s="1"/>
  <c r="BK225" i="109" s="1"/>
  <c r="BL225" i="109" s="1"/>
  <c r="BM225" i="109" s="1"/>
  <c r="BN225" i="109" s="1"/>
  <c r="BO225" i="109" s="1"/>
  <c r="BP225" i="109" s="1"/>
  <c r="BQ225" i="109" s="1"/>
  <c r="BR225" i="109" s="1"/>
  <c r="BS225" i="109" s="1"/>
  <c r="BT225" i="109" s="1"/>
  <c r="BU225" i="109" s="1"/>
  <c r="BV225" i="109" s="1"/>
  <c r="AS225" i="109"/>
  <c r="AT225" i="109" s="1"/>
  <c r="AU225" i="109" s="1"/>
  <c r="AX224" i="109"/>
  <c r="AY224" i="109" s="1"/>
  <c r="AZ224" i="109" s="1"/>
  <c r="BA224" i="109" s="1"/>
  <c r="BB224" i="109" s="1"/>
  <c r="BC224" i="109" s="1"/>
  <c r="BD224" i="109" s="1"/>
  <c r="BE224" i="109" s="1"/>
  <c r="BF224" i="109" s="1"/>
  <c r="BG224" i="109" s="1"/>
  <c r="BH224" i="109" s="1"/>
  <c r="BI224" i="109" s="1"/>
  <c r="BJ224" i="109" s="1"/>
  <c r="BK224" i="109" s="1"/>
  <c r="BL224" i="109" s="1"/>
  <c r="BM224" i="109" s="1"/>
  <c r="BN224" i="109" s="1"/>
  <c r="BO224" i="109" s="1"/>
  <c r="BP224" i="109" s="1"/>
  <c r="BQ224" i="109" s="1"/>
  <c r="BR224" i="109" s="1"/>
  <c r="BS224" i="109" s="1"/>
  <c r="BT224" i="109" s="1"/>
  <c r="BU224" i="109" s="1"/>
  <c r="BV224" i="109" s="1"/>
  <c r="AT224" i="109"/>
  <c r="AU224" i="109" s="1"/>
  <c r="AV224" i="109" s="1"/>
  <c r="AW224" i="109" s="1"/>
  <c r="AS224" i="109"/>
  <c r="AS223" i="109"/>
  <c r="AT223" i="109" s="1"/>
  <c r="AU223" i="109" s="1"/>
  <c r="AV223" i="109" s="1"/>
  <c r="AW223" i="109" s="1"/>
  <c r="AX223" i="109" s="1"/>
  <c r="AY223" i="109" s="1"/>
  <c r="AZ223" i="109" s="1"/>
  <c r="BA223" i="109" s="1"/>
  <c r="BB223" i="109" s="1"/>
  <c r="BC223" i="109" s="1"/>
  <c r="BD223" i="109" s="1"/>
  <c r="BE223" i="109" s="1"/>
  <c r="BF223" i="109" s="1"/>
  <c r="BG223" i="109" s="1"/>
  <c r="BH223" i="109" s="1"/>
  <c r="BI223" i="109" s="1"/>
  <c r="BJ223" i="109" s="1"/>
  <c r="BK223" i="109" s="1"/>
  <c r="BL223" i="109" s="1"/>
  <c r="BM223" i="109" s="1"/>
  <c r="BN223" i="109" s="1"/>
  <c r="BO223" i="109" s="1"/>
  <c r="BP223" i="109" s="1"/>
  <c r="BQ223" i="109" s="1"/>
  <c r="BR223" i="109" s="1"/>
  <c r="BS223" i="109" s="1"/>
  <c r="BT223" i="109" s="1"/>
  <c r="BU223" i="109" s="1"/>
  <c r="BV223" i="109" s="1"/>
  <c r="AT222" i="109"/>
  <c r="AU222" i="109" s="1"/>
  <c r="AV222" i="109" s="1"/>
  <c r="AW222" i="109" s="1"/>
  <c r="AX222" i="109" s="1"/>
  <c r="AY222" i="109" s="1"/>
  <c r="AZ222" i="109" s="1"/>
  <c r="BA222" i="109" s="1"/>
  <c r="BB222" i="109" s="1"/>
  <c r="BC222" i="109" s="1"/>
  <c r="BD222" i="109" s="1"/>
  <c r="BE222" i="109" s="1"/>
  <c r="BF222" i="109" s="1"/>
  <c r="BG222" i="109" s="1"/>
  <c r="BH222" i="109" s="1"/>
  <c r="BI222" i="109" s="1"/>
  <c r="BJ222" i="109" s="1"/>
  <c r="BK222" i="109" s="1"/>
  <c r="BL222" i="109" s="1"/>
  <c r="BM222" i="109" s="1"/>
  <c r="BN222" i="109" s="1"/>
  <c r="BO222" i="109" s="1"/>
  <c r="BP222" i="109" s="1"/>
  <c r="BQ222" i="109" s="1"/>
  <c r="BR222" i="109" s="1"/>
  <c r="BS222" i="109" s="1"/>
  <c r="BT222" i="109" s="1"/>
  <c r="BU222" i="109" s="1"/>
  <c r="BV222" i="109" s="1"/>
  <c r="AS222" i="109"/>
  <c r="AV221" i="109"/>
  <c r="AW221" i="109" s="1"/>
  <c r="AX221" i="109" s="1"/>
  <c r="AY221" i="109" s="1"/>
  <c r="AZ221" i="109" s="1"/>
  <c r="BA221" i="109" s="1"/>
  <c r="BB221" i="109" s="1"/>
  <c r="BC221" i="109" s="1"/>
  <c r="BD221" i="109" s="1"/>
  <c r="BE221" i="109" s="1"/>
  <c r="BF221" i="109" s="1"/>
  <c r="BG221" i="109" s="1"/>
  <c r="BH221" i="109" s="1"/>
  <c r="BI221" i="109" s="1"/>
  <c r="BJ221" i="109" s="1"/>
  <c r="BK221" i="109" s="1"/>
  <c r="BL221" i="109" s="1"/>
  <c r="BM221" i="109" s="1"/>
  <c r="BN221" i="109" s="1"/>
  <c r="BO221" i="109" s="1"/>
  <c r="BP221" i="109" s="1"/>
  <c r="BQ221" i="109" s="1"/>
  <c r="BR221" i="109" s="1"/>
  <c r="BS221" i="109" s="1"/>
  <c r="BT221" i="109" s="1"/>
  <c r="BU221" i="109" s="1"/>
  <c r="BV221" i="109" s="1"/>
  <c r="AS221" i="109"/>
  <c r="AT221" i="109" s="1"/>
  <c r="AU221" i="109" s="1"/>
  <c r="BB220" i="109"/>
  <c r="BC220" i="109" s="1"/>
  <c r="BD220" i="109" s="1"/>
  <c r="BE220" i="109" s="1"/>
  <c r="BF220" i="109" s="1"/>
  <c r="BG220" i="109" s="1"/>
  <c r="BH220" i="109" s="1"/>
  <c r="BI220" i="109" s="1"/>
  <c r="BJ220" i="109" s="1"/>
  <c r="BK220" i="109" s="1"/>
  <c r="BL220" i="109" s="1"/>
  <c r="BM220" i="109" s="1"/>
  <c r="BN220" i="109" s="1"/>
  <c r="BO220" i="109" s="1"/>
  <c r="BP220" i="109" s="1"/>
  <c r="BQ220" i="109" s="1"/>
  <c r="BR220" i="109" s="1"/>
  <c r="BS220" i="109" s="1"/>
  <c r="BT220" i="109" s="1"/>
  <c r="BU220" i="109" s="1"/>
  <c r="BV220" i="109" s="1"/>
  <c r="AT220" i="109"/>
  <c r="AU220" i="109" s="1"/>
  <c r="AV220" i="109" s="1"/>
  <c r="AW220" i="109" s="1"/>
  <c r="AX220" i="109" s="1"/>
  <c r="AY220" i="109" s="1"/>
  <c r="AZ220" i="109" s="1"/>
  <c r="BA220" i="109" s="1"/>
  <c r="AS220" i="109"/>
  <c r="AX219" i="109"/>
  <c r="AY219" i="109" s="1"/>
  <c r="AZ219" i="109" s="1"/>
  <c r="BA219" i="109" s="1"/>
  <c r="BB219" i="109" s="1"/>
  <c r="BC219" i="109" s="1"/>
  <c r="BD219" i="109" s="1"/>
  <c r="BE219" i="109" s="1"/>
  <c r="BF219" i="109" s="1"/>
  <c r="BG219" i="109" s="1"/>
  <c r="BH219" i="109" s="1"/>
  <c r="BI219" i="109" s="1"/>
  <c r="BJ219" i="109" s="1"/>
  <c r="BK219" i="109" s="1"/>
  <c r="BL219" i="109" s="1"/>
  <c r="BM219" i="109" s="1"/>
  <c r="BN219" i="109" s="1"/>
  <c r="BO219" i="109" s="1"/>
  <c r="BP219" i="109" s="1"/>
  <c r="BQ219" i="109" s="1"/>
  <c r="BR219" i="109" s="1"/>
  <c r="BS219" i="109" s="1"/>
  <c r="BT219" i="109" s="1"/>
  <c r="BU219" i="109" s="1"/>
  <c r="BV219" i="109" s="1"/>
  <c r="AT219" i="109"/>
  <c r="AU219" i="109" s="1"/>
  <c r="AV219" i="109" s="1"/>
  <c r="AW219" i="109" s="1"/>
  <c r="AS219" i="109"/>
  <c r="AT218" i="109"/>
  <c r="AU218" i="109" s="1"/>
  <c r="AV218" i="109" s="1"/>
  <c r="AW218" i="109" s="1"/>
  <c r="AX218" i="109" s="1"/>
  <c r="AY218" i="109" s="1"/>
  <c r="AZ218" i="109" s="1"/>
  <c r="BA218" i="109" s="1"/>
  <c r="BB218" i="109" s="1"/>
  <c r="BC218" i="109" s="1"/>
  <c r="BD218" i="109" s="1"/>
  <c r="BE218" i="109" s="1"/>
  <c r="BF218" i="109" s="1"/>
  <c r="BG218" i="109" s="1"/>
  <c r="BH218" i="109" s="1"/>
  <c r="BI218" i="109" s="1"/>
  <c r="BJ218" i="109" s="1"/>
  <c r="BK218" i="109" s="1"/>
  <c r="BL218" i="109" s="1"/>
  <c r="BM218" i="109" s="1"/>
  <c r="BN218" i="109" s="1"/>
  <c r="BO218" i="109" s="1"/>
  <c r="BP218" i="109" s="1"/>
  <c r="BQ218" i="109" s="1"/>
  <c r="BR218" i="109" s="1"/>
  <c r="BS218" i="109" s="1"/>
  <c r="BT218" i="109" s="1"/>
  <c r="BU218" i="109" s="1"/>
  <c r="BV218" i="109" s="1"/>
  <c r="AS218" i="109"/>
  <c r="AX217" i="109"/>
  <c r="AY217" i="109" s="1"/>
  <c r="AZ217" i="109" s="1"/>
  <c r="BA217" i="109" s="1"/>
  <c r="BB217" i="109" s="1"/>
  <c r="BC217" i="109" s="1"/>
  <c r="BD217" i="109" s="1"/>
  <c r="BE217" i="109" s="1"/>
  <c r="BF217" i="109" s="1"/>
  <c r="BG217" i="109" s="1"/>
  <c r="BH217" i="109" s="1"/>
  <c r="BI217" i="109" s="1"/>
  <c r="BJ217" i="109" s="1"/>
  <c r="BK217" i="109" s="1"/>
  <c r="BL217" i="109" s="1"/>
  <c r="BM217" i="109" s="1"/>
  <c r="BN217" i="109" s="1"/>
  <c r="BO217" i="109" s="1"/>
  <c r="BP217" i="109" s="1"/>
  <c r="BQ217" i="109" s="1"/>
  <c r="BR217" i="109" s="1"/>
  <c r="BS217" i="109" s="1"/>
  <c r="BT217" i="109" s="1"/>
  <c r="BU217" i="109" s="1"/>
  <c r="BV217" i="109" s="1"/>
  <c r="AT217" i="109"/>
  <c r="AU217" i="109" s="1"/>
  <c r="AV217" i="109" s="1"/>
  <c r="AW217" i="109" s="1"/>
  <c r="AS217" i="109"/>
  <c r="AT216" i="109"/>
  <c r="AU216" i="109" s="1"/>
  <c r="AV216" i="109" s="1"/>
  <c r="AW216" i="109" s="1"/>
  <c r="AX216" i="109" s="1"/>
  <c r="AY216" i="109" s="1"/>
  <c r="AZ216" i="109" s="1"/>
  <c r="BA216" i="109" s="1"/>
  <c r="BB216" i="109" s="1"/>
  <c r="BC216" i="109" s="1"/>
  <c r="BD216" i="109" s="1"/>
  <c r="BE216" i="109" s="1"/>
  <c r="BF216" i="109" s="1"/>
  <c r="BG216" i="109" s="1"/>
  <c r="BH216" i="109" s="1"/>
  <c r="BI216" i="109" s="1"/>
  <c r="BJ216" i="109" s="1"/>
  <c r="BK216" i="109" s="1"/>
  <c r="BL216" i="109" s="1"/>
  <c r="BM216" i="109" s="1"/>
  <c r="BN216" i="109" s="1"/>
  <c r="BO216" i="109" s="1"/>
  <c r="BP216" i="109" s="1"/>
  <c r="BQ216" i="109" s="1"/>
  <c r="BR216" i="109" s="1"/>
  <c r="BS216" i="109" s="1"/>
  <c r="BT216" i="109" s="1"/>
  <c r="BU216" i="109" s="1"/>
  <c r="BV216" i="109" s="1"/>
  <c r="AS216" i="109"/>
  <c r="AX215" i="109"/>
  <c r="AY215" i="109" s="1"/>
  <c r="AZ215" i="109" s="1"/>
  <c r="BA215" i="109" s="1"/>
  <c r="BB215" i="109" s="1"/>
  <c r="BC215" i="109" s="1"/>
  <c r="BD215" i="109" s="1"/>
  <c r="BE215" i="109" s="1"/>
  <c r="BF215" i="109" s="1"/>
  <c r="BG215" i="109" s="1"/>
  <c r="BH215" i="109" s="1"/>
  <c r="BI215" i="109" s="1"/>
  <c r="BJ215" i="109" s="1"/>
  <c r="BK215" i="109" s="1"/>
  <c r="BL215" i="109" s="1"/>
  <c r="BM215" i="109" s="1"/>
  <c r="BN215" i="109" s="1"/>
  <c r="BO215" i="109" s="1"/>
  <c r="BP215" i="109" s="1"/>
  <c r="BQ215" i="109" s="1"/>
  <c r="BR215" i="109" s="1"/>
  <c r="BS215" i="109" s="1"/>
  <c r="BT215" i="109" s="1"/>
  <c r="BU215" i="109" s="1"/>
  <c r="BV215" i="109" s="1"/>
  <c r="AT215" i="109"/>
  <c r="AU215" i="109" s="1"/>
  <c r="AV215" i="109" s="1"/>
  <c r="AW215" i="109" s="1"/>
  <c r="AS215" i="109"/>
  <c r="AT214" i="109"/>
  <c r="AU214" i="109" s="1"/>
  <c r="AV214" i="109" s="1"/>
  <c r="AW214" i="109" s="1"/>
  <c r="AX214" i="109" s="1"/>
  <c r="AY214" i="109" s="1"/>
  <c r="AZ214" i="109" s="1"/>
  <c r="BA214" i="109" s="1"/>
  <c r="BB214" i="109" s="1"/>
  <c r="BC214" i="109" s="1"/>
  <c r="BD214" i="109" s="1"/>
  <c r="BE214" i="109" s="1"/>
  <c r="BF214" i="109" s="1"/>
  <c r="BG214" i="109" s="1"/>
  <c r="BH214" i="109" s="1"/>
  <c r="BI214" i="109" s="1"/>
  <c r="BJ214" i="109" s="1"/>
  <c r="BK214" i="109" s="1"/>
  <c r="BL214" i="109" s="1"/>
  <c r="BM214" i="109" s="1"/>
  <c r="BN214" i="109" s="1"/>
  <c r="BO214" i="109" s="1"/>
  <c r="BP214" i="109" s="1"/>
  <c r="BQ214" i="109" s="1"/>
  <c r="BR214" i="109" s="1"/>
  <c r="BS214" i="109" s="1"/>
  <c r="BT214" i="109" s="1"/>
  <c r="BU214" i="109" s="1"/>
  <c r="BV214" i="109" s="1"/>
  <c r="AS214" i="109"/>
  <c r="AX213" i="109"/>
  <c r="AY213" i="109" s="1"/>
  <c r="AZ213" i="109" s="1"/>
  <c r="BA213" i="109" s="1"/>
  <c r="BB213" i="109" s="1"/>
  <c r="BC213" i="109" s="1"/>
  <c r="BD213" i="109" s="1"/>
  <c r="BE213" i="109" s="1"/>
  <c r="BF213" i="109" s="1"/>
  <c r="BG213" i="109" s="1"/>
  <c r="BH213" i="109" s="1"/>
  <c r="BI213" i="109" s="1"/>
  <c r="BJ213" i="109" s="1"/>
  <c r="BK213" i="109" s="1"/>
  <c r="BL213" i="109" s="1"/>
  <c r="BM213" i="109" s="1"/>
  <c r="BN213" i="109" s="1"/>
  <c r="BO213" i="109" s="1"/>
  <c r="BP213" i="109" s="1"/>
  <c r="BQ213" i="109" s="1"/>
  <c r="BR213" i="109" s="1"/>
  <c r="BS213" i="109" s="1"/>
  <c r="BT213" i="109" s="1"/>
  <c r="BU213" i="109" s="1"/>
  <c r="BV213" i="109" s="1"/>
  <c r="AT213" i="109"/>
  <c r="AU213" i="109" s="1"/>
  <c r="AV213" i="109" s="1"/>
  <c r="AW213" i="109" s="1"/>
  <c r="AS213" i="109"/>
  <c r="AT212" i="109"/>
  <c r="AU212" i="109" s="1"/>
  <c r="AV212" i="109" s="1"/>
  <c r="AW212" i="109" s="1"/>
  <c r="AX212" i="109" s="1"/>
  <c r="AY212" i="109" s="1"/>
  <c r="AZ212" i="109" s="1"/>
  <c r="BA212" i="109" s="1"/>
  <c r="BB212" i="109" s="1"/>
  <c r="BC212" i="109" s="1"/>
  <c r="BD212" i="109" s="1"/>
  <c r="BE212" i="109" s="1"/>
  <c r="BF212" i="109" s="1"/>
  <c r="BG212" i="109" s="1"/>
  <c r="BH212" i="109" s="1"/>
  <c r="BI212" i="109" s="1"/>
  <c r="BJ212" i="109" s="1"/>
  <c r="BK212" i="109" s="1"/>
  <c r="BL212" i="109" s="1"/>
  <c r="BM212" i="109" s="1"/>
  <c r="BN212" i="109" s="1"/>
  <c r="BO212" i="109" s="1"/>
  <c r="BP212" i="109" s="1"/>
  <c r="BQ212" i="109" s="1"/>
  <c r="BR212" i="109" s="1"/>
  <c r="BS212" i="109" s="1"/>
  <c r="BT212" i="109" s="1"/>
  <c r="BU212" i="109" s="1"/>
  <c r="BV212" i="109" s="1"/>
  <c r="AS212" i="109"/>
  <c r="AX211" i="109"/>
  <c r="AY211" i="109" s="1"/>
  <c r="AZ211" i="109" s="1"/>
  <c r="BA211" i="109" s="1"/>
  <c r="BB211" i="109" s="1"/>
  <c r="BC211" i="109" s="1"/>
  <c r="BD211" i="109" s="1"/>
  <c r="BE211" i="109" s="1"/>
  <c r="BF211" i="109" s="1"/>
  <c r="BG211" i="109" s="1"/>
  <c r="BH211" i="109" s="1"/>
  <c r="BI211" i="109" s="1"/>
  <c r="BJ211" i="109" s="1"/>
  <c r="BK211" i="109" s="1"/>
  <c r="BL211" i="109" s="1"/>
  <c r="BM211" i="109" s="1"/>
  <c r="BN211" i="109" s="1"/>
  <c r="BO211" i="109" s="1"/>
  <c r="BP211" i="109" s="1"/>
  <c r="BQ211" i="109" s="1"/>
  <c r="BR211" i="109" s="1"/>
  <c r="BS211" i="109" s="1"/>
  <c r="BT211" i="109" s="1"/>
  <c r="BU211" i="109" s="1"/>
  <c r="BV211" i="109" s="1"/>
  <c r="AT211" i="109"/>
  <c r="AU211" i="109" s="1"/>
  <c r="AV211" i="109" s="1"/>
  <c r="AW211" i="109" s="1"/>
  <c r="AS211" i="109"/>
  <c r="AS195" i="109"/>
  <c r="AT195" i="109" s="1"/>
  <c r="AU195" i="109" s="1"/>
  <c r="AV195" i="109" s="1"/>
  <c r="AW195" i="109" s="1"/>
  <c r="AX195" i="109" s="1"/>
  <c r="AY195" i="109" s="1"/>
  <c r="AZ195" i="109" s="1"/>
  <c r="BA195" i="109" s="1"/>
  <c r="BB195" i="109" s="1"/>
  <c r="BC195" i="109" s="1"/>
  <c r="BD195" i="109" s="1"/>
  <c r="BE195" i="109" s="1"/>
  <c r="BF195" i="109" s="1"/>
  <c r="BG195" i="109" s="1"/>
  <c r="BH195" i="109" s="1"/>
  <c r="BI195" i="109" s="1"/>
  <c r="BJ195" i="109" s="1"/>
  <c r="BK195" i="109" s="1"/>
  <c r="BL195" i="109" s="1"/>
  <c r="BM195" i="109" s="1"/>
  <c r="BN195" i="109" s="1"/>
  <c r="BO195" i="109" s="1"/>
  <c r="BP195" i="109" s="1"/>
  <c r="BQ195" i="109" s="1"/>
  <c r="BR195" i="109" s="1"/>
  <c r="BS195" i="109" s="1"/>
  <c r="BT195" i="109" s="1"/>
  <c r="BU195" i="109" s="1"/>
  <c r="BV195" i="109" s="1"/>
  <c r="AS194" i="109"/>
  <c r="AT194" i="109" s="1"/>
  <c r="AU194" i="109" s="1"/>
  <c r="AV194" i="109" s="1"/>
  <c r="AW194" i="109" s="1"/>
  <c r="AX194" i="109" s="1"/>
  <c r="AY194" i="109" s="1"/>
  <c r="AZ194" i="109" s="1"/>
  <c r="BA194" i="109" s="1"/>
  <c r="BB194" i="109" s="1"/>
  <c r="BC194" i="109" s="1"/>
  <c r="BD194" i="109" s="1"/>
  <c r="BE194" i="109" s="1"/>
  <c r="BF194" i="109" s="1"/>
  <c r="BG194" i="109" s="1"/>
  <c r="BH194" i="109" s="1"/>
  <c r="BI194" i="109" s="1"/>
  <c r="BJ194" i="109" s="1"/>
  <c r="BK194" i="109" s="1"/>
  <c r="BL194" i="109" s="1"/>
  <c r="BM194" i="109" s="1"/>
  <c r="BN194" i="109" s="1"/>
  <c r="BO194" i="109" s="1"/>
  <c r="BP194" i="109" s="1"/>
  <c r="BQ194" i="109" s="1"/>
  <c r="BR194" i="109" s="1"/>
  <c r="BS194" i="109" s="1"/>
  <c r="BT194" i="109" s="1"/>
  <c r="BU194" i="109" s="1"/>
  <c r="BV194" i="109" s="1"/>
  <c r="AS193" i="109"/>
  <c r="AT193" i="109" s="1"/>
  <c r="AU193" i="109" s="1"/>
  <c r="AV193" i="109" s="1"/>
  <c r="AW193" i="109" s="1"/>
  <c r="AX193" i="109" s="1"/>
  <c r="AY193" i="109" s="1"/>
  <c r="AZ193" i="109" s="1"/>
  <c r="BA193" i="109" s="1"/>
  <c r="BB193" i="109" s="1"/>
  <c r="BC193" i="109" s="1"/>
  <c r="BD193" i="109" s="1"/>
  <c r="BE193" i="109" s="1"/>
  <c r="BF193" i="109" s="1"/>
  <c r="BG193" i="109" s="1"/>
  <c r="BH193" i="109" s="1"/>
  <c r="BI193" i="109" s="1"/>
  <c r="BJ193" i="109" s="1"/>
  <c r="BK193" i="109" s="1"/>
  <c r="BL193" i="109" s="1"/>
  <c r="BM193" i="109" s="1"/>
  <c r="BN193" i="109" s="1"/>
  <c r="BO193" i="109" s="1"/>
  <c r="BP193" i="109" s="1"/>
  <c r="BQ193" i="109" s="1"/>
  <c r="BR193" i="109" s="1"/>
  <c r="BS193" i="109" s="1"/>
  <c r="BT193" i="109" s="1"/>
  <c r="BU193" i="109" s="1"/>
  <c r="BV193" i="109" s="1"/>
  <c r="AS192" i="109"/>
  <c r="AT192" i="109" s="1"/>
  <c r="AU192" i="109" s="1"/>
  <c r="AV192" i="109" s="1"/>
  <c r="AW192" i="109" s="1"/>
  <c r="AX192" i="109" s="1"/>
  <c r="AY192" i="109" s="1"/>
  <c r="AZ192" i="109" s="1"/>
  <c r="BA192" i="109" s="1"/>
  <c r="BB192" i="109" s="1"/>
  <c r="BC192" i="109" s="1"/>
  <c r="BD192" i="109" s="1"/>
  <c r="BE192" i="109" s="1"/>
  <c r="BF192" i="109" s="1"/>
  <c r="BG192" i="109" s="1"/>
  <c r="BH192" i="109" s="1"/>
  <c r="BI192" i="109" s="1"/>
  <c r="BJ192" i="109" s="1"/>
  <c r="BK192" i="109" s="1"/>
  <c r="BL192" i="109" s="1"/>
  <c r="BM192" i="109" s="1"/>
  <c r="BN192" i="109" s="1"/>
  <c r="BO192" i="109" s="1"/>
  <c r="BP192" i="109" s="1"/>
  <c r="BQ192" i="109" s="1"/>
  <c r="BR192" i="109" s="1"/>
  <c r="BS192" i="109" s="1"/>
  <c r="BT192" i="109" s="1"/>
  <c r="BU192" i="109" s="1"/>
  <c r="BV192" i="109" s="1"/>
  <c r="AS191" i="109"/>
  <c r="AT191" i="109" s="1"/>
  <c r="AU191" i="109" s="1"/>
  <c r="AV191" i="109" s="1"/>
  <c r="AW191" i="109" s="1"/>
  <c r="AX191" i="109" s="1"/>
  <c r="AY191" i="109" s="1"/>
  <c r="AZ191" i="109" s="1"/>
  <c r="BA191" i="109" s="1"/>
  <c r="BB191" i="109" s="1"/>
  <c r="BC191" i="109" s="1"/>
  <c r="BD191" i="109" s="1"/>
  <c r="BE191" i="109" s="1"/>
  <c r="BF191" i="109" s="1"/>
  <c r="BG191" i="109" s="1"/>
  <c r="BH191" i="109" s="1"/>
  <c r="BI191" i="109" s="1"/>
  <c r="BJ191" i="109" s="1"/>
  <c r="BK191" i="109" s="1"/>
  <c r="BL191" i="109" s="1"/>
  <c r="BM191" i="109" s="1"/>
  <c r="BN191" i="109" s="1"/>
  <c r="BO191" i="109" s="1"/>
  <c r="BP191" i="109" s="1"/>
  <c r="BQ191" i="109" s="1"/>
  <c r="BR191" i="109" s="1"/>
  <c r="BS191" i="109" s="1"/>
  <c r="BT191" i="109" s="1"/>
  <c r="BU191" i="109" s="1"/>
  <c r="BV191" i="109" s="1"/>
  <c r="AS190" i="109"/>
  <c r="AT190" i="109" s="1"/>
  <c r="AU190" i="109" s="1"/>
  <c r="AV190" i="109" s="1"/>
  <c r="AW190" i="109" s="1"/>
  <c r="AX190" i="109" s="1"/>
  <c r="AY190" i="109" s="1"/>
  <c r="AZ190" i="109" s="1"/>
  <c r="BA190" i="109" s="1"/>
  <c r="BB190" i="109" s="1"/>
  <c r="BC190" i="109" s="1"/>
  <c r="BD190" i="109" s="1"/>
  <c r="BE190" i="109" s="1"/>
  <c r="BF190" i="109" s="1"/>
  <c r="BG190" i="109" s="1"/>
  <c r="BH190" i="109" s="1"/>
  <c r="BI190" i="109" s="1"/>
  <c r="BJ190" i="109" s="1"/>
  <c r="BK190" i="109" s="1"/>
  <c r="BL190" i="109" s="1"/>
  <c r="BM190" i="109" s="1"/>
  <c r="BN190" i="109" s="1"/>
  <c r="BO190" i="109" s="1"/>
  <c r="BP190" i="109" s="1"/>
  <c r="BQ190" i="109" s="1"/>
  <c r="BR190" i="109" s="1"/>
  <c r="BS190" i="109" s="1"/>
  <c r="BT190" i="109" s="1"/>
  <c r="BU190" i="109" s="1"/>
  <c r="BV190" i="109" s="1"/>
  <c r="AS189" i="109"/>
  <c r="AT189" i="109" s="1"/>
  <c r="AU189" i="109" s="1"/>
  <c r="AV189" i="109" s="1"/>
  <c r="AW189" i="109" s="1"/>
  <c r="AX189" i="109" s="1"/>
  <c r="AY189" i="109" s="1"/>
  <c r="AZ189" i="109" s="1"/>
  <c r="BA189" i="109" s="1"/>
  <c r="BB189" i="109" s="1"/>
  <c r="BC189" i="109" s="1"/>
  <c r="BD189" i="109" s="1"/>
  <c r="BE189" i="109" s="1"/>
  <c r="BF189" i="109" s="1"/>
  <c r="BG189" i="109" s="1"/>
  <c r="BH189" i="109" s="1"/>
  <c r="BI189" i="109" s="1"/>
  <c r="BJ189" i="109" s="1"/>
  <c r="BK189" i="109" s="1"/>
  <c r="BL189" i="109" s="1"/>
  <c r="BM189" i="109" s="1"/>
  <c r="BN189" i="109" s="1"/>
  <c r="BO189" i="109" s="1"/>
  <c r="BP189" i="109" s="1"/>
  <c r="BQ189" i="109" s="1"/>
  <c r="BR189" i="109" s="1"/>
  <c r="BS189" i="109" s="1"/>
  <c r="BT189" i="109" s="1"/>
  <c r="BU189" i="109" s="1"/>
  <c r="BV189" i="109" s="1"/>
  <c r="AS188" i="109"/>
  <c r="AT188" i="109" s="1"/>
  <c r="AU188" i="109" s="1"/>
  <c r="AV188" i="109" s="1"/>
  <c r="AW188" i="109" s="1"/>
  <c r="AX188" i="109" s="1"/>
  <c r="AY188" i="109" s="1"/>
  <c r="AZ188" i="109" s="1"/>
  <c r="BA188" i="109" s="1"/>
  <c r="BB188" i="109" s="1"/>
  <c r="BC188" i="109" s="1"/>
  <c r="BD188" i="109" s="1"/>
  <c r="BE188" i="109" s="1"/>
  <c r="BF188" i="109" s="1"/>
  <c r="BG188" i="109" s="1"/>
  <c r="BH188" i="109" s="1"/>
  <c r="BI188" i="109" s="1"/>
  <c r="BJ188" i="109" s="1"/>
  <c r="BK188" i="109" s="1"/>
  <c r="BL188" i="109" s="1"/>
  <c r="BM188" i="109" s="1"/>
  <c r="BN188" i="109" s="1"/>
  <c r="BO188" i="109" s="1"/>
  <c r="BP188" i="109" s="1"/>
  <c r="BQ188" i="109" s="1"/>
  <c r="BR188" i="109" s="1"/>
  <c r="BS188" i="109" s="1"/>
  <c r="BT188" i="109" s="1"/>
  <c r="BU188" i="109" s="1"/>
  <c r="BV188" i="109" s="1"/>
  <c r="AS187" i="109"/>
  <c r="AT187" i="109" s="1"/>
  <c r="AU187" i="109" s="1"/>
  <c r="AV187" i="109" s="1"/>
  <c r="AW187" i="109" s="1"/>
  <c r="AX187" i="109" s="1"/>
  <c r="AY187" i="109" s="1"/>
  <c r="AZ187" i="109" s="1"/>
  <c r="BA187" i="109" s="1"/>
  <c r="BB187" i="109" s="1"/>
  <c r="BC187" i="109" s="1"/>
  <c r="BD187" i="109" s="1"/>
  <c r="BE187" i="109" s="1"/>
  <c r="BF187" i="109" s="1"/>
  <c r="BG187" i="109" s="1"/>
  <c r="BH187" i="109" s="1"/>
  <c r="BI187" i="109" s="1"/>
  <c r="BJ187" i="109" s="1"/>
  <c r="BK187" i="109" s="1"/>
  <c r="BL187" i="109" s="1"/>
  <c r="BM187" i="109" s="1"/>
  <c r="BN187" i="109" s="1"/>
  <c r="BO187" i="109" s="1"/>
  <c r="BP187" i="109" s="1"/>
  <c r="BQ187" i="109" s="1"/>
  <c r="BR187" i="109" s="1"/>
  <c r="BS187" i="109" s="1"/>
  <c r="BT187" i="109" s="1"/>
  <c r="BU187" i="109" s="1"/>
  <c r="BV187" i="109" s="1"/>
  <c r="AS186" i="109"/>
  <c r="AT186" i="109" s="1"/>
  <c r="AU186" i="109" s="1"/>
  <c r="AV186" i="109" s="1"/>
  <c r="AW186" i="109" s="1"/>
  <c r="AX186" i="109" s="1"/>
  <c r="AY186" i="109" s="1"/>
  <c r="AZ186" i="109" s="1"/>
  <c r="BA186" i="109" s="1"/>
  <c r="BB186" i="109" s="1"/>
  <c r="BC186" i="109" s="1"/>
  <c r="BD186" i="109" s="1"/>
  <c r="BE186" i="109" s="1"/>
  <c r="BF186" i="109" s="1"/>
  <c r="BG186" i="109" s="1"/>
  <c r="BH186" i="109" s="1"/>
  <c r="BI186" i="109" s="1"/>
  <c r="BJ186" i="109" s="1"/>
  <c r="BK186" i="109" s="1"/>
  <c r="BL186" i="109" s="1"/>
  <c r="BM186" i="109" s="1"/>
  <c r="BN186" i="109" s="1"/>
  <c r="BO186" i="109" s="1"/>
  <c r="BP186" i="109" s="1"/>
  <c r="BQ186" i="109" s="1"/>
  <c r="BR186" i="109" s="1"/>
  <c r="BS186" i="109" s="1"/>
  <c r="BT186" i="109" s="1"/>
  <c r="BU186" i="109" s="1"/>
  <c r="BV186" i="109" s="1"/>
  <c r="AT185" i="109"/>
  <c r="AU185" i="109" s="1"/>
  <c r="AV185" i="109" s="1"/>
  <c r="AW185" i="109" s="1"/>
  <c r="AX185" i="109" s="1"/>
  <c r="AY185" i="109" s="1"/>
  <c r="AZ185" i="109" s="1"/>
  <c r="BA185" i="109" s="1"/>
  <c r="BB185" i="109" s="1"/>
  <c r="BC185" i="109" s="1"/>
  <c r="BD185" i="109" s="1"/>
  <c r="BE185" i="109" s="1"/>
  <c r="BF185" i="109" s="1"/>
  <c r="BG185" i="109" s="1"/>
  <c r="BH185" i="109" s="1"/>
  <c r="BI185" i="109" s="1"/>
  <c r="BJ185" i="109" s="1"/>
  <c r="BK185" i="109" s="1"/>
  <c r="BL185" i="109" s="1"/>
  <c r="BM185" i="109" s="1"/>
  <c r="BN185" i="109" s="1"/>
  <c r="BO185" i="109" s="1"/>
  <c r="BP185" i="109" s="1"/>
  <c r="BQ185" i="109" s="1"/>
  <c r="BR185" i="109" s="1"/>
  <c r="BS185" i="109" s="1"/>
  <c r="BT185" i="109" s="1"/>
  <c r="BU185" i="109" s="1"/>
  <c r="BV185" i="109" s="1"/>
  <c r="AS185" i="109"/>
  <c r="AS184" i="109"/>
  <c r="AT184" i="109" s="1"/>
  <c r="AU184" i="109" s="1"/>
  <c r="AV184" i="109" s="1"/>
  <c r="AW184" i="109" s="1"/>
  <c r="AX184" i="109" s="1"/>
  <c r="AY184" i="109" s="1"/>
  <c r="AZ184" i="109" s="1"/>
  <c r="BA184" i="109" s="1"/>
  <c r="BB184" i="109" s="1"/>
  <c r="BC184" i="109" s="1"/>
  <c r="BD184" i="109" s="1"/>
  <c r="BE184" i="109" s="1"/>
  <c r="BF184" i="109" s="1"/>
  <c r="BG184" i="109" s="1"/>
  <c r="BH184" i="109" s="1"/>
  <c r="BI184" i="109" s="1"/>
  <c r="BJ184" i="109" s="1"/>
  <c r="BK184" i="109" s="1"/>
  <c r="BL184" i="109" s="1"/>
  <c r="BM184" i="109" s="1"/>
  <c r="BN184" i="109" s="1"/>
  <c r="BO184" i="109" s="1"/>
  <c r="BP184" i="109" s="1"/>
  <c r="BQ184" i="109" s="1"/>
  <c r="BR184" i="109" s="1"/>
  <c r="BS184" i="109" s="1"/>
  <c r="BT184" i="109" s="1"/>
  <c r="BU184" i="109" s="1"/>
  <c r="BV184" i="109" s="1"/>
  <c r="AY183" i="109"/>
  <c r="AZ183" i="109" s="1"/>
  <c r="BA183" i="109" s="1"/>
  <c r="BB183" i="109" s="1"/>
  <c r="BC183" i="109" s="1"/>
  <c r="BD183" i="109" s="1"/>
  <c r="BE183" i="109" s="1"/>
  <c r="BF183" i="109" s="1"/>
  <c r="BG183" i="109" s="1"/>
  <c r="BH183" i="109" s="1"/>
  <c r="BI183" i="109" s="1"/>
  <c r="BJ183" i="109" s="1"/>
  <c r="BK183" i="109" s="1"/>
  <c r="BL183" i="109" s="1"/>
  <c r="BM183" i="109" s="1"/>
  <c r="BN183" i="109" s="1"/>
  <c r="BO183" i="109" s="1"/>
  <c r="BP183" i="109" s="1"/>
  <c r="BQ183" i="109" s="1"/>
  <c r="BR183" i="109" s="1"/>
  <c r="BS183" i="109" s="1"/>
  <c r="BT183" i="109" s="1"/>
  <c r="BU183" i="109" s="1"/>
  <c r="BV183" i="109" s="1"/>
  <c r="AU183" i="109"/>
  <c r="AV183" i="109" s="1"/>
  <c r="AW183" i="109" s="1"/>
  <c r="AX183" i="109" s="1"/>
  <c r="AT183" i="109"/>
  <c r="AS183" i="109"/>
  <c r="AW182" i="109"/>
  <c r="AX182" i="109" s="1"/>
  <c r="AY182" i="109" s="1"/>
  <c r="AZ182" i="109" s="1"/>
  <c r="BA182" i="109" s="1"/>
  <c r="BB182" i="109" s="1"/>
  <c r="BC182" i="109" s="1"/>
  <c r="BD182" i="109" s="1"/>
  <c r="BE182" i="109" s="1"/>
  <c r="BF182" i="109" s="1"/>
  <c r="BG182" i="109" s="1"/>
  <c r="BH182" i="109" s="1"/>
  <c r="BI182" i="109" s="1"/>
  <c r="BJ182" i="109" s="1"/>
  <c r="BK182" i="109" s="1"/>
  <c r="BL182" i="109" s="1"/>
  <c r="BM182" i="109" s="1"/>
  <c r="BN182" i="109" s="1"/>
  <c r="BO182" i="109" s="1"/>
  <c r="BP182" i="109" s="1"/>
  <c r="BQ182" i="109" s="1"/>
  <c r="BR182" i="109" s="1"/>
  <c r="BS182" i="109" s="1"/>
  <c r="BT182" i="109" s="1"/>
  <c r="BU182" i="109" s="1"/>
  <c r="BV182" i="109" s="1"/>
  <c r="AS182" i="109"/>
  <c r="AT182" i="109" s="1"/>
  <c r="AU182" i="109" s="1"/>
  <c r="AV182" i="109" s="1"/>
  <c r="AU181" i="109"/>
  <c r="AV181" i="109" s="1"/>
  <c r="AW181" i="109" s="1"/>
  <c r="AX181" i="109" s="1"/>
  <c r="AY181" i="109" s="1"/>
  <c r="AZ181" i="109" s="1"/>
  <c r="BA181" i="109" s="1"/>
  <c r="BB181" i="109" s="1"/>
  <c r="BC181" i="109" s="1"/>
  <c r="BD181" i="109" s="1"/>
  <c r="BE181" i="109" s="1"/>
  <c r="BF181" i="109" s="1"/>
  <c r="BG181" i="109" s="1"/>
  <c r="BH181" i="109" s="1"/>
  <c r="BI181" i="109" s="1"/>
  <c r="BJ181" i="109" s="1"/>
  <c r="BK181" i="109" s="1"/>
  <c r="BL181" i="109" s="1"/>
  <c r="BM181" i="109" s="1"/>
  <c r="BN181" i="109" s="1"/>
  <c r="BO181" i="109" s="1"/>
  <c r="BP181" i="109" s="1"/>
  <c r="BQ181" i="109" s="1"/>
  <c r="BR181" i="109" s="1"/>
  <c r="BS181" i="109" s="1"/>
  <c r="BT181" i="109" s="1"/>
  <c r="BU181" i="109" s="1"/>
  <c r="BV181" i="109" s="1"/>
  <c r="AT181" i="109"/>
  <c r="AS181" i="109"/>
  <c r="AS180" i="109"/>
  <c r="AT180" i="109" s="1"/>
  <c r="AU180" i="109" s="1"/>
  <c r="AV180" i="109" s="1"/>
  <c r="AW180" i="109" s="1"/>
  <c r="AX180" i="109" s="1"/>
  <c r="AY180" i="109" s="1"/>
  <c r="AZ180" i="109" s="1"/>
  <c r="BA180" i="109" s="1"/>
  <c r="BB180" i="109" s="1"/>
  <c r="BC180" i="109" s="1"/>
  <c r="BD180" i="109" s="1"/>
  <c r="BE180" i="109" s="1"/>
  <c r="BF180" i="109" s="1"/>
  <c r="BG180" i="109" s="1"/>
  <c r="BH180" i="109" s="1"/>
  <c r="BI180" i="109" s="1"/>
  <c r="BJ180" i="109" s="1"/>
  <c r="BK180" i="109" s="1"/>
  <c r="BL180" i="109" s="1"/>
  <c r="BM180" i="109" s="1"/>
  <c r="BN180" i="109" s="1"/>
  <c r="BO180" i="109" s="1"/>
  <c r="BP180" i="109" s="1"/>
  <c r="BQ180" i="109" s="1"/>
  <c r="BR180" i="109" s="1"/>
  <c r="BS180" i="109" s="1"/>
  <c r="BT180" i="109" s="1"/>
  <c r="BU180" i="109" s="1"/>
  <c r="BV180" i="109" s="1"/>
  <c r="BG179" i="109"/>
  <c r="BH179" i="109" s="1"/>
  <c r="BI179" i="109" s="1"/>
  <c r="BJ179" i="109" s="1"/>
  <c r="BK179" i="109" s="1"/>
  <c r="BL179" i="109" s="1"/>
  <c r="BM179" i="109" s="1"/>
  <c r="BN179" i="109" s="1"/>
  <c r="BO179" i="109" s="1"/>
  <c r="BP179" i="109" s="1"/>
  <c r="BQ179" i="109" s="1"/>
  <c r="BR179" i="109" s="1"/>
  <c r="BS179" i="109" s="1"/>
  <c r="BT179" i="109" s="1"/>
  <c r="BU179" i="109" s="1"/>
  <c r="BV179" i="109" s="1"/>
  <c r="AY179" i="109"/>
  <c r="AZ179" i="109" s="1"/>
  <c r="BA179" i="109" s="1"/>
  <c r="BB179" i="109" s="1"/>
  <c r="BC179" i="109" s="1"/>
  <c r="BD179" i="109" s="1"/>
  <c r="BE179" i="109" s="1"/>
  <c r="BF179" i="109" s="1"/>
  <c r="AU179" i="109"/>
  <c r="AV179" i="109" s="1"/>
  <c r="AW179" i="109" s="1"/>
  <c r="AX179" i="109" s="1"/>
  <c r="AT179" i="109"/>
  <c r="AS179" i="109"/>
  <c r="AW178" i="109"/>
  <c r="AX178" i="109" s="1"/>
  <c r="AY178" i="109" s="1"/>
  <c r="AZ178" i="109" s="1"/>
  <c r="BA178" i="109" s="1"/>
  <c r="BB178" i="109" s="1"/>
  <c r="BC178" i="109" s="1"/>
  <c r="BD178" i="109" s="1"/>
  <c r="BE178" i="109" s="1"/>
  <c r="BF178" i="109" s="1"/>
  <c r="BG178" i="109" s="1"/>
  <c r="BH178" i="109" s="1"/>
  <c r="BI178" i="109" s="1"/>
  <c r="BJ178" i="109" s="1"/>
  <c r="BK178" i="109" s="1"/>
  <c r="BL178" i="109" s="1"/>
  <c r="BM178" i="109" s="1"/>
  <c r="BN178" i="109" s="1"/>
  <c r="BO178" i="109" s="1"/>
  <c r="BP178" i="109" s="1"/>
  <c r="BQ178" i="109" s="1"/>
  <c r="BR178" i="109" s="1"/>
  <c r="BS178" i="109" s="1"/>
  <c r="BT178" i="109" s="1"/>
  <c r="BU178" i="109" s="1"/>
  <c r="BV178" i="109" s="1"/>
  <c r="AS178" i="109"/>
  <c r="AT178" i="109" s="1"/>
  <c r="AU178" i="109" s="1"/>
  <c r="AV178" i="109" s="1"/>
  <c r="AT177" i="109"/>
  <c r="AU177" i="109" s="1"/>
  <c r="AV177" i="109" s="1"/>
  <c r="AW177" i="109" s="1"/>
  <c r="AX177" i="109" s="1"/>
  <c r="AY177" i="109" s="1"/>
  <c r="AZ177" i="109" s="1"/>
  <c r="BA177" i="109" s="1"/>
  <c r="BB177" i="109" s="1"/>
  <c r="BC177" i="109" s="1"/>
  <c r="BD177" i="109" s="1"/>
  <c r="BE177" i="109" s="1"/>
  <c r="BF177" i="109" s="1"/>
  <c r="BG177" i="109" s="1"/>
  <c r="BH177" i="109" s="1"/>
  <c r="BI177" i="109" s="1"/>
  <c r="BJ177" i="109" s="1"/>
  <c r="BK177" i="109" s="1"/>
  <c r="BL177" i="109" s="1"/>
  <c r="BM177" i="109" s="1"/>
  <c r="BN177" i="109" s="1"/>
  <c r="BO177" i="109" s="1"/>
  <c r="BP177" i="109" s="1"/>
  <c r="BQ177" i="109" s="1"/>
  <c r="BR177" i="109" s="1"/>
  <c r="BS177" i="109" s="1"/>
  <c r="BT177" i="109" s="1"/>
  <c r="BU177" i="109" s="1"/>
  <c r="BV177" i="109" s="1"/>
  <c r="AS177" i="109"/>
  <c r="BA176" i="109"/>
  <c r="BB176" i="109" s="1"/>
  <c r="BC176" i="109" s="1"/>
  <c r="BD176" i="109" s="1"/>
  <c r="BE176" i="109" s="1"/>
  <c r="BF176" i="109" s="1"/>
  <c r="BG176" i="109" s="1"/>
  <c r="BH176" i="109" s="1"/>
  <c r="BI176" i="109" s="1"/>
  <c r="BJ176" i="109" s="1"/>
  <c r="BK176" i="109" s="1"/>
  <c r="BL176" i="109" s="1"/>
  <c r="BM176" i="109" s="1"/>
  <c r="BN176" i="109" s="1"/>
  <c r="BO176" i="109" s="1"/>
  <c r="BP176" i="109" s="1"/>
  <c r="BQ176" i="109" s="1"/>
  <c r="BR176" i="109" s="1"/>
  <c r="BS176" i="109" s="1"/>
  <c r="BT176" i="109" s="1"/>
  <c r="BU176" i="109" s="1"/>
  <c r="BV176" i="109" s="1"/>
  <c r="AS176" i="109"/>
  <c r="AT176" i="109" s="1"/>
  <c r="AU176" i="109" s="1"/>
  <c r="AV176" i="109" s="1"/>
  <c r="AW176" i="109" s="1"/>
  <c r="AX176" i="109" s="1"/>
  <c r="AY176" i="109" s="1"/>
  <c r="AZ176" i="109" s="1"/>
  <c r="AS175" i="109"/>
  <c r="AT175" i="109" s="1"/>
  <c r="AU175" i="109" s="1"/>
  <c r="AV175" i="109" s="1"/>
  <c r="AW175" i="109" s="1"/>
  <c r="AX175" i="109" s="1"/>
  <c r="AY175" i="109" s="1"/>
  <c r="AZ175" i="109" s="1"/>
  <c r="BA175" i="109" s="1"/>
  <c r="BB175" i="109" s="1"/>
  <c r="BC175" i="109" s="1"/>
  <c r="BD175" i="109" s="1"/>
  <c r="BE175" i="109" s="1"/>
  <c r="BF175" i="109" s="1"/>
  <c r="BG175" i="109" s="1"/>
  <c r="BH175" i="109" s="1"/>
  <c r="BI175" i="109" s="1"/>
  <c r="BJ175" i="109" s="1"/>
  <c r="BK175" i="109" s="1"/>
  <c r="BL175" i="109" s="1"/>
  <c r="BM175" i="109" s="1"/>
  <c r="BN175" i="109" s="1"/>
  <c r="BO175" i="109" s="1"/>
  <c r="BP175" i="109" s="1"/>
  <c r="BQ175" i="109" s="1"/>
  <c r="BR175" i="109" s="1"/>
  <c r="BS175" i="109" s="1"/>
  <c r="BT175" i="109" s="1"/>
  <c r="BU175" i="109" s="1"/>
  <c r="BV175" i="109" s="1"/>
  <c r="AS174" i="109"/>
  <c r="AT174" i="109" s="1"/>
  <c r="AU174" i="109" s="1"/>
  <c r="AV174" i="109" s="1"/>
  <c r="AW174" i="109" s="1"/>
  <c r="AX174" i="109" s="1"/>
  <c r="AY174" i="109" s="1"/>
  <c r="AZ174" i="109" s="1"/>
  <c r="BA174" i="109" s="1"/>
  <c r="BB174" i="109" s="1"/>
  <c r="BC174" i="109" s="1"/>
  <c r="BD174" i="109" s="1"/>
  <c r="BE174" i="109" s="1"/>
  <c r="BF174" i="109" s="1"/>
  <c r="BG174" i="109" s="1"/>
  <c r="BH174" i="109" s="1"/>
  <c r="BI174" i="109" s="1"/>
  <c r="BJ174" i="109" s="1"/>
  <c r="BK174" i="109" s="1"/>
  <c r="BL174" i="109" s="1"/>
  <c r="BM174" i="109" s="1"/>
  <c r="BN174" i="109" s="1"/>
  <c r="BO174" i="109" s="1"/>
  <c r="BP174" i="109" s="1"/>
  <c r="BQ174" i="109" s="1"/>
  <c r="BR174" i="109" s="1"/>
  <c r="BS174" i="109" s="1"/>
  <c r="BT174" i="109" s="1"/>
  <c r="BU174" i="109" s="1"/>
  <c r="BV174" i="109" s="1"/>
  <c r="AS173" i="109"/>
  <c r="AT173" i="109" s="1"/>
  <c r="AU173" i="109" s="1"/>
  <c r="AV173" i="109" s="1"/>
  <c r="AW173" i="109" s="1"/>
  <c r="AX173" i="109" s="1"/>
  <c r="AY173" i="109" s="1"/>
  <c r="AZ173" i="109" s="1"/>
  <c r="BA173" i="109" s="1"/>
  <c r="BB173" i="109" s="1"/>
  <c r="BC173" i="109" s="1"/>
  <c r="BD173" i="109" s="1"/>
  <c r="BE173" i="109" s="1"/>
  <c r="BF173" i="109" s="1"/>
  <c r="BG173" i="109" s="1"/>
  <c r="BH173" i="109" s="1"/>
  <c r="BI173" i="109" s="1"/>
  <c r="BJ173" i="109" s="1"/>
  <c r="BK173" i="109" s="1"/>
  <c r="BL173" i="109" s="1"/>
  <c r="BM173" i="109" s="1"/>
  <c r="BN173" i="109" s="1"/>
  <c r="BO173" i="109" s="1"/>
  <c r="BP173" i="109" s="1"/>
  <c r="BQ173" i="109" s="1"/>
  <c r="BR173" i="109" s="1"/>
  <c r="BS173" i="109" s="1"/>
  <c r="BT173" i="109" s="1"/>
  <c r="BU173" i="109" s="1"/>
  <c r="BV173" i="109" s="1"/>
  <c r="AS172" i="109"/>
  <c r="AT172" i="109" s="1"/>
  <c r="AU172" i="109" s="1"/>
  <c r="AV172" i="109" s="1"/>
  <c r="AW172" i="109" s="1"/>
  <c r="AX172" i="109" s="1"/>
  <c r="AY172" i="109" s="1"/>
  <c r="AZ172" i="109" s="1"/>
  <c r="BA172" i="109" s="1"/>
  <c r="BB172" i="109" s="1"/>
  <c r="BC172" i="109" s="1"/>
  <c r="BD172" i="109" s="1"/>
  <c r="BE172" i="109" s="1"/>
  <c r="BF172" i="109" s="1"/>
  <c r="BG172" i="109" s="1"/>
  <c r="BH172" i="109" s="1"/>
  <c r="BI172" i="109" s="1"/>
  <c r="BJ172" i="109" s="1"/>
  <c r="BK172" i="109" s="1"/>
  <c r="BL172" i="109" s="1"/>
  <c r="BM172" i="109" s="1"/>
  <c r="BN172" i="109" s="1"/>
  <c r="BO172" i="109" s="1"/>
  <c r="BP172" i="109" s="1"/>
  <c r="BQ172" i="109" s="1"/>
  <c r="BR172" i="109" s="1"/>
  <c r="BS172" i="109" s="1"/>
  <c r="BT172" i="109" s="1"/>
  <c r="BU172" i="109" s="1"/>
  <c r="BV172" i="109" s="1"/>
  <c r="AS171" i="109"/>
  <c r="AT171" i="109" s="1"/>
  <c r="AU171" i="109" s="1"/>
  <c r="AV171" i="109" s="1"/>
  <c r="AW171" i="109" s="1"/>
  <c r="AX171" i="109" s="1"/>
  <c r="AY171" i="109" s="1"/>
  <c r="AZ171" i="109" s="1"/>
  <c r="BA171" i="109" s="1"/>
  <c r="BB171" i="109" s="1"/>
  <c r="BC171" i="109" s="1"/>
  <c r="BD171" i="109" s="1"/>
  <c r="BE171" i="109" s="1"/>
  <c r="BF171" i="109" s="1"/>
  <c r="BG171" i="109" s="1"/>
  <c r="BH171" i="109" s="1"/>
  <c r="BI171" i="109" s="1"/>
  <c r="BJ171" i="109" s="1"/>
  <c r="BK171" i="109" s="1"/>
  <c r="BL171" i="109" s="1"/>
  <c r="BM171" i="109" s="1"/>
  <c r="BN171" i="109" s="1"/>
  <c r="BO171" i="109" s="1"/>
  <c r="BP171" i="109" s="1"/>
  <c r="BQ171" i="109" s="1"/>
  <c r="BR171" i="109" s="1"/>
  <c r="BS171" i="109" s="1"/>
  <c r="BT171" i="109" s="1"/>
  <c r="BU171" i="109" s="1"/>
  <c r="BV171" i="109" s="1"/>
  <c r="AS170" i="109"/>
  <c r="AT170" i="109" s="1"/>
  <c r="AU170" i="109" s="1"/>
  <c r="AV170" i="109" s="1"/>
  <c r="AW170" i="109" s="1"/>
  <c r="AX170" i="109" s="1"/>
  <c r="AY170" i="109" s="1"/>
  <c r="AZ170" i="109" s="1"/>
  <c r="BA170" i="109" s="1"/>
  <c r="BB170" i="109" s="1"/>
  <c r="BC170" i="109" s="1"/>
  <c r="BD170" i="109" s="1"/>
  <c r="BE170" i="109" s="1"/>
  <c r="BF170" i="109" s="1"/>
  <c r="BG170" i="109" s="1"/>
  <c r="BH170" i="109" s="1"/>
  <c r="BI170" i="109" s="1"/>
  <c r="BJ170" i="109" s="1"/>
  <c r="BK170" i="109" s="1"/>
  <c r="BL170" i="109" s="1"/>
  <c r="BM170" i="109" s="1"/>
  <c r="BN170" i="109" s="1"/>
  <c r="BO170" i="109" s="1"/>
  <c r="BP170" i="109" s="1"/>
  <c r="BQ170" i="109" s="1"/>
  <c r="BR170" i="109" s="1"/>
  <c r="BS170" i="109" s="1"/>
  <c r="BT170" i="109" s="1"/>
  <c r="BU170" i="109" s="1"/>
  <c r="BV170" i="109" s="1"/>
  <c r="AS169" i="109"/>
  <c r="AT169" i="109" s="1"/>
  <c r="AU169" i="109" s="1"/>
  <c r="AV169" i="109" s="1"/>
  <c r="AW169" i="109" s="1"/>
  <c r="AX169" i="109" s="1"/>
  <c r="AY169" i="109" s="1"/>
  <c r="AZ169" i="109" s="1"/>
  <c r="BA169" i="109" s="1"/>
  <c r="BB169" i="109" s="1"/>
  <c r="BC169" i="109" s="1"/>
  <c r="BD169" i="109" s="1"/>
  <c r="BE169" i="109" s="1"/>
  <c r="BF169" i="109" s="1"/>
  <c r="BG169" i="109" s="1"/>
  <c r="BH169" i="109" s="1"/>
  <c r="BI169" i="109" s="1"/>
  <c r="BJ169" i="109" s="1"/>
  <c r="BK169" i="109" s="1"/>
  <c r="BL169" i="109" s="1"/>
  <c r="BM169" i="109" s="1"/>
  <c r="BN169" i="109" s="1"/>
  <c r="BO169" i="109" s="1"/>
  <c r="BP169" i="109" s="1"/>
  <c r="BQ169" i="109" s="1"/>
  <c r="BR169" i="109" s="1"/>
  <c r="BS169" i="109" s="1"/>
  <c r="BT169" i="109" s="1"/>
  <c r="BU169" i="109" s="1"/>
  <c r="BV169" i="109" s="1"/>
  <c r="AS168" i="109"/>
  <c r="AT168" i="109" s="1"/>
  <c r="AU168" i="109" s="1"/>
  <c r="AV168" i="109" s="1"/>
  <c r="AW168" i="109" s="1"/>
  <c r="AX168" i="109" s="1"/>
  <c r="AY168" i="109" s="1"/>
  <c r="AZ168" i="109" s="1"/>
  <c r="BA168" i="109" s="1"/>
  <c r="BB168" i="109" s="1"/>
  <c r="BC168" i="109" s="1"/>
  <c r="BD168" i="109" s="1"/>
  <c r="BE168" i="109" s="1"/>
  <c r="BF168" i="109" s="1"/>
  <c r="BG168" i="109" s="1"/>
  <c r="BH168" i="109" s="1"/>
  <c r="BI168" i="109" s="1"/>
  <c r="BJ168" i="109" s="1"/>
  <c r="BK168" i="109" s="1"/>
  <c r="BL168" i="109" s="1"/>
  <c r="BM168" i="109" s="1"/>
  <c r="BN168" i="109" s="1"/>
  <c r="BO168" i="109" s="1"/>
  <c r="BP168" i="109" s="1"/>
  <c r="BQ168" i="109" s="1"/>
  <c r="BR168" i="109" s="1"/>
  <c r="BS168" i="109" s="1"/>
  <c r="BT168" i="109" s="1"/>
  <c r="BU168" i="109" s="1"/>
  <c r="BV168" i="109" s="1"/>
  <c r="AS154" i="109"/>
  <c r="AT154" i="109" s="1"/>
  <c r="AU154" i="109" s="1"/>
  <c r="AV154" i="109" s="1"/>
  <c r="AW154" i="109" s="1"/>
  <c r="AX154" i="109" s="1"/>
  <c r="AY154" i="109" s="1"/>
  <c r="AZ154" i="109" s="1"/>
  <c r="BA154" i="109" s="1"/>
  <c r="BB154" i="109" s="1"/>
  <c r="BC154" i="109" s="1"/>
  <c r="BD154" i="109" s="1"/>
  <c r="BE154" i="109" s="1"/>
  <c r="BF154" i="109" s="1"/>
  <c r="BG154" i="109" s="1"/>
  <c r="BH154" i="109" s="1"/>
  <c r="BI154" i="109" s="1"/>
  <c r="BJ154" i="109" s="1"/>
  <c r="BK154" i="109" s="1"/>
  <c r="BL154" i="109" s="1"/>
  <c r="BM154" i="109" s="1"/>
  <c r="BN154" i="109" s="1"/>
  <c r="BO154" i="109" s="1"/>
  <c r="BP154" i="109" s="1"/>
  <c r="BQ154" i="109" s="1"/>
  <c r="BR154" i="109" s="1"/>
  <c r="BS154" i="109" s="1"/>
  <c r="BT154" i="109" s="1"/>
  <c r="BU154" i="109" s="1"/>
  <c r="BV154" i="109" s="1"/>
  <c r="AS153" i="109"/>
  <c r="AT153" i="109" s="1"/>
  <c r="AU153" i="109" s="1"/>
  <c r="AV153" i="109" s="1"/>
  <c r="AW153" i="109" s="1"/>
  <c r="AX153" i="109" s="1"/>
  <c r="AY153" i="109" s="1"/>
  <c r="AZ153" i="109" s="1"/>
  <c r="BA153" i="109" s="1"/>
  <c r="BB153" i="109" s="1"/>
  <c r="BC153" i="109" s="1"/>
  <c r="BD153" i="109" s="1"/>
  <c r="BE153" i="109" s="1"/>
  <c r="BF153" i="109" s="1"/>
  <c r="BG153" i="109" s="1"/>
  <c r="BH153" i="109" s="1"/>
  <c r="BI153" i="109" s="1"/>
  <c r="BJ153" i="109" s="1"/>
  <c r="BK153" i="109" s="1"/>
  <c r="BL153" i="109" s="1"/>
  <c r="BM153" i="109" s="1"/>
  <c r="BN153" i="109" s="1"/>
  <c r="BO153" i="109" s="1"/>
  <c r="BP153" i="109" s="1"/>
  <c r="BQ153" i="109" s="1"/>
  <c r="BR153" i="109" s="1"/>
  <c r="BS153" i="109" s="1"/>
  <c r="BT153" i="109" s="1"/>
  <c r="BU153" i="109" s="1"/>
  <c r="BV153" i="109" s="1"/>
  <c r="AS152" i="109"/>
  <c r="AT152" i="109" s="1"/>
  <c r="AU152" i="109" s="1"/>
  <c r="AV152" i="109" s="1"/>
  <c r="AW152" i="109" s="1"/>
  <c r="AX152" i="109" s="1"/>
  <c r="AY152" i="109" s="1"/>
  <c r="AZ152" i="109" s="1"/>
  <c r="BA152" i="109" s="1"/>
  <c r="BB152" i="109" s="1"/>
  <c r="BC152" i="109" s="1"/>
  <c r="BD152" i="109" s="1"/>
  <c r="BE152" i="109" s="1"/>
  <c r="BF152" i="109" s="1"/>
  <c r="BG152" i="109" s="1"/>
  <c r="BH152" i="109" s="1"/>
  <c r="BI152" i="109" s="1"/>
  <c r="BJ152" i="109" s="1"/>
  <c r="BK152" i="109" s="1"/>
  <c r="BL152" i="109" s="1"/>
  <c r="BM152" i="109" s="1"/>
  <c r="BN152" i="109" s="1"/>
  <c r="BO152" i="109" s="1"/>
  <c r="BP152" i="109" s="1"/>
  <c r="BQ152" i="109" s="1"/>
  <c r="BR152" i="109" s="1"/>
  <c r="BS152" i="109" s="1"/>
  <c r="BT152" i="109" s="1"/>
  <c r="BU152" i="109" s="1"/>
  <c r="BV152" i="109" s="1"/>
  <c r="AS151" i="109"/>
  <c r="AT151" i="109" s="1"/>
  <c r="AU151" i="109" s="1"/>
  <c r="AV151" i="109" s="1"/>
  <c r="AW151" i="109" s="1"/>
  <c r="AX151" i="109" s="1"/>
  <c r="AY151" i="109" s="1"/>
  <c r="AZ151" i="109" s="1"/>
  <c r="BA151" i="109" s="1"/>
  <c r="BB151" i="109" s="1"/>
  <c r="BC151" i="109" s="1"/>
  <c r="BD151" i="109" s="1"/>
  <c r="BE151" i="109" s="1"/>
  <c r="BF151" i="109" s="1"/>
  <c r="BG151" i="109" s="1"/>
  <c r="BH151" i="109" s="1"/>
  <c r="BI151" i="109" s="1"/>
  <c r="BJ151" i="109" s="1"/>
  <c r="BK151" i="109" s="1"/>
  <c r="BL151" i="109" s="1"/>
  <c r="BM151" i="109" s="1"/>
  <c r="BN151" i="109" s="1"/>
  <c r="BO151" i="109" s="1"/>
  <c r="BP151" i="109" s="1"/>
  <c r="BQ151" i="109" s="1"/>
  <c r="BR151" i="109" s="1"/>
  <c r="BS151" i="109" s="1"/>
  <c r="BT151" i="109" s="1"/>
  <c r="BU151" i="109" s="1"/>
  <c r="BV151" i="109" s="1"/>
  <c r="AS150" i="109"/>
  <c r="AT150" i="109" s="1"/>
  <c r="AU150" i="109" s="1"/>
  <c r="AV150" i="109" s="1"/>
  <c r="AW150" i="109" s="1"/>
  <c r="AX150" i="109" s="1"/>
  <c r="AY150" i="109" s="1"/>
  <c r="AZ150" i="109" s="1"/>
  <c r="BA150" i="109" s="1"/>
  <c r="BB150" i="109" s="1"/>
  <c r="BC150" i="109" s="1"/>
  <c r="BD150" i="109" s="1"/>
  <c r="BE150" i="109" s="1"/>
  <c r="BF150" i="109" s="1"/>
  <c r="BG150" i="109" s="1"/>
  <c r="BH150" i="109" s="1"/>
  <c r="BI150" i="109" s="1"/>
  <c r="BJ150" i="109" s="1"/>
  <c r="BK150" i="109" s="1"/>
  <c r="BL150" i="109" s="1"/>
  <c r="BM150" i="109" s="1"/>
  <c r="BN150" i="109" s="1"/>
  <c r="BO150" i="109" s="1"/>
  <c r="BP150" i="109" s="1"/>
  <c r="BQ150" i="109" s="1"/>
  <c r="BR150" i="109" s="1"/>
  <c r="BS150" i="109" s="1"/>
  <c r="BT150" i="109" s="1"/>
  <c r="BU150" i="109" s="1"/>
  <c r="BV150" i="109" s="1"/>
  <c r="AS149" i="109"/>
  <c r="AT149" i="109" s="1"/>
  <c r="AU149" i="109" s="1"/>
  <c r="AV149" i="109" s="1"/>
  <c r="AW149" i="109" s="1"/>
  <c r="AX149" i="109" s="1"/>
  <c r="AY149" i="109" s="1"/>
  <c r="AZ149" i="109" s="1"/>
  <c r="BA149" i="109" s="1"/>
  <c r="BB149" i="109" s="1"/>
  <c r="BC149" i="109" s="1"/>
  <c r="BD149" i="109" s="1"/>
  <c r="BE149" i="109" s="1"/>
  <c r="BF149" i="109" s="1"/>
  <c r="BG149" i="109" s="1"/>
  <c r="BH149" i="109" s="1"/>
  <c r="BI149" i="109" s="1"/>
  <c r="BJ149" i="109" s="1"/>
  <c r="BK149" i="109" s="1"/>
  <c r="BL149" i="109" s="1"/>
  <c r="BM149" i="109" s="1"/>
  <c r="BN149" i="109" s="1"/>
  <c r="BO149" i="109" s="1"/>
  <c r="BP149" i="109" s="1"/>
  <c r="BQ149" i="109" s="1"/>
  <c r="BR149" i="109" s="1"/>
  <c r="BS149" i="109" s="1"/>
  <c r="BT149" i="109" s="1"/>
  <c r="BU149" i="109" s="1"/>
  <c r="BV149" i="109" s="1"/>
  <c r="AS148" i="109"/>
  <c r="AT148" i="109" s="1"/>
  <c r="AU148" i="109" s="1"/>
  <c r="AV148" i="109" s="1"/>
  <c r="AW148" i="109" s="1"/>
  <c r="AX148" i="109" s="1"/>
  <c r="AY148" i="109" s="1"/>
  <c r="AZ148" i="109" s="1"/>
  <c r="BA148" i="109" s="1"/>
  <c r="BB148" i="109" s="1"/>
  <c r="BC148" i="109" s="1"/>
  <c r="BD148" i="109" s="1"/>
  <c r="BE148" i="109" s="1"/>
  <c r="BF148" i="109" s="1"/>
  <c r="BG148" i="109" s="1"/>
  <c r="BH148" i="109" s="1"/>
  <c r="BI148" i="109" s="1"/>
  <c r="BJ148" i="109" s="1"/>
  <c r="BK148" i="109" s="1"/>
  <c r="BL148" i="109" s="1"/>
  <c r="BM148" i="109" s="1"/>
  <c r="BN148" i="109" s="1"/>
  <c r="BO148" i="109" s="1"/>
  <c r="BP148" i="109" s="1"/>
  <c r="BQ148" i="109" s="1"/>
  <c r="BR148" i="109" s="1"/>
  <c r="BS148" i="109" s="1"/>
  <c r="BT148" i="109" s="1"/>
  <c r="BU148" i="109" s="1"/>
  <c r="BV148" i="109" s="1"/>
  <c r="AW147" i="109"/>
  <c r="AX147" i="109" s="1"/>
  <c r="AY147" i="109" s="1"/>
  <c r="AZ147" i="109" s="1"/>
  <c r="BA147" i="109" s="1"/>
  <c r="BB147" i="109" s="1"/>
  <c r="BC147" i="109" s="1"/>
  <c r="BD147" i="109" s="1"/>
  <c r="BE147" i="109" s="1"/>
  <c r="BF147" i="109" s="1"/>
  <c r="BG147" i="109" s="1"/>
  <c r="BH147" i="109" s="1"/>
  <c r="BI147" i="109" s="1"/>
  <c r="BJ147" i="109" s="1"/>
  <c r="BK147" i="109" s="1"/>
  <c r="BL147" i="109" s="1"/>
  <c r="BM147" i="109" s="1"/>
  <c r="BN147" i="109" s="1"/>
  <c r="BO147" i="109" s="1"/>
  <c r="BP147" i="109" s="1"/>
  <c r="BQ147" i="109" s="1"/>
  <c r="BR147" i="109" s="1"/>
  <c r="BS147" i="109" s="1"/>
  <c r="BT147" i="109" s="1"/>
  <c r="BU147" i="109" s="1"/>
  <c r="BV147" i="109" s="1"/>
  <c r="AS147" i="109"/>
  <c r="AT147" i="109" s="1"/>
  <c r="AU147" i="109" s="1"/>
  <c r="AV147" i="109" s="1"/>
  <c r="BC146" i="109"/>
  <c r="BD146" i="109" s="1"/>
  <c r="BE146" i="109" s="1"/>
  <c r="BF146" i="109" s="1"/>
  <c r="BG146" i="109" s="1"/>
  <c r="BH146" i="109" s="1"/>
  <c r="BI146" i="109" s="1"/>
  <c r="BJ146" i="109" s="1"/>
  <c r="BK146" i="109" s="1"/>
  <c r="BL146" i="109" s="1"/>
  <c r="BM146" i="109" s="1"/>
  <c r="BN146" i="109" s="1"/>
  <c r="BO146" i="109" s="1"/>
  <c r="BP146" i="109" s="1"/>
  <c r="BQ146" i="109" s="1"/>
  <c r="BR146" i="109" s="1"/>
  <c r="BS146" i="109" s="1"/>
  <c r="BT146" i="109" s="1"/>
  <c r="BU146" i="109" s="1"/>
  <c r="BV146" i="109" s="1"/>
  <c r="AU146" i="109"/>
  <c r="AV146" i="109" s="1"/>
  <c r="AW146" i="109" s="1"/>
  <c r="AX146" i="109" s="1"/>
  <c r="AY146" i="109" s="1"/>
  <c r="AZ146" i="109" s="1"/>
  <c r="BA146" i="109" s="1"/>
  <c r="BB146" i="109" s="1"/>
  <c r="AS146" i="109"/>
  <c r="AT146" i="109" s="1"/>
  <c r="AT145" i="109"/>
  <c r="AU145" i="109" s="1"/>
  <c r="AV145" i="109" s="1"/>
  <c r="AW145" i="109" s="1"/>
  <c r="AX145" i="109" s="1"/>
  <c r="AY145" i="109" s="1"/>
  <c r="AZ145" i="109" s="1"/>
  <c r="BA145" i="109" s="1"/>
  <c r="BB145" i="109" s="1"/>
  <c r="BC145" i="109" s="1"/>
  <c r="BD145" i="109" s="1"/>
  <c r="BE145" i="109" s="1"/>
  <c r="BF145" i="109" s="1"/>
  <c r="BG145" i="109" s="1"/>
  <c r="BH145" i="109" s="1"/>
  <c r="BI145" i="109" s="1"/>
  <c r="BJ145" i="109" s="1"/>
  <c r="BK145" i="109" s="1"/>
  <c r="BL145" i="109" s="1"/>
  <c r="BM145" i="109" s="1"/>
  <c r="BN145" i="109" s="1"/>
  <c r="BO145" i="109" s="1"/>
  <c r="BP145" i="109" s="1"/>
  <c r="BQ145" i="109" s="1"/>
  <c r="BR145" i="109" s="1"/>
  <c r="BS145" i="109" s="1"/>
  <c r="BT145" i="109" s="1"/>
  <c r="BU145" i="109" s="1"/>
  <c r="BV145" i="109" s="1"/>
  <c r="AS145" i="109"/>
  <c r="AZ144" i="109"/>
  <c r="BA144" i="109" s="1"/>
  <c r="BB144" i="109" s="1"/>
  <c r="BC144" i="109" s="1"/>
  <c r="BD144" i="109" s="1"/>
  <c r="BE144" i="109" s="1"/>
  <c r="BF144" i="109" s="1"/>
  <c r="BG144" i="109" s="1"/>
  <c r="BH144" i="109" s="1"/>
  <c r="BI144" i="109" s="1"/>
  <c r="BJ144" i="109" s="1"/>
  <c r="BK144" i="109" s="1"/>
  <c r="BL144" i="109" s="1"/>
  <c r="BM144" i="109" s="1"/>
  <c r="BN144" i="109" s="1"/>
  <c r="BO144" i="109" s="1"/>
  <c r="BP144" i="109" s="1"/>
  <c r="BQ144" i="109" s="1"/>
  <c r="BR144" i="109" s="1"/>
  <c r="BS144" i="109" s="1"/>
  <c r="BT144" i="109" s="1"/>
  <c r="BU144" i="109" s="1"/>
  <c r="BV144" i="109" s="1"/>
  <c r="AS144" i="109"/>
  <c r="AT144" i="109" s="1"/>
  <c r="AU144" i="109" s="1"/>
  <c r="AV144" i="109" s="1"/>
  <c r="AW144" i="109" s="1"/>
  <c r="AX144" i="109" s="1"/>
  <c r="AY144" i="109" s="1"/>
  <c r="AX143" i="109"/>
  <c r="AY143" i="109" s="1"/>
  <c r="AZ143" i="109" s="1"/>
  <c r="BA143" i="109" s="1"/>
  <c r="BB143" i="109" s="1"/>
  <c r="BC143" i="109" s="1"/>
  <c r="BD143" i="109" s="1"/>
  <c r="BE143" i="109" s="1"/>
  <c r="BF143" i="109" s="1"/>
  <c r="BG143" i="109" s="1"/>
  <c r="BH143" i="109" s="1"/>
  <c r="BI143" i="109" s="1"/>
  <c r="BJ143" i="109" s="1"/>
  <c r="BK143" i="109" s="1"/>
  <c r="BL143" i="109" s="1"/>
  <c r="BM143" i="109" s="1"/>
  <c r="BN143" i="109" s="1"/>
  <c r="BO143" i="109" s="1"/>
  <c r="BP143" i="109" s="1"/>
  <c r="BQ143" i="109" s="1"/>
  <c r="BR143" i="109" s="1"/>
  <c r="BS143" i="109" s="1"/>
  <c r="BT143" i="109" s="1"/>
  <c r="BU143" i="109" s="1"/>
  <c r="BV143" i="109" s="1"/>
  <c r="AT143" i="109"/>
  <c r="AU143" i="109" s="1"/>
  <c r="AV143" i="109" s="1"/>
  <c r="AW143" i="109" s="1"/>
  <c r="AS143" i="109"/>
  <c r="AT142" i="109"/>
  <c r="AU142" i="109" s="1"/>
  <c r="AV142" i="109" s="1"/>
  <c r="AW142" i="109" s="1"/>
  <c r="AX142" i="109" s="1"/>
  <c r="AY142" i="109" s="1"/>
  <c r="AZ142" i="109" s="1"/>
  <c r="BA142" i="109" s="1"/>
  <c r="BB142" i="109" s="1"/>
  <c r="BC142" i="109" s="1"/>
  <c r="BD142" i="109" s="1"/>
  <c r="BE142" i="109" s="1"/>
  <c r="BF142" i="109" s="1"/>
  <c r="BG142" i="109" s="1"/>
  <c r="BH142" i="109" s="1"/>
  <c r="BI142" i="109" s="1"/>
  <c r="BJ142" i="109" s="1"/>
  <c r="BK142" i="109" s="1"/>
  <c r="BL142" i="109" s="1"/>
  <c r="BM142" i="109" s="1"/>
  <c r="BN142" i="109" s="1"/>
  <c r="BO142" i="109" s="1"/>
  <c r="BP142" i="109" s="1"/>
  <c r="BQ142" i="109" s="1"/>
  <c r="BR142" i="109" s="1"/>
  <c r="BS142" i="109" s="1"/>
  <c r="BT142" i="109" s="1"/>
  <c r="BU142" i="109" s="1"/>
  <c r="BV142" i="109" s="1"/>
  <c r="AS142" i="109"/>
  <c r="AX141" i="109"/>
  <c r="AY141" i="109" s="1"/>
  <c r="AZ141" i="109" s="1"/>
  <c r="BA141" i="109" s="1"/>
  <c r="BB141" i="109" s="1"/>
  <c r="BC141" i="109" s="1"/>
  <c r="BD141" i="109" s="1"/>
  <c r="BE141" i="109" s="1"/>
  <c r="BF141" i="109" s="1"/>
  <c r="BG141" i="109" s="1"/>
  <c r="BH141" i="109" s="1"/>
  <c r="BI141" i="109" s="1"/>
  <c r="BJ141" i="109" s="1"/>
  <c r="BK141" i="109" s="1"/>
  <c r="BL141" i="109" s="1"/>
  <c r="BM141" i="109" s="1"/>
  <c r="BN141" i="109" s="1"/>
  <c r="BO141" i="109" s="1"/>
  <c r="BP141" i="109" s="1"/>
  <c r="BQ141" i="109" s="1"/>
  <c r="BR141" i="109" s="1"/>
  <c r="BS141" i="109" s="1"/>
  <c r="BT141" i="109" s="1"/>
  <c r="BU141" i="109" s="1"/>
  <c r="BV141" i="109" s="1"/>
  <c r="AT141" i="109"/>
  <c r="AU141" i="109" s="1"/>
  <c r="AV141" i="109" s="1"/>
  <c r="AW141" i="109" s="1"/>
  <c r="AS141" i="109"/>
  <c r="AT140" i="109"/>
  <c r="AU140" i="109" s="1"/>
  <c r="AV140" i="109" s="1"/>
  <c r="AW140" i="109" s="1"/>
  <c r="AX140" i="109" s="1"/>
  <c r="AY140" i="109" s="1"/>
  <c r="AZ140" i="109" s="1"/>
  <c r="BA140" i="109" s="1"/>
  <c r="BB140" i="109" s="1"/>
  <c r="BC140" i="109" s="1"/>
  <c r="BD140" i="109" s="1"/>
  <c r="BE140" i="109" s="1"/>
  <c r="BF140" i="109" s="1"/>
  <c r="BG140" i="109" s="1"/>
  <c r="BH140" i="109" s="1"/>
  <c r="BI140" i="109" s="1"/>
  <c r="BJ140" i="109" s="1"/>
  <c r="BK140" i="109" s="1"/>
  <c r="BL140" i="109" s="1"/>
  <c r="BM140" i="109" s="1"/>
  <c r="BN140" i="109" s="1"/>
  <c r="BO140" i="109" s="1"/>
  <c r="BP140" i="109" s="1"/>
  <c r="BQ140" i="109" s="1"/>
  <c r="BR140" i="109" s="1"/>
  <c r="BS140" i="109" s="1"/>
  <c r="BT140" i="109" s="1"/>
  <c r="BU140" i="109" s="1"/>
  <c r="BV140" i="109" s="1"/>
  <c r="AS140" i="109"/>
  <c r="AX139" i="109"/>
  <c r="AY139" i="109" s="1"/>
  <c r="AZ139" i="109" s="1"/>
  <c r="BA139" i="109" s="1"/>
  <c r="BB139" i="109" s="1"/>
  <c r="BC139" i="109" s="1"/>
  <c r="BD139" i="109" s="1"/>
  <c r="BE139" i="109" s="1"/>
  <c r="BF139" i="109" s="1"/>
  <c r="BG139" i="109" s="1"/>
  <c r="BH139" i="109" s="1"/>
  <c r="BI139" i="109" s="1"/>
  <c r="BJ139" i="109" s="1"/>
  <c r="BK139" i="109" s="1"/>
  <c r="BL139" i="109" s="1"/>
  <c r="BM139" i="109" s="1"/>
  <c r="BN139" i="109" s="1"/>
  <c r="BO139" i="109" s="1"/>
  <c r="BP139" i="109" s="1"/>
  <c r="BQ139" i="109" s="1"/>
  <c r="BR139" i="109" s="1"/>
  <c r="BS139" i="109" s="1"/>
  <c r="BT139" i="109" s="1"/>
  <c r="BU139" i="109" s="1"/>
  <c r="BV139" i="109" s="1"/>
  <c r="AT139" i="109"/>
  <c r="AU139" i="109" s="1"/>
  <c r="AV139" i="109" s="1"/>
  <c r="AW139" i="109" s="1"/>
  <c r="AS139" i="109"/>
  <c r="AT138" i="109"/>
  <c r="AU138" i="109" s="1"/>
  <c r="AV138" i="109" s="1"/>
  <c r="AW138" i="109" s="1"/>
  <c r="AX138" i="109" s="1"/>
  <c r="AY138" i="109" s="1"/>
  <c r="AZ138" i="109" s="1"/>
  <c r="BA138" i="109" s="1"/>
  <c r="BB138" i="109" s="1"/>
  <c r="BC138" i="109" s="1"/>
  <c r="BD138" i="109" s="1"/>
  <c r="BE138" i="109" s="1"/>
  <c r="BF138" i="109" s="1"/>
  <c r="BG138" i="109" s="1"/>
  <c r="BH138" i="109" s="1"/>
  <c r="BI138" i="109" s="1"/>
  <c r="BJ138" i="109" s="1"/>
  <c r="BK138" i="109" s="1"/>
  <c r="BL138" i="109" s="1"/>
  <c r="BM138" i="109" s="1"/>
  <c r="BN138" i="109" s="1"/>
  <c r="BO138" i="109" s="1"/>
  <c r="BP138" i="109" s="1"/>
  <c r="BQ138" i="109" s="1"/>
  <c r="BR138" i="109" s="1"/>
  <c r="BS138" i="109" s="1"/>
  <c r="BT138" i="109" s="1"/>
  <c r="BU138" i="109" s="1"/>
  <c r="BV138" i="109" s="1"/>
  <c r="AS138" i="109"/>
  <c r="BV137" i="109"/>
  <c r="BF137" i="109"/>
  <c r="BG137" i="109" s="1"/>
  <c r="BH137" i="109" s="1"/>
  <c r="BI137" i="109" s="1"/>
  <c r="BJ137" i="109" s="1"/>
  <c r="BK137" i="109" s="1"/>
  <c r="BL137" i="109" s="1"/>
  <c r="BM137" i="109" s="1"/>
  <c r="BN137" i="109" s="1"/>
  <c r="BO137" i="109" s="1"/>
  <c r="BP137" i="109" s="1"/>
  <c r="BQ137" i="109" s="1"/>
  <c r="BR137" i="109" s="1"/>
  <c r="BS137" i="109" s="1"/>
  <c r="BT137" i="109" s="1"/>
  <c r="BU137" i="109" s="1"/>
  <c r="AX137" i="109"/>
  <c r="AY137" i="109" s="1"/>
  <c r="AZ137" i="109" s="1"/>
  <c r="BA137" i="109" s="1"/>
  <c r="BB137" i="109" s="1"/>
  <c r="BC137" i="109" s="1"/>
  <c r="BD137" i="109" s="1"/>
  <c r="BE137" i="109" s="1"/>
  <c r="AT137" i="109"/>
  <c r="AU137" i="109" s="1"/>
  <c r="AV137" i="109" s="1"/>
  <c r="AW137" i="109" s="1"/>
  <c r="AS137" i="109"/>
  <c r="BL136" i="109"/>
  <c r="BM136" i="109" s="1"/>
  <c r="BN136" i="109" s="1"/>
  <c r="BO136" i="109" s="1"/>
  <c r="BP136" i="109" s="1"/>
  <c r="BQ136" i="109" s="1"/>
  <c r="BR136" i="109" s="1"/>
  <c r="BS136" i="109" s="1"/>
  <c r="BT136" i="109" s="1"/>
  <c r="BU136" i="109" s="1"/>
  <c r="BV136" i="109" s="1"/>
  <c r="BD136" i="109"/>
  <c r="BE136" i="109" s="1"/>
  <c r="BF136" i="109" s="1"/>
  <c r="BG136" i="109" s="1"/>
  <c r="BH136" i="109" s="1"/>
  <c r="BI136" i="109" s="1"/>
  <c r="BJ136" i="109" s="1"/>
  <c r="BK136" i="109" s="1"/>
  <c r="AV136" i="109"/>
  <c r="AW136" i="109" s="1"/>
  <c r="AX136" i="109" s="1"/>
  <c r="AY136" i="109" s="1"/>
  <c r="AZ136" i="109" s="1"/>
  <c r="BA136" i="109" s="1"/>
  <c r="BB136" i="109" s="1"/>
  <c r="BC136" i="109" s="1"/>
  <c r="AT136" i="109"/>
  <c r="AU136" i="109" s="1"/>
  <c r="AS136" i="109"/>
  <c r="BG135" i="109"/>
  <c r="BH135" i="109" s="1"/>
  <c r="BI135" i="109" s="1"/>
  <c r="BJ135" i="109" s="1"/>
  <c r="BK135" i="109" s="1"/>
  <c r="BL135" i="109" s="1"/>
  <c r="BM135" i="109" s="1"/>
  <c r="BN135" i="109" s="1"/>
  <c r="BO135" i="109" s="1"/>
  <c r="BP135" i="109" s="1"/>
  <c r="BQ135" i="109" s="1"/>
  <c r="BR135" i="109" s="1"/>
  <c r="BS135" i="109" s="1"/>
  <c r="BT135" i="109" s="1"/>
  <c r="BU135" i="109" s="1"/>
  <c r="BV135" i="109" s="1"/>
  <c r="BB135" i="109"/>
  <c r="BC135" i="109" s="1"/>
  <c r="BD135" i="109" s="1"/>
  <c r="BE135" i="109" s="1"/>
  <c r="BF135" i="109" s="1"/>
  <c r="AX135" i="109"/>
  <c r="AY135" i="109" s="1"/>
  <c r="AZ135" i="109" s="1"/>
  <c r="BA135" i="109" s="1"/>
  <c r="AT135" i="109"/>
  <c r="AU135" i="109" s="1"/>
  <c r="AV135" i="109" s="1"/>
  <c r="AW135" i="109" s="1"/>
  <c r="AS135" i="109"/>
  <c r="AT134" i="109"/>
  <c r="AU134" i="109" s="1"/>
  <c r="AV134" i="109" s="1"/>
  <c r="AW134" i="109" s="1"/>
  <c r="AX134" i="109" s="1"/>
  <c r="AY134" i="109" s="1"/>
  <c r="AZ134" i="109" s="1"/>
  <c r="BA134" i="109" s="1"/>
  <c r="BB134" i="109" s="1"/>
  <c r="BC134" i="109" s="1"/>
  <c r="BD134" i="109" s="1"/>
  <c r="BE134" i="109" s="1"/>
  <c r="BF134" i="109" s="1"/>
  <c r="BG134" i="109" s="1"/>
  <c r="BH134" i="109" s="1"/>
  <c r="BI134" i="109" s="1"/>
  <c r="BJ134" i="109" s="1"/>
  <c r="BK134" i="109" s="1"/>
  <c r="BL134" i="109" s="1"/>
  <c r="BM134" i="109" s="1"/>
  <c r="BN134" i="109" s="1"/>
  <c r="BO134" i="109" s="1"/>
  <c r="BP134" i="109" s="1"/>
  <c r="BQ134" i="109" s="1"/>
  <c r="BR134" i="109" s="1"/>
  <c r="BS134" i="109" s="1"/>
  <c r="BT134" i="109" s="1"/>
  <c r="BU134" i="109" s="1"/>
  <c r="BV134" i="109" s="1"/>
  <c r="AS134" i="109"/>
  <c r="AX133" i="109"/>
  <c r="AY133" i="109" s="1"/>
  <c r="AZ133" i="109" s="1"/>
  <c r="BA133" i="109" s="1"/>
  <c r="BB133" i="109" s="1"/>
  <c r="BC133" i="109" s="1"/>
  <c r="BD133" i="109" s="1"/>
  <c r="BE133" i="109" s="1"/>
  <c r="BF133" i="109" s="1"/>
  <c r="BG133" i="109" s="1"/>
  <c r="BH133" i="109" s="1"/>
  <c r="BI133" i="109" s="1"/>
  <c r="BJ133" i="109" s="1"/>
  <c r="BK133" i="109" s="1"/>
  <c r="BL133" i="109" s="1"/>
  <c r="BM133" i="109" s="1"/>
  <c r="BN133" i="109" s="1"/>
  <c r="BO133" i="109" s="1"/>
  <c r="BP133" i="109" s="1"/>
  <c r="BQ133" i="109" s="1"/>
  <c r="BR133" i="109" s="1"/>
  <c r="BS133" i="109" s="1"/>
  <c r="BT133" i="109" s="1"/>
  <c r="BU133" i="109" s="1"/>
  <c r="BV133" i="109" s="1"/>
  <c r="AT133" i="109"/>
  <c r="AU133" i="109" s="1"/>
  <c r="AV133" i="109" s="1"/>
  <c r="AW133" i="109" s="1"/>
  <c r="AS133" i="109"/>
  <c r="AZ132" i="109"/>
  <c r="BA132" i="109" s="1"/>
  <c r="BB132" i="109" s="1"/>
  <c r="BC132" i="109" s="1"/>
  <c r="BD132" i="109" s="1"/>
  <c r="BE132" i="109" s="1"/>
  <c r="BF132" i="109" s="1"/>
  <c r="BG132" i="109" s="1"/>
  <c r="BH132" i="109" s="1"/>
  <c r="BI132" i="109" s="1"/>
  <c r="BJ132" i="109" s="1"/>
  <c r="BK132" i="109" s="1"/>
  <c r="BL132" i="109" s="1"/>
  <c r="BM132" i="109" s="1"/>
  <c r="BN132" i="109" s="1"/>
  <c r="BO132" i="109" s="1"/>
  <c r="BP132" i="109" s="1"/>
  <c r="BQ132" i="109" s="1"/>
  <c r="BR132" i="109" s="1"/>
  <c r="BS132" i="109" s="1"/>
  <c r="BT132" i="109" s="1"/>
  <c r="BU132" i="109" s="1"/>
  <c r="BV132" i="109" s="1"/>
  <c r="AV132" i="109"/>
  <c r="AW132" i="109" s="1"/>
  <c r="AX132" i="109" s="1"/>
  <c r="AY132" i="109" s="1"/>
  <c r="AT132" i="109"/>
  <c r="AU132" i="109" s="1"/>
  <c r="AS132" i="109"/>
  <c r="BF131" i="109"/>
  <c r="BG131" i="109" s="1"/>
  <c r="BH131" i="109" s="1"/>
  <c r="BI131" i="109" s="1"/>
  <c r="BJ131" i="109" s="1"/>
  <c r="BK131" i="109" s="1"/>
  <c r="BL131" i="109" s="1"/>
  <c r="BM131" i="109" s="1"/>
  <c r="BN131" i="109" s="1"/>
  <c r="BO131" i="109" s="1"/>
  <c r="BP131" i="109" s="1"/>
  <c r="BQ131" i="109" s="1"/>
  <c r="BR131" i="109" s="1"/>
  <c r="BS131" i="109" s="1"/>
  <c r="BT131" i="109" s="1"/>
  <c r="BU131" i="109" s="1"/>
  <c r="BV131" i="109" s="1"/>
  <c r="BB131" i="109"/>
  <c r="BC131" i="109" s="1"/>
  <c r="BD131" i="109" s="1"/>
  <c r="BE131" i="109" s="1"/>
  <c r="AX131" i="109"/>
  <c r="AY131" i="109" s="1"/>
  <c r="AZ131" i="109" s="1"/>
  <c r="BA131" i="109" s="1"/>
  <c r="AT131" i="109"/>
  <c r="AU131" i="109" s="1"/>
  <c r="AV131" i="109" s="1"/>
  <c r="AW131" i="109" s="1"/>
  <c r="AS131" i="109"/>
  <c r="AT130" i="109"/>
  <c r="AU130" i="109" s="1"/>
  <c r="AV130" i="109" s="1"/>
  <c r="AW130" i="109" s="1"/>
  <c r="AX130" i="109" s="1"/>
  <c r="AY130" i="109" s="1"/>
  <c r="AZ130" i="109" s="1"/>
  <c r="BA130" i="109" s="1"/>
  <c r="BB130" i="109" s="1"/>
  <c r="BC130" i="109" s="1"/>
  <c r="BD130" i="109" s="1"/>
  <c r="BE130" i="109" s="1"/>
  <c r="BF130" i="109" s="1"/>
  <c r="BG130" i="109" s="1"/>
  <c r="BH130" i="109" s="1"/>
  <c r="BI130" i="109" s="1"/>
  <c r="BJ130" i="109" s="1"/>
  <c r="BK130" i="109" s="1"/>
  <c r="BL130" i="109" s="1"/>
  <c r="BM130" i="109" s="1"/>
  <c r="BN130" i="109" s="1"/>
  <c r="BO130" i="109" s="1"/>
  <c r="BP130" i="109" s="1"/>
  <c r="BQ130" i="109" s="1"/>
  <c r="BR130" i="109" s="1"/>
  <c r="BS130" i="109" s="1"/>
  <c r="BT130" i="109" s="1"/>
  <c r="BU130" i="109" s="1"/>
  <c r="BV130" i="109" s="1"/>
  <c r="AS130" i="109"/>
  <c r="AX129" i="109"/>
  <c r="AY129" i="109" s="1"/>
  <c r="AZ129" i="109" s="1"/>
  <c r="BA129" i="109" s="1"/>
  <c r="BB129" i="109" s="1"/>
  <c r="BC129" i="109" s="1"/>
  <c r="BD129" i="109" s="1"/>
  <c r="BE129" i="109" s="1"/>
  <c r="BF129" i="109" s="1"/>
  <c r="BG129" i="109" s="1"/>
  <c r="BH129" i="109" s="1"/>
  <c r="BI129" i="109" s="1"/>
  <c r="BJ129" i="109" s="1"/>
  <c r="BK129" i="109" s="1"/>
  <c r="BL129" i="109" s="1"/>
  <c r="BM129" i="109" s="1"/>
  <c r="BN129" i="109" s="1"/>
  <c r="BO129" i="109" s="1"/>
  <c r="BP129" i="109" s="1"/>
  <c r="BQ129" i="109" s="1"/>
  <c r="BR129" i="109" s="1"/>
  <c r="BS129" i="109" s="1"/>
  <c r="BT129" i="109" s="1"/>
  <c r="BU129" i="109" s="1"/>
  <c r="BV129" i="109" s="1"/>
  <c r="AT129" i="109"/>
  <c r="AU129" i="109" s="1"/>
  <c r="AV129" i="109" s="1"/>
  <c r="AW129" i="109" s="1"/>
  <c r="AS129" i="109"/>
  <c r="AZ128" i="109"/>
  <c r="BA128" i="109" s="1"/>
  <c r="BB128" i="109" s="1"/>
  <c r="BC128" i="109" s="1"/>
  <c r="BD128" i="109" s="1"/>
  <c r="BE128" i="109" s="1"/>
  <c r="BF128" i="109" s="1"/>
  <c r="BG128" i="109" s="1"/>
  <c r="BH128" i="109" s="1"/>
  <c r="BI128" i="109" s="1"/>
  <c r="BJ128" i="109" s="1"/>
  <c r="BK128" i="109" s="1"/>
  <c r="BL128" i="109" s="1"/>
  <c r="BM128" i="109" s="1"/>
  <c r="BN128" i="109" s="1"/>
  <c r="BO128" i="109" s="1"/>
  <c r="BP128" i="109" s="1"/>
  <c r="BQ128" i="109" s="1"/>
  <c r="BR128" i="109" s="1"/>
  <c r="BS128" i="109" s="1"/>
  <c r="BT128" i="109" s="1"/>
  <c r="BU128" i="109" s="1"/>
  <c r="BV128" i="109" s="1"/>
  <c r="AV128" i="109"/>
  <c r="AW128" i="109" s="1"/>
  <c r="AX128" i="109" s="1"/>
  <c r="AY128" i="109" s="1"/>
  <c r="AT128" i="109"/>
  <c r="AU128" i="109" s="1"/>
  <c r="AS128" i="109"/>
  <c r="BF127" i="109"/>
  <c r="BG127" i="109" s="1"/>
  <c r="BH127" i="109" s="1"/>
  <c r="BI127" i="109" s="1"/>
  <c r="BJ127" i="109" s="1"/>
  <c r="BK127" i="109" s="1"/>
  <c r="BL127" i="109" s="1"/>
  <c r="BM127" i="109" s="1"/>
  <c r="BN127" i="109" s="1"/>
  <c r="BO127" i="109" s="1"/>
  <c r="BP127" i="109" s="1"/>
  <c r="BQ127" i="109" s="1"/>
  <c r="BR127" i="109" s="1"/>
  <c r="BS127" i="109" s="1"/>
  <c r="BT127" i="109" s="1"/>
  <c r="BU127" i="109" s="1"/>
  <c r="BV127" i="109" s="1"/>
  <c r="BB127" i="109"/>
  <c r="BC127" i="109" s="1"/>
  <c r="BD127" i="109" s="1"/>
  <c r="BE127" i="109" s="1"/>
  <c r="AX127" i="109"/>
  <c r="AY127" i="109" s="1"/>
  <c r="AZ127" i="109" s="1"/>
  <c r="BA127" i="109" s="1"/>
  <c r="AT127" i="109"/>
  <c r="AU127" i="109" s="1"/>
  <c r="AV127" i="109" s="1"/>
  <c r="AW127" i="109" s="1"/>
  <c r="AS127" i="109"/>
  <c r="AS62" i="109"/>
  <c r="AT62" i="109" s="1"/>
  <c r="AU62" i="109" s="1"/>
  <c r="AV62" i="109" s="1"/>
  <c r="AW62" i="109" s="1"/>
  <c r="AX62" i="109" s="1"/>
  <c r="AY62" i="109" s="1"/>
  <c r="AZ62" i="109" s="1"/>
  <c r="BA62" i="109" s="1"/>
  <c r="BB62" i="109" s="1"/>
  <c r="BC62" i="109" s="1"/>
  <c r="BD62" i="109" s="1"/>
  <c r="BE62" i="109" s="1"/>
  <c r="BF62" i="109" s="1"/>
  <c r="BG62" i="109" s="1"/>
  <c r="BH62" i="109" s="1"/>
  <c r="BI62" i="109" s="1"/>
  <c r="BJ62" i="109" s="1"/>
  <c r="BK62" i="109" s="1"/>
  <c r="BL62" i="109" s="1"/>
  <c r="BM62" i="109" s="1"/>
  <c r="BN62" i="109" s="1"/>
  <c r="BO62" i="109" s="1"/>
  <c r="BP62" i="109" s="1"/>
  <c r="BQ62" i="109" s="1"/>
  <c r="BR62" i="109" s="1"/>
  <c r="BS62" i="109" s="1"/>
  <c r="BT62" i="109" s="1"/>
  <c r="BU62" i="109" s="1"/>
  <c r="BV62" i="109" s="1"/>
  <c r="AS78" i="109"/>
  <c r="AT78" i="109" s="1"/>
  <c r="AU78" i="109" s="1"/>
  <c r="AV78" i="109" s="1"/>
  <c r="AW78" i="109" s="1"/>
  <c r="AX78" i="109" s="1"/>
  <c r="AY78" i="109" s="1"/>
  <c r="AZ78" i="109" s="1"/>
  <c r="BA78" i="109" s="1"/>
  <c r="BB78" i="109" s="1"/>
  <c r="BC78" i="109" s="1"/>
  <c r="BD78" i="109" s="1"/>
  <c r="BE78" i="109" s="1"/>
  <c r="BF78" i="109" s="1"/>
  <c r="BG78" i="109" s="1"/>
  <c r="BH78" i="109" s="1"/>
  <c r="BI78" i="109" s="1"/>
  <c r="BJ78" i="109" s="1"/>
  <c r="BK78" i="109" s="1"/>
  <c r="BL78" i="109" s="1"/>
  <c r="BM78" i="109" s="1"/>
  <c r="BN78" i="109" s="1"/>
  <c r="BO78" i="109" s="1"/>
  <c r="BP78" i="109" s="1"/>
  <c r="BQ78" i="109" s="1"/>
  <c r="BR78" i="109" s="1"/>
  <c r="BS78" i="109" s="1"/>
  <c r="BT78" i="109" s="1"/>
  <c r="BU78" i="109" s="1"/>
  <c r="BV78" i="109" s="1"/>
  <c r="AS76" i="109"/>
  <c r="AT76" i="109" s="1"/>
  <c r="AU76" i="109" s="1"/>
  <c r="AV76" i="109" s="1"/>
  <c r="AW76" i="109" s="1"/>
  <c r="AX76" i="109" s="1"/>
  <c r="AY76" i="109" s="1"/>
  <c r="AZ76" i="109" s="1"/>
  <c r="BA76" i="109" s="1"/>
  <c r="BB76" i="109" s="1"/>
  <c r="BC76" i="109" s="1"/>
  <c r="BD76" i="109" s="1"/>
  <c r="BE76" i="109" s="1"/>
  <c r="BF76" i="109" s="1"/>
  <c r="BG76" i="109" s="1"/>
  <c r="BH76" i="109" s="1"/>
  <c r="BI76" i="109" s="1"/>
  <c r="BJ76" i="109" s="1"/>
  <c r="BK76" i="109" s="1"/>
  <c r="BL76" i="109" s="1"/>
  <c r="BM76" i="109" s="1"/>
  <c r="BN76" i="109" s="1"/>
  <c r="BO76" i="109" s="1"/>
  <c r="BP76" i="109" s="1"/>
  <c r="BQ76" i="109" s="1"/>
  <c r="BR76" i="109" s="1"/>
  <c r="BS76" i="109" s="1"/>
  <c r="BT76" i="109" s="1"/>
  <c r="BU76" i="109" s="1"/>
  <c r="BV76" i="109" s="1"/>
  <c r="AS120" i="109"/>
  <c r="AT120" i="109" s="1"/>
  <c r="AU120" i="109" s="1"/>
  <c r="AV120" i="109" s="1"/>
  <c r="AW120" i="109" s="1"/>
  <c r="AX120" i="109" s="1"/>
  <c r="AY120" i="109" s="1"/>
  <c r="AZ120" i="109" s="1"/>
  <c r="BA120" i="109" s="1"/>
  <c r="BB120" i="109" s="1"/>
  <c r="BC120" i="109" s="1"/>
  <c r="BD120" i="109" s="1"/>
  <c r="BE120" i="109" s="1"/>
  <c r="BF120" i="109" s="1"/>
  <c r="BG120" i="109" s="1"/>
  <c r="BH120" i="109" s="1"/>
  <c r="BI120" i="109" s="1"/>
  <c r="BJ120" i="109" s="1"/>
  <c r="BK120" i="109" s="1"/>
  <c r="BL120" i="109" s="1"/>
  <c r="BM120" i="109" s="1"/>
  <c r="BN120" i="109" s="1"/>
  <c r="BO120" i="109" s="1"/>
  <c r="BP120" i="109" s="1"/>
  <c r="BQ120" i="109" s="1"/>
  <c r="BR120" i="109" s="1"/>
  <c r="BS120" i="109" s="1"/>
  <c r="BT120" i="109" s="1"/>
  <c r="BU120" i="109" s="1"/>
  <c r="BV120" i="109" s="1"/>
  <c r="AS118" i="109"/>
  <c r="AT118" i="109" s="1"/>
  <c r="AU118" i="109" s="1"/>
  <c r="AV118" i="109" s="1"/>
  <c r="AW118" i="109" s="1"/>
  <c r="AX118" i="109" s="1"/>
  <c r="AY118" i="109" s="1"/>
  <c r="AZ118" i="109" s="1"/>
  <c r="BA118" i="109" s="1"/>
  <c r="BB118" i="109" s="1"/>
  <c r="BC118" i="109" s="1"/>
  <c r="BD118" i="109" s="1"/>
  <c r="BE118" i="109" s="1"/>
  <c r="BF118" i="109" s="1"/>
  <c r="BG118" i="109" s="1"/>
  <c r="BH118" i="109" s="1"/>
  <c r="BI118" i="109" s="1"/>
  <c r="BJ118" i="109" s="1"/>
  <c r="BK118" i="109" s="1"/>
  <c r="BL118" i="109" s="1"/>
  <c r="BM118" i="109" s="1"/>
  <c r="BN118" i="109" s="1"/>
  <c r="BO118" i="109" s="1"/>
  <c r="BP118" i="109" s="1"/>
  <c r="BQ118" i="109" s="1"/>
  <c r="BR118" i="109" s="1"/>
  <c r="BS118" i="109" s="1"/>
  <c r="BT118" i="109" s="1"/>
  <c r="BU118" i="109" s="1"/>
  <c r="BV118" i="109" s="1"/>
  <c r="AS104" i="109"/>
  <c r="AT104" i="109" s="1"/>
  <c r="AU104" i="109" s="1"/>
  <c r="AV104" i="109" s="1"/>
  <c r="AW104" i="109" s="1"/>
  <c r="AX104" i="109" s="1"/>
  <c r="AY104" i="109" s="1"/>
  <c r="AZ104" i="109" s="1"/>
  <c r="BA104" i="109" s="1"/>
  <c r="BB104" i="109" s="1"/>
  <c r="BC104" i="109" s="1"/>
  <c r="BD104" i="109" s="1"/>
  <c r="BE104" i="109" s="1"/>
  <c r="BF104" i="109" s="1"/>
  <c r="BG104" i="109" s="1"/>
  <c r="BH104" i="109" s="1"/>
  <c r="BI104" i="109" s="1"/>
  <c r="BJ104" i="109" s="1"/>
  <c r="BK104" i="109" s="1"/>
  <c r="BL104" i="109" s="1"/>
  <c r="BM104" i="109" s="1"/>
  <c r="BN104" i="109" s="1"/>
  <c r="BO104" i="109" s="1"/>
  <c r="BP104" i="109" s="1"/>
  <c r="BQ104" i="109" s="1"/>
  <c r="BR104" i="109" s="1"/>
  <c r="BS104" i="109" s="1"/>
  <c r="BT104" i="109" s="1"/>
  <c r="BU104" i="109" s="1"/>
  <c r="BV104" i="109" s="1"/>
  <c r="AS121" i="109"/>
  <c r="AT121" i="109" s="1"/>
  <c r="AU121" i="109" s="1"/>
  <c r="AV121" i="109" s="1"/>
  <c r="AW121" i="109" s="1"/>
  <c r="AX121" i="109" s="1"/>
  <c r="AY121" i="109" s="1"/>
  <c r="AZ121" i="109" s="1"/>
  <c r="BA121" i="109" s="1"/>
  <c r="BB121" i="109" s="1"/>
  <c r="BC121" i="109" s="1"/>
  <c r="BD121" i="109" s="1"/>
  <c r="BE121" i="109" s="1"/>
  <c r="BF121" i="109" s="1"/>
  <c r="BG121" i="109" s="1"/>
  <c r="BH121" i="109" s="1"/>
  <c r="BI121" i="109" s="1"/>
  <c r="BJ121" i="109" s="1"/>
  <c r="BK121" i="109" s="1"/>
  <c r="BL121" i="109" s="1"/>
  <c r="BM121" i="109" s="1"/>
  <c r="BN121" i="109" s="1"/>
  <c r="BO121" i="109" s="1"/>
  <c r="BP121" i="109" s="1"/>
  <c r="BQ121" i="109" s="1"/>
  <c r="BR121" i="109" s="1"/>
  <c r="BS121" i="109" s="1"/>
  <c r="BT121" i="109" s="1"/>
  <c r="BU121" i="109" s="1"/>
  <c r="BV121" i="109" s="1"/>
  <c r="AS119" i="109"/>
  <c r="AT119" i="109" s="1"/>
  <c r="AU119" i="109" s="1"/>
  <c r="AV119" i="109" s="1"/>
  <c r="AW119" i="109" s="1"/>
  <c r="AX119" i="109" s="1"/>
  <c r="AY119" i="109" s="1"/>
  <c r="AZ119" i="109" s="1"/>
  <c r="BA119" i="109" s="1"/>
  <c r="BB119" i="109" s="1"/>
  <c r="BC119" i="109" s="1"/>
  <c r="BD119" i="109" s="1"/>
  <c r="BE119" i="109" s="1"/>
  <c r="BF119" i="109" s="1"/>
  <c r="BG119" i="109" s="1"/>
  <c r="BH119" i="109" s="1"/>
  <c r="BI119" i="109" s="1"/>
  <c r="BJ119" i="109" s="1"/>
  <c r="BK119" i="109" s="1"/>
  <c r="BL119" i="109" s="1"/>
  <c r="BM119" i="109" s="1"/>
  <c r="BN119" i="109" s="1"/>
  <c r="BO119" i="109" s="1"/>
  <c r="BP119" i="109" s="1"/>
  <c r="BQ119" i="109" s="1"/>
  <c r="BR119" i="109" s="1"/>
  <c r="BS119" i="109" s="1"/>
  <c r="BT119" i="109" s="1"/>
  <c r="BU119" i="109" s="1"/>
  <c r="BV119" i="109" s="1"/>
  <c r="AS117" i="109"/>
  <c r="AT117" i="109" s="1"/>
  <c r="AU117" i="109" s="1"/>
  <c r="AV117" i="109" s="1"/>
  <c r="AW117" i="109" s="1"/>
  <c r="AX117" i="109" s="1"/>
  <c r="AY117" i="109" s="1"/>
  <c r="AZ117" i="109" s="1"/>
  <c r="BA117" i="109" s="1"/>
  <c r="BB117" i="109" s="1"/>
  <c r="BC117" i="109" s="1"/>
  <c r="BD117" i="109" s="1"/>
  <c r="BE117" i="109" s="1"/>
  <c r="BF117" i="109" s="1"/>
  <c r="BG117" i="109" s="1"/>
  <c r="BH117" i="109" s="1"/>
  <c r="BI117" i="109" s="1"/>
  <c r="BJ117" i="109" s="1"/>
  <c r="BK117" i="109" s="1"/>
  <c r="BL117" i="109" s="1"/>
  <c r="BM117" i="109" s="1"/>
  <c r="BN117" i="109" s="1"/>
  <c r="BO117" i="109" s="1"/>
  <c r="BP117" i="109" s="1"/>
  <c r="BQ117" i="109" s="1"/>
  <c r="BR117" i="109" s="1"/>
  <c r="BS117" i="109" s="1"/>
  <c r="BT117" i="109" s="1"/>
  <c r="BU117" i="109" s="1"/>
  <c r="BV117" i="109" s="1"/>
  <c r="AS116" i="109"/>
  <c r="AT116" i="109" s="1"/>
  <c r="AU116" i="109" s="1"/>
  <c r="AV116" i="109" s="1"/>
  <c r="AW116" i="109" s="1"/>
  <c r="AX116" i="109" s="1"/>
  <c r="AY116" i="109" s="1"/>
  <c r="AZ116" i="109" s="1"/>
  <c r="BA116" i="109" s="1"/>
  <c r="BB116" i="109" s="1"/>
  <c r="BC116" i="109" s="1"/>
  <c r="BD116" i="109" s="1"/>
  <c r="BE116" i="109" s="1"/>
  <c r="BF116" i="109" s="1"/>
  <c r="BG116" i="109" s="1"/>
  <c r="BH116" i="109" s="1"/>
  <c r="BI116" i="109" s="1"/>
  <c r="BJ116" i="109" s="1"/>
  <c r="BK116" i="109" s="1"/>
  <c r="BL116" i="109" s="1"/>
  <c r="BM116" i="109" s="1"/>
  <c r="BN116" i="109" s="1"/>
  <c r="BO116" i="109" s="1"/>
  <c r="BP116" i="109" s="1"/>
  <c r="BQ116" i="109" s="1"/>
  <c r="BR116" i="109" s="1"/>
  <c r="BS116" i="109" s="1"/>
  <c r="BT116" i="109" s="1"/>
  <c r="BU116" i="109" s="1"/>
  <c r="BV116" i="109" s="1"/>
  <c r="AS115" i="109"/>
  <c r="AT115" i="109" s="1"/>
  <c r="AU115" i="109" s="1"/>
  <c r="AV115" i="109" s="1"/>
  <c r="AW115" i="109" s="1"/>
  <c r="AX115" i="109" s="1"/>
  <c r="AY115" i="109" s="1"/>
  <c r="AZ115" i="109" s="1"/>
  <c r="BA115" i="109" s="1"/>
  <c r="BB115" i="109" s="1"/>
  <c r="BC115" i="109" s="1"/>
  <c r="BD115" i="109" s="1"/>
  <c r="BE115" i="109" s="1"/>
  <c r="BF115" i="109" s="1"/>
  <c r="BG115" i="109" s="1"/>
  <c r="BH115" i="109" s="1"/>
  <c r="BI115" i="109" s="1"/>
  <c r="BJ115" i="109" s="1"/>
  <c r="BK115" i="109" s="1"/>
  <c r="BL115" i="109" s="1"/>
  <c r="BM115" i="109" s="1"/>
  <c r="BN115" i="109" s="1"/>
  <c r="BO115" i="109" s="1"/>
  <c r="BP115" i="109" s="1"/>
  <c r="BQ115" i="109" s="1"/>
  <c r="BR115" i="109" s="1"/>
  <c r="BS115" i="109" s="1"/>
  <c r="BT115" i="109" s="1"/>
  <c r="BU115" i="109" s="1"/>
  <c r="BV115" i="109" s="1"/>
  <c r="AS114" i="109"/>
  <c r="AT114" i="109" s="1"/>
  <c r="AU114" i="109" s="1"/>
  <c r="AV114" i="109" s="1"/>
  <c r="AW114" i="109" s="1"/>
  <c r="AX114" i="109" s="1"/>
  <c r="AY114" i="109" s="1"/>
  <c r="AZ114" i="109" s="1"/>
  <c r="BA114" i="109" s="1"/>
  <c r="BB114" i="109" s="1"/>
  <c r="BC114" i="109" s="1"/>
  <c r="BD114" i="109" s="1"/>
  <c r="BE114" i="109" s="1"/>
  <c r="BF114" i="109" s="1"/>
  <c r="BG114" i="109" s="1"/>
  <c r="BH114" i="109" s="1"/>
  <c r="BI114" i="109" s="1"/>
  <c r="BJ114" i="109" s="1"/>
  <c r="BK114" i="109" s="1"/>
  <c r="BL114" i="109" s="1"/>
  <c r="BM114" i="109" s="1"/>
  <c r="BN114" i="109" s="1"/>
  <c r="BO114" i="109" s="1"/>
  <c r="BP114" i="109" s="1"/>
  <c r="BQ114" i="109" s="1"/>
  <c r="BR114" i="109" s="1"/>
  <c r="BS114" i="109" s="1"/>
  <c r="BT114" i="109" s="1"/>
  <c r="BU114" i="109" s="1"/>
  <c r="BV114" i="109" s="1"/>
  <c r="AS113" i="109"/>
  <c r="AT113" i="109" s="1"/>
  <c r="AU113" i="109" s="1"/>
  <c r="AV113" i="109" s="1"/>
  <c r="AW113" i="109" s="1"/>
  <c r="AX113" i="109" s="1"/>
  <c r="AY113" i="109" s="1"/>
  <c r="AZ113" i="109" s="1"/>
  <c r="BA113" i="109" s="1"/>
  <c r="BB113" i="109" s="1"/>
  <c r="BC113" i="109" s="1"/>
  <c r="BD113" i="109" s="1"/>
  <c r="BE113" i="109" s="1"/>
  <c r="BF113" i="109" s="1"/>
  <c r="BG113" i="109" s="1"/>
  <c r="BH113" i="109" s="1"/>
  <c r="BI113" i="109" s="1"/>
  <c r="BJ113" i="109" s="1"/>
  <c r="BK113" i="109" s="1"/>
  <c r="BL113" i="109" s="1"/>
  <c r="BM113" i="109" s="1"/>
  <c r="BN113" i="109" s="1"/>
  <c r="BO113" i="109" s="1"/>
  <c r="BP113" i="109" s="1"/>
  <c r="BQ113" i="109" s="1"/>
  <c r="BR113" i="109" s="1"/>
  <c r="BS113" i="109" s="1"/>
  <c r="BT113" i="109" s="1"/>
  <c r="BU113" i="109" s="1"/>
  <c r="BV113" i="109" s="1"/>
  <c r="AS112" i="109"/>
  <c r="AT112" i="109" s="1"/>
  <c r="AU112" i="109" s="1"/>
  <c r="AV112" i="109" s="1"/>
  <c r="AW112" i="109" s="1"/>
  <c r="AX112" i="109" s="1"/>
  <c r="AY112" i="109" s="1"/>
  <c r="AZ112" i="109" s="1"/>
  <c r="BA112" i="109" s="1"/>
  <c r="BB112" i="109" s="1"/>
  <c r="BC112" i="109" s="1"/>
  <c r="BD112" i="109" s="1"/>
  <c r="BE112" i="109" s="1"/>
  <c r="BF112" i="109" s="1"/>
  <c r="BG112" i="109" s="1"/>
  <c r="BH112" i="109" s="1"/>
  <c r="BI112" i="109" s="1"/>
  <c r="BJ112" i="109" s="1"/>
  <c r="BK112" i="109" s="1"/>
  <c r="BL112" i="109" s="1"/>
  <c r="BM112" i="109" s="1"/>
  <c r="BN112" i="109" s="1"/>
  <c r="BO112" i="109" s="1"/>
  <c r="BP112" i="109" s="1"/>
  <c r="BQ112" i="109" s="1"/>
  <c r="BR112" i="109" s="1"/>
  <c r="BS112" i="109" s="1"/>
  <c r="BT112" i="109" s="1"/>
  <c r="BU112" i="109" s="1"/>
  <c r="BV112" i="109" s="1"/>
  <c r="AS111" i="109"/>
  <c r="AT111" i="109" s="1"/>
  <c r="AU111" i="109" s="1"/>
  <c r="AV111" i="109" s="1"/>
  <c r="AW111" i="109" s="1"/>
  <c r="AX111" i="109" s="1"/>
  <c r="AY111" i="109" s="1"/>
  <c r="AZ111" i="109" s="1"/>
  <c r="BA111" i="109" s="1"/>
  <c r="BB111" i="109" s="1"/>
  <c r="BC111" i="109" s="1"/>
  <c r="BD111" i="109" s="1"/>
  <c r="BE111" i="109" s="1"/>
  <c r="BF111" i="109" s="1"/>
  <c r="BG111" i="109" s="1"/>
  <c r="BH111" i="109" s="1"/>
  <c r="BI111" i="109" s="1"/>
  <c r="BJ111" i="109" s="1"/>
  <c r="BK111" i="109" s="1"/>
  <c r="BL111" i="109" s="1"/>
  <c r="BM111" i="109" s="1"/>
  <c r="BN111" i="109" s="1"/>
  <c r="BO111" i="109" s="1"/>
  <c r="BP111" i="109" s="1"/>
  <c r="BQ111" i="109" s="1"/>
  <c r="BR111" i="109" s="1"/>
  <c r="BS111" i="109" s="1"/>
  <c r="BT111" i="109" s="1"/>
  <c r="BU111" i="109" s="1"/>
  <c r="BV111" i="109" s="1"/>
  <c r="AS110" i="109"/>
  <c r="AT110" i="109" s="1"/>
  <c r="AU110" i="109" s="1"/>
  <c r="AV110" i="109" s="1"/>
  <c r="AW110" i="109" s="1"/>
  <c r="AX110" i="109" s="1"/>
  <c r="AY110" i="109" s="1"/>
  <c r="AZ110" i="109" s="1"/>
  <c r="BA110" i="109" s="1"/>
  <c r="BB110" i="109" s="1"/>
  <c r="BC110" i="109" s="1"/>
  <c r="BD110" i="109" s="1"/>
  <c r="BE110" i="109" s="1"/>
  <c r="BF110" i="109" s="1"/>
  <c r="BG110" i="109" s="1"/>
  <c r="BH110" i="109" s="1"/>
  <c r="BI110" i="109" s="1"/>
  <c r="BJ110" i="109" s="1"/>
  <c r="BK110" i="109" s="1"/>
  <c r="BL110" i="109" s="1"/>
  <c r="BM110" i="109" s="1"/>
  <c r="BN110" i="109" s="1"/>
  <c r="BO110" i="109" s="1"/>
  <c r="BP110" i="109" s="1"/>
  <c r="BQ110" i="109" s="1"/>
  <c r="BR110" i="109" s="1"/>
  <c r="BS110" i="109" s="1"/>
  <c r="BT110" i="109" s="1"/>
  <c r="BU110" i="109" s="1"/>
  <c r="BV110" i="109" s="1"/>
  <c r="AS109" i="109"/>
  <c r="AT109" i="109" s="1"/>
  <c r="AU109" i="109" s="1"/>
  <c r="AV109" i="109" s="1"/>
  <c r="AW109" i="109" s="1"/>
  <c r="AX109" i="109" s="1"/>
  <c r="AY109" i="109" s="1"/>
  <c r="AZ109" i="109" s="1"/>
  <c r="BA109" i="109" s="1"/>
  <c r="BB109" i="109" s="1"/>
  <c r="BC109" i="109" s="1"/>
  <c r="BD109" i="109" s="1"/>
  <c r="BE109" i="109" s="1"/>
  <c r="BF109" i="109" s="1"/>
  <c r="BG109" i="109" s="1"/>
  <c r="BH109" i="109" s="1"/>
  <c r="BI109" i="109" s="1"/>
  <c r="BJ109" i="109" s="1"/>
  <c r="BK109" i="109" s="1"/>
  <c r="BL109" i="109" s="1"/>
  <c r="BM109" i="109" s="1"/>
  <c r="BN109" i="109" s="1"/>
  <c r="BO109" i="109" s="1"/>
  <c r="BP109" i="109" s="1"/>
  <c r="BQ109" i="109" s="1"/>
  <c r="BR109" i="109" s="1"/>
  <c r="BS109" i="109" s="1"/>
  <c r="BT109" i="109" s="1"/>
  <c r="BU109" i="109" s="1"/>
  <c r="BV109" i="109" s="1"/>
  <c r="AS108" i="109"/>
  <c r="AT108" i="109" s="1"/>
  <c r="AU108" i="109" s="1"/>
  <c r="AV108" i="109" s="1"/>
  <c r="AW108" i="109" s="1"/>
  <c r="AX108" i="109" s="1"/>
  <c r="AY108" i="109" s="1"/>
  <c r="AZ108" i="109" s="1"/>
  <c r="BA108" i="109" s="1"/>
  <c r="BB108" i="109" s="1"/>
  <c r="BC108" i="109" s="1"/>
  <c r="BD108" i="109" s="1"/>
  <c r="BE108" i="109" s="1"/>
  <c r="BF108" i="109" s="1"/>
  <c r="BG108" i="109" s="1"/>
  <c r="BH108" i="109" s="1"/>
  <c r="BI108" i="109" s="1"/>
  <c r="BJ108" i="109" s="1"/>
  <c r="BK108" i="109" s="1"/>
  <c r="BL108" i="109" s="1"/>
  <c r="BM108" i="109" s="1"/>
  <c r="BN108" i="109" s="1"/>
  <c r="BO108" i="109" s="1"/>
  <c r="BP108" i="109" s="1"/>
  <c r="BQ108" i="109" s="1"/>
  <c r="BR108" i="109" s="1"/>
  <c r="BS108" i="109" s="1"/>
  <c r="BT108" i="109" s="1"/>
  <c r="BU108" i="109" s="1"/>
  <c r="BV108" i="109" s="1"/>
  <c r="AU107" i="109"/>
  <c r="AV107" i="109" s="1"/>
  <c r="AW107" i="109" s="1"/>
  <c r="AX107" i="109" s="1"/>
  <c r="AY107" i="109" s="1"/>
  <c r="AZ107" i="109" s="1"/>
  <c r="BA107" i="109" s="1"/>
  <c r="BB107" i="109" s="1"/>
  <c r="BC107" i="109" s="1"/>
  <c r="BD107" i="109" s="1"/>
  <c r="BE107" i="109" s="1"/>
  <c r="BF107" i="109" s="1"/>
  <c r="BG107" i="109" s="1"/>
  <c r="BH107" i="109" s="1"/>
  <c r="BI107" i="109" s="1"/>
  <c r="BJ107" i="109" s="1"/>
  <c r="BK107" i="109" s="1"/>
  <c r="BL107" i="109" s="1"/>
  <c r="BM107" i="109" s="1"/>
  <c r="BN107" i="109" s="1"/>
  <c r="BO107" i="109" s="1"/>
  <c r="BP107" i="109" s="1"/>
  <c r="BQ107" i="109" s="1"/>
  <c r="BR107" i="109" s="1"/>
  <c r="BS107" i="109" s="1"/>
  <c r="BT107" i="109" s="1"/>
  <c r="BU107" i="109" s="1"/>
  <c r="BV107" i="109" s="1"/>
  <c r="AT107" i="109"/>
  <c r="AS107" i="109"/>
  <c r="AT106" i="109"/>
  <c r="AU106" i="109" s="1"/>
  <c r="AV106" i="109" s="1"/>
  <c r="AW106" i="109" s="1"/>
  <c r="AX106" i="109" s="1"/>
  <c r="AY106" i="109" s="1"/>
  <c r="AZ106" i="109" s="1"/>
  <c r="BA106" i="109" s="1"/>
  <c r="BB106" i="109" s="1"/>
  <c r="BC106" i="109" s="1"/>
  <c r="BD106" i="109" s="1"/>
  <c r="BE106" i="109" s="1"/>
  <c r="BF106" i="109" s="1"/>
  <c r="BG106" i="109" s="1"/>
  <c r="BH106" i="109" s="1"/>
  <c r="BI106" i="109" s="1"/>
  <c r="BJ106" i="109" s="1"/>
  <c r="BK106" i="109" s="1"/>
  <c r="BL106" i="109" s="1"/>
  <c r="BM106" i="109" s="1"/>
  <c r="BN106" i="109" s="1"/>
  <c r="BO106" i="109" s="1"/>
  <c r="BP106" i="109" s="1"/>
  <c r="BQ106" i="109" s="1"/>
  <c r="BR106" i="109" s="1"/>
  <c r="BS106" i="109" s="1"/>
  <c r="BT106" i="109" s="1"/>
  <c r="BU106" i="109" s="1"/>
  <c r="BV106" i="109" s="1"/>
  <c r="AS106" i="109"/>
  <c r="AS105" i="109"/>
  <c r="AT105" i="109" s="1"/>
  <c r="AU105" i="109" s="1"/>
  <c r="AV105" i="109" s="1"/>
  <c r="AW105" i="109" s="1"/>
  <c r="AX105" i="109" s="1"/>
  <c r="AY105" i="109" s="1"/>
  <c r="AZ105" i="109" s="1"/>
  <c r="BA105" i="109" s="1"/>
  <c r="BB105" i="109" s="1"/>
  <c r="BC105" i="109" s="1"/>
  <c r="BD105" i="109" s="1"/>
  <c r="BE105" i="109" s="1"/>
  <c r="BF105" i="109" s="1"/>
  <c r="BG105" i="109" s="1"/>
  <c r="BH105" i="109" s="1"/>
  <c r="BI105" i="109" s="1"/>
  <c r="BJ105" i="109" s="1"/>
  <c r="BK105" i="109" s="1"/>
  <c r="BL105" i="109" s="1"/>
  <c r="BM105" i="109" s="1"/>
  <c r="BN105" i="109" s="1"/>
  <c r="BO105" i="109" s="1"/>
  <c r="BP105" i="109" s="1"/>
  <c r="BQ105" i="109" s="1"/>
  <c r="BR105" i="109" s="1"/>
  <c r="BS105" i="109" s="1"/>
  <c r="BT105" i="109" s="1"/>
  <c r="BU105" i="109" s="1"/>
  <c r="BV105" i="109" s="1"/>
  <c r="AS103" i="109"/>
  <c r="AT103" i="109" s="1"/>
  <c r="AU103" i="109" s="1"/>
  <c r="AV103" i="109" s="1"/>
  <c r="AW103" i="109" s="1"/>
  <c r="AX103" i="109" s="1"/>
  <c r="AY103" i="109" s="1"/>
  <c r="AZ103" i="109" s="1"/>
  <c r="BA103" i="109" s="1"/>
  <c r="BB103" i="109" s="1"/>
  <c r="BC103" i="109" s="1"/>
  <c r="BD103" i="109" s="1"/>
  <c r="BE103" i="109" s="1"/>
  <c r="BF103" i="109" s="1"/>
  <c r="BG103" i="109" s="1"/>
  <c r="BH103" i="109" s="1"/>
  <c r="BI103" i="109" s="1"/>
  <c r="BJ103" i="109" s="1"/>
  <c r="BK103" i="109" s="1"/>
  <c r="BL103" i="109" s="1"/>
  <c r="BM103" i="109" s="1"/>
  <c r="BN103" i="109" s="1"/>
  <c r="BO103" i="109" s="1"/>
  <c r="BP103" i="109" s="1"/>
  <c r="BQ103" i="109" s="1"/>
  <c r="BR103" i="109" s="1"/>
  <c r="BS103" i="109" s="1"/>
  <c r="BT103" i="109" s="1"/>
  <c r="BU103" i="109" s="1"/>
  <c r="BV103" i="109" s="1"/>
  <c r="AS102" i="109"/>
  <c r="AT102" i="109" s="1"/>
  <c r="AU102" i="109" s="1"/>
  <c r="AV102" i="109" s="1"/>
  <c r="AW102" i="109" s="1"/>
  <c r="AX102" i="109" s="1"/>
  <c r="AY102" i="109" s="1"/>
  <c r="AZ102" i="109" s="1"/>
  <c r="BA102" i="109" s="1"/>
  <c r="BB102" i="109" s="1"/>
  <c r="BC102" i="109" s="1"/>
  <c r="BD102" i="109" s="1"/>
  <c r="BE102" i="109" s="1"/>
  <c r="BF102" i="109" s="1"/>
  <c r="BG102" i="109" s="1"/>
  <c r="BH102" i="109" s="1"/>
  <c r="BI102" i="109" s="1"/>
  <c r="BJ102" i="109" s="1"/>
  <c r="BK102" i="109" s="1"/>
  <c r="BL102" i="109" s="1"/>
  <c r="BM102" i="109" s="1"/>
  <c r="BN102" i="109" s="1"/>
  <c r="BO102" i="109" s="1"/>
  <c r="BP102" i="109" s="1"/>
  <c r="BQ102" i="109" s="1"/>
  <c r="BR102" i="109" s="1"/>
  <c r="BS102" i="109" s="1"/>
  <c r="BT102" i="109" s="1"/>
  <c r="BU102" i="109" s="1"/>
  <c r="BV102" i="109" s="1"/>
  <c r="AS101" i="109"/>
  <c r="AT101" i="109" s="1"/>
  <c r="AU101" i="109" s="1"/>
  <c r="AV101" i="109" s="1"/>
  <c r="AW101" i="109" s="1"/>
  <c r="AX101" i="109" s="1"/>
  <c r="AY101" i="109" s="1"/>
  <c r="AZ101" i="109" s="1"/>
  <c r="BA101" i="109" s="1"/>
  <c r="BB101" i="109" s="1"/>
  <c r="BC101" i="109" s="1"/>
  <c r="BD101" i="109" s="1"/>
  <c r="BE101" i="109" s="1"/>
  <c r="BF101" i="109" s="1"/>
  <c r="BG101" i="109" s="1"/>
  <c r="BH101" i="109" s="1"/>
  <c r="BI101" i="109" s="1"/>
  <c r="BJ101" i="109" s="1"/>
  <c r="BK101" i="109" s="1"/>
  <c r="BL101" i="109" s="1"/>
  <c r="BM101" i="109" s="1"/>
  <c r="BN101" i="109" s="1"/>
  <c r="BO101" i="109" s="1"/>
  <c r="BP101" i="109" s="1"/>
  <c r="BQ101" i="109" s="1"/>
  <c r="BR101" i="109" s="1"/>
  <c r="BS101" i="109" s="1"/>
  <c r="BT101" i="109" s="1"/>
  <c r="BU101" i="109" s="1"/>
  <c r="BV101" i="109" s="1"/>
  <c r="AS100" i="109"/>
  <c r="AT100" i="109" s="1"/>
  <c r="AU100" i="109" s="1"/>
  <c r="AV100" i="109" s="1"/>
  <c r="AW100" i="109" s="1"/>
  <c r="AX100" i="109" s="1"/>
  <c r="AY100" i="109" s="1"/>
  <c r="AZ100" i="109" s="1"/>
  <c r="BA100" i="109" s="1"/>
  <c r="BB100" i="109" s="1"/>
  <c r="BC100" i="109" s="1"/>
  <c r="BD100" i="109" s="1"/>
  <c r="BE100" i="109" s="1"/>
  <c r="BF100" i="109" s="1"/>
  <c r="BG100" i="109" s="1"/>
  <c r="BH100" i="109" s="1"/>
  <c r="BI100" i="109" s="1"/>
  <c r="BJ100" i="109" s="1"/>
  <c r="BK100" i="109" s="1"/>
  <c r="BL100" i="109" s="1"/>
  <c r="BM100" i="109" s="1"/>
  <c r="BN100" i="109" s="1"/>
  <c r="BO100" i="109" s="1"/>
  <c r="BP100" i="109" s="1"/>
  <c r="BQ100" i="109" s="1"/>
  <c r="BR100" i="109" s="1"/>
  <c r="BS100" i="109" s="1"/>
  <c r="BT100" i="109" s="1"/>
  <c r="BU100" i="109" s="1"/>
  <c r="BV100" i="109" s="1"/>
  <c r="AS99" i="109"/>
  <c r="AT99" i="109" s="1"/>
  <c r="AU99" i="109" s="1"/>
  <c r="AV99" i="109" s="1"/>
  <c r="AW99" i="109" s="1"/>
  <c r="AX99" i="109" s="1"/>
  <c r="AY99" i="109" s="1"/>
  <c r="AZ99" i="109" s="1"/>
  <c r="BA99" i="109" s="1"/>
  <c r="BB99" i="109" s="1"/>
  <c r="BC99" i="109" s="1"/>
  <c r="BD99" i="109" s="1"/>
  <c r="BE99" i="109" s="1"/>
  <c r="BF99" i="109" s="1"/>
  <c r="BG99" i="109" s="1"/>
  <c r="BH99" i="109" s="1"/>
  <c r="BI99" i="109" s="1"/>
  <c r="BJ99" i="109" s="1"/>
  <c r="BK99" i="109" s="1"/>
  <c r="BL99" i="109" s="1"/>
  <c r="BM99" i="109" s="1"/>
  <c r="BN99" i="109" s="1"/>
  <c r="BO99" i="109" s="1"/>
  <c r="BP99" i="109" s="1"/>
  <c r="BQ99" i="109" s="1"/>
  <c r="BR99" i="109" s="1"/>
  <c r="BS99" i="109" s="1"/>
  <c r="BT99" i="109" s="1"/>
  <c r="BU99" i="109" s="1"/>
  <c r="BV99" i="109" s="1"/>
  <c r="AS98" i="109"/>
  <c r="AT98" i="109" s="1"/>
  <c r="AU98" i="109" s="1"/>
  <c r="AV98" i="109" s="1"/>
  <c r="AW98" i="109" s="1"/>
  <c r="AX98" i="109" s="1"/>
  <c r="AY98" i="109" s="1"/>
  <c r="AZ98" i="109" s="1"/>
  <c r="BA98" i="109" s="1"/>
  <c r="BB98" i="109" s="1"/>
  <c r="BC98" i="109" s="1"/>
  <c r="BD98" i="109" s="1"/>
  <c r="BE98" i="109" s="1"/>
  <c r="BF98" i="109" s="1"/>
  <c r="BG98" i="109" s="1"/>
  <c r="BH98" i="109" s="1"/>
  <c r="BI98" i="109" s="1"/>
  <c r="BJ98" i="109" s="1"/>
  <c r="BK98" i="109" s="1"/>
  <c r="BL98" i="109" s="1"/>
  <c r="BM98" i="109" s="1"/>
  <c r="BN98" i="109" s="1"/>
  <c r="BO98" i="109" s="1"/>
  <c r="BP98" i="109" s="1"/>
  <c r="BQ98" i="109" s="1"/>
  <c r="BR98" i="109" s="1"/>
  <c r="BS98" i="109" s="1"/>
  <c r="BT98" i="109" s="1"/>
  <c r="BU98" i="109" s="1"/>
  <c r="BV98" i="109" s="1"/>
  <c r="AS97" i="109"/>
  <c r="AT97" i="109" s="1"/>
  <c r="AU97" i="109" s="1"/>
  <c r="AV97" i="109" s="1"/>
  <c r="AW97" i="109" s="1"/>
  <c r="AX97" i="109" s="1"/>
  <c r="AY97" i="109" s="1"/>
  <c r="AZ97" i="109" s="1"/>
  <c r="BA97" i="109" s="1"/>
  <c r="BB97" i="109" s="1"/>
  <c r="BC97" i="109" s="1"/>
  <c r="BD97" i="109" s="1"/>
  <c r="BE97" i="109" s="1"/>
  <c r="BF97" i="109" s="1"/>
  <c r="BG97" i="109" s="1"/>
  <c r="BH97" i="109" s="1"/>
  <c r="BI97" i="109" s="1"/>
  <c r="BJ97" i="109" s="1"/>
  <c r="BK97" i="109" s="1"/>
  <c r="BL97" i="109" s="1"/>
  <c r="BM97" i="109" s="1"/>
  <c r="BN97" i="109" s="1"/>
  <c r="BO97" i="109" s="1"/>
  <c r="BP97" i="109" s="1"/>
  <c r="BQ97" i="109" s="1"/>
  <c r="BR97" i="109" s="1"/>
  <c r="BS97" i="109" s="1"/>
  <c r="BT97" i="109" s="1"/>
  <c r="BU97" i="109" s="1"/>
  <c r="BV97" i="109" s="1"/>
  <c r="AS96" i="109"/>
  <c r="AT96" i="109" s="1"/>
  <c r="AU96" i="109" s="1"/>
  <c r="AV96" i="109" s="1"/>
  <c r="AW96" i="109" s="1"/>
  <c r="AX96" i="109" s="1"/>
  <c r="AY96" i="109" s="1"/>
  <c r="AZ96" i="109" s="1"/>
  <c r="BA96" i="109" s="1"/>
  <c r="BB96" i="109" s="1"/>
  <c r="BC96" i="109" s="1"/>
  <c r="BD96" i="109" s="1"/>
  <c r="BE96" i="109" s="1"/>
  <c r="BF96" i="109" s="1"/>
  <c r="BG96" i="109" s="1"/>
  <c r="BH96" i="109" s="1"/>
  <c r="BI96" i="109" s="1"/>
  <c r="BJ96" i="109" s="1"/>
  <c r="BK96" i="109" s="1"/>
  <c r="BL96" i="109" s="1"/>
  <c r="BM96" i="109" s="1"/>
  <c r="BN96" i="109" s="1"/>
  <c r="BO96" i="109" s="1"/>
  <c r="BP96" i="109" s="1"/>
  <c r="BQ96" i="109" s="1"/>
  <c r="BR96" i="109" s="1"/>
  <c r="BS96" i="109" s="1"/>
  <c r="BT96" i="109" s="1"/>
  <c r="BU96" i="109" s="1"/>
  <c r="BV96" i="109" s="1"/>
  <c r="AS95" i="109"/>
  <c r="AT95" i="109" s="1"/>
  <c r="AU95" i="109" s="1"/>
  <c r="AV95" i="109" s="1"/>
  <c r="AW95" i="109" s="1"/>
  <c r="AX95" i="109" s="1"/>
  <c r="AY95" i="109" s="1"/>
  <c r="AZ95" i="109" s="1"/>
  <c r="BA95" i="109" s="1"/>
  <c r="BB95" i="109" s="1"/>
  <c r="BC95" i="109" s="1"/>
  <c r="BD95" i="109" s="1"/>
  <c r="BE95" i="109" s="1"/>
  <c r="BF95" i="109" s="1"/>
  <c r="BG95" i="109" s="1"/>
  <c r="BH95" i="109" s="1"/>
  <c r="BI95" i="109" s="1"/>
  <c r="BJ95" i="109" s="1"/>
  <c r="BK95" i="109" s="1"/>
  <c r="BL95" i="109" s="1"/>
  <c r="BM95" i="109" s="1"/>
  <c r="BN95" i="109" s="1"/>
  <c r="BO95" i="109" s="1"/>
  <c r="BP95" i="109" s="1"/>
  <c r="BQ95" i="109" s="1"/>
  <c r="BR95" i="109" s="1"/>
  <c r="BS95" i="109" s="1"/>
  <c r="BT95" i="109" s="1"/>
  <c r="BU95" i="109" s="1"/>
  <c r="BV95" i="109" s="1"/>
  <c r="AS89" i="109"/>
  <c r="AT89" i="109" s="1"/>
  <c r="AU89" i="109" s="1"/>
  <c r="AV89" i="109" s="1"/>
  <c r="AW89" i="109" s="1"/>
  <c r="AX89" i="109" s="1"/>
  <c r="AY89" i="109" s="1"/>
  <c r="AZ89" i="109" s="1"/>
  <c r="BA89" i="109" s="1"/>
  <c r="BB89" i="109" s="1"/>
  <c r="BC89" i="109" s="1"/>
  <c r="BD89" i="109" s="1"/>
  <c r="BE89" i="109" s="1"/>
  <c r="BF89" i="109" s="1"/>
  <c r="BG89" i="109" s="1"/>
  <c r="BH89" i="109" s="1"/>
  <c r="BI89" i="109" s="1"/>
  <c r="BJ89" i="109" s="1"/>
  <c r="BK89" i="109" s="1"/>
  <c r="BL89" i="109" s="1"/>
  <c r="BM89" i="109" s="1"/>
  <c r="BN89" i="109" s="1"/>
  <c r="BO89" i="109" s="1"/>
  <c r="BP89" i="109" s="1"/>
  <c r="BQ89" i="109" s="1"/>
  <c r="BR89" i="109" s="1"/>
  <c r="BS89" i="109" s="1"/>
  <c r="BT89" i="109" s="1"/>
  <c r="BU89" i="109" s="1"/>
  <c r="BV89" i="109" s="1"/>
  <c r="AS88" i="109"/>
  <c r="AT88" i="109" s="1"/>
  <c r="AU88" i="109" s="1"/>
  <c r="AV88" i="109" s="1"/>
  <c r="AW88" i="109" s="1"/>
  <c r="AX88" i="109" s="1"/>
  <c r="AY88" i="109" s="1"/>
  <c r="AZ88" i="109" s="1"/>
  <c r="BA88" i="109" s="1"/>
  <c r="BB88" i="109" s="1"/>
  <c r="BC88" i="109" s="1"/>
  <c r="BD88" i="109" s="1"/>
  <c r="BE88" i="109" s="1"/>
  <c r="BF88" i="109" s="1"/>
  <c r="BG88" i="109" s="1"/>
  <c r="BH88" i="109" s="1"/>
  <c r="BI88" i="109" s="1"/>
  <c r="BJ88" i="109" s="1"/>
  <c r="BK88" i="109" s="1"/>
  <c r="BL88" i="109" s="1"/>
  <c r="BM88" i="109" s="1"/>
  <c r="BN88" i="109" s="1"/>
  <c r="BO88" i="109" s="1"/>
  <c r="BP88" i="109" s="1"/>
  <c r="BQ88" i="109" s="1"/>
  <c r="BR88" i="109" s="1"/>
  <c r="BS88" i="109" s="1"/>
  <c r="BT88" i="109" s="1"/>
  <c r="BU88" i="109" s="1"/>
  <c r="BV88" i="109" s="1"/>
  <c r="AS86" i="109"/>
  <c r="AT86" i="109" s="1"/>
  <c r="AU86" i="109" s="1"/>
  <c r="AV86" i="109" s="1"/>
  <c r="AW86" i="109" s="1"/>
  <c r="AX86" i="109" s="1"/>
  <c r="AY86" i="109" s="1"/>
  <c r="AZ86" i="109" s="1"/>
  <c r="BA86" i="109" s="1"/>
  <c r="BB86" i="109" s="1"/>
  <c r="BC86" i="109" s="1"/>
  <c r="BD86" i="109" s="1"/>
  <c r="BE86" i="109" s="1"/>
  <c r="BF86" i="109" s="1"/>
  <c r="BG86" i="109" s="1"/>
  <c r="BH86" i="109" s="1"/>
  <c r="BI86" i="109" s="1"/>
  <c r="BJ86" i="109" s="1"/>
  <c r="BK86" i="109" s="1"/>
  <c r="BL86" i="109" s="1"/>
  <c r="BM86" i="109" s="1"/>
  <c r="BN86" i="109" s="1"/>
  <c r="BO86" i="109" s="1"/>
  <c r="BP86" i="109" s="1"/>
  <c r="BQ86" i="109" s="1"/>
  <c r="BR86" i="109" s="1"/>
  <c r="BS86" i="109" s="1"/>
  <c r="BT86" i="109" s="1"/>
  <c r="BU86" i="109" s="1"/>
  <c r="BV86" i="109" s="1"/>
  <c r="AS85" i="109"/>
  <c r="AT85" i="109" s="1"/>
  <c r="AU85" i="109" s="1"/>
  <c r="AV85" i="109" s="1"/>
  <c r="AW85" i="109" s="1"/>
  <c r="AX85" i="109" s="1"/>
  <c r="AY85" i="109" s="1"/>
  <c r="AZ85" i="109" s="1"/>
  <c r="BA85" i="109" s="1"/>
  <c r="BB85" i="109" s="1"/>
  <c r="BC85" i="109" s="1"/>
  <c r="BD85" i="109" s="1"/>
  <c r="BE85" i="109" s="1"/>
  <c r="BF85" i="109" s="1"/>
  <c r="BG85" i="109" s="1"/>
  <c r="BH85" i="109" s="1"/>
  <c r="BI85" i="109" s="1"/>
  <c r="BJ85" i="109" s="1"/>
  <c r="BK85" i="109" s="1"/>
  <c r="BL85" i="109" s="1"/>
  <c r="BM85" i="109" s="1"/>
  <c r="BN85" i="109" s="1"/>
  <c r="BO85" i="109" s="1"/>
  <c r="BP85" i="109" s="1"/>
  <c r="BQ85" i="109" s="1"/>
  <c r="BR85" i="109" s="1"/>
  <c r="BS85" i="109" s="1"/>
  <c r="BT85" i="109" s="1"/>
  <c r="BU85" i="109" s="1"/>
  <c r="BV85" i="109" s="1"/>
  <c r="AS84" i="109"/>
  <c r="AT84" i="109" s="1"/>
  <c r="AU84" i="109" s="1"/>
  <c r="AV84" i="109" s="1"/>
  <c r="AW84" i="109" s="1"/>
  <c r="AX84" i="109" s="1"/>
  <c r="AY84" i="109" s="1"/>
  <c r="AZ84" i="109" s="1"/>
  <c r="BA84" i="109" s="1"/>
  <c r="BB84" i="109" s="1"/>
  <c r="BC84" i="109" s="1"/>
  <c r="BD84" i="109" s="1"/>
  <c r="BE84" i="109" s="1"/>
  <c r="BF84" i="109" s="1"/>
  <c r="BG84" i="109" s="1"/>
  <c r="BH84" i="109" s="1"/>
  <c r="BI84" i="109" s="1"/>
  <c r="BJ84" i="109" s="1"/>
  <c r="BK84" i="109" s="1"/>
  <c r="BL84" i="109" s="1"/>
  <c r="BM84" i="109" s="1"/>
  <c r="BN84" i="109" s="1"/>
  <c r="BO84" i="109" s="1"/>
  <c r="BP84" i="109" s="1"/>
  <c r="BQ84" i="109" s="1"/>
  <c r="BR84" i="109" s="1"/>
  <c r="BS84" i="109" s="1"/>
  <c r="BT84" i="109" s="1"/>
  <c r="BU84" i="109" s="1"/>
  <c r="BV84" i="109" s="1"/>
  <c r="AS83" i="109"/>
  <c r="AT83" i="109" s="1"/>
  <c r="AU83" i="109" s="1"/>
  <c r="AV83" i="109" s="1"/>
  <c r="AW83" i="109" s="1"/>
  <c r="AX83" i="109" s="1"/>
  <c r="AY83" i="109" s="1"/>
  <c r="AZ83" i="109" s="1"/>
  <c r="BA83" i="109" s="1"/>
  <c r="BB83" i="109" s="1"/>
  <c r="BC83" i="109" s="1"/>
  <c r="BD83" i="109" s="1"/>
  <c r="BE83" i="109" s="1"/>
  <c r="BF83" i="109" s="1"/>
  <c r="BG83" i="109" s="1"/>
  <c r="BH83" i="109" s="1"/>
  <c r="BI83" i="109" s="1"/>
  <c r="BJ83" i="109" s="1"/>
  <c r="BK83" i="109" s="1"/>
  <c r="BL83" i="109" s="1"/>
  <c r="BM83" i="109" s="1"/>
  <c r="BN83" i="109" s="1"/>
  <c r="BO83" i="109" s="1"/>
  <c r="BP83" i="109" s="1"/>
  <c r="BQ83" i="109" s="1"/>
  <c r="BR83" i="109" s="1"/>
  <c r="BS83" i="109" s="1"/>
  <c r="BT83" i="109" s="1"/>
  <c r="BU83" i="109" s="1"/>
  <c r="BV83" i="109" s="1"/>
  <c r="AS82" i="109"/>
  <c r="AT82" i="109" s="1"/>
  <c r="AU82" i="109" s="1"/>
  <c r="AV82" i="109" s="1"/>
  <c r="AW82" i="109" s="1"/>
  <c r="AX82" i="109" s="1"/>
  <c r="AY82" i="109" s="1"/>
  <c r="AZ82" i="109" s="1"/>
  <c r="BA82" i="109" s="1"/>
  <c r="BB82" i="109" s="1"/>
  <c r="BC82" i="109" s="1"/>
  <c r="BD82" i="109" s="1"/>
  <c r="BE82" i="109" s="1"/>
  <c r="BF82" i="109" s="1"/>
  <c r="BG82" i="109" s="1"/>
  <c r="BH82" i="109" s="1"/>
  <c r="BI82" i="109" s="1"/>
  <c r="BJ82" i="109" s="1"/>
  <c r="BK82" i="109" s="1"/>
  <c r="BL82" i="109" s="1"/>
  <c r="BM82" i="109" s="1"/>
  <c r="BN82" i="109" s="1"/>
  <c r="BO82" i="109" s="1"/>
  <c r="BP82" i="109" s="1"/>
  <c r="BQ82" i="109" s="1"/>
  <c r="BR82" i="109" s="1"/>
  <c r="BS82" i="109" s="1"/>
  <c r="BT82" i="109" s="1"/>
  <c r="BU82" i="109" s="1"/>
  <c r="BV82" i="109" s="1"/>
  <c r="AS80" i="109"/>
  <c r="AT80" i="109" s="1"/>
  <c r="AU80" i="109" s="1"/>
  <c r="AV80" i="109" s="1"/>
  <c r="AW80" i="109" s="1"/>
  <c r="AX80" i="109" s="1"/>
  <c r="AY80" i="109" s="1"/>
  <c r="AZ80" i="109" s="1"/>
  <c r="BA80" i="109" s="1"/>
  <c r="BB80" i="109" s="1"/>
  <c r="BC80" i="109" s="1"/>
  <c r="BD80" i="109" s="1"/>
  <c r="BE80" i="109" s="1"/>
  <c r="BF80" i="109" s="1"/>
  <c r="BG80" i="109" s="1"/>
  <c r="BH80" i="109" s="1"/>
  <c r="BI80" i="109" s="1"/>
  <c r="BJ80" i="109" s="1"/>
  <c r="BK80" i="109" s="1"/>
  <c r="BL80" i="109" s="1"/>
  <c r="BM80" i="109" s="1"/>
  <c r="BN80" i="109" s="1"/>
  <c r="BO80" i="109" s="1"/>
  <c r="BP80" i="109" s="1"/>
  <c r="BQ80" i="109" s="1"/>
  <c r="BR80" i="109" s="1"/>
  <c r="BS80" i="109" s="1"/>
  <c r="BT80" i="109" s="1"/>
  <c r="BU80" i="109" s="1"/>
  <c r="BV80" i="109" s="1"/>
  <c r="AS79" i="109"/>
  <c r="AT79" i="109" s="1"/>
  <c r="AU79" i="109" s="1"/>
  <c r="AV79" i="109" s="1"/>
  <c r="AW79" i="109" s="1"/>
  <c r="AX79" i="109" s="1"/>
  <c r="AY79" i="109" s="1"/>
  <c r="AZ79" i="109" s="1"/>
  <c r="BA79" i="109" s="1"/>
  <c r="BB79" i="109" s="1"/>
  <c r="BC79" i="109" s="1"/>
  <c r="BD79" i="109" s="1"/>
  <c r="BE79" i="109" s="1"/>
  <c r="BF79" i="109" s="1"/>
  <c r="BG79" i="109" s="1"/>
  <c r="BH79" i="109" s="1"/>
  <c r="BI79" i="109" s="1"/>
  <c r="BJ79" i="109" s="1"/>
  <c r="BK79" i="109" s="1"/>
  <c r="BL79" i="109" s="1"/>
  <c r="BM79" i="109" s="1"/>
  <c r="BN79" i="109" s="1"/>
  <c r="BO79" i="109" s="1"/>
  <c r="BP79" i="109" s="1"/>
  <c r="BQ79" i="109" s="1"/>
  <c r="BR79" i="109" s="1"/>
  <c r="BS79" i="109" s="1"/>
  <c r="BT79" i="109" s="1"/>
  <c r="BU79" i="109" s="1"/>
  <c r="BV79" i="109" s="1"/>
  <c r="AS77" i="109"/>
  <c r="AT77" i="109" s="1"/>
  <c r="AU77" i="109" s="1"/>
  <c r="AV77" i="109" s="1"/>
  <c r="AW77" i="109" s="1"/>
  <c r="AX77" i="109" s="1"/>
  <c r="AY77" i="109" s="1"/>
  <c r="AZ77" i="109" s="1"/>
  <c r="BA77" i="109" s="1"/>
  <c r="BB77" i="109" s="1"/>
  <c r="BC77" i="109" s="1"/>
  <c r="BD77" i="109" s="1"/>
  <c r="BE77" i="109" s="1"/>
  <c r="BF77" i="109" s="1"/>
  <c r="BG77" i="109" s="1"/>
  <c r="BH77" i="109" s="1"/>
  <c r="BI77" i="109" s="1"/>
  <c r="BJ77" i="109" s="1"/>
  <c r="BK77" i="109" s="1"/>
  <c r="BL77" i="109" s="1"/>
  <c r="BM77" i="109" s="1"/>
  <c r="BN77" i="109" s="1"/>
  <c r="BO77" i="109" s="1"/>
  <c r="BP77" i="109" s="1"/>
  <c r="BQ77" i="109" s="1"/>
  <c r="BR77" i="109" s="1"/>
  <c r="BS77" i="109" s="1"/>
  <c r="BT77" i="109" s="1"/>
  <c r="BU77" i="109" s="1"/>
  <c r="BV77" i="109" s="1"/>
  <c r="AS75" i="109"/>
  <c r="AT75" i="109" s="1"/>
  <c r="AU75" i="109" s="1"/>
  <c r="AV75" i="109" s="1"/>
  <c r="AW75" i="109" s="1"/>
  <c r="AX75" i="109" s="1"/>
  <c r="AY75" i="109" s="1"/>
  <c r="AZ75" i="109" s="1"/>
  <c r="BA75" i="109" s="1"/>
  <c r="BB75" i="109" s="1"/>
  <c r="BC75" i="109" s="1"/>
  <c r="BD75" i="109" s="1"/>
  <c r="BE75" i="109" s="1"/>
  <c r="BF75" i="109" s="1"/>
  <c r="BG75" i="109" s="1"/>
  <c r="BH75" i="109" s="1"/>
  <c r="BI75" i="109" s="1"/>
  <c r="BJ75" i="109" s="1"/>
  <c r="BK75" i="109" s="1"/>
  <c r="BL75" i="109" s="1"/>
  <c r="BM75" i="109" s="1"/>
  <c r="BN75" i="109" s="1"/>
  <c r="BO75" i="109" s="1"/>
  <c r="BP75" i="109" s="1"/>
  <c r="BQ75" i="109" s="1"/>
  <c r="BR75" i="109" s="1"/>
  <c r="BS75" i="109" s="1"/>
  <c r="BT75" i="109" s="1"/>
  <c r="BU75" i="109" s="1"/>
  <c r="BV75" i="109" s="1"/>
  <c r="AS74" i="109"/>
  <c r="AT74" i="109" s="1"/>
  <c r="AU74" i="109" s="1"/>
  <c r="AV74" i="109" s="1"/>
  <c r="AW74" i="109" s="1"/>
  <c r="AX74" i="109" s="1"/>
  <c r="AY74" i="109" s="1"/>
  <c r="AZ74" i="109" s="1"/>
  <c r="BA74" i="109" s="1"/>
  <c r="BB74" i="109" s="1"/>
  <c r="BC74" i="109" s="1"/>
  <c r="BD74" i="109" s="1"/>
  <c r="BE74" i="109" s="1"/>
  <c r="BF74" i="109" s="1"/>
  <c r="BG74" i="109" s="1"/>
  <c r="BH74" i="109" s="1"/>
  <c r="BI74" i="109" s="1"/>
  <c r="BJ74" i="109" s="1"/>
  <c r="BK74" i="109" s="1"/>
  <c r="BL74" i="109" s="1"/>
  <c r="BM74" i="109" s="1"/>
  <c r="BN74" i="109" s="1"/>
  <c r="BO74" i="109" s="1"/>
  <c r="BP74" i="109" s="1"/>
  <c r="BQ74" i="109" s="1"/>
  <c r="BR74" i="109" s="1"/>
  <c r="BS74" i="109" s="1"/>
  <c r="BT74" i="109" s="1"/>
  <c r="BU74" i="109" s="1"/>
  <c r="BV74" i="109" s="1"/>
  <c r="AS73" i="109"/>
  <c r="AT73" i="109" s="1"/>
  <c r="AU73" i="109" s="1"/>
  <c r="AV73" i="109" s="1"/>
  <c r="AW73" i="109" s="1"/>
  <c r="AX73" i="109" s="1"/>
  <c r="AY73" i="109" s="1"/>
  <c r="AZ73" i="109" s="1"/>
  <c r="BA73" i="109" s="1"/>
  <c r="BB73" i="109" s="1"/>
  <c r="BC73" i="109" s="1"/>
  <c r="BD73" i="109" s="1"/>
  <c r="BE73" i="109" s="1"/>
  <c r="BF73" i="109" s="1"/>
  <c r="BG73" i="109" s="1"/>
  <c r="BH73" i="109" s="1"/>
  <c r="BI73" i="109" s="1"/>
  <c r="BJ73" i="109" s="1"/>
  <c r="BK73" i="109" s="1"/>
  <c r="BL73" i="109" s="1"/>
  <c r="BM73" i="109" s="1"/>
  <c r="BN73" i="109" s="1"/>
  <c r="BO73" i="109" s="1"/>
  <c r="BP73" i="109" s="1"/>
  <c r="BQ73" i="109" s="1"/>
  <c r="BR73" i="109" s="1"/>
  <c r="BS73" i="109" s="1"/>
  <c r="BT73" i="109" s="1"/>
  <c r="BU73" i="109" s="1"/>
  <c r="BV73" i="109" s="1"/>
  <c r="AS72" i="109"/>
  <c r="AT72" i="109" s="1"/>
  <c r="AU72" i="109" s="1"/>
  <c r="AV72" i="109" s="1"/>
  <c r="AW72" i="109" s="1"/>
  <c r="AX72" i="109" s="1"/>
  <c r="AY72" i="109" s="1"/>
  <c r="AZ72" i="109" s="1"/>
  <c r="BA72" i="109" s="1"/>
  <c r="BB72" i="109" s="1"/>
  <c r="BC72" i="109" s="1"/>
  <c r="BD72" i="109" s="1"/>
  <c r="BE72" i="109" s="1"/>
  <c r="BF72" i="109" s="1"/>
  <c r="BG72" i="109" s="1"/>
  <c r="BH72" i="109" s="1"/>
  <c r="BI72" i="109" s="1"/>
  <c r="BJ72" i="109" s="1"/>
  <c r="BK72" i="109" s="1"/>
  <c r="BL72" i="109" s="1"/>
  <c r="BM72" i="109" s="1"/>
  <c r="BN72" i="109" s="1"/>
  <c r="BO72" i="109" s="1"/>
  <c r="BP72" i="109" s="1"/>
  <c r="BQ72" i="109" s="1"/>
  <c r="BR72" i="109" s="1"/>
  <c r="BS72" i="109" s="1"/>
  <c r="BT72" i="109" s="1"/>
  <c r="BU72" i="109" s="1"/>
  <c r="BV72" i="109" s="1"/>
  <c r="AS71" i="109"/>
  <c r="AT71" i="109" s="1"/>
  <c r="AU71" i="109" s="1"/>
  <c r="AV71" i="109" s="1"/>
  <c r="AW71" i="109" s="1"/>
  <c r="AX71" i="109" s="1"/>
  <c r="AY71" i="109" s="1"/>
  <c r="AZ71" i="109" s="1"/>
  <c r="BA71" i="109" s="1"/>
  <c r="BB71" i="109" s="1"/>
  <c r="BC71" i="109" s="1"/>
  <c r="BD71" i="109" s="1"/>
  <c r="BE71" i="109" s="1"/>
  <c r="BF71" i="109" s="1"/>
  <c r="BG71" i="109" s="1"/>
  <c r="BH71" i="109" s="1"/>
  <c r="BI71" i="109" s="1"/>
  <c r="BJ71" i="109" s="1"/>
  <c r="BK71" i="109" s="1"/>
  <c r="BL71" i="109" s="1"/>
  <c r="BM71" i="109" s="1"/>
  <c r="BN71" i="109" s="1"/>
  <c r="BO71" i="109" s="1"/>
  <c r="BP71" i="109" s="1"/>
  <c r="BQ71" i="109" s="1"/>
  <c r="BR71" i="109" s="1"/>
  <c r="BS71" i="109" s="1"/>
  <c r="BT71" i="109" s="1"/>
  <c r="BU71" i="109" s="1"/>
  <c r="BV71" i="109" s="1"/>
  <c r="AS70" i="109"/>
  <c r="AT70" i="109" s="1"/>
  <c r="AU70" i="109" s="1"/>
  <c r="AV70" i="109" s="1"/>
  <c r="AW70" i="109" s="1"/>
  <c r="AX70" i="109" s="1"/>
  <c r="AY70" i="109" s="1"/>
  <c r="AZ70" i="109" s="1"/>
  <c r="BA70" i="109" s="1"/>
  <c r="BB70" i="109" s="1"/>
  <c r="BC70" i="109" s="1"/>
  <c r="BD70" i="109" s="1"/>
  <c r="BE70" i="109" s="1"/>
  <c r="BF70" i="109" s="1"/>
  <c r="BG70" i="109" s="1"/>
  <c r="BH70" i="109" s="1"/>
  <c r="BI70" i="109" s="1"/>
  <c r="BJ70" i="109" s="1"/>
  <c r="BK70" i="109" s="1"/>
  <c r="BL70" i="109" s="1"/>
  <c r="BM70" i="109" s="1"/>
  <c r="BN70" i="109" s="1"/>
  <c r="BO70" i="109" s="1"/>
  <c r="BP70" i="109" s="1"/>
  <c r="BQ70" i="109" s="1"/>
  <c r="BR70" i="109" s="1"/>
  <c r="BS70" i="109" s="1"/>
  <c r="BT70" i="109" s="1"/>
  <c r="BU70" i="109" s="1"/>
  <c r="BV70" i="109" s="1"/>
  <c r="AS69" i="109"/>
  <c r="AT69" i="109" s="1"/>
  <c r="AU69" i="109" s="1"/>
  <c r="AV69" i="109" s="1"/>
  <c r="AW69" i="109" s="1"/>
  <c r="AX69" i="109" s="1"/>
  <c r="AY69" i="109" s="1"/>
  <c r="AZ69" i="109" s="1"/>
  <c r="BA69" i="109" s="1"/>
  <c r="BB69" i="109" s="1"/>
  <c r="BC69" i="109" s="1"/>
  <c r="BD69" i="109" s="1"/>
  <c r="BE69" i="109" s="1"/>
  <c r="BF69" i="109" s="1"/>
  <c r="BG69" i="109" s="1"/>
  <c r="BH69" i="109" s="1"/>
  <c r="BI69" i="109" s="1"/>
  <c r="BJ69" i="109" s="1"/>
  <c r="BK69" i="109" s="1"/>
  <c r="BL69" i="109" s="1"/>
  <c r="BM69" i="109" s="1"/>
  <c r="BN69" i="109" s="1"/>
  <c r="BO69" i="109" s="1"/>
  <c r="BP69" i="109" s="1"/>
  <c r="BQ69" i="109" s="1"/>
  <c r="BR69" i="109" s="1"/>
  <c r="BS69" i="109" s="1"/>
  <c r="BT69" i="109" s="1"/>
  <c r="BU69" i="109" s="1"/>
  <c r="BV69" i="109" s="1"/>
  <c r="AS68" i="109"/>
  <c r="AT68" i="109" s="1"/>
  <c r="AU68" i="109" s="1"/>
  <c r="AV68" i="109" s="1"/>
  <c r="AW68" i="109" s="1"/>
  <c r="AX68" i="109" s="1"/>
  <c r="AY68" i="109" s="1"/>
  <c r="AZ68" i="109" s="1"/>
  <c r="BA68" i="109" s="1"/>
  <c r="BB68" i="109" s="1"/>
  <c r="BC68" i="109" s="1"/>
  <c r="BD68" i="109" s="1"/>
  <c r="BE68" i="109" s="1"/>
  <c r="BF68" i="109" s="1"/>
  <c r="BG68" i="109" s="1"/>
  <c r="BH68" i="109" s="1"/>
  <c r="BI68" i="109" s="1"/>
  <c r="BJ68" i="109" s="1"/>
  <c r="BK68" i="109" s="1"/>
  <c r="BL68" i="109" s="1"/>
  <c r="BM68" i="109" s="1"/>
  <c r="BN68" i="109" s="1"/>
  <c r="BO68" i="109" s="1"/>
  <c r="BP68" i="109" s="1"/>
  <c r="BQ68" i="109" s="1"/>
  <c r="BR68" i="109" s="1"/>
  <c r="BS68" i="109" s="1"/>
  <c r="BT68" i="109" s="1"/>
  <c r="BU68" i="109" s="1"/>
  <c r="BV68" i="109" s="1"/>
  <c r="AS67" i="109"/>
  <c r="AT67" i="109" s="1"/>
  <c r="AU67" i="109" s="1"/>
  <c r="AV67" i="109" s="1"/>
  <c r="AW67" i="109" s="1"/>
  <c r="AX67" i="109" s="1"/>
  <c r="AY67" i="109" s="1"/>
  <c r="AZ67" i="109" s="1"/>
  <c r="BA67" i="109" s="1"/>
  <c r="BB67" i="109" s="1"/>
  <c r="BC67" i="109" s="1"/>
  <c r="BD67" i="109" s="1"/>
  <c r="BE67" i="109" s="1"/>
  <c r="BF67" i="109" s="1"/>
  <c r="BG67" i="109" s="1"/>
  <c r="BH67" i="109" s="1"/>
  <c r="BI67" i="109" s="1"/>
  <c r="BJ67" i="109" s="1"/>
  <c r="BK67" i="109" s="1"/>
  <c r="BL67" i="109" s="1"/>
  <c r="BM67" i="109" s="1"/>
  <c r="BN67" i="109" s="1"/>
  <c r="BO67" i="109" s="1"/>
  <c r="BP67" i="109" s="1"/>
  <c r="BQ67" i="109" s="1"/>
  <c r="BR67" i="109" s="1"/>
  <c r="BS67" i="109" s="1"/>
  <c r="BT67" i="109" s="1"/>
  <c r="BU67" i="109" s="1"/>
  <c r="BV67" i="109" s="1"/>
  <c r="AS66" i="109"/>
  <c r="AT66" i="109" s="1"/>
  <c r="AU66" i="109" s="1"/>
  <c r="AV66" i="109" s="1"/>
  <c r="AW66" i="109" s="1"/>
  <c r="AX66" i="109" s="1"/>
  <c r="AY66" i="109" s="1"/>
  <c r="AZ66" i="109" s="1"/>
  <c r="BA66" i="109" s="1"/>
  <c r="BB66" i="109" s="1"/>
  <c r="BC66" i="109" s="1"/>
  <c r="BD66" i="109" s="1"/>
  <c r="BE66" i="109" s="1"/>
  <c r="BF66" i="109" s="1"/>
  <c r="BG66" i="109" s="1"/>
  <c r="BH66" i="109" s="1"/>
  <c r="BI66" i="109" s="1"/>
  <c r="BJ66" i="109" s="1"/>
  <c r="BK66" i="109" s="1"/>
  <c r="BL66" i="109" s="1"/>
  <c r="BM66" i="109" s="1"/>
  <c r="BN66" i="109" s="1"/>
  <c r="BO66" i="109" s="1"/>
  <c r="BP66" i="109" s="1"/>
  <c r="BQ66" i="109" s="1"/>
  <c r="BR66" i="109" s="1"/>
  <c r="BS66" i="109" s="1"/>
  <c r="BT66" i="109" s="1"/>
  <c r="BU66" i="109" s="1"/>
  <c r="BV66" i="109" s="1"/>
  <c r="AS65" i="109"/>
  <c r="AT65" i="109" s="1"/>
  <c r="AU65" i="109" s="1"/>
  <c r="AV65" i="109" s="1"/>
  <c r="AW65" i="109" s="1"/>
  <c r="AX65" i="109" s="1"/>
  <c r="AY65" i="109" s="1"/>
  <c r="AZ65" i="109" s="1"/>
  <c r="BA65" i="109" s="1"/>
  <c r="BB65" i="109" s="1"/>
  <c r="BC65" i="109" s="1"/>
  <c r="BD65" i="109" s="1"/>
  <c r="BE65" i="109" s="1"/>
  <c r="BF65" i="109" s="1"/>
  <c r="BG65" i="109" s="1"/>
  <c r="BH65" i="109" s="1"/>
  <c r="BI65" i="109" s="1"/>
  <c r="BJ65" i="109" s="1"/>
  <c r="BK65" i="109" s="1"/>
  <c r="BL65" i="109" s="1"/>
  <c r="BM65" i="109" s="1"/>
  <c r="BN65" i="109" s="1"/>
  <c r="BO65" i="109" s="1"/>
  <c r="BP65" i="109" s="1"/>
  <c r="BQ65" i="109" s="1"/>
  <c r="BR65" i="109" s="1"/>
  <c r="BS65" i="109" s="1"/>
  <c r="BT65" i="109" s="1"/>
  <c r="BU65" i="109" s="1"/>
  <c r="BV65" i="109" s="1"/>
  <c r="AS64" i="109"/>
  <c r="AT64" i="109" s="1"/>
  <c r="AU64" i="109" s="1"/>
  <c r="AV64" i="109" s="1"/>
  <c r="AW64" i="109" s="1"/>
  <c r="AX64" i="109" s="1"/>
  <c r="AY64" i="109" s="1"/>
  <c r="AZ64" i="109" s="1"/>
  <c r="BA64" i="109" s="1"/>
  <c r="BB64" i="109" s="1"/>
  <c r="BC64" i="109" s="1"/>
  <c r="BD64" i="109" s="1"/>
  <c r="BE64" i="109" s="1"/>
  <c r="BF64" i="109" s="1"/>
  <c r="BG64" i="109" s="1"/>
  <c r="BH64" i="109" s="1"/>
  <c r="BI64" i="109" s="1"/>
  <c r="BJ64" i="109" s="1"/>
  <c r="BK64" i="109" s="1"/>
  <c r="BL64" i="109" s="1"/>
  <c r="BM64" i="109" s="1"/>
  <c r="BN64" i="109" s="1"/>
  <c r="BO64" i="109" s="1"/>
  <c r="BP64" i="109" s="1"/>
  <c r="BQ64" i="109" s="1"/>
  <c r="BR64" i="109" s="1"/>
  <c r="BS64" i="109" s="1"/>
  <c r="BT64" i="109" s="1"/>
  <c r="BU64" i="109" s="1"/>
  <c r="BV64" i="109" s="1"/>
  <c r="AS63" i="109"/>
  <c r="AT63" i="109" s="1"/>
  <c r="AU63" i="109" s="1"/>
  <c r="AV63" i="109" s="1"/>
  <c r="AW63" i="109" s="1"/>
  <c r="AX63" i="109" s="1"/>
  <c r="AY63" i="109" s="1"/>
  <c r="AZ63" i="109" s="1"/>
  <c r="BA63" i="109" s="1"/>
  <c r="BB63" i="109" s="1"/>
  <c r="BC63" i="109" s="1"/>
  <c r="BD63" i="109" s="1"/>
  <c r="BE63" i="109" s="1"/>
  <c r="BF63" i="109" s="1"/>
  <c r="BG63" i="109" s="1"/>
  <c r="BH63" i="109" s="1"/>
  <c r="BI63" i="109" s="1"/>
  <c r="BJ63" i="109" s="1"/>
  <c r="BK63" i="109" s="1"/>
  <c r="BL63" i="109" s="1"/>
  <c r="BM63" i="109" s="1"/>
  <c r="BN63" i="109" s="1"/>
  <c r="BO63" i="109" s="1"/>
  <c r="BP63" i="109" s="1"/>
  <c r="BQ63" i="109" s="1"/>
  <c r="BR63" i="109" s="1"/>
  <c r="BS63" i="109" s="1"/>
  <c r="BT63" i="109" s="1"/>
  <c r="BU63" i="109" s="1"/>
  <c r="BV63" i="109" s="1"/>
  <c r="AS61" i="109"/>
  <c r="AT61" i="109" s="1"/>
  <c r="AU61" i="109" s="1"/>
  <c r="AV61" i="109" s="1"/>
  <c r="AW61" i="109" s="1"/>
  <c r="AX61" i="109" s="1"/>
  <c r="AY61" i="109" s="1"/>
  <c r="AZ61" i="109" s="1"/>
  <c r="BA61" i="109" s="1"/>
  <c r="BB61" i="109" s="1"/>
  <c r="BC61" i="109" s="1"/>
  <c r="BD61" i="109" s="1"/>
  <c r="BE61" i="109" s="1"/>
  <c r="BF61" i="109" s="1"/>
  <c r="BG61" i="109" s="1"/>
  <c r="BH61" i="109" s="1"/>
  <c r="BI61" i="109" s="1"/>
  <c r="BJ61" i="109" s="1"/>
  <c r="BK61" i="109" s="1"/>
  <c r="BL61" i="109" s="1"/>
  <c r="BM61" i="109" s="1"/>
  <c r="BN61" i="109" s="1"/>
  <c r="BO61" i="109" s="1"/>
  <c r="BP61" i="109" s="1"/>
  <c r="BQ61" i="109" s="1"/>
  <c r="BR61" i="109" s="1"/>
  <c r="BS61" i="109" s="1"/>
  <c r="BT61" i="109" s="1"/>
  <c r="BU61" i="109" s="1"/>
  <c r="BV61" i="109" s="1"/>
  <c r="AS60" i="109"/>
  <c r="AT60" i="109" s="1"/>
  <c r="AU60" i="109" s="1"/>
  <c r="AV60" i="109" s="1"/>
  <c r="AW60" i="109" s="1"/>
  <c r="AX60" i="109" s="1"/>
  <c r="AY60" i="109" s="1"/>
  <c r="AZ60" i="109" s="1"/>
  <c r="BA60" i="109" s="1"/>
  <c r="BB60" i="109" s="1"/>
  <c r="BC60" i="109" s="1"/>
  <c r="BD60" i="109" s="1"/>
  <c r="BE60" i="109" s="1"/>
  <c r="BF60" i="109" s="1"/>
  <c r="BG60" i="109" s="1"/>
  <c r="BH60" i="109" s="1"/>
  <c r="BI60" i="109" s="1"/>
  <c r="BJ60" i="109" s="1"/>
  <c r="BK60" i="109" s="1"/>
  <c r="BL60" i="109" s="1"/>
  <c r="BM60" i="109" s="1"/>
  <c r="BN60" i="109" s="1"/>
  <c r="BO60" i="109" s="1"/>
  <c r="BP60" i="109" s="1"/>
  <c r="BQ60" i="109" s="1"/>
  <c r="BR60" i="109" s="1"/>
  <c r="BS60" i="109" s="1"/>
  <c r="BT60" i="109" s="1"/>
  <c r="BU60" i="109" s="1"/>
  <c r="BV60" i="109" s="1"/>
  <c r="AS59" i="109"/>
  <c r="AT59" i="109" s="1"/>
  <c r="AU59" i="109" s="1"/>
  <c r="AV59" i="109" s="1"/>
  <c r="AW59" i="109" s="1"/>
  <c r="AX59" i="109" s="1"/>
  <c r="AY59" i="109" s="1"/>
  <c r="AZ59" i="109" s="1"/>
  <c r="BA59" i="109" s="1"/>
  <c r="BB59" i="109" s="1"/>
  <c r="BC59" i="109" s="1"/>
  <c r="BD59" i="109" s="1"/>
  <c r="BE59" i="109" s="1"/>
  <c r="BF59" i="109" s="1"/>
  <c r="BG59" i="109" s="1"/>
  <c r="BH59" i="109" s="1"/>
  <c r="BI59" i="109" s="1"/>
  <c r="BJ59" i="109" s="1"/>
  <c r="BK59" i="109" s="1"/>
  <c r="BL59" i="109" s="1"/>
  <c r="BM59" i="109" s="1"/>
  <c r="BN59" i="109" s="1"/>
  <c r="BO59" i="109" s="1"/>
  <c r="BP59" i="109" s="1"/>
  <c r="BQ59" i="109" s="1"/>
  <c r="BR59" i="109" s="1"/>
  <c r="BS59" i="109" s="1"/>
  <c r="BT59" i="109" s="1"/>
  <c r="BU59" i="109" s="1"/>
  <c r="BV59" i="109" s="1"/>
  <c r="AW58" i="109"/>
  <c r="AX58" i="109" s="1"/>
  <c r="AY58" i="109" s="1"/>
  <c r="AZ58" i="109" s="1"/>
  <c r="BA58" i="109" s="1"/>
  <c r="BB58" i="109" s="1"/>
  <c r="BC58" i="109" s="1"/>
  <c r="BD58" i="109" s="1"/>
  <c r="BE58" i="109" s="1"/>
  <c r="BF58" i="109" s="1"/>
  <c r="BG58" i="109" s="1"/>
  <c r="BH58" i="109" s="1"/>
  <c r="BI58" i="109" s="1"/>
  <c r="BJ58" i="109" s="1"/>
  <c r="BK58" i="109" s="1"/>
  <c r="BL58" i="109" s="1"/>
  <c r="BM58" i="109" s="1"/>
  <c r="BN58" i="109" s="1"/>
  <c r="BO58" i="109" s="1"/>
  <c r="BP58" i="109" s="1"/>
  <c r="BQ58" i="109" s="1"/>
  <c r="BR58" i="109" s="1"/>
  <c r="BS58" i="109" s="1"/>
  <c r="BT58" i="109" s="1"/>
  <c r="BU58" i="109" s="1"/>
  <c r="BV58" i="109" s="1"/>
  <c r="AS58" i="109"/>
  <c r="AT58" i="109" s="1"/>
  <c r="AU58" i="109" s="1"/>
  <c r="AV58" i="109" s="1"/>
  <c r="AS57" i="109"/>
  <c r="AT57" i="109" s="1"/>
  <c r="AU57" i="109" s="1"/>
  <c r="AV57" i="109" s="1"/>
  <c r="AW57" i="109" s="1"/>
  <c r="AX57" i="109" s="1"/>
  <c r="AY57" i="109" s="1"/>
  <c r="AZ57" i="109" s="1"/>
  <c r="BA57" i="109" s="1"/>
  <c r="BB57" i="109" s="1"/>
  <c r="BC57" i="109" s="1"/>
  <c r="BD57" i="109" s="1"/>
  <c r="BE57" i="109" s="1"/>
  <c r="BF57" i="109" s="1"/>
  <c r="BG57" i="109" s="1"/>
  <c r="BH57" i="109" s="1"/>
  <c r="BI57" i="109" s="1"/>
  <c r="BJ57" i="109" s="1"/>
  <c r="BK57" i="109" s="1"/>
  <c r="BL57" i="109" s="1"/>
  <c r="BM57" i="109" s="1"/>
  <c r="BN57" i="109" s="1"/>
  <c r="BO57" i="109" s="1"/>
  <c r="BP57" i="109" s="1"/>
  <c r="BQ57" i="109" s="1"/>
  <c r="BR57" i="109" s="1"/>
  <c r="BS57" i="109" s="1"/>
  <c r="BT57" i="109" s="1"/>
  <c r="BU57" i="109" s="1"/>
  <c r="BV57" i="109" s="1"/>
  <c r="AS56" i="109"/>
  <c r="AT56" i="109" s="1"/>
  <c r="AU56" i="109" s="1"/>
  <c r="AV56" i="109" s="1"/>
  <c r="AW56" i="109" s="1"/>
  <c r="AX56" i="109" s="1"/>
  <c r="AY56" i="109" s="1"/>
  <c r="AZ56" i="109" s="1"/>
  <c r="BA56" i="109" s="1"/>
  <c r="BB56" i="109" s="1"/>
  <c r="BC56" i="109" s="1"/>
  <c r="BD56" i="109" s="1"/>
  <c r="BE56" i="109" s="1"/>
  <c r="BF56" i="109" s="1"/>
  <c r="BG56" i="109" s="1"/>
  <c r="BH56" i="109" s="1"/>
  <c r="BI56" i="109" s="1"/>
  <c r="BJ56" i="109" s="1"/>
  <c r="BK56" i="109" s="1"/>
  <c r="BL56" i="109" s="1"/>
  <c r="BM56" i="109" s="1"/>
  <c r="BN56" i="109" s="1"/>
  <c r="BO56" i="109" s="1"/>
  <c r="BP56" i="109" s="1"/>
  <c r="BQ56" i="109" s="1"/>
  <c r="BR56" i="109" s="1"/>
  <c r="BS56" i="109" s="1"/>
  <c r="BT56" i="109" s="1"/>
  <c r="BU56" i="109" s="1"/>
  <c r="BV56" i="109" s="1"/>
  <c r="AS55" i="109"/>
  <c r="AT55" i="109" s="1"/>
  <c r="AU55" i="109" s="1"/>
  <c r="AV55" i="109" s="1"/>
  <c r="AW55" i="109" s="1"/>
  <c r="AX55" i="109" s="1"/>
  <c r="AY55" i="109" s="1"/>
  <c r="AZ55" i="109" s="1"/>
  <c r="BA55" i="109" s="1"/>
  <c r="BB55" i="109" s="1"/>
  <c r="BC55" i="109" s="1"/>
  <c r="BD55" i="109" s="1"/>
  <c r="BE55" i="109" s="1"/>
  <c r="BF55" i="109" s="1"/>
  <c r="BG55" i="109" s="1"/>
  <c r="BH55" i="109" s="1"/>
  <c r="BI55" i="109" s="1"/>
  <c r="BJ55" i="109" s="1"/>
  <c r="BK55" i="109" s="1"/>
  <c r="BL55" i="109" s="1"/>
  <c r="BM55" i="109" s="1"/>
  <c r="BN55" i="109" s="1"/>
  <c r="BO55" i="109" s="1"/>
  <c r="BP55" i="109" s="1"/>
  <c r="BQ55" i="109" s="1"/>
  <c r="BR55" i="109" s="1"/>
  <c r="BS55" i="109" s="1"/>
  <c r="BT55" i="109" s="1"/>
  <c r="BU55" i="109" s="1"/>
  <c r="BV55" i="109" s="1"/>
  <c r="AS54" i="109"/>
  <c r="AT54" i="109" s="1"/>
  <c r="AU54" i="109" s="1"/>
  <c r="AV54" i="109" s="1"/>
  <c r="AW54" i="109" s="1"/>
  <c r="AX54" i="109" s="1"/>
  <c r="AY54" i="109" s="1"/>
  <c r="AZ54" i="109" s="1"/>
  <c r="BA54" i="109" s="1"/>
  <c r="BB54" i="109" s="1"/>
  <c r="BC54" i="109" s="1"/>
  <c r="BD54" i="109" s="1"/>
  <c r="BE54" i="109" s="1"/>
  <c r="BF54" i="109" s="1"/>
  <c r="BG54" i="109" s="1"/>
  <c r="BH54" i="109" s="1"/>
  <c r="BI54" i="109" s="1"/>
  <c r="BJ54" i="109" s="1"/>
  <c r="BK54" i="109" s="1"/>
  <c r="BL54" i="109" s="1"/>
  <c r="BM54" i="109" s="1"/>
  <c r="BN54" i="109" s="1"/>
  <c r="BO54" i="109" s="1"/>
  <c r="BP54" i="109" s="1"/>
  <c r="BQ54" i="109" s="1"/>
  <c r="BR54" i="109" s="1"/>
  <c r="BS54" i="109" s="1"/>
  <c r="BT54" i="109" s="1"/>
  <c r="BU54" i="109" s="1"/>
  <c r="BV54" i="109" s="1"/>
  <c r="AS53" i="109"/>
  <c r="AT53" i="109" s="1"/>
  <c r="AU53" i="109" s="1"/>
  <c r="AV53" i="109" s="1"/>
  <c r="AW53" i="109" s="1"/>
  <c r="AX53" i="109" s="1"/>
  <c r="AY53" i="109" s="1"/>
  <c r="AZ53" i="109" s="1"/>
  <c r="BA53" i="109" s="1"/>
  <c r="BB53" i="109" s="1"/>
  <c r="BC53" i="109" s="1"/>
  <c r="BD53" i="109" s="1"/>
  <c r="BE53" i="109" s="1"/>
  <c r="BF53" i="109" s="1"/>
  <c r="BG53" i="109" s="1"/>
  <c r="BH53" i="109" s="1"/>
  <c r="BI53" i="109" s="1"/>
  <c r="BJ53" i="109" s="1"/>
  <c r="BK53" i="109" s="1"/>
  <c r="BL53" i="109" s="1"/>
  <c r="BM53" i="109" s="1"/>
  <c r="BN53" i="109" s="1"/>
  <c r="BO53" i="109" s="1"/>
  <c r="BP53" i="109" s="1"/>
  <c r="BQ53" i="109" s="1"/>
  <c r="BR53" i="109" s="1"/>
  <c r="BS53" i="109" s="1"/>
  <c r="BT53" i="109" s="1"/>
  <c r="BU53" i="109" s="1"/>
  <c r="BV53" i="109" s="1"/>
  <c r="AS48" i="109"/>
  <c r="AT48" i="109" s="1"/>
  <c r="AU48" i="109" s="1"/>
  <c r="AV48" i="109" s="1"/>
  <c r="AW48" i="109" s="1"/>
  <c r="AX48" i="109" s="1"/>
  <c r="AY48" i="109" s="1"/>
  <c r="AZ48" i="109" s="1"/>
  <c r="BA48" i="109" s="1"/>
  <c r="BB48" i="109" s="1"/>
  <c r="BC48" i="109" s="1"/>
  <c r="BD48" i="109" s="1"/>
  <c r="BE48" i="109" s="1"/>
  <c r="BF48" i="109" s="1"/>
  <c r="BG48" i="109" s="1"/>
  <c r="BH48" i="109" s="1"/>
  <c r="BI48" i="109" s="1"/>
  <c r="BJ48" i="109" s="1"/>
  <c r="BK48" i="109" s="1"/>
  <c r="BL48" i="109" s="1"/>
  <c r="BM48" i="109" s="1"/>
  <c r="BN48" i="109" s="1"/>
  <c r="BO48" i="109" s="1"/>
  <c r="BP48" i="109" s="1"/>
  <c r="BQ48" i="109" s="1"/>
  <c r="BR48" i="109" s="1"/>
  <c r="BS48" i="109" s="1"/>
  <c r="BT48" i="109" s="1"/>
  <c r="BU48" i="109" s="1"/>
  <c r="BV48" i="109" s="1"/>
  <c r="AS47" i="109"/>
  <c r="AS46" i="109"/>
  <c r="AT46" i="109" s="1"/>
  <c r="AU46" i="109" s="1"/>
  <c r="AV46" i="109" s="1"/>
  <c r="AW46" i="109" s="1"/>
  <c r="AX46" i="109" s="1"/>
  <c r="AY46" i="109" s="1"/>
  <c r="AZ46" i="109" s="1"/>
  <c r="BA46" i="109" s="1"/>
  <c r="BB46" i="109" s="1"/>
  <c r="BC46" i="109" s="1"/>
  <c r="BD46" i="109" s="1"/>
  <c r="BE46" i="109" s="1"/>
  <c r="BF46" i="109" s="1"/>
  <c r="BG46" i="109" s="1"/>
  <c r="BH46" i="109" s="1"/>
  <c r="BI46" i="109" s="1"/>
  <c r="BJ46" i="109" s="1"/>
  <c r="BK46" i="109" s="1"/>
  <c r="BL46" i="109" s="1"/>
  <c r="BM46" i="109" s="1"/>
  <c r="BN46" i="109" s="1"/>
  <c r="BO46" i="109" s="1"/>
  <c r="BP46" i="109" s="1"/>
  <c r="BQ46" i="109" s="1"/>
  <c r="BR46" i="109" s="1"/>
  <c r="BS46" i="109" s="1"/>
  <c r="BT46" i="109" s="1"/>
  <c r="BU46" i="109" s="1"/>
  <c r="BV46" i="109" s="1"/>
  <c r="AS41" i="109"/>
  <c r="AT41" i="109" s="1"/>
  <c r="AU41" i="109" s="1"/>
  <c r="AV41" i="109" s="1"/>
  <c r="AW41" i="109" s="1"/>
  <c r="AX41" i="109" s="1"/>
  <c r="AY41" i="109" s="1"/>
  <c r="AZ41" i="109" s="1"/>
  <c r="BA41" i="109" s="1"/>
  <c r="BB41" i="109" s="1"/>
  <c r="BC41" i="109" s="1"/>
  <c r="BD41" i="109" s="1"/>
  <c r="BE41" i="109" s="1"/>
  <c r="BF41" i="109" s="1"/>
  <c r="BG41" i="109" s="1"/>
  <c r="BH41" i="109" s="1"/>
  <c r="BI41" i="109" s="1"/>
  <c r="BJ41" i="109" s="1"/>
  <c r="BK41" i="109" s="1"/>
  <c r="BL41" i="109" s="1"/>
  <c r="BM41" i="109" s="1"/>
  <c r="BN41" i="109" s="1"/>
  <c r="BO41" i="109" s="1"/>
  <c r="BP41" i="109" s="1"/>
  <c r="BQ41" i="109" s="1"/>
  <c r="BR41" i="109" s="1"/>
  <c r="BS41" i="109" s="1"/>
  <c r="BT41" i="109" s="1"/>
  <c r="BU41" i="109" s="1"/>
  <c r="BV41" i="109" s="1"/>
  <c r="AS40" i="109"/>
  <c r="AT40" i="109" s="1"/>
  <c r="AU40" i="109" s="1"/>
  <c r="AV40" i="109" s="1"/>
  <c r="AW40" i="109" s="1"/>
  <c r="AX40" i="109" s="1"/>
  <c r="AY40" i="109" s="1"/>
  <c r="AZ40" i="109" s="1"/>
  <c r="BA40" i="109" s="1"/>
  <c r="BB40" i="109" s="1"/>
  <c r="BC40" i="109" s="1"/>
  <c r="BD40" i="109" s="1"/>
  <c r="BE40" i="109" s="1"/>
  <c r="BF40" i="109" s="1"/>
  <c r="BG40" i="109" s="1"/>
  <c r="BH40" i="109" s="1"/>
  <c r="BI40" i="109" s="1"/>
  <c r="BJ40" i="109" s="1"/>
  <c r="BK40" i="109" s="1"/>
  <c r="BL40" i="109" s="1"/>
  <c r="BM40" i="109" s="1"/>
  <c r="BN40" i="109" s="1"/>
  <c r="BO40" i="109" s="1"/>
  <c r="BP40" i="109" s="1"/>
  <c r="BQ40" i="109" s="1"/>
  <c r="BR40" i="109" s="1"/>
  <c r="BS40" i="109" s="1"/>
  <c r="BT40" i="109" s="1"/>
  <c r="BU40" i="109" s="1"/>
  <c r="BV40" i="109" s="1"/>
  <c r="AS39" i="109"/>
  <c r="AT39" i="109" s="1"/>
  <c r="AU39" i="109" s="1"/>
  <c r="AV39" i="109" s="1"/>
  <c r="AW39" i="109" s="1"/>
  <c r="AX39" i="109" s="1"/>
  <c r="AY39" i="109" s="1"/>
  <c r="AZ39" i="109" s="1"/>
  <c r="BA39" i="109" s="1"/>
  <c r="BB39" i="109" s="1"/>
  <c r="BC39" i="109" s="1"/>
  <c r="BD39" i="109" s="1"/>
  <c r="BE39" i="109" s="1"/>
  <c r="BF39" i="109" s="1"/>
  <c r="BG39" i="109" s="1"/>
  <c r="BH39" i="109" s="1"/>
  <c r="BI39" i="109" s="1"/>
  <c r="BJ39" i="109" s="1"/>
  <c r="BK39" i="109" s="1"/>
  <c r="BL39" i="109" s="1"/>
  <c r="BM39" i="109" s="1"/>
  <c r="BN39" i="109" s="1"/>
  <c r="BO39" i="109" s="1"/>
  <c r="BP39" i="109" s="1"/>
  <c r="BQ39" i="109" s="1"/>
  <c r="BR39" i="109" s="1"/>
  <c r="BS39" i="109" s="1"/>
  <c r="BT39" i="109" s="1"/>
  <c r="BU39" i="109" s="1"/>
  <c r="BV39" i="109" s="1"/>
  <c r="AS38" i="109"/>
  <c r="AT38" i="109" s="1"/>
  <c r="AU38" i="109" s="1"/>
  <c r="AV38" i="109" s="1"/>
  <c r="AW38" i="109" s="1"/>
  <c r="AX38" i="109" s="1"/>
  <c r="AY38" i="109" s="1"/>
  <c r="AZ38" i="109" s="1"/>
  <c r="BA38" i="109" s="1"/>
  <c r="BB38" i="109" s="1"/>
  <c r="BC38" i="109" s="1"/>
  <c r="BD38" i="109" s="1"/>
  <c r="BE38" i="109" s="1"/>
  <c r="BF38" i="109" s="1"/>
  <c r="BG38" i="109" s="1"/>
  <c r="BH38" i="109" s="1"/>
  <c r="BI38" i="109" s="1"/>
  <c r="BJ38" i="109" s="1"/>
  <c r="BK38" i="109" s="1"/>
  <c r="BL38" i="109" s="1"/>
  <c r="BM38" i="109" s="1"/>
  <c r="BN38" i="109" s="1"/>
  <c r="BO38" i="109" s="1"/>
  <c r="BP38" i="109" s="1"/>
  <c r="BQ38" i="109" s="1"/>
  <c r="BR38" i="109" s="1"/>
  <c r="BS38" i="109" s="1"/>
  <c r="BT38" i="109" s="1"/>
  <c r="BU38" i="109" s="1"/>
  <c r="BV38" i="109" s="1"/>
  <c r="AS37" i="109"/>
  <c r="AT37" i="109" s="1"/>
  <c r="AU37" i="109" s="1"/>
  <c r="AV37" i="109" s="1"/>
  <c r="AW37" i="109" s="1"/>
  <c r="AX37" i="109" s="1"/>
  <c r="AY37" i="109" s="1"/>
  <c r="AZ37" i="109" s="1"/>
  <c r="BA37" i="109" s="1"/>
  <c r="BB37" i="109" s="1"/>
  <c r="BC37" i="109" s="1"/>
  <c r="BD37" i="109" s="1"/>
  <c r="BE37" i="109" s="1"/>
  <c r="BF37" i="109" s="1"/>
  <c r="BG37" i="109" s="1"/>
  <c r="BH37" i="109" s="1"/>
  <c r="BI37" i="109" s="1"/>
  <c r="BJ37" i="109" s="1"/>
  <c r="BK37" i="109" s="1"/>
  <c r="BL37" i="109" s="1"/>
  <c r="BM37" i="109" s="1"/>
  <c r="BN37" i="109" s="1"/>
  <c r="BO37" i="109" s="1"/>
  <c r="BP37" i="109" s="1"/>
  <c r="BQ37" i="109" s="1"/>
  <c r="BR37" i="109" s="1"/>
  <c r="BS37" i="109" s="1"/>
  <c r="BT37" i="109" s="1"/>
  <c r="BU37" i="109" s="1"/>
  <c r="BV37" i="109" s="1"/>
  <c r="AS32" i="109"/>
  <c r="AT32" i="109" s="1"/>
  <c r="AU32" i="109" s="1"/>
  <c r="AV32" i="109" s="1"/>
  <c r="AW32" i="109" s="1"/>
  <c r="AX32" i="109" s="1"/>
  <c r="AY32" i="109" s="1"/>
  <c r="AZ32" i="109" s="1"/>
  <c r="BA32" i="109" s="1"/>
  <c r="BB32" i="109" s="1"/>
  <c r="BC32" i="109" s="1"/>
  <c r="BD32" i="109" s="1"/>
  <c r="BE32" i="109" s="1"/>
  <c r="BF32" i="109" s="1"/>
  <c r="BG32" i="109" s="1"/>
  <c r="BH32" i="109" s="1"/>
  <c r="BI32" i="109" s="1"/>
  <c r="BJ32" i="109" s="1"/>
  <c r="BK32" i="109" s="1"/>
  <c r="BL32" i="109" s="1"/>
  <c r="BM32" i="109" s="1"/>
  <c r="BN32" i="109" s="1"/>
  <c r="BO32" i="109" s="1"/>
  <c r="BP32" i="109" s="1"/>
  <c r="BQ32" i="109" s="1"/>
  <c r="BR32" i="109" s="1"/>
  <c r="BS32" i="109" s="1"/>
  <c r="BT32" i="109" s="1"/>
  <c r="BU32" i="109" s="1"/>
  <c r="BV32" i="109" s="1"/>
  <c r="AS31" i="109"/>
  <c r="AT31" i="109" s="1"/>
  <c r="AU31" i="109" s="1"/>
  <c r="AV31" i="109" s="1"/>
  <c r="AW31" i="109" s="1"/>
  <c r="AX31" i="109" s="1"/>
  <c r="AY31" i="109" s="1"/>
  <c r="AZ31" i="109" s="1"/>
  <c r="BA31" i="109" s="1"/>
  <c r="BB31" i="109" s="1"/>
  <c r="BC31" i="109" s="1"/>
  <c r="BD31" i="109" s="1"/>
  <c r="BE31" i="109" s="1"/>
  <c r="BF31" i="109" s="1"/>
  <c r="BG31" i="109" s="1"/>
  <c r="BH31" i="109" s="1"/>
  <c r="BI31" i="109" s="1"/>
  <c r="BJ31" i="109" s="1"/>
  <c r="BK31" i="109" s="1"/>
  <c r="BL31" i="109" s="1"/>
  <c r="BM31" i="109" s="1"/>
  <c r="BN31" i="109" s="1"/>
  <c r="BO31" i="109" s="1"/>
  <c r="BP31" i="109" s="1"/>
  <c r="BQ31" i="109" s="1"/>
  <c r="BR31" i="109" s="1"/>
  <c r="BS31" i="109" s="1"/>
  <c r="BT31" i="109" s="1"/>
  <c r="BU31" i="109" s="1"/>
  <c r="BV31" i="109" s="1"/>
  <c r="AS30" i="109"/>
  <c r="AT30" i="109" s="1"/>
  <c r="AU30" i="109" s="1"/>
  <c r="AV30" i="109" s="1"/>
  <c r="AW30" i="109" s="1"/>
  <c r="AX30" i="109" s="1"/>
  <c r="AY30" i="109" s="1"/>
  <c r="AZ30" i="109" s="1"/>
  <c r="BA30" i="109" s="1"/>
  <c r="BB30" i="109" s="1"/>
  <c r="BC30" i="109" s="1"/>
  <c r="BD30" i="109" s="1"/>
  <c r="BE30" i="109" s="1"/>
  <c r="BF30" i="109" s="1"/>
  <c r="BG30" i="109" s="1"/>
  <c r="BH30" i="109" s="1"/>
  <c r="BI30" i="109" s="1"/>
  <c r="BJ30" i="109" s="1"/>
  <c r="BK30" i="109" s="1"/>
  <c r="BL30" i="109" s="1"/>
  <c r="BM30" i="109" s="1"/>
  <c r="BN30" i="109" s="1"/>
  <c r="BO30" i="109" s="1"/>
  <c r="BP30" i="109" s="1"/>
  <c r="BQ30" i="109" s="1"/>
  <c r="BR30" i="109" s="1"/>
  <c r="BS30" i="109" s="1"/>
  <c r="BT30" i="109" s="1"/>
  <c r="BU30" i="109" s="1"/>
  <c r="BV30" i="109" s="1"/>
  <c r="AS29" i="109"/>
  <c r="AT29" i="109" s="1"/>
  <c r="AU29" i="109" s="1"/>
  <c r="AV29" i="109" s="1"/>
  <c r="AW29" i="109" s="1"/>
  <c r="AX29" i="109" s="1"/>
  <c r="AY29" i="109" s="1"/>
  <c r="AZ29" i="109" s="1"/>
  <c r="BA29" i="109" s="1"/>
  <c r="BB29" i="109" s="1"/>
  <c r="BC29" i="109" s="1"/>
  <c r="BD29" i="109" s="1"/>
  <c r="BE29" i="109" s="1"/>
  <c r="BF29" i="109" s="1"/>
  <c r="BG29" i="109" s="1"/>
  <c r="BH29" i="109" s="1"/>
  <c r="BI29" i="109" s="1"/>
  <c r="BJ29" i="109" s="1"/>
  <c r="BK29" i="109" s="1"/>
  <c r="BL29" i="109" s="1"/>
  <c r="BM29" i="109" s="1"/>
  <c r="BN29" i="109" s="1"/>
  <c r="BO29" i="109" s="1"/>
  <c r="BP29" i="109" s="1"/>
  <c r="BQ29" i="109" s="1"/>
  <c r="BR29" i="109" s="1"/>
  <c r="BS29" i="109" s="1"/>
  <c r="BT29" i="109" s="1"/>
  <c r="BU29" i="109" s="1"/>
  <c r="BV29" i="109" s="1"/>
  <c r="AS28" i="109"/>
  <c r="AT28" i="109" s="1"/>
  <c r="AU28" i="109" s="1"/>
  <c r="AV28" i="109" s="1"/>
  <c r="AW28" i="109" s="1"/>
  <c r="AX28" i="109" s="1"/>
  <c r="AY28" i="109" s="1"/>
  <c r="AZ28" i="109" s="1"/>
  <c r="BA28" i="109" s="1"/>
  <c r="BB28" i="109" s="1"/>
  <c r="BC28" i="109" s="1"/>
  <c r="BD28" i="109" s="1"/>
  <c r="BE28" i="109" s="1"/>
  <c r="BF28" i="109" s="1"/>
  <c r="BG28" i="109" s="1"/>
  <c r="BH28" i="109" s="1"/>
  <c r="BI28" i="109" s="1"/>
  <c r="BJ28" i="109" s="1"/>
  <c r="BK28" i="109" s="1"/>
  <c r="BL28" i="109" s="1"/>
  <c r="BM28" i="109" s="1"/>
  <c r="BN28" i="109" s="1"/>
  <c r="BO28" i="109" s="1"/>
  <c r="BP28" i="109" s="1"/>
  <c r="BQ28" i="109" s="1"/>
  <c r="BR28" i="109" s="1"/>
  <c r="BS28" i="109" s="1"/>
  <c r="BT28" i="109" s="1"/>
  <c r="BU28" i="109" s="1"/>
  <c r="BV28" i="109" s="1"/>
  <c r="AS27" i="109"/>
  <c r="AT27" i="109" s="1"/>
  <c r="AU27" i="109" s="1"/>
  <c r="AV27" i="109" s="1"/>
  <c r="AW27" i="109" s="1"/>
  <c r="AX27" i="109" s="1"/>
  <c r="AY27" i="109" s="1"/>
  <c r="AZ27" i="109" s="1"/>
  <c r="BA27" i="109" s="1"/>
  <c r="BB27" i="109" s="1"/>
  <c r="BC27" i="109" s="1"/>
  <c r="BD27" i="109" s="1"/>
  <c r="BE27" i="109" s="1"/>
  <c r="BF27" i="109" s="1"/>
  <c r="BG27" i="109" s="1"/>
  <c r="BH27" i="109" s="1"/>
  <c r="BI27" i="109" s="1"/>
  <c r="BJ27" i="109" s="1"/>
  <c r="BK27" i="109" s="1"/>
  <c r="BL27" i="109" s="1"/>
  <c r="BM27" i="109" s="1"/>
  <c r="BN27" i="109" s="1"/>
  <c r="BO27" i="109" s="1"/>
  <c r="BP27" i="109" s="1"/>
  <c r="BQ27" i="109" s="1"/>
  <c r="BR27" i="109" s="1"/>
  <c r="BS27" i="109" s="1"/>
  <c r="BT27" i="109" s="1"/>
  <c r="BU27" i="109" s="1"/>
  <c r="BV27" i="109" s="1"/>
  <c r="AS26" i="109"/>
  <c r="AT26" i="109" s="1"/>
  <c r="AU26" i="109" s="1"/>
  <c r="AV26" i="109" s="1"/>
  <c r="AW26" i="109" s="1"/>
  <c r="AX26" i="109" s="1"/>
  <c r="AY26" i="109" s="1"/>
  <c r="AZ26" i="109" s="1"/>
  <c r="BA26" i="109" s="1"/>
  <c r="BB26" i="109" s="1"/>
  <c r="BC26" i="109" s="1"/>
  <c r="BD26" i="109" s="1"/>
  <c r="BE26" i="109" s="1"/>
  <c r="BF26" i="109" s="1"/>
  <c r="BG26" i="109" s="1"/>
  <c r="BH26" i="109" s="1"/>
  <c r="BI26" i="109" s="1"/>
  <c r="BJ26" i="109" s="1"/>
  <c r="BK26" i="109" s="1"/>
  <c r="BL26" i="109" s="1"/>
  <c r="BM26" i="109" s="1"/>
  <c r="BN26" i="109" s="1"/>
  <c r="BO26" i="109" s="1"/>
  <c r="BP26" i="109" s="1"/>
  <c r="BQ26" i="109" s="1"/>
  <c r="BR26" i="109" s="1"/>
  <c r="BS26" i="109" s="1"/>
  <c r="BT26" i="109" s="1"/>
  <c r="BU26" i="109" s="1"/>
  <c r="BV26" i="109" s="1"/>
  <c r="AS25" i="109"/>
  <c r="AT25" i="109" s="1"/>
  <c r="AU25" i="109" s="1"/>
  <c r="AV25" i="109" s="1"/>
  <c r="AW25" i="109" s="1"/>
  <c r="AX25" i="109" s="1"/>
  <c r="AY25" i="109" s="1"/>
  <c r="AZ25" i="109" s="1"/>
  <c r="BA25" i="109" s="1"/>
  <c r="BB25" i="109" s="1"/>
  <c r="BC25" i="109" s="1"/>
  <c r="BD25" i="109" s="1"/>
  <c r="BE25" i="109" s="1"/>
  <c r="BF25" i="109" s="1"/>
  <c r="BG25" i="109" s="1"/>
  <c r="BH25" i="109" s="1"/>
  <c r="BI25" i="109" s="1"/>
  <c r="BJ25" i="109" s="1"/>
  <c r="BK25" i="109" s="1"/>
  <c r="BL25" i="109" s="1"/>
  <c r="BM25" i="109" s="1"/>
  <c r="BN25" i="109" s="1"/>
  <c r="BO25" i="109" s="1"/>
  <c r="BP25" i="109" s="1"/>
  <c r="BQ25" i="109" s="1"/>
  <c r="BR25" i="109" s="1"/>
  <c r="BS25" i="109" s="1"/>
  <c r="BT25" i="109" s="1"/>
  <c r="BU25" i="109" s="1"/>
  <c r="BV25" i="109" s="1"/>
  <c r="AU24" i="109"/>
  <c r="AV24" i="109" s="1"/>
  <c r="AW24" i="109" s="1"/>
  <c r="AX24" i="109" s="1"/>
  <c r="AY24" i="109" s="1"/>
  <c r="AZ24" i="109" s="1"/>
  <c r="BA24" i="109" s="1"/>
  <c r="BB24" i="109" s="1"/>
  <c r="BC24" i="109" s="1"/>
  <c r="BD24" i="109" s="1"/>
  <c r="BE24" i="109" s="1"/>
  <c r="BF24" i="109" s="1"/>
  <c r="BG24" i="109" s="1"/>
  <c r="BH24" i="109" s="1"/>
  <c r="BI24" i="109" s="1"/>
  <c r="BJ24" i="109" s="1"/>
  <c r="BK24" i="109" s="1"/>
  <c r="BL24" i="109" s="1"/>
  <c r="BM24" i="109" s="1"/>
  <c r="BN24" i="109" s="1"/>
  <c r="BO24" i="109" s="1"/>
  <c r="BP24" i="109" s="1"/>
  <c r="BQ24" i="109" s="1"/>
  <c r="BR24" i="109" s="1"/>
  <c r="BS24" i="109" s="1"/>
  <c r="BT24" i="109" s="1"/>
  <c r="BU24" i="109" s="1"/>
  <c r="BV24" i="109" s="1"/>
  <c r="AS24" i="109"/>
  <c r="AT24" i="109" s="1"/>
  <c r="AS23" i="109"/>
  <c r="AT23" i="109" s="1"/>
  <c r="AU23" i="109" s="1"/>
  <c r="AV23" i="109" s="1"/>
  <c r="AW23" i="109" s="1"/>
  <c r="AX23" i="109" s="1"/>
  <c r="AY23" i="109" s="1"/>
  <c r="AZ23" i="109" s="1"/>
  <c r="BA23" i="109" s="1"/>
  <c r="BB23" i="109" s="1"/>
  <c r="BC23" i="109" s="1"/>
  <c r="BD23" i="109" s="1"/>
  <c r="BE23" i="109" s="1"/>
  <c r="BF23" i="109" s="1"/>
  <c r="BG23" i="109" s="1"/>
  <c r="BH23" i="109" s="1"/>
  <c r="BI23" i="109" s="1"/>
  <c r="BJ23" i="109" s="1"/>
  <c r="BK23" i="109" s="1"/>
  <c r="BL23" i="109" s="1"/>
  <c r="BM23" i="109" s="1"/>
  <c r="BN23" i="109" s="1"/>
  <c r="BO23" i="109" s="1"/>
  <c r="BP23" i="109" s="1"/>
  <c r="BQ23" i="109" s="1"/>
  <c r="BR23" i="109" s="1"/>
  <c r="BS23" i="109" s="1"/>
  <c r="BT23" i="109" s="1"/>
  <c r="BU23" i="109" s="1"/>
  <c r="BV23" i="109" s="1"/>
  <c r="AS22" i="109"/>
  <c r="AT22" i="109" s="1"/>
  <c r="AU22" i="109" s="1"/>
  <c r="AV22" i="109" s="1"/>
  <c r="AW22" i="109" s="1"/>
  <c r="AX22" i="109" s="1"/>
  <c r="AY22" i="109" s="1"/>
  <c r="AZ22" i="109" s="1"/>
  <c r="BA22" i="109" s="1"/>
  <c r="BB22" i="109" s="1"/>
  <c r="BC22" i="109" s="1"/>
  <c r="BD22" i="109" s="1"/>
  <c r="BE22" i="109" s="1"/>
  <c r="BF22" i="109" s="1"/>
  <c r="BG22" i="109" s="1"/>
  <c r="BH22" i="109" s="1"/>
  <c r="BI22" i="109" s="1"/>
  <c r="BJ22" i="109" s="1"/>
  <c r="BK22" i="109" s="1"/>
  <c r="BL22" i="109" s="1"/>
  <c r="BM22" i="109" s="1"/>
  <c r="BN22" i="109" s="1"/>
  <c r="BO22" i="109" s="1"/>
  <c r="BP22" i="109" s="1"/>
  <c r="BQ22" i="109" s="1"/>
  <c r="BR22" i="109" s="1"/>
  <c r="BS22" i="109" s="1"/>
  <c r="BT22" i="109" s="1"/>
  <c r="BU22" i="109" s="1"/>
  <c r="BV22" i="109" s="1"/>
  <c r="AS21" i="109"/>
  <c r="AT21" i="109" s="1"/>
  <c r="AU21" i="109" s="1"/>
  <c r="AV21" i="109" s="1"/>
  <c r="AW21" i="109" s="1"/>
  <c r="AX21" i="109" s="1"/>
  <c r="AY21" i="109" s="1"/>
  <c r="AZ21" i="109" s="1"/>
  <c r="BA21" i="109" s="1"/>
  <c r="BB21" i="109" s="1"/>
  <c r="BC21" i="109" s="1"/>
  <c r="BD21" i="109" s="1"/>
  <c r="BE21" i="109" s="1"/>
  <c r="BF21" i="109" s="1"/>
  <c r="BG21" i="109" s="1"/>
  <c r="BH21" i="109" s="1"/>
  <c r="BI21" i="109" s="1"/>
  <c r="BJ21" i="109" s="1"/>
  <c r="BK21" i="109" s="1"/>
  <c r="BL21" i="109" s="1"/>
  <c r="BM21" i="109" s="1"/>
  <c r="BN21" i="109" s="1"/>
  <c r="BO21" i="109" s="1"/>
  <c r="BP21" i="109" s="1"/>
  <c r="BQ21" i="109" s="1"/>
  <c r="BR21" i="109" s="1"/>
  <c r="BS21" i="109" s="1"/>
  <c r="BT21" i="109" s="1"/>
  <c r="BU21" i="109" s="1"/>
  <c r="BV21" i="109" s="1"/>
  <c r="AS20" i="109"/>
  <c r="AT20" i="109" s="1"/>
  <c r="AU20" i="109" s="1"/>
  <c r="AV20" i="109" s="1"/>
  <c r="AW20" i="109" s="1"/>
  <c r="AX20" i="109" s="1"/>
  <c r="AY20" i="109" s="1"/>
  <c r="AZ20" i="109" s="1"/>
  <c r="BA20" i="109" s="1"/>
  <c r="BB20" i="109" s="1"/>
  <c r="BC20" i="109" s="1"/>
  <c r="BD20" i="109" s="1"/>
  <c r="BE20" i="109" s="1"/>
  <c r="BF20" i="109" s="1"/>
  <c r="BG20" i="109" s="1"/>
  <c r="BH20" i="109" s="1"/>
  <c r="BI20" i="109" s="1"/>
  <c r="BJ20" i="109" s="1"/>
  <c r="BK20" i="109" s="1"/>
  <c r="BL20" i="109" s="1"/>
  <c r="BM20" i="109" s="1"/>
  <c r="BN20" i="109" s="1"/>
  <c r="BO20" i="109" s="1"/>
  <c r="BP20" i="109" s="1"/>
  <c r="BQ20" i="109" s="1"/>
  <c r="BR20" i="109" s="1"/>
  <c r="BS20" i="109" s="1"/>
  <c r="BT20" i="109" s="1"/>
  <c r="BU20" i="109" s="1"/>
  <c r="BV20" i="109" s="1"/>
  <c r="AS19" i="109"/>
  <c r="AT19" i="109" s="1"/>
  <c r="AU19" i="109" s="1"/>
  <c r="AV19" i="109" s="1"/>
  <c r="AW19" i="109" s="1"/>
  <c r="AX19" i="109" s="1"/>
  <c r="AY19" i="109" s="1"/>
  <c r="AZ19" i="109" s="1"/>
  <c r="BA19" i="109" s="1"/>
  <c r="BB19" i="109" s="1"/>
  <c r="BC19" i="109" s="1"/>
  <c r="BD19" i="109" s="1"/>
  <c r="BE19" i="109" s="1"/>
  <c r="BF19" i="109" s="1"/>
  <c r="BG19" i="109" s="1"/>
  <c r="BH19" i="109" s="1"/>
  <c r="BI19" i="109" s="1"/>
  <c r="BJ19" i="109" s="1"/>
  <c r="BK19" i="109" s="1"/>
  <c r="BL19" i="109" s="1"/>
  <c r="BM19" i="109" s="1"/>
  <c r="BN19" i="109" s="1"/>
  <c r="BO19" i="109" s="1"/>
  <c r="BP19" i="109" s="1"/>
  <c r="BQ19" i="109" s="1"/>
  <c r="BR19" i="109" s="1"/>
  <c r="BS19" i="109" s="1"/>
  <c r="BT19" i="109" s="1"/>
  <c r="BU19" i="109" s="1"/>
  <c r="BV19" i="109" s="1"/>
  <c r="AS18" i="109"/>
  <c r="AT18" i="109" s="1"/>
  <c r="AU18" i="109" s="1"/>
  <c r="AV18" i="109" s="1"/>
  <c r="AW18" i="109" s="1"/>
  <c r="AX18" i="109" s="1"/>
  <c r="AY18" i="109" s="1"/>
  <c r="AZ18" i="109" s="1"/>
  <c r="BA18" i="109" s="1"/>
  <c r="BB18" i="109" s="1"/>
  <c r="BC18" i="109" s="1"/>
  <c r="BD18" i="109" s="1"/>
  <c r="BE18" i="109" s="1"/>
  <c r="BF18" i="109" s="1"/>
  <c r="BG18" i="109" s="1"/>
  <c r="BH18" i="109" s="1"/>
  <c r="BI18" i="109" s="1"/>
  <c r="BJ18" i="109" s="1"/>
  <c r="BK18" i="109" s="1"/>
  <c r="BL18" i="109" s="1"/>
  <c r="BM18" i="109" s="1"/>
  <c r="BN18" i="109" s="1"/>
  <c r="BO18" i="109" s="1"/>
  <c r="BP18" i="109" s="1"/>
  <c r="BQ18" i="109" s="1"/>
  <c r="BR18" i="109" s="1"/>
  <c r="BS18" i="109" s="1"/>
  <c r="BT18" i="109" s="1"/>
  <c r="BU18" i="109" s="1"/>
  <c r="BV18" i="109" s="1"/>
  <c r="AS17" i="109"/>
  <c r="AT17" i="109" s="1"/>
  <c r="AU17" i="109" s="1"/>
  <c r="AV17" i="109" s="1"/>
  <c r="AW17" i="109" s="1"/>
  <c r="AX17" i="109" s="1"/>
  <c r="AY17" i="109" s="1"/>
  <c r="AZ17" i="109" s="1"/>
  <c r="BA17" i="109" s="1"/>
  <c r="BB17" i="109" s="1"/>
  <c r="BC17" i="109" s="1"/>
  <c r="BD17" i="109" s="1"/>
  <c r="BE17" i="109" s="1"/>
  <c r="BF17" i="109" s="1"/>
  <c r="BG17" i="109" s="1"/>
  <c r="BH17" i="109" s="1"/>
  <c r="BI17" i="109" s="1"/>
  <c r="BJ17" i="109" s="1"/>
  <c r="BK17" i="109" s="1"/>
  <c r="BL17" i="109" s="1"/>
  <c r="BM17" i="109" s="1"/>
  <c r="BN17" i="109" s="1"/>
  <c r="BO17" i="109" s="1"/>
  <c r="BP17" i="109" s="1"/>
  <c r="BQ17" i="109" s="1"/>
  <c r="BR17" i="109" s="1"/>
  <c r="BS17" i="109" s="1"/>
  <c r="BT17" i="109" s="1"/>
  <c r="BU17" i="109" s="1"/>
  <c r="BV17" i="109" s="1"/>
  <c r="AS16" i="109"/>
  <c r="AT16" i="109" s="1"/>
  <c r="AU16" i="109" s="1"/>
  <c r="AV16" i="109" s="1"/>
  <c r="AW16" i="109" s="1"/>
  <c r="AX16" i="109" s="1"/>
  <c r="AY16" i="109" s="1"/>
  <c r="AZ16" i="109" s="1"/>
  <c r="BA16" i="109" s="1"/>
  <c r="BB16" i="109" s="1"/>
  <c r="BC16" i="109" s="1"/>
  <c r="BD16" i="109" s="1"/>
  <c r="BE16" i="109" s="1"/>
  <c r="BF16" i="109" s="1"/>
  <c r="BG16" i="109" s="1"/>
  <c r="BH16" i="109" s="1"/>
  <c r="BI16" i="109" s="1"/>
  <c r="BJ16" i="109" s="1"/>
  <c r="BK16" i="109" s="1"/>
  <c r="BL16" i="109" s="1"/>
  <c r="BM16" i="109" s="1"/>
  <c r="BN16" i="109" s="1"/>
  <c r="BO16" i="109" s="1"/>
  <c r="BP16" i="109" s="1"/>
  <c r="BQ16" i="109" s="1"/>
  <c r="BR16" i="109" s="1"/>
  <c r="BS16" i="109" s="1"/>
  <c r="BT16" i="109" s="1"/>
  <c r="BU16" i="109" s="1"/>
  <c r="BV16" i="109" s="1"/>
  <c r="AS15" i="109"/>
  <c r="AT15" i="109" s="1"/>
  <c r="AU15" i="109" s="1"/>
  <c r="AV15" i="109" s="1"/>
  <c r="AW15" i="109" s="1"/>
  <c r="AX15" i="109" s="1"/>
  <c r="AY15" i="109" s="1"/>
  <c r="AZ15" i="109" s="1"/>
  <c r="BA15" i="109" s="1"/>
  <c r="BB15" i="109" s="1"/>
  <c r="BC15" i="109" s="1"/>
  <c r="BD15" i="109" s="1"/>
  <c r="BE15" i="109" s="1"/>
  <c r="BF15" i="109" s="1"/>
  <c r="BG15" i="109" s="1"/>
  <c r="BH15" i="109" s="1"/>
  <c r="BI15" i="109" s="1"/>
  <c r="BJ15" i="109" s="1"/>
  <c r="BK15" i="109" s="1"/>
  <c r="BL15" i="109" s="1"/>
  <c r="BM15" i="109" s="1"/>
  <c r="BN15" i="109" s="1"/>
  <c r="BO15" i="109" s="1"/>
  <c r="BP15" i="109" s="1"/>
  <c r="BQ15" i="109" s="1"/>
  <c r="BR15" i="109" s="1"/>
  <c r="BS15" i="109" s="1"/>
  <c r="BT15" i="109" s="1"/>
  <c r="BU15" i="109" s="1"/>
  <c r="BV15" i="109" s="1"/>
  <c r="AS14" i="109"/>
  <c r="AT14" i="109" s="1"/>
  <c r="AU14" i="109" s="1"/>
  <c r="AV14" i="109" s="1"/>
  <c r="AW14" i="109" s="1"/>
  <c r="AX14" i="109" s="1"/>
  <c r="AY14" i="109" s="1"/>
  <c r="AZ14" i="109" s="1"/>
  <c r="BA14" i="109" s="1"/>
  <c r="BB14" i="109" s="1"/>
  <c r="BC14" i="109" s="1"/>
  <c r="BD14" i="109" s="1"/>
  <c r="BE14" i="109" s="1"/>
  <c r="BF14" i="109" s="1"/>
  <c r="BG14" i="109" s="1"/>
  <c r="BH14" i="109" s="1"/>
  <c r="BI14" i="109" s="1"/>
  <c r="BJ14" i="109" s="1"/>
  <c r="BK14" i="109" s="1"/>
  <c r="BL14" i="109" s="1"/>
  <c r="BM14" i="109" s="1"/>
  <c r="BN14" i="109" s="1"/>
  <c r="BO14" i="109" s="1"/>
  <c r="BP14" i="109" s="1"/>
  <c r="BQ14" i="109" s="1"/>
  <c r="BR14" i="109" s="1"/>
  <c r="BS14" i="109" s="1"/>
  <c r="BT14" i="109" s="1"/>
  <c r="BU14" i="109" s="1"/>
  <c r="BV14" i="109" s="1"/>
  <c r="AS13" i="109"/>
  <c r="AT13" i="109" s="1"/>
  <c r="AU13" i="109" s="1"/>
  <c r="AV13" i="109" s="1"/>
  <c r="AW13" i="109" s="1"/>
  <c r="AX13" i="109" s="1"/>
  <c r="AY13" i="109" s="1"/>
  <c r="AZ13" i="109" s="1"/>
  <c r="BA13" i="109" s="1"/>
  <c r="BB13" i="109" s="1"/>
  <c r="BC13" i="109" s="1"/>
  <c r="BD13" i="109" s="1"/>
  <c r="BE13" i="109" s="1"/>
  <c r="BF13" i="109" s="1"/>
  <c r="BG13" i="109" s="1"/>
  <c r="BH13" i="109" s="1"/>
  <c r="BI13" i="109" s="1"/>
  <c r="BJ13" i="109" s="1"/>
  <c r="BK13" i="109" s="1"/>
  <c r="BL13" i="109" s="1"/>
  <c r="BM13" i="109" s="1"/>
  <c r="BN13" i="109" s="1"/>
  <c r="BO13" i="109" s="1"/>
  <c r="BP13" i="109" s="1"/>
  <c r="BQ13" i="109" s="1"/>
  <c r="BR13" i="109" s="1"/>
  <c r="BS13" i="109" s="1"/>
  <c r="BT13" i="109" s="1"/>
  <c r="BU13" i="109" s="1"/>
  <c r="BV13" i="109" s="1"/>
  <c r="AS12" i="109"/>
  <c r="AT12" i="109" s="1"/>
  <c r="AU12" i="109" s="1"/>
  <c r="AV12" i="109" s="1"/>
  <c r="AW12" i="109" s="1"/>
  <c r="AX12" i="109" s="1"/>
  <c r="AY12" i="109" s="1"/>
  <c r="AZ12" i="109" s="1"/>
  <c r="BA12" i="109" s="1"/>
  <c r="BB12" i="109" s="1"/>
  <c r="BC12" i="109" s="1"/>
  <c r="BD12" i="109" s="1"/>
  <c r="BE12" i="109" s="1"/>
  <c r="BF12" i="109" s="1"/>
  <c r="BG12" i="109" s="1"/>
  <c r="BH12" i="109" s="1"/>
  <c r="BI12" i="109" s="1"/>
  <c r="BJ12" i="109" s="1"/>
  <c r="BK12" i="109" s="1"/>
  <c r="BL12" i="109" s="1"/>
  <c r="BM12" i="109" s="1"/>
  <c r="BN12" i="109" s="1"/>
  <c r="BO12" i="109" s="1"/>
  <c r="BP12" i="109" s="1"/>
  <c r="BQ12" i="109" s="1"/>
  <c r="BR12" i="109" s="1"/>
  <c r="BS12" i="109" s="1"/>
  <c r="BT12" i="109" s="1"/>
  <c r="BU12" i="109" s="1"/>
  <c r="BV12" i="109" s="1"/>
  <c r="AS11" i="109"/>
  <c r="AT11" i="109" s="1"/>
  <c r="AU11" i="109" s="1"/>
  <c r="AV11" i="109" s="1"/>
  <c r="AW11" i="109" s="1"/>
  <c r="AX11" i="109" s="1"/>
  <c r="AY11" i="109" s="1"/>
  <c r="AZ11" i="109" s="1"/>
  <c r="BA11" i="109" s="1"/>
  <c r="BB11" i="109" s="1"/>
  <c r="BC11" i="109" s="1"/>
  <c r="BD11" i="109" s="1"/>
  <c r="BE11" i="109" s="1"/>
  <c r="BF11" i="109" s="1"/>
  <c r="BG11" i="109" s="1"/>
  <c r="BH11" i="109" s="1"/>
  <c r="BI11" i="109" s="1"/>
  <c r="BJ11" i="109" s="1"/>
  <c r="BK11" i="109" s="1"/>
  <c r="BL11" i="109" s="1"/>
  <c r="BM11" i="109" s="1"/>
  <c r="BN11" i="109" s="1"/>
  <c r="BO11" i="109" s="1"/>
  <c r="BP11" i="109" s="1"/>
  <c r="BQ11" i="109" s="1"/>
  <c r="BR11" i="109" s="1"/>
  <c r="BS11" i="109" s="1"/>
  <c r="BT11" i="109" s="1"/>
  <c r="BU11" i="109" s="1"/>
  <c r="BV11" i="109" s="1"/>
  <c r="AT10" i="109"/>
  <c r="AU10" i="109" s="1"/>
  <c r="AV10" i="109" s="1"/>
  <c r="AW10" i="109" s="1"/>
  <c r="AX10" i="109" s="1"/>
  <c r="AY10" i="109" s="1"/>
  <c r="AZ10" i="109" s="1"/>
  <c r="BA10" i="109" s="1"/>
  <c r="BB10" i="109" s="1"/>
  <c r="BC10" i="109" s="1"/>
  <c r="BD10" i="109" s="1"/>
  <c r="BE10" i="109" s="1"/>
  <c r="BF10" i="109" s="1"/>
  <c r="BG10" i="109" s="1"/>
  <c r="BH10" i="109" s="1"/>
  <c r="BI10" i="109" s="1"/>
  <c r="BJ10" i="109" s="1"/>
  <c r="BK10" i="109" s="1"/>
  <c r="BL10" i="109" s="1"/>
  <c r="BM10" i="109" s="1"/>
  <c r="BN10" i="109" s="1"/>
  <c r="BO10" i="109" s="1"/>
  <c r="BP10" i="109" s="1"/>
  <c r="BQ10" i="109" s="1"/>
  <c r="BR10" i="109" s="1"/>
  <c r="BS10" i="109" s="1"/>
  <c r="BT10" i="109" s="1"/>
  <c r="BU10" i="109" s="1"/>
  <c r="BV10" i="109" s="1"/>
  <c r="AS10" i="109"/>
  <c r="AS9" i="109"/>
  <c r="AT9" i="109" s="1"/>
  <c r="AU9" i="109" s="1"/>
  <c r="AV9" i="109" s="1"/>
  <c r="AW9" i="109" s="1"/>
  <c r="AX9" i="109" s="1"/>
  <c r="AY9" i="109" s="1"/>
  <c r="AZ9" i="109" s="1"/>
  <c r="BA9" i="109" s="1"/>
  <c r="BB9" i="109" s="1"/>
  <c r="BC9" i="109" s="1"/>
  <c r="BD9" i="109" s="1"/>
  <c r="BE9" i="109" s="1"/>
  <c r="BF9" i="109" s="1"/>
  <c r="BG9" i="109" s="1"/>
  <c r="BH9" i="109" s="1"/>
  <c r="BI9" i="109" s="1"/>
  <c r="BJ9" i="109" s="1"/>
  <c r="BK9" i="109" s="1"/>
  <c r="BL9" i="109" s="1"/>
  <c r="BM9" i="109" s="1"/>
  <c r="BN9" i="109" s="1"/>
  <c r="BO9" i="109" s="1"/>
  <c r="BP9" i="109" s="1"/>
  <c r="BQ9" i="109" s="1"/>
  <c r="BR9" i="109" s="1"/>
  <c r="BS9" i="109" s="1"/>
  <c r="BT9" i="109" s="1"/>
  <c r="BU9" i="109" s="1"/>
  <c r="BV9" i="109" s="1"/>
  <c r="AT8" i="109"/>
  <c r="AU8" i="109" s="1"/>
  <c r="AV8" i="109" s="1"/>
  <c r="AW8" i="109" s="1"/>
  <c r="AX8" i="109" s="1"/>
  <c r="AY8" i="109" s="1"/>
  <c r="AZ8" i="109" s="1"/>
  <c r="BA8" i="109" s="1"/>
  <c r="BB8" i="109" s="1"/>
  <c r="BC8" i="109" s="1"/>
  <c r="BD8" i="109" s="1"/>
  <c r="BE8" i="109" s="1"/>
  <c r="BF8" i="109" s="1"/>
  <c r="BG8" i="109" s="1"/>
  <c r="BH8" i="109" s="1"/>
  <c r="BI8" i="109" s="1"/>
  <c r="BJ8" i="109" s="1"/>
  <c r="BK8" i="109" s="1"/>
  <c r="BL8" i="109" s="1"/>
  <c r="BM8" i="109" s="1"/>
  <c r="BN8" i="109" s="1"/>
  <c r="BO8" i="109" s="1"/>
  <c r="BP8" i="109" s="1"/>
  <c r="BQ8" i="109" s="1"/>
  <c r="BR8" i="109" s="1"/>
  <c r="BS8" i="109" s="1"/>
  <c r="BT8" i="109" s="1"/>
  <c r="BU8" i="109" s="1"/>
  <c r="BV8" i="109" s="1"/>
  <c r="AS8" i="109"/>
  <c r="AS7" i="109"/>
  <c r="AT7" i="109" s="1"/>
  <c r="AU7" i="109" s="1"/>
  <c r="AV7" i="109" s="1"/>
  <c r="AW7" i="109" s="1"/>
  <c r="AX7" i="109" s="1"/>
  <c r="AY7" i="109" s="1"/>
  <c r="AZ7" i="109" s="1"/>
  <c r="BA7" i="109" s="1"/>
  <c r="BB7" i="109" s="1"/>
  <c r="BC7" i="109" s="1"/>
  <c r="BD7" i="109" s="1"/>
  <c r="BE7" i="109" s="1"/>
  <c r="BF7" i="109" s="1"/>
  <c r="BG7" i="109" s="1"/>
  <c r="BH7" i="109" s="1"/>
  <c r="BI7" i="109" s="1"/>
  <c r="BJ7" i="109" s="1"/>
  <c r="BK7" i="109" s="1"/>
  <c r="BL7" i="109" s="1"/>
  <c r="BM7" i="109" s="1"/>
  <c r="BN7" i="109" s="1"/>
  <c r="BO7" i="109" s="1"/>
  <c r="BP7" i="109" s="1"/>
  <c r="BQ7" i="109" s="1"/>
  <c r="BR7" i="109" s="1"/>
  <c r="BS7" i="109" s="1"/>
  <c r="BT7" i="109" s="1"/>
  <c r="BU7" i="109" s="1"/>
  <c r="BV7" i="109" s="1"/>
  <c r="AT6" i="109"/>
  <c r="AU6" i="109" s="1"/>
  <c r="AV6" i="109" s="1"/>
  <c r="AW6" i="109" s="1"/>
  <c r="AX6" i="109" s="1"/>
  <c r="AY6" i="109" s="1"/>
  <c r="AZ6" i="109" s="1"/>
  <c r="BA6" i="109" s="1"/>
  <c r="BB6" i="109" s="1"/>
  <c r="BC6" i="109" s="1"/>
  <c r="BD6" i="109" s="1"/>
  <c r="BE6" i="109" s="1"/>
  <c r="BF6" i="109" s="1"/>
  <c r="BG6" i="109" s="1"/>
  <c r="BH6" i="109" s="1"/>
  <c r="BI6" i="109" s="1"/>
  <c r="BJ6" i="109" s="1"/>
  <c r="BK6" i="109" s="1"/>
  <c r="BL6" i="109" s="1"/>
  <c r="BM6" i="109" s="1"/>
  <c r="BN6" i="109" s="1"/>
  <c r="BO6" i="109" s="1"/>
  <c r="BP6" i="109" s="1"/>
  <c r="BQ6" i="109" s="1"/>
  <c r="BR6" i="109" s="1"/>
  <c r="BS6" i="109" s="1"/>
  <c r="BT6" i="109" s="1"/>
  <c r="BU6" i="109" s="1"/>
  <c r="BV6" i="109" s="1"/>
  <c r="AS6" i="109"/>
  <c r="AT5" i="109"/>
  <c r="AU5" i="109" s="1"/>
  <c r="AV5" i="109" s="1"/>
  <c r="AW5" i="109" s="1"/>
  <c r="AX5" i="109" s="1"/>
  <c r="AY5" i="109" s="1"/>
  <c r="AZ5" i="109" s="1"/>
  <c r="BA5" i="109" s="1"/>
  <c r="BB5" i="109" s="1"/>
  <c r="BC5" i="109" s="1"/>
  <c r="BD5" i="109" s="1"/>
  <c r="BE5" i="109" s="1"/>
  <c r="BF5" i="109" s="1"/>
  <c r="BG5" i="109" s="1"/>
  <c r="BH5" i="109" s="1"/>
  <c r="BI5" i="109" s="1"/>
  <c r="BJ5" i="109" s="1"/>
  <c r="BK5" i="109" s="1"/>
  <c r="BL5" i="109" s="1"/>
  <c r="BM5" i="109" s="1"/>
  <c r="BN5" i="109" s="1"/>
  <c r="BO5" i="109" s="1"/>
  <c r="BP5" i="109" s="1"/>
  <c r="BQ5" i="109" s="1"/>
  <c r="BR5" i="109" s="1"/>
  <c r="BS5" i="109" s="1"/>
  <c r="BT5" i="109" s="1"/>
  <c r="BU5" i="109" s="1"/>
  <c r="BV5" i="109" s="1"/>
  <c r="AS5" i="109"/>
  <c r="BG59" i="111"/>
  <c r="O59" i="111" s="1"/>
  <c r="P59" i="111" s="1"/>
  <c r="Q59" i="111" s="1"/>
  <c r="BF59" i="111"/>
  <c r="BE59" i="111"/>
  <c r="BD59" i="111"/>
  <c r="BC59" i="111"/>
  <c r="BB59" i="111"/>
  <c r="N59" i="111" s="1"/>
  <c r="BA59" i="111"/>
  <c r="AZ59" i="111"/>
  <c r="AY59" i="111"/>
  <c r="AX59" i="111"/>
  <c r="AW59" i="111"/>
  <c r="M59" i="111" s="1"/>
  <c r="AV59" i="111"/>
  <c r="AU59" i="111"/>
  <c r="AT59" i="111"/>
  <c r="AS59" i="111"/>
  <c r="AR59" i="111"/>
  <c r="L59" i="111" s="1"/>
  <c r="AQ59" i="111"/>
  <c r="AP59" i="111"/>
  <c r="AO59" i="111"/>
  <c r="AN59" i="111"/>
  <c r="AM59" i="111"/>
  <c r="K59" i="111" s="1"/>
  <c r="AL59" i="111"/>
  <c r="AK59" i="111"/>
  <c r="AJ59" i="111"/>
  <c r="AI59" i="111"/>
  <c r="AH59" i="111"/>
  <c r="J59" i="111" s="1"/>
  <c r="AG59" i="111"/>
  <c r="AF59" i="111"/>
  <c r="AE59" i="111"/>
  <c r="AD59" i="111"/>
  <c r="AC59" i="111"/>
  <c r="I59" i="111" s="1"/>
  <c r="AB59" i="111"/>
  <c r="AA59" i="111"/>
  <c r="Z59" i="111"/>
  <c r="Y59" i="111"/>
  <c r="X59" i="111"/>
  <c r="H59" i="111" s="1"/>
  <c r="G59" i="111" s="1"/>
  <c r="BG58" i="111"/>
  <c r="O58" i="111" s="1"/>
  <c r="P58" i="111" s="1"/>
  <c r="Q58" i="111" s="1"/>
  <c r="BF58" i="111"/>
  <c r="BE58" i="111"/>
  <c r="BD58" i="111"/>
  <c r="BC58" i="111"/>
  <c r="BB58" i="111"/>
  <c r="N58" i="111" s="1"/>
  <c r="BA58" i="111"/>
  <c r="AZ58" i="111"/>
  <c r="AY58" i="111"/>
  <c r="AX58" i="111"/>
  <c r="AW58" i="111"/>
  <c r="M58" i="111" s="1"/>
  <c r="AV58" i="111"/>
  <c r="AU58" i="111"/>
  <c r="AT58" i="111"/>
  <c r="AS58" i="111"/>
  <c r="AR58" i="111"/>
  <c r="L58" i="111" s="1"/>
  <c r="AQ58" i="111"/>
  <c r="AP58" i="111"/>
  <c r="AO58" i="111"/>
  <c r="AN58" i="111"/>
  <c r="AM58" i="111"/>
  <c r="K58" i="111" s="1"/>
  <c r="AL58" i="111"/>
  <c r="AK58" i="111"/>
  <c r="AJ58" i="111"/>
  <c r="AI58" i="111"/>
  <c r="AH58" i="111"/>
  <c r="J58" i="111" s="1"/>
  <c r="AG58" i="111"/>
  <c r="AF58" i="111"/>
  <c r="AE58" i="111"/>
  <c r="AD58" i="111"/>
  <c r="AC58" i="111"/>
  <c r="I58" i="111" s="1"/>
  <c r="AB58" i="111"/>
  <c r="AA58" i="111"/>
  <c r="Z58" i="111"/>
  <c r="Y58" i="111"/>
  <c r="X58" i="111"/>
  <c r="H58" i="111" s="1"/>
  <c r="G58" i="111" s="1"/>
  <c r="BG57" i="111"/>
  <c r="O57" i="111" s="1"/>
  <c r="P57" i="111" s="1"/>
  <c r="Q57" i="111" s="1"/>
  <c r="BF57" i="111"/>
  <c r="BE57" i="111"/>
  <c r="BD57" i="111"/>
  <c r="BC57" i="111"/>
  <c r="BB57" i="111"/>
  <c r="N57" i="111" s="1"/>
  <c r="BA57" i="111"/>
  <c r="AZ57" i="111"/>
  <c r="AY57" i="111"/>
  <c r="AX57" i="111"/>
  <c r="AW57" i="111"/>
  <c r="M57" i="111" s="1"/>
  <c r="AV57" i="111"/>
  <c r="AU57" i="111"/>
  <c r="AT57" i="111"/>
  <c r="AS57" i="111"/>
  <c r="AR57" i="111"/>
  <c r="L57" i="111" s="1"/>
  <c r="AQ57" i="111"/>
  <c r="AP57" i="111"/>
  <c r="AO57" i="111"/>
  <c r="AN57" i="111"/>
  <c r="AM57" i="111"/>
  <c r="K57" i="111" s="1"/>
  <c r="AL57" i="111"/>
  <c r="AK57" i="111"/>
  <c r="AJ57" i="111"/>
  <c r="AI57" i="111"/>
  <c r="AH57" i="111"/>
  <c r="J57" i="111" s="1"/>
  <c r="AG57" i="111"/>
  <c r="AF57" i="111"/>
  <c r="AE57" i="111"/>
  <c r="AD57" i="111"/>
  <c r="AC57" i="111"/>
  <c r="I57" i="111" s="1"/>
  <c r="AB57" i="111"/>
  <c r="AA57" i="111"/>
  <c r="Z57" i="111"/>
  <c r="Y57" i="111"/>
  <c r="X57" i="111"/>
  <c r="H57" i="111" s="1"/>
  <c r="G57" i="111" s="1"/>
  <c r="BG56" i="111"/>
  <c r="O56" i="111" s="1"/>
  <c r="P56" i="111" s="1"/>
  <c r="Q56" i="111" s="1"/>
  <c r="BF56" i="111"/>
  <c r="BE56" i="111"/>
  <c r="BD56" i="111"/>
  <c r="BC56" i="111"/>
  <c r="BB56" i="111"/>
  <c r="N56" i="111" s="1"/>
  <c r="BA56" i="111"/>
  <c r="AZ56" i="111"/>
  <c r="AY56" i="111"/>
  <c r="AX56" i="111"/>
  <c r="AW56" i="111"/>
  <c r="M56" i="111" s="1"/>
  <c r="AV56" i="111"/>
  <c r="AU56" i="111"/>
  <c r="AT56" i="111"/>
  <c r="AS56" i="111"/>
  <c r="AR56" i="111"/>
  <c r="L56" i="111" s="1"/>
  <c r="AQ56" i="111"/>
  <c r="AP56" i="111"/>
  <c r="AO56" i="111"/>
  <c r="AN56" i="111"/>
  <c r="AM56" i="111"/>
  <c r="K56" i="111" s="1"/>
  <c r="AL56" i="111"/>
  <c r="AK56" i="111"/>
  <c r="AJ56" i="111"/>
  <c r="AI56" i="111"/>
  <c r="AH56" i="111"/>
  <c r="J56" i="111" s="1"/>
  <c r="AG56" i="111"/>
  <c r="AF56" i="111"/>
  <c r="AE56" i="111"/>
  <c r="AD56" i="111"/>
  <c r="AC56" i="111"/>
  <c r="I56" i="111" s="1"/>
  <c r="AB56" i="111"/>
  <c r="AA56" i="111"/>
  <c r="Z56" i="111"/>
  <c r="Y56" i="111"/>
  <c r="X56" i="111"/>
  <c r="H56" i="111" s="1"/>
  <c r="G56" i="111" s="1"/>
  <c r="BG55" i="111"/>
  <c r="O55" i="111" s="1"/>
  <c r="BF55" i="111"/>
  <c r="BE55" i="111"/>
  <c r="BD55" i="111"/>
  <c r="BC55" i="111"/>
  <c r="BB55" i="111"/>
  <c r="N55" i="111" s="1"/>
  <c r="BA55" i="111"/>
  <c r="AZ55" i="111"/>
  <c r="AY55" i="111"/>
  <c r="AX55" i="111"/>
  <c r="AW55" i="111"/>
  <c r="M55" i="111" s="1"/>
  <c r="AV55" i="111"/>
  <c r="AU55" i="111"/>
  <c r="AT55" i="111"/>
  <c r="AS55" i="111"/>
  <c r="AR55" i="111"/>
  <c r="L55" i="111" s="1"/>
  <c r="AQ55" i="111"/>
  <c r="AP55" i="111"/>
  <c r="AO55" i="111"/>
  <c r="AN55" i="111"/>
  <c r="AM55" i="111"/>
  <c r="K55" i="111" s="1"/>
  <c r="AL55" i="111"/>
  <c r="AK55" i="111"/>
  <c r="AJ55" i="111"/>
  <c r="AI55" i="111"/>
  <c r="AH55" i="111"/>
  <c r="J55" i="111" s="1"/>
  <c r="AG55" i="111"/>
  <c r="AF55" i="111"/>
  <c r="AE55" i="111"/>
  <c r="AD55" i="111"/>
  <c r="AC55" i="111"/>
  <c r="I55" i="111" s="1"/>
  <c r="AB55" i="111"/>
  <c r="AA55" i="111"/>
  <c r="Z55" i="111"/>
  <c r="Y55" i="111"/>
  <c r="X55" i="111"/>
  <c r="H55" i="111" s="1"/>
  <c r="BG54" i="111"/>
  <c r="O54" i="111" s="1"/>
  <c r="P54" i="111" s="1"/>
  <c r="Q54" i="111" s="1"/>
  <c r="BF54" i="111"/>
  <c r="BE54" i="111"/>
  <c r="BD54" i="111"/>
  <c r="BC54" i="111"/>
  <c r="BB54" i="111"/>
  <c r="N54" i="111" s="1"/>
  <c r="BA54" i="111"/>
  <c r="AZ54" i="111"/>
  <c r="AY54" i="111"/>
  <c r="AX54" i="111"/>
  <c r="AW54" i="111"/>
  <c r="M54" i="111" s="1"/>
  <c r="AV54" i="111"/>
  <c r="AU54" i="111"/>
  <c r="AT54" i="111"/>
  <c r="AS54" i="111"/>
  <c r="AR54" i="111"/>
  <c r="L54" i="111" s="1"/>
  <c r="AQ54" i="111"/>
  <c r="AP54" i="111"/>
  <c r="AO54" i="111"/>
  <c r="AN54" i="111"/>
  <c r="AM54" i="111"/>
  <c r="K54" i="111" s="1"/>
  <c r="AL54" i="111"/>
  <c r="AK54" i="111"/>
  <c r="AJ54" i="111"/>
  <c r="AI54" i="111"/>
  <c r="AH54" i="111"/>
  <c r="J54" i="111" s="1"/>
  <c r="AG54" i="111"/>
  <c r="AF54" i="111"/>
  <c r="AE54" i="111"/>
  <c r="AD54" i="111"/>
  <c r="AC54" i="111"/>
  <c r="I54" i="111" s="1"/>
  <c r="AB54" i="111"/>
  <c r="AA54" i="111"/>
  <c r="Z54" i="111"/>
  <c r="Y54" i="111"/>
  <c r="X54" i="111"/>
  <c r="H54" i="111" s="1"/>
  <c r="G54" i="111" s="1"/>
  <c r="BG53" i="111"/>
  <c r="O53" i="111" s="1"/>
  <c r="P53" i="111" s="1"/>
  <c r="Q53" i="111" s="1"/>
  <c r="BF53" i="111"/>
  <c r="BE53" i="111"/>
  <c r="BD53" i="111"/>
  <c r="BC53" i="111"/>
  <c r="BB53" i="111"/>
  <c r="N53" i="111" s="1"/>
  <c r="BA53" i="111"/>
  <c r="AZ53" i="111"/>
  <c r="AY53" i="111"/>
  <c r="AX53" i="111"/>
  <c r="AW53" i="111"/>
  <c r="M53" i="111" s="1"/>
  <c r="AV53" i="111"/>
  <c r="AU53" i="111"/>
  <c r="AT53" i="111"/>
  <c r="AS53" i="111"/>
  <c r="AR53" i="111"/>
  <c r="L53" i="111" s="1"/>
  <c r="AQ53" i="111"/>
  <c r="AP53" i="111"/>
  <c r="AO53" i="111"/>
  <c r="AN53" i="111"/>
  <c r="AM53" i="111"/>
  <c r="K53" i="111" s="1"/>
  <c r="AL53" i="111"/>
  <c r="AK53" i="111"/>
  <c r="AJ53" i="111"/>
  <c r="AI53" i="111"/>
  <c r="AH53" i="111"/>
  <c r="J53" i="111" s="1"/>
  <c r="AG53" i="111"/>
  <c r="AF53" i="111"/>
  <c r="AE53" i="111"/>
  <c r="AD53" i="111"/>
  <c r="AC53" i="111"/>
  <c r="I53" i="111" s="1"/>
  <c r="AB53" i="111"/>
  <c r="AA53" i="111"/>
  <c r="Z53" i="111"/>
  <c r="Y53" i="111"/>
  <c r="X53" i="111"/>
  <c r="H53" i="111" s="1"/>
  <c r="G53" i="111" s="1"/>
  <c r="BG52" i="111"/>
  <c r="O52" i="111" s="1"/>
  <c r="P52" i="111" s="1"/>
  <c r="Q52" i="111" s="1"/>
  <c r="BF52" i="111"/>
  <c r="BE52" i="111"/>
  <c r="BD52" i="111"/>
  <c r="BC52" i="111"/>
  <c r="BB52" i="111"/>
  <c r="N52" i="111" s="1"/>
  <c r="BA52" i="111"/>
  <c r="AZ52" i="111"/>
  <c r="AY52" i="111"/>
  <c r="AX52" i="111"/>
  <c r="AW52" i="111"/>
  <c r="M52" i="111" s="1"/>
  <c r="AV52" i="111"/>
  <c r="AU52" i="111"/>
  <c r="AT52" i="111"/>
  <c r="AS52" i="111"/>
  <c r="AR52" i="111"/>
  <c r="L52" i="111" s="1"/>
  <c r="AQ52" i="111"/>
  <c r="AP52" i="111"/>
  <c r="AO52" i="111"/>
  <c r="AN52" i="111"/>
  <c r="AM52" i="111"/>
  <c r="K52" i="111" s="1"/>
  <c r="AL52" i="111"/>
  <c r="AK52" i="111"/>
  <c r="AJ52" i="111"/>
  <c r="AI52" i="111"/>
  <c r="AH52" i="111"/>
  <c r="J52" i="111" s="1"/>
  <c r="AG52" i="111"/>
  <c r="AF52" i="111"/>
  <c r="AE52" i="111"/>
  <c r="AD52" i="111"/>
  <c r="AC52" i="111"/>
  <c r="I52" i="111" s="1"/>
  <c r="AB52" i="111"/>
  <c r="AA52" i="111"/>
  <c r="Z52" i="111"/>
  <c r="Y52" i="111"/>
  <c r="X52" i="111"/>
  <c r="H52" i="111" s="1"/>
  <c r="G52" i="111" s="1"/>
  <c r="BG51" i="111"/>
  <c r="O51" i="111" s="1"/>
  <c r="P51" i="111" s="1"/>
  <c r="Q51" i="111" s="1"/>
  <c r="BF51" i="111"/>
  <c r="BE51" i="111"/>
  <c r="BD51" i="111"/>
  <c r="BC51" i="111"/>
  <c r="BB51" i="111"/>
  <c r="N51" i="111" s="1"/>
  <c r="BA51" i="111"/>
  <c r="AZ51" i="111"/>
  <c r="AY51" i="111"/>
  <c r="AX51" i="111"/>
  <c r="AW51" i="111"/>
  <c r="M51" i="111" s="1"/>
  <c r="AV51" i="111"/>
  <c r="AU51" i="111"/>
  <c r="AT51" i="111"/>
  <c r="AS51" i="111"/>
  <c r="AR51" i="111"/>
  <c r="L51" i="111" s="1"/>
  <c r="AQ51" i="111"/>
  <c r="AP51" i="111"/>
  <c r="AO51" i="111"/>
  <c r="AN51" i="111"/>
  <c r="AM51" i="111"/>
  <c r="K51" i="111" s="1"/>
  <c r="AL51" i="111"/>
  <c r="AK51" i="111"/>
  <c r="AJ51" i="111"/>
  <c r="AI51" i="111"/>
  <c r="AH51" i="111"/>
  <c r="J51" i="111" s="1"/>
  <c r="AG51" i="111"/>
  <c r="AF51" i="111"/>
  <c r="AE51" i="111"/>
  <c r="AD51" i="111"/>
  <c r="AC51" i="111"/>
  <c r="I51" i="111" s="1"/>
  <c r="AB51" i="111"/>
  <c r="AA51" i="111"/>
  <c r="Z51" i="111"/>
  <c r="Y51" i="111"/>
  <c r="X51" i="111"/>
  <c r="H51" i="111" s="1"/>
  <c r="G51" i="111" s="1"/>
  <c r="BG50" i="111"/>
  <c r="O50" i="111" s="1"/>
  <c r="P50" i="111" s="1"/>
  <c r="Q50" i="111" s="1"/>
  <c r="BF50" i="111"/>
  <c r="BE50" i="111"/>
  <c r="BD50" i="111"/>
  <c r="BC50" i="111"/>
  <c r="BB50" i="111"/>
  <c r="N50" i="111" s="1"/>
  <c r="BA50" i="111"/>
  <c r="AZ50" i="111"/>
  <c r="AY50" i="111"/>
  <c r="AX50" i="111"/>
  <c r="AW50" i="111"/>
  <c r="M50" i="111" s="1"/>
  <c r="AV50" i="111"/>
  <c r="AU50" i="111"/>
  <c r="AT50" i="111"/>
  <c r="AS50" i="111"/>
  <c r="AR50" i="111"/>
  <c r="L50" i="111" s="1"/>
  <c r="AQ50" i="111"/>
  <c r="AP50" i="111"/>
  <c r="AO50" i="111"/>
  <c r="AN50" i="111"/>
  <c r="AM50" i="111"/>
  <c r="K50" i="111" s="1"/>
  <c r="AL50" i="111"/>
  <c r="AK50" i="111"/>
  <c r="AJ50" i="111"/>
  <c r="AI50" i="111"/>
  <c r="AH50" i="111"/>
  <c r="J50" i="111" s="1"/>
  <c r="AG50" i="111"/>
  <c r="AF50" i="111"/>
  <c r="AE50" i="111"/>
  <c r="AD50" i="111"/>
  <c r="AC50" i="111"/>
  <c r="I50" i="111" s="1"/>
  <c r="AB50" i="111"/>
  <c r="AA50" i="111"/>
  <c r="Z50" i="111"/>
  <c r="Y50" i="111"/>
  <c r="X50" i="111"/>
  <c r="H50" i="111" s="1"/>
  <c r="G50" i="111" s="1"/>
  <c r="BG49" i="111"/>
  <c r="O49" i="111" s="1"/>
  <c r="P49" i="111" s="1"/>
  <c r="Q49" i="111" s="1"/>
  <c r="BF49" i="111"/>
  <c r="BE49" i="111"/>
  <c r="BD49" i="111"/>
  <c r="BC49" i="111"/>
  <c r="BB49" i="111"/>
  <c r="N49" i="111" s="1"/>
  <c r="BA49" i="111"/>
  <c r="AZ49" i="111"/>
  <c r="AY49" i="111"/>
  <c r="AX49" i="111"/>
  <c r="AW49" i="111"/>
  <c r="M49" i="111" s="1"/>
  <c r="AV49" i="111"/>
  <c r="AU49" i="111"/>
  <c r="AT49" i="111"/>
  <c r="AS49" i="111"/>
  <c r="AR49" i="111"/>
  <c r="L49" i="111" s="1"/>
  <c r="AQ49" i="111"/>
  <c r="AP49" i="111"/>
  <c r="AO49" i="111"/>
  <c r="AN49" i="111"/>
  <c r="AM49" i="111"/>
  <c r="K49" i="111" s="1"/>
  <c r="AL49" i="111"/>
  <c r="AK49" i="111"/>
  <c r="AJ49" i="111"/>
  <c r="AI49" i="111"/>
  <c r="AH49" i="111"/>
  <c r="J49" i="111" s="1"/>
  <c r="AG49" i="111"/>
  <c r="AF49" i="111"/>
  <c r="AE49" i="111"/>
  <c r="AD49" i="111"/>
  <c r="AC49" i="111"/>
  <c r="I49" i="111" s="1"/>
  <c r="AB49" i="111"/>
  <c r="AA49" i="111"/>
  <c r="Z49" i="111"/>
  <c r="Y49" i="111"/>
  <c r="X49" i="111"/>
  <c r="H49" i="111" s="1"/>
  <c r="G49" i="111" s="1"/>
  <c r="BG48" i="111"/>
  <c r="O48" i="111" s="1"/>
  <c r="P48" i="111" s="1"/>
  <c r="Q48" i="111" s="1"/>
  <c r="BF48" i="111"/>
  <c r="BE48" i="111"/>
  <c r="BD48" i="111"/>
  <c r="BC48" i="111"/>
  <c r="BB48" i="111"/>
  <c r="N48" i="111" s="1"/>
  <c r="BA48" i="111"/>
  <c r="AZ48" i="111"/>
  <c r="AY48" i="111"/>
  <c r="AX48" i="111"/>
  <c r="AW48" i="111"/>
  <c r="M48" i="111" s="1"/>
  <c r="AV48" i="111"/>
  <c r="AU48" i="111"/>
  <c r="AT48" i="111"/>
  <c r="AS48" i="111"/>
  <c r="AR48" i="111"/>
  <c r="L48" i="111" s="1"/>
  <c r="AQ48" i="111"/>
  <c r="AP48" i="111"/>
  <c r="AO48" i="111"/>
  <c r="AN48" i="111"/>
  <c r="AM48" i="111"/>
  <c r="K48" i="111" s="1"/>
  <c r="AL48" i="111"/>
  <c r="AK48" i="111"/>
  <c r="AJ48" i="111"/>
  <c r="AI48" i="111"/>
  <c r="AH48" i="111"/>
  <c r="J48" i="111" s="1"/>
  <c r="AG48" i="111"/>
  <c r="AF48" i="111"/>
  <c r="AE48" i="111"/>
  <c r="AD48" i="111"/>
  <c r="AC48" i="111"/>
  <c r="I48" i="111" s="1"/>
  <c r="AB48" i="111"/>
  <c r="AA48" i="111"/>
  <c r="Z48" i="111"/>
  <c r="Y48" i="111"/>
  <c r="X48" i="111"/>
  <c r="H48" i="111" s="1"/>
  <c r="G48" i="111" s="1"/>
  <c r="BG47" i="111"/>
  <c r="O47" i="111" s="1"/>
  <c r="P47" i="111" s="1"/>
  <c r="Q47" i="111" s="1"/>
  <c r="BF47" i="111"/>
  <c r="BE47" i="111"/>
  <c r="BD47" i="111"/>
  <c r="BC47" i="111"/>
  <c r="BB47" i="111"/>
  <c r="N47" i="111" s="1"/>
  <c r="BA47" i="111"/>
  <c r="AZ47" i="111"/>
  <c r="AY47" i="111"/>
  <c r="AX47" i="111"/>
  <c r="AW47" i="111"/>
  <c r="M47" i="111" s="1"/>
  <c r="AV47" i="111"/>
  <c r="AU47" i="111"/>
  <c r="AT47" i="111"/>
  <c r="AS47" i="111"/>
  <c r="AR47" i="111"/>
  <c r="L47" i="111" s="1"/>
  <c r="AQ47" i="111"/>
  <c r="AP47" i="111"/>
  <c r="AO47" i="111"/>
  <c r="AN47" i="111"/>
  <c r="AM47" i="111"/>
  <c r="K47" i="111" s="1"/>
  <c r="AL47" i="111"/>
  <c r="AK47" i="111"/>
  <c r="AJ47" i="111"/>
  <c r="AI47" i="111"/>
  <c r="AH47" i="111"/>
  <c r="J47" i="111" s="1"/>
  <c r="AG47" i="111"/>
  <c r="AF47" i="111"/>
  <c r="AE47" i="111"/>
  <c r="AD47" i="111"/>
  <c r="AC47" i="111"/>
  <c r="I47" i="111" s="1"/>
  <c r="AB47" i="111"/>
  <c r="AA47" i="111"/>
  <c r="Z47" i="111"/>
  <c r="Y47" i="111"/>
  <c r="X47" i="111"/>
  <c r="H47" i="111" s="1"/>
  <c r="G47" i="111" s="1"/>
  <c r="BG46" i="111"/>
  <c r="O46" i="111" s="1"/>
  <c r="P46" i="111" s="1"/>
  <c r="Q46" i="111" s="1"/>
  <c r="BF46" i="111"/>
  <c r="BE46" i="111"/>
  <c r="BD46" i="111"/>
  <c r="BC46" i="111"/>
  <c r="BB46" i="111"/>
  <c r="N46" i="111" s="1"/>
  <c r="BA46" i="111"/>
  <c r="AZ46" i="111"/>
  <c r="AY46" i="111"/>
  <c r="AX46" i="111"/>
  <c r="AW46" i="111"/>
  <c r="M46" i="111" s="1"/>
  <c r="AV46" i="111"/>
  <c r="AU46" i="111"/>
  <c r="AT46" i="111"/>
  <c r="AS46" i="111"/>
  <c r="AR46" i="111"/>
  <c r="L46" i="111" s="1"/>
  <c r="AQ46" i="111"/>
  <c r="AP46" i="111"/>
  <c r="AO46" i="111"/>
  <c r="AN46" i="111"/>
  <c r="AM46" i="111"/>
  <c r="K46" i="111" s="1"/>
  <c r="AL46" i="111"/>
  <c r="AK46" i="111"/>
  <c r="AJ46" i="111"/>
  <c r="AI46" i="111"/>
  <c r="AH46" i="111"/>
  <c r="J46" i="111" s="1"/>
  <c r="AG46" i="111"/>
  <c r="AF46" i="111"/>
  <c r="AE46" i="111"/>
  <c r="AD46" i="111"/>
  <c r="AC46" i="111"/>
  <c r="I46" i="111" s="1"/>
  <c r="AB46" i="111"/>
  <c r="AA46" i="111"/>
  <c r="Z46" i="111"/>
  <c r="Y46" i="111"/>
  <c r="X46" i="111"/>
  <c r="H46" i="111" s="1"/>
  <c r="G46" i="111" s="1"/>
  <c r="BG45" i="111"/>
  <c r="O45" i="111" s="1"/>
  <c r="P45" i="111" s="1"/>
  <c r="Q45" i="111" s="1"/>
  <c r="BF45" i="111"/>
  <c r="BE45" i="111"/>
  <c r="BD45" i="111"/>
  <c r="BC45" i="111"/>
  <c r="BB45" i="111"/>
  <c r="N45" i="111" s="1"/>
  <c r="BA45" i="111"/>
  <c r="AZ45" i="111"/>
  <c r="AY45" i="111"/>
  <c r="AX45" i="111"/>
  <c r="AW45" i="111"/>
  <c r="M45" i="111" s="1"/>
  <c r="AV45" i="111"/>
  <c r="AU45" i="111"/>
  <c r="AT45" i="111"/>
  <c r="AS45" i="111"/>
  <c r="AR45" i="111"/>
  <c r="L45" i="111" s="1"/>
  <c r="AQ45" i="111"/>
  <c r="AP45" i="111"/>
  <c r="AO45" i="111"/>
  <c r="AN45" i="111"/>
  <c r="AM45" i="111"/>
  <c r="K45" i="111" s="1"/>
  <c r="AL45" i="111"/>
  <c r="AK45" i="111"/>
  <c r="AJ45" i="111"/>
  <c r="AI45" i="111"/>
  <c r="AH45" i="111"/>
  <c r="J45" i="111" s="1"/>
  <c r="AG45" i="111"/>
  <c r="AF45" i="111"/>
  <c r="AE45" i="111"/>
  <c r="AD45" i="111"/>
  <c r="AC45" i="111"/>
  <c r="I45" i="111" s="1"/>
  <c r="AB45" i="111"/>
  <c r="AA45" i="111"/>
  <c r="Z45" i="111"/>
  <c r="Y45" i="111"/>
  <c r="X45" i="111"/>
  <c r="H45" i="111" s="1"/>
  <c r="G45" i="111" s="1"/>
  <c r="BG44" i="111"/>
  <c r="O44" i="111" s="1"/>
  <c r="P44" i="111" s="1"/>
  <c r="Q44" i="111" s="1"/>
  <c r="BF44" i="111"/>
  <c r="BE44" i="111"/>
  <c r="BD44" i="111"/>
  <c r="BC44" i="111"/>
  <c r="BB44" i="111"/>
  <c r="N44" i="111" s="1"/>
  <c r="BA44" i="111"/>
  <c r="AZ44" i="111"/>
  <c r="AY44" i="111"/>
  <c r="AX44" i="111"/>
  <c r="AW44" i="111"/>
  <c r="M44" i="111" s="1"/>
  <c r="AV44" i="111"/>
  <c r="AU44" i="111"/>
  <c r="AT44" i="111"/>
  <c r="AS44" i="111"/>
  <c r="AR44" i="111"/>
  <c r="L44" i="111" s="1"/>
  <c r="AQ44" i="111"/>
  <c r="AP44" i="111"/>
  <c r="AO44" i="111"/>
  <c r="AN44" i="111"/>
  <c r="AM44" i="111"/>
  <c r="K44" i="111" s="1"/>
  <c r="AL44" i="111"/>
  <c r="AK44" i="111"/>
  <c r="AJ44" i="111"/>
  <c r="AI44" i="111"/>
  <c r="AH44" i="111"/>
  <c r="J44" i="111" s="1"/>
  <c r="AG44" i="111"/>
  <c r="AF44" i="111"/>
  <c r="AE44" i="111"/>
  <c r="AD44" i="111"/>
  <c r="AC44" i="111"/>
  <c r="I44" i="111" s="1"/>
  <c r="AB44" i="111"/>
  <c r="AA44" i="111"/>
  <c r="Z44" i="111"/>
  <c r="Y44" i="111"/>
  <c r="X44" i="111"/>
  <c r="H44" i="111" s="1"/>
  <c r="G44" i="111" s="1"/>
  <c r="BG43" i="111"/>
  <c r="O43" i="111" s="1"/>
  <c r="P43" i="111" s="1"/>
  <c r="Q43" i="111" s="1"/>
  <c r="BF43" i="111"/>
  <c r="BE43" i="111"/>
  <c r="BD43" i="111"/>
  <c r="BC43" i="111"/>
  <c r="BB43" i="111"/>
  <c r="N43" i="111" s="1"/>
  <c r="BA43" i="111"/>
  <c r="AZ43" i="111"/>
  <c r="AY43" i="111"/>
  <c r="AX43" i="111"/>
  <c r="AW43" i="111"/>
  <c r="M43" i="111" s="1"/>
  <c r="AV43" i="111"/>
  <c r="AU43" i="111"/>
  <c r="AT43" i="111"/>
  <c r="AS43" i="111"/>
  <c r="AR43" i="111"/>
  <c r="L43" i="111" s="1"/>
  <c r="AQ43" i="111"/>
  <c r="AP43" i="111"/>
  <c r="AO43" i="111"/>
  <c r="AN43" i="111"/>
  <c r="AM43" i="111"/>
  <c r="K43" i="111" s="1"/>
  <c r="AL43" i="111"/>
  <c r="AK43" i="111"/>
  <c r="AJ43" i="111"/>
  <c r="AI43" i="111"/>
  <c r="AH43" i="111"/>
  <c r="J43" i="111" s="1"/>
  <c r="AG43" i="111"/>
  <c r="AF43" i="111"/>
  <c r="AE43" i="111"/>
  <c r="AD43" i="111"/>
  <c r="AC43" i="111"/>
  <c r="I43" i="111" s="1"/>
  <c r="AB43" i="111"/>
  <c r="AA43" i="111"/>
  <c r="Z43" i="111"/>
  <c r="Y43" i="111"/>
  <c r="X43" i="111"/>
  <c r="H43" i="111" s="1"/>
  <c r="G43" i="111" s="1"/>
  <c r="BG42" i="111"/>
  <c r="O42" i="111" s="1"/>
  <c r="P42" i="111" s="1"/>
  <c r="Q42" i="111" s="1"/>
  <c r="BF42" i="111"/>
  <c r="BE42" i="111"/>
  <c r="BD42" i="111"/>
  <c r="BC42" i="111"/>
  <c r="BB42" i="111"/>
  <c r="N42" i="111" s="1"/>
  <c r="BA42" i="111"/>
  <c r="AZ42" i="111"/>
  <c r="AY42" i="111"/>
  <c r="AX42" i="111"/>
  <c r="AW42" i="111"/>
  <c r="M42" i="111" s="1"/>
  <c r="AV42" i="111"/>
  <c r="AU42" i="111"/>
  <c r="AT42" i="111"/>
  <c r="AS42" i="111"/>
  <c r="AR42" i="111"/>
  <c r="L42" i="111" s="1"/>
  <c r="AQ42" i="111"/>
  <c r="AP42" i="111"/>
  <c r="AO42" i="111"/>
  <c r="AN42" i="111"/>
  <c r="AM42" i="111"/>
  <c r="K42" i="111" s="1"/>
  <c r="AL42" i="111"/>
  <c r="AK42" i="111"/>
  <c r="AJ42" i="111"/>
  <c r="AI42" i="111"/>
  <c r="AH42" i="111"/>
  <c r="J42" i="111" s="1"/>
  <c r="AG42" i="111"/>
  <c r="AF42" i="111"/>
  <c r="AE42" i="111"/>
  <c r="AD42" i="111"/>
  <c r="AC42" i="111"/>
  <c r="I42" i="111" s="1"/>
  <c r="AB42" i="111"/>
  <c r="AA42" i="111"/>
  <c r="Z42" i="111"/>
  <c r="Y42" i="111"/>
  <c r="X42" i="111"/>
  <c r="H42" i="111" s="1"/>
  <c r="G42" i="111" s="1"/>
  <c r="BG41" i="111"/>
  <c r="O41" i="111" s="1"/>
  <c r="O36" i="118" s="1"/>
  <c r="BF41" i="111"/>
  <c r="BE41" i="111"/>
  <c r="BD41" i="111"/>
  <c r="BC41" i="111"/>
  <c r="BB41" i="111"/>
  <c r="N41" i="111" s="1"/>
  <c r="N36" i="118" s="1"/>
  <c r="BA41" i="111"/>
  <c r="AZ41" i="111"/>
  <c r="AY41" i="111"/>
  <c r="AX41" i="111"/>
  <c r="AW41" i="111"/>
  <c r="M41" i="111" s="1"/>
  <c r="M36" i="118" s="1"/>
  <c r="AV41" i="111"/>
  <c r="AU41" i="111"/>
  <c r="AT41" i="111"/>
  <c r="AS41" i="111"/>
  <c r="AR41" i="111"/>
  <c r="L41" i="111" s="1"/>
  <c r="L36" i="118" s="1"/>
  <c r="AQ41" i="111"/>
  <c r="AP41" i="111"/>
  <c r="AO41" i="111"/>
  <c r="AN41" i="111"/>
  <c r="AM41" i="111"/>
  <c r="K41" i="111" s="1"/>
  <c r="K36" i="118" s="1"/>
  <c r="AL41" i="111"/>
  <c r="AK41" i="111"/>
  <c r="AJ41" i="111"/>
  <c r="AI41" i="111"/>
  <c r="AH41" i="111"/>
  <c r="J41" i="111" s="1"/>
  <c r="J36" i="118" s="1"/>
  <c r="AG41" i="111"/>
  <c r="AF41" i="111"/>
  <c r="AE41" i="111"/>
  <c r="AD41" i="111"/>
  <c r="AC41" i="111"/>
  <c r="I41" i="111" s="1"/>
  <c r="I36" i="118" s="1"/>
  <c r="AB41" i="111"/>
  <c r="AA41" i="111"/>
  <c r="Z41" i="111"/>
  <c r="Y41" i="111"/>
  <c r="X41" i="111"/>
  <c r="H41" i="111" s="1"/>
  <c r="H36" i="118" s="1"/>
  <c r="BG40" i="111"/>
  <c r="O40" i="111" s="1"/>
  <c r="P40" i="111" s="1"/>
  <c r="Q40" i="111" s="1"/>
  <c r="BF40" i="111"/>
  <c r="BE40" i="111"/>
  <c r="BD40" i="111"/>
  <c r="BC40" i="111"/>
  <c r="BB40" i="111"/>
  <c r="N40" i="111" s="1"/>
  <c r="BA40" i="111"/>
  <c r="AZ40" i="111"/>
  <c r="AY40" i="111"/>
  <c r="AX40" i="111"/>
  <c r="AW40" i="111"/>
  <c r="M40" i="111" s="1"/>
  <c r="AV40" i="111"/>
  <c r="AU40" i="111"/>
  <c r="AT40" i="111"/>
  <c r="AS40" i="111"/>
  <c r="AR40" i="111"/>
  <c r="L40" i="111" s="1"/>
  <c r="AQ40" i="111"/>
  <c r="AP40" i="111"/>
  <c r="AO40" i="111"/>
  <c r="AN40" i="111"/>
  <c r="AM40" i="111"/>
  <c r="K40" i="111" s="1"/>
  <c r="AL40" i="111"/>
  <c r="AK40" i="111"/>
  <c r="AJ40" i="111"/>
  <c r="AI40" i="111"/>
  <c r="AH40" i="111"/>
  <c r="J40" i="111" s="1"/>
  <c r="AG40" i="111"/>
  <c r="AF40" i="111"/>
  <c r="AE40" i="111"/>
  <c r="AD40" i="111"/>
  <c r="AC40" i="111"/>
  <c r="I40" i="111" s="1"/>
  <c r="AB40" i="111"/>
  <c r="AA40" i="111"/>
  <c r="Z40" i="111"/>
  <c r="Y40" i="111"/>
  <c r="X40" i="111"/>
  <c r="H40" i="111" s="1"/>
  <c r="G40" i="111" s="1"/>
  <c r="BG39" i="111"/>
  <c r="O39" i="111" s="1"/>
  <c r="P39" i="111" s="1"/>
  <c r="Q39" i="111" s="1"/>
  <c r="BF39" i="111"/>
  <c r="BE39" i="111"/>
  <c r="BD39" i="111"/>
  <c r="BC39" i="111"/>
  <c r="BB39" i="111"/>
  <c r="N39" i="111" s="1"/>
  <c r="BA39" i="111"/>
  <c r="AZ39" i="111"/>
  <c r="AY39" i="111"/>
  <c r="AX39" i="111"/>
  <c r="AW39" i="111"/>
  <c r="M39" i="111" s="1"/>
  <c r="AV39" i="111"/>
  <c r="AU39" i="111"/>
  <c r="AT39" i="111"/>
  <c r="AS39" i="111"/>
  <c r="AR39" i="111"/>
  <c r="L39" i="111" s="1"/>
  <c r="AQ39" i="111"/>
  <c r="AP39" i="111"/>
  <c r="AO39" i="111"/>
  <c r="AN39" i="111"/>
  <c r="AM39" i="111"/>
  <c r="K39" i="111" s="1"/>
  <c r="AL39" i="111"/>
  <c r="AK39" i="111"/>
  <c r="AJ39" i="111"/>
  <c r="AI39" i="111"/>
  <c r="AH39" i="111"/>
  <c r="J39" i="111" s="1"/>
  <c r="AG39" i="111"/>
  <c r="AF39" i="111"/>
  <c r="AE39" i="111"/>
  <c r="AD39" i="111"/>
  <c r="AC39" i="111"/>
  <c r="I39" i="111" s="1"/>
  <c r="AB39" i="111"/>
  <c r="AA39" i="111"/>
  <c r="Z39" i="111"/>
  <c r="Y39" i="111"/>
  <c r="X39" i="111"/>
  <c r="H39" i="111" s="1"/>
  <c r="G39" i="111" s="1"/>
  <c r="BG38" i="111"/>
  <c r="O38" i="111" s="1"/>
  <c r="P38" i="111" s="1"/>
  <c r="Q38" i="111" s="1"/>
  <c r="BF38" i="111"/>
  <c r="BE38" i="111"/>
  <c r="BD38" i="111"/>
  <c r="BC38" i="111"/>
  <c r="BB38" i="111"/>
  <c r="N38" i="111" s="1"/>
  <c r="BA38" i="111"/>
  <c r="AZ38" i="111"/>
  <c r="AY38" i="111"/>
  <c r="AX38" i="111"/>
  <c r="AW38" i="111"/>
  <c r="M38" i="111" s="1"/>
  <c r="AV38" i="111"/>
  <c r="AU38" i="111"/>
  <c r="AT38" i="111"/>
  <c r="AS38" i="111"/>
  <c r="AR38" i="111"/>
  <c r="L38" i="111" s="1"/>
  <c r="AQ38" i="111"/>
  <c r="AP38" i="111"/>
  <c r="AO38" i="111"/>
  <c r="AN38" i="111"/>
  <c r="AM38" i="111"/>
  <c r="K38" i="111" s="1"/>
  <c r="AL38" i="111"/>
  <c r="AK38" i="111"/>
  <c r="AJ38" i="111"/>
  <c r="AI38" i="111"/>
  <c r="AH38" i="111"/>
  <c r="J38" i="111" s="1"/>
  <c r="AG38" i="111"/>
  <c r="AF38" i="111"/>
  <c r="AE38" i="111"/>
  <c r="AD38" i="111"/>
  <c r="AC38" i="111"/>
  <c r="I38" i="111" s="1"/>
  <c r="AB38" i="111"/>
  <c r="AA38" i="111"/>
  <c r="Z38" i="111"/>
  <c r="Y38" i="111"/>
  <c r="X38" i="111"/>
  <c r="H38" i="111" s="1"/>
  <c r="G38" i="111" s="1"/>
  <c r="BG37" i="111"/>
  <c r="O37" i="111" s="1"/>
  <c r="P37" i="111" s="1"/>
  <c r="Q37" i="111" s="1"/>
  <c r="BF37" i="111"/>
  <c r="BE37" i="111"/>
  <c r="BD37" i="111"/>
  <c r="BC37" i="111"/>
  <c r="BB37" i="111"/>
  <c r="N37" i="111" s="1"/>
  <c r="BA37" i="111"/>
  <c r="AZ37" i="111"/>
  <c r="AY37" i="111"/>
  <c r="AX37" i="111"/>
  <c r="AW37" i="111"/>
  <c r="M37" i="111" s="1"/>
  <c r="AV37" i="111"/>
  <c r="AU37" i="111"/>
  <c r="AT37" i="111"/>
  <c r="AS37" i="111"/>
  <c r="AR37" i="111"/>
  <c r="L37" i="111" s="1"/>
  <c r="AQ37" i="111"/>
  <c r="AP37" i="111"/>
  <c r="AO37" i="111"/>
  <c r="AN37" i="111"/>
  <c r="AM37" i="111"/>
  <c r="K37" i="111" s="1"/>
  <c r="AL37" i="111"/>
  <c r="AK37" i="111"/>
  <c r="AJ37" i="111"/>
  <c r="AI37" i="111"/>
  <c r="AH37" i="111"/>
  <c r="J37" i="111" s="1"/>
  <c r="AG37" i="111"/>
  <c r="AF37" i="111"/>
  <c r="AE37" i="111"/>
  <c r="AD37" i="111"/>
  <c r="AC37" i="111"/>
  <c r="I37" i="111" s="1"/>
  <c r="AB37" i="111"/>
  <c r="AA37" i="111"/>
  <c r="Z37" i="111"/>
  <c r="Y37" i="111"/>
  <c r="X37" i="111"/>
  <c r="H37" i="111" s="1"/>
  <c r="G37" i="111" s="1"/>
  <c r="BG36" i="111"/>
  <c r="O36" i="111" s="1"/>
  <c r="P36" i="111" s="1"/>
  <c r="Q36" i="111" s="1"/>
  <c r="BF36" i="111"/>
  <c r="BE36" i="111"/>
  <c r="BD36" i="111"/>
  <c r="BC36" i="111"/>
  <c r="BB36" i="111"/>
  <c r="N36" i="111" s="1"/>
  <c r="BA36" i="111"/>
  <c r="AZ36" i="111"/>
  <c r="AY36" i="111"/>
  <c r="AX36" i="111"/>
  <c r="AW36" i="111"/>
  <c r="M36" i="111" s="1"/>
  <c r="AV36" i="111"/>
  <c r="AU36" i="111"/>
  <c r="AT36" i="111"/>
  <c r="AS36" i="111"/>
  <c r="AR36" i="111"/>
  <c r="L36" i="111" s="1"/>
  <c r="AQ36" i="111"/>
  <c r="AP36" i="111"/>
  <c r="AO36" i="111"/>
  <c r="AN36" i="111"/>
  <c r="AM36" i="111"/>
  <c r="K36" i="111" s="1"/>
  <c r="AL36" i="111"/>
  <c r="AK36" i="111"/>
  <c r="AJ36" i="111"/>
  <c r="AI36" i="111"/>
  <c r="AH36" i="111"/>
  <c r="J36" i="111" s="1"/>
  <c r="AG36" i="111"/>
  <c r="AF36" i="111"/>
  <c r="AE36" i="111"/>
  <c r="AD36" i="111"/>
  <c r="AC36" i="111"/>
  <c r="I36" i="111" s="1"/>
  <c r="AB36" i="111"/>
  <c r="AA36" i="111"/>
  <c r="Z36" i="111"/>
  <c r="Y36" i="111"/>
  <c r="X36" i="111"/>
  <c r="H36" i="111" s="1"/>
  <c r="G36" i="111" s="1"/>
  <c r="BG35" i="111"/>
  <c r="O35" i="111" s="1"/>
  <c r="P35" i="111" s="1"/>
  <c r="Q35" i="111" s="1"/>
  <c r="BF35" i="111"/>
  <c r="BE35" i="111"/>
  <c r="BD35" i="111"/>
  <c r="BC35" i="111"/>
  <c r="BB35" i="111"/>
  <c r="N35" i="111" s="1"/>
  <c r="BA35" i="111"/>
  <c r="AZ35" i="111"/>
  <c r="AY35" i="111"/>
  <c r="AX35" i="111"/>
  <c r="AW35" i="111"/>
  <c r="M35" i="111" s="1"/>
  <c r="AV35" i="111"/>
  <c r="AU35" i="111"/>
  <c r="AT35" i="111"/>
  <c r="AS35" i="111"/>
  <c r="AR35" i="111"/>
  <c r="L35" i="111" s="1"/>
  <c r="AQ35" i="111"/>
  <c r="AP35" i="111"/>
  <c r="AO35" i="111"/>
  <c r="AN35" i="111"/>
  <c r="AM35" i="111"/>
  <c r="K35" i="111" s="1"/>
  <c r="AL35" i="111"/>
  <c r="AK35" i="111"/>
  <c r="AJ35" i="111"/>
  <c r="AI35" i="111"/>
  <c r="AH35" i="111"/>
  <c r="J35" i="111" s="1"/>
  <c r="AG35" i="111"/>
  <c r="AF35" i="111"/>
  <c r="AE35" i="111"/>
  <c r="AD35" i="111"/>
  <c r="AC35" i="111"/>
  <c r="I35" i="111" s="1"/>
  <c r="AB35" i="111"/>
  <c r="AA35" i="111"/>
  <c r="Z35" i="111"/>
  <c r="Y35" i="111"/>
  <c r="X35" i="111"/>
  <c r="H35" i="111" s="1"/>
  <c r="G35" i="111" s="1"/>
  <c r="BG34" i="111"/>
  <c r="O34" i="111" s="1"/>
  <c r="P34" i="111" s="1"/>
  <c r="Q34" i="111" s="1"/>
  <c r="BF34" i="111"/>
  <c r="BE34" i="111"/>
  <c r="BD34" i="111"/>
  <c r="BC34" i="111"/>
  <c r="BB34" i="111"/>
  <c r="N34" i="111" s="1"/>
  <c r="BA34" i="111"/>
  <c r="AZ34" i="111"/>
  <c r="AY34" i="111"/>
  <c r="AX34" i="111"/>
  <c r="AW34" i="111"/>
  <c r="M34" i="111" s="1"/>
  <c r="AV34" i="111"/>
  <c r="AU34" i="111"/>
  <c r="AT34" i="111"/>
  <c r="AS34" i="111"/>
  <c r="AR34" i="111"/>
  <c r="L34" i="111" s="1"/>
  <c r="AQ34" i="111"/>
  <c r="AP34" i="111"/>
  <c r="AO34" i="111"/>
  <c r="AN34" i="111"/>
  <c r="AM34" i="111"/>
  <c r="K34" i="111" s="1"/>
  <c r="AL34" i="111"/>
  <c r="AK34" i="111"/>
  <c r="AJ34" i="111"/>
  <c r="AI34" i="111"/>
  <c r="AH34" i="111"/>
  <c r="J34" i="111" s="1"/>
  <c r="AG34" i="111"/>
  <c r="AF34" i="111"/>
  <c r="AE34" i="111"/>
  <c r="AD34" i="111"/>
  <c r="AC34" i="111"/>
  <c r="I34" i="111" s="1"/>
  <c r="AB34" i="111"/>
  <c r="AA34" i="111"/>
  <c r="Z34" i="111"/>
  <c r="Y34" i="111"/>
  <c r="X34" i="111"/>
  <c r="H34" i="111" s="1"/>
  <c r="G34" i="111" s="1"/>
  <c r="BG33" i="111"/>
  <c r="O33" i="111" s="1"/>
  <c r="P33" i="111" s="1"/>
  <c r="Q33" i="111" s="1"/>
  <c r="BF33" i="111"/>
  <c r="BE33" i="111"/>
  <c r="BD33" i="111"/>
  <c r="BC33" i="111"/>
  <c r="BB33" i="111"/>
  <c r="N33" i="111" s="1"/>
  <c r="BA33" i="111"/>
  <c r="AZ33" i="111"/>
  <c r="AY33" i="111"/>
  <c r="AX33" i="111"/>
  <c r="AW33" i="111"/>
  <c r="M33" i="111" s="1"/>
  <c r="AV33" i="111"/>
  <c r="AU33" i="111"/>
  <c r="AT33" i="111"/>
  <c r="AS33" i="111"/>
  <c r="AR33" i="111"/>
  <c r="L33" i="111" s="1"/>
  <c r="AQ33" i="111"/>
  <c r="AP33" i="111"/>
  <c r="AO33" i="111"/>
  <c r="AN33" i="111"/>
  <c r="AM33" i="111"/>
  <c r="K33" i="111" s="1"/>
  <c r="AL33" i="111"/>
  <c r="AK33" i="111"/>
  <c r="AJ33" i="111"/>
  <c r="AI33" i="111"/>
  <c r="AH33" i="111"/>
  <c r="J33" i="111" s="1"/>
  <c r="AG33" i="111"/>
  <c r="AF33" i="111"/>
  <c r="AE33" i="111"/>
  <c r="AD33" i="111"/>
  <c r="AC33" i="111"/>
  <c r="I33" i="111" s="1"/>
  <c r="AB33" i="111"/>
  <c r="AA33" i="111"/>
  <c r="Z33" i="111"/>
  <c r="Y33" i="111"/>
  <c r="X33" i="111"/>
  <c r="H33" i="111" s="1"/>
  <c r="G33" i="111" s="1"/>
  <c r="BG32" i="111"/>
  <c r="O32" i="111" s="1"/>
  <c r="P32" i="111" s="1"/>
  <c r="Q32" i="111" s="1"/>
  <c r="BF32" i="111"/>
  <c r="BE32" i="111"/>
  <c r="BD32" i="111"/>
  <c r="BC32" i="111"/>
  <c r="BB32" i="111"/>
  <c r="N32" i="111" s="1"/>
  <c r="BA32" i="111"/>
  <c r="AZ32" i="111"/>
  <c r="AY32" i="111"/>
  <c r="AX32" i="111"/>
  <c r="AW32" i="111"/>
  <c r="M32" i="111" s="1"/>
  <c r="AV32" i="111"/>
  <c r="AU32" i="111"/>
  <c r="AT32" i="111"/>
  <c r="AS32" i="111"/>
  <c r="AR32" i="111"/>
  <c r="L32" i="111" s="1"/>
  <c r="AQ32" i="111"/>
  <c r="AP32" i="111"/>
  <c r="AO32" i="111"/>
  <c r="AN32" i="111"/>
  <c r="AM32" i="111"/>
  <c r="K32" i="111" s="1"/>
  <c r="AL32" i="111"/>
  <c r="AK32" i="111"/>
  <c r="AJ32" i="111"/>
  <c r="AI32" i="111"/>
  <c r="AH32" i="111"/>
  <c r="J32" i="111" s="1"/>
  <c r="AG32" i="111"/>
  <c r="AF32" i="111"/>
  <c r="AE32" i="111"/>
  <c r="AD32" i="111"/>
  <c r="AC32" i="111"/>
  <c r="I32" i="111" s="1"/>
  <c r="AB32" i="111"/>
  <c r="AA32" i="111"/>
  <c r="Z32" i="111"/>
  <c r="Y32" i="111"/>
  <c r="X32" i="111"/>
  <c r="H32" i="111" s="1"/>
  <c r="G32" i="111" s="1"/>
  <c r="BG31" i="111"/>
  <c r="O31" i="111" s="1"/>
  <c r="P31" i="111" s="1"/>
  <c r="Q31" i="111" s="1"/>
  <c r="BF31" i="111"/>
  <c r="BE31" i="111"/>
  <c r="BD31" i="111"/>
  <c r="BC31" i="111"/>
  <c r="BB31" i="111"/>
  <c r="N31" i="111" s="1"/>
  <c r="BA31" i="111"/>
  <c r="AZ31" i="111"/>
  <c r="AY31" i="111"/>
  <c r="AX31" i="111"/>
  <c r="AW31" i="111"/>
  <c r="M31" i="111" s="1"/>
  <c r="AV31" i="111"/>
  <c r="AU31" i="111"/>
  <c r="AT31" i="111"/>
  <c r="AS31" i="111"/>
  <c r="AR31" i="111"/>
  <c r="L31" i="111" s="1"/>
  <c r="AQ31" i="111"/>
  <c r="AP31" i="111"/>
  <c r="AO31" i="111"/>
  <c r="AN31" i="111"/>
  <c r="AM31" i="111"/>
  <c r="K31" i="111" s="1"/>
  <c r="AL31" i="111"/>
  <c r="AK31" i="111"/>
  <c r="AJ31" i="111"/>
  <c r="AI31" i="111"/>
  <c r="AH31" i="111"/>
  <c r="J31" i="111" s="1"/>
  <c r="AG31" i="111"/>
  <c r="AF31" i="111"/>
  <c r="AE31" i="111"/>
  <c r="AD31" i="111"/>
  <c r="AC31" i="111"/>
  <c r="I31" i="111" s="1"/>
  <c r="AB31" i="111"/>
  <c r="AA31" i="111"/>
  <c r="Z31" i="111"/>
  <c r="Y31" i="111"/>
  <c r="X31" i="111"/>
  <c r="H31" i="111" s="1"/>
  <c r="G31" i="111" s="1"/>
  <c r="BG30" i="111"/>
  <c r="O30" i="111" s="1"/>
  <c r="P30" i="111" s="1"/>
  <c r="Q30" i="111" s="1"/>
  <c r="BF30" i="111"/>
  <c r="BE30" i="111"/>
  <c r="BD30" i="111"/>
  <c r="BC30" i="111"/>
  <c r="BB30" i="111"/>
  <c r="N30" i="111" s="1"/>
  <c r="BA30" i="111"/>
  <c r="AZ30" i="111"/>
  <c r="AY30" i="111"/>
  <c r="AX30" i="111"/>
  <c r="AW30" i="111"/>
  <c r="M30" i="111" s="1"/>
  <c r="AV30" i="111"/>
  <c r="AU30" i="111"/>
  <c r="AT30" i="111"/>
  <c r="AS30" i="111"/>
  <c r="AR30" i="111"/>
  <c r="L30" i="111" s="1"/>
  <c r="AQ30" i="111"/>
  <c r="AP30" i="111"/>
  <c r="AO30" i="111"/>
  <c r="AN30" i="111"/>
  <c r="AM30" i="111"/>
  <c r="K30" i="111" s="1"/>
  <c r="AL30" i="111"/>
  <c r="AK30" i="111"/>
  <c r="AJ30" i="111"/>
  <c r="AI30" i="111"/>
  <c r="AH30" i="111"/>
  <c r="J30" i="111" s="1"/>
  <c r="AG30" i="111"/>
  <c r="AF30" i="111"/>
  <c r="AE30" i="111"/>
  <c r="AD30" i="111"/>
  <c r="AC30" i="111"/>
  <c r="I30" i="111" s="1"/>
  <c r="AB30" i="111"/>
  <c r="AA30" i="111"/>
  <c r="Z30" i="111"/>
  <c r="Y30" i="111"/>
  <c r="X30" i="111"/>
  <c r="H30" i="111" s="1"/>
  <c r="G30" i="111" s="1"/>
  <c r="BG29" i="111"/>
  <c r="O29" i="111" s="1"/>
  <c r="P29" i="111" s="1"/>
  <c r="Q29" i="111" s="1"/>
  <c r="BF29" i="111"/>
  <c r="BE29" i="111"/>
  <c r="BD29" i="111"/>
  <c r="BC29" i="111"/>
  <c r="BB29" i="111"/>
  <c r="N29" i="111" s="1"/>
  <c r="BA29" i="111"/>
  <c r="AZ29" i="111"/>
  <c r="AY29" i="111"/>
  <c r="AX29" i="111"/>
  <c r="AW29" i="111"/>
  <c r="M29" i="111" s="1"/>
  <c r="AV29" i="111"/>
  <c r="AU29" i="111"/>
  <c r="AT29" i="111"/>
  <c r="AS29" i="111"/>
  <c r="AR29" i="111"/>
  <c r="L29" i="111" s="1"/>
  <c r="AQ29" i="111"/>
  <c r="AP29" i="111"/>
  <c r="AO29" i="111"/>
  <c r="AN29" i="111"/>
  <c r="AM29" i="111"/>
  <c r="K29" i="111" s="1"/>
  <c r="AL29" i="111"/>
  <c r="AK29" i="111"/>
  <c r="AJ29" i="111"/>
  <c r="AI29" i="111"/>
  <c r="AH29" i="111"/>
  <c r="J29" i="111" s="1"/>
  <c r="AG29" i="111"/>
  <c r="AF29" i="111"/>
  <c r="AE29" i="111"/>
  <c r="AD29" i="111"/>
  <c r="AC29" i="111"/>
  <c r="I29" i="111" s="1"/>
  <c r="AB29" i="111"/>
  <c r="AA29" i="111"/>
  <c r="Z29" i="111"/>
  <c r="Y29" i="111"/>
  <c r="X29" i="111"/>
  <c r="H29" i="111" s="1"/>
  <c r="G29" i="111" s="1"/>
  <c r="BG28" i="111"/>
  <c r="O28" i="111" s="1"/>
  <c r="P28" i="111" s="1"/>
  <c r="Q28" i="111" s="1"/>
  <c r="BF28" i="111"/>
  <c r="BE28" i="111"/>
  <c r="BD28" i="111"/>
  <c r="BC28" i="111"/>
  <c r="BB28" i="111"/>
  <c r="N28" i="111" s="1"/>
  <c r="BA28" i="111"/>
  <c r="AZ28" i="111"/>
  <c r="AY28" i="111"/>
  <c r="AX28" i="111"/>
  <c r="AW28" i="111"/>
  <c r="M28" i="111" s="1"/>
  <c r="AV28" i="111"/>
  <c r="AU28" i="111"/>
  <c r="AT28" i="111"/>
  <c r="AS28" i="111"/>
  <c r="AR28" i="111"/>
  <c r="L28" i="111" s="1"/>
  <c r="AQ28" i="111"/>
  <c r="AP28" i="111"/>
  <c r="AO28" i="111"/>
  <c r="AN28" i="111"/>
  <c r="AM28" i="111"/>
  <c r="K28" i="111" s="1"/>
  <c r="AL28" i="111"/>
  <c r="AK28" i="111"/>
  <c r="AJ28" i="111"/>
  <c r="AI28" i="111"/>
  <c r="AH28" i="111"/>
  <c r="J28" i="111" s="1"/>
  <c r="AG28" i="111"/>
  <c r="AF28" i="111"/>
  <c r="AE28" i="111"/>
  <c r="AD28" i="111"/>
  <c r="AC28" i="111"/>
  <c r="I28" i="111" s="1"/>
  <c r="AB28" i="111"/>
  <c r="AA28" i="111"/>
  <c r="Z28" i="111"/>
  <c r="Y28" i="111"/>
  <c r="X28" i="111"/>
  <c r="BG27" i="111"/>
  <c r="O27" i="111" s="1"/>
  <c r="P27" i="111" s="1"/>
  <c r="Q27" i="111" s="1"/>
  <c r="BF27" i="111"/>
  <c r="BE27" i="111"/>
  <c r="BD27" i="111"/>
  <c r="BC27" i="111"/>
  <c r="BB27" i="111"/>
  <c r="N27" i="111" s="1"/>
  <c r="BA27" i="111"/>
  <c r="AZ27" i="111"/>
  <c r="AY27" i="111"/>
  <c r="AX27" i="111"/>
  <c r="AW27" i="111"/>
  <c r="M27" i="111" s="1"/>
  <c r="AV27" i="111"/>
  <c r="AU27" i="111"/>
  <c r="AT27" i="111"/>
  <c r="AS27" i="111"/>
  <c r="AR27" i="111"/>
  <c r="L27" i="111" s="1"/>
  <c r="AQ27" i="111"/>
  <c r="AP27" i="111"/>
  <c r="AO27" i="111"/>
  <c r="AN27" i="111"/>
  <c r="AM27" i="111"/>
  <c r="K27" i="111" s="1"/>
  <c r="AL27" i="111"/>
  <c r="AK27" i="111"/>
  <c r="AJ27" i="111"/>
  <c r="AI27" i="111"/>
  <c r="AH27" i="111"/>
  <c r="J27" i="111" s="1"/>
  <c r="AG27" i="111"/>
  <c r="AF27" i="111"/>
  <c r="AE27" i="111"/>
  <c r="AD27" i="111"/>
  <c r="AC27" i="111"/>
  <c r="I27" i="111" s="1"/>
  <c r="AB27" i="111"/>
  <c r="AA27" i="111"/>
  <c r="Z27" i="111"/>
  <c r="Y27" i="111"/>
  <c r="X27" i="111"/>
  <c r="H27" i="111" s="1"/>
  <c r="G27" i="111" s="1"/>
  <c r="BG26" i="111"/>
  <c r="O26" i="111" s="1"/>
  <c r="P26" i="111" s="1"/>
  <c r="Q26" i="111" s="1"/>
  <c r="BF26" i="111"/>
  <c r="BE26" i="111"/>
  <c r="BD26" i="111"/>
  <c r="BC26" i="111"/>
  <c r="BB26" i="111"/>
  <c r="N26" i="111" s="1"/>
  <c r="BA26" i="111"/>
  <c r="AZ26" i="111"/>
  <c r="AY26" i="111"/>
  <c r="AX26" i="111"/>
  <c r="AW26" i="111"/>
  <c r="M26" i="111" s="1"/>
  <c r="AV26" i="111"/>
  <c r="AU26" i="111"/>
  <c r="AT26" i="111"/>
  <c r="AS26" i="111"/>
  <c r="AR26" i="111"/>
  <c r="L26" i="111" s="1"/>
  <c r="AQ26" i="111"/>
  <c r="AP26" i="111"/>
  <c r="AO26" i="111"/>
  <c r="AN26" i="111"/>
  <c r="AM26" i="111"/>
  <c r="K26" i="111" s="1"/>
  <c r="AL26" i="111"/>
  <c r="AK26" i="111"/>
  <c r="AJ26" i="111"/>
  <c r="AI26" i="111"/>
  <c r="AH26" i="111"/>
  <c r="J26" i="111" s="1"/>
  <c r="AG26" i="111"/>
  <c r="AF26" i="111"/>
  <c r="AE26" i="111"/>
  <c r="AD26" i="111"/>
  <c r="AC26" i="111"/>
  <c r="I26" i="111" s="1"/>
  <c r="AB26" i="111"/>
  <c r="AA26" i="111"/>
  <c r="Z26" i="111"/>
  <c r="Y26" i="111"/>
  <c r="X26" i="111"/>
  <c r="H26" i="111" s="1"/>
  <c r="G26" i="111" s="1"/>
  <c r="BG25" i="111"/>
  <c r="O25" i="111" s="1"/>
  <c r="P25" i="111" s="1"/>
  <c r="Q25" i="111" s="1"/>
  <c r="BF25" i="111"/>
  <c r="BE25" i="111"/>
  <c r="BD25" i="111"/>
  <c r="BC25" i="111"/>
  <c r="BB25" i="111"/>
  <c r="N25" i="111" s="1"/>
  <c r="BA25" i="111"/>
  <c r="AZ25" i="111"/>
  <c r="AY25" i="111"/>
  <c r="AX25" i="111"/>
  <c r="AW25" i="111"/>
  <c r="M25" i="111" s="1"/>
  <c r="AV25" i="111"/>
  <c r="AU25" i="111"/>
  <c r="AT25" i="111"/>
  <c r="AS25" i="111"/>
  <c r="AR25" i="111"/>
  <c r="L25" i="111" s="1"/>
  <c r="AQ25" i="111"/>
  <c r="AP25" i="111"/>
  <c r="AO25" i="111"/>
  <c r="AN25" i="111"/>
  <c r="AM25" i="111"/>
  <c r="K25" i="111" s="1"/>
  <c r="AL25" i="111"/>
  <c r="AK25" i="111"/>
  <c r="AJ25" i="111"/>
  <c r="AI25" i="111"/>
  <c r="AH25" i="111"/>
  <c r="J25" i="111" s="1"/>
  <c r="AG25" i="111"/>
  <c r="AF25" i="111"/>
  <c r="AE25" i="111"/>
  <c r="AD25" i="111"/>
  <c r="AC25" i="111"/>
  <c r="I25" i="111" s="1"/>
  <c r="AB25" i="111"/>
  <c r="AA25" i="111"/>
  <c r="Z25" i="111"/>
  <c r="Y25" i="111"/>
  <c r="X25" i="111"/>
  <c r="H25" i="111" s="1"/>
  <c r="G25" i="111" s="1"/>
  <c r="BG24" i="111"/>
  <c r="O24" i="111" s="1"/>
  <c r="P24" i="111" s="1"/>
  <c r="Q24" i="111" s="1"/>
  <c r="BF24" i="111"/>
  <c r="BE24" i="111"/>
  <c r="BD24" i="111"/>
  <c r="BC24" i="111"/>
  <c r="BB24" i="111"/>
  <c r="N24" i="111" s="1"/>
  <c r="BA24" i="111"/>
  <c r="AZ24" i="111"/>
  <c r="AY24" i="111"/>
  <c r="AX24" i="111"/>
  <c r="AW24" i="111"/>
  <c r="M24" i="111" s="1"/>
  <c r="AV24" i="111"/>
  <c r="AU24" i="111"/>
  <c r="AT24" i="111"/>
  <c r="AS24" i="111"/>
  <c r="AR24" i="111"/>
  <c r="L24" i="111" s="1"/>
  <c r="AQ24" i="111"/>
  <c r="AP24" i="111"/>
  <c r="AO24" i="111"/>
  <c r="AN24" i="111"/>
  <c r="AM24" i="111"/>
  <c r="K24" i="111" s="1"/>
  <c r="AL24" i="111"/>
  <c r="AK24" i="111"/>
  <c r="AJ24" i="111"/>
  <c r="AI24" i="111"/>
  <c r="AH24" i="111"/>
  <c r="J24" i="111" s="1"/>
  <c r="AG24" i="111"/>
  <c r="AF24" i="111"/>
  <c r="AE24" i="111"/>
  <c r="AD24" i="111"/>
  <c r="AC24" i="111"/>
  <c r="I24" i="111" s="1"/>
  <c r="AB24" i="111"/>
  <c r="AA24" i="111"/>
  <c r="Z24" i="111"/>
  <c r="Y24" i="111"/>
  <c r="X24" i="111"/>
  <c r="H24" i="111" s="1"/>
  <c r="G24" i="111" s="1"/>
  <c r="BG23" i="111"/>
  <c r="O23" i="111" s="1"/>
  <c r="P23" i="111" s="1"/>
  <c r="Q23" i="111" s="1"/>
  <c r="BF23" i="111"/>
  <c r="BE23" i="111"/>
  <c r="BD23" i="111"/>
  <c r="BC23" i="111"/>
  <c r="BB23" i="111"/>
  <c r="N23" i="111" s="1"/>
  <c r="BA23" i="111"/>
  <c r="AZ23" i="111"/>
  <c r="AY23" i="111"/>
  <c r="AX23" i="111"/>
  <c r="AW23" i="111"/>
  <c r="M23" i="111" s="1"/>
  <c r="AV23" i="111"/>
  <c r="AU23" i="111"/>
  <c r="AT23" i="111"/>
  <c r="AS23" i="111"/>
  <c r="AR23" i="111"/>
  <c r="L23" i="111" s="1"/>
  <c r="AQ23" i="111"/>
  <c r="AP23" i="111"/>
  <c r="AO23" i="111"/>
  <c r="AN23" i="111"/>
  <c r="AM23" i="111"/>
  <c r="K23" i="111" s="1"/>
  <c r="AL23" i="111"/>
  <c r="AK23" i="111"/>
  <c r="AJ23" i="111"/>
  <c r="AI23" i="111"/>
  <c r="AH23" i="111"/>
  <c r="J23" i="111" s="1"/>
  <c r="AG23" i="111"/>
  <c r="AF23" i="111"/>
  <c r="AE23" i="111"/>
  <c r="AD23" i="111"/>
  <c r="AC23" i="111"/>
  <c r="I23" i="111" s="1"/>
  <c r="AB23" i="111"/>
  <c r="AA23" i="111"/>
  <c r="Z23" i="111"/>
  <c r="Y23" i="111"/>
  <c r="X23" i="111"/>
  <c r="H23" i="111" s="1"/>
  <c r="G23" i="111" s="1"/>
  <c r="BG22" i="111"/>
  <c r="O22" i="111" s="1"/>
  <c r="P22" i="111" s="1"/>
  <c r="Q22" i="111" s="1"/>
  <c r="BF22" i="111"/>
  <c r="BE22" i="111"/>
  <c r="BD22" i="111"/>
  <c r="BC22" i="111"/>
  <c r="BB22" i="111"/>
  <c r="N22" i="111" s="1"/>
  <c r="BA22" i="111"/>
  <c r="AZ22" i="111"/>
  <c r="AY22" i="111"/>
  <c r="AX22" i="111"/>
  <c r="AW22" i="111"/>
  <c r="M22" i="111" s="1"/>
  <c r="AV22" i="111"/>
  <c r="AU22" i="111"/>
  <c r="AT22" i="111"/>
  <c r="AS22" i="111"/>
  <c r="AR22" i="111"/>
  <c r="L22" i="111" s="1"/>
  <c r="AQ22" i="111"/>
  <c r="AP22" i="111"/>
  <c r="AO22" i="111"/>
  <c r="AN22" i="111"/>
  <c r="AM22" i="111"/>
  <c r="K22" i="111" s="1"/>
  <c r="AL22" i="111"/>
  <c r="AK22" i="111"/>
  <c r="AJ22" i="111"/>
  <c r="AI22" i="111"/>
  <c r="AH22" i="111"/>
  <c r="J22" i="111" s="1"/>
  <c r="AG22" i="111"/>
  <c r="AF22" i="111"/>
  <c r="AE22" i="111"/>
  <c r="AD22" i="111"/>
  <c r="AC22" i="111"/>
  <c r="I22" i="111" s="1"/>
  <c r="AB22" i="111"/>
  <c r="AA22" i="111"/>
  <c r="Z22" i="111"/>
  <c r="Y22" i="111"/>
  <c r="X22" i="111"/>
  <c r="H22" i="111" s="1"/>
  <c r="G22" i="111" s="1"/>
  <c r="BG21" i="111"/>
  <c r="O21" i="111" s="1"/>
  <c r="P21" i="111" s="1"/>
  <c r="Q21" i="111" s="1"/>
  <c r="BF21" i="111"/>
  <c r="BE21" i="111"/>
  <c r="BD21" i="111"/>
  <c r="BC21" i="111"/>
  <c r="BB21" i="111"/>
  <c r="N21" i="111" s="1"/>
  <c r="BA21" i="111"/>
  <c r="AZ21" i="111"/>
  <c r="AY21" i="111"/>
  <c r="AX21" i="111"/>
  <c r="AW21" i="111"/>
  <c r="M21" i="111" s="1"/>
  <c r="AV21" i="111"/>
  <c r="AU21" i="111"/>
  <c r="AT21" i="111"/>
  <c r="AS21" i="111"/>
  <c r="AR21" i="111"/>
  <c r="L21" i="111" s="1"/>
  <c r="AQ21" i="111"/>
  <c r="AP21" i="111"/>
  <c r="AO21" i="111"/>
  <c r="AN21" i="111"/>
  <c r="AM21" i="111"/>
  <c r="K21" i="111" s="1"/>
  <c r="AL21" i="111"/>
  <c r="AK21" i="111"/>
  <c r="AJ21" i="111"/>
  <c r="AI21" i="111"/>
  <c r="AH21" i="111"/>
  <c r="J21" i="111" s="1"/>
  <c r="AG21" i="111"/>
  <c r="AF21" i="111"/>
  <c r="AE21" i="111"/>
  <c r="AD21" i="111"/>
  <c r="AC21" i="111"/>
  <c r="I21" i="111" s="1"/>
  <c r="AB21" i="111"/>
  <c r="AA21" i="111"/>
  <c r="Z21" i="111"/>
  <c r="Y21" i="111"/>
  <c r="X21" i="111"/>
  <c r="H21" i="111" s="1"/>
  <c r="G21" i="111" s="1"/>
  <c r="BG20" i="111"/>
  <c r="O20" i="111" s="1"/>
  <c r="P20" i="111" s="1"/>
  <c r="Q20" i="111" s="1"/>
  <c r="BF20" i="111"/>
  <c r="BE20" i="111"/>
  <c r="BD20" i="111"/>
  <c r="BC20" i="111"/>
  <c r="BB20" i="111"/>
  <c r="N20" i="111" s="1"/>
  <c r="BA20" i="111"/>
  <c r="AZ20" i="111"/>
  <c r="AY20" i="111"/>
  <c r="AX20" i="111"/>
  <c r="AW20" i="111"/>
  <c r="M20" i="111" s="1"/>
  <c r="AV20" i="111"/>
  <c r="AU20" i="111"/>
  <c r="AT20" i="111"/>
  <c r="AS20" i="111"/>
  <c r="AR20" i="111"/>
  <c r="L20" i="111" s="1"/>
  <c r="AQ20" i="111"/>
  <c r="AP20" i="111"/>
  <c r="AO20" i="111"/>
  <c r="AN20" i="111"/>
  <c r="AM20" i="111"/>
  <c r="K20" i="111" s="1"/>
  <c r="AL20" i="111"/>
  <c r="AK20" i="111"/>
  <c r="AJ20" i="111"/>
  <c r="AI20" i="111"/>
  <c r="AH20" i="111"/>
  <c r="J20" i="111" s="1"/>
  <c r="AG20" i="111"/>
  <c r="AF20" i="111"/>
  <c r="AE20" i="111"/>
  <c r="AD20" i="111"/>
  <c r="AC20" i="111"/>
  <c r="I20" i="111" s="1"/>
  <c r="AB20" i="111"/>
  <c r="AA20" i="111"/>
  <c r="Z20" i="111"/>
  <c r="Y20" i="111"/>
  <c r="X20" i="111"/>
  <c r="H20" i="111" s="1"/>
  <c r="G20" i="111" s="1"/>
  <c r="BG19" i="111"/>
  <c r="O19" i="111" s="1"/>
  <c r="P19" i="111" s="1"/>
  <c r="Q19" i="111" s="1"/>
  <c r="BF19" i="111"/>
  <c r="BE19" i="111"/>
  <c r="BD19" i="111"/>
  <c r="BC19" i="111"/>
  <c r="BB19" i="111"/>
  <c r="N19" i="111" s="1"/>
  <c r="BA19" i="111"/>
  <c r="AZ19" i="111"/>
  <c r="AY19" i="111"/>
  <c r="AX19" i="111"/>
  <c r="AW19" i="111"/>
  <c r="M19" i="111" s="1"/>
  <c r="AV19" i="111"/>
  <c r="AU19" i="111"/>
  <c r="AT19" i="111"/>
  <c r="AS19" i="111"/>
  <c r="AR19" i="111"/>
  <c r="L19" i="111" s="1"/>
  <c r="AQ19" i="111"/>
  <c r="AP19" i="111"/>
  <c r="AO19" i="111"/>
  <c r="AN19" i="111"/>
  <c r="AM19" i="111"/>
  <c r="K19" i="111" s="1"/>
  <c r="AL19" i="111"/>
  <c r="AK19" i="111"/>
  <c r="AJ19" i="111"/>
  <c r="AI19" i="111"/>
  <c r="AH19" i="111"/>
  <c r="J19" i="111" s="1"/>
  <c r="AG19" i="111"/>
  <c r="AF19" i="111"/>
  <c r="AE19" i="111"/>
  <c r="AD19" i="111"/>
  <c r="AC19" i="111"/>
  <c r="I19" i="111" s="1"/>
  <c r="AB19" i="111"/>
  <c r="AA19" i="111"/>
  <c r="Z19" i="111"/>
  <c r="Y19" i="111"/>
  <c r="X19" i="111"/>
  <c r="H19" i="111" s="1"/>
  <c r="G19" i="111" s="1"/>
  <c r="BG18" i="111"/>
  <c r="O18" i="111" s="1"/>
  <c r="P18" i="111" s="1"/>
  <c r="Q18" i="111" s="1"/>
  <c r="BF18" i="111"/>
  <c r="BE18" i="111"/>
  <c r="BD18" i="111"/>
  <c r="BC18" i="111"/>
  <c r="BB18" i="111"/>
  <c r="N18" i="111" s="1"/>
  <c r="BA18" i="111"/>
  <c r="AZ18" i="111"/>
  <c r="AY18" i="111"/>
  <c r="AX18" i="111"/>
  <c r="AW18" i="111"/>
  <c r="M18" i="111" s="1"/>
  <c r="AV18" i="111"/>
  <c r="AU18" i="111"/>
  <c r="AT18" i="111"/>
  <c r="AS18" i="111"/>
  <c r="AR18" i="111"/>
  <c r="L18" i="111" s="1"/>
  <c r="AQ18" i="111"/>
  <c r="AP18" i="111"/>
  <c r="AO18" i="111"/>
  <c r="AN18" i="111"/>
  <c r="AM18" i="111"/>
  <c r="K18" i="111" s="1"/>
  <c r="AL18" i="111"/>
  <c r="AK18" i="111"/>
  <c r="AJ18" i="111"/>
  <c r="AI18" i="111"/>
  <c r="AH18" i="111"/>
  <c r="J18" i="111" s="1"/>
  <c r="AG18" i="111"/>
  <c r="AF18" i="111"/>
  <c r="AE18" i="111"/>
  <c r="AD18" i="111"/>
  <c r="AC18" i="111"/>
  <c r="I18" i="111" s="1"/>
  <c r="AB18" i="111"/>
  <c r="AA18" i="111"/>
  <c r="Z18" i="111"/>
  <c r="Y18" i="111"/>
  <c r="H28" i="111"/>
  <c r="G28" i="111" s="1"/>
  <c r="X18" i="111"/>
  <c r="H18" i="111" s="1"/>
  <c r="G18" i="111" s="1"/>
  <c r="P8" i="111"/>
  <c r="Q8" i="111" s="1"/>
  <c r="P4" i="111"/>
  <c r="Q4" i="111" s="1"/>
  <c r="O8" i="111"/>
  <c r="N8" i="111"/>
  <c r="M8" i="111"/>
  <c r="L8" i="111"/>
  <c r="K8" i="111"/>
  <c r="J8" i="111"/>
  <c r="I8" i="111"/>
  <c r="H8" i="111"/>
  <c r="G8" i="111" s="1"/>
  <c r="O7" i="111"/>
  <c r="P7" i="111" s="1"/>
  <c r="Q7" i="111" s="1"/>
  <c r="N7" i="111"/>
  <c r="M7" i="111"/>
  <c r="L7" i="111"/>
  <c r="K7" i="111"/>
  <c r="J7" i="111"/>
  <c r="I7" i="111"/>
  <c r="H7" i="111"/>
  <c r="G7" i="111" s="1"/>
  <c r="O6" i="111"/>
  <c r="P6" i="111" s="1"/>
  <c r="Q6" i="111" s="1"/>
  <c r="N6" i="111"/>
  <c r="M6" i="111"/>
  <c r="L6" i="111"/>
  <c r="K6" i="111"/>
  <c r="J6" i="111"/>
  <c r="I6" i="111"/>
  <c r="H6" i="111"/>
  <c r="G6" i="111" s="1"/>
  <c r="O5" i="111"/>
  <c r="P5" i="111" s="1"/>
  <c r="Q5" i="111" s="1"/>
  <c r="N5" i="111"/>
  <c r="M5" i="111"/>
  <c r="L5" i="111"/>
  <c r="K5" i="111"/>
  <c r="J5" i="111"/>
  <c r="I5" i="111"/>
  <c r="H5" i="111"/>
  <c r="G5" i="111" s="1"/>
  <c r="O4" i="111"/>
  <c r="N4" i="111"/>
  <c r="M4" i="111"/>
  <c r="L4" i="111"/>
  <c r="K4" i="111"/>
  <c r="J4" i="111"/>
  <c r="I4" i="111"/>
  <c r="H4" i="111"/>
  <c r="G4" i="111" s="1"/>
  <c r="O3" i="111"/>
  <c r="P3" i="111" s="1"/>
  <c r="Q3" i="111" s="1"/>
  <c r="N3" i="111"/>
  <c r="M3" i="111"/>
  <c r="L3" i="111"/>
  <c r="K3" i="111"/>
  <c r="J3" i="111"/>
  <c r="I3" i="111"/>
  <c r="H3" i="111"/>
  <c r="G3" i="111" s="1"/>
  <c r="G129" i="111" l="1"/>
  <c r="G834" i="118" s="1"/>
  <c r="H834" i="118"/>
  <c r="P129" i="111"/>
  <c r="O834" i="118"/>
  <c r="J833" i="118"/>
  <c r="J832" i="118"/>
  <c r="J34" i="118"/>
  <c r="J35" i="118"/>
  <c r="K832" i="118"/>
  <c r="K833" i="118"/>
  <c r="K34" i="118"/>
  <c r="K35" i="118"/>
  <c r="L833" i="118"/>
  <c r="L832" i="118"/>
  <c r="L34" i="118"/>
  <c r="L35" i="118"/>
  <c r="M833" i="118"/>
  <c r="M832" i="118"/>
  <c r="M34" i="118"/>
  <c r="M35" i="118"/>
  <c r="N832" i="118"/>
  <c r="N833" i="118"/>
  <c r="N35" i="118"/>
  <c r="N34" i="118"/>
  <c r="G833" i="118"/>
  <c r="G832" i="118"/>
  <c r="O832" i="118"/>
  <c r="O833" i="118"/>
  <c r="O34" i="118"/>
  <c r="O35" i="118"/>
  <c r="H832" i="118"/>
  <c r="H833" i="118"/>
  <c r="H34" i="118"/>
  <c r="H35" i="118"/>
  <c r="P832" i="118"/>
  <c r="P833" i="118"/>
  <c r="I832" i="118"/>
  <c r="I833" i="118"/>
  <c r="I34" i="118"/>
  <c r="I35" i="118"/>
  <c r="Q832" i="118"/>
  <c r="Q833" i="118"/>
  <c r="O17" i="113"/>
  <c r="N16" i="113"/>
  <c r="M9" i="113"/>
  <c r="G14" i="113"/>
  <c r="G55" i="111"/>
  <c r="G34" i="118" s="1"/>
  <c r="P41" i="111"/>
  <c r="P36" i="118" s="1"/>
  <c r="G41" i="111"/>
  <c r="G36" i="118" s="1"/>
  <c r="P55" i="111"/>
  <c r="P34" i="118" s="1"/>
  <c r="AT47" i="109"/>
  <c r="AU47" i="109" s="1"/>
  <c r="AV47" i="109" s="1"/>
  <c r="AW47" i="109" s="1"/>
  <c r="AX47" i="109" s="1"/>
  <c r="AY47" i="109" s="1"/>
  <c r="AZ47" i="109" s="1"/>
  <c r="BA47" i="109" s="1"/>
  <c r="BB47" i="109" s="1"/>
  <c r="BC47" i="109" s="1"/>
  <c r="BD47" i="109" s="1"/>
  <c r="BE47" i="109" s="1"/>
  <c r="BF47" i="109" s="1"/>
  <c r="BG47" i="109" s="1"/>
  <c r="BH47" i="109" s="1"/>
  <c r="BI47" i="109" s="1"/>
  <c r="BJ47" i="109" s="1"/>
  <c r="BK47" i="109" s="1"/>
  <c r="BL47" i="109" s="1"/>
  <c r="BM47" i="109" s="1"/>
  <c r="BN47" i="109" s="1"/>
  <c r="BO47" i="109" s="1"/>
  <c r="BP47" i="109" s="1"/>
  <c r="BQ47" i="109" s="1"/>
  <c r="BR47" i="109" s="1"/>
  <c r="BS47" i="109" s="1"/>
  <c r="BT47" i="109" s="1"/>
  <c r="BU47" i="109" s="1"/>
  <c r="BV47" i="109" s="1"/>
  <c r="D334" i="109"/>
  <c r="D333" i="109"/>
  <c r="D332" i="109"/>
  <c r="D331" i="109"/>
  <c r="D330" i="109"/>
  <c r="D329" i="109"/>
  <c r="D328" i="109"/>
  <c r="D327" i="109"/>
  <c r="D326" i="109"/>
  <c r="D325" i="109"/>
  <c r="D324" i="109"/>
  <c r="D323" i="109"/>
  <c r="D322" i="109"/>
  <c r="D321" i="109"/>
  <c r="D320" i="109"/>
  <c r="D319" i="109"/>
  <c r="D318" i="109"/>
  <c r="D317" i="109"/>
  <c r="D316" i="109"/>
  <c r="D315" i="109"/>
  <c r="D314" i="109"/>
  <c r="D313" i="109"/>
  <c r="D312" i="109"/>
  <c r="D311" i="109"/>
  <c r="D310" i="109"/>
  <c r="D309" i="109"/>
  <c r="D308" i="109"/>
  <c r="D307" i="109"/>
  <c r="D302" i="109"/>
  <c r="D366" i="109" s="1"/>
  <c r="D301" i="109"/>
  <c r="D365" i="109" s="1"/>
  <c r="D300" i="109"/>
  <c r="D364" i="109" s="1"/>
  <c r="D299" i="109"/>
  <c r="D363" i="109" s="1"/>
  <c r="D298" i="109"/>
  <c r="D362" i="109" s="1"/>
  <c r="D297" i="109"/>
  <c r="D361" i="109" s="1"/>
  <c r="D296" i="109"/>
  <c r="D360" i="109" s="1"/>
  <c r="D295" i="109"/>
  <c r="D359" i="109" s="1"/>
  <c r="D294" i="109"/>
  <c r="D358" i="109" s="1"/>
  <c r="D293" i="109"/>
  <c r="D357" i="109" s="1"/>
  <c r="D292" i="109"/>
  <c r="D291" i="109"/>
  <c r="D355" i="109" s="1"/>
  <c r="D290" i="109"/>
  <c r="D354" i="109" s="1"/>
  <c r="D289" i="109"/>
  <c r="D353" i="109" s="1"/>
  <c r="D288" i="109"/>
  <c r="D352" i="109" s="1"/>
  <c r="D287" i="109"/>
  <c r="D351" i="109" s="1"/>
  <c r="D286" i="109"/>
  <c r="D350" i="109" s="1"/>
  <c r="D285" i="109"/>
  <c r="D349" i="109" s="1"/>
  <c r="E284" i="109"/>
  <c r="D284" i="109"/>
  <c r="D283" i="109"/>
  <c r="D347" i="109" s="1"/>
  <c r="D282" i="109"/>
  <c r="D346" i="109" s="1"/>
  <c r="D281" i="109"/>
  <c r="D345" i="109" s="1"/>
  <c r="E280" i="109"/>
  <c r="D280" i="109"/>
  <c r="D344" i="109" s="1"/>
  <c r="D279" i="109"/>
  <c r="D343" i="109" s="1"/>
  <c r="D278" i="109"/>
  <c r="D342" i="109" s="1"/>
  <c r="D277" i="109"/>
  <c r="D341" i="109" s="1"/>
  <c r="D276" i="109"/>
  <c r="D340" i="109" s="1"/>
  <c r="E275" i="109"/>
  <c r="D275" i="109"/>
  <c r="D339" i="109" s="1"/>
  <c r="E48" i="109"/>
  <c r="E47" i="109"/>
  <c r="E298" i="109" s="1"/>
  <c r="E46" i="109"/>
  <c r="F46" i="109" s="1"/>
  <c r="G46" i="109" s="1"/>
  <c r="H46" i="109" s="1"/>
  <c r="I46" i="109" s="1"/>
  <c r="J46" i="109" s="1"/>
  <c r="K46" i="109" s="1"/>
  <c r="L46" i="109" s="1"/>
  <c r="M46" i="109" s="1"/>
  <c r="N46" i="109" s="1"/>
  <c r="O46" i="109" s="1"/>
  <c r="P46" i="109" s="1"/>
  <c r="Q46" i="109" s="1"/>
  <c r="R46" i="109" s="1"/>
  <c r="S46" i="109" s="1"/>
  <c r="T46" i="109" s="1"/>
  <c r="U46" i="109" s="1"/>
  <c r="V46" i="109" s="1"/>
  <c r="W46" i="109" s="1"/>
  <c r="X46" i="109" s="1"/>
  <c r="Y46" i="109" s="1"/>
  <c r="Z46" i="109" s="1"/>
  <c r="AA46" i="109" s="1"/>
  <c r="AB46" i="109" s="1"/>
  <c r="AC46" i="109" s="1"/>
  <c r="AD46" i="109" s="1"/>
  <c r="AE46" i="109" s="1"/>
  <c r="AF46" i="109" s="1"/>
  <c r="AG46" i="109" s="1"/>
  <c r="AH46" i="109" s="1"/>
  <c r="AI46" i="109" s="1"/>
  <c r="AJ46" i="109" s="1"/>
  <c r="AK46" i="109" s="1"/>
  <c r="AL46" i="109" s="1"/>
  <c r="AM46" i="109" s="1"/>
  <c r="AN46" i="109" s="1"/>
  <c r="AO46" i="109" s="1"/>
  <c r="AP46" i="109" s="1"/>
  <c r="AQ46" i="109" s="1"/>
  <c r="AR46" i="109" s="1"/>
  <c r="P35" i="118" l="1"/>
  <c r="G35" i="118"/>
  <c r="Q129" i="111"/>
  <c r="Q834" i="118" s="1"/>
  <c r="P834" i="118"/>
  <c r="O16" i="113"/>
  <c r="P17" i="113"/>
  <c r="N9" i="113"/>
  <c r="Q55" i="111"/>
  <c r="Q41" i="111"/>
  <c r="Q36" i="118" s="1"/>
  <c r="F48" i="109"/>
  <c r="E334" i="109"/>
  <c r="E330" i="109"/>
  <c r="E362" i="109" s="1"/>
  <c r="E333" i="109"/>
  <c r="E329" i="109"/>
  <c r="E325" i="109"/>
  <c r="E321" i="109"/>
  <c r="E317" i="109"/>
  <c r="E332" i="109"/>
  <c r="E328" i="109"/>
  <c r="E326" i="109"/>
  <c r="E322" i="109"/>
  <c r="E318" i="109"/>
  <c r="E312" i="109"/>
  <c r="E308" i="109"/>
  <c r="E323" i="109"/>
  <c r="E319" i="109"/>
  <c r="E331" i="109"/>
  <c r="E327" i="109"/>
  <c r="E324" i="109"/>
  <c r="E320" i="109"/>
  <c r="E316" i="109"/>
  <c r="E314" i="109"/>
  <c r="E315" i="109"/>
  <c r="E311" i="109"/>
  <c r="E307" i="109"/>
  <c r="E313" i="109"/>
  <c r="E310" i="109"/>
  <c r="E309" i="109"/>
  <c r="E344" i="109"/>
  <c r="E348" i="109"/>
  <c r="E289" i="109"/>
  <c r="E293" i="109"/>
  <c r="E297" i="109"/>
  <c r="E361" i="109" s="1"/>
  <c r="E301" i="109"/>
  <c r="E365" i="109" s="1"/>
  <c r="E302" i="109"/>
  <c r="E278" i="109"/>
  <c r="E342" i="109" s="1"/>
  <c r="E282" i="109"/>
  <c r="E286" i="109"/>
  <c r="E350" i="109" s="1"/>
  <c r="E290" i="109"/>
  <c r="E354" i="109" s="1"/>
  <c r="E294" i="109"/>
  <c r="E339" i="109"/>
  <c r="F47" i="109"/>
  <c r="E300" i="109"/>
  <c r="E364" i="109" s="1"/>
  <c r="E299" i="109"/>
  <c r="E296" i="109"/>
  <c r="E360" i="109" s="1"/>
  <c r="E292" i="109"/>
  <c r="E356" i="109" s="1"/>
  <c r="E288" i="109"/>
  <c r="E352" i="109" s="1"/>
  <c r="E295" i="109"/>
  <c r="E291" i="109"/>
  <c r="E355" i="109" s="1"/>
  <c r="E287" i="109"/>
  <c r="E351" i="109" s="1"/>
  <c r="E283" i="109"/>
  <c r="E347" i="109" s="1"/>
  <c r="E279" i="109"/>
  <c r="E343" i="109" s="1"/>
  <c r="E276" i="109"/>
  <c r="E277" i="109"/>
  <c r="E341" i="109" s="1"/>
  <c r="E281" i="109"/>
  <c r="E285" i="109"/>
  <c r="E349" i="109" s="1"/>
  <c r="D348" i="109"/>
  <c r="D356" i="109"/>
  <c r="Q35" i="118" l="1"/>
  <c r="Q34" i="118"/>
  <c r="Q17" i="113"/>
  <c r="P16" i="113"/>
  <c r="O9" i="113"/>
  <c r="E340" i="109"/>
  <c r="E346" i="109"/>
  <c r="E359" i="109"/>
  <c r="E363" i="109"/>
  <c r="E358" i="109"/>
  <c r="E357" i="109"/>
  <c r="G48" i="109"/>
  <c r="F333" i="109"/>
  <c r="F329" i="109"/>
  <c r="F332" i="109"/>
  <c r="F328" i="109"/>
  <c r="F324" i="109"/>
  <c r="F320" i="109"/>
  <c r="F316" i="109"/>
  <c r="F331" i="109"/>
  <c r="F327" i="109"/>
  <c r="F323" i="109"/>
  <c r="F319" i="109"/>
  <c r="F315" i="109"/>
  <c r="F311" i="109"/>
  <c r="F307" i="109"/>
  <c r="F334" i="109"/>
  <c r="F330" i="109"/>
  <c r="F313" i="109"/>
  <c r="F321" i="109"/>
  <c r="F326" i="109"/>
  <c r="F318" i="109"/>
  <c r="F314" i="109"/>
  <c r="F309" i="109"/>
  <c r="F308" i="109"/>
  <c r="F325" i="109"/>
  <c r="F317" i="109"/>
  <c r="F310" i="109"/>
  <c r="F322" i="109"/>
  <c r="F312" i="109"/>
  <c r="G47" i="109"/>
  <c r="F299" i="109"/>
  <c r="F295" i="109"/>
  <c r="F291" i="109"/>
  <c r="F355" i="109" s="1"/>
  <c r="F301" i="109"/>
  <c r="F365" i="109" s="1"/>
  <c r="F300" i="109"/>
  <c r="F364" i="109" s="1"/>
  <c r="F298" i="109"/>
  <c r="F294" i="109"/>
  <c r="F358" i="109" s="1"/>
  <c r="F290" i="109"/>
  <c r="F354" i="109" s="1"/>
  <c r="F286" i="109"/>
  <c r="F282" i="109"/>
  <c r="F278" i="109"/>
  <c r="F342" i="109" s="1"/>
  <c r="F275" i="109"/>
  <c r="F339" i="109" s="1"/>
  <c r="F283" i="109"/>
  <c r="F280" i="109"/>
  <c r="F279" i="109"/>
  <c r="F292" i="109"/>
  <c r="F356" i="109" s="1"/>
  <c r="F288" i="109"/>
  <c r="F352" i="109" s="1"/>
  <c r="F302" i="109"/>
  <c r="F366" i="109" s="1"/>
  <c r="F297" i="109"/>
  <c r="F361" i="109" s="1"/>
  <c r="F293" i="109"/>
  <c r="F357" i="109" s="1"/>
  <c r="F289" i="109"/>
  <c r="F353" i="109" s="1"/>
  <c r="F284" i="109"/>
  <c r="F348" i="109" s="1"/>
  <c r="F287" i="109"/>
  <c r="F351" i="109" s="1"/>
  <c r="F296" i="109"/>
  <c r="F360" i="109" s="1"/>
  <c r="F285" i="109"/>
  <c r="F281" i="109"/>
  <c r="F276" i="109"/>
  <c r="F340" i="109" s="1"/>
  <c r="F277" i="109"/>
  <c r="F341" i="109" s="1"/>
  <c r="E345" i="109"/>
  <c r="E366" i="109"/>
  <c r="E353" i="109"/>
  <c r="Q16" i="113" l="1"/>
  <c r="P9" i="113"/>
  <c r="F343" i="109"/>
  <c r="H48" i="109"/>
  <c r="G332" i="109"/>
  <c r="G328" i="109"/>
  <c r="G331" i="109"/>
  <c r="G327" i="109"/>
  <c r="G323" i="109"/>
  <c r="G319" i="109"/>
  <c r="G334" i="109"/>
  <c r="G330" i="109"/>
  <c r="G333" i="109"/>
  <c r="G329" i="109"/>
  <c r="G314" i="109"/>
  <c r="G310" i="109"/>
  <c r="G324" i="109"/>
  <c r="G320" i="109"/>
  <c r="G316" i="109"/>
  <c r="G326" i="109"/>
  <c r="G325" i="109"/>
  <c r="G322" i="109"/>
  <c r="G321" i="109"/>
  <c r="G318" i="109"/>
  <c r="G317" i="109"/>
  <c r="G312" i="109"/>
  <c r="G309" i="109"/>
  <c r="G308" i="109"/>
  <c r="G313" i="109"/>
  <c r="G315" i="109"/>
  <c r="G311" i="109"/>
  <c r="G307" i="109"/>
  <c r="F345" i="109"/>
  <c r="F344" i="109"/>
  <c r="F346" i="109"/>
  <c r="F362" i="109"/>
  <c r="F359" i="109"/>
  <c r="H47" i="109"/>
  <c r="G302" i="109"/>
  <c r="G366" i="109" s="1"/>
  <c r="G301" i="109"/>
  <c r="G365" i="109" s="1"/>
  <c r="G300" i="109"/>
  <c r="G364" i="109" s="1"/>
  <c r="G298" i="109"/>
  <c r="G362" i="109" s="1"/>
  <c r="G294" i="109"/>
  <c r="G358" i="109" s="1"/>
  <c r="G290" i="109"/>
  <c r="G297" i="109"/>
  <c r="G293" i="109"/>
  <c r="G357" i="109" s="1"/>
  <c r="G289" i="109"/>
  <c r="G285" i="109"/>
  <c r="G349" i="109" s="1"/>
  <c r="G281" i="109"/>
  <c r="G345" i="109" s="1"/>
  <c r="G277" i="109"/>
  <c r="G295" i="109"/>
  <c r="G359" i="109" s="1"/>
  <c r="G291" i="109"/>
  <c r="G355" i="109" s="1"/>
  <c r="G286" i="109"/>
  <c r="G350" i="109" s="1"/>
  <c r="G282" i="109"/>
  <c r="G346" i="109" s="1"/>
  <c r="G278" i="109"/>
  <c r="G342" i="109" s="1"/>
  <c r="G299" i="109"/>
  <c r="G363" i="109" s="1"/>
  <c r="G287" i="109"/>
  <c r="G284" i="109"/>
  <c r="G348" i="109" s="1"/>
  <c r="G283" i="109"/>
  <c r="G347" i="109" s="1"/>
  <c r="G280" i="109"/>
  <c r="G279" i="109"/>
  <c r="G296" i="109"/>
  <c r="G360" i="109" s="1"/>
  <c r="G292" i="109"/>
  <c r="G356" i="109" s="1"/>
  <c r="G288" i="109"/>
  <c r="G276" i="109"/>
  <c r="G340" i="109" s="1"/>
  <c r="G275" i="109"/>
  <c r="G339" i="109" s="1"/>
  <c r="F349" i="109"/>
  <c r="F347" i="109"/>
  <c r="F350" i="109"/>
  <c r="F363" i="109"/>
  <c r="Q9" i="113" l="1"/>
  <c r="G353" i="109"/>
  <c r="I47" i="109"/>
  <c r="H301" i="109"/>
  <c r="H365" i="109" s="1"/>
  <c r="H297" i="109"/>
  <c r="H361" i="109" s="1"/>
  <c r="H293" i="109"/>
  <c r="H289" i="109"/>
  <c r="H353" i="109" s="1"/>
  <c r="H302" i="109"/>
  <c r="H366" i="109" s="1"/>
  <c r="H296" i="109"/>
  <c r="H292" i="109"/>
  <c r="H288" i="109"/>
  <c r="H352" i="109" s="1"/>
  <c r="H284" i="109"/>
  <c r="H348" i="109" s="1"/>
  <c r="H280" i="109"/>
  <c r="H299" i="109"/>
  <c r="H298" i="109"/>
  <c r="H294" i="109"/>
  <c r="H290" i="109"/>
  <c r="H287" i="109"/>
  <c r="H283" i="109"/>
  <c r="H279" i="109"/>
  <c r="H343" i="109" s="1"/>
  <c r="H276" i="109"/>
  <c r="H340" i="109" s="1"/>
  <c r="H281" i="109"/>
  <c r="H275" i="109"/>
  <c r="H295" i="109"/>
  <c r="H291" i="109"/>
  <c r="H355" i="109" s="1"/>
  <c r="H286" i="109"/>
  <c r="H282" i="109"/>
  <c r="H300" i="109"/>
  <c r="H364" i="109" s="1"/>
  <c r="H285" i="109"/>
  <c r="H349" i="109" s="1"/>
  <c r="H277" i="109"/>
  <c r="H278" i="109"/>
  <c r="H342" i="109" s="1"/>
  <c r="G343" i="109"/>
  <c r="G351" i="109"/>
  <c r="G361" i="109"/>
  <c r="G341" i="109"/>
  <c r="G352" i="109"/>
  <c r="G344" i="109"/>
  <c r="G354" i="109"/>
  <c r="I48" i="109"/>
  <c r="H331" i="109"/>
  <c r="H327" i="109"/>
  <c r="H334" i="109"/>
  <c r="H330" i="109"/>
  <c r="H326" i="109"/>
  <c r="H322" i="109"/>
  <c r="H318" i="109"/>
  <c r="H333" i="109"/>
  <c r="H329" i="109"/>
  <c r="H324" i="109"/>
  <c r="H320" i="109"/>
  <c r="H316" i="109"/>
  <c r="H313" i="109"/>
  <c r="H309" i="109"/>
  <c r="H325" i="109"/>
  <c r="H321" i="109"/>
  <c r="H317" i="109"/>
  <c r="H315" i="109"/>
  <c r="H311" i="109"/>
  <c r="H319" i="109"/>
  <c r="H314" i="109"/>
  <c r="H328" i="109"/>
  <c r="H310" i="109"/>
  <c r="H323" i="109"/>
  <c r="H307" i="109"/>
  <c r="H312" i="109"/>
  <c r="H308" i="109"/>
  <c r="H332" i="109"/>
  <c r="AK4" i="105"/>
  <c r="AL4" i="105"/>
  <c r="X28" i="105"/>
  <c r="X27" i="105"/>
  <c r="X23" i="105"/>
  <c r="X22" i="105"/>
  <c r="X18" i="105"/>
  <c r="X17" i="105"/>
  <c r="X13" i="105"/>
  <c r="X12" i="105"/>
  <c r="X8" i="105"/>
  <c r="X7" i="105"/>
  <c r="H103" i="108"/>
  <c r="F103" i="108"/>
  <c r="H102" i="108"/>
  <c r="F102" i="108"/>
  <c r="H101" i="108"/>
  <c r="F101" i="108"/>
  <c r="H100" i="108"/>
  <c r="F100" i="108"/>
  <c r="H99" i="108"/>
  <c r="F99" i="108"/>
  <c r="H98" i="108"/>
  <c r="F98" i="108"/>
  <c r="H97" i="108"/>
  <c r="F97" i="108"/>
  <c r="H96" i="108"/>
  <c r="F96" i="108"/>
  <c r="H95" i="108"/>
  <c r="F95" i="108"/>
  <c r="H94" i="108"/>
  <c r="F94" i="108"/>
  <c r="H93" i="108"/>
  <c r="F93" i="108"/>
  <c r="H92" i="108"/>
  <c r="F92" i="108"/>
  <c r="H91" i="108"/>
  <c r="F91" i="108"/>
  <c r="H90" i="108"/>
  <c r="F90" i="108"/>
  <c r="H89" i="108"/>
  <c r="F89" i="108"/>
  <c r="H88" i="108"/>
  <c r="F88" i="108"/>
  <c r="H87" i="108"/>
  <c r="F87" i="108"/>
  <c r="H86" i="108"/>
  <c r="F86" i="108"/>
  <c r="H85" i="108"/>
  <c r="F85" i="108"/>
  <c r="H84" i="108"/>
  <c r="F84" i="108"/>
  <c r="H83" i="108"/>
  <c r="F83" i="108"/>
  <c r="H82" i="108"/>
  <c r="F82" i="108"/>
  <c r="H81" i="108"/>
  <c r="F81" i="108"/>
  <c r="H80" i="108"/>
  <c r="F80" i="108"/>
  <c r="H79" i="108"/>
  <c r="F79" i="108"/>
  <c r="H78" i="108"/>
  <c r="F78" i="108"/>
  <c r="H77" i="108"/>
  <c r="F77" i="108"/>
  <c r="H76" i="108"/>
  <c r="F76" i="108"/>
  <c r="H75" i="108"/>
  <c r="F75" i="108"/>
  <c r="H74" i="108"/>
  <c r="F74" i="108"/>
  <c r="H73" i="108"/>
  <c r="F73" i="108"/>
  <c r="H72" i="108"/>
  <c r="F72" i="108"/>
  <c r="H71" i="108"/>
  <c r="F71" i="108"/>
  <c r="H70" i="108"/>
  <c r="F70" i="108"/>
  <c r="H69" i="108"/>
  <c r="F69" i="108"/>
  <c r="H68" i="108"/>
  <c r="F68" i="108"/>
  <c r="H67" i="108"/>
  <c r="F67" i="108"/>
  <c r="H66" i="108"/>
  <c r="F66" i="108"/>
  <c r="H65" i="108"/>
  <c r="F65" i="108"/>
  <c r="H64" i="108"/>
  <c r="F64" i="108"/>
  <c r="H63" i="108"/>
  <c r="F63" i="108"/>
  <c r="H62" i="108"/>
  <c r="F62" i="108"/>
  <c r="H61" i="108"/>
  <c r="F61" i="108"/>
  <c r="H60" i="108"/>
  <c r="F60" i="108"/>
  <c r="H59" i="108"/>
  <c r="F59" i="108"/>
  <c r="H58" i="108"/>
  <c r="F58" i="108"/>
  <c r="H57" i="108"/>
  <c r="F57" i="108"/>
  <c r="H56" i="108"/>
  <c r="F56" i="108"/>
  <c r="H55" i="108"/>
  <c r="F55" i="108"/>
  <c r="H54" i="108"/>
  <c r="F54" i="108"/>
  <c r="F53" i="108"/>
  <c r="F52" i="108"/>
  <c r="F51" i="108"/>
  <c r="F50" i="108"/>
  <c r="F49" i="108"/>
  <c r="F48" i="108"/>
  <c r="F47" i="108"/>
  <c r="F46" i="108"/>
  <c r="F45" i="108"/>
  <c r="F44" i="108"/>
  <c r="F43" i="108"/>
  <c r="F42" i="108"/>
  <c r="F41" i="108"/>
  <c r="F40" i="108"/>
  <c r="F39" i="108"/>
  <c r="F38" i="108"/>
  <c r="F37" i="108"/>
  <c r="F36" i="108"/>
  <c r="F35" i="108"/>
  <c r="F34" i="108"/>
  <c r="F33" i="108"/>
  <c r="F32" i="108"/>
  <c r="F31" i="108"/>
  <c r="F30" i="108"/>
  <c r="F29" i="108"/>
  <c r="H28" i="108"/>
  <c r="F28" i="108"/>
  <c r="H27" i="108"/>
  <c r="F27" i="108"/>
  <c r="H26" i="108"/>
  <c r="F26" i="108"/>
  <c r="H25" i="108"/>
  <c r="F25" i="108"/>
  <c r="H24" i="108"/>
  <c r="F24" i="108"/>
  <c r="H23" i="108"/>
  <c r="F23" i="108"/>
  <c r="H22" i="108"/>
  <c r="F22" i="108"/>
  <c r="H21" i="108"/>
  <c r="F21" i="108"/>
  <c r="H20" i="108"/>
  <c r="F20" i="108"/>
  <c r="H19" i="108"/>
  <c r="F19" i="108"/>
  <c r="H18" i="108"/>
  <c r="F18" i="108"/>
  <c r="H17" i="108"/>
  <c r="F17" i="108"/>
  <c r="H16" i="108"/>
  <c r="F16" i="108"/>
  <c r="H15" i="108"/>
  <c r="F15" i="108"/>
  <c r="H14" i="108"/>
  <c r="F14" i="108"/>
  <c r="H13" i="108"/>
  <c r="F13" i="108"/>
  <c r="H12" i="108"/>
  <c r="F12" i="108"/>
  <c r="H11" i="108"/>
  <c r="F11" i="108"/>
  <c r="H10" i="108"/>
  <c r="F10" i="108"/>
  <c r="H9" i="108"/>
  <c r="F9" i="108"/>
  <c r="H8" i="108"/>
  <c r="F8" i="108"/>
  <c r="H7" i="108"/>
  <c r="F7" i="108"/>
  <c r="H6" i="108"/>
  <c r="F6" i="108"/>
  <c r="H5" i="108"/>
  <c r="F5" i="108"/>
  <c r="H4" i="108"/>
  <c r="F4" i="108"/>
  <c r="H103" i="105"/>
  <c r="F103" i="105"/>
  <c r="H102" i="105"/>
  <c r="F102" i="105"/>
  <c r="H101" i="105"/>
  <c r="F101" i="105"/>
  <c r="H100" i="105"/>
  <c r="F100" i="105"/>
  <c r="H99" i="105"/>
  <c r="F99" i="105"/>
  <c r="H98" i="105"/>
  <c r="F98" i="105"/>
  <c r="H97" i="105"/>
  <c r="F97" i="105"/>
  <c r="H96" i="105"/>
  <c r="F96" i="105"/>
  <c r="H95" i="105"/>
  <c r="F95" i="105"/>
  <c r="H94" i="105"/>
  <c r="F94" i="105"/>
  <c r="H93" i="105"/>
  <c r="F93" i="105"/>
  <c r="H92" i="105"/>
  <c r="F92" i="105"/>
  <c r="H91" i="105"/>
  <c r="F91" i="105"/>
  <c r="H90" i="105"/>
  <c r="F90" i="105"/>
  <c r="H89" i="105"/>
  <c r="F89" i="105"/>
  <c r="H88" i="105"/>
  <c r="F88" i="105"/>
  <c r="H87" i="105"/>
  <c r="F87" i="105"/>
  <c r="H86" i="105"/>
  <c r="F86" i="105"/>
  <c r="H85" i="105"/>
  <c r="F85" i="105"/>
  <c r="H84" i="105"/>
  <c r="F84" i="105"/>
  <c r="H83" i="105"/>
  <c r="F83" i="105"/>
  <c r="H82" i="105"/>
  <c r="F82" i="105"/>
  <c r="H81" i="105"/>
  <c r="F81" i="105"/>
  <c r="H80" i="105"/>
  <c r="F80" i="105"/>
  <c r="H79" i="105"/>
  <c r="F79" i="105"/>
  <c r="H78" i="105"/>
  <c r="F78" i="105"/>
  <c r="H77" i="105"/>
  <c r="F77" i="105"/>
  <c r="H76" i="105"/>
  <c r="F76" i="105"/>
  <c r="H75" i="105"/>
  <c r="F75" i="105"/>
  <c r="H74" i="105"/>
  <c r="F74" i="105"/>
  <c r="H73" i="105"/>
  <c r="F73" i="105"/>
  <c r="H72" i="105"/>
  <c r="F72" i="105"/>
  <c r="H71" i="105"/>
  <c r="F71" i="105"/>
  <c r="H70" i="105"/>
  <c r="F70" i="105"/>
  <c r="H69" i="105"/>
  <c r="F69" i="105"/>
  <c r="H68" i="105"/>
  <c r="F68" i="105"/>
  <c r="H67" i="105"/>
  <c r="F67" i="105"/>
  <c r="H66" i="105"/>
  <c r="F66" i="105"/>
  <c r="H65" i="105"/>
  <c r="F65" i="105"/>
  <c r="H64" i="105"/>
  <c r="F64" i="105"/>
  <c r="H63" i="105"/>
  <c r="F63" i="105"/>
  <c r="H62" i="105"/>
  <c r="F62" i="105"/>
  <c r="H61" i="105"/>
  <c r="F61" i="105"/>
  <c r="H60" i="105"/>
  <c r="F60" i="105"/>
  <c r="H59" i="105"/>
  <c r="F59" i="105"/>
  <c r="H58" i="105"/>
  <c r="F58" i="105"/>
  <c r="H57" i="105"/>
  <c r="F57" i="105"/>
  <c r="H56" i="105"/>
  <c r="F56" i="105"/>
  <c r="H55" i="105"/>
  <c r="F55" i="105"/>
  <c r="H54" i="105"/>
  <c r="F54" i="105"/>
  <c r="F53" i="105"/>
  <c r="F52" i="105"/>
  <c r="F51" i="105"/>
  <c r="F50" i="105"/>
  <c r="F49" i="105"/>
  <c r="F48" i="105"/>
  <c r="F47" i="105"/>
  <c r="F46" i="105"/>
  <c r="F45" i="105"/>
  <c r="F44" i="105"/>
  <c r="F43" i="105"/>
  <c r="F42" i="105"/>
  <c r="F41" i="105"/>
  <c r="F40" i="105"/>
  <c r="F39" i="105"/>
  <c r="F38" i="105"/>
  <c r="F37" i="105"/>
  <c r="F36" i="105"/>
  <c r="F35" i="105"/>
  <c r="F34" i="105"/>
  <c r="F33" i="105"/>
  <c r="F32" i="105"/>
  <c r="F31" i="105"/>
  <c r="F30" i="105"/>
  <c r="F29" i="105"/>
  <c r="H28" i="105"/>
  <c r="F28" i="105"/>
  <c r="H27" i="105"/>
  <c r="F27" i="105"/>
  <c r="H26" i="105"/>
  <c r="F26" i="105"/>
  <c r="H25" i="105"/>
  <c r="F25" i="105"/>
  <c r="H24" i="105"/>
  <c r="F24" i="105"/>
  <c r="H23" i="105"/>
  <c r="F23" i="105"/>
  <c r="H22" i="105"/>
  <c r="F22" i="105"/>
  <c r="H21" i="105"/>
  <c r="F21" i="105"/>
  <c r="H20" i="105"/>
  <c r="F20" i="105"/>
  <c r="H19" i="105"/>
  <c r="F19" i="105"/>
  <c r="H18" i="105"/>
  <c r="F18" i="105"/>
  <c r="H17" i="105"/>
  <c r="F17" i="105"/>
  <c r="H16" i="105"/>
  <c r="F16" i="105"/>
  <c r="H15" i="105"/>
  <c r="F15" i="105"/>
  <c r="H14" i="105"/>
  <c r="F14" i="105"/>
  <c r="H13" i="105"/>
  <c r="F13" i="105"/>
  <c r="H12" i="105"/>
  <c r="F12" i="105"/>
  <c r="H11" i="105"/>
  <c r="F11" i="105"/>
  <c r="H10" i="105"/>
  <c r="F10" i="105"/>
  <c r="H9" i="105"/>
  <c r="F9" i="105"/>
  <c r="H8" i="105"/>
  <c r="F8" i="105"/>
  <c r="H7" i="105"/>
  <c r="F7" i="105"/>
  <c r="H6" i="105"/>
  <c r="F6" i="105"/>
  <c r="H5" i="105"/>
  <c r="F5" i="105"/>
  <c r="F4" i="105"/>
  <c r="AS13" i="108"/>
  <c r="AW13" i="108"/>
  <c r="AV13" i="108"/>
  <c r="AW12" i="108"/>
  <c r="AV12" i="108"/>
  <c r="AW11" i="108"/>
  <c r="AV11" i="108"/>
  <c r="AW8" i="108"/>
  <c r="AV8" i="108"/>
  <c r="AW6" i="108"/>
  <c r="AV6" i="108"/>
  <c r="AW5" i="108"/>
  <c r="AV5" i="108"/>
  <c r="AW4" i="108"/>
  <c r="AV4" i="108"/>
  <c r="AU13" i="108"/>
  <c r="AT13" i="108"/>
  <c r="AR13" i="108"/>
  <c r="AU12" i="108"/>
  <c r="AT12" i="108"/>
  <c r="AR12" i="108"/>
  <c r="AU11" i="108"/>
  <c r="AT11" i="108"/>
  <c r="AR11" i="108"/>
  <c r="AR9" i="108"/>
  <c r="AU8" i="108"/>
  <c r="AT8" i="108"/>
  <c r="AR8" i="108"/>
  <c r="AU6" i="108"/>
  <c r="AT6" i="108"/>
  <c r="AR6" i="108"/>
  <c r="AU5" i="108"/>
  <c r="AT5" i="108"/>
  <c r="AR5" i="108"/>
  <c r="AU4" i="108"/>
  <c r="AT4" i="108"/>
  <c r="AR4" i="108"/>
  <c r="AI103" i="108"/>
  <c r="AI102" i="108"/>
  <c r="AI101" i="108"/>
  <c r="AI100" i="108"/>
  <c r="AI99" i="108"/>
  <c r="AI98" i="108"/>
  <c r="AI97" i="108"/>
  <c r="AI96" i="108"/>
  <c r="AI95" i="108"/>
  <c r="AI94" i="108"/>
  <c r="AI93" i="108"/>
  <c r="AI92" i="108"/>
  <c r="AI91" i="108"/>
  <c r="AI90" i="108"/>
  <c r="AI89" i="108"/>
  <c r="AI88" i="108"/>
  <c r="AI87" i="108"/>
  <c r="AI86" i="108"/>
  <c r="AI85" i="108"/>
  <c r="AI84" i="108"/>
  <c r="AI83" i="108"/>
  <c r="AI82" i="108"/>
  <c r="AI81" i="108"/>
  <c r="AI80" i="108"/>
  <c r="AI79" i="108"/>
  <c r="AI78" i="108"/>
  <c r="AI77" i="108"/>
  <c r="AI76" i="108"/>
  <c r="AI75" i="108"/>
  <c r="AI74" i="108"/>
  <c r="AI73" i="108"/>
  <c r="AI72" i="108"/>
  <c r="AI71" i="108"/>
  <c r="AI70" i="108"/>
  <c r="AI69" i="108"/>
  <c r="AI68" i="108"/>
  <c r="AI67" i="108"/>
  <c r="AI66" i="108"/>
  <c r="AI65" i="108"/>
  <c r="AI64" i="108"/>
  <c r="AI63" i="108"/>
  <c r="AI62" i="108"/>
  <c r="AI61" i="108"/>
  <c r="AI60" i="108"/>
  <c r="AI59" i="108"/>
  <c r="AI58" i="108"/>
  <c r="AI57" i="108"/>
  <c r="AI56" i="108"/>
  <c r="AI55" i="108"/>
  <c r="AI54" i="108"/>
  <c r="AI53" i="108"/>
  <c r="AI52" i="108"/>
  <c r="AI51" i="108"/>
  <c r="AI50" i="108"/>
  <c r="AI49" i="108"/>
  <c r="AI48" i="108"/>
  <c r="AI47" i="108"/>
  <c r="AI46" i="108"/>
  <c r="AI45" i="108"/>
  <c r="AI44" i="108"/>
  <c r="AI43" i="108"/>
  <c r="AI42" i="108"/>
  <c r="AI41" i="108"/>
  <c r="AI40" i="108"/>
  <c r="AI39" i="108"/>
  <c r="AI38" i="108"/>
  <c r="AI37" i="108"/>
  <c r="AI36" i="108"/>
  <c r="AI35" i="108"/>
  <c r="AI34" i="108"/>
  <c r="AI33" i="108"/>
  <c r="AI32" i="108"/>
  <c r="AI31" i="108"/>
  <c r="AI30" i="108"/>
  <c r="AI29" i="108"/>
  <c r="AI28" i="108"/>
  <c r="AI27" i="108"/>
  <c r="AI26" i="108"/>
  <c r="AI25" i="108"/>
  <c r="AI24" i="108"/>
  <c r="AI23" i="108"/>
  <c r="AI22" i="108"/>
  <c r="AI21" i="108"/>
  <c r="AI20" i="108"/>
  <c r="AI19" i="108"/>
  <c r="AI18" i="108"/>
  <c r="AI17" i="108"/>
  <c r="AI16" i="108"/>
  <c r="AI15" i="108"/>
  <c r="AI14" i="108"/>
  <c r="AI13" i="108"/>
  <c r="AI12" i="108"/>
  <c r="AI11" i="108"/>
  <c r="AI10" i="108"/>
  <c r="AI9" i="108"/>
  <c r="AI8" i="108"/>
  <c r="AI7" i="108"/>
  <c r="AI6" i="108"/>
  <c r="AI5" i="108"/>
  <c r="AI4" i="108"/>
  <c r="R103" i="108"/>
  <c r="R102" i="108"/>
  <c r="R101" i="108"/>
  <c r="R100" i="108"/>
  <c r="R99" i="108"/>
  <c r="R98" i="108"/>
  <c r="R97" i="108"/>
  <c r="R96" i="108"/>
  <c r="R95" i="108"/>
  <c r="R94" i="108"/>
  <c r="R93" i="108"/>
  <c r="R92" i="108"/>
  <c r="R91" i="108"/>
  <c r="R90" i="108"/>
  <c r="R89" i="108"/>
  <c r="R88" i="108"/>
  <c r="R87" i="108"/>
  <c r="R86" i="108"/>
  <c r="R85" i="108"/>
  <c r="R84" i="108"/>
  <c r="R83" i="108"/>
  <c r="R82" i="108"/>
  <c r="R81" i="108"/>
  <c r="R80" i="108"/>
  <c r="R79" i="108"/>
  <c r="R78" i="108"/>
  <c r="R77" i="108"/>
  <c r="R76" i="108"/>
  <c r="R75" i="108"/>
  <c r="R74" i="108"/>
  <c r="R73" i="108"/>
  <c r="R72" i="108"/>
  <c r="R71" i="108"/>
  <c r="R70" i="108"/>
  <c r="R69" i="108"/>
  <c r="R68" i="108"/>
  <c r="R67" i="108"/>
  <c r="R66" i="108"/>
  <c r="R65" i="108"/>
  <c r="R64" i="108"/>
  <c r="R63" i="108"/>
  <c r="R62" i="108"/>
  <c r="R61" i="108"/>
  <c r="R60" i="108"/>
  <c r="R59" i="108"/>
  <c r="R58" i="108"/>
  <c r="R57" i="108"/>
  <c r="R56" i="108"/>
  <c r="R55" i="108"/>
  <c r="R54" i="108"/>
  <c r="R53" i="108"/>
  <c r="R52" i="108"/>
  <c r="R51" i="108"/>
  <c r="R50" i="108"/>
  <c r="R49" i="108"/>
  <c r="R48" i="108"/>
  <c r="R47" i="108"/>
  <c r="R46" i="108"/>
  <c r="R45" i="108"/>
  <c r="R44" i="108"/>
  <c r="R43" i="108"/>
  <c r="R42" i="108"/>
  <c r="R41" i="108"/>
  <c r="R40" i="108"/>
  <c r="R39" i="108"/>
  <c r="R38" i="108"/>
  <c r="R37" i="108"/>
  <c r="R36" i="108"/>
  <c r="R35" i="108"/>
  <c r="R34" i="108"/>
  <c r="R33" i="108"/>
  <c r="R32" i="108"/>
  <c r="R31" i="108"/>
  <c r="R30" i="108"/>
  <c r="R29" i="108"/>
  <c r="R28" i="108"/>
  <c r="R27" i="108"/>
  <c r="R26" i="108"/>
  <c r="R25" i="108"/>
  <c r="R24" i="108"/>
  <c r="R23" i="108"/>
  <c r="R22" i="108"/>
  <c r="R21" i="108"/>
  <c r="R20" i="108"/>
  <c r="R19" i="108"/>
  <c r="R18" i="108"/>
  <c r="R17" i="108"/>
  <c r="R16" i="108"/>
  <c r="R15" i="108"/>
  <c r="R14" i="108"/>
  <c r="R13" i="108"/>
  <c r="R12" i="108"/>
  <c r="R11" i="108"/>
  <c r="R10" i="108"/>
  <c r="R9" i="108"/>
  <c r="R8" i="108"/>
  <c r="R7" i="108"/>
  <c r="R6" i="108"/>
  <c r="R5" i="108"/>
  <c r="R4" i="108"/>
  <c r="Z5" i="108"/>
  <c r="Z6" i="108"/>
  <c r="Z7" i="108"/>
  <c r="Z8" i="108"/>
  <c r="Z9" i="108"/>
  <c r="Z10" i="108"/>
  <c r="Z11" i="108"/>
  <c r="Z12" i="108"/>
  <c r="Z13" i="108"/>
  <c r="Z14" i="108"/>
  <c r="Z15" i="108"/>
  <c r="Z16" i="108"/>
  <c r="Z17" i="108"/>
  <c r="Z18" i="108"/>
  <c r="Z19" i="108"/>
  <c r="Z20" i="108"/>
  <c r="Z21" i="108"/>
  <c r="Z22" i="108"/>
  <c r="Z23" i="108"/>
  <c r="Z24" i="108"/>
  <c r="Z25" i="108"/>
  <c r="Z26" i="108"/>
  <c r="Z27" i="108"/>
  <c r="Z28" i="108"/>
  <c r="Z29" i="108"/>
  <c r="Z30" i="108"/>
  <c r="Z31" i="108"/>
  <c r="Z32" i="108"/>
  <c r="Z33" i="108"/>
  <c r="Z34" i="108"/>
  <c r="Z35" i="108"/>
  <c r="Z36" i="108"/>
  <c r="Z37" i="108"/>
  <c r="Z38" i="108"/>
  <c r="Z39" i="108"/>
  <c r="Z40" i="108"/>
  <c r="Z41" i="108"/>
  <c r="Z42" i="108"/>
  <c r="Z43" i="108"/>
  <c r="Z44" i="108"/>
  <c r="Z45" i="108"/>
  <c r="Z46" i="108"/>
  <c r="Z47" i="108"/>
  <c r="Z48" i="108"/>
  <c r="Z49" i="108"/>
  <c r="Z50" i="108"/>
  <c r="Z51" i="108"/>
  <c r="Z52" i="108"/>
  <c r="Z53" i="108"/>
  <c r="Z54" i="108"/>
  <c r="Z55" i="108"/>
  <c r="Z56" i="108"/>
  <c r="Z57" i="108"/>
  <c r="Z58" i="108"/>
  <c r="Z59" i="108"/>
  <c r="Z60" i="108"/>
  <c r="Z61" i="108"/>
  <c r="Z62" i="108"/>
  <c r="Z63" i="108"/>
  <c r="Z64" i="108"/>
  <c r="Z65" i="108"/>
  <c r="Z66" i="108"/>
  <c r="Z67" i="108"/>
  <c r="Z68" i="108"/>
  <c r="Z69" i="108"/>
  <c r="Z70" i="108"/>
  <c r="Z71" i="108"/>
  <c r="Z72" i="108"/>
  <c r="Z73" i="108"/>
  <c r="Z74" i="108"/>
  <c r="Z75" i="108"/>
  <c r="Z76" i="108"/>
  <c r="Z77" i="108"/>
  <c r="Z78" i="108"/>
  <c r="Z79" i="108"/>
  <c r="Z80" i="108"/>
  <c r="Z81" i="108"/>
  <c r="Z82" i="108"/>
  <c r="Z83" i="108"/>
  <c r="Z84" i="108"/>
  <c r="Z85" i="108"/>
  <c r="Z86" i="108"/>
  <c r="Z87" i="108"/>
  <c r="Z88" i="108"/>
  <c r="Z89" i="108"/>
  <c r="Z90" i="108"/>
  <c r="Z91" i="108"/>
  <c r="Z92" i="108"/>
  <c r="Z93" i="108"/>
  <c r="Z94" i="108"/>
  <c r="Z95" i="108"/>
  <c r="Z96" i="108"/>
  <c r="Z97" i="108"/>
  <c r="Z98" i="108"/>
  <c r="Z99" i="108"/>
  <c r="Z100" i="108"/>
  <c r="Z101" i="108"/>
  <c r="Z102" i="108"/>
  <c r="Z103" i="108"/>
  <c r="S85" i="108"/>
  <c r="S91" i="108"/>
  <c r="AN6" i="105"/>
  <c r="AM6" i="105"/>
  <c r="AL6" i="105"/>
  <c r="AK6" i="105"/>
  <c r="AJ6" i="105"/>
  <c r="AI6" i="105"/>
  <c r="AN5" i="105"/>
  <c r="AM5" i="105"/>
  <c r="AL5" i="105"/>
  <c r="AK5" i="105"/>
  <c r="AJ5" i="105"/>
  <c r="AI5" i="105"/>
  <c r="AN4" i="105"/>
  <c r="AM4" i="105"/>
  <c r="AJ4" i="105"/>
  <c r="AI4" i="105"/>
  <c r="AK103" i="108"/>
  <c r="AA103" i="108"/>
  <c r="AK102" i="108"/>
  <c r="AA102" i="108"/>
  <c r="AJ101" i="108"/>
  <c r="AA101" i="108"/>
  <c r="AJ100" i="108"/>
  <c r="AA100" i="108"/>
  <c r="AB99" i="108"/>
  <c r="AK98" i="108"/>
  <c r="AA98" i="108"/>
  <c r="AK97" i="108"/>
  <c r="AA97" i="108"/>
  <c r="AJ96" i="108"/>
  <c r="AA96" i="108"/>
  <c r="AJ95" i="108"/>
  <c r="AA95" i="108"/>
  <c r="AB94" i="108"/>
  <c r="AK93" i="108"/>
  <c r="AA93" i="108"/>
  <c r="AK92" i="108"/>
  <c r="AA92" i="108"/>
  <c r="AJ91" i="108"/>
  <c r="AA91" i="108"/>
  <c r="AJ90" i="108"/>
  <c r="AA90" i="108"/>
  <c r="AB89" i="108"/>
  <c r="AK88" i="108"/>
  <c r="AA88" i="108"/>
  <c r="AK87" i="108"/>
  <c r="AA87" i="108"/>
  <c r="AJ86" i="108"/>
  <c r="AA86" i="108"/>
  <c r="AJ85" i="108"/>
  <c r="AA85" i="108"/>
  <c r="AB84" i="108"/>
  <c r="AK83" i="108"/>
  <c r="AA83" i="108"/>
  <c r="AK82" i="108"/>
  <c r="AA82" i="108"/>
  <c r="AJ81" i="108"/>
  <c r="AA81" i="108"/>
  <c r="AJ80" i="108"/>
  <c r="AA80" i="108"/>
  <c r="AB79" i="108"/>
  <c r="AK78" i="108"/>
  <c r="AA78" i="108"/>
  <c r="AK77" i="108"/>
  <c r="AA77" i="108"/>
  <c r="AJ76" i="108"/>
  <c r="AA76" i="108"/>
  <c r="AJ75" i="108"/>
  <c r="AA75" i="108"/>
  <c r="AB74" i="108"/>
  <c r="AK73" i="108"/>
  <c r="AA73" i="108"/>
  <c r="AK72" i="108"/>
  <c r="AA72" i="108"/>
  <c r="AJ71" i="108"/>
  <c r="AA71" i="108"/>
  <c r="AJ70" i="108"/>
  <c r="AA70" i="108"/>
  <c r="AB69" i="108"/>
  <c r="AK68" i="108"/>
  <c r="AA68" i="108"/>
  <c r="AK67" i="108"/>
  <c r="AA67" i="108"/>
  <c r="AJ66" i="108"/>
  <c r="AA66" i="108"/>
  <c r="AJ65" i="108"/>
  <c r="AA65" i="108"/>
  <c r="AB64" i="108"/>
  <c r="AK63" i="108"/>
  <c r="AA63" i="108"/>
  <c r="AK62" i="108"/>
  <c r="AA62" i="108"/>
  <c r="AJ61" i="108"/>
  <c r="AA61" i="108"/>
  <c r="AJ60" i="108"/>
  <c r="AA60" i="108"/>
  <c r="AB59" i="108"/>
  <c r="AK58" i="108"/>
  <c r="AA58" i="108"/>
  <c r="AK57" i="108"/>
  <c r="AA57" i="108"/>
  <c r="AJ56" i="108"/>
  <c r="AA56" i="108"/>
  <c r="AJ55" i="108"/>
  <c r="AA55" i="108"/>
  <c r="AB54" i="108"/>
  <c r="AK53" i="108"/>
  <c r="AA53" i="108"/>
  <c r="AK52" i="108"/>
  <c r="AA52" i="108"/>
  <c r="AJ51" i="108"/>
  <c r="AA51" i="108"/>
  <c r="AJ50" i="108"/>
  <c r="AA50" i="108"/>
  <c r="AB49" i="108"/>
  <c r="AK48" i="108"/>
  <c r="AA48" i="108"/>
  <c r="AK47" i="108"/>
  <c r="AA47" i="108"/>
  <c r="AJ46" i="108"/>
  <c r="AA46" i="108"/>
  <c r="AJ45" i="108"/>
  <c r="AA45" i="108"/>
  <c r="AB44" i="108"/>
  <c r="AK43" i="108"/>
  <c r="AA43" i="108"/>
  <c r="AK42" i="108"/>
  <c r="AA42" i="108"/>
  <c r="AJ41" i="108"/>
  <c r="AA41" i="108"/>
  <c r="AJ40" i="108"/>
  <c r="AA40" i="108"/>
  <c r="AB39" i="108"/>
  <c r="AK38" i="108"/>
  <c r="AA38" i="108"/>
  <c r="AK37" i="108"/>
  <c r="AA37" i="108"/>
  <c r="AJ36" i="108"/>
  <c r="AA36" i="108"/>
  <c r="AJ35" i="108"/>
  <c r="AA35" i="108"/>
  <c r="AB34" i="108"/>
  <c r="AK33" i="108"/>
  <c r="AA33" i="108"/>
  <c r="AK32" i="108"/>
  <c r="AA32" i="108"/>
  <c r="AJ31" i="108"/>
  <c r="AA31" i="108"/>
  <c r="AJ30" i="108"/>
  <c r="AA30" i="108"/>
  <c r="AB29" i="108"/>
  <c r="AK28" i="108"/>
  <c r="AA28" i="108"/>
  <c r="AK27" i="108"/>
  <c r="AA27" i="108"/>
  <c r="AJ26" i="108"/>
  <c r="AA26" i="108"/>
  <c r="AJ25" i="108"/>
  <c r="AA25" i="108"/>
  <c r="AB24" i="108"/>
  <c r="AK23" i="108"/>
  <c r="AA23" i="108"/>
  <c r="AK22" i="108"/>
  <c r="AA22" i="108"/>
  <c r="AJ21" i="108"/>
  <c r="AA21" i="108"/>
  <c r="AJ20" i="108"/>
  <c r="AA20" i="108"/>
  <c r="AB19" i="108"/>
  <c r="AK18" i="108"/>
  <c r="AA18" i="108"/>
  <c r="AK17" i="108"/>
  <c r="AA17" i="108"/>
  <c r="AJ16" i="108"/>
  <c r="AA16" i="108"/>
  <c r="AJ15" i="108"/>
  <c r="AA15" i="108"/>
  <c r="AB14" i="108"/>
  <c r="AK13" i="108"/>
  <c r="AA13" i="108"/>
  <c r="AK12" i="108"/>
  <c r="AA12" i="108"/>
  <c r="AJ11" i="108"/>
  <c r="AA11" i="108"/>
  <c r="AJ10" i="108"/>
  <c r="AA10" i="108"/>
  <c r="AB9" i="108"/>
  <c r="AK8" i="108"/>
  <c r="AA8" i="108"/>
  <c r="AK7" i="108"/>
  <c r="AA7" i="108"/>
  <c r="AJ6" i="108"/>
  <c r="AA6" i="108"/>
  <c r="AJ5" i="108"/>
  <c r="AA5" i="108"/>
  <c r="AB4" i="108"/>
  <c r="X103" i="105"/>
  <c r="X102" i="105"/>
  <c r="X101" i="105"/>
  <c r="X100" i="105"/>
  <c r="X98" i="105"/>
  <c r="X97" i="105"/>
  <c r="X96" i="105"/>
  <c r="X95" i="105"/>
  <c r="X93" i="105"/>
  <c r="X92" i="105"/>
  <c r="X91" i="105"/>
  <c r="X90" i="105"/>
  <c r="X88" i="105"/>
  <c r="X87" i="105"/>
  <c r="X86" i="105"/>
  <c r="X85" i="105"/>
  <c r="X83" i="105"/>
  <c r="X82" i="105"/>
  <c r="X81" i="105"/>
  <c r="X80" i="105"/>
  <c r="X78" i="105"/>
  <c r="X77" i="105"/>
  <c r="X76" i="105"/>
  <c r="X75" i="105"/>
  <c r="X73" i="105"/>
  <c r="X72" i="105"/>
  <c r="X71" i="105"/>
  <c r="X70" i="105"/>
  <c r="X68" i="105"/>
  <c r="X67" i="105"/>
  <c r="X66" i="105"/>
  <c r="X65" i="105"/>
  <c r="X63" i="105"/>
  <c r="X62" i="105"/>
  <c r="X61" i="105"/>
  <c r="X60" i="105"/>
  <c r="X58" i="105"/>
  <c r="X57" i="105"/>
  <c r="X56" i="105"/>
  <c r="X55" i="105"/>
  <c r="X53" i="105"/>
  <c r="X52" i="105"/>
  <c r="X51" i="105"/>
  <c r="X50" i="105"/>
  <c r="X48" i="105"/>
  <c r="X47" i="105"/>
  <c r="X46" i="105"/>
  <c r="X45" i="105"/>
  <c r="X43" i="105"/>
  <c r="X42" i="105"/>
  <c r="X41" i="105"/>
  <c r="X40" i="105"/>
  <c r="X38" i="105"/>
  <c r="X37" i="105"/>
  <c r="X36" i="105"/>
  <c r="X35" i="105"/>
  <c r="X33" i="105"/>
  <c r="X32" i="105"/>
  <c r="X31" i="105"/>
  <c r="X30" i="105"/>
  <c r="Y99" i="105"/>
  <c r="AD99" i="108" s="1"/>
  <c r="Y94" i="105"/>
  <c r="AD94" i="108" s="1"/>
  <c r="Y89" i="105"/>
  <c r="AD89" i="108" s="1"/>
  <c r="Y84" i="105"/>
  <c r="AD84" i="108" s="1"/>
  <c r="Y79" i="105"/>
  <c r="AD79" i="108" s="1"/>
  <c r="Y74" i="105"/>
  <c r="AD74" i="108" s="1"/>
  <c r="Y69" i="105"/>
  <c r="AD69" i="108" s="1"/>
  <c r="Y64" i="105"/>
  <c r="AD64" i="108" s="1"/>
  <c r="Y59" i="105"/>
  <c r="AD59" i="108" s="1"/>
  <c r="Y54" i="105"/>
  <c r="AD54" i="108" s="1"/>
  <c r="Y49" i="105"/>
  <c r="AD49" i="108" s="1"/>
  <c r="Y44" i="105"/>
  <c r="AD44" i="108" s="1"/>
  <c r="Y39" i="105"/>
  <c r="AD39" i="108" s="1"/>
  <c r="Y34" i="105"/>
  <c r="AD34" i="108" s="1"/>
  <c r="Y29" i="105"/>
  <c r="AD29" i="108" s="1"/>
  <c r="Y24" i="105"/>
  <c r="AD24" i="108" s="1"/>
  <c r="Y19" i="105"/>
  <c r="AD19" i="108" s="1"/>
  <c r="Y14" i="105"/>
  <c r="AD14" i="108" s="1"/>
  <c r="Y9" i="105"/>
  <c r="AD9" i="108" s="1"/>
  <c r="Y4" i="105"/>
  <c r="AD4" i="108" s="1"/>
  <c r="R99" i="105"/>
  <c r="R94" i="105"/>
  <c r="R89" i="105"/>
  <c r="R84" i="105"/>
  <c r="R79" i="105"/>
  <c r="R74" i="105"/>
  <c r="R69" i="105"/>
  <c r="R64" i="105"/>
  <c r="R59" i="105"/>
  <c r="R54" i="105"/>
  <c r="R49" i="105"/>
  <c r="R44" i="105"/>
  <c r="R39" i="105"/>
  <c r="R34" i="105"/>
  <c r="R29" i="105"/>
  <c r="R24" i="105"/>
  <c r="R19" i="105"/>
  <c r="R14" i="105"/>
  <c r="R9" i="105"/>
  <c r="R4" i="105"/>
  <c r="M103" i="105"/>
  <c r="M102" i="105"/>
  <c r="M101" i="105"/>
  <c r="M100" i="105"/>
  <c r="M99" i="105"/>
  <c r="M98" i="105"/>
  <c r="M97" i="105"/>
  <c r="M96" i="105"/>
  <c r="M95" i="105"/>
  <c r="M94" i="105"/>
  <c r="M93" i="105"/>
  <c r="M92" i="105"/>
  <c r="M91" i="105"/>
  <c r="M90" i="105"/>
  <c r="M89" i="105"/>
  <c r="M88" i="105"/>
  <c r="M87" i="105"/>
  <c r="M86" i="105"/>
  <c r="M85" i="105"/>
  <c r="M84" i="105"/>
  <c r="M83" i="105"/>
  <c r="M82" i="105"/>
  <c r="M81" i="105"/>
  <c r="M80" i="105"/>
  <c r="M79" i="105"/>
  <c r="M78" i="105"/>
  <c r="M77" i="105"/>
  <c r="M76" i="105"/>
  <c r="M75" i="105"/>
  <c r="M74" i="105"/>
  <c r="M73" i="105"/>
  <c r="M72" i="105"/>
  <c r="M71" i="105"/>
  <c r="M70" i="105"/>
  <c r="M69" i="105"/>
  <c r="M68" i="105"/>
  <c r="M67" i="105"/>
  <c r="M66" i="105"/>
  <c r="M65" i="105"/>
  <c r="M64" i="105"/>
  <c r="M63" i="105"/>
  <c r="M62" i="105"/>
  <c r="M61" i="105"/>
  <c r="M60" i="105"/>
  <c r="M59" i="105"/>
  <c r="M58" i="105"/>
  <c r="M57" i="105"/>
  <c r="M56" i="105"/>
  <c r="M55" i="105"/>
  <c r="M54" i="105"/>
  <c r="M53" i="105"/>
  <c r="M52" i="105"/>
  <c r="M51" i="105"/>
  <c r="M50" i="105"/>
  <c r="M49" i="105"/>
  <c r="M48" i="105"/>
  <c r="M47" i="105"/>
  <c r="M46" i="105"/>
  <c r="M45" i="105"/>
  <c r="M44" i="105"/>
  <c r="M43" i="105"/>
  <c r="M42" i="105"/>
  <c r="M41" i="105"/>
  <c r="M40" i="105"/>
  <c r="M39" i="105"/>
  <c r="M38" i="105"/>
  <c r="M37" i="105"/>
  <c r="M36" i="105"/>
  <c r="M35" i="105"/>
  <c r="M34" i="105"/>
  <c r="M33" i="105"/>
  <c r="M32" i="105"/>
  <c r="M31" i="105"/>
  <c r="M30" i="105"/>
  <c r="M29" i="105"/>
  <c r="M28" i="105"/>
  <c r="M27" i="105"/>
  <c r="M26" i="105"/>
  <c r="M25" i="105"/>
  <c r="M24" i="105"/>
  <c r="M23" i="105"/>
  <c r="M22" i="105"/>
  <c r="M21" i="105"/>
  <c r="M20" i="105"/>
  <c r="M19" i="105"/>
  <c r="M18" i="105"/>
  <c r="M17" i="105"/>
  <c r="M16" i="105"/>
  <c r="M15" i="105"/>
  <c r="M14" i="105"/>
  <c r="M13" i="105"/>
  <c r="M12" i="105"/>
  <c r="M11" i="105"/>
  <c r="M10" i="105"/>
  <c r="M9" i="105"/>
  <c r="M8" i="105"/>
  <c r="M7" i="105"/>
  <c r="M6" i="105"/>
  <c r="M5" i="105"/>
  <c r="M4" i="105"/>
  <c r="AN12" i="105"/>
  <c r="AM12" i="105"/>
  <c r="AL12" i="105"/>
  <c r="AK12" i="105"/>
  <c r="AJ12" i="105"/>
  <c r="AI12" i="105"/>
  <c r="AN11" i="105"/>
  <c r="AM11" i="105"/>
  <c r="AL11" i="105"/>
  <c r="AK11" i="105"/>
  <c r="AJ11" i="105"/>
  <c r="AI11" i="105"/>
  <c r="AN13" i="105"/>
  <c r="AM13" i="105"/>
  <c r="AL13" i="105"/>
  <c r="AK13" i="105"/>
  <c r="AJ13" i="105"/>
  <c r="AI13" i="105"/>
  <c r="AI9" i="105"/>
  <c r="AN8" i="105"/>
  <c r="AM8" i="105"/>
  <c r="AL8" i="105"/>
  <c r="AK8" i="105"/>
  <c r="AJ8" i="105"/>
  <c r="AI8" i="105"/>
  <c r="U25" i="105"/>
  <c r="U20" i="105"/>
  <c r="U15" i="105"/>
  <c r="U10" i="105"/>
  <c r="U5" i="105"/>
  <c r="H354" i="109" l="1"/>
  <c r="H360" i="109"/>
  <c r="H359" i="109"/>
  <c r="H358" i="109"/>
  <c r="J48" i="109"/>
  <c r="I334" i="109"/>
  <c r="I330" i="109"/>
  <c r="I333" i="109"/>
  <c r="I329" i="109"/>
  <c r="I325" i="109"/>
  <c r="I321" i="109"/>
  <c r="I317" i="109"/>
  <c r="I332" i="109"/>
  <c r="I328" i="109"/>
  <c r="I312" i="109"/>
  <c r="I308" i="109"/>
  <c r="I331" i="109"/>
  <c r="I327" i="109"/>
  <c r="I326" i="109"/>
  <c r="I322" i="109"/>
  <c r="I318" i="109"/>
  <c r="I323" i="109"/>
  <c r="I319" i="109"/>
  <c r="I314" i="109"/>
  <c r="I320" i="109"/>
  <c r="I313" i="109"/>
  <c r="I310" i="109"/>
  <c r="I307" i="109"/>
  <c r="I324" i="109"/>
  <c r="I316" i="109"/>
  <c r="I315" i="109"/>
  <c r="I311" i="109"/>
  <c r="I309" i="109"/>
  <c r="H346" i="109"/>
  <c r="H339" i="109"/>
  <c r="H347" i="109"/>
  <c r="H362" i="109"/>
  <c r="J47" i="109"/>
  <c r="I300" i="109"/>
  <c r="I364" i="109" s="1"/>
  <c r="I302" i="109"/>
  <c r="I366" i="109" s="1"/>
  <c r="I296" i="109"/>
  <c r="I360" i="109" s="1"/>
  <c r="I292" i="109"/>
  <c r="I288" i="109"/>
  <c r="I352" i="109" s="1"/>
  <c r="I299" i="109"/>
  <c r="I363" i="109" s="1"/>
  <c r="I295" i="109"/>
  <c r="I359" i="109" s="1"/>
  <c r="I291" i="109"/>
  <c r="I355" i="109" s="1"/>
  <c r="I287" i="109"/>
  <c r="I351" i="109" s="1"/>
  <c r="I283" i="109"/>
  <c r="I347" i="109" s="1"/>
  <c r="I279" i="109"/>
  <c r="I297" i="109"/>
  <c r="I293" i="109"/>
  <c r="I357" i="109" s="1"/>
  <c r="I289" i="109"/>
  <c r="I353" i="109" s="1"/>
  <c r="I284" i="109"/>
  <c r="I348" i="109" s="1"/>
  <c r="I280" i="109"/>
  <c r="I276" i="109"/>
  <c r="I278" i="109"/>
  <c r="I342" i="109" s="1"/>
  <c r="I294" i="109"/>
  <c r="I301" i="109"/>
  <c r="I285" i="109"/>
  <c r="I281" i="109"/>
  <c r="I345" i="109" s="1"/>
  <c r="I277" i="109"/>
  <c r="I341" i="109" s="1"/>
  <c r="I275" i="109"/>
  <c r="I282" i="109"/>
  <c r="I286" i="109"/>
  <c r="I350" i="109" s="1"/>
  <c r="I298" i="109"/>
  <c r="I290" i="109"/>
  <c r="H344" i="109"/>
  <c r="H341" i="109"/>
  <c r="H350" i="109"/>
  <c r="H345" i="109"/>
  <c r="H351" i="109"/>
  <c r="H363" i="109"/>
  <c r="H356" i="109"/>
  <c r="H357" i="109"/>
  <c r="S8" i="108"/>
  <c r="S99" i="108"/>
  <c r="S29" i="108"/>
  <c r="S64" i="108"/>
  <c r="S56" i="108"/>
  <c r="S6" i="108"/>
  <c r="S30" i="108"/>
  <c r="S75" i="108"/>
  <c r="S7" i="108"/>
  <c r="S51" i="108"/>
  <c r="S83" i="108"/>
  <c r="S26" i="108"/>
  <c r="S52" i="108"/>
  <c r="S79" i="108"/>
  <c r="S4" i="108"/>
  <c r="S25" i="108"/>
  <c r="S33" i="108"/>
  <c r="S57" i="108"/>
  <c r="S80" i="108"/>
  <c r="S32" i="108"/>
  <c r="S55" i="108"/>
  <c r="S74" i="108"/>
  <c r="S82" i="108"/>
  <c r="S59" i="108"/>
  <c r="S103" i="108"/>
  <c r="S98" i="108"/>
  <c r="S100" i="108"/>
  <c r="S28" i="108"/>
  <c r="S53" i="108"/>
  <c r="S76" i="108"/>
  <c r="S24" i="108"/>
  <c r="S49" i="108"/>
  <c r="S78" i="108"/>
  <c r="S102" i="108"/>
  <c r="S68" i="108"/>
  <c r="S92" i="108"/>
  <c r="S5" i="108"/>
  <c r="S15" i="108"/>
  <c r="S27" i="108"/>
  <c r="S31" i="108"/>
  <c r="S50" i="108"/>
  <c r="S54" i="108"/>
  <c r="S58" i="108"/>
  <c r="S69" i="108"/>
  <c r="S77" i="108"/>
  <c r="S81" i="108"/>
  <c r="S97" i="108"/>
  <c r="S101" i="108"/>
  <c r="S19" i="108"/>
  <c r="S44" i="108"/>
  <c r="S23" i="108"/>
  <c r="S16" i="108"/>
  <c r="S40" i="108"/>
  <c r="S47" i="108"/>
  <c r="S48" i="108"/>
  <c r="S63" i="108"/>
  <c r="S70" i="108"/>
  <c r="S12" i="108"/>
  <c r="S20" i="108"/>
  <c r="S73" i="108"/>
  <c r="S94" i="108"/>
  <c r="AS8" i="108"/>
  <c r="AS12" i="108"/>
  <c r="AS4" i="108"/>
  <c r="AQ4" i="108" s="1"/>
  <c r="AS11" i="108"/>
  <c r="S21" i="108"/>
  <c r="S45" i="108"/>
  <c r="S71" i="108"/>
  <c r="S95" i="108"/>
  <c r="AS5" i="108"/>
  <c r="AQ5" i="108" s="1"/>
  <c r="S22" i="108"/>
  <c r="S35" i="108"/>
  <c r="S46" i="108"/>
  <c r="S72" i="108"/>
  <c r="S86" i="108"/>
  <c r="S96" i="108"/>
  <c r="AS6" i="108"/>
  <c r="AQ6" i="108" s="1"/>
  <c r="Z4" i="108"/>
  <c r="S9" i="108"/>
  <c r="S13" i="108"/>
  <c r="S36" i="108"/>
  <c r="S60" i="108"/>
  <c r="S87" i="108"/>
  <c r="S10" i="108"/>
  <c r="S37" i="108"/>
  <c r="S61" i="108"/>
  <c r="S84" i="108"/>
  <c r="S88" i="108"/>
  <c r="S11" i="108"/>
  <c r="S34" i="108"/>
  <c r="S38" i="108"/>
  <c r="S62" i="108"/>
  <c r="AH5" i="105"/>
  <c r="AH4" i="105"/>
  <c r="AH6" i="105"/>
  <c r="S17" i="108"/>
  <c r="S41" i="108"/>
  <c r="S65" i="108"/>
  <c r="S89" i="108"/>
  <c r="S93" i="108"/>
  <c r="S14" i="108"/>
  <c r="S18" i="108"/>
  <c r="S42" i="108"/>
  <c r="S66" i="108"/>
  <c r="S90" i="108"/>
  <c r="S39" i="108"/>
  <c r="S43" i="108"/>
  <c r="S67" i="108"/>
  <c r="AD99" i="105"/>
  <c r="AD94" i="105"/>
  <c r="AD89" i="105"/>
  <c r="AD84" i="105"/>
  <c r="AD79" i="105"/>
  <c r="AD74" i="105"/>
  <c r="AD69" i="105"/>
  <c r="AD64" i="105"/>
  <c r="AD59" i="105"/>
  <c r="AD54" i="105"/>
  <c r="AD49" i="105"/>
  <c r="AD44" i="105"/>
  <c r="AD39" i="105"/>
  <c r="AD34" i="105"/>
  <c r="AD29" i="105"/>
  <c r="AD24" i="105"/>
  <c r="AD19" i="105"/>
  <c r="AD14" i="105"/>
  <c r="AD9" i="105"/>
  <c r="AD4" i="105"/>
  <c r="AB103" i="105"/>
  <c r="AB102" i="105"/>
  <c r="AA101" i="105"/>
  <c r="AA100" i="105"/>
  <c r="AB98" i="105"/>
  <c r="AB97" i="105"/>
  <c r="AA96" i="105"/>
  <c r="AA95" i="105"/>
  <c r="AB93" i="105"/>
  <c r="AB92" i="105"/>
  <c r="AA91" i="105"/>
  <c r="AA90" i="105"/>
  <c r="AB88" i="105"/>
  <c r="AB87" i="105"/>
  <c r="AA86" i="105"/>
  <c r="AA85" i="105"/>
  <c r="AB83" i="105"/>
  <c r="AB82" i="105"/>
  <c r="AA81" i="105"/>
  <c r="AA80" i="105"/>
  <c r="AB78" i="105"/>
  <c r="AB77" i="105"/>
  <c r="AA76" i="105"/>
  <c r="AA75" i="105"/>
  <c r="AB73" i="105"/>
  <c r="AB72" i="105"/>
  <c r="AA71" i="105"/>
  <c r="AA70" i="105"/>
  <c r="AB68" i="105"/>
  <c r="AB67" i="105"/>
  <c r="AA66" i="105"/>
  <c r="AA65" i="105"/>
  <c r="AB63" i="105"/>
  <c r="AB62" i="105"/>
  <c r="AA61" i="105"/>
  <c r="AA60" i="105"/>
  <c r="AB58" i="105"/>
  <c r="AB57" i="105"/>
  <c r="AA56" i="105"/>
  <c r="AA55" i="105"/>
  <c r="AB53" i="105"/>
  <c r="AB52" i="105"/>
  <c r="AA51" i="105"/>
  <c r="AA50" i="105"/>
  <c r="AB48" i="105"/>
  <c r="AB47" i="105"/>
  <c r="AA46" i="105"/>
  <c r="AA45" i="105"/>
  <c r="AB43" i="105"/>
  <c r="AB42" i="105"/>
  <c r="AA41" i="105"/>
  <c r="AA40" i="105"/>
  <c r="AB38" i="105"/>
  <c r="AB37" i="105"/>
  <c r="AA36" i="105"/>
  <c r="AA35" i="105"/>
  <c r="AB33" i="105"/>
  <c r="AB32" i="105"/>
  <c r="AA31" i="105"/>
  <c r="AA30" i="105"/>
  <c r="AB28" i="105"/>
  <c r="AB27" i="105"/>
  <c r="AA26" i="105"/>
  <c r="AA25" i="105"/>
  <c r="AB23" i="105"/>
  <c r="AB22" i="105"/>
  <c r="AA21" i="105"/>
  <c r="AA20" i="105"/>
  <c r="AB18" i="105"/>
  <c r="AB17" i="105"/>
  <c r="AA16" i="105"/>
  <c r="AA15" i="105"/>
  <c r="AB13" i="105"/>
  <c r="AB12" i="105"/>
  <c r="AA11" i="105"/>
  <c r="AA10" i="105"/>
  <c r="AB8" i="105"/>
  <c r="AB7" i="105"/>
  <c r="U103" i="105"/>
  <c r="U102" i="105"/>
  <c r="U101" i="105"/>
  <c r="U100" i="105"/>
  <c r="V99" i="105"/>
  <c r="U98" i="105"/>
  <c r="U97" i="105"/>
  <c r="U96" i="105"/>
  <c r="U95" i="105"/>
  <c r="V94" i="105"/>
  <c r="U93" i="105"/>
  <c r="U92" i="105"/>
  <c r="U91" i="105"/>
  <c r="U90" i="105"/>
  <c r="V89" i="105"/>
  <c r="U88" i="105"/>
  <c r="U87" i="105"/>
  <c r="U86" i="105"/>
  <c r="U85" i="105"/>
  <c r="V84" i="105"/>
  <c r="U83" i="105"/>
  <c r="U82" i="105"/>
  <c r="U81" i="105"/>
  <c r="U80" i="105"/>
  <c r="V79" i="105"/>
  <c r="U78" i="105"/>
  <c r="U77" i="105"/>
  <c r="U76" i="105"/>
  <c r="U75" i="105"/>
  <c r="V74" i="105"/>
  <c r="U73" i="105"/>
  <c r="U72" i="105"/>
  <c r="U71" i="105"/>
  <c r="U70" i="105"/>
  <c r="V69" i="105"/>
  <c r="U68" i="105"/>
  <c r="U67" i="105"/>
  <c r="U66" i="105"/>
  <c r="U65" i="105"/>
  <c r="V64" i="105"/>
  <c r="U63" i="105"/>
  <c r="U62" i="105"/>
  <c r="U61" i="105"/>
  <c r="U60" i="105"/>
  <c r="V59" i="105"/>
  <c r="U58" i="105"/>
  <c r="U57" i="105"/>
  <c r="U56" i="105"/>
  <c r="U55" i="105"/>
  <c r="V54" i="105"/>
  <c r="U53" i="105"/>
  <c r="U52" i="105"/>
  <c r="U51" i="105"/>
  <c r="U50" i="105"/>
  <c r="V49" i="105"/>
  <c r="U48" i="105"/>
  <c r="U47" i="105"/>
  <c r="U46" i="105"/>
  <c r="U45" i="105"/>
  <c r="V44" i="105"/>
  <c r="U43" i="105"/>
  <c r="U42" i="105"/>
  <c r="U41" i="105"/>
  <c r="U40" i="105"/>
  <c r="V39" i="105"/>
  <c r="U38" i="105"/>
  <c r="U37" i="105"/>
  <c r="U36" i="105"/>
  <c r="U35" i="105"/>
  <c r="V34" i="105"/>
  <c r="U33" i="105"/>
  <c r="U32" i="105"/>
  <c r="U31" i="105"/>
  <c r="U30" i="105"/>
  <c r="V29" i="105"/>
  <c r="U28" i="105"/>
  <c r="U27" i="105"/>
  <c r="U26" i="105"/>
  <c r="V24" i="105"/>
  <c r="U23" i="105"/>
  <c r="U22" i="105"/>
  <c r="U21" i="105"/>
  <c r="V19" i="105"/>
  <c r="U18" i="105"/>
  <c r="U17" i="105"/>
  <c r="U16" i="105"/>
  <c r="V14" i="105"/>
  <c r="U13" i="105"/>
  <c r="U12" i="105"/>
  <c r="U11" i="105"/>
  <c r="V9" i="105"/>
  <c r="AA6" i="105"/>
  <c r="AA5" i="105"/>
  <c r="U8" i="105"/>
  <c r="U7" i="105"/>
  <c r="U6" i="105"/>
  <c r="V4" i="105"/>
  <c r="P5" i="105"/>
  <c r="P6" i="105"/>
  <c r="P7" i="105"/>
  <c r="P8" i="105"/>
  <c r="P9" i="105"/>
  <c r="P10" i="105"/>
  <c r="P11" i="105"/>
  <c r="P12" i="105"/>
  <c r="P13" i="105"/>
  <c r="P14" i="105"/>
  <c r="P15" i="105"/>
  <c r="P16" i="105"/>
  <c r="P17" i="105"/>
  <c r="P18" i="105"/>
  <c r="P19" i="105"/>
  <c r="P20" i="105"/>
  <c r="P21" i="105"/>
  <c r="P22" i="105"/>
  <c r="P23" i="105"/>
  <c r="P24" i="105"/>
  <c r="P25" i="105"/>
  <c r="P26" i="105"/>
  <c r="P27" i="105"/>
  <c r="P28" i="105"/>
  <c r="P29" i="105"/>
  <c r="P30" i="105"/>
  <c r="P31" i="105"/>
  <c r="P32" i="105"/>
  <c r="P33" i="105"/>
  <c r="P34" i="105"/>
  <c r="P35" i="105"/>
  <c r="P36" i="105"/>
  <c r="P37" i="105"/>
  <c r="P38" i="105"/>
  <c r="P39" i="105"/>
  <c r="P40" i="105"/>
  <c r="P41" i="105"/>
  <c r="P42" i="105"/>
  <c r="P43" i="105"/>
  <c r="P44" i="105"/>
  <c r="P45" i="105"/>
  <c r="P46" i="105"/>
  <c r="P47" i="105"/>
  <c r="P48" i="105"/>
  <c r="P49" i="105"/>
  <c r="P50" i="105"/>
  <c r="P51" i="105"/>
  <c r="P52" i="105"/>
  <c r="P53" i="105"/>
  <c r="P54" i="105"/>
  <c r="P55" i="105"/>
  <c r="P56" i="105"/>
  <c r="P57" i="105"/>
  <c r="P58" i="105"/>
  <c r="P59" i="105"/>
  <c r="P60" i="105"/>
  <c r="P61" i="105"/>
  <c r="P62" i="105"/>
  <c r="P63" i="105"/>
  <c r="P64" i="105"/>
  <c r="P65" i="105"/>
  <c r="P66" i="105"/>
  <c r="P67" i="105"/>
  <c r="P68" i="105"/>
  <c r="P69" i="105"/>
  <c r="P70" i="105"/>
  <c r="P71" i="105"/>
  <c r="P72" i="105"/>
  <c r="P73" i="105"/>
  <c r="P74" i="105"/>
  <c r="P75" i="105"/>
  <c r="P76" i="105"/>
  <c r="P77" i="105"/>
  <c r="P78" i="105"/>
  <c r="P79" i="105"/>
  <c r="P80" i="105"/>
  <c r="P81" i="105"/>
  <c r="P82" i="105"/>
  <c r="P83" i="105"/>
  <c r="P84" i="105"/>
  <c r="P85" i="105"/>
  <c r="P86" i="105"/>
  <c r="P87" i="105"/>
  <c r="P88" i="105"/>
  <c r="P89" i="105"/>
  <c r="P90" i="105"/>
  <c r="P91" i="105"/>
  <c r="P92" i="105"/>
  <c r="P93" i="105"/>
  <c r="P94" i="105"/>
  <c r="P95" i="105"/>
  <c r="P96" i="105"/>
  <c r="P97" i="105"/>
  <c r="P98" i="105"/>
  <c r="P99" i="105"/>
  <c r="P100" i="105"/>
  <c r="P101" i="105"/>
  <c r="P102" i="105"/>
  <c r="P103" i="105"/>
  <c r="P4" i="105"/>
  <c r="H4" i="105"/>
  <c r="P91" i="104"/>
  <c r="O91" i="104"/>
  <c r="N91" i="104"/>
  <c r="M91" i="104"/>
  <c r="L91" i="104"/>
  <c r="K91" i="104"/>
  <c r="J91" i="104"/>
  <c r="I91" i="104"/>
  <c r="H91" i="104"/>
  <c r="G91" i="104"/>
  <c r="F91" i="104"/>
  <c r="P90" i="104"/>
  <c r="O90" i="104"/>
  <c r="N90" i="104"/>
  <c r="M90" i="104"/>
  <c r="L90" i="104"/>
  <c r="K90" i="104"/>
  <c r="J90" i="104"/>
  <c r="I90" i="104"/>
  <c r="H90" i="104"/>
  <c r="G90" i="104"/>
  <c r="F90" i="104"/>
  <c r="P89" i="104"/>
  <c r="O89" i="104"/>
  <c r="N89" i="104"/>
  <c r="M89" i="104"/>
  <c r="L89" i="104"/>
  <c r="K89" i="104"/>
  <c r="J89" i="104"/>
  <c r="I89" i="104"/>
  <c r="H89" i="104"/>
  <c r="G89" i="104"/>
  <c r="F89" i="104"/>
  <c r="P88" i="104"/>
  <c r="O88" i="104"/>
  <c r="N88" i="104"/>
  <c r="M88" i="104"/>
  <c r="L88" i="104"/>
  <c r="K88" i="104"/>
  <c r="J88" i="104"/>
  <c r="I88" i="104"/>
  <c r="H88" i="104"/>
  <c r="G88" i="104"/>
  <c r="F88" i="104"/>
  <c r="P87" i="104"/>
  <c r="O87" i="104"/>
  <c r="N87" i="104"/>
  <c r="M87" i="104"/>
  <c r="L87" i="104"/>
  <c r="K87" i="104"/>
  <c r="J87" i="104"/>
  <c r="I87" i="104"/>
  <c r="H87" i="104"/>
  <c r="G87" i="104"/>
  <c r="F87" i="104"/>
  <c r="P86" i="104"/>
  <c r="O86" i="104"/>
  <c r="N86" i="104"/>
  <c r="M86" i="104"/>
  <c r="L86" i="104"/>
  <c r="K86" i="104"/>
  <c r="J86" i="104"/>
  <c r="I86" i="104"/>
  <c r="H86" i="104"/>
  <c r="G86" i="104"/>
  <c r="F86" i="104"/>
  <c r="P85" i="104"/>
  <c r="O85" i="104"/>
  <c r="N85" i="104"/>
  <c r="M85" i="104"/>
  <c r="L85" i="104"/>
  <c r="K85" i="104"/>
  <c r="J85" i="104"/>
  <c r="I85" i="104"/>
  <c r="H85" i="104"/>
  <c r="G85" i="104"/>
  <c r="F85" i="104"/>
  <c r="P84" i="104"/>
  <c r="O84" i="104"/>
  <c r="N84" i="104"/>
  <c r="M84" i="104"/>
  <c r="L84" i="104"/>
  <c r="K84" i="104"/>
  <c r="J84" i="104"/>
  <c r="I84" i="104"/>
  <c r="H84" i="104"/>
  <c r="G84" i="104"/>
  <c r="F84" i="104"/>
  <c r="P83" i="104"/>
  <c r="O83" i="104"/>
  <c r="N83" i="104"/>
  <c r="M83" i="104"/>
  <c r="L83" i="104"/>
  <c r="K83" i="104"/>
  <c r="J83" i="104"/>
  <c r="I83" i="104"/>
  <c r="H83" i="104"/>
  <c r="G83" i="104"/>
  <c r="F83" i="104"/>
  <c r="P82" i="104"/>
  <c r="O82" i="104"/>
  <c r="N82" i="104"/>
  <c r="M82" i="104"/>
  <c r="L82" i="104"/>
  <c r="K82" i="104"/>
  <c r="J82" i="104"/>
  <c r="I82" i="104"/>
  <c r="H82" i="104"/>
  <c r="G82" i="104"/>
  <c r="F82" i="104"/>
  <c r="P81" i="104"/>
  <c r="O81" i="104"/>
  <c r="N81" i="104"/>
  <c r="M81" i="104"/>
  <c r="L81" i="104"/>
  <c r="K81" i="104"/>
  <c r="J81" i="104"/>
  <c r="I81" i="104"/>
  <c r="H81" i="104"/>
  <c r="G81" i="104"/>
  <c r="F81" i="104"/>
  <c r="P80" i="104"/>
  <c r="O80" i="104"/>
  <c r="N80" i="104"/>
  <c r="M80" i="104"/>
  <c r="L80" i="104"/>
  <c r="K80" i="104"/>
  <c r="J80" i="104"/>
  <c r="I80" i="104"/>
  <c r="H80" i="104"/>
  <c r="G80" i="104"/>
  <c r="F80" i="104"/>
  <c r="P79" i="104"/>
  <c r="O79" i="104"/>
  <c r="N79" i="104"/>
  <c r="M79" i="104"/>
  <c r="L79" i="104"/>
  <c r="K79" i="104"/>
  <c r="J79" i="104"/>
  <c r="I79" i="104"/>
  <c r="H79" i="104"/>
  <c r="G79" i="104"/>
  <c r="F79" i="104"/>
  <c r="P78" i="104"/>
  <c r="O78" i="104"/>
  <c r="N78" i="104"/>
  <c r="M78" i="104"/>
  <c r="L78" i="104"/>
  <c r="K78" i="104"/>
  <c r="J78" i="104"/>
  <c r="I78" i="104"/>
  <c r="H78" i="104"/>
  <c r="G78" i="104"/>
  <c r="F78" i="104"/>
  <c r="P77" i="104"/>
  <c r="O77" i="104"/>
  <c r="N77" i="104"/>
  <c r="M77" i="104"/>
  <c r="L77" i="104"/>
  <c r="K77" i="104"/>
  <c r="J77" i="104"/>
  <c r="I77" i="104"/>
  <c r="H77" i="104"/>
  <c r="G77" i="104"/>
  <c r="F77" i="104"/>
  <c r="P76" i="104"/>
  <c r="O76" i="104"/>
  <c r="N76" i="104"/>
  <c r="M76" i="104"/>
  <c r="L76" i="104"/>
  <c r="K76" i="104"/>
  <c r="J76" i="104"/>
  <c r="I76" i="104"/>
  <c r="H76" i="104"/>
  <c r="G76" i="104"/>
  <c r="F76" i="104"/>
  <c r="P75" i="104"/>
  <c r="O75" i="104"/>
  <c r="N75" i="104"/>
  <c r="M75" i="104"/>
  <c r="L75" i="104"/>
  <c r="K75" i="104"/>
  <c r="J75" i="104"/>
  <c r="I75" i="104"/>
  <c r="H75" i="104"/>
  <c r="G75" i="104"/>
  <c r="F75" i="104"/>
  <c r="P74" i="104"/>
  <c r="O74" i="104"/>
  <c r="N74" i="104"/>
  <c r="M74" i="104"/>
  <c r="L74" i="104"/>
  <c r="K74" i="104"/>
  <c r="J74" i="104"/>
  <c r="I74" i="104"/>
  <c r="H74" i="104"/>
  <c r="G74" i="104"/>
  <c r="F74" i="104"/>
  <c r="P73" i="104"/>
  <c r="O73" i="104"/>
  <c r="N73" i="104"/>
  <c r="M73" i="104"/>
  <c r="L73" i="104"/>
  <c r="K73" i="104"/>
  <c r="J73" i="104"/>
  <c r="I73" i="104"/>
  <c r="H73" i="104"/>
  <c r="G73" i="104"/>
  <c r="F73" i="104"/>
  <c r="P72" i="104"/>
  <c r="O72" i="104"/>
  <c r="N72" i="104"/>
  <c r="M72" i="104"/>
  <c r="L72" i="104"/>
  <c r="K72" i="104"/>
  <c r="J72" i="104"/>
  <c r="I72" i="104"/>
  <c r="H72" i="104"/>
  <c r="G72" i="104"/>
  <c r="F72" i="104"/>
  <c r="P71" i="104"/>
  <c r="O71" i="104"/>
  <c r="N71" i="104"/>
  <c r="M71" i="104"/>
  <c r="L71" i="104"/>
  <c r="K71" i="104"/>
  <c r="J71" i="104"/>
  <c r="I71" i="104"/>
  <c r="H71" i="104"/>
  <c r="G71" i="104"/>
  <c r="F71" i="104"/>
  <c r="P70" i="104"/>
  <c r="O70" i="104"/>
  <c r="N70" i="104"/>
  <c r="M70" i="104"/>
  <c r="L70" i="104"/>
  <c r="K70" i="104"/>
  <c r="J70" i="104"/>
  <c r="I70" i="104"/>
  <c r="H70" i="104"/>
  <c r="G70" i="104"/>
  <c r="F70" i="104"/>
  <c r="P69" i="104"/>
  <c r="O69" i="104"/>
  <c r="N69" i="104"/>
  <c r="M69" i="104"/>
  <c r="L69" i="104"/>
  <c r="K69" i="104"/>
  <c r="J69" i="104"/>
  <c r="I69" i="104"/>
  <c r="H69" i="104"/>
  <c r="G69" i="104"/>
  <c r="F69" i="104"/>
  <c r="P68" i="104"/>
  <c r="O68" i="104"/>
  <c r="N68" i="104"/>
  <c r="M68" i="104"/>
  <c r="L68" i="104"/>
  <c r="K68" i="104"/>
  <c r="J68" i="104"/>
  <c r="I68" i="104"/>
  <c r="H68" i="104"/>
  <c r="G68" i="104"/>
  <c r="F68" i="104"/>
  <c r="P67" i="104"/>
  <c r="O67" i="104"/>
  <c r="N67" i="104"/>
  <c r="M67" i="104"/>
  <c r="L67" i="104"/>
  <c r="K67" i="104"/>
  <c r="J67" i="104"/>
  <c r="I67" i="104"/>
  <c r="H67" i="104"/>
  <c r="G67" i="104"/>
  <c r="F67" i="104"/>
  <c r="P66" i="104"/>
  <c r="O66" i="104"/>
  <c r="N66" i="104"/>
  <c r="M66" i="104"/>
  <c r="L66" i="104"/>
  <c r="K66" i="104"/>
  <c r="J66" i="104"/>
  <c r="I66" i="104"/>
  <c r="H66" i="104"/>
  <c r="G66" i="104"/>
  <c r="F66" i="104"/>
  <c r="P65" i="104"/>
  <c r="O65" i="104"/>
  <c r="N65" i="104"/>
  <c r="M65" i="104"/>
  <c r="L65" i="104"/>
  <c r="K65" i="104"/>
  <c r="J65" i="104"/>
  <c r="I65" i="104"/>
  <c r="H65" i="104"/>
  <c r="G65" i="104"/>
  <c r="F65" i="104"/>
  <c r="P64" i="104"/>
  <c r="O64" i="104"/>
  <c r="N64" i="104"/>
  <c r="M64" i="104"/>
  <c r="L64" i="104"/>
  <c r="K64" i="104"/>
  <c r="J64" i="104"/>
  <c r="I64" i="104"/>
  <c r="H64" i="104"/>
  <c r="G64" i="104"/>
  <c r="F64" i="104"/>
  <c r="P63" i="104"/>
  <c r="O63" i="104"/>
  <c r="N63" i="104"/>
  <c r="M63" i="104"/>
  <c r="L63" i="104"/>
  <c r="K63" i="104"/>
  <c r="J63" i="104"/>
  <c r="I63" i="104"/>
  <c r="H63" i="104"/>
  <c r="G63" i="104"/>
  <c r="F63" i="104"/>
  <c r="P62" i="104"/>
  <c r="O62" i="104"/>
  <c r="N62" i="104"/>
  <c r="M62" i="104"/>
  <c r="L62" i="104"/>
  <c r="K62" i="104"/>
  <c r="J62" i="104"/>
  <c r="I62" i="104"/>
  <c r="H62" i="104"/>
  <c r="G62" i="104"/>
  <c r="F62" i="104"/>
  <c r="P61" i="104"/>
  <c r="O61" i="104"/>
  <c r="N61" i="104"/>
  <c r="M61" i="104"/>
  <c r="L61" i="104"/>
  <c r="K61" i="104"/>
  <c r="J61" i="104"/>
  <c r="I61" i="104"/>
  <c r="H61" i="104"/>
  <c r="G61" i="104"/>
  <c r="F61" i="104"/>
  <c r="P60" i="104"/>
  <c r="O60" i="104"/>
  <c r="N60" i="104"/>
  <c r="M60" i="104"/>
  <c r="L60" i="104"/>
  <c r="K60" i="104"/>
  <c r="J60" i="104"/>
  <c r="I60" i="104"/>
  <c r="H60" i="104"/>
  <c r="G60" i="104"/>
  <c r="F60" i="104"/>
  <c r="P59" i="104"/>
  <c r="O59" i="104"/>
  <c r="N59" i="104"/>
  <c r="M59" i="104"/>
  <c r="L59" i="104"/>
  <c r="K59" i="104"/>
  <c r="J59" i="104"/>
  <c r="I59" i="104"/>
  <c r="H59" i="104"/>
  <c r="G59" i="104"/>
  <c r="F59" i="104"/>
  <c r="P58" i="104"/>
  <c r="O58" i="104"/>
  <c r="N58" i="104"/>
  <c r="M58" i="104"/>
  <c r="L58" i="104"/>
  <c r="K58" i="104"/>
  <c r="J58" i="104"/>
  <c r="I58" i="104"/>
  <c r="H58" i="104"/>
  <c r="G58" i="104"/>
  <c r="F58" i="104"/>
  <c r="P57" i="104"/>
  <c r="O57" i="104"/>
  <c r="N57" i="104"/>
  <c r="M57" i="104"/>
  <c r="L57" i="104"/>
  <c r="K57" i="104"/>
  <c r="J57" i="104"/>
  <c r="I57" i="104"/>
  <c r="H57" i="104"/>
  <c r="G57" i="104"/>
  <c r="F57" i="104"/>
  <c r="P56" i="104"/>
  <c r="O56" i="104"/>
  <c r="N56" i="104"/>
  <c r="M56" i="104"/>
  <c r="L56" i="104"/>
  <c r="K56" i="104"/>
  <c r="J56" i="104"/>
  <c r="I56" i="104"/>
  <c r="H56" i="104"/>
  <c r="G56" i="104"/>
  <c r="F56" i="104"/>
  <c r="P55" i="104"/>
  <c r="O55" i="104"/>
  <c r="N55" i="104"/>
  <c r="M55" i="104"/>
  <c r="L55" i="104"/>
  <c r="K55" i="104"/>
  <c r="J55" i="104"/>
  <c r="I55" i="104"/>
  <c r="H55" i="104"/>
  <c r="G55" i="104"/>
  <c r="F55" i="104"/>
  <c r="P54" i="104"/>
  <c r="O54" i="104"/>
  <c r="N54" i="104"/>
  <c r="M54" i="104"/>
  <c r="L54" i="104"/>
  <c r="K54" i="104"/>
  <c r="J54" i="104"/>
  <c r="I54" i="104"/>
  <c r="H54" i="104"/>
  <c r="G54" i="104"/>
  <c r="F54" i="104"/>
  <c r="P53" i="104"/>
  <c r="O53" i="104"/>
  <c r="N53" i="104"/>
  <c r="M53" i="104"/>
  <c r="L53" i="104"/>
  <c r="K53" i="104"/>
  <c r="J53" i="104"/>
  <c r="I53" i="104"/>
  <c r="H53" i="104"/>
  <c r="G53" i="104"/>
  <c r="F53" i="104"/>
  <c r="P52" i="104"/>
  <c r="O52" i="104"/>
  <c r="N52" i="104"/>
  <c r="M52" i="104"/>
  <c r="L52" i="104"/>
  <c r="K52" i="104"/>
  <c r="J52" i="104"/>
  <c r="I52" i="104"/>
  <c r="H52" i="104"/>
  <c r="G52" i="104"/>
  <c r="F52" i="104"/>
  <c r="P51" i="104"/>
  <c r="O51" i="104"/>
  <c r="N51" i="104"/>
  <c r="M51" i="104"/>
  <c r="L51" i="104"/>
  <c r="K51" i="104"/>
  <c r="J51" i="104"/>
  <c r="I51" i="104"/>
  <c r="H51" i="104"/>
  <c r="G51" i="104"/>
  <c r="F51" i="104"/>
  <c r="P50" i="104"/>
  <c r="O50" i="104"/>
  <c r="N50" i="104"/>
  <c r="M50" i="104"/>
  <c r="L50" i="104"/>
  <c r="K50" i="104"/>
  <c r="J50" i="104"/>
  <c r="I50" i="104"/>
  <c r="H50" i="104"/>
  <c r="G50" i="104"/>
  <c r="F50" i="104"/>
  <c r="P49" i="104"/>
  <c r="O49" i="104"/>
  <c r="N49" i="104"/>
  <c r="M49" i="104"/>
  <c r="L49" i="104"/>
  <c r="K49" i="104"/>
  <c r="J49" i="104"/>
  <c r="I49" i="104"/>
  <c r="H49" i="104"/>
  <c r="G49" i="104"/>
  <c r="F49" i="104"/>
  <c r="P48" i="104"/>
  <c r="O48" i="104"/>
  <c r="N48" i="104"/>
  <c r="M48" i="104"/>
  <c r="L48" i="104"/>
  <c r="K48" i="104"/>
  <c r="J48" i="104"/>
  <c r="I48" i="104"/>
  <c r="H48" i="104"/>
  <c r="G48" i="104"/>
  <c r="F48" i="104"/>
  <c r="P47" i="104"/>
  <c r="O47" i="104"/>
  <c r="N47" i="104"/>
  <c r="M47" i="104"/>
  <c r="L47" i="104"/>
  <c r="K47" i="104"/>
  <c r="J47" i="104"/>
  <c r="I47" i="104"/>
  <c r="H47" i="104"/>
  <c r="G47" i="104"/>
  <c r="F47" i="104"/>
  <c r="P46" i="104"/>
  <c r="O46" i="104"/>
  <c r="N46" i="104"/>
  <c r="M46" i="104"/>
  <c r="L46" i="104"/>
  <c r="K46" i="104"/>
  <c r="J46" i="104"/>
  <c r="I46" i="104"/>
  <c r="H46" i="104"/>
  <c r="G46" i="104"/>
  <c r="F46" i="104"/>
  <c r="P45" i="104"/>
  <c r="O45" i="104"/>
  <c r="N45" i="104"/>
  <c r="M45" i="104"/>
  <c r="L45" i="104"/>
  <c r="K45" i="104"/>
  <c r="J45" i="104"/>
  <c r="I45" i="104"/>
  <c r="H45" i="104"/>
  <c r="G45" i="104"/>
  <c r="F45" i="104"/>
  <c r="P44" i="104"/>
  <c r="O44" i="104"/>
  <c r="N44" i="104"/>
  <c r="M44" i="104"/>
  <c r="L44" i="104"/>
  <c r="K44" i="104"/>
  <c r="J44" i="104"/>
  <c r="I44" i="104"/>
  <c r="H44" i="104"/>
  <c r="G44" i="104"/>
  <c r="F44" i="104"/>
  <c r="P43" i="104"/>
  <c r="O43" i="104"/>
  <c r="N43" i="104"/>
  <c r="M43" i="104"/>
  <c r="L43" i="104"/>
  <c r="K43" i="104"/>
  <c r="J43" i="104"/>
  <c r="I43" i="104"/>
  <c r="H43" i="104"/>
  <c r="G43" i="104"/>
  <c r="F43" i="104"/>
  <c r="P42" i="104"/>
  <c r="O42" i="104"/>
  <c r="N42" i="104"/>
  <c r="M42" i="104"/>
  <c r="L42" i="104"/>
  <c r="K42" i="104"/>
  <c r="J42" i="104"/>
  <c r="I42" i="104"/>
  <c r="H42" i="104"/>
  <c r="G42" i="104"/>
  <c r="F42" i="104"/>
  <c r="P41" i="104"/>
  <c r="O41" i="104"/>
  <c r="N41" i="104"/>
  <c r="M41" i="104"/>
  <c r="L41" i="104"/>
  <c r="K41" i="104"/>
  <c r="J41" i="104"/>
  <c r="I41" i="104"/>
  <c r="H41" i="104"/>
  <c r="G41" i="104"/>
  <c r="F41" i="104"/>
  <c r="P40" i="104"/>
  <c r="O40" i="104"/>
  <c r="N40" i="104"/>
  <c r="M40" i="104"/>
  <c r="L40" i="104"/>
  <c r="K40" i="104"/>
  <c r="J40" i="104"/>
  <c r="I40" i="104"/>
  <c r="H40" i="104"/>
  <c r="G40" i="104"/>
  <c r="F40" i="104"/>
  <c r="P39" i="104"/>
  <c r="O39" i="104"/>
  <c r="N39" i="104"/>
  <c r="M39" i="104"/>
  <c r="L39" i="104"/>
  <c r="K39" i="104"/>
  <c r="J39" i="104"/>
  <c r="I39" i="104"/>
  <c r="H39" i="104"/>
  <c r="G39" i="104"/>
  <c r="F39" i="104"/>
  <c r="P38" i="104"/>
  <c r="O38" i="104"/>
  <c r="N38" i="104"/>
  <c r="M38" i="104"/>
  <c r="L38" i="104"/>
  <c r="K38" i="104"/>
  <c r="J38" i="104"/>
  <c r="I38" i="104"/>
  <c r="H38" i="104"/>
  <c r="G38" i="104"/>
  <c r="F38" i="104"/>
  <c r="P37" i="104"/>
  <c r="O37" i="104"/>
  <c r="N37" i="104"/>
  <c r="M37" i="104"/>
  <c r="L37" i="104"/>
  <c r="K37" i="104"/>
  <c r="J37" i="104"/>
  <c r="I37" i="104"/>
  <c r="H37" i="104"/>
  <c r="G37" i="104"/>
  <c r="F37" i="104"/>
  <c r="P36" i="104"/>
  <c r="O36" i="104"/>
  <c r="N36" i="104"/>
  <c r="M36" i="104"/>
  <c r="L36" i="104"/>
  <c r="K36" i="104"/>
  <c r="J36" i="104"/>
  <c r="I36" i="104"/>
  <c r="H36" i="104"/>
  <c r="G36" i="104"/>
  <c r="F36" i="104"/>
  <c r="AX11" i="108"/>
  <c r="AX12" i="108"/>
  <c r="I346" i="109" l="1"/>
  <c r="I349" i="109"/>
  <c r="I340" i="109"/>
  <c r="I354" i="109"/>
  <c r="I339" i="109"/>
  <c r="I365" i="109"/>
  <c r="I344" i="109"/>
  <c r="I361" i="109"/>
  <c r="I356" i="109"/>
  <c r="K47" i="109"/>
  <c r="J299" i="109"/>
  <c r="J363" i="109" s="1"/>
  <c r="J295" i="109"/>
  <c r="J291" i="109"/>
  <c r="J298" i="109"/>
  <c r="J294" i="109"/>
  <c r="J358" i="109" s="1"/>
  <c r="J290" i="109"/>
  <c r="J286" i="109"/>
  <c r="J282" i="109"/>
  <c r="J278" i="109"/>
  <c r="J302" i="109"/>
  <c r="J301" i="109"/>
  <c r="J300" i="109"/>
  <c r="J285" i="109"/>
  <c r="J281" i="109"/>
  <c r="J345" i="109" s="1"/>
  <c r="J277" i="109"/>
  <c r="J275" i="109"/>
  <c r="J297" i="109"/>
  <c r="J289" i="109"/>
  <c r="J353" i="109" s="1"/>
  <c r="J284" i="109"/>
  <c r="J283" i="109"/>
  <c r="J296" i="109"/>
  <c r="J360" i="109" s="1"/>
  <c r="J292" i="109"/>
  <c r="J288" i="109"/>
  <c r="J293" i="109"/>
  <c r="J287" i="109"/>
  <c r="J280" i="109"/>
  <c r="J344" i="109" s="1"/>
  <c r="J276" i="109"/>
  <c r="J279" i="109"/>
  <c r="I362" i="109"/>
  <c r="I358" i="109"/>
  <c r="I343" i="109"/>
  <c r="K48" i="109"/>
  <c r="J333" i="109"/>
  <c r="J329" i="109"/>
  <c r="J332" i="109"/>
  <c r="J328" i="109"/>
  <c r="J324" i="109"/>
  <c r="J320" i="109"/>
  <c r="J316" i="109"/>
  <c r="J331" i="109"/>
  <c r="J327" i="109"/>
  <c r="J334" i="109"/>
  <c r="J330" i="109"/>
  <c r="J326" i="109"/>
  <c r="J325" i="109"/>
  <c r="J322" i="109"/>
  <c r="J321" i="109"/>
  <c r="J318" i="109"/>
  <c r="J317" i="109"/>
  <c r="J315" i="109"/>
  <c r="J311" i="109"/>
  <c r="J307" i="109"/>
  <c r="J323" i="109"/>
  <c r="J319" i="109"/>
  <c r="J313" i="109"/>
  <c r="J312" i="109"/>
  <c r="J310" i="109"/>
  <c r="J309" i="109"/>
  <c r="J308" i="109"/>
  <c r="J314" i="109"/>
  <c r="D98" i="105"/>
  <c r="D97" i="105"/>
  <c r="D96" i="105"/>
  <c r="D95" i="105"/>
  <c r="D82" i="105"/>
  <c r="D81" i="105"/>
  <c r="D80" i="105"/>
  <c r="D79" i="105"/>
  <c r="D66" i="105"/>
  <c r="D65" i="105"/>
  <c r="D64" i="105"/>
  <c r="D63" i="105"/>
  <c r="D51" i="105"/>
  <c r="D50" i="105"/>
  <c r="D103" i="105"/>
  <c r="D90" i="105"/>
  <c r="D89" i="105"/>
  <c r="D88" i="105"/>
  <c r="D87" i="105"/>
  <c r="D74" i="105"/>
  <c r="D73" i="105"/>
  <c r="D72" i="105"/>
  <c r="D71" i="105"/>
  <c r="D58" i="105"/>
  <c r="D57" i="105"/>
  <c r="D56" i="105"/>
  <c r="D55" i="105"/>
  <c r="D53" i="105"/>
  <c r="D101" i="105"/>
  <c r="D92" i="105"/>
  <c r="D83" i="105"/>
  <c r="D78" i="105"/>
  <c r="D69" i="105"/>
  <c r="D60" i="105"/>
  <c r="D41" i="105"/>
  <c r="D36" i="105"/>
  <c r="D29" i="105"/>
  <c r="D18" i="105"/>
  <c r="D17" i="105"/>
  <c r="D12" i="105"/>
  <c r="D11" i="105"/>
  <c r="D91" i="105"/>
  <c r="D52" i="105"/>
  <c r="D46" i="105"/>
  <c r="D34" i="105"/>
  <c r="D22" i="105"/>
  <c r="D20" i="105"/>
  <c r="D102" i="105"/>
  <c r="D93" i="105"/>
  <c r="D84" i="105"/>
  <c r="D75" i="105"/>
  <c r="D70" i="105"/>
  <c r="D61" i="105"/>
  <c r="D48" i="105"/>
  <c r="D43" i="105"/>
  <c r="D42" i="105"/>
  <c r="D37" i="105"/>
  <c r="D31" i="105"/>
  <c r="D30" i="105"/>
  <c r="D28" i="105"/>
  <c r="D27" i="105"/>
  <c r="D16" i="105"/>
  <c r="D15" i="105"/>
  <c r="D10" i="105"/>
  <c r="D9" i="105"/>
  <c r="D8" i="105"/>
  <c r="D7" i="105"/>
  <c r="D4" i="105"/>
  <c r="D99" i="105"/>
  <c r="D94" i="105"/>
  <c r="D85" i="105"/>
  <c r="D76" i="105"/>
  <c r="D67" i="105"/>
  <c r="D62" i="105"/>
  <c r="D49" i="105"/>
  <c r="D45" i="105"/>
  <c r="D44" i="105"/>
  <c r="D39" i="105"/>
  <c r="D38" i="105"/>
  <c r="D33" i="105"/>
  <c r="D32" i="105"/>
  <c r="D26" i="105"/>
  <c r="D25" i="105"/>
  <c r="D24" i="105"/>
  <c r="D23" i="105"/>
  <c r="D6" i="105"/>
  <c r="D5" i="105"/>
  <c r="D100" i="105"/>
  <c r="D86" i="105"/>
  <c r="D77" i="105"/>
  <c r="D68" i="105"/>
  <c r="D59" i="105"/>
  <c r="D54" i="105"/>
  <c r="D47" i="105"/>
  <c r="D40" i="105"/>
  <c r="D35" i="105"/>
  <c r="D21" i="105"/>
  <c r="D19" i="105"/>
  <c r="D14" i="105"/>
  <c r="D13" i="105"/>
  <c r="O102" i="108"/>
  <c r="O78" i="108"/>
  <c r="O74" i="108"/>
  <c r="O50" i="108"/>
  <c r="O26" i="108"/>
  <c r="O101" i="108"/>
  <c r="O77" i="108"/>
  <c r="O53" i="108"/>
  <c r="O49" i="108"/>
  <c r="O25" i="108"/>
  <c r="O100" i="108"/>
  <c r="O76" i="108"/>
  <c r="O52" i="108"/>
  <c r="O28" i="108"/>
  <c r="O24" i="108"/>
  <c r="O103" i="108"/>
  <c r="O99" i="108"/>
  <c r="O75" i="108"/>
  <c r="O51" i="108"/>
  <c r="O27" i="108"/>
  <c r="O90" i="108"/>
  <c r="O86" i="108"/>
  <c r="O82" i="108"/>
  <c r="O66" i="108"/>
  <c r="O62" i="108"/>
  <c r="O58" i="108"/>
  <c r="O54" i="108"/>
  <c r="O42" i="108"/>
  <c r="O38" i="108"/>
  <c r="O34" i="108"/>
  <c r="O30" i="108"/>
  <c r="O18" i="108"/>
  <c r="O14" i="108"/>
  <c r="O10" i="108"/>
  <c r="O6" i="108"/>
  <c r="O93" i="108"/>
  <c r="O89" i="108"/>
  <c r="O85" i="108"/>
  <c r="O81" i="108"/>
  <c r="O65" i="108"/>
  <c r="O61" i="108"/>
  <c r="O57" i="108"/>
  <c r="O41" i="108"/>
  <c r="O37" i="108"/>
  <c r="O33" i="108"/>
  <c r="O29" i="108"/>
  <c r="O17" i="108"/>
  <c r="O13" i="108"/>
  <c r="O9" i="108"/>
  <c r="O5" i="108"/>
  <c r="O92" i="108"/>
  <c r="O88" i="108"/>
  <c r="O84" i="108"/>
  <c r="O80" i="108"/>
  <c r="O68" i="108"/>
  <c r="O64" i="108"/>
  <c r="O60" i="108"/>
  <c r="O56" i="108"/>
  <c r="O40" i="108"/>
  <c r="O36" i="108"/>
  <c r="O32" i="108"/>
  <c r="O16" i="108"/>
  <c r="O12" i="108"/>
  <c r="O8" i="108"/>
  <c r="O4" i="108"/>
  <c r="O91" i="108"/>
  <c r="O87" i="108"/>
  <c r="O83" i="108"/>
  <c r="O79" i="108"/>
  <c r="O67" i="108"/>
  <c r="O63" i="108"/>
  <c r="O59" i="108"/>
  <c r="O55" i="108"/>
  <c r="O43" i="108"/>
  <c r="O39" i="108"/>
  <c r="O35" i="108"/>
  <c r="O31" i="108"/>
  <c r="O15" i="108"/>
  <c r="O11" i="108"/>
  <c r="O7" i="108"/>
  <c r="O98" i="108"/>
  <c r="O94" i="108"/>
  <c r="O70" i="108"/>
  <c r="O46" i="108"/>
  <c r="O22" i="108"/>
  <c r="O97" i="108"/>
  <c r="O73" i="108"/>
  <c r="O69" i="108"/>
  <c r="O45" i="108"/>
  <c r="O21" i="108"/>
  <c r="O96" i="108"/>
  <c r="O72" i="108"/>
  <c r="O48" i="108"/>
  <c r="O44" i="108"/>
  <c r="O20" i="108"/>
  <c r="O95" i="108"/>
  <c r="O71" i="108"/>
  <c r="O47" i="108"/>
  <c r="O23" i="108"/>
  <c r="O19" i="108"/>
  <c r="AQ11" i="108"/>
  <c r="AO11" i="105"/>
  <c r="AH11" i="105" s="1"/>
  <c r="K27" i="105"/>
  <c r="K75" i="105"/>
  <c r="K27" i="108"/>
  <c r="K23" i="108"/>
  <c r="K19" i="108"/>
  <c r="K15" i="108"/>
  <c r="K11" i="108"/>
  <c r="K7" i="108"/>
  <c r="K26" i="108"/>
  <c r="K22" i="108"/>
  <c r="K18" i="108"/>
  <c r="K14" i="108"/>
  <c r="K10" i="108"/>
  <c r="K6" i="108"/>
  <c r="K24" i="108"/>
  <c r="K16" i="108"/>
  <c r="K8" i="108"/>
  <c r="K21" i="108"/>
  <c r="K13" i="108"/>
  <c r="K5" i="108"/>
  <c r="K28" i="108"/>
  <c r="K12" i="108"/>
  <c r="K25" i="108"/>
  <c r="K9" i="108"/>
  <c r="K20" i="108"/>
  <c r="K17" i="108"/>
  <c r="K4" i="108"/>
  <c r="K103" i="105"/>
  <c r="K75" i="108"/>
  <c r="K71" i="108"/>
  <c r="K67" i="108"/>
  <c r="K63" i="108"/>
  <c r="K59" i="108"/>
  <c r="K55" i="108"/>
  <c r="K78" i="108"/>
  <c r="K74" i="108"/>
  <c r="K70" i="108"/>
  <c r="K66" i="108"/>
  <c r="K62" i="108"/>
  <c r="K58" i="108"/>
  <c r="K54" i="108"/>
  <c r="K72" i="108"/>
  <c r="K64" i="108"/>
  <c r="K56" i="108"/>
  <c r="K77" i="108"/>
  <c r="K69" i="108"/>
  <c r="K61" i="108"/>
  <c r="K76" i="108"/>
  <c r="K60" i="108"/>
  <c r="K73" i="108"/>
  <c r="K57" i="108"/>
  <c r="K65" i="108"/>
  <c r="K68" i="108"/>
  <c r="AO12" i="105"/>
  <c r="AH12" i="105" s="1"/>
  <c r="AQ12" i="108"/>
  <c r="K103" i="108"/>
  <c r="K99" i="108"/>
  <c r="K95" i="108"/>
  <c r="K91" i="108"/>
  <c r="K87" i="108"/>
  <c r="K83" i="108"/>
  <c r="K79" i="108"/>
  <c r="K102" i="108"/>
  <c r="K98" i="108"/>
  <c r="K94" i="108"/>
  <c r="K90" i="108"/>
  <c r="K86" i="108"/>
  <c r="K82" i="108"/>
  <c r="K96" i="108"/>
  <c r="K88" i="108"/>
  <c r="K80" i="108"/>
  <c r="K101" i="108"/>
  <c r="K93" i="108"/>
  <c r="K85" i="108"/>
  <c r="K92" i="108"/>
  <c r="K89" i="108"/>
  <c r="K100" i="108"/>
  <c r="K97" i="108"/>
  <c r="K81" i="108"/>
  <c r="K84" i="108"/>
  <c r="K51" i="105"/>
  <c r="K51" i="108"/>
  <c r="K47" i="108"/>
  <c r="K43" i="108"/>
  <c r="K39" i="108"/>
  <c r="K35" i="108"/>
  <c r="K31" i="108"/>
  <c r="K50" i="108"/>
  <c r="K46" i="108"/>
  <c r="K42" i="108"/>
  <c r="K38" i="108"/>
  <c r="K34" i="108"/>
  <c r="K30" i="108"/>
  <c r="K48" i="108"/>
  <c r="K40" i="108"/>
  <c r="K32" i="108"/>
  <c r="K53" i="108"/>
  <c r="K45" i="108"/>
  <c r="K37" i="108"/>
  <c r="K29" i="108"/>
  <c r="K44" i="108"/>
  <c r="K41" i="108"/>
  <c r="K52" i="108"/>
  <c r="K49" i="108"/>
  <c r="K33" i="108"/>
  <c r="K36" i="108"/>
  <c r="K52" i="105"/>
  <c r="K36" i="105"/>
  <c r="K68" i="105"/>
  <c r="K40" i="105"/>
  <c r="K56" i="105"/>
  <c r="K72" i="105"/>
  <c r="K44" i="105"/>
  <c r="K60" i="105"/>
  <c r="K76" i="105"/>
  <c r="K32" i="105"/>
  <c r="K48" i="105"/>
  <c r="K64" i="105"/>
  <c r="K6" i="105"/>
  <c r="K14" i="105"/>
  <c r="K4" i="105"/>
  <c r="K8" i="105"/>
  <c r="K12" i="105"/>
  <c r="K16" i="105"/>
  <c r="K20" i="105"/>
  <c r="K24" i="105"/>
  <c r="K28" i="105"/>
  <c r="K80" i="105"/>
  <c r="K84" i="105"/>
  <c r="K88" i="105"/>
  <c r="K92" i="105"/>
  <c r="K96" i="105"/>
  <c r="K100" i="105"/>
  <c r="K5" i="105"/>
  <c r="K9" i="105"/>
  <c r="K13" i="105"/>
  <c r="K17" i="105"/>
  <c r="K21" i="105"/>
  <c r="K25" i="105"/>
  <c r="K29" i="105"/>
  <c r="K33" i="105"/>
  <c r="K37" i="105"/>
  <c r="K41" i="105"/>
  <c r="K45" i="105"/>
  <c r="K49" i="105"/>
  <c r="K53" i="105"/>
  <c r="K57" i="105"/>
  <c r="K61" i="105"/>
  <c r="K65" i="105"/>
  <c r="K69" i="105"/>
  <c r="K73" i="105"/>
  <c r="K77" i="105"/>
  <c r="K81" i="105"/>
  <c r="K85" i="105"/>
  <c r="K89" i="105"/>
  <c r="K93" i="105"/>
  <c r="K97" i="105"/>
  <c r="K101" i="105"/>
  <c r="K18" i="105"/>
  <c r="K22" i="105"/>
  <c r="K26" i="105"/>
  <c r="K30" i="105"/>
  <c r="K34" i="105"/>
  <c r="K38" i="105"/>
  <c r="K42" i="105"/>
  <c r="K46" i="105"/>
  <c r="K50" i="105"/>
  <c r="K54" i="105"/>
  <c r="K58" i="105"/>
  <c r="K62" i="105"/>
  <c r="K66" i="105"/>
  <c r="K70" i="105"/>
  <c r="K74" i="105"/>
  <c r="K78" i="105"/>
  <c r="K82" i="105"/>
  <c r="K86" i="105"/>
  <c r="K90" i="105"/>
  <c r="K94" i="105"/>
  <c r="K98" i="105"/>
  <c r="K102" i="105"/>
  <c r="K10" i="105"/>
  <c r="K7" i="105"/>
  <c r="K11" i="105"/>
  <c r="K15" i="105"/>
  <c r="K19" i="105"/>
  <c r="K23" i="105"/>
  <c r="K31" i="105"/>
  <c r="K35" i="105"/>
  <c r="K39" i="105"/>
  <c r="K43" i="105"/>
  <c r="K47" i="105"/>
  <c r="K55" i="105"/>
  <c r="K59" i="105"/>
  <c r="K63" i="105"/>
  <c r="K67" i="105"/>
  <c r="K71" i="105"/>
  <c r="K79" i="105"/>
  <c r="K83" i="105"/>
  <c r="K87" i="105"/>
  <c r="K91" i="105"/>
  <c r="K95" i="105"/>
  <c r="K99" i="105"/>
  <c r="P32" i="104"/>
  <c r="O32" i="104"/>
  <c r="N32" i="104"/>
  <c r="M32" i="104"/>
  <c r="L32" i="104"/>
  <c r="K32" i="104"/>
  <c r="J32" i="104"/>
  <c r="F32" i="104"/>
  <c r="P31" i="104"/>
  <c r="O31" i="104"/>
  <c r="N31" i="104"/>
  <c r="M31" i="104"/>
  <c r="L31" i="104"/>
  <c r="K31" i="104"/>
  <c r="J31" i="104"/>
  <c r="F31" i="104"/>
  <c r="P30" i="104"/>
  <c r="O30" i="104"/>
  <c r="N30" i="104"/>
  <c r="M30" i="104"/>
  <c r="L30" i="104"/>
  <c r="K30" i="104"/>
  <c r="J30" i="104"/>
  <c r="F30" i="104"/>
  <c r="P29" i="104"/>
  <c r="O29" i="104"/>
  <c r="N29" i="104"/>
  <c r="M29" i="104"/>
  <c r="L29" i="104"/>
  <c r="K29" i="104"/>
  <c r="J29" i="104"/>
  <c r="F29" i="104"/>
  <c r="P28" i="104"/>
  <c r="O28" i="104"/>
  <c r="N28" i="104"/>
  <c r="M28" i="104"/>
  <c r="L28" i="104"/>
  <c r="K28" i="104"/>
  <c r="J28" i="104"/>
  <c r="P27" i="104"/>
  <c r="O27" i="104"/>
  <c r="N27" i="104"/>
  <c r="M27" i="104"/>
  <c r="L27" i="104"/>
  <c r="K27" i="104"/>
  <c r="J27" i="104"/>
  <c r="F27" i="104"/>
  <c r="P26" i="104"/>
  <c r="O26" i="104"/>
  <c r="N26" i="104"/>
  <c r="M26" i="104"/>
  <c r="L26" i="104"/>
  <c r="K26" i="104"/>
  <c r="J26" i="104"/>
  <c r="F26" i="104"/>
  <c r="P25" i="104"/>
  <c r="O25" i="104"/>
  <c r="N25" i="104"/>
  <c r="M25" i="104"/>
  <c r="L25" i="104"/>
  <c r="K25" i="104"/>
  <c r="J25" i="104"/>
  <c r="F25" i="104"/>
  <c r="P24" i="104"/>
  <c r="O24" i="104"/>
  <c r="N24" i="104"/>
  <c r="M24" i="104"/>
  <c r="L24" i="104"/>
  <c r="K24" i="104"/>
  <c r="J24" i="104"/>
  <c r="F24" i="104"/>
  <c r="P23" i="104"/>
  <c r="O23" i="104"/>
  <c r="N23" i="104"/>
  <c r="M23" i="104"/>
  <c r="L23" i="104"/>
  <c r="K23" i="104"/>
  <c r="J23" i="104"/>
  <c r="F23" i="104"/>
  <c r="P22" i="104"/>
  <c r="O22" i="104"/>
  <c r="N22" i="104"/>
  <c r="M22" i="104"/>
  <c r="L22" i="104"/>
  <c r="K22" i="104"/>
  <c r="J22" i="104"/>
  <c r="F22" i="104"/>
  <c r="P21" i="104"/>
  <c r="O21" i="104"/>
  <c r="N21" i="104"/>
  <c r="M21" i="104"/>
  <c r="L21" i="104"/>
  <c r="K21" i="104"/>
  <c r="J21" i="104"/>
  <c r="F21" i="104"/>
  <c r="P20" i="104"/>
  <c r="O20" i="104"/>
  <c r="N20" i="104"/>
  <c r="M20" i="104"/>
  <c r="L20" i="104"/>
  <c r="K20" i="104"/>
  <c r="J20" i="104"/>
  <c r="F20" i="104"/>
  <c r="P19" i="104"/>
  <c r="O19" i="104"/>
  <c r="N19" i="104"/>
  <c r="M19" i="104"/>
  <c r="L19" i="104"/>
  <c r="K19" i="104"/>
  <c r="J19" i="104"/>
  <c r="F19" i="104"/>
  <c r="P150" i="104"/>
  <c r="O150" i="104"/>
  <c r="N150" i="104"/>
  <c r="M150" i="104"/>
  <c r="L150" i="104"/>
  <c r="K150" i="104"/>
  <c r="J150" i="104"/>
  <c r="P149" i="104"/>
  <c r="O149" i="104"/>
  <c r="N149" i="104"/>
  <c r="M149" i="104"/>
  <c r="L149" i="104"/>
  <c r="K149" i="104"/>
  <c r="J149" i="104"/>
  <c r="P148" i="104"/>
  <c r="O148" i="104"/>
  <c r="N148" i="104"/>
  <c r="M148" i="104"/>
  <c r="L148" i="104"/>
  <c r="K148" i="104"/>
  <c r="J148" i="104"/>
  <c r="P147" i="104"/>
  <c r="O147" i="104"/>
  <c r="N147" i="104"/>
  <c r="M147" i="104"/>
  <c r="L147" i="104"/>
  <c r="K147" i="104"/>
  <c r="J147" i="104"/>
  <c r="P146" i="104"/>
  <c r="O146" i="104"/>
  <c r="N146" i="104"/>
  <c r="M146" i="104"/>
  <c r="L146" i="104"/>
  <c r="K146" i="104"/>
  <c r="J146" i="104"/>
  <c r="P145" i="104"/>
  <c r="O145" i="104"/>
  <c r="N145" i="104"/>
  <c r="M145" i="104"/>
  <c r="L145" i="104"/>
  <c r="K145" i="104"/>
  <c r="J145" i="104"/>
  <c r="P144" i="104"/>
  <c r="O144" i="104"/>
  <c r="N144" i="104"/>
  <c r="M144" i="104"/>
  <c r="L144" i="104"/>
  <c r="K144" i="104"/>
  <c r="J144" i="104"/>
  <c r="P143" i="104"/>
  <c r="O143" i="104"/>
  <c r="N143" i="104"/>
  <c r="M143" i="104"/>
  <c r="L143" i="104"/>
  <c r="K143" i="104"/>
  <c r="J143" i="104"/>
  <c r="P142" i="104"/>
  <c r="O142" i="104"/>
  <c r="N142" i="104"/>
  <c r="M142" i="104"/>
  <c r="L142" i="104"/>
  <c r="K142" i="104"/>
  <c r="J142" i="104"/>
  <c r="P141" i="104"/>
  <c r="O141" i="104"/>
  <c r="N141" i="104"/>
  <c r="M141" i="104"/>
  <c r="L141" i="104"/>
  <c r="K141" i="104"/>
  <c r="J141" i="104"/>
  <c r="P140" i="104"/>
  <c r="O140" i="104"/>
  <c r="N140" i="104"/>
  <c r="M140" i="104"/>
  <c r="L140" i="104"/>
  <c r="K140" i="104"/>
  <c r="J140" i="104"/>
  <c r="P139" i="104"/>
  <c r="O139" i="104"/>
  <c r="N139" i="104"/>
  <c r="M139" i="104"/>
  <c r="L139" i="104"/>
  <c r="K139" i="104"/>
  <c r="J139" i="104"/>
  <c r="P138" i="104"/>
  <c r="O138" i="104"/>
  <c r="N138" i="104"/>
  <c r="M138" i="104"/>
  <c r="L138" i="104"/>
  <c r="K138" i="104"/>
  <c r="J138" i="104"/>
  <c r="P137" i="104"/>
  <c r="O137" i="104"/>
  <c r="N137" i="104"/>
  <c r="M137" i="104"/>
  <c r="L137" i="104"/>
  <c r="K137" i="104"/>
  <c r="J137" i="104"/>
  <c r="P136" i="104"/>
  <c r="O136" i="104"/>
  <c r="N136" i="104"/>
  <c r="M136" i="104"/>
  <c r="L136" i="104"/>
  <c r="K136" i="104"/>
  <c r="J136" i="104"/>
  <c r="P135" i="104"/>
  <c r="O135" i="104"/>
  <c r="N135" i="104"/>
  <c r="M135" i="104"/>
  <c r="L135" i="104"/>
  <c r="K135" i="104"/>
  <c r="J135" i="104"/>
  <c r="P134" i="104"/>
  <c r="O134" i="104"/>
  <c r="N134" i="104"/>
  <c r="M134" i="104"/>
  <c r="L134" i="104"/>
  <c r="K134" i="104"/>
  <c r="J134" i="104"/>
  <c r="P133" i="104"/>
  <c r="O133" i="104"/>
  <c r="N133" i="104"/>
  <c r="M133" i="104"/>
  <c r="L133" i="104"/>
  <c r="K133" i="104"/>
  <c r="J133" i="104"/>
  <c r="P132" i="104"/>
  <c r="O132" i="104"/>
  <c r="N132" i="104"/>
  <c r="M132" i="104"/>
  <c r="L132" i="104"/>
  <c r="K132" i="104"/>
  <c r="J132" i="104"/>
  <c r="P131" i="104"/>
  <c r="O131" i="104"/>
  <c r="N131" i="104"/>
  <c r="M131" i="104"/>
  <c r="L131" i="104"/>
  <c r="K131" i="104"/>
  <c r="J131" i="104"/>
  <c r="P130" i="104"/>
  <c r="O130" i="104"/>
  <c r="N130" i="104"/>
  <c r="M130" i="104"/>
  <c r="L130" i="104"/>
  <c r="K130" i="104"/>
  <c r="J130" i="104"/>
  <c r="P129" i="104"/>
  <c r="O129" i="104"/>
  <c r="N129" i="104"/>
  <c r="M129" i="104"/>
  <c r="L129" i="104"/>
  <c r="K129" i="104"/>
  <c r="J129" i="104"/>
  <c r="P128" i="104"/>
  <c r="O128" i="104"/>
  <c r="N128" i="104"/>
  <c r="M128" i="104"/>
  <c r="L128" i="104"/>
  <c r="K128" i="104"/>
  <c r="J128" i="104"/>
  <c r="P127" i="104"/>
  <c r="O127" i="104"/>
  <c r="N127" i="104"/>
  <c r="M127" i="104"/>
  <c r="L127" i="104"/>
  <c r="K127" i="104"/>
  <c r="J127" i="104"/>
  <c r="P126" i="104"/>
  <c r="O126" i="104"/>
  <c r="N126" i="104"/>
  <c r="M126" i="104"/>
  <c r="L126" i="104"/>
  <c r="K126" i="104"/>
  <c r="J126" i="104"/>
  <c r="P125" i="104"/>
  <c r="O125" i="104"/>
  <c r="N125" i="104"/>
  <c r="M125" i="104"/>
  <c r="L125" i="104"/>
  <c r="K125" i="104"/>
  <c r="J125" i="104"/>
  <c r="P124" i="104"/>
  <c r="O124" i="104"/>
  <c r="N124" i="104"/>
  <c r="M124" i="104"/>
  <c r="L124" i="104"/>
  <c r="K124" i="104"/>
  <c r="J124" i="104"/>
  <c r="P123" i="104"/>
  <c r="O123" i="104"/>
  <c r="N123" i="104"/>
  <c r="M123" i="104"/>
  <c r="L123" i="104"/>
  <c r="K123" i="104"/>
  <c r="J123" i="104"/>
  <c r="P122" i="104"/>
  <c r="O122" i="104"/>
  <c r="N122" i="104"/>
  <c r="M122" i="104"/>
  <c r="L122" i="104"/>
  <c r="K122" i="104"/>
  <c r="J122" i="104"/>
  <c r="P121" i="104"/>
  <c r="O121" i="104"/>
  <c r="N121" i="104"/>
  <c r="M121" i="104"/>
  <c r="L121" i="104"/>
  <c r="K121" i="104"/>
  <c r="J121" i="104"/>
  <c r="P120" i="104"/>
  <c r="O120" i="104"/>
  <c r="N120" i="104"/>
  <c r="M120" i="104"/>
  <c r="L120" i="104"/>
  <c r="K120" i="104"/>
  <c r="J120" i="104"/>
  <c r="P119" i="104"/>
  <c r="O119" i="104"/>
  <c r="N119" i="104"/>
  <c r="M119" i="104"/>
  <c r="L119" i="104"/>
  <c r="K119" i="104"/>
  <c r="J119" i="104"/>
  <c r="P118" i="104"/>
  <c r="O118" i="104"/>
  <c r="N118" i="104"/>
  <c r="M118" i="104"/>
  <c r="L118" i="104"/>
  <c r="K118" i="104"/>
  <c r="J118" i="104"/>
  <c r="P117" i="104"/>
  <c r="O117" i="104"/>
  <c r="N117" i="104"/>
  <c r="M117" i="104"/>
  <c r="L117" i="104"/>
  <c r="K117" i="104"/>
  <c r="J117" i="104"/>
  <c r="P116" i="104"/>
  <c r="O116" i="104"/>
  <c r="N116" i="104"/>
  <c r="M116" i="104"/>
  <c r="L116" i="104"/>
  <c r="K116" i="104"/>
  <c r="J116" i="104"/>
  <c r="P115" i="104"/>
  <c r="O115" i="104"/>
  <c r="N115" i="104"/>
  <c r="M115" i="104"/>
  <c r="L115" i="104"/>
  <c r="K115" i="104"/>
  <c r="J115" i="104"/>
  <c r="P114" i="104"/>
  <c r="O114" i="104"/>
  <c r="N114" i="104"/>
  <c r="M114" i="104"/>
  <c r="L114" i="104"/>
  <c r="K114" i="104"/>
  <c r="J114" i="104"/>
  <c r="P113" i="104"/>
  <c r="O113" i="104"/>
  <c r="N113" i="104"/>
  <c r="M113" i="104"/>
  <c r="L113" i="104"/>
  <c r="K113" i="104"/>
  <c r="J113" i="104"/>
  <c r="P112" i="104"/>
  <c r="O112" i="104"/>
  <c r="N112" i="104"/>
  <c r="M112" i="104"/>
  <c r="L112" i="104"/>
  <c r="K112" i="104"/>
  <c r="J112" i="104"/>
  <c r="P111" i="104"/>
  <c r="O111" i="104"/>
  <c r="N111" i="104"/>
  <c r="M111" i="104"/>
  <c r="L111" i="104"/>
  <c r="K111" i="104"/>
  <c r="J111" i="104"/>
  <c r="P110" i="104"/>
  <c r="O110" i="104"/>
  <c r="N110" i="104"/>
  <c r="M110" i="104"/>
  <c r="L110" i="104"/>
  <c r="K110" i="104"/>
  <c r="J110" i="104"/>
  <c r="P109" i="104"/>
  <c r="O109" i="104"/>
  <c r="N109" i="104"/>
  <c r="M109" i="104"/>
  <c r="L109" i="104"/>
  <c r="K109" i="104"/>
  <c r="J109" i="104"/>
  <c r="P108" i="104"/>
  <c r="O108" i="104"/>
  <c r="N108" i="104"/>
  <c r="M108" i="104"/>
  <c r="L108" i="104"/>
  <c r="K108" i="104"/>
  <c r="J108" i="104"/>
  <c r="P107" i="104"/>
  <c r="O107" i="104"/>
  <c r="N107" i="104"/>
  <c r="M107" i="104"/>
  <c r="L107" i="104"/>
  <c r="K107" i="104"/>
  <c r="J107" i="104"/>
  <c r="P106" i="104"/>
  <c r="O106" i="104"/>
  <c r="N106" i="104"/>
  <c r="M106" i="104"/>
  <c r="L106" i="104"/>
  <c r="K106" i="104"/>
  <c r="J106" i="104"/>
  <c r="P105" i="104"/>
  <c r="O105" i="104"/>
  <c r="N105" i="104"/>
  <c r="M105" i="104"/>
  <c r="L105" i="104"/>
  <c r="K105" i="104"/>
  <c r="J105" i="104"/>
  <c r="P104" i="104"/>
  <c r="O104" i="104"/>
  <c r="N104" i="104"/>
  <c r="M104" i="104"/>
  <c r="L104" i="104"/>
  <c r="K104" i="104"/>
  <c r="J104" i="104"/>
  <c r="P103" i="104"/>
  <c r="O103" i="104"/>
  <c r="N103" i="104"/>
  <c r="M103" i="104"/>
  <c r="L103" i="104"/>
  <c r="K103" i="104"/>
  <c r="J103" i="104"/>
  <c r="P102" i="104"/>
  <c r="O102" i="104"/>
  <c r="N102" i="104"/>
  <c r="M102" i="104"/>
  <c r="L102" i="104"/>
  <c r="K102" i="104"/>
  <c r="J102" i="104"/>
  <c r="P101" i="104"/>
  <c r="O101" i="104"/>
  <c r="N101" i="104"/>
  <c r="M101" i="104"/>
  <c r="L101" i="104"/>
  <c r="K101" i="104"/>
  <c r="J101" i="104"/>
  <c r="P100" i="104"/>
  <c r="O100" i="104"/>
  <c r="N100" i="104"/>
  <c r="M100" i="104"/>
  <c r="L100" i="104"/>
  <c r="K100" i="104"/>
  <c r="J100" i="104"/>
  <c r="P99" i="104"/>
  <c r="O99" i="104"/>
  <c r="N99" i="104"/>
  <c r="M99" i="104"/>
  <c r="L99" i="104"/>
  <c r="K99" i="104"/>
  <c r="J99" i="104"/>
  <c r="P98" i="104"/>
  <c r="O98" i="104"/>
  <c r="N98" i="104"/>
  <c r="M98" i="104"/>
  <c r="L98" i="104"/>
  <c r="K98" i="104"/>
  <c r="J98" i="104"/>
  <c r="P97" i="104"/>
  <c r="O97" i="104"/>
  <c r="N97" i="104"/>
  <c r="M97" i="104"/>
  <c r="L97" i="104"/>
  <c r="K97" i="104"/>
  <c r="J97" i="104"/>
  <c r="P96" i="104"/>
  <c r="O96" i="104"/>
  <c r="N96" i="104"/>
  <c r="M96" i="104"/>
  <c r="L96" i="104"/>
  <c r="K96" i="104"/>
  <c r="J96" i="104"/>
  <c r="P95" i="104"/>
  <c r="O95" i="104"/>
  <c r="N95" i="104"/>
  <c r="M95" i="104"/>
  <c r="L95" i="104"/>
  <c r="K95" i="104"/>
  <c r="J95" i="104"/>
  <c r="I150" i="104"/>
  <c r="H150" i="104"/>
  <c r="G150" i="104"/>
  <c r="F150" i="104"/>
  <c r="I149" i="104"/>
  <c r="H149" i="104"/>
  <c r="G149" i="104"/>
  <c r="F149" i="104"/>
  <c r="I148" i="104"/>
  <c r="H148" i="104"/>
  <c r="G148" i="104"/>
  <c r="F148" i="104"/>
  <c r="I147" i="104"/>
  <c r="H147" i="104"/>
  <c r="G147" i="104"/>
  <c r="F147" i="104"/>
  <c r="I146" i="104"/>
  <c r="H146" i="104"/>
  <c r="G146" i="104"/>
  <c r="F146" i="104"/>
  <c r="I145" i="104"/>
  <c r="H145" i="104"/>
  <c r="G145" i="104"/>
  <c r="F145" i="104"/>
  <c r="I144" i="104"/>
  <c r="H144" i="104"/>
  <c r="G144" i="104"/>
  <c r="F144" i="104"/>
  <c r="I143" i="104"/>
  <c r="H143" i="104"/>
  <c r="G143" i="104"/>
  <c r="F143" i="104"/>
  <c r="I142" i="104"/>
  <c r="H142" i="104"/>
  <c r="G142" i="104"/>
  <c r="F142" i="104"/>
  <c r="I141" i="104"/>
  <c r="H141" i="104"/>
  <c r="G141" i="104"/>
  <c r="F141" i="104"/>
  <c r="I140" i="104"/>
  <c r="H140" i="104"/>
  <c r="G140" i="104"/>
  <c r="F140" i="104"/>
  <c r="I139" i="104"/>
  <c r="H139" i="104"/>
  <c r="G139" i="104"/>
  <c r="F139" i="104"/>
  <c r="I138" i="104"/>
  <c r="H138" i="104"/>
  <c r="G138" i="104"/>
  <c r="F138" i="104"/>
  <c r="I137" i="104"/>
  <c r="H137" i="104"/>
  <c r="G137" i="104"/>
  <c r="F137" i="104"/>
  <c r="I136" i="104"/>
  <c r="H136" i="104"/>
  <c r="G136" i="104"/>
  <c r="F136" i="104"/>
  <c r="I135" i="104"/>
  <c r="H135" i="104"/>
  <c r="G135" i="104"/>
  <c r="F135" i="104"/>
  <c r="I134" i="104"/>
  <c r="H134" i="104"/>
  <c r="G134" i="104"/>
  <c r="F134" i="104"/>
  <c r="I133" i="104"/>
  <c r="H133" i="104"/>
  <c r="G133" i="104"/>
  <c r="F133" i="104"/>
  <c r="I132" i="104"/>
  <c r="H132" i="104"/>
  <c r="G132" i="104"/>
  <c r="F132" i="104"/>
  <c r="I131" i="104"/>
  <c r="H131" i="104"/>
  <c r="G131" i="104"/>
  <c r="F131" i="104"/>
  <c r="I130" i="104"/>
  <c r="H130" i="104"/>
  <c r="G130" i="104"/>
  <c r="F130" i="104"/>
  <c r="I129" i="104"/>
  <c r="H129" i="104"/>
  <c r="G129" i="104"/>
  <c r="F129" i="104"/>
  <c r="I128" i="104"/>
  <c r="H128" i="104"/>
  <c r="G128" i="104"/>
  <c r="F128" i="104"/>
  <c r="I127" i="104"/>
  <c r="H127" i="104"/>
  <c r="G127" i="104"/>
  <c r="F127" i="104"/>
  <c r="I126" i="104"/>
  <c r="H126" i="104"/>
  <c r="G126" i="104"/>
  <c r="F126" i="104"/>
  <c r="I125" i="104"/>
  <c r="H125" i="104"/>
  <c r="G125" i="104"/>
  <c r="F125" i="104"/>
  <c r="I124" i="104"/>
  <c r="H124" i="104"/>
  <c r="G124" i="104"/>
  <c r="F124" i="104"/>
  <c r="I123" i="104"/>
  <c r="H123" i="104"/>
  <c r="G123" i="104"/>
  <c r="F123" i="104"/>
  <c r="I122" i="104"/>
  <c r="H122" i="104"/>
  <c r="G122" i="104"/>
  <c r="F122" i="104"/>
  <c r="I121" i="104"/>
  <c r="H121" i="104"/>
  <c r="G121" i="104"/>
  <c r="F121" i="104"/>
  <c r="I120" i="104"/>
  <c r="H120" i="104"/>
  <c r="G120" i="104"/>
  <c r="F120" i="104"/>
  <c r="I119" i="104"/>
  <c r="H119" i="104"/>
  <c r="G119" i="104"/>
  <c r="F119" i="104"/>
  <c r="I118" i="104"/>
  <c r="H118" i="104"/>
  <c r="G118" i="104"/>
  <c r="F118" i="104"/>
  <c r="I117" i="104"/>
  <c r="H117" i="104"/>
  <c r="G117" i="104"/>
  <c r="F117" i="104"/>
  <c r="I116" i="104"/>
  <c r="H116" i="104"/>
  <c r="G116" i="104"/>
  <c r="F116" i="104"/>
  <c r="I115" i="104"/>
  <c r="H115" i="104"/>
  <c r="G115" i="104"/>
  <c r="F115" i="104"/>
  <c r="I114" i="104"/>
  <c r="H114" i="104"/>
  <c r="G114" i="104"/>
  <c r="F114" i="104"/>
  <c r="I113" i="104"/>
  <c r="H113" i="104"/>
  <c r="G113" i="104"/>
  <c r="F113" i="104"/>
  <c r="I112" i="104"/>
  <c r="H112" i="104"/>
  <c r="G112" i="104"/>
  <c r="F112" i="104"/>
  <c r="I111" i="104"/>
  <c r="H111" i="104"/>
  <c r="G111" i="104"/>
  <c r="F111" i="104"/>
  <c r="I110" i="104"/>
  <c r="H110" i="104"/>
  <c r="G110" i="104"/>
  <c r="F110" i="104"/>
  <c r="I109" i="104"/>
  <c r="H109" i="104"/>
  <c r="G109" i="104"/>
  <c r="F109" i="104"/>
  <c r="I108" i="104"/>
  <c r="H108" i="104"/>
  <c r="G108" i="104"/>
  <c r="F108" i="104"/>
  <c r="I107" i="104"/>
  <c r="H107" i="104"/>
  <c r="G107" i="104"/>
  <c r="F107" i="104"/>
  <c r="I106" i="104"/>
  <c r="H106" i="104"/>
  <c r="G106" i="104"/>
  <c r="F106" i="104"/>
  <c r="I105" i="104"/>
  <c r="H105" i="104"/>
  <c r="G105" i="104"/>
  <c r="F105" i="104"/>
  <c r="I104" i="104"/>
  <c r="H104" i="104"/>
  <c r="G104" i="104"/>
  <c r="F104" i="104"/>
  <c r="I103" i="104"/>
  <c r="H103" i="104"/>
  <c r="G103" i="104"/>
  <c r="F103" i="104"/>
  <c r="I102" i="104"/>
  <c r="H102" i="104"/>
  <c r="G102" i="104"/>
  <c r="F102" i="104"/>
  <c r="I101" i="104"/>
  <c r="H101" i="104"/>
  <c r="G101" i="104"/>
  <c r="F101" i="104"/>
  <c r="I100" i="104"/>
  <c r="H100" i="104"/>
  <c r="G100" i="104"/>
  <c r="F100" i="104"/>
  <c r="I99" i="104"/>
  <c r="H99" i="104"/>
  <c r="G99" i="104"/>
  <c r="F99" i="104"/>
  <c r="I98" i="104"/>
  <c r="H98" i="104"/>
  <c r="G98" i="104"/>
  <c r="F98" i="104"/>
  <c r="I97" i="104"/>
  <c r="H97" i="104"/>
  <c r="G97" i="104"/>
  <c r="F97" i="104"/>
  <c r="I96" i="104"/>
  <c r="H96" i="104"/>
  <c r="G96" i="104"/>
  <c r="F96" i="104"/>
  <c r="I95" i="104"/>
  <c r="H95" i="104"/>
  <c r="G95" i="104"/>
  <c r="F95" i="104"/>
  <c r="P16" i="104"/>
  <c r="O16" i="104"/>
  <c r="N16" i="104"/>
  <c r="M16" i="104"/>
  <c r="L16" i="104"/>
  <c r="K16" i="104"/>
  <c r="J16" i="104"/>
  <c r="P15" i="104"/>
  <c r="O15" i="104"/>
  <c r="N15" i="104"/>
  <c r="M15" i="104"/>
  <c r="L15" i="104"/>
  <c r="K15" i="104"/>
  <c r="J15" i="104"/>
  <c r="P14" i="104"/>
  <c r="O14" i="104"/>
  <c r="N14" i="104"/>
  <c r="M14" i="104"/>
  <c r="L14" i="104"/>
  <c r="K14" i="104"/>
  <c r="J14" i="104"/>
  <c r="P13" i="104"/>
  <c r="O13" i="104"/>
  <c r="N13" i="104"/>
  <c r="M13" i="104"/>
  <c r="L13" i="104"/>
  <c r="K13" i="104"/>
  <c r="J13" i="104"/>
  <c r="P12" i="104"/>
  <c r="O12" i="104"/>
  <c r="N12" i="104"/>
  <c r="M12" i="104"/>
  <c r="L12" i="104"/>
  <c r="K12" i="104"/>
  <c r="J12" i="104"/>
  <c r="P11" i="104"/>
  <c r="O11" i="104"/>
  <c r="N11" i="104"/>
  <c r="M11" i="104"/>
  <c r="L11" i="104"/>
  <c r="K11" i="104"/>
  <c r="J11" i="104"/>
  <c r="P10" i="104"/>
  <c r="O10" i="104"/>
  <c r="N10" i="104"/>
  <c r="M10" i="104"/>
  <c r="L10" i="104"/>
  <c r="K10" i="104"/>
  <c r="J10" i="104"/>
  <c r="P9" i="104"/>
  <c r="O9" i="104"/>
  <c r="N9" i="104"/>
  <c r="M9" i="104"/>
  <c r="L9" i="104"/>
  <c r="K9" i="104"/>
  <c r="J9" i="104"/>
  <c r="P8" i="104"/>
  <c r="O8" i="104"/>
  <c r="N8" i="104"/>
  <c r="M8" i="104"/>
  <c r="L8" i="104"/>
  <c r="K8" i="104"/>
  <c r="J8" i="104"/>
  <c r="P7" i="104"/>
  <c r="O7" i="104"/>
  <c r="N7" i="104"/>
  <c r="M7" i="104"/>
  <c r="L7" i="104"/>
  <c r="K7" i="104"/>
  <c r="J7" i="104"/>
  <c r="P6" i="104"/>
  <c r="O6" i="104"/>
  <c r="N6" i="104"/>
  <c r="M6" i="104"/>
  <c r="L6" i="104"/>
  <c r="K6" i="104"/>
  <c r="J6" i="104"/>
  <c r="P5" i="104"/>
  <c r="O5" i="104"/>
  <c r="N5" i="104"/>
  <c r="M5" i="104"/>
  <c r="L5" i="104"/>
  <c r="K5" i="104"/>
  <c r="J5" i="104"/>
  <c r="P4" i="104"/>
  <c r="O4" i="104"/>
  <c r="N4" i="104"/>
  <c r="M4" i="104"/>
  <c r="L4" i="104"/>
  <c r="K4" i="104"/>
  <c r="J4" i="104"/>
  <c r="P3" i="104"/>
  <c r="O3" i="104"/>
  <c r="N3" i="104"/>
  <c r="M3" i="104"/>
  <c r="L3" i="104"/>
  <c r="K3" i="104"/>
  <c r="J3" i="104"/>
  <c r="F16" i="104"/>
  <c r="F15" i="104"/>
  <c r="F14" i="104"/>
  <c r="F13" i="104"/>
  <c r="F12" i="104"/>
  <c r="F11" i="104"/>
  <c r="F10" i="104"/>
  <c r="F9" i="104"/>
  <c r="F8" i="104"/>
  <c r="F7" i="104"/>
  <c r="F6" i="104"/>
  <c r="F5" i="104"/>
  <c r="F4" i="104"/>
  <c r="F3" i="104"/>
  <c r="J70" i="103"/>
  <c r="I70" i="103"/>
  <c r="H70" i="103"/>
  <c r="G70" i="103"/>
  <c r="Q68" i="103"/>
  <c r="P68" i="103"/>
  <c r="O68" i="103"/>
  <c r="N68" i="103"/>
  <c r="M68" i="103"/>
  <c r="L68" i="103"/>
  <c r="K68" i="103"/>
  <c r="J72" i="103"/>
  <c r="J69" i="103" s="1"/>
  <c r="I72" i="103"/>
  <c r="I69" i="103" s="1"/>
  <c r="H72" i="103"/>
  <c r="H69" i="103" s="1"/>
  <c r="G72" i="103"/>
  <c r="G69" i="103" s="1"/>
  <c r="J68" i="103"/>
  <c r="I68" i="103"/>
  <c r="H68" i="103"/>
  <c r="G68" i="103"/>
  <c r="J65" i="103"/>
  <c r="I65" i="103"/>
  <c r="H65" i="103"/>
  <c r="G65" i="103"/>
  <c r="J64" i="103"/>
  <c r="I64" i="103"/>
  <c r="H64" i="103"/>
  <c r="G64" i="103"/>
  <c r="J63" i="103"/>
  <c r="I63" i="103"/>
  <c r="H63" i="103"/>
  <c r="G63" i="103"/>
  <c r="J62" i="103"/>
  <c r="I62" i="103"/>
  <c r="H62" i="103"/>
  <c r="G62" i="103"/>
  <c r="J61" i="103"/>
  <c r="I61" i="103"/>
  <c r="H61" i="103"/>
  <c r="G61" i="103"/>
  <c r="J60" i="103"/>
  <c r="I60" i="103"/>
  <c r="H60" i="103"/>
  <c r="G60" i="103"/>
  <c r="J59" i="103"/>
  <c r="I59" i="103"/>
  <c r="H59" i="103"/>
  <c r="G59" i="103"/>
  <c r="J58" i="103"/>
  <c r="I58" i="103"/>
  <c r="H58" i="103"/>
  <c r="G58" i="103"/>
  <c r="J57" i="103"/>
  <c r="I57" i="103"/>
  <c r="H57" i="103"/>
  <c r="G57" i="103"/>
  <c r="J56" i="103"/>
  <c r="I56" i="103"/>
  <c r="H56" i="103"/>
  <c r="G56" i="103"/>
  <c r="J55" i="103"/>
  <c r="I55" i="103"/>
  <c r="H55" i="103"/>
  <c r="G55" i="103"/>
  <c r="J54" i="103"/>
  <c r="I54" i="103"/>
  <c r="H54" i="103"/>
  <c r="G54" i="103"/>
  <c r="J53" i="103"/>
  <c r="I53" i="103"/>
  <c r="H53" i="103"/>
  <c r="G53" i="103"/>
  <c r="J52" i="103"/>
  <c r="I52" i="103"/>
  <c r="H52" i="103"/>
  <c r="G52" i="103"/>
  <c r="I48" i="103"/>
  <c r="L47" i="103"/>
  <c r="K47" i="103"/>
  <c r="I46" i="103"/>
  <c r="I44" i="103"/>
  <c r="L43" i="103"/>
  <c r="M42" i="103"/>
  <c r="I42" i="103"/>
  <c r="I40" i="103"/>
  <c r="L39" i="103"/>
  <c r="I38" i="103"/>
  <c r="I36" i="103"/>
  <c r="N16" i="103"/>
  <c r="N48" i="103" s="1"/>
  <c r="L10" i="103"/>
  <c r="L42" i="103" s="1"/>
  <c r="N8" i="103"/>
  <c r="N40" i="103" s="1"/>
  <c r="Q3" i="103"/>
  <c r="Q35" i="103" s="1"/>
  <c r="M3" i="103"/>
  <c r="M35" i="103" s="1"/>
  <c r="O32" i="103"/>
  <c r="O16" i="103" s="1"/>
  <c r="O48" i="103" s="1"/>
  <c r="N32" i="103"/>
  <c r="M32" i="103"/>
  <c r="M16" i="103" s="1"/>
  <c r="L32" i="103"/>
  <c r="L16" i="103" s="1"/>
  <c r="K32" i="103"/>
  <c r="K16" i="103" s="1"/>
  <c r="K48" i="103" s="1"/>
  <c r="O31" i="103"/>
  <c r="N31" i="103"/>
  <c r="N15" i="103" s="1"/>
  <c r="N47" i="103" s="1"/>
  <c r="M31" i="103"/>
  <c r="M15" i="103" s="1"/>
  <c r="M47" i="103" s="1"/>
  <c r="L31" i="103"/>
  <c r="L15" i="103" s="1"/>
  <c r="K31" i="103"/>
  <c r="K15" i="103" s="1"/>
  <c r="O30" i="103"/>
  <c r="O14" i="103" s="1"/>
  <c r="O46" i="103" s="1"/>
  <c r="N30" i="103"/>
  <c r="N14" i="103" s="1"/>
  <c r="N46" i="103" s="1"/>
  <c r="M30" i="103"/>
  <c r="M14" i="103" s="1"/>
  <c r="L30" i="103"/>
  <c r="L14" i="103" s="1"/>
  <c r="K30" i="103"/>
  <c r="K14" i="103" s="1"/>
  <c r="K46" i="103" s="1"/>
  <c r="O29" i="103"/>
  <c r="N29" i="103"/>
  <c r="N13" i="103" s="1"/>
  <c r="N45" i="103" s="1"/>
  <c r="M29" i="103"/>
  <c r="M13" i="103" s="1"/>
  <c r="M45" i="103" s="1"/>
  <c r="L29" i="103"/>
  <c r="L13" i="103" s="1"/>
  <c r="L45" i="103" s="1"/>
  <c r="K29" i="103"/>
  <c r="K13" i="103" s="1"/>
  <c r="K45" i="103" s="1"/>
  <c r="O28" i="103"/>
  <c r="O12" i="103" s="1"/>
  <c r="N28" i="103"/>
  <c r="N12" i="103" s="1"/>
  <c r="M28" i="103"/>
  <c r="M12" i="103" s="1"/>
  <c r="L28" i="103"/>
  <c r="L12" i="103" s="1"/>
  <c r="K28" i="103"/>
  <c r="K12" i="103" s="1"/>
  <c r="K44" i="103" s="1"/>
  <c r="O27" i="103"/>
  <c r="N27" i="103"/>
  <c r="N11" i="103" s="1"/>
  <c r="N43" i="103" s="1"/>
  <c r="M27" i="103"/>
  <c r="M11" i="103" s="1"/>
  <c r="M43" i="103" s="1"/>
  <c r="L27" i="103"/>
  <c r="L11" i="103" s="1"/>
  <c r="K27" i="103"/>
  <c r="K11" i="103" s="1"/>
  <c r="O26" i="103"/>
  <c r="O10" i="103" s="1"/>
  <c r="O42" i="103" s="1"/>
  <c r="N26" i="103"/>
  <c r="N10" i="103" s="1"/>
  <c r="N42" i="103" s="1"/>
  <c r="M26" i="103"/>
  <c r="M10" i="103" s="1"/>
  <c r="L26" i="103"/>
  <c r="K26" i="103"/>
  <c r="K10" i="103" s="1"/>
  <c r="O25" i="103"/>
  <c r="N25" i="103"/>
  <c r="N9" i="103" s="1"/>
  <c r="N41" i="103" s="1"/>
  <c r="M25" i="103"/>
  <c r="M9" i="103" s="1"/>
  <c r="M41" i="103" s="1"/>
  <c r="L25" i="103"/>
  <c r="L9" i="103" s="1"/>
  <c r="L41" i="103" s="1"/>
  <c r="K25" i="103"/>
  <c r="K9" i="103" s="1"/>
  <c r="K41" i="103" s="1"/>
  <c r="O24" i="103"/>
  <c r="O8" i="103" s="1"/>
  <c r="N24" i="103"/>
  <c r="M24" i="103"/>
  <c r="M8" i="103" s="1"/>
  <c r="L24" i="103"/>
  <c r="L8" i="103" s="1"/>
  <c r="L40" i="103" s="1"/>
  <c r="K24" i="103"/>
  <c r="K8" i="103" s="1"/>
  <c r="O23" i="103"/>
  <c r="N23" i="103"/>
  <c r="N7" i="103" s="1"/>
  <c r="N39" i="103" s="1"/>
  <c r="M23" i="103"/>
  <c r="M7" i="103" s="1"/>
  <c r="M39" i="103" s="1"/>
  <c r="L23" i="103"/>
  <c r="L7" i="103" s="1"/>
  <c r="K23" i="103"/>
  <c r="K7" i="103" s="1"/>
  <c r="O22" i="103"/>
  <c r="O6" i="103" s="1"/>
  <c r="O38" i="103" s="1"/>
  <c r="N22" i="103"/>
  <c r="N6" i="103" s="1"/>
  <c r="N38" i="103" s="1"/>
  <c r="M22" i="103"/>
  <c r="M6" i="103" s="1"/>
  <c r="L22" i="103"/>
  <c r="L6" i="103" s="1"/>
  <c r="L38" i="103" s="1"/>
  <c r="K22" i="103"/>
  <c r="K6" i="103" s="1"/>
  <c r="O21" i="103"/>
  <c r="N21" i="103"/>
  <c r="N5" i="103" s="1"/>
  <c r="N37" i="103" s="1"/>
  <c r="M21" i="103"/>
  <c r="M5" i="103" s="1"/>
  <c r="M37" i="103" s="1"/>
  <c r="L21" i="103"/>
  <c r="L5" i="103" s="1"/>
  <c r="L37" i="103" s="1"/>
  <c r="K21" i="103"/>
  <c r="K5" i="103" s="1"/>
  <c r="K37" i="103" s="1"/>
  <c r="O20" i="103"/>
  <c r="O4" i="103" s="1"/>
  <c r="N20" i="103"/>
  <c r="N4" i="103" s="1"/>
  <c r="N36" i="103" s="1"/>
  <c r="M20" i="103"/>
  <c r="M4" i="103" s="1"/>
  <c r="L20" i="103"/>
  <c r="L4" i="103" s="1"/>
  <c r="L36" i="103" s="1"/>
  <c r="K20" i="103"/>
  <c r="K4" i="103" s="1"/>
  <c r="Q19" i="103"/>
  <c r="P19" i="103"/>
  <c r="P3" i="103" s="1"/>
  <c r="O19" i="103"/>
  <c r="P32" i="103" s="1"/>
  <c r="P16" i="103" s="1"/>
  <c r="P48" i="103" s="1"/>
  <c r="N19" i="103"/>
  <c r="N3" i="103" s="1"/>
  <c r="N35" i="103" s="1"/>
  <c r="M19" i="103"/>
  <c r="L19" i="103"/>
  <c r="L3" i="103" s="1"/>
  <c r="K19" i="103"/>
  <c r="K3" i="103" s="1"/>
  <c r="K35" i="103" s="1"/>
  <c r="J16" i="103"/>
  <c r="J48" i="103" s="1"/>
  <c r="I16" i="103"/>
  <c r="H16" i="103"/>
  <c r="G16" i="103"/>
  <c r="J15" i="103"/>
  <c r="J47" i="103" s="1"/>
  <c r="I15" i="103"/>
  <c r="I47" i="103" s="1"/>
  <c r="H15" i="103"/>
  <c r="G15" i="103"/>
  <c r="J14" i="103"/>
  <c r="J46" i="103" s="1"/>
  <c r="I14" i="103"/>
  <c r="H14" i="103"/>
  <c r="G14" i="103"/>
  <c r="J13" i="103"/>
  <c r="J45" i="103" s="1"/>
  <c r="I13" i="103"/>
  <c r="I45" i="103" s="1"/>
  <c r="H13" i="103"/>
  <c r="G13" i="103"/>
  <c r="J12" i="103"/>
  <c r="J44" i="103" s="1"/>
  <c r="I12" i="103"/>
  <c r="H12" i="103"/>
  <c r="J11" i="103"/>
  <c r="J43" i="103" s="1"/>
  <c r="I11" i="103"/>
  <c r="I43" i="103" s="1"/>
  <c r="H11" i="103"/>
  <c r="G11" i="103"/>
  <c r="H43" i="103" s="1"/>
  <c r="J10" i="103"/>
  <c r="J42" i="103" s="1"/>
  <c r="I10" i="103"/>
  <c r="H10" i="103"/>
  <c r="H42" i="103" s="1"/>
  <c r="G10" i="103"/>
  <c r="J9" i="103"/>
  <c r="J41" i="103" s="1"/>
  <c r="I9" i="103"/>
  <c r="I41" i="103" s="1"/>
  <c r="H9" i="103"/>
  <c r="G9" i="103"/>
  <c r="H41" i="103" s="1"/>
  <c r="J8" i="103"/>
  <c r="J40" i="103" s="1"/>
  <c r="I8" i="103"/>
  <c r="H8" i="103"/>
  <c r="H40" i="103" s="1"/>
  <c r="G8" i="103"/>
  <c r="J7" i="103"/>
  <c r="J39" i="103" s="1"/>
  <c r="I7" i="103"/>
  <c r="I39" i="103" s="1"/>
  <c r="H7" i="103"/>
  <c r="G7" i="103"/>
  <c r="H39" i="103" s="1"/>
  <c r="J6" i="103"/>
  <c r="J38" i="103" s="1"/>
  <c r="I6" i="103"/>
  <c r="H6" i="103"/>
  <c r="H38" i="103" s="1"/>
  <c r="G6" i="103"/>
  <c r="J5" i="103"/>
  <c r="J37" i="103" s="1"/>
  <c r="I5" i="103"/>
  <c r="I37" i="103" s="1"/>
  <c r="H5" i="103"/>
  <c r="G5" i="103"/>
  <c r="H37" i="103" s="1"/>
  <c r="J4" i="103"/>
  <c r="J36" i="103" s="1"/>
  <c r="I4" i="103"/>
  <c r="H4" i="103"/>
  <c r="H36" i="103" s="1"/>
  <c r="G4" i="103"/>
  <c r="J3" i="103"/>
  <c r="J35" i="103" s="1"/>
  <c r="I3" i="103"/>
  <c r="I35" i="103" s="1"/>
  <c r="H3" i="103"/>
  <c r="G3" i="103"/>
  <c r="H35" i="103" s="1"/>
  <c r="G12" i="103"/>
  <c r="F28" i="104" s="1"/>
  <c r="G5" i="104"/>
  <c r="I6" i="104"/>
  <c r="H11" i="104"/>
  <c r="I15" i="104"/>
  <c r="H6" i="104"/>
  <c r="G13" i="104"/>
  <c r="G14" i="104"/>
  <c r="H16" i="104"/>
  <c r="G3" i="104"/>
  <c r="H4" i="104"/>
  <c r="G8" i="104"/>
  <c r="I9" i="104"/>
  <c r="G6" i="104"/>
  <c r="I4" i="104"/>
  <c r="H5" i="104"/>
  <c r="H3" i="104"/>
  <c r="I10" i="104"/>
  <c r="I7" i="104"/>
  <c r="G16" i="104"/>
  <c r="I16" i="104"/>
  <c r="H15" i="104"/>
  <c r="I8" i="104"/>
  <c r="G15" i="104"/>
  <c r="H10" i="104"/>
  <c r="H12" i="104"/>
  <c r="G9" i="104"/>
  <c r="I3" i="104"/>
  <c r="I11" i="104"/>
  <c r="G11" i="104"/>
  <c r="H7" i="104"/>
  <c r="I14" i="104"/>
  <c r="I13" i="104"/>
  <c r="I5" i="104"/>
  <c r="G7" i="104"/>
  <c r="G12" i="104"/>
  <c r="I12" i="104"/>
  <c r="H13" i="104"/>
  <c r="H9" i="104"/>
  <c r="H14" i="104"/>
  <c r="G10" i="104"/>
  <c r="H8" i="104"/>
  <c r="G4" i="104"/>
  <c r="I28" i="118" l="1"/>
  <c r="J28" i="118"/>
  <c r="H28" i="118"/>
  <c r="C100" i="105"/>
  <c r="E100" i="105" s="1"/>
  <c r="G100" i="105" s="1"/>
  <c r="I100" i="105" s="1"/>
  <c r="L100" i="105" s="1"/>
  <c r="N100" i="105" s="1"/>
  <c r="M100" i="108" s="1"/>
  <c r="J356" i="109"/>
  <c r="J366" i="109"/>
  <c r="J354" i="109"/>
  <c r="J359" i="109"/>
  <c r="J351" i="109"/>
  <c r="J361" i="109"/>
  <c r="J349" i="109"/>
  <c r="J342" i="109"/>
  <c r="L48" i="109"/>
  <c r="K332" i="109"/>
  <c r="K328" i="109"/>
  <c r="K331" i="109"/>
  <c r="K327" i="109"/>
  <c r="K323" i="109"/>
  <c r="K319" i="109"/>
  <c r="K334" i="109"/>
  <c r="K330" i="109"/>
  <c r="K314" i="109"/>
  <c r="K310" i="109"/>
  <c r="K324" i="109"/>
  <c r="K320" i="109"/>
  <c r="K316" i="109"/>
  <c r="K312" i="109"/>
  <c r="K326" i="109"/>
  <c r="K318" i="109"/>
  <c r="K307" i="109"/>
  <c r="K329" i="109"/>
  <c r="K325" i="109"/>
  <c r="K317" i="109"/>
  <c r="K315" i="109"/>
  <c r="K311" i="109"/>
  <c r="K309" i="109"/>
  <c r="K308" i="109"/>
  <c r="K322" i="109"/>
  <c r="K333" i="109"/>
  <c r="K313" i="109"/>
  <c r="K321" i="109"/>
  <c r="J343" i="109"/>
  <c r="J357" i="109"/>
  <c r="J347" i="109"/>
  <c r="J339" i="109"/>
  <c r="J364" i="109"/>
  <c r="J346" i="109"/>
  <c r="J362" i="109"/>
  <c r="L47" i="109"/>
  <c r="K302" i="109"/>
  <c r="K366" i="109" s="1"/>
  <c r="K299" i="109"/>
  <c r="K363" i="109" s="1"/>
  <c r="K298" i="109"/>
  <c r="K362" i="109" s="1"/>
  <c r="K294" i="109"/>
  <c r="K358" i="109" s="1"/>
  <c r="K290" i="109"/>
  <c r="K354" i="109" s="1"/>
  <c r="K301" i="109"/>
  <c r="K365" i="109" s="1"/>
  <c r="K300" i="109"/>
  <c r="K364" i="109" s="1"/>
  <c r="K297" i="109"/>
  <c r="K361" i="109" s="1"/>
  <c r="K293" i="109"/>
  <c r="K357" i="109" s="1"/>
  <c r="K289" i="109"/>
  <c r="K353" i="109" s="1"/>
  <c r="K285" i="109"/>
  <c r="K349" i="109" s="1"/>
  <c r="K281" i="109"/>
  <c r="K345" i="109" s="1"/>
  <c r="K277" i="109"/>
  <c r="K341" i="109" s="1"/>
  <c r="K296" i="109"/>
  <c r="K360" i="109" s="1"/>
  <c r="K292" i="109"/>
  <c r="K356" i="109" s="1"/>
  <c r="K288" i="109"/>
  <c r="K352" i="109" s="1"/>
  <c r="K284" i="109"/>
  <c r="K348" i="109" s="1"/>
  <c r="K280" i="109"/>
  <c r="K344" i="109" s="1"/>
  <c r="K276" i="109"/>
  <c r="K340" i="109" s="1"/>
  <c r="K286" i="109"/>
  <c r="K350" i="109" s="1"/>
  <c r="K282" i="109"/>
  <c r="K346" i="109" s="1"/>
  <c r="K278" i="109"/>
  <c r="K342" i="109" s="1"/>
  <c r="K283" i="109"/>
  <c r="K347" i="109" s="1"/>
  <c r="K295" i="109"/>
  <c r="K359" i="109" s="1"/>
  <c r="K291" i="109"/>
  <c r="K355" i="109" s="1"/>
  <c r="K287" i="109"/>
  <c r="K351" i="109" s="1"/>
  <c r="K279" i="109"/>
  <c r="K343" i="109" s="1"/>
  <c r="K275" i="109"/>
  <c r="K339" i="109" s="1"/>
  <c r="J340" i="109"/>
  <c r="J352" i="109"/>
  <c r="J348" i="109"/>
  <c r="J341" i="109"/>
  <c r="J365" i="109"/>
  <c r="J350" i="109"/>
  <c r="J355" i="109"/>
  <c r="AF26" i="108"/>
  <c r="AF18" i="108"/>
  <c r="AF12" i="108"/>
  <c r="AF7" i="108"/>
  <c r="AF23" i="108"/>
  <c r="AF17" i="108"/>
  <c r="AF11" i="108"/>
  <c r="AF28" i="108"/>
  <c r="AF22" i="108"/>
  <c r="AF16" i="108"/>
  <c r="AF8" i="108"/>
  <c r="AF27" i="108"/>
  <c r="AF21" i="108"/>
  <c r="AF13" i="108"/>
  <c r="AF6" i="108"/>
  <c r="C102" i="105"/>
  <c r="E102" i="105" s="1"/>
  <c r="G102" i="105" s="1"/>
  <c r="I102" i="105" s="1"/>
  <c r="L102" i="105" s="1"/>
  <c r="N102" i="105" s="1"/>
  <c r="M102" i="108" s="1"/>
  <c r="C52" i="108"/>
  <c r="C48" i="108"/>
  <c r="C44" i="108"/>
  <c r="C40" i="108"/>
  <c r="C36" i="108"/>
  <c r="C32" i="108"/>
  <c r="C53" i="108"/>
  <c r="C49" i="108"/>
  <c r="C45" i="108"/>
  <c r="C41" i="108"/>
  <c r="C37" i="108"/>
  <c r="C33" i="108"/>
  <c r="C29" i="108"/>
  <c r="C28" i="108"/>
  <c r="C27" i="108"/>
  <c r="C26" i="108"/>
  <c r="C25" i="108"/>
  <c r="C24" i="108"/>
  <c r="C23" i="108"/>
  <c r="C22" i="108"/>
  <c r="C21" i="108"/>
  <c r="C20" i="108"/>
  <c r="C19" i="108"/>
  <c r="C18" i="108"/>
  <c r="C17" i="108"/>
  <c r="C16" i="108"/>
  <c r="C15" i="108"/>
  <c r="C14" i="108"/>
  <c r="C13" i="108"/>
  <c r="C12" i="108"/>
  <c r="C11" i="108"/>
  <c r="C10" i="108"/>
  <c r="C101" i="108"/>
  <c r="C97" i="108"/>
  <c r="C93" i="108"/>
  <c r="C89" i="108"/>
  <c r="C85" i="108"/>
  <c r="C81" i="108"/>
  <c r="C77" i="108"/>
  <c r="C73" i="108"/>
  <c r="C69" i="108"/>
  <c r="C65" i="108"/>
  <c r="C61" i="108"/>
  <c r="C57" i="108"/>
  <c r="C103" i="108"/>
  <c r="C99" i="108"/>
  <c r="C95" i="108"/>
  <c r="C91" i="108"/>
  <c r="C87" i="108"/>
  <c r="C83" i="108"/>
  <c r="C79" i="108"/>
  <c r="C75" i="108"/>
  <c r="C71" i="108"/>
  <c r="C67" i="108"/>
  <c r="C63" i="108"/>
  <c r="C59" i="108"/>
  <c r="C55" i="108"/>
  <c r="C102" i="108"/>
  <c r="C94" i="108"/>
  <c r="C86" i="108"/>
  <c r="C78" i="108"/>
  <c r="C70" i="108"/>
  <c r="C62" i="108"/>
  <c r="C54" i="108"/>
  <c r="C51" i="108"/>
  <c r="C46" i="108"/>
  <c r="C43" i="108"/>
  <c r="C38" i="108"/>
  <c r="C35" i="108"/>
  <c r="C30" i="108"/>
  <c r="C7" i="108"/>
  <c r="C80" i="108"/>
  <c r="C72" i="108"/>
  <c r="C56" i="108"/>
  <c r="C100" i="108"/>
  <c r="C92" i="108"/>
  <c r="C84" i="108"/>
  <c r="C76" i="108"/>
  <c r="C68" i="108"/>
  <c r="C60" i="108"/>
  <c r="C8" i="108"/>
  <c r="C4" i="108"/>
  <c r="C98" i="108"/>
  <c r="C90" i="108"/>
  <c r="C82" i="108"/>
  <c r="C74" i="108"/>
  <c r="C66" i="108"/>
  <c r="C58" i="108"/>
  <c r="C50" i="108"/>
  <c r="C47" i="108"/>
  <c r="C42" i="108"/>
  <c r="C39" i="108"/>
  <c r="C34" i="108"/>
  <c r="C31" i="108"/>
  <c r="C9" i="108"/>
  <c r="C5" i="108"/>
  <c r="C96" i="108"/>
  <c r="C88" i="108"/>
  <c r="C64" i="108"/>
  <c r="C6" i="108"/>
  <c r="R102" i="105"/>
  <c r="R98" i="105"/>
  <c r="R90" i="105"/>
  <c r="R86" i="105"/>
  <c r="R82" i="105"/>
  <c r="R78" i="105"/>
  <c r="R70" i="105"/>
  <c r="R66" i="105"/>
  <c r="R62" i="105"/>
  <c r="R58" i="105"/>
  <c r="R50" i="105"/>
  <c r="R46" i="105"/>
  <c r="R42" i="105"/>
  <c r="R38" i="105"/>
  <c r="R30" i="105"/>
  <c r="R26" i="105"/>
  <c r="R22" i="105"/>
  <c r="R18" i="105"/>
  <c r="R10" i="105"/>
  <c r="R6" i="105"/>
  <c r="R101" i="105"/>
  <c r="R97" i="105"/>
  <c r="R93" i="105"/>
  <c r="R85" i="105"/>
  <c r="R81" i="105"/>
  <c r="R77" i="105"/>
  <c r="R73" i="105"/>
  <c r="R65" i="105"/>
  <c r="R61" i="105"/>
  <c r="R57" i="105"/>
  <c r="R100" i="105"/>
  <c r="R88" i="105"/>
  <c r="R80" i="105"/>
  <c r="R68" i="105"/>
  <c r="R60" i="105"/>
  <c r="R92" i="105"/>
  <c r="R87" i="105"/>
  <c r="R72" i="105"/>
  <c r="R67" i="105"/>
  <c r="R53" i="105"/>
  <c r="R48" i="105"/>
  <c r="R43" i="105"/>
  <c r="R37" i="105"/>
  <c r="R33" i="105"/>
  <c r="R28" i="105"/>
  <c r="R23" i="105"/>
  <c r="R17" i="105"/>
  <c r="R13" i="105"/>
  <c r="R8" i="105"/>
  <c r="R96" i="105"/>
  <c r="R71" i="105"/>
  <c r="R56" i="105"/>
  <c r="R47" i="105"/>
  <c r="R36" i="105"/>
  <c r="R27" i="105"/>
  <c r="R16" i="105"/>
  <c r="R7" i="105"/>
  <c r="R95" i="105"/>
  <c r="R83" i="105"/>
  <c r="R75" i="105"/>
  <c r="R63" i="105"/>
  <c r="R55" i="105"/>
  <c r="R51" i="105"/>
  <c r="R45" i="105"/>
  <c r="R40" i="105"/>
  <c r="R35" i="105"/>
  <c r="R31" i="105"/>
  <c r="R25" i="105"/>
  <c r="R20" i="105"/>
  <c r="R15" i="105"/>
  <c r="R11" i="105"/>
  <c r="R5" i="105"/>
  <c r="R91" i="105"/>
  <c r="R76" i="105"/>
  <c r="R52" i="105"/>
  <c r="R41" i="105"/>
  <c r="R32" i="105"/>
  <c r="R21" i="105"/>
  <c r="R12" i="105"/>
  <c r="R103" i="105"/>
  <c r="G19" i="104"/>
  <c r="G21" i="104"/>
  <c r="I23" i="104"/>
  <c r="H26" i="104"/>
  <c r="I31" i="104"/>
  <c r="G20" i="104"/>
  <c r="H21" i="104"/>
  <c r="I22" i="104"/>
  <c r="G24" i="104"/>
  <c r="H25" i="104"/>
  <c r="I26" i="104"/>
  <c r="G28" i="104"/>
  <c r="H29" i="104"/>
  <c r="I30" i="104"/>
  <c r="G32" i="104"/>
  <c r="I19" i="104"/>
  <c r="G25" i="104"/>
  <c r="I27" i="104"/>
  <c r="H30" i="104"/>
  <c r="H20" i="104"/>
  <c r="I21" i="104"/>
  <c r="G23" i="104"/>
  <c r="H24" i="104"/>
  <c r="I25" i="104"/>
  <c r="G27" i="104"/>
  <c r="H28" i="104"/>
  <c r="I29" i="104"/>
  <c r="G31" i="104"/>
  <c r="H32" i="104"/>
  <c r="H22" i="104"/>
  <c r="G29" i="104"/>
  <c r="H19" i="104"/>
  <c r="I20" i="104"/>
  <c r="G22" i="104"/>
  <c r="H23" i="104"/>
  <c r="I24" i="104"/>
  <c r="G26" i="104"/>
  <c r="H27" i="104"/>
  <c r="I28" i="104"/>
  <c r="G30" i="104"/>
  <c r="H31" i="104"/>
  <c r="I32" i="104"/>
  <c r="K72" i="103"/>
  <c r="H44" i="103"/>
  <c r="H45" i="103"/>
  <c r="H47" i="103"/>
  <c r="K38" i="103"/>
  <c r="N44" i="103"/>
  <c r="L46" i="103"/>
  <c r="M46" i="103"/>
  <c r="K43" i="103"/>
  <c r="K36" i="103"/>
  <c r="O36" i="103"/>
  <c r="K40" i="103"/>
  <c r="O40" i="103"/>
  <c r="O44" i="103"/>
  <c r="K39" i="103"/>
  <c r="M40" i="103"/>
  <c r="Q21" i="103"/>
  <c r="Q5" i="103" s="1"/>
  <c r="Q25" i="103"/>
  <c r="Q9" i="103" s="1"/>
  <c r="L44" i="103"/>
  <c r="M44" i="103"/>
  <c r="Q29" i="103"/>
  <c r="Q13" i="103" s="1"/>
  <c r="L48" i="103"/>
  <c r="M48" i="103"/>
  <c r="M36" i="103"/>
  <c r="H46" i="103"/>
  <c r="H48" i="103"/>
  <c r="L35" i="103"/>
  <c r="K42" i="103"/>
  <c r="M38" i="103"/>
  <c r="Q23" i="103"/>
  <c r="Q7" i="103" s="1"/>
  <c r="Q39" i="103" s="1"/>
  <c r="Q27" i="103"/>
  <c r="Q11" i="103" s="1"/>
  <c r="Q31" i="103"/>
  <c r="Q15" i="103" s="1"/>
  <c r="P20" i="103"/>
  <c r="P4" i="103" s="1"/>
  <c r="P36" i="103" s="1"/>
  <c r="P26" i="103"/>
  <c r="P10" i="103" s="1"/>
  <c r="P42" i="103" s="1"/>
  <c r="P30" i="103"/>
  <c r="P14" i="103" s="1"/>
  <c r="P46" i="103" s="1"/>
  <c r="Q20" i="103"/>
  <c r="Q4" i="103" s="1"/>
  <c r="Q36" i="103" s="1"/>
  <c r="Q22" i="103"/>
  <c r="Q6" i="103" s="1"/>
  <c r="Q24" i="103"/>
  <c r="Q8" i="103" s="1"/>
  <c r="Q26" i="103"/>
  <c r="Q10" i="103" s="1"/>
  <c r="Q42" i="103" s="1"/>
  <c r="Q28" i="103"/>
  <c r="Q12" i="103" s="1"/>
  <c r="Q30" i="103"/>
  <c r="Q14" i="103" s="1"/>
  <c r="Q32" i="103"/>
  <c r="Q16" i="103" s="1"/>
  <c r="Q48" i="103" s="1"/>
  <c r="P22" i="103"/>
  <c r="P6" i="103" s="1"/>
  <c r="P38" i="103" s="1"/>
  <c r="P28" i="103"/>
  <c r="P12" i="103" s="1"/>
  <c r="P21" i="103"/>
  <c r="P5" i="103" s="1"/>
  <c r="P23" i="103"/>
  <c r="P7" i="103" s="1"/>
  <c r="P39" i="103" s="1"/>
  <c r="P25" i="103"/>
  <c r="P9" i="103" s="1"/>
  <c r="P41" i="103" s="1"/>
  <c r="P27" i="103"/>
  <c r="P11" i="103" s="1"/>
  <c r="P29" i="103"/>
  <c r="P13" i="103" s="1"/>
  <c r="P31" i="103"/>
  <c r="P15" i="103" s="1"/>
  <c r="P47" i="103" s="1"/>
  <c r="O3" i="103"/>
  <c r="O35" i="103" s="1"/>
  <c r="O7" i="103"/>
  <c r="O39" i="103" s="1"/>
  <c r="O11" i="103"/>
  <c r="O43" i="103" s="1"/>
  <c r="O15" i="103"/>
  <c r="O47" i="103" s="1"/>
  <c r="P24" i="103"/>
  <c r="P8" i="103" s="1"/>
  <c r="P40" i="103" s="1"/>
  <c r="O5" i="103"/>
  <c r="O37" i="103" s="1"/>
  <c r="O9" i="103"/>
  <c r="O41" i="103" s="1"/>
  <c r="O13" i="103"/>
  <c r="O45" i="103" s="1"/>
  <c r="C38" i="105" l="1"/>
  <c r="E38" i="105" s="1"/>
  <c r="G38" i="105" s="1"/>
  <c r="C72" i="105"/>
  <c r="E72" i="105" s="1"/>
  <c r="G72" i="105" s="1"/>
  <c r="I72" i="105" s="1"/>
  <c r="L72" i="105" s="1"/>
  <c r="N72" i="105" s="1"/>
  <c r="M72" i="108" s="1"/>
  <c r="C11" i="105"/>
  <c r="E11" i="105" s="1"/>
  <c r="G11" i="105" s="1"/>
  <c r="I11" i="105" s="1"/>
  <c r="L11" i="105" s="1"/>
  <c r="N11" i="105" s="1"/>
  <c r="M11" i="108" s="1"/>
  <c r="C44" i="105"/>
  <c r="E44" i="105" s="1"/>
  <c r="G44" i="105" s="1"/>
  <c r="C53" i="105"/>
  <c r="E53" i="105" s="1"/>
  <c r="G53" i="105" s="1"/>
  <c r="C64" i="105"/>
  <c r="E64" i="105" s="1"/>
  <c r="G64" i="105" s="1"/>
  <c r="I64" i="105" s="1"/>
  <c r="L64" i="105" s="1"/>
  <c r="N64" i="105" s="1"/>
  <c r="M64" i="108" s="1"/>
  <c r="C23" i="105"/>
  <c r="E23" i="105" s="1"/>
  <c r="G23" i="105" s="1"/>
  <c r="I23" i="105" s="1"/>
  <c r="L23" i="105" s="1"/>
  <c r="N23" i="105" s="1"/>
  <c r="M23" i="108" s="1"/>
  <c r="C13" i="105"/>
  <c r="E13" i="105" s="1"/>
  <c r="G13" i="105" s="1"/>
  <c r="I13" i="105" s="1"/>
  <c r="L13" i="105" s="1"/>
  <c r="N13" i="105" s="1"/>
  <c r="M13" i="108" s="1"/>
  <c r="C15" i="105"/>
  <c r="E15" i="105" s="1"/>
  <c r="G15" i="105" s="1"/>
  <c r="I15" i="105" s="1"/>
  <c r="L15" i="105" s="1"/>
  <c r="N15" i="105" s="1"/>
  <c r="M15" i="108" s="1"/>
  <c r="C87" i="105"/>
  <c r="E87" i="105" s="1"/>
  <c r="G87" i="105" s="1"/>
  <c r="I87" i="105" s="1"/>
  <c r="L87" i="105" s="1"/>
  <c r="N87" i="105" s="1"/>
  <c r="M87" i="108" s="1"/>
  <c r="C43" i="105"/>
  <c r="E43" i="105" s="1"/>
  <c r="G43" i="105" s="1"/>
  <c r="C49" i="105"/>
  <c r="E49" i="105" s="1"/>
  <c r="G49" i="105" s="1"/>
  <c r="C85" i="105"/>
  <c r="E85" i="105" s="1"/>
  <c r="G85" i="105" s="1"/>
  <c r="I85" i="105" s="1"/>
  <c r="L85" i="105" s="1"/>
  <c r="N85" i="105" s="1"/>
  <c r="M85" i="108" s="1"/>
  <c r="C31" i="105"/>
  <c r="E31" i="105" s="1"/>
  <c r="G31" i="105" s="1"/>
  <c r="C40" i="105"/>
  <c r="E40" i="105" s="1"/>
  <c r="G40" i="105" s="1"/>
  <c r="C36" i="105"/>
  <c r="E36" i="105" s="1"/>
  <c r="G36" i="105" s="1"/>
  <c r="C76" i="105"/>
  <c r="E76" i="105" s="1"/>
  <c r="G76" i="105" s="1"/>
  <c r="I76" i="105" s="1"/>
  <c r="L76" i="105" s="1"/>
  <c r="N76" i="105" s="1"/>
  <c r="M76" i="108" s="1"/>
  <c r="C93" i="105"/>
  <c r="E93" i="105" s="1"/>
  <c r="G93" i="105" s="1"/>
  <c r="I93" i="105" s="1"/>
  <c r="L93" i="105" s="1"/>
  <c r="N93" i="105" s="1"/>
  <c r="M93" i="108" s="1"/>
  <c r="C58" i="105"/>
  <c r="E58" i="105" s="1"/>
  <c r="G58" i="105" s="1"/>
  <c r="I58" i="105" s="1"/>
  <c r="L58" i="105" s="1"/>
  <c r="N58" i="105" s="1"/>
  <c r="M58" i="108" s="1"/>
  <c r="C42" i="105"/>
  <c r="E42" i="105" s="1"/>
  <c r="G42" i="105" s="1"/>
  <c r="C51" i="105"/>
  <c r="E51" i="105" s="1"/>
  <c r="G51" i="105" s="1"/>
  <c r="C90" i="105"/>
  <c r="E90" i="105" s="1"/>
  <c r="G90" i="105" s="1"/>
  <c r="I90" i="105" s="1"/>
  <c r="L90" i="105" s="1"/>
  <c r="N90" i="105" s="1"/>
  <c r="M90" i="108" s="1"/>
  <c r="C82" i="105"/>
  <c r="E82" i="105" s="1"/>
  <c r="G82" i="105" s="1"/>
  <c r="I82" i="105" s="1"/>
  <c r="L82" i="105" s="1"/>
  <c r="N82" i="105" s="1"/>
  <c r="M82" i="108" s="1"/>
  <c r="C48" i="105"/>
  <c r="E48" i="105" s="1"/>
  <c r="G48" i="105" s="1"/>
  <c r="C7" i="105"/>
  <c r="E7" i="105" s="1"/>
  <c r="G7" i="105" s="1"/>
  <c r="I7" i="105" s="1"/>
  <c r="L7" i="105" s="1"/>
  <c r="N7" i="105" s="1"/>
  <c r="M7" i="108" s="1"/>
  <c r="C80" i="105"/>
  <c r="E80" i="105" s="1"/>
  <c r="G80" i="105" s="1"/>
  <c r="I80" i="105" s="1"/>
  <c r="L80" i="105" s="1"/>
  <c r="N80" i="105" s="1"/>
  <c r="M80" i="108" s="1"/>
  <c r="C79" i="105"/>
  <c r="E79" i="105" s="1"/>
  <c r="G79" i="105" s="1"/>
  <c r="I79" i="105" s="1"/>
  <c r="L79" i="105" s="1"/>
  <c r="N79" i="105" s="1"/>
  <c r="M79" i="108" s="1"/>
  <c r="C21" i="105"/>
  <c r="E21" i="105" s="1"/>
  <c r="G21" i="105" s="1"/>
  <c r="I21" i="105" s="1"/>
  <c r="L21" i="105" s="1"/>
  <c r="N21" i="105" s="1"/>
  <c r="M21" i="108" s="1"/>
  <c r="C60" i="105"/>
  <c r="E60" i="105" s="1"/>
  <c r="G60" i="105" s="1"/>
  <c r="I60" i="105" s="1"/>
  <c r="L60" i="105" s="1"/>
  <c r="N60" i="105" s="1"/>
  <c r="M60" i="108" s="1"/>
  <c r="C69" i="105"/>
  <c r="E69" i="105" s="1"/>
  <c r="G69" i="105" s="1"/>
  <c r="I69" i="105" s="1"/>
  <c r="L69" i="105" s="1"/>
  <c r="N69" i="105" s="1"/>
  <c r="M69" i="108" s="1"/>
  <c r="C8" i="105"/>
  <c r="E8" i="105" s="1"/>
  <c r="G8" i="105" s="1"/>
  <c r="I8" i="105" s="1"/>
  <c r="L8" i="105" s="1"/>
  <c r="N8" i="105" s="1"/>
  <c r="M8" i="108" s="1"/>
  <c r="C89" i="105"/>
  <c r="E89" i="105" s="1"/>
  <c r="G89" i="105" s="1"/>
  <c r="I89" i="105" s="1"/>
  <c r="L89" i="105" s="1"/>
  <c r="N89" i="105" s="1"/>
  <c r="M89" i="108" s="1"/>
  <c r="C88" i="105"/>
  <c r="E88" i="105" s="1"/>
  <c r="G88" i="105" s="1"/>
  <c r="I88" i="105" s="1"/>
  <c r="L88" i="105" s="1"/>
  <c r="N88" i="105" s="1"/>
  <c r="M88" i="108" s="1"/>
  <c r="C22" i="105"/>
  <c r="E22" i="105" s="1"/>
  <c r="G22" i="105" s="1"/>
  <c r="I22" i="105" s="1"/>
  <c r="L22" i="105" s="1"/>
  <c r="N22" i="105" s="1"/>
  <c r="M22" i="108" s="1"/>
  <c r="C61" i="105"/>
  <c r="E61" i="105" s="1"/>
  <c r="G61" i="105" s="1"/>
  <c r="I61" i="105" s="1"/>
  <c r="L61" i="105" s="1"/>
  <c r="N61" i="105" s="1"/>
  <c r="M61" i="108" s="1"/>
  <c r="C70" i="105"/>
  <c r="E70" i="105" s="1"/>
  <c r="G70" i="105" s="1"/>
  <c r="I70" i="105" s="1"/>
  <c r="L70" i="105" s="1"/>
  <c r="N70" i="105" s="1"/>
  <c r="M70" i="108" s="1"/>
  <c r="C10" i="105"/>
  <c r="E10" i="105" s="1"/>
  <c r="G10" i="105" s="1"/>
  <c r="I10" i="105" s="1"/>
  <c r="L10" i="105" s="1"/>
  <c r="N10" i="105" s="1"/>
  <c r="M10" i="108" s="1"/>
  <c r="C103" i="105"/>
  <c r="E103" i="105" s="1"/>
  <c r="G103" i="105" s="1"/>
  <c r="I103" i="105" s="1"/>
  <c r="L103" i="105" s="1"/>
  <c r="N103" i="105" s="1"/>
  <c r="M103" i="108" s="1"/>
  <c r="C5" i="105"/>
  <c r="E5" i="105" s="1"/>
  <c r="G5" i="105" s="1"/>
  <c r="I5" i="105" s="1"/>
  <c r="L5" i="105" s="1"/>
  <c r="N5" i="105" s="1"/>
  <c r="M5" i="108" s="1"/>
  <c r="C35" i="105"/>
  <c r="E35" i="105" s="1"/>
  <c r="G35" i="105" s="1"/>
  <c r="C75" i="105"/>
  <c r="E75" i="105" s="1"/>
  <c r="G75" i="105" s="1"/>
  <c r="I75" i="105" s="1"/>
  <c r="L75" i="105" s="1"/>
  <c r="N75" i="105" s="1"/>
  <c r="M75" i="108" s="1"/>
  <c r="C84" i="105"/>
  <c r="E84" i="105" s="1"/>
  <c r="G84" i="105" s="1"/>
  <c r="I84" i="105" s="1"/>
  <c r="L84" i="105" s="1"/>
  <c r="N84" i="105" s="1"/>
  <c r="M84" i="108" s="1"/>
  <c r="C33" i="105"/>
  <c r="E33" i="105" s="1"/>
  <c r="G33" i="105" s="1"/>
  <c r="C30" i="105"/>
  <c r="E30" i="105" s="1"/>
  <c r="G30" i="105" s="1"/>
  <c r="C29" i="105"/>
  <c r="E29" i="105" s="1"/>
  <c r="G29" i="105" s="1"/>
  <c r="C39" i="105"/>
  <c r="E39" i="105" s="1"/>
  <c r="G39" i="105" s="1"/>
  <c r="C55" i="105"/>
  <c r="E55" i="105" s="1"/>
  <c r="G55" i="105" s="1"/>
  <c r="I55" i="105" s="1"/>
  <c r="L55" i="105" s="1"/>
  <c r="N55" i="105" s="1"/>
  <c r="M55" i="108" s="1"/>
  <c r="C92" i="105"/>
  <c r="E92" i="105" s="1"/>
  <c r="G92" i="105" s="1"/>
  <c r="I92" i="105" s="1"/>
  <c r="L92" i="105" s="1"/>
  <c r="N92" i="105" s="1"/>
  <c r="M92" i="108" s="1"/>
  <c r="C101" i="105"/>
  <c r="E101" i="105" s="1"/>
  <c r="G101" i="105" s="1"/>
  <c r="I101" i="105" s="1"/>
  <c r="L101" i="105" s="1"/>
  <c r="N101" i="105" s="1"/>
  <c r="M101" i="108" s="1"/>
  <c r="C45" i="105"/>
  <c r="E45" i="105" s="1"/>
  <c r="G45" i="105" s="1"/>
  <c r="C9" i="105"/>
  <c r="E9" i="105" s="1"/>
  <c r="G9" i="105" s="1"/>
  <c r="I9" i="105" s="1"/>
  <c r="L9" i="105" s="1"/>
  <c r="N9" i="105" s="1"/>
  <c r="M9" i="108" s="1"/>
  <c r="C37" i="105"/>
  <c r="E37" i="105" s="1"/>
  <c r="G37" i="105" s="1"/>
  <c r="C98" i="105"/>
  <c r="E98" i="105" s="1"/>
  <c r="G98" i="105" s="1"/>
  <c r="I98" i="105" s="1"/>
  <c r="L98" i="105" s="1"/>
  <c r="N98" i="105" s="1"/>
  <c r="M98" i="108" s="1"/>
  <c r="C41" i="105"/>
  <c r="E41" i="105" s="1"/>
  <c r="G41" i="105" s="1"/>
  <c r="C97" i="105"/>
  <c r="E97" i="105" s="1"/>
  <c r="G97" i="105" s="1"/>
  <c r="I97" i="105" s="1"/>
  <c r="L97" i="105" s="1"/>
  <c r="N97" i="105" s="1"/>
  <c r="M97" i="108" s="1"/>
  <c r="C63" i="105"/>
  <c r="E63" i="105" s="1"/>
  <c r="G63" i="105" s="1"/>
  <c r="I63" i="105" s="1"/>
  <c r="L63" i="105" s="1"/>
  <c r="N63" i="105" s="1"/>
  <c r="M63" i="108" s="1"/>
  <c r="C34" i="105"/>
  <c r="E34" i="105" s="1"/>
  <c r="G34" i="105" s="1"/>
  <c r="C73" i="105"/>
  <c r="E73" i="105" s="1"/>
  <c r="G73" i="105" s="1"/>
  <c r="I73" i="105" s="1"/>
  <c r="L73" i="105" s="1"/>
  <c r="N73" i="105" s="1"/>
  <c r="M73" i="108" s="1"/>
  <c r="C62" i="105"/>
  <c r="E62" i="105" s="1"/>
  <c r="G62" i="105" s="1"/>
  <c r="I62" i="105" s="1"/>
  <c r="L62" i="105" s="1"/>
  <c r="N62" i="105" s="1"/>
  <c r="M62" i="108" s="1"/>
  <c r="C94" i="105"/>
  <c r="E94" i="105" s="1"/>
  <c r="G94" i="105" s="1"/>
  <c r="I94" i="105" s="1"/>
  <c r="L94" i="105" s="1"/>
  <c r="N94" i="105" s="1"/>
  <c r="M94" i="108" s="1"/>
  <c r="C83" i="105"/>
  <c r="E83" i="105" s="1"/>
  <c r="G83" i="105" s="1"/>
  <c r="I83" i="105" s="1"/>
  <c r="L83" i="105" s="1"/>
  <c r="N83" i="105" s="1"/>
  <c r="M83" i="108" s="1"/>
  <c r="C81" i="105"/>
  <c r="E81" i="105" s="1"/>
  <c r="G81" i="105" s="1"/>
  <c r="I81" i="105" s="1"/>
  <c r="L81" i="105" s="1"/>
  <c r="N81" i="105" s="1"/>
  <c r="M81" i="108" s="1"/>
  <c r="C16" i="105"/>
  <c r="E16" i="105" s="1"/>
  <c r="G16" i="105" s="1"/>
  <c r="I16" i="105" s="1"/>
  <c r="L16" i="105" s="1"/>
  <c r="N16" i="105" s="1"/>
  <c r="M16" i="108" s="1"/>
  <c r="C57" i="105"/>
  <c r="E57" i="105" s="1"/>
  <c r="G57" i="105" s="1"/>
  <c r="I57" i="105" s="1"/>
  <c r="L57" i="105" s="1"/>
  <c r="N57" i="105" s="1"/>
  <c r="M57" i="108" s="1"/>
  <c r="C12" i="105"/>
  <c r="E12" i="105" s="1"/>
  <c r="G12" i="105" s="1"/>
  <c r="I12" i="105" s="1"/>
  <c r="L12" i="105" s="1"/>
  <c r="N12" i="105" s="1"/>
  <c r="M12" i="108" s="1"/>
  <c r="C56" i="105"/>
  <c r="E56" i="105" s="1"/>
  <c r="G56" i="105" s="1"/>
  <c r="I56" i="105" s="1"/>
  <c r="L56" i="105" s="1"/>
  <c r="N56" i="105" s="1"/>
  <c r="M56" i="108" s="1"/>
  <c r="C25" i="105"/>
  <c r="E25" i="105" s="1"/>
  <c r="G25" i="105" s="1"/>
  <c r="I25" i="105" s="1"/>
  <c r="L25" i="105" s="1"/>
  <c r="N25" i="105" s="1"/>
  <c r="M25" i="108" s="1"/>
  <c r="C14" i="105"/>
  <c r="E14" i="105" s="1"/>
  <c r="G14" i="105" s="1"/>
  <c r="I14" i="105" s="1"/>
  <c r="L14" i="105" s="1"/>
  <c r="N14" i="105" s="1"/>
  <c r="M14" i="108" s="1"/>
  <c r="C46" i="105"/>
  <c r="E46" i="105" s="1"/>
  <c r="G46" i="105" s="1"/>
  <c r="C96" i="105"/>
  <c r="E96" i="105" s="1"/>
  <c r="G96" i="105" s="1"/>
  <c r="I96" i="105" s="1"/>
  <c r="L96" i="105" s="1"/>
  <c r="N96" i="105" s="1"/>
  <c r="M96" i="108" s="1"/>
  <c r="C77" i="105"/>
  <c r="E77" i="105" s="1"/>
  <c r="G77" i="105" s="1"/>
  <c r="I77" i="105" s="1"/>
  <c r="L77" i="105" s="1"/>
  <c r="N77" i="105" s="1"/>
  <c r="M77" i="108" s="1"/>
  <c r="C54" i="105"/>
  <c r="E54" i="105" s="1"/>
  <c r="G54" i="105" s="1"/>
  <c r="I54" i="105" s="1"/>
  <c r="L54" i="105" s="1"/>
  <c r="N54" i="105" s="1"/>
  <c r="M54" i="108" s="1"/>
  <c r="C86" i="105"/>
  <c r="E86" i="105" s="1"/>
  <c r="G86" i="105" s="1"/>
  <c r="I86" i="105" s="1"/>
  <c r="L86" i="105" s="1"/>
  <c r="N86" i="105" s="1"/>
  <c r="M86" i="108" s="1"/>
  <c r="C6" i="105"/>
  <c r="E6" i="105" s="1"/>
  <c r="G6" i="105" s="1"/>
  <c r="I6" i="105" s="1"/>
  <c r="L6" i="105" s="1"/>
  <c r="N6" i="105" s="1"/>
  <c r="M6" i="108" s="1"/>
  <c r="C95" i="105"/>
  <c r="E95" i="105" s="1"/>
  <c r="G95" i="105" s="1"/>
  <c r="I95" i="105" s="1"/>
  <c r="L95" i="105" s="1"/>
  <c r="N95" i="105" s="1"/>
  <c r="M95" i="108" s="1"/>
  <c r="C27" i="105"/>
  <c r="E27" i="105" s="1"/>
  <c r="G27" i="105" s="1"/>
  <c r="I27" i="105" s="1"/>
  <c r="L27" i="105" s="1"/>
  <c r="N27" i="105" s="1"/>
  <c r="M27" i="108" s="1"/>
  <c r="C66" i="105"/>
  <c r="E66" i="105" s="1"/>
  <c r="G66" i="105" s="1"/>
  <c r="I66" i="105" s="1"/>
  <c r="L66" i="105" s="1"/>
  <c r="N66" i="105" s="1"/>
  <c r="M66" i="108" s="1"/>
  <c r="C17" i="105"/>
  <c r="E17" i="105" s="1"/>
  <c r="G17" i="105" s="1"/>
  <c r="I17" i="105" s="1"/>
  <c r="L17" i="105" s="1"/>
  <c r="N17" i="105" s="1"/>
  <c r="M17" i="108" s="1"/>
  <c r="C65" i="105"/>
  <c r="E65" i="105" s="1"/>
  <c r="G65" i="105" s="1"/>
  <c r="I65" i="105" s="1"/>
  <c r="L65" i="105" s="1"/>
  <c r="N65" i="105" s="1"/>
  <c r="M65" i="108" s="1"/>
  <c r="C26" i="105"/>
  <c r="E26" i="105" s="1"/>
  <c r="G26" i="105" s="1"/>
  <c r="I26" i="105" s="1"/>
  <c r="L26" i="105" s="1"/>
  <c r="N26" i="105" s="1"/>
  <c r="M26" i="108" s="1"/>
  <c r="C19" i="105"/>
  <c r="E19" i="105" s="1"/>
  <c r="G19" i="105" s="1"/>
  <c r="I19" i="105" s="1"/>
  <c r="L19" i="105" s="1"/>
  <c r="N19" i="105" s="1"/>
  <c r="M19" i="108" s="1"/>
  <c r="C47" i="105"/>
  <c r="E47" i="105" s="1"/>
  <c r="G47" i="105" s="1"/>
  <c r="C52" i="105"/>
  <c r="E52" i="105" s="1"/>
  <c r="G52" i="105" s="1"/>
  <c r="C78" i="105"/>
  <c r="E78" i="105" s="1"/>
  <c r="G78" i="105" s="1"/>
  <c r="I78" i="105" s="1"/>
  <c r="L78" i="105" s="1"/>
  <c r="N78" i="105" s="1"/>
  <c r="M78" i="108" s="1"/>
  <c r="C67" i="105"/>
  <c r="E67" i="105" s="1"/>
  <c r="G67" i="105" s="1"/>
  <c r="I67" i="105" s="1"/>
  <c r="L67" i="105" s="1"/>
  <c r="N67" i="105" s="1"/>
  <c r="M67" i="108" s="1"/>
  <c r="C99" i="105"/>
  <c r="E99" i="105" s="1"/>
  <c r="G99" i="105" s="1"/>
  <c r="I99" i="105" s="1"/>
  <c r="L99" i="105" s="1"/>
  <c r="N99" i="105" s="1"/>
  <c r="M99" i="108" s="1"/>
  <c r="C24" i="105"/>
  <c r="E24" i="105" s="1"/>
  <c r="G24" i="105" s="1"/>
  <c r="I24" i="105" s="1"/>
  <c r="L24" i="105" s="1"/>
  <c r="N24" i="105" s="1"/>
  <c r="M24" i="108" s="1"/>
  <c r="C4" i="105"/>
  <c r="E4" i="105" s="1"/>
  <c r="G4" i="105" s="1"/>
  <c r="I4" i="105" s="1"/>
  <c r="L4" i="105" s="1"/>
  <c r="N4" i="105" s="1"/>
  <c r="M4" i="108" s="1"/>
  <c r="C28" i="105"/>
  <c r="E28" i="105" s="1"/>
  <c r="G28" i="105" s="1"/>
  <c r="I28" i="105" s="1"/>
  <c r="L28" i="105" s="1"/>
  <c r="N28" i="105" s="1"/>
  <c r="M28" i="108" s="1"/>
  <c r="C71" i="105"/>
  <c r="E71" i="105" s="1"/>
  <c r="G71" i="105" s="1"/>
  <c r="I71" i="105" s="1"/>
  <c r="L71" i="105" s="1"/>
  <c r="N71" i="105" s="1"/>
  <c r="M71" i="108" s="1"/>
  <c r="C18" i="105"/>
  <c r="E18" i="105" s="1"/>
  <c r="G18" i="105" s="1"/>
  <c r="I18" i="105" s="1"/>
  <c r="L18" i="105" s="1"/>
  <c r="N18" i="105" s="1"/>
  <c r="M18" i="108" s="1"/>
  <c r="C74" i="105"/>
  <c r="E74" i="105" s="1"/>
  <c r="G74" i="105" s="1"/>
  <c r="I74" i="105" s="1"/>
  <c r="L74" i="105" s="1"/>
  <c r="N74" i="105" s="1"/>
  <c r="M74" i="108" s="1"/>
  <c r="C32" i="105"/>
  <c r="E32" i="105" s="1"/>
  <c r="G32" i="105" s="1"/>
  <c r="C20" i="105"/>
  <c r="E20" i="105" s="1"/>
  <c r="G20" i="105" s="1"/>
  <c r="I20" i="105" s="1"/>
  <c r="L20" i="105" s="1"/>
  <c r="N20" i="105" s="1"/>
  <c r="M20" i="108" s="1"/>
  <c r="C50" i="105"/>
  <c r="E50" i="105" s="1"/>
  <c r="G50" i="105" s="1"/>
  <c r="C59" i="105"/>
  <c r="E59" i="105" s="1"/>
  <c r="G59" i="105" s="1"/>
  <c r="I59" i="105" s="1"/>
  <c r="L59" i="105" s="1"/>
  <c r="N59" i="105" s="1"/>
  <c r="M59" i="108" s="1"/>
  <c r="C91" i="105"/>
  <c r="E91" i="105" s="1"/>
  <c r="G91" i="105" s="1"/>
  <c r="I91" i="105" s="1"/>
  <c r="L91" i="105" s="1"/>
  <c r="N91" i="105" s="1"/>
  <c r="M91" i="108" s="1"/>
  <c r="C68" i="105"/>
  <c r="E68" i="105" s="1"/>
  <c r="G68" i="105" s="1"/>
  <c r="I68" i="105" s="1"/>
  <c r="L68" i="105" s="1"/>
  <c r="N68" i="105" s="1"/>
  <c r="M68" i="108" s="1"/>
  <c r="M47" i="109"/>
  <c r="L301" i="109"/>
  <c r="L300" i="109"/>
  <c r="L297" i="109"/>
  <c r="L361" i="109" s="1"/>
  <c r="L293" i="109"/>
  <c r="L289" i="109"/>
  <c r="L296" i="109"/>
  <c r="L292" i="109"/>
  <c r="L288" i="109"/>
  <c r="L284" i="109"/>
  <c r="L280" i="109"/>
  <c r="L344" i="109" s="1"/>
  <c r="L286" i="109"/>
  <c r="L350" i="109" s="1"/>
  <c r="L282" i="109"/>
  <c r="L278" i="109"/>
  <c r="L299" i="109"/>
  <c r="L285" i="109"/>
  <c r="L349" i="109" s="1"/>
  <c r="L295" i="109"/>
  <c r="L291" i="109"/>
  <c r="L287" i="109"/>
  <c r="L351" i="109" s="1"/>
  <c r="L283" i="109"/>
  <c r="L279" i="109"/>
  <c r="L276" i="109"/>
  <c r="L298" i="109"/>
  <c r="L362" i="109" s="1"/>
  <c r="L294" i="109"/>
  <c r="L358" i="109" s="1"/>
  <c r="L290" i="109"/>
  <c r="L275" i="109"/>
  <c r="L302" i="109"/>
  <c r="L366" i="109" s="1"/>
  <c r="L277" i="109"/>
  <c r="L341" i="109" s="1"/>
  <c r="L281" i="109"/>
  <c r="M48" i="109"/>
  <c r="L331" i="109"/>
  <c r="L327" i="109"/>
  <c r="L334" i="109"/>
  <c r="L330" i="109"/>
  <c r="L326" i="109"/>
  <c r="L322" i="109"/>
  <c r="L318" i="109"/>
  <c r="L333" i="109"/>
  <c r="L329" i="109"/>
  <c r="L323" i="109"/>
  <c r="L319" i="109"/>
  <c r="L313" i="109"/>
  <c r="L309" i="109"/>
  <c r="L324" i="109"/>
  <c r="L320" i="109"/>
  <c r="L316" i="109"/>
  <c r="L332" i="109"/>
  <c r="L328" i="109"/>
  <c r="L325" i="109"/>
  <c r="L321" i="109"/>
  <c r="L317" i="109"/>
  <c r="L315" i="109"/>
  <c r="L311" i="109"/>
  <c r="L312" i="109"/>
  <c r="L308" i="109"/>
  <c r="L314" i="109"/>
  <c r="L310" i="109"/>
  <c r="L307" i="109"/>
  <c r="D53" i="108"/>
  <c r="E53" i="108" s="1"/>
  <c r="G53" i="108" s="1"/>
  <c r="D49" i="108"/>
  <c r="E49" i="108" s="1"/>
  <c r="G49" i="108" s="1"/>
  <c r="D45" i="108"/>
  <c r="E45" i="108" s="1"/>
  <c r="G45" i="108" s="1"/>
  <c r="D41" i="108"/>
  <c r="E41" i="108" s="1"/>
  <c r="G41" i="108" s="1"/>
  <c r="D37" i="108"/>
  <c r="E37" i="108" s="1"/>
  <c r="G37" i="108" s="1"/>
  <c r="D33" i="108"/>
  <c r="E33" i="108" s="1"/>
  <c r="G33" i="108" s="1"/>
  <c r="D29" i="108"/>
  <c r="E29" i="108" s="1"/>
  <c r="G29" i="108" s="1"/>
  <c r="D28" i="108"/>
  <c r="E28" i="108" s="1"/>
  <c r="G28" i="108" s="1"/>
  <c r="I28" i="108" s="1"/>
  <c r="L28" i="108" s="1"/>
  <c r="D27" i="108"/>
  <c r="E27" i="108" s="1"/>
  <c r="G27" i="108" s="1"/>
  <c r="I27" i="108" s="1"/>
  <c r="L27" i="108" s="1"/>
  <c r="D26" i="108"/>
  <c r="E26" i="108" s="1"/>
  <c r="G26" i="108" s="1"/>
  <c r="I26" i="108" s="1"/>
  <c r="L26" i="108" s="1"/>
  <c r="D25" i="108"/>
  <c r="E25" i="108" s="1"/>
  <c r="G25" i="108" s="1"/>
  <c r="I25" i="108" s="1"/>
  <c r="L25" i="108" s="1"/>
  <c r="D24" i="108"/>
  <c r="E24" i="108" s="1"/>
  <c r="G24" i="108" s="1"/>
  <c r="I24" i="108" s="1"/>
  <c r="L24" i="108" s="1"/>
  <c r="D23" i="108"/>
  <c r="E23" i="108" s="1"/>
  <c r="G23" i="108" s="1"/>
  <c r="I23" i="108" s="1"/>
  <c r="L23" i="108" s="1"/>
  <c r="D22" i="108"/>
  <c r="E22" i="108" s="1"/>
  <c r="G22" i="108" s="1"/>
  <c r="I22" i="108" s="1"/>
  <c r="L22" i="108" s="1"/>
  <c r="D21" i="108"/>
  <c r="E21" i="108" s="1"/>
  <c r="G21" i="108" s="1"/>
  <c r="I21" i="108" s="1"/>
  <c r="L21" i="108" s="1"/>
  <c r="D20" i="108"/>
  <c r="E20" i="108" s="1"/>
  <c r="G20" i="108" s="1"/>
  <c r="I20" i="108" s="1"/>
  <c r="L20" i="108" s="1"/>
  <c r="D19" i="108"/>
  <c r="E19" i="108" s="1"/>
  <c r="G19" i="108" s="1"/>
  <c r="I19" i="108" s="1"/>
  <c r="L19" i="108" s="1"/>
  <c r="D18" i="108"/>
  <c r="E18" i="108" s="1"/>
  <c r="G18" i="108" s="1"/>
  <c r="I18" i="108" s="1"/>
  <c r="L18" i="108" s="1"/>
  <c r="D17" i="108"/>
  <c r="E17" i="108" s="1"/>
  <c r="G17" i="108" s="1"/>
  <c r="I17" i="108" s="1"/>
  <c r="L17" i="108" s="1"/>
  <c r="D16" i="108"/>
  <c r="E16" i="108" s="1"/>
  <c r="G16" i="108" s="1"/>
  <c r="I16" i="108" s="1"/>
  <c r="L16" i="108" s="1"/>
  <c r="D15" i="108"/>
  <c r="E15" i="108" s="1"/>
  <c r="G15" i="108" s="1"/>
  <c r="I15" i="108" s="1"/>
  <c r="L15" i="108" s="1"/>
  <c r="D14" i="108"/>
  <c r="E14" i="108" s="1"/>
  <c r="G14" i="108" s="1"/>
  <c r="I14" i="108" s="1"/>
  <c r="L14" i="108" s="1"/>
  <c r="D13" i="108"/>
  <c r="E13" i="108" s="1"/>
  <c r="G13" i="108" s="1"/>
  <c r="I13" i="108" s="1"/>
  <c r="L13" i="108" s="1"/>
  <c r="D12" i="108"/>
  <c r="E12" i="108" s="1"/>
  <c r="G12" i="108" s="1"/>
  <c r="I12" i="108" s="1"/>
  <c r="L12" i="108" s="1"/>
  <c r="D11" i="108"/>
  <c r="E11" i="108" s="1"/>
  <c r="G11" i="108" s="1"/>
  <c r="I11" i="108" s="1"/>
  <c r="L11" i="108" s="1"/>
  <c r="D10" i="108"/>
  <c r="E10" i="108" s="1"/>
  <c r="G10" i="108" s="1"/>
  <c r="I10" i="108" s="1"/>
  <c r="L10" i="108" s="1"/>
  <c r="D9" i="108"/>
  <c r="E9" i="108" s="1"/>
  <c r="G9" i="108" s="1"/>
  <c r="I9" i="108" s="1"/>
  <c r="L9" i="108" s="1"/>
  <c r="D103" i="108"/>
  <c r="E103" i="108" s="1"/>
  <c r="G103" i="108" s="1"/>
  <c r="I103" i="108" s="1"/>
  <c r="L103" i="108" s="1"/>
  <c r="D102" i="108"/>
  <c r="E102" i="108" s="1"/>
  <c r="G102" i="108" s="1"/>
  <c r="I102" i="108" s="1"/>
  <c r="L102" i="108" s="1"/>
  <c r="D101" i="108"/>
  <c r="E101" i="108" s="1"/>
  <c r="G101" i="108" s="1"/>
  <c r="I101" i="108" s="1"/>
  <c r="L101" i="108" s="1"/>
  <c r="D100" i="108"/>
  <c r="E100" i="108" s="1"/>
  <c r="G100" i="108" s="1"/>
  <c r="I100" i="108" s="1"/>
  <c r="L100" i="108" s="1"/>
  <c r="D99" i="108"/>
  <c r="E99" i="108" s="1"/>
  <c r="G99" i="108" s="1"/>
  <c r="I99" i="108" s="1"/>
  <c r="L99" i="108" s="1"/>
  <c r="D98" i="108"/>
  <c r="E98" i="108" s="1"/>
  <c r="G98" i="108" s="1"/>
  <c r="I98" i="108" s="1"/>
  <c r="L98" i="108" s="1"/>
  <c r="D97" i="108"/>
  <c r="E97" i="108" s="1"/>
  <c r="G97" i="108" s="1"/>
  <c r="I97" i="108" s="1"/>
  <c r="L97" i="108" s="1"/>
  <c r="D96" i="108"/>
  <c r="E96" i="108" s="1"/>
  <c r="G96" i="108" s="1"/>
  <c r="I96" i="108" s="1"/>
  <c r="L96" i="108" s="1"/>
  <c r="D95" i="108"/>
  <c r="E95" i="108" s="1"/>
  <c r="G95" i="108" s="1"/>
  <c r="I95" i="108" s="1"/>
  <c r="L95" i="108" s="1"/>
  <c r="D94" i="108"/>
  <c r="E94" i="108" s="1"/>
  <c r="G94" i="108" s="1"/>
  <c r="I94" i="108" s="1"/>
  <c r="L94" i="108" s="1"/>
  <c r="D93" i="108"/>
  <c r="E93" i="108" s="1"/>
  <c r="G93" i="108" s="1"/>
  <c r="I93" i="108" s="1"/>
  <c r="L93" i="108" s="1"/>
  <c r="D92" i="108"/>
  <c r="E92" i="108" s="1"/>
  <c r="G92" i="108" s="1"/>
  <c r="I92" i="108" s="1"/>
  <c r="L92" i="108" s="1"/>
  <c r="D91" i="108"/>
  <c r="E91" i="108" s="1"/>
  <c r="G91" i="108" s="1"/>
  <c r="I91" i="108" s="1"/>
  <c r="L91" i="108" s="1"/>
  <c r="D90" i="108"/>
  <c r="E90" i="108" s="1"/>
  <c r="G90" i="108" s="1"/>
  <c r="I90" i="108" s="1"/>
  <c r="L90" i="108" s="1"/>
  <c r="D89" i="108"/>
  <c r="E89" i="108" s="1"/>
  <c r="G89" i="108" s="1"/>
  <c r="I89" i="108" s="1"/>
  <c r="L89" i="108" s="1"/>
  <c r="D88" i="108"/>
  <c r="E88" i="108" s="1"/>
  <c r="G88" i="108" s="1"/>
  <c r="I88" i="108" s="1"/>
  <c r="L88" i="108" s="1"/>
  <c r="D87" i="108"/>
  <c r="E87" i="108" s="1"/>
  <c r="G87" i="108" s="1"/>
  <c r="I87" i="108" s="1"/>
  <c r="L87" i="108" s="1"/>
  <c r="D86" i="108"/>
  <c r="E86" i="108" s="1"/>
  <c r="G86" i="108" s="1"/>
  <c r="I86" i="108" s="1"/>
  <c r="L86" i="108" s="1"/>
  <c r="D85" i="108"/>
  <c r="E85" i="108" s="1"/>
  <c r="G85" i="108" s="1"/>
  <c r="I85" i="108" s="1"/>
  <c r="L85" i="108" s="1"/>
  <c r="D84" i="108"/>
  <c r="E84" i="108" s="1"/>
  <c r="G84" i="108" s="1"/>
  <c r="I84" i="108" s="1"/>
  <c r="L84" i="108" s="1"/>
  <c r="D83" i="108"/>
  <c r="E83" i="108" s="1"/>
  <c r="G83" i="108" s="1"/>
  <c r="I83" i="108" s="1"/>
  <c r="L83" i="108" s="1"/>
  <c r="D82" i="108"/>
  <c r="E82" i="108" s="1"/>
  <c r="G82" i="108" s="1"/>
  <c r="I82" i="108" s="1"/>
  <c r="L82" i="108" s="1"/>
  <c r="D81" i="108"/>
  <c r="E81" i="108" s="1"/>
  <c r="G81" i="108" s="1"/>
  <c r="I81" i="108" s="1"/>
  <c r="L81" i="108" s="1"/>
  <c r="D80" i="108"/>
  <c r="E80" i="108" s="1"/>
  <c r="G80" i="108" s="1"/>
  <c r="I80" i="108" s="1"/>
  <c r="L80" i="108" s="1"/>
  <c r="D79" i="108"/>
  <c r="E79" i="108" s="1"/>
  <c r="G79" i="108" s="1"/>
  <c r="I79" i="108" s="1"/>
  <c r="L79" i="108" s="1"/>
  <c r="D78" i="108"/>
  <c r="E78" i="108" s="1"/>
  <c r="G78" i="108" s="1"/>
  <c r="I78" i="108" s="1"/>
  <c r="L78" i="108" s="1"/>
  <c r="D77" i="108"/>
  <c r="E77" i="108" s="1"/>
  <c r="G77" i="108" s="1"/>
  <c r="I77" i="108" s="1"/>
  <c r="L77" i="108" s="1"/>
  <c r="D76" i="108"/>
  <c r="E76" i="108" s="1"/>
  <c r="G76" i="108" s="1"/>
  <c r="I76" i="108" s="1"/>
  <c r="L76" i="108" s="1"/>
  <c r="D75" i="108"/>
  <c r="E75" i="108" s="1"/>
  <c r="G75" i="108" s="1"/>
  <c r="I75" i="108" s="1"/>
  <c r="L75" i="108" s="1"/>
  <c r="D74" i="108"/>
  <c r="E74" i="108" s="1"/>
  <c r="G74" i="108" s="1"/>
  <c r="I74" i="108" s="1"/>
  <c r="L74" i="108" s="1"/>
  <c r="D73" i="108"/>
  <c r="E73" i="108" s="1"/>
  <c r="G73" i="108" s="1"/>
  <c r="I73" i="108" s="1"/>
  <c r="L73" i="108" s="1"/>
  <c r="D72" i="108"/>
  <c r="E72" i="108" s="1"/>
  <c r="G72" i="108" s="1"/>
  <c r="I72" i="108" s="1"/>
  <c r="L72" i="108" s="1"/>
  <c r="D71" i="108"/>
  <c r="E71" i="108" s="1"/>
  <c r="G71" i="108" s="1"/>
  <c r="I71" i="108" s="1"/>
  <c r="L71" i="108" s="1"/>
  <c r="D70" i="108"/>
  <c r="E70" i="108" s="1"/>
  <c r="G70" i="108" s="1"/>
  <c r="I70" i="108" s="1"/>
  <c r="L70" i="108" s="1"/>
  <c r="D69" i="108"/>
  <c r="E69" i="108" s="1"/>
  <c r="G69" i="108" s="1"/>
  <c r="I69" i="108" s="1"/>
  <c r="L69" i="108" s="1"/>
  <c r="D68" i="108"/>
  <c r="E68" i="108" s="1"/>
  <c r="G68" i="108" s="1"/>
  <c r="I68" i="108" s="1"/>
  <c r="L68" i="108" s="1"/>
  <c r="D67" i="108"/>
  <c r="E67" i="108" s="1"/>
  <c r="G67" i="108" s="1"/>
  <c r="I67" i="108" s="1"/>
  <c r="L67" i="108" s="1"/>
  <c r="D66" i="108"/>
  <c r="E66" i="108" s="1"/>
  <c r="G66" i="108" s="1"/>
  <c r="I66" i="108" s="1"/>
  <c r="L66" i="108" s="1"/>
  <c r="D65" i="108"/>
  <c r="E65" i="108" s="1"/>
  <c r="G65" i="108" s="1"/>
  <c r="I65" i="108" s="1"/>
  <c r="L65" i="108" s="1"/>
  <c r="D64" i="108"/>
  <c r="E64" i="108" s="1"/>
  <c r="G64" i="108" s="1"/>
  <c r="I64" i="108" s="1"/>
  <c r="L64" i="108" s="1"/>
  <c r="D63" i="108"/>
  <c r="E63" i="108" s="1"/>
  <c r="G63" i="108" s="1"/>
  <c r="I63" i="108" s="1"/>
  <c r="L63" i="108" s="1"/>
  <c r="D62" i="108"/>
  <c r="E62" i="108" s="1"/>
  <c r="G62" i="108" s="1"/>
  <c r="I62" i="108" s="1"/>
  <c r="L62" i="108" s="1"/>
  <c r="D61" i="108"/>
  <c r="E61" i="108" s="1"/>
  <c r="G61" i="108" s="1"/>
  <c r="I61" i="108" s="1"/>
  <c r="L61" i="108" s="1"/>
  <c r="D60" i="108"/>
  <c r="E60" i="108" s="1"/>
  <c r="G60" i="108" s="1"/>
  <c r="I60" i="108" s="1"/>
  <c r="L60" i="108" s="1"/>
  <c r="D59" i="108"/>
  <c r="E59" i="108" s="1"/>
  <c r="G59" i="108" s="1"/>
  <c r="I59" i="108" s="1"/>
  <c r="L59" i="108" s="1"/>
  <c r="D58" i="108"/>
  <c r="E58" i="108" s="1"/>
  <c r="G58" i="108" s="1"/>
  <c r="I58" i="108" s="1"/>
  <c r="L58" i="108" s="1"/>
  <c r="D57" i="108"/>
  <c r="E57" i="108" s="1"/>
  <c r="G57" i="108" s="1"/>
  <c r="I57" i="108" s="1"/>
  <c r="L57" i="108" s="1"/>
  <c r="D56" i="108"/>
  <c r="E56" i="108" s="1"/>
  <c r="G56" i="108" s="1"/>
  <c r="I56" i="108" s="1"/>
  <c r="L56" i="108" s="1"/>
  <c r="D55" i="108"/>
  <c r="E55" i="108" s="1"/>
  <c r="G55" i="108" s="1"/>
  <c r="I55" i="108" s="1"/>
  <c r="L55" i="108" s="1"/>
  <c r="D54" i="108"/>
  <c r="E54" i="108" s="1"/>
  <c r="G54" i="108" s="1"/>
  <c r="I54" i="108" s="1"/>
  <c r="L54" i="108" s="1"/>
  <c r="D50" i="108"/>
  <c r="E50" i="108" s="1"/>
  <c r="G50" i="108" s="1"/>
  <c r="D46" i="108"/>
  <c r="E46" i="108" s="1"/>
  <c r="G46" i="108" s="1"/>
  <c r="D42" i="108"/>
  <c r="E42" i="108" s="1"/>
  <c r="G42" i="108" s="1"/>
  <c r="D38" i="108"/>
  <c r="E38" i="108" s="1"/>
  <c r="G38" i="108" s="1"/>
  <c r="D34" i="108"/>
  <c r="E34" i="108" s="1"/>
  <c r="G34" i="108" s="1"/>
  <c r="D30" i="108"/>
  <c r="E30" i="108" s="1"/>
  <c r="G30" i="108" s="1"/>
  <c r="D52" i="108"/>
  <c r="E52" i="108" s="1"/>
  <c r="G52" i="108" s="1"/>
  <c r="D48" i="108"/>
  <c r="E48" i="108" s="1"/>
  <c r="G48" i="108" s="1"/>
  <c r="D44" i="108"/>
  <c r="E44" i="108" s="1"/>
  <c r="G44" i="108" s="1"/>
  <c r="D40" i="108"/>
  <c r="E40" i="108" s="1"/>
  <c r="G40" i="108" s="1"/>
  <c r="D36" i="108"/>
  <c r="E36" i="108" s="1"/>
  <c r="G36" i="108" s="1"/>
  <c r="D32" i="108"/>
  <c r="E32" i="108" s="1"/>
  <c r="G32" i="108" s="1"/>
  <c r="D51" i="108"/>
  <c r="E51" i="108" s="1"/>
  <c r="G51" i="108" s="1"/>
  <c r="D47" i="108"/>
  <c r="E47" i="108" s="1"/>
  <c r="G47" i="108" s="1"/>
  <c r="D43" i="108"/>
  <c r="E43" i="108" s="1"/>
  <c r="G43" i="108" s="1"/>
  <c r="D39" i="108"/>
  <c r="E39" i="108" s="1"/>
  <c r="G39" i="108" s="1"/>
  <c r="D35" i="108"/>
  <c r="E35" i="108" s="1"/>
  <c r="G35" i="108" s="1"/>
  <c r="D31" i="108"/>
  <c r="E31" i="108" s="1"/>
  <c r="G31" i="108" s="1"/>
  <c r="D8" i="108"/>
  <c r="E8" i="108" s="1"/>
  <c r="G8" i="108" s="1"/>
  <c r="I8" i="108" s="1"/>
  <c r="L8" i="108" s="1"/>
  <c r="D7" i="108"/>
  <c r="E7" i="108" s="1"/>
  <c r="G7" i="108" s="1"/>
  <c r="I7" i="108" s="1"/>
  <c r="L7" i="108" s="1"/>
  <c r="D6" i="108"/>
  <c r="E6" i="108" s="1"/>
  <c r="G6" i="108" s="1"/>
  <c r="I6" i="108" s="1"/>
  <c r="L6" i="108" s="1"/>
  <c r="D5" i="108"/>
  <c r="E5" i="108" s="1"/>
  <c r="G5" i="108" s="1"/>
  <c r="I5" i="108" s="1"/>
  <c r="L5" i="108" s="1"/>
  <c r="D4" i="108"/>
  <c r="E4" i="108" s="1"/>
  <c r="G4" i="108" s="1"/>
  <c r="I4" i="108" s="1"/>
  <c r="L4" i="108" s="1"/>
  <c r="Q102" i="105"/>
  <c r="S102" i="105" s="1"/>
  <c r="U102" i="108" s="1"/>
  <c r="Q76" i="105"/>
  <c r="S76" i="105" s="1"/>
  <c r="U76" i="108" s="1"/>
  <c r="Q100" i="105"/>
  <c r="S100" i="105" s="1"/>
  <c r="U100" i="108" s="1"/>
  <c r="K69" i="103"/>
  <c r="K52" i="103" s="1"/>
  <c r="L72" i="103"/>
  <c r="P45" i="103"/>
  <c r="P37" i="103"/>
  <c r="Q46" i="103"/>
  <c r="Q38" i="103"/>
  <c r="Q47" i="103"/>
  <c r="Q45" i="103"/>
  <c r="Q41" i="103"/>
  <c r="Q40" i="103"/>
  <c r="P43" i="103"/>
  <c r="P44" i="103"/>
  <c r="Q44" i="103"/>
  <c r="Q43" i="103"/>
  <c r="P35" i="103"/>
  <c r="Q37" i="103"/>
  <c r="AX8" i="108"/>
  <c r="Q15" i="105" l="1"/>
  <c r="S15" i="105" s="1"/>
  <c r="U15" i="108" s="1"/>
  <c r="Q85" i="105"/>
  <c r="S85" i="105" s="1"/>
  <c r="U85" i="108" s="1"/>
  <c r="Q72" i="105"/>
  <c r="S72" i="105" s="1"/>
  <c r="U72" i="108" s="1"/>
  <c r="Q93" i="105"/>
  <c r="S93" i="105" s="1"/>
  <c r="U93" i="108" s="1"/>
  <c r="Q87" i="105"/>
  <c r="S87" i="105" s="1"/>
  <c r="U87" i="108" s="1"/>
  <c r="Q58" i="105"/>
  <c r="S58" i="105" s="1"/>
  <c r="U58" i="108" s="1"/>
  <c r="Q11" i="105"/>
  <c r="S11" i="105" s="1"/>
  <c r="U11" i="108" s="1"/>
  <c r="Q79" i="105"/>
  <c r="S79" i="105" s="1"/>
  <c r="U79" i="108" s="1"/>
  <c r="Q64" i="105"/>
  <c r="S64" i="105" s="1"/>
  <c r="U64" i="108" s="1"/>
  <c r="Q13" i="105"/>
  <c r="S13" i="105" s="1"/>
  <c r="U13" i="108" s="1"/>
  <c r="Q63" i="105"/>
  <c r="S63" i="105" s="1"/>
  <c r="U63" i="108" s="1"/>
  <c r="Q82" i="105"/>
  <c r="S82" i="105" s="1"/>
  <c r="U82" i="108" s="1"/>
  <c r="Q8" i="105"/>
  <c r="S8" i="105" s="1"/>
  <c r="U8" i="108" s="1"/>
  <c r="Q23" i="105"/>
  <c r="S23" i="105" s="1"/>
  <c r="U23" i="108" s="1"/>
  <c r="Q74" i="105"/>
  <c r="S74" i="105" s="1"/>
  <c r="U74" i="108" s="1"/>
  <c r="Q14" i="105"/>
  <c r="S14" i="105" s="1"/>
  <c r="U14" i="108" s="1"/>
  <c r="Q94" i="105"/>
  <c r="S94" i="105" s="1"/>
  <c r="U94" i="108" s="1"/>
  <c r="Q89" i="105"/>
  <c r="S89" i="105" s="1"/>
  <c r="U89" i="108" s="1"/>
  <c r="Q92" i="105"/>
  <c r="S92" i="105" s="1"/>
  <c r="U92" i="108" s="1"/>
  <c r="Q70" i="105"/>
  <c r="S70" i="105" s="1"/>
  <c r="U70" i="108" s="1"/>
  <c r="Q21" i="105"/>
  <c r="S21" i="105" s="1"/>
  <c r="U21" i="108" s="1"/>
  <c r="Q78" i="105"/>
  <c r="S78" i="105" s="1"/>
  <c r="U78" i="108" s="1"/>
  <c r="Q62" i="105"/>
  <c r="S62" i="105" s="1"/>
  <c r="U62" i="108" s="1"/>
  <c r="Q77" i="105"/>
  <c r="S77" i="105" s="1"/>
  <c r="U77" i="108" s="1"/>
  <c r="Q18" i="105"/>
  <c r="S18" i="105" s="1"/>
  <c r="U18" i="108" s="1"/>
  <c r="AQ9" i="108"/>
  <c r="Q5" i="105"/>
  <c r="S5" i="105" s="1"/>
  <c r="U5" i="108" s="1"/>
  <c r="Q55" i="105"/>
  <c r="S55" i="105" s="1"/>
  <c r="U55" i="108" s="1"/>
  <c r="Q24" i="105"/>
  <c r="S24" i="105" s="1"/>
  <c r="U24" i="108" s="1"/>
  <c r="Q25" i="105"/>
  <c r="S25" i="105" s="1"/>
  <c r="U25" i="108" s="1"/>
  <c r="Q9" i="105"/>
  <c r="S9" i="105" s="1"/>
  <c r="U9" i="108" s="1"/>
  <c r="Q95" i="105"/>
  <c r="S95" i="105" s="1"/>
  <c r="U95" i="108" s="1"/>
  <c r="Q61" i="105"/>
  <c r="S61" i="105" s="1"/>
  <c r="U61" i="108" s="1"/>
  <c r="Q16" i="105"/>
  <c r="S16" i="105" s="1"/>
  <c r="U16" i="108" s="1"/>
  <c r="Q65" i="105"/>
  <c r="S65" i="105" s="1"/>
  <c r="U65" i="108" s="1"/>
  <c r="Q97" i="105"/>
  <c r="S97" i="105" s="1"/>
  <c r="U97" i="108" s="1"/>
  <c r="Q69" i="105"/>
  <c r="S69" i="105" s="1"/>
  <c r="U69" i="108" s="1"/>
  <c r="Q98" i="105"/>
  <c r="S98" i="105" s="1"/>
  <c r="U98" i="108" s="1"/>
  <c r="Q66" i="105"/>
  <c r="S66" i="105" s="1"/>
  <c r="U66" i="108" s="1"/>
  <c r="Q67" i="105"/>
  <c r="S67" i="105" s="1"/>
  <c r="U67" i="108" s="1"/>
  <c r="Q101" i="105"/>
  <c r="S101" i="105" s="1"/>
  <c r="U101" i="108" s="1"/>
  <c r="Q7" i="105"/>
  <c r="S7" i="105" s="1"/>
  <c r="U7" i="108" s="1"/>
  <c r="Q68" i="105"/>
  <c r="S68" i="105" s="1"/>
  <c r="U68" i="108" s="1"/>
  <c r="Q60" i="105"/>
  <c r="S60" i="105" s="1"/>
  <c r="U60" i="108" s="1"/>
  <c r="Q6" i="105"/>
  <c r="S6" i="105" s="1"/>
  <c r="U6" i="108" s="1"/>
  <c r="Q73" i="105"/>
  <c r="S73" i="105" s="1"/>
  <c r="U73" i="108" s="1"/>
  <c r="Q83" i="105"/>
  <c r="S83" i="105" s="1"/>
  <c r="U83" i="108" s="1"/>
  <c r="Q88" i="105"/>
  <c r="S88" i="105" s="1"/>
  <c r="U88" i="108" s="1"/>
  <c r="Q10" i="105"/>
  <c r="S10" i="105" s="1"/>
  <c r="U10" i="108" s="1"/>
  <c r="Q75" i="105"/>
  <c r="S75" i="105" s="1"/>
  <c r="U75" i="108" s="1"/>
  <c r="Q22" i="105"/>
  <c r="S22" i="105" s="1"/>
  <c r="U22" i="108" s="1"/>
  <c r="Q71" i="105"/>
  <c r="S71" i="105" s="1"/>
  <c r="U71" i="108" s="1"/>
  <c r="Q19" i="105"/>
  <c r="S19" i="105" s="1"/>
  <c r="U19" i="108" s="1"/>
  <c r="Q84" i="105"/>
  <c r="S84" i="105" s="1"/>
  <c r="U84" i="108" s="1"/>
  <c r="Q27" i="105"/>
  <c r="S27" i="105" s="1"/>
  <c r="U27" i="108" s="1"/>
  <c r="Q81" i="105"/>
  <c r="S81" i="105" s="1"/>
  <c r="U81" i="108" s="1"/>
  <c r="Q56" i="105"/>
  <c r="S56" i="105" s="1"/>
  <c r="U56" i="108" s="1"/>
  <c r="Q80" i="105"/>
  <c r="S80" i="105" s="1"/>
  <c r="U80" i="108" s="1"/>
  <c r="Q90" i="105"/>
  <c r="S90" i="105" s="1"/>
  <c r="U90" i="108" s="1"/>
  <c r="Q103" i="105"/>
  <c r="S103" i="105" s="1"/>
  <c r="U103" i="108" s="1"/>
  <c r="Q12" i="105"/>
  <c r="S12" i="105" s="1"/>
  <c r="U12" i="108" s="1"/>
  <c r="Q17" i="105"/>
  <c r="S17" i="105" s="1"/>
  <c r="U17" i="108" s="1"/>
  <c r="Q96" i="105"/>
  <c r="S96" i="105" s="1"/>
  <c r="U96" i="108" s="1"/>
  <c r="Q99" i="105"/>
  <c r="S99" i="105" s="1"/>
  <c r="U99" i="108" s="1"/>
  <c r="Q91" i="105"/>
  <c r="S91" i="105" s="1"/>
  <c r="U91" i="108" s="1"/>
  <c r="Q86" i="105"/>
  <c r="S86" i="105" s="1"/>
  <c r="U86" i="108" s="1"/>
  <c r="Q20" i="105"/>
  <c r="S20" i="105" s="1"/>
  <c r="U20" i="108" s="1"/>
  <c r="Q28" i="105"/>
  <c r="S28" i="105" s="1"/>
  <c r="U28" i="108" s="1"/>
  <c r="Q4" i="105"/>
  <c r="S4" i="105" s="1"/>
  <c r="U4" i="108" s="1"/>
  <c r="Q59" i="105"/>
  <c r="S59" i="105" s="1"/>
  <c r="U59" i="108" s="1"/>
  <c r="Q54" i="105"/>
  <c r="S54" i="105" s="1"/>
  <c r="U54" i="108" s="1"/>
  <c r="Q26" i="105"/>
  <c r="S26" i="105" s="1"/>
  <c r="U26" i="108" s="1"/>
  <c r="Q57" i="105"/>
  <c r="S57" i="105" s="1"/>
  <c r="U57" i="108" s="1"/>
  <c r="L363" i="109"/>
  <c r="L364" i="109"/>
  <c r="L356" i="109"/>
  <c r="L360" i="109"/>
  <c r="N48" i="109"/>
  <c r="M334" i="109"/>
  <c r="M330" i="109"/>
  <c r="M333" i="109"/>
  <c r="M329" i="109"/>
  <c r="M325" i="109"/>
  <c r="M321" i="109"/>
  <c r="M317" i="109"/>
  <c r="M332" i="109"/>
  <c r="M328" i="109"/>
  <c r="M331" i="109"/>
  <c r="M327" i="109"/>
  <c r="M324" i="109"/>
  <c r="M320" i="109"/>
  <c r="M316" i="109"/>
  <c r="M312" i="109"/>
  <c r="M308" i="109"/>
  <c r="M326" i="109"/>
  <c r="M322" i="109"/>
  <c r="M318" i="109"/>
  <c r="M314" i="109"/>
  <c r="M315" i="109"/>
  <c r="M311" i="109"/>
  <c r="M309" i="109"/>
  <c r="M323" i="109"/>
  <c r="M310" i="109"/>
  <c r="M313" i="109"/>
  <c r="M319" i="109"/>
  <c r="M307" i="109"/>
  <c r="L339" i="109"/>
  <c r="L340" i="109"/>
  <c r="L355" i="109"/>
  <c r="L342" i="109"/>
  <c r="L348" i="109"/>
  <c r="L353" i="109"/>
  <c r="L365" i="109"/>
  <c r="L347" i="109"/>
  <c r="L345" i="109"/>
  <c r="L354" i="109"/>
  <c r="L343" i="109"/>
  <c r="L359" i="109"/>
  <c r="L346" i="109"/>
  <c r="L352" i="109"/>
  <c r="L357" i="109"/>
  <c r="N47" i="109"/>
  <c r="M300" i="109"/>
  <c r="M364" i="109" s="1"/>
  <c r="M301" i="109"/>
  <c r="M296" i="109"/>
  <c r="M360" i="109" s="1"/>
  <c r="M292" i="109"/>
  <c r="M356" i="109" s="1"/>
  <c r="M288" i="109"/>
  <c r="M352" i="109" s="1"/>
  <c r="M302" i="109"/>
  <c r="M366" i="109" s="1"/>
  <c r="M295" i="109"/>
  <c r="M359" i="109" s="1"/>
  <c r="M291" i="109"/>
  <c r="M355" i="109" s="1"/>
  <c r="M287" i="109"/>
  <c r="M283" i="109"/>
  <c r="M347" i="109" s="1"/>
  <c r="M279" i="109"/>
  <c r="M343" i="109" s="1"/>
  <c r="M276" i="109"/>
  <c r="M340" i="109" s="1"/>
  <c r="M275" i="109"/>
  <c r="M339" i="109" s="1"/>
  <c r="M281" i="109"/>
  <c r="M345" i="109" s="1"/>
  <c r="M277" i="109"/>
  <c r="M341" i="109" s="1"/>
  <c r="M298" i="109"/>
  <c r="M362" i="109" s="1"/>
  <c r="M294" i="109"/>
  <c r="M358" i="109" s="1"/>
  <c r="M290" i="109"/>
  <c r="M354" i="109" s="1"/>
  <c r="M284" i="109"/>
  <c r="M348" i="109" s="1"/>
  <c r="M280" i="109"/>
  <c r="M299" i="109"/>
  <c r="M363" i="109" s="1"/>
  <c r="M297" i="109"/>
  <c r="M361" i="109" s="1"/>
  <c r="M293" i="109"/>
  <c r="M357" i="109" s="1"/>
  <c r="M289" i="109"/>
  <c r="M353" i="109" s="1"/>
  <c r="M285" i="109"/>
  <c r="M286" i="109"/>
  <c r="M282" i="109"/>
  <c r="M346" i="109" s="1"/>
  <c r="M278" i="109"/>
  <c r="M342" i="109" s="1"/>
  <c r="AX13" i="108"/>
  <c r="AQ13" i="108" s="1"/>
  <c r="AQ8" i="108"/>
  <c r="AO8" i="105"/>
  <c r="AH8" i="105" s="1"/>
  <c r="AO13" i="105"/>
  <c r="AH13" i="105" s="1"/>
  <c r="M72" i="103"/>
  <c r="L69" i="103"/>
  <c r="L52" i="103" s="1"/>
  <c r="K63" i="103"/>
  <c r="K59" i="103"/>
  <c r="K55" i="103"/>
  <c r="K62" i="103"/>
  <c r="K64" i="103"/>
  <c r="K60" i="103"/>
  <c r="K56" i="103"/>
  <c r="K58" i="103"/>
  <c r="K65" i="103"/>
  <c r="K61" i="103"/>
  <c r="K57" i="103"/>
  <c r="K53" i="103"/>
  <c r="K54" i="103"/>
  <c r="M350" i="109" l="1"/>
  <c r="M365" i="109"/>
  <c r="M349" i="109"/>
  <c r="M351" i="109"/>
  <c r="M344" i="109"/>
  <c r="O47" i="109"/>
  <c r="N299" i="109"/>
  <c r="N302" i="109"/>
  <c r="N366" i="109" s="1"/>
  <c r="N295" i="109"/>
  <c r="N291" i="109"/>
  <c r="N298" i="109"/>
  <c r="N294" i="109"/>
  <c r="N290" i="109"/>
  <c r="N286" i="109"/>
  <c r="N282" i="109"/>
  <c r="N278" i="109"/>
  <c r="N342" i="109" s="1"/>
  <c r="N287" i="109"/>
  <c r="N284" i="109"/>
  <c r="N283" i="109"/>
  <c r="N280" i="109"/>
  <c r="N279" i="109"/>
  <c r="N275" i="109"/>
  <c r="N300" i="109"/>
  <c r="N364" i="109" s="1"/>
  <c r="N296" i="109"/>
  <c r="N360" i="109" s="1"/>
  <c r="N297" i="109"/>
  <c r="N293" i="109"/>
  <c r="N289" i="109"/>
  <c r="N285" i="109"/>
  <c r="N349" i="109" s="1"/>
  <c r="N281" i="109"/>
  <c r="N277" i="109"/>
  <c r="N301" i="109"/>
  <c r="N292" i="109"/>
  <c r="N288" i="109"/>
  <c r="N276" i="109"/>
  <c r="O48" i="109"/>
  <c r="N333" i="109"/>
  <c r="N329" i="109"/>
  <c r="N332" i="109"/>
  <c r="N328" i="109"/>
  <c r="N324" i="109"/>
  <c r="N320" i="109"/>
  <c r="N316" i="109"/>
  <c r="N331" i="109"/>
  <c r="N327" i="109"/>
  <c r="N315" i="109"/>
  <c r="N311" i="109"/>
  <c r="N307" i="109"/>
  <c r="N326" i="109"/>
  <c r="N325" i="109"/>
  <c r="N322" i="109"/>
  <c r="N321" i="109"/>
  <c r="N318" i="109"/>
  <c r="N317" i="109"/>
  <c r="N323" i="109"/>
  <c r="N319" i="109"/>
  <c r="N313" i="109"/>
  <c r="N310" i="109"/>
  <c r="N330" i="109"/>
  <c r="N314" i="109"/>
  <c r="N312" i="109"/>
  <c r="N334" i="109"/>
  <c r="N309" i="109"/>
  <c r="N308" i="109"/>
  <c r="H46" i="105"/>
  <c r="I46" i="105" s="1"/>
  <c r="L46" i="105" s="1"/>
  <c r="N46" i="105" s="1"/>
  <c r="M46" i="108" s="1"/>
  <c r="H41" i="105"/>
  <c r="I41" i="105" s="1"/>
  <c r="L41" i="105" s="1"/>
  <c r="N41" i="105" s="1"/>
  <c r="M41" i="108" s="1"/>
  <c r="H40" i="105"/>
  <c r="I40" i="105" s="1"/>
  <c r="L40" i="105" s="1"/>
  <c r="N40" i="105" s="1"/>
  <c r="M40" i="108" s="1"/>
  <c r="H39" i="105"/>
  <c r="I39" i="105" s="1"/>
  <c r="L39" i="105" s="1"/>
  <c r="N39" i="105" s="1"/>
  <c r="M39" i="108" s="1"/>
  <c r="H38" i="105"/>
  <c r="I38" i="105" s="1"/>
  <c r="L38" i="105" s="1"/>
  <c r="N38" i="105" s="1"/>
  <c r="M38" i="108" s="1"/>
  <c r="H30" i="105"/>
  <c r="I30" i="105" s="1"/>
  <c r="L30" i="105" s="1"/>
  <c r="N30" i="105" s="1"/>
  <c r="M30" i="108" s="1"/>
  <c r="H53" i="105"/>
  <c r="I53" i="105" s="1"/>
  <c r="L53" i="105" s="1"/>
  <c r="N53" i="105" s="1"/>
  <c r="M53" i="108" s="1"/>
  <c r="H52" i="105"/>
  <c r="I52" i="105" s="1"/>
  <c r="L52" i="105" s="1"/>
  <c r="N52" i="105" s="1"/>
  <c r="M52" i="108" s="1"/>
  <c r="H51" i="105"/>
  <c r="I51" i="105" s="1"/>
  <c r="L51" i="105" s="1"/>
  <c r="N51" i="105" s="1"/>
  <c r="M51" i="108" s="1"/>
  <c r="H50" i="105"/>
  <c r="I50" i="105" s="1"/>
  <c r="L50" i="105" s="1"/>
  <c r="N50" i="105" s="1"/>
  <c r="M50" i="108" s="1"/>
  <c r="H45" i="105"/>
  <c r="I45" i="105" s="1"/>
  <c r="L45" i="105" s="1"/>
  <c r="N45" i="105" s="1"/>
  <c r="M45" i="108" s="1"/>
  <c r="H44" i="105"/>
  <c r="I44" i="105" s="1"/>
  <c r="L44" i="105" s="1"/>
  <c r="N44" i="105" s="1"/>
  <c r="M44" i="108" s="1"/>
  <c r="H37" i="105"/>
  <c r="I37" i="105" s="1"/>
  <c r="L37" i="105" s="1"/>
  <c r="N37" i="105" s="1"/>
  <c r="M37" i="108" s="1"/>
  <c r="H36" i="105"/>
  <c r="I36" i="105" s="1"/>
  <c r="L36" i="105" s="1"/>
  <c r="N36" i="105" s="1"/>
  <c r="M36" i="108" s="1"/>
  <c r="H35" i="105"/>
  <c r="I35" i="105" s="1"/>
  <c r="L35" i="105" s="1"/>
  <c r="N35" i="105" s="1"/>
  <c r="M35" i="108" s="1"/>
  <c r="H34" i="105"/>
  <c r="I34" i="105" s="1"/>
  <c r="L34" i="105" s="1"/>
  <c r="N34" i="105" s="1"/>
  <c r="M34" i="108" s="1"/>
  <c r="H29" i="105"/>
  <c r="I29" i="105" s="1"/>
  <c r="L29" i="105" s="1"/>
  <c r="N29" i="105" s="1"/>
  <c r="M29" i="108" s="1"/>
  <c r="H49" i="105"/>
  <c r="I49" i="105" s="1"/>
  <c r="L49" i="105" s="1"/>
  <c r="N49" i="105" s="1"/>
  <c r="M49" i="108" s="1"/>
  <c r="H48" i="105"/>
  <c r="I48" i="105" s="1"/>
  <c r="L48" i="105" s="1"/>
  <c r="N48" i="105" s="1"/>
  <c r="M48" i="108" s="1"/>
  <c r="H43" i="105"/>
  <c r="I43" i="105" s="1"/>
  <c r="L43" i="105" s="1"/>
  <c r="N43" i="105" s="1"/>
  <c r="M43" i="108" s="1"/>
  <c r="H33" i="105"/>
  <c r="I33" i="105" s="1"/>
  <c r="L33" i="105" s="1"/>
  <c r="N33" i="105" s="1"/>
  <c r="M33" i="108" s="1"/>
  <c r="H32" i="105"/>
  <c r="I32" i="105" s="1"/>
  <c r="L32" i="105" s="1"/>
  <c r="N32" i="105" s="1"/>
  <c r="M32" i="108" s="1"/>
  <c r="H47" i="105"/>
  <c r="I47" i="105" s="1"/>
  <c r="L47" i="105" s="1"/>
  <c r="N47" i="105" s="1"/>
  <c r="M47" i="108" s="1"/>
  <c r="H42" i="105"/>
  <c r="I42" i="105" s="1"/>
  <c r="L42" i="105" s="1"/>
  <c r="N42" i="105" s="1"/>
  <c r="M42" i="108" s="1"/>
  <c r="H31" i="105"/>
  <c r="I31" i="105" s="1"/>
  <c r="L31" i="105" s="1"/>
  <c r="N31" i="105" s="1"/>
  <c r="M31" i="108" s="1"/>
  <c r="H53" i="108"/>
  <c r="I53" i="108" s="1"/>
  <c r="L53" i="108" s="1"/>
  <c r="H52" i="108"/>
  <c r="I52" i="108" s="1"/>
  <c r="L52" i="108" s="1"/>
  <c r="H51" i="108"/>
  <c r="I51" i="108" s="1"/>
  <c r="L51" i="108" s="1"/>
  <c r="H50" i="108"/>
  <c r="I50" i="108" s="1"/>
  <c r="L50" i="108" s="1"/>
  <c r="H49" i="108"/>
  <c r="I49" i="108" s="1"/>
  <c r="L49" i="108" s="1"/>
  <c r="H48" i="108"/>
  <c r="I48" i="108" s="1"/>
  <c r="L48" i="108" s="1"/>
  <c r="H47" i="108"/>
  <c r="I47" i="108" s="1"/>
  <c r="L47" i="108" s="1"/>
  <c r="H46" i="108"/>
  <c r="I46" i="108" s="1"/>
  <c r="L46" i="108" s="1"/>
  <c r="H45" i="108"/>
  <c r="I45" i="108" s="1"/>
  <c r="L45" i="108" s="1"/>
  <c r="H44" i="108"/>
  <c r="I44" i="108" s="1"/>
  <c r="L44" i="108" s="1"/>
  <c r="H43" i="108"/>
  <c r="I43" i="108" s="1"/>
  <c r="L43" i="108" s="1"/>
  <c r="H42" i="108"/>
  <c r="I42" i="108" s="1"/>
  <c r="L42" i="108" s="1"/>
  <c r="H41" i="108"/>
  <c r="I41" i="108" s="1"/>
  <c r="L41" i="108" s="1"/>
  <c r="H40" i="108"/>
  <c r="I40" i="108" s="1"/>
  <c r="L40" i="108" s="1"/>
  <c r="H39" i="108"/>
  <c r="I39" i="108" s="1"/>
  <c r="L39" i="108" s="1"/>
  <c r="H38" i="108"/>
  <c r="I38" i="108" s="1"/>
  <c r="L38" i="108" s="1"/>
  <c r="H37" i="108"/>
  <c r="I37" i="108" s="1"/>
  <c r="L37" i="108" s="1"/>
  <c r="H36" i="108"/>
  <c r="I36" i="108" s="1"/>
  <c r="L36" i="108" s="1"/>
  <c r="H35" i="108"/>
  <c r="I35" i="108" s="1"/>
  <c r="L35" i="108" s="1"/>
  <c r="H34" i="108"/>
  <c r="I34" i="108" s="1"/>
  <c r="L34" i="108" s="1"/>
  <c r="H33" i="108"/>
  <c r="I33" i="108" s="1"/>
  <c r="L33" i="108" s="1"/>
  <c r="H32" i="108"/>
  <c r="I32" i="108" s="1"/>
  <c r="L32" i="108" s="1"/>
  <c r="H31" i="108"/>
  <c r="I31" i="108" s="1"/>
  <c r="L31" i="108" s="1"/>
  <c r="H30" i="108"/>
  <c r="I30" i="108" s="1"/>
  <c r="L30" i="108" s="1"/>
  <c r="H29" i="108"/>
  <c r="I29" i="108" s="1"/>
  <c r="L29" i="108" s="1"/>
  <c r="AF101" i="108"/>
  <c r="AF77" i="108"/>
  <c r="AF49" i="108"/>
  <c r="AF92" i="108"/>
  <c r="AF64" i="108"/>
  <c r="AF36" i="108"/>
  <c r="AF79" i="108"/>
  <c r="AF51" i="108"/>
  <c r="AF102" i="108"/>
  <c r="AF74" i="108"/>
  <c r="AF46" i="108"/>
  <c r="AF93" i="108"/>
  <c r="AF63" i="108"/>
  <c r="AF78" i="108"/>
  <c r="AF81" i="108"/>
  <c r="AF72" i="108"/>
  <c r="AF59" i="108"/>
  <c r="AF48" i="108"/>
  <c r="AF97" i="108"/>
  <c r="AF69" i="108"/>
  <c r="AF41" i="108"/>
  <c r="AF84" i="108"/>
  <c r="AF56" i="108"/>
  <c r="AF32" i="108"/>
  <c r="AF99" i="108"/>
  <c r="AF71" i="108"/>
  <c r="AF47" i="108"/>
  <c r="AF19" i="108"/>
  <c r="AF94" i="108"/>
  <c r="AF66" i="108"/>
  <c r="AF42" i="108"/>
  <c r="AF14" i="108"/>
  <c r="AF73" i="108"/>
  <c r="AF88" i="108"/>
  <c r="AF43" i="108"/>
  <c r="AF58" i="108"/>
  <c r="AF57" i="108"/>
  <c r="AF44" i="108"/>
  <c r="AF87" i="108"/>
  <c r="AF82" i="108"/>
  <c r="AF4" i="108"/>
  <c r="AF83" i="108"/>
  <c r="AF89" i="108"/>
  <c r="AF61" i="108"/>
  <c r="AF37" i="108"/>
  <c r="AF9" i="108"/>
  <c r="AF76" i="108"/>
  <c r="AF52" i="108"/>
  <c r="AF24" i="108"/>
  <c r="AF91" i="108"/>
  <c r="AF67" i="108"/>
  <c r="AF39" i="108"/>
  <c r="AF86" i="108"/>
  <c r="AF62" i="108"/>
  <c r="AF34" i="108"/>
  <c r="AF53" i="108"/>
  <c r="AF68" i="108"/>
  <c r="AF103" i="108"/>
  <c r="AF38" i="108"/>
  <c r="AF29" i="108"/>
  <c r="AF96" i="108"/>
  <c r="AF31" i="108"/>
  <c r="AF54" i="108"/>
  <c r="AF33" i="108"/>
  <c r="AF98" i="108"/>
  <c r="W100" i="108"/>
  <c r="W96" i="108"/>
  <c r="W92" i="108"/>
  <c r="W88" i="108"/>
  <c r="W80" i="108"/>
  <c r="W76" i="108"/>
  <c r="W72" i="108"/>
  <c r="W68" i="108"/>
  <c r="W60" i="108"/>
  <c r="W56" i="108"/>
  <c r="W52" i="108"/>
  <c r="W48" i="108"/>
  <c r="W40" i="108"/>
  <c r="W36" i="108"/>
  <c r="W32" i="108"/>
  <c r="W28" i="108"/>
  <c r="W20" i="108"/>
  <c r="W16" i="108"/>
  <c r="W12" i="108"/>
  <c r="W8" i="108"/>
  <c r="W103" i="108"/>
  <c r="W95" i="108"/>
  <c r="W91" i="108"/>
  <c r="W87" i="108"/>
  <c r="W83" i="108"/>
  <c r="W75" i="108"/>
  <c r="W71" i="108"/>
  <c r="W67" i="108"/>
  <c r="W63" i="108"/>
  <c r="W55" i="108"/>
  <c r="W51" i="108"/>
  <c r="W47" i="108"/>
  <c r="W43" i="108"/>
  <c r="W35" i="108"/>
  <c r="W31" i="108"/>
  <c r="W27" i="108"/>
  <c r="W23" i="108"/>
  <c r="W15" i="108"/>
  <c r="W11" i="108"/>
  <c r="W7" i="108"/>
  <c r="W102" i="108"/>
  <c r="W98" i="108"/>
  <c r="W90" i="108"/>
  <c r="W86" i="108"/>
  <c r="W82" i="108"/>
  <c r="W78" i="108"/>
  <c r="W70" i="108"/>
  <c r="W66" i="108"/>
  <c r="W62" i="108"/>
  <c r="W58" i="108"/>
  <c r="W50" i="108"/>
  <c r="W46" i="108"/>
  <c r="W42" i="108"/>
  <c r="W38" i="108"/>
  <c r="W30" i="108"/>
  <c r="W26" i="108"/>
  <c r="W22" i="108"/>
  <c r="W18" i="108"/>
  <c r="W10" i="108"/>
  <c r="W6" i="108"/>
  <c r="W101" i="108"/>
  <c r="W97" i="108"/>
  <c r="W93" i="108"/>
  <c r="W85" i="108"/>
  <c r="W81" i="108"/>
  <c r="W77" i="108"/>
  <c r="W73" i="108"/>
  <c r="W65" i="108"/>
  <c r="W61" i="108"/>
  <c r="W57" i="108"/>
  <c r="W53" i="108"/>
  <c r="W45" i="108"/>
  <c r="W41" i="108"/>
  <c r="W37" i="108"/>
  <c r="W33" i="108"/>
  <c r="W25" i="108"/>
  <c r="W21" i="108"/>
  <c r="W17" i="108"/>
  <c r="W13" i="108"/>
  <c r="W5" i="108"/>
  <c r="W84" i="108"/>
  <c r="W64" i="108"/>
  <c r="W44" i="108"/>
  <c r="W24" i="108"/>
  <c r="W4" i="108"/>
  <c r="W99" i="108"/>
  <c r="W79" i="108"/>
  <c r="W59" i="108"/>
  <c r="W39" i="108"/>
  <c r="W19" i="108"/>
  <c r="W94" i="108"/>
  <c r="W74" i="108"/>
  <c r="W54" i="108"/>
  <c r="W34" i="108"/>
  <c r="W14" i="108"/>
  <c r="W89" i="108"/>
  <c r="W69" i="108"/>
  <c r="W49" i="108"/>
  <c r="W29" i="108"/>
  <c r="W9" i="108"/>
  <c r="AF85" i="108"/>
  <c r="AF65" i="108"/>
  <c r="AF45" i="108"/>
  <c r="AF100" i="108"/>
  <c r="AF80" i="108"/>
  <c r="AF60" i="108"/>
  <c r="AF40" i="108"/>
  <c r="AF95" i="108"/>
  <c r="AF75" i="108"/>
  <c r="AF55" i="108"/>
  <c r="AF35" i="108"/>
  <c r="AF90" i="108"/>
  <c r="AF70" i="108"/>
  <c r="AF50" i="108"/>
  <c r="AF30" i="108"/>
  <c r="AH9" i="105"/>
  <c r="AC4" i="105"/>
  <c r="AC64" i="105"/>
  <c r="AC24" i="105"/>
  <c r="AC69" i="105"/>
  <c r="AC74" i="105"/>
  <c r="AC79" i="105"/>
  <c r="AC59" i="105"/>
  <c r="AC84" i="105"/>
  <c r="AC89" i="105"/>
  <c r="AC9" i="105"/>
  <c r="AC94" i="105"/>
  <c r="AC54" i="105"/>
  <c r="AC14" i="105"/>
  <c r="AC99" i="105"/>
  <c r="AC19" i="105"/>
  <c r="N72" i="103"/>
  <c r="M69" i="103"/>
  <c r="M52" i="103" s="1"/>
  <c r="L64" i="103"/>
  <c r="L60" i="103"/>
  <c r="L56" i="103"/>
  <c r="L63" i="103"/>
  <c r="L55" i="103"/>
  <c r="L65" i="103"/>
  <c r="L61" i="103"/>
  <c r="L57" i="103"/>
  <c r="L53" i="103"/>
  <c r="L62" i="103"/>
  <c r="L58" i="103"/>
  <c r="L54" i="103"/>
  <c r="L59" i="103"/>
  <c r="N356" i="109" l="1"/>
  <c r="P48" i="109"/>
  <c r="O332" i="109"/>
  <c r="O328" i="109"/>
  <c r="O331" i="109"/>
  <c r="O327" i="109"/>
  <c r="O323" i="109"/>
  <c r="O319" i="109"/>
  <c r="O334" i="109"/>
  <c r="O330" i="109"/>
  <c r="O326" i="109"/>
  <c r="O325" i="109"/>
  <c r="O322" i="109"/>
  <c r="O321" i="109"/>
  <c r="O318" i="109"/>
  <c r="O317" i="109"/>
  <c r="O314" i="109"/>
  <c r="O310" i="109"/>
  <c r="O333" i="109"/>
  <c r="O329" i="109"/>
  <c r="O312" i="109"/>
  <c r="O324" i="109"/>
  <c r="O316" i="109"/>
  <c r="O313" i="109"/>
  <c r="O307" i="109"/>
  <c r="O320" i="109"/>
  <c r="O315" i="109"/>
  <c r="O311" i="109"/>
  <c r="O309" i="109"/>
  <c r="O308" i="109"/>
  <c r="N365" i="109"/>
  <c r="N353" i="109"/>
  <c r="N347" i="109"/>
  <c r="N346" i="109"/>
  <c r="N362" i="109"/>
  <c r="N363" i="109"/>
  <c r="N344" i="109"/>
  <c r="N358" i="109"/>
  <c r="N340" i="109"/>
  <c r="N341" i="109"/>
  <c r="N357" i="109"/>
  <c r="N339" i="109"/>
  <c r="N348" i="109"/>
  <c r="N350" i="109"/>
  <c r="N355" i="109"/>
  <c r="P47" i="109"/>
  <c r="O302" i="109"/>
  <c r="O366" i="109" s="1"/>
  <c r="O298" i="109"/>
  <c r="O362" i="109" s="1"/>
  <c r="O294" i="109"/>
  <c r="O358" i="109" s="1"/>
  <c r="O290" i="109"/>
  <c r="O354" i="109" s="1"/>
  <c r="O299" i="109"/>
  <c r="O363" i="109" s="1"/>
  <c r="O297" i="109"/>
  <c r="O361" i="109" s="1"/>
  <c r="O293" i="109"/>
  <c r="O289" i="109"/>
  <c r="O353" i="109" s="1"/>
  <c r="O285" i="109"/>
  <c r="O349" i="109" s="1"/>
  <c r="O281" i="109"/>
  <c r="O345" i="109" s="1"/>
  <c r="O277" i="109"/>
  <c r="O341" i="109" s="1"/>
  <c r="O295" i="109"/>
  <c r="O359" i="109" s="1"/>
  <c r="O291" i="109"/>
  <c r="O355" i="109" s="1"/>
  <c r="O282" i="109"/>
  <c r="O346" i="109" s="1"/>
  <c r="O278" i="109"/>
  <c r="O342" i="109" s="1"/>
  <c r="O276" i="109"/>
  <c r="O340" i="109" s="1"/>
  <c r="O287" i="109"/>
  <c r="O351" i="109" s="1"/>
  <c r="O301" i="109"/>
  <c r="O365" i="109" s="1"/>
  <c r="O300" i="109"/>
  <c r="O364" i="109" s="1"/>
  <c r="O296" i="109"/>
  <c r="O292" i="109"/>
  <c r="O356" i="109" s="1"/>
  <c r="O288" i="109"/>
  <c r="O352" i="109" s="1"/>
  <c r="O286" i="109"/>
  <c r="O350" i="109" s="1"/>
  <c r="O284" i="109"/>
  <c r="O348" i="109" s="1"/>
  <c r="O283" i="109"/>
  <c r="O347" i="109" s="1"/>
  <c r="O279" i="109"/>
  <c r="O343" i="109" s="1"/>
  <c r="O275" i="109"/>
  <c r="O339" i="109" s="1"/>
  <c r="O280" i="109"/>
  <c r="O344" i="109" s="1"/>
  <c r="N352" i="109"/>
  <c r="N345" i="109"/>
  <c r="N361" i="109"/>
  <c r="N343" i="109"/>
  <c r="N351" i="109"/>
  <c r="N354" i="109"/>
  <c r="N359" i="109"/>
  <c r="N36" i="108"/>
  <c r="P36" i="108" s="1"/>
  <c r="N48" i="108"/>
  <c r="P48" i="108" s="1"/>
  <c r="N46" i="108"/>
  <c r="P46" i="108" s="1"/>
  <c r="N41" i="108"/>
  <c r="P41" i="108" s="1"/>
  <c r="N32" i="108"/>
  <c r="P32" i="108" s="1"/>
  <c r="N53" i="108"/>
  <c r="P53" i="108" s="1"/>
  <c r="N44" i="108"/>
  <c r="P44" i="108" s="1"/>
  <c r="N43" i="108"/>
  <c r="P43" i="108" s="1"/>
  <c r="N103" i="108"/>
  <c r="P103" i="108" s="1"/>
  <c r="N60" i="108"/>
  <c r="P60" i="108" s="1"/>
  <c r="N58" i="108"/>
  <c r="P58" i="108" s="1"/>
  <c r="N26" i="108"/>
  <c r="P26" i="108" s="1"/>
  <c r="N11" i="108"/>
  <c r="P11" i="108" s="1"/>
  <c r="N85" i="108"/>
  <c r="P85" i="108" s="1"/>
  <c r="N91" i="108"/>
  <c r="P91" i="108" s="1"/>
  <c r="N27" i="108"/>
  <c r="P27" i="108" s="1"/>
  <c r="N83" i="108"/>
  <c r="P83" i="108" s="1"/>
  <c r="N22" i="108"/>
  <c r="P22" i="108" s="1"/>
  <c r="N101" i="108"/>
  <c r="P101" i="108" s="1"/>
  <c r="N86" i="108"/>
  <c r="P86" i="108" s="1"/>
  <c r="N72" i="108"/>
  <c r="P72" i="108" s="1"/>
  <c r="N79" i="108"/>
  <c r="P79" i="108" s="1"/>
  <c r="N5" i="108"/>
  <c r="P5" i="108" s="1"/>
  <c r="N92" i="108"/>
  <c r="P92" i="108" s="1"/>
  <c r="N77" i="108"/>
  <c r="P77" i="108" s="1"/>
  <c r="N63" i="108"/>
  <c r="P63" i="108" s="1"/>
  <c r="N55" i="108"/>
  <c r="P55" i="108" s="1"/>
  <c r="N70" i="108"/>
  <c r="P70" i="108" s="1"/>
  <c r="N64" i="108"/>
  <c r="P64" i="108" s="1"/>
  <c r="N19" i="108"/>
  <c r="P19" i="108" s="1"/>
  <c r="N56" i="108"/>
  <c r="P56" i="108" s="1"/>
  <c r="N100" i="108"/>
  <c r="P100" i="108" s="1"/>
  <c r="N66" i="108"/>
  <c r="P66" i="108" s="1"/>
  <c r="N18" i="108"/>
  <c r="P18" i="108" s="1"/>
  <c r="N71" i="108"/>
  <c r="P71" i="108" s="1"/>
  <c r="N59" i="108"/>
  <c r="P59" i="108" s="1"/>
  <c r="N93" i="108"/>
  <c r="P93" i="108" s="1"/>
  <c r="N69" i="108"/>
  <c r="P69" i="108" s="1"/>
  <c r="N12" i="108"/>
  <c r="P12" i="108" s="1"/>
  <c r="N74" i="108"/>
  <c r="P74" i="108" s="1"/>
  <c r="N88" i="108"/>
  <c r="P88" i="108" s="1"/>
  <c r="N13" i="108"/>
  <c r="P13" i="108" s="1"/>
  <c r="N54" i="108"/>
  <c r="P54" i="108" s="1"/>
  <c r="N10" i="108"/>
  <c r="P10" i="108" s="1"/>
  <c r="N99" i="108"/>
  <c r="P99" i="108" s="1"/>
  <c r="N89" i="108"/>
  <c r="P89" i="108" s="1"/>
  <c r="N25" i="108"/>
  <c r="P25" i="108" s="1"/>
  <c r="N15" i="108"/>
  <c r="P15" i="108" s="1"/>
  <c r="N6" i="108"/>
  <c r="P6" i="108" s="1"/>
  <c r="N95" i="108"/>
  <c r="P95" i="108" s="1"/>
  <c r="N68" i="108"/>
  <c r="P68" i="108" s="1"/>
  <c r="N87" i="108"/>
  <c r="P87" i="108" s="1"/>
  <c r="N4" i="108"/>
  <c r="P4" i="108" s="1"/>
  <c r="N90" i="108"/>
  <c r="P90" i="108" s="1"/>
  <c r="N62" i="108"/>
  <c r="P62" i="108" s="1"/>
  <c r="N94" i="108"/>
  <c r="P94" i="108" s="1"/>
  <c r="N73" i="108"/>
  <c r="P73" i="108" s="1"/>
  <c r="N57" i="108"/>
  <c r="P57" i="108" s="1"/>
  <c r="N61" i="108"/>
  <c r="P61" i="108" s="1"/>
  <c r="N8" i="108"/>
  <c r="P8" i="108" s="1"/>
  <c r="N78" i="108"/>
  <c r="P78" i="108" s="1"/>
  <c r="N76" i="108"/>
  <c r="P76" i="108" s="1"/>
  <c r="N20" i="108"/>
  <c r="P20" i="108" s="1"/>
  <c r="N21" i="108"/>
  <c r="P21" i="108" s="1"/>
  <c r="N9" i="108"/>
  <c r="P9" i="108" s="1"/>
  <c r="N67" i="108"/>
  <c r="P67" i="108" s="1"/>
  <c r="N75" i="108"/>
  <c r="P75" i="108" s="1"/>
  <c r="N17" i="108"/>
  <c r="P17" i="108" s="1"/>
  <c r="N24" i="108"/>
  <c r="P24" i="108" s="1"/>
  <c r="N28" i="108"/>
  <c r="P28" i="108" s="1"/>
  <c r="N82" i="108"/>
  <c r="P82" i="108" s="1"/>
  <c r="N80" i="108"/>
  <c r="P80" i="108" s="1"/>
  <c r="N65" i="108"/>
  <c r="P65" i="108" s="1"/>
  <c r="N16" i="108"/>
  <c r="P16" i="108" s="1"/>
  <c r="N23" i="108"/>
  <c r="P23" i="108" s="1"/>
  <c r="N14" i="108"/>
  <c r="P14" i="108" s="1"/>
  <c r="N102" i="108"/>
  <c r="P102" i="108" s="1"/>
  <c r="N97" i="108"/>
  <c r="P97" i="108" s="1"/>
  <c r="N81" i="108"/>
  <c r="P81" i="108" s="1"/>
  <c r="N98" i="108"/>
  <c r="P98" i="108" s="1"/>
  <c r="N96" i="108"/>
  <c r="P96" i="108" s="1"/>
  <c r="N7" i="108"/>
  <c r="P7" i="108" s="1"/>
  <c r="N84" i="108"/>
  <c r="P84" i="108" s="1"/>
  <c r="N45" i="108"/>
  <c r="P45" i="108" s="1"/>
  <c r="N39" i="108"/>
  <c r="P39" i="108" s="1"/>
  <c r="N30" i="108"/>
  <c r="P30" i="108" s="1"/>
  <c r="N52" i="108"/>
  <c r="P52" i="108" s="1"/>
  <c r="N37" i="108"/>
  <c r="P37" i="108" s="1"/>
  <c r="N29" i="108"/>
  <c r="P29" i="108" s="1"/>
  <c r="N49" i="108"/>
  <c r="P49" i="108" s="1"/>
  <c r="N47" i="108"/>
  <c r="P47" i="108" s="1"/>
  <c r="N31" i="108"/>
  <c r="P31" i="108" s="1"/>
  <c r="N38" i="108"/>
  <c r="P38" i="108" s="1"/>
  <c r="N40" i="108"/>
  <c r="P40" i="108" s="1"/>
  <c r="N50" i="108"/>
  <c r="P50" i="108" s="1"/>
  <c r="N34" i="108"/>
  <c r="P34" i="108" s="1"/>
  <c r="N42" i="108"/>
  <c r="P42" i="108" s="1"/>
  <c r="N33" i="108"/>
  <c r="P33" i="108" s="1"/>
  <c r="N35" i="108"/>
  <c r="P35" i="108" s="1"/>
  <c r="N51" i="108"/>
  <c r="P51" i="108" s="1"/>
  <c r="Q34" i="105"/>
  <c r="S34" i="105" s="1"/>
  <c r="U34" i="108" s="1"/>
  <c r="Q48" i="105"/>
  <c r="S48" i="105" s="1"/>
  <c r="U48" i="108" s="1"/>
  <c r="Q33" i="105"/>
  <c r="S33" i="105" s="1"/>
  <c r="U33" i="108" s="1"/>
  <c r="Q38" i="105"/>
  <c r="S38" i="105" s="1"/>
  <c r="U38" i="108" s="1"/>
  <c r="Q31" i="105"/>
  <c r="S31" i="105" s="1"/>
  <c r="U31" i="108" s="1"/>
  <c r="Q36" i="105"/>
  <c r="S36" i="105" s="1"/>
  <c r="U36" i="108" s="1"/>
  <c r="Q52" i="105"/>
  <c r="S52" i="105" s="1"/>
  <c r="U52" i="108" s="1"/>
  <c r="Q45" i="105"/>
  <c r="S45" i="105" s="1"/>
  <c r="U45" i="108" s="1"/>
  <c r="Q32" i="105"/>
  <c r="S32" i="105" s="1"/>
  <c r="U32" i="108" s="1"/>
  <c r="Q35" i="105"/>
  <c r="S35" i="105" s="1"/>
  <c r="U35" i="108" s="1"/>
  <c r="Q43" i="105"/>
  <c r="S43" i="105" s="1"/>
  <c r="U43" i="108" s="1"/>
  <c r="Q53" i="105"/>
  <c r="S53" i="105" s="1"/>
  <c r="U53" i="108" s="1"/>
  <c r="Q40" i="105"/>
  <c r="S40" i="105" s="1"/>
  <c r="U40" i="108" s="1"/>
  <c r="Q29" i="105"/>
  <c r="S29" i="105" s="1"/>
  <c r="U29" i="108" s="1"/>
  <c r="Q50" i="105"/>
  <c r="S50" i="105" s="1"/>
  <c r="U50" i="108" s="1"/>
  <c r="Q49" i="105"/>
  <c r="S49" i="105" s="1"/>
  <c r="U49" i="108" s="1"/>
  <c r="Q37" i="105"/>
  <c r="S37" i="105" s="1"/>
  <c r="U37" i="108" s="1"/>
  <c r="Q42" i="105"/>
  <c r="S42" i="105" s="1"/>
  <c r="U42" i="108" s="1"/>
  <c r="Q39" i="105"/>
  <c r="S39" i="105" s="1"/>
  <c r="U39" i="108" s="1"/>
  <c r="Q51" i="105"/>
  <c r="S51" i="105" s="1"/>
  <c r="U51" i="108" s="1"/>
  <c r="Q41" i="105"/>
  <c r="S41" i="105" s="1"/>
  <c r="U41" i="108" s="1"/>
  <c r="Q30" i="105"/>
  <c r="S30" i="105" s="1"/>
  <c r="U30" i="108" s="1"/>
  <c r="Q46" i="105"/>
  <c r="S46" i="105" s="1"/>
  <c r="U46" i="108" s="1"/>
  <c r="Q47" i="105"/>
  <c r="S47" i="105" s="1"/>
  <c r="U47" i="108" s="1"/>
  <c r="Q44" i="105"/>
  <c r="S44" i="105" s="1"/>
  <c r="U44" i="108" s="1"/>
  <c r="W65" i="105"/>
  <c r="W81" i="105"/>
  <c r="W92" i="105"/>
  <c r="W87" i="105"/>
  <c r="W28" i="105"/>
  <c r="W62" i="105"/>
  <c r="W23" i="105"/>
  <c r="W103" i="105"/>
  <c r="W57" i="105"/>
  <c r="W95" i="105"/>
  <c r="W90" i="105"/>
  <c r="W101" i="105"/>
  <c r="W27" i="105"/>
  <c r="W58" i="105"/>
  <c r="W82" i="105"/>
  <c r="W77" i="105"/>
  <c r="W8" i="105"/>
  <c r="W102" i="105"/>
  <c r="W97" i="105"/>
  <c r="W80" i="105"/>
  <c r="W11" i="105"/>
  <c r="W22" i="105"/>
  <c r="W76" i="105"/>
  <c r="W17" i="105"/>
  <c r="W71" i="105"/>
  <c r="W6" i="105"/>
  <c r="W100" i="105"/>
  <c r="W12" i="105"/>
  <c r="W66" i="105"/>
  <c r="W7" i="105"/>
  <c r="W61" i="105"/>
  <c r="W5" i="105"/>
  <c r="W72" i="105"/>
  <c r="W67" i="105"/>
  <c r="W78" i="105"/>
  <c r="W96" i="105"/>
  <c r="W73" i="105"/>
  <c r="W91" i="105"/>
  <c r="W60" i="105"/>
  <c r="W88" i="105"/>
  <c r="W83" i="105"/>
  <c r="W86" i="105"/>
  <c r="W75" i="105"/>
  <c r="W70" i="105"/>
  <c r="W85" i="105"/>
  <c r="W16" i="105"/>
  <c r="W68" i="105"/>
  <c r="W63" i="105"/>
  <c r="W55" i="105"/>
  <c r="W26" i="105"/>
  <c r="W21" i="105"/>
  <c r="W18" i="105"/>
  <c r="W98" i="105"/>
  <c r="W56" i="105"/>
  <c r="W13" i="105"/>
  <c r="W93" i="105"/>
  <c r="W25" i="105"/>
  <c r="W20" i="105"/>
  <c r="W15" i="105"/>
  <c r="W10" i="105"/>
  <c r="M65" i="103"/>
  <c r="M61" i="103"/>
  <c r="M57" i="103"/>
  <c r="M53" i="103"/>
  <c r="M64" i="103"/>
  <c r="M60" i="103"/>
  <c r="M62" i="103"/>
  <c r="M58" i="103"/>
  <c r="M54" i="103"/>
  <c r="M56" i="103"/>
  <c r="M63" i="103"/>
  <c r="M59" i="103"/>
  <c r="M55" i="103"/>
  <c r="O72" i="103"/>
  <c r="N69" i="103"/>
  <c r="N52" i="103" s="1"/>
  <c r="O360" i="109" l="1"/>
  <c r="Q47" i="109"/>
  <c r="P301" i="109"/>
  <c r="P299" i="109"/>
  <c r="P363" i="109" s="1"/>
  <c r="P297" i="109"/>
  <c r="P293" i="109"/>
  <c r="P289" i="109"/>
  <c r="P353" i="109" s="1"/>
  <c r="P300" i="109"/>
  <c r="P296" i="109"/>
  <c r="P292" i="109"/>
  <c r="P288" i="109"/>
  <c r="P352" i="109" s="1"/>
  <c r="P284" i="109"/>
  <c r="P348" i="109" s="1"/>
  <c r="P280" i="109"/>
  <c r="P298" i="109"/>
  <c r="P294" i="109"/>
  <c r="P358" i="109" s="1"/>
  <c r="P290" i="109"/>
  <c r="P354" i="109" s="1"/>
  <c r="P285" i="109"/>
  <c r="P281" i="109"/>
  <c r="P277" i="109"/>
  <c r="P276" i="109"/>
  <c r="P340" i="109" s="1"/>
  <c r="P279" i="109"/>
  <c r="P275" i="109"/>
  <c r="P286" i="109"/>
  <c r="P282" i="109"/>
  <c r="P278" i="109"/>
  <c r="P283" i="109"/>
  <c r="P302" i="109"/>
  <c r="P287" i="109"/>
  <c r="P351" i="109" s="1"/>
  <c r="P295" i="109"/>
  <c r="P291" i="109"/>
  <c r="O357" i="109"/>
  <c r="Q48" i="109"/>
  <c r="P331" i="109"/>
  <c r="P327" i="109"/>
  <c r="P334" i="109"/>
  <c r="P330" i="109"/>
  <c r="P326" i="109"/>
  <c r="P322" i="109"/>
  <c r="P318" i="109"/>
  <c r="P333" i="109"/>
  <c r="P329" i="109"/>
  <c r="P313" i="109"/>
  <c r="P309" i="109"/>
  <c r="P332" i="109"/>
  <c r="P328" i="109"/>
  <c r="P323" i="109"/>
  <c r="P319" i="109"/>
  <c r="P324" i="109"/>
  <c r="P320" i="109"/>
  <c r="P316" i="109"/>
  <c r="P315" i="109"/>
  <c r="P311" i="109"/>
  <c r="P325" i="109"/>
  <c r="P317" i="109"/>
  <c r="P314" i="109"/>
  <c r="P307" i="109"/>
  <c r="P308" i="109"/>
  <c r="P321" i="109"/>
  <c r="P310" i="109"/>
  <c r="P312" i="109"/>
  <c r="T47" i="108"/>
  <c r="T33" i="108"/>
  <c r="T78" i="108"/>
  <c r="T27" i="108"/>
  <c r="T56" i="108"/>
  <c r="T94" i="108"/>
  <c r="T5" i="108"/>
  <c r="T92" i="108"/>
  <c r="T77" i="108"/>
  <c r="T6" i="108"/>
  <c r="T68" i="108"/>
  <c r="T82" i="108"/>
  <c r="T75" i="108"/>
  <c r="T28" i="108"/>
  <c r="T88" i="108"/>
  <c r="T64" i="108"/>
  <c r="T80" i="108"/>
  <c r="T83" i="108"/>
  <c r="T22" i="108"/>
  <c r="T72" i="108"/>
  <c r="T15" i="108"/>
  <c r="T87" i="108"/>
  <c r="T69" i="108"/>
  <c r="T84" i="108"/>
  <c r="T79" i="108"/>
  <c r="T26" i="108"/>
  <c r="T11" i="108"/>
  <c r="T91" i="108"/>
  <c r="T62" i="108"/>
  <c r="T60" i="108"/>
  <c r="T10" i="108"/>
  <c r="T16" i="108"/>
  <c r="T23" i="108"/>
  <c r="T102" i="108"/>
  <c r="T61" i="108"/>
  <c r="T71" i="108"/>
  <c r="T67" i="108"/>
  <c r="T57" i="108"/>
  <c r="T38" i="108"/>
  <c r="T45" i="108"/>
  <c r="T52" i="108"/>
  <c r="T29" i="108"/>
  <c r="T44" i="108"/>
  <c r="T36" i="108"/>
  <c r="T41" i="108"/>
  <c r="T39" i="108"/>
  <c r="T31" i="108"/>
  <c r="T34" i="108"/>
  <c r="T30" i="108"/>
  <c r="T49" i="108"/>
  <c r="T40" i="108"/>
  <c r="T51" i="108"/>
  <c r="T35" i="108"/>
  <c r="T43" i="108"/>
  <c r="T50" i="108"/>
  <c r="T42" i="108"/>
  <c r="T32" i="108"/>
  <c r="T48" i="108"/>
  <c r="T9" i="108"/>
  <c r="T58" i="108"/>
  <c r="T85" i="108"/>
  <c r="T17" i="108"/>
  <c r="T24" i="108"/>
  <c r="T55" i="108"/>
  <c r="T25" i="108"/>
  <c r="T93" i="108"/>
  <c r="T98" i="108"/>
  <c r="T95" i="108"/>
  <c r="T8" i="108"/>
  <c r="T20" i="108"/>
  <c r="T86" i="108"/>
  <c r="T65" i="108"/>
  <c r="T74" i="108"/>
  <c r="T103" i="108"/>
  <c r="T100" i="108"/>
  <c r="T97" i="108"/>
  <c r="T7" i="108"/>
  <c r="T4" i="108"/>
  <c r="T70" i="108"/>
  <c r="T81" i="108"/>
  <c r="T90" i="108"/>
  <c r="T13" i="108"/>
  <c r="T54" i="108"/>
  <c r="T99" i="108"/>
  <c r="T89" i="108"/>
  <c r="T73" i="108"/>
  <c r="T66" i="108"/>
  <c r="T63" i="108"/>
  <c r="T18" i="108"/>
  <c r="T59" i="108"/>
  <c r="T12" i="108"/>
  <c r="T19" i="108"/>
  <c r="T96" i="108"/>
  <c r="T76" i="108"/>
  <c r="T21" i="108"/>
  <c r="T101" i="108"/>
  <c r="T14" i="108"/>
  <c r="T46" i="108"/>
  <c r="T53" i="108"/>
  <c r="T37" i="108"/>
  <c r="Y93" i="105"/>
  <c r="Y70" i="105"/>
  <c r="Y5" i="105"/>
  <c r="Y77" i="105"/>
  <c r="Y87" i="105"/>
  <c r="Y13" i="105"/>
  <c r="Y21" i="105"/>
  <c r="Y68" i="105"/>
  <c r="Y75" i="105"/>
  <c r="Y60" i="105"/>
  <c r="Y78" i="105"/>
  <c r="Y61" i="105"/>
  <c r="Y100" i="105"/>
  <c r="Y76" i="105"/>
  <c r="Y97" i="105"/>
  <c r="Y82" i="105"/>
  <c r="Y90" i="105"/>
  <c r="Y23" i="105"/>
  <c r="AC23" i="105" s="1"/>
  <c r="Y92" i="105"/>
  <c r="Y63" i="105"/>
  <c r="Y96" i="105"/>
  <c r="Y17" i="105"/>
  <c r="Y101" i="105"/>
  <c r="Y56" i="105"/>
  <c r="Y26" i="105"/>
  <c r="AC26" i="105" s="1"/>
  <c r="Y16" i="105"/>
  <c r="Y86" i="105"/>
  <c r="Y91" i="105"/>
  <c r="Y67" i="105"/>
  <c r="Y7" i="105"/>
  <c r="Y6" i="105"/>
  <c r="Y22" i="105"/>
  <c r="Y102" i="105"/>
  <c r="Y58" i="105"/>
  <c r="Y95" i="105"/>
  <c r="Y62" i="105"/>
  <c r="Y81" i="105"/>
  <c r="Y18" i="105"/>
  <c r="Y88" i="105"/>
  <c r="Y12" i="105"/>
  <c r="Y80" i="105"/>
  <c r="Y103" i="105"/>
  <c r="Y98" i="105"/>
  <c r="Y55" i="105"/>
  <c r="Y85" i="105"/>
  <c r="Y83" i="105"/>
  <c r="Y73" i="105"/>
  <c r="Y72" i="105"/>
  <c r="Y66" i="105"/>
  <c r="Y71" i="105"/>
  <c r="Y11" i="105"/>
  <c r="Y8" i="105"/>
  <c r="Y27" i="105"/>
  <c r="Y57" i="105"/>
  <c r="Y28" i="105"/>
  <c r="Y65" i="105"/>
  <c r="Y25" i="105"/>
  <c r="Y20" i="105"/>
  <c r="Y15" i="105"/>
  <c r="Y10" i="105"/>
  <c r="W51" i="105"/>
  <c r="W36" i="105"/>
  <c r="W33" i="105"/>
  <c r="AC44" i="105"/>
  <c r="W41" i="105"/>
  <c r="AC49" i="105"/>
  <c r="W52" i="105"/>
  <c r="W35" i="105"/>
  <c r="W53" i="105"/>
  <c r="W45" i="105"/>
  <c r="W42" i="105"/>
  <c r="AC39" i="105"/>
  <c r="W32" i="105"/>
  <c r="AC34" i="105"/>
  <c r="AC29" i="105"/>
  <c r="W30" i="105"/>
  <c r="W40" i="105"/>
  <c r="W37" i="105"/>
  <c r="N62" i="103"/>
  <c r="N58" i="103"/>
  <c r="N54" i="103"/>
  <c r="N53" i="103"/>
  <c r="N63" i="103"/>
  <c r="N59" i="103"/>
  <c r="N55" i="103"/>
  <c r="N61" i="103"/>
  <c r="N64" i="103"/>
  <c r="N60" i="103"/>
  <c r="N56" i="103"/>
  <c r="N65" i="103"/>
  <c r="N57" i="103"/>
  <c r="P72" i="103"/>
  <c r="O69" i="103"/>
  <c r="O52" i="103" s="1"/>
  <c r="R48" i="109" l="1"/>
  <c r="Q334" i="109"/>
  <c r="Q330" i="109"/>
  <c r="Q326" i="109"/>
  <c r="Q333" i="109"/>
  <c r="Q329" i="109"/>
  <c r="Q325" i="109"/>
  <c r="Q321" i="109"/>
  <c r="Q317" i="109"/>
  <c r="Q332" i="109"/>
  <c r="Q328" i="109"/>
  <c r="Q323" i="109"/>
  <c r="Q319" i="109"/>
  <c r="Q312" i="109"/>
  <c r="Q308" i="109"/>
  <c r="Q324" i="109"/>
  <c r="Q320" i="109"/>
  <c r="Q316" i="109"/>
  <c r="Q314" i="109"/>
  <c r="Q327" i="109"/>
  <c r="Q313" i="109"/>
  <c r="Q322" i="109"/>
  <c r="Q309" i="109"/>
  <c r="Q331" i="109"/>
  <c r="Q315" i="109"/>
  <c r="Q310" i="109"/>
  <c r="Q307" i="109"/>
  <c r="Q318" i="109"/>
  <c r="Q311" i="109"/>
  <c r="P346" i="109"/>
  <c r="P364" i="109"/>
  <c r="P341" i="109"/>
  <c r="P365" i="109"/>
  <c r="P366" i="109"/>
  <c r="P355" i="109"/>
  <c r="P347" i="109"/>
  <c r="P339" i="109"/>
  <c r="P345" i="109"/>
  <c r="P362" i="109"/>
  <c r="P356" i="109"/>
  <c r="P357" i="109"/>
  <c r="R47" i="109"/>
  <c r="Q300" i="109"/>
  <c r="Q364" i="109" s="1"/>
  <c r="Q296" i="109"/>
  <c r="Q360" i="109" s="1"/>
  <c r="Q292" i="109"/>
  <c r="Q356" i="109" s="1"/>
  <c r="Q288" i="109"/>
  <c r="Q352" i="109" s="1"/>
  <c r="Q301" i="109"/>
  <c r="Q365" i="109" s="1"/>
  <c r="Q295" i="109"/>
  <c r="Q359" i="109" s="1"/>
  <c r="Q291" i="109"/>
  <c r="Q355" i="109" s="1"/>
  <c r="Q287" i="109"/>
  <c r="Q351" i="109" s="1"/>
  <c r="Q283" i="109"/>
  <c r="Q347" i="109" s="1"/>
  <c r="Q279" i="109"/>
  <c r="Q343" i="109" s="1"/>
  <c r="Q297" i="109"/>
  <c r="Q361" i="109" s="1"/>
  <c r="Q293" i="109"/>
  <c r="Q357" i="109" s="1"/>
  <c r="Q289" i="109"/>
  <c r="Q353" i="109" s="1"/>
  <c r="Q286" i="109"/>
  <c r="Q350" i="109" s="1"/>
  <c r="Q282" i="109"/>
  <c r="Q346" i="109" s="1"/>
  <c r="Q278" i="109"/>
  <c r="Q342" i="109" s="1"/>
  <c r="Q276" i="109"/>
  <c r="Q340" i="109" s="1"/>
  <c r="Q275" i="109"/>
  <c r="Q339" i="109" s="1"/>
  <c r="Q280" i="109"/>
  <c r="Q344" i="109" s="1"/>
  <c r="Q298" i="109"/>
  <c r="Q362" i="109" s="1"/>
  <c r="Q290" i="109"/>
  <c r="Q354" i="109" s="1"/>
  <c r="Q281" i="109"/>
  <c r="Q345" i="109" s="1"/>
  <c r="Q302" i="109"/>
  <c r="Q366" i="109" s="1"/>
  <c r="Q299" i="109"/>
  <c r="Q363" i="109" s="1"/>
  <c r="Q284" i="109"/>
  <c r="Q348" i="109" s="1"/>
  <c r="Q294" i="109"/>
  <c r="Q358" i="109" s="1"/>
  <c r="Q285" i="109"/>
  <c r="Q349" i="109" s="1"/>
  <c r="Q277" i="109"/>
  <c r="Q341" i="109" s="1"/>
  <c r="P350" i="109"/>
  <c r="P359" i="109"/>
  <c r="P342" i="109"/>
  <c r="P343" i="109"/>
  <c r="P349" i="109"/>
  <c r="P344" i="109"/>
  <c r="P360" i="109"/>
  <c r="P361" i="109"/>
  <c r="AD65" i="105"/>
  <c r="AD65" i="108"/>
  <c r="AC55" i="105"/>
  <c r="AD55" i="108"/>
  <c r="AC22" i="105"/>
  <c r="AD22" i="108"/>
  <c r="AD82" i="105"/>
  <c r="AD82" i="108"/>
  <c r="AD77" i="105"/>
  <c r="AD77" i="108"/>
  <c r="AC15" i="105"/>
  <c r="AD15" i="108"/>
  <c r="AD28" i="105"/>
  <c r="AD28" i="108"/>
  <c r="AD11" i="105"/>
  <c r="AD11" i="108"/>
  <c r="AD73" i="105"/>
  <c r="AD73" i="108"/>
  <c r="AD98" i="105"/>
  <c r="AD98" i="108"/>
  <c r="AD88" i="105"/>
  <c r="AD88" i="108"/>
  <c r="AC95" i="105"/>
  <c r="AD95" i="108"/>
  <c r="AD6" i="105"/>
  <c r="AD6" i="108"/>
  <c r="AD86" i="105"/>
  <c r="AD86" i="108"/>
  <c r="AD101" i="105"/>
  <c r="AD101" i="108"/>
  <c r="AD92" i="105"/>
  <c r="AD92" i="108"/>
  <c r="AD97" i="105"/>
  <c r="AD97" i="108"/>
  <c r="AD78" i="105"/>
  <c r="AD78" i="108"/>
  <c r="AD21" i="105"/>
  <c r="AD21" i="108"/>
  <c r="AD5" i="105"/>
  <c r="AD5" i="108"/>
  <c r="AD8" i="105"/>
  <c r="AD8" i="108"/>
  <c r="AC12" i="105"/>
  <c r="AD12" i="108"/>
  <c r="AD91" i="105"/>
  <c r="AD91" i="108"/>
  <c r="AD63" i="105"/>
  <c r="AD63" i="108"/>
  <c r="AD61" i="105"/>
  <c r="AD61" i="108"/>
  <c r="AD20" i="105"/>
  <c r="AD20" i="108"/>
  <c r="AC57" i="105"/>
  <c r="AD57" i="108"/>
  <c r="AC71" i="105"/>
  <c r="AD71" i="108"/>
  <c r="AD83" i="105"/>
  <c r="AD83" i="108"/>
  <c r="AC103" i="105"/>
  <c r="AD103" i="108"/>
  <c r="AC18" i="105"/>
  <c r="AD18" i="108"/>
  <c r="AC58" i="105"/>
  <c r="AD58" i="108"/>
  <c r="AD7" i="105"/>
  <c r="AD7" i="108"/>
  <c r="AD16" i="105"/>
  <c r="AD16" i="108"/>
  <c r="AD17" i="105"/>
  <c r="AD17" i="108"/>
  <c r="AD23" i="105"/>
  <c r="AD23" i="108"/>
  <c r="AD76" i="105"/>
  <c r="AD76" i="108"/>
  <c r="AD60" i="105"/>
  <c r="AD60" i="108"/>
  <c r="AC13" i="105"/>
  <c r="AD13" i="108"/>
  <c r="AC70" i="105"/>
  <c r="AD70" i="108"/>
  <c r="AD10" i="105"/>
  <c r="AD10" i="108"/>
  <c r="AD72" i="105"/>
  <c r="AD72" i="108"/>
  <c r="AC62" i="105"/>
  <c r="AD62" i="108"/>
  <c r="AD56" i="105"/>
  <c r="AD56" i="108"/>
  <c r="AD68" i="105"/>
  <c r="AD68" i="108"/>
  <c r="AD25" i="105"/>
  <c r="AD25" i="108"/>
  <c r="AD27" i="105"/>
  <c r="AD27" i="108"/>
  <c r="AD66" i="105"/>
  <c r="AD66" i="108"/>
  <c r="AD85" i="105"/>
  <c r="AD85" i="108"/>
  <c r="AD80" i="105"/>
  <c r="AD80" i="108"/>
  <c r="AD81" i="105"/>
  <c r="AD81" i="108"/>
  <c r="AD102" i="105"/>
  <c r="AD102" i="108"/>
  <c r="AD67" i="105"/>
  <c r="AD67" i="108"/>
  <c r="AD26" i="105"/>
  <c r="AD26" i="108"/>
  <c r="AD96" i="105"/>
  <c r="AD96" i="108"/>
  <c r="AD90" i="105"/>
  <c r="AD90" i="108"/>
  <c r="AD100" i="105"/>
  <c r="AD100" i="108"/>
  <c r="AD75" i="105"/>
  <c r="AD75" i="108"/>
  <c r="AD87" i="105"/>
  <c r="AD87" i="108"/>
  <c r="AD93" i="105"/>
  <c r="AD93" i="108"/>
  <c r="V19" i="108"/>
  <c r="X19" i="108" s="1"/>
  <c r="V81" i="108"/>
  <c r="X81" i="108" s="1"/>
  <c r="AC81" i="108" s="1"/>
  <c r="V65" i="108"/>
  <c r="X65" i="108" s="1"/>
  <c r="AC65" i="108" s="1"/>
  <c r="V95" i="108"/>
  <c r="X95" i="108" s="1"/>
  <c r="AC95" i="108" s="1"/>
  <c r="V42" i="108"/>
  <c r="X42" i="108" s="1"/>
  <c r="V34" i="108"/>
  <c r="X34" i="108" s="1"/>
  <c r="V45" i="108"/>
  <c r="X45" i="108" s="1"/>
  <c r="AC45" i="108" s="1"/>
  <c r="V16" i="108"/>
  <c r="X16" i="108" s="1"/>
  <c r="AC16" i="108" s="1"/>
  <c r="V91" i="108"/>
  <c r="X91" i="108" s="1"/>
  <c r="AC91" i="108" s="1"/>
  <c r="V72" i="108"/>
  <c r="X72" i="108" s="1"/>
  <c r="AC72" i="108" s="1"/>
  <c r="V64" i="108"/>
  <c r="X64" i="108" s="1"/>
  <c r="V82" i="108"/>
  <c r="X82" i="108" s="1"/>
  <c r="AC82" i="108" s="1"/>
  <c r="V27" i="108"/>
  <c r="X27" i="108" s="1"/>
  <c r="AC27" i="108" s="1"/>
  <c r="V53" i="108"/>
  <c r="X53" i="108" s="1"/>
  <c r="AC53" i="108" s="1"/>
  <c r="V21" i="108"/>
  <c r="X21" i="108" s="1"/>
  <c r="AC21" i="108" s="1"/>
  <c r="V12" i="108"/>
  <c r="X12" i="108" s="1"/>
  <c r="AC12" i="108" s="1"/>
  <c r="V66" i="108"/>
  <c r="X66" i="108" s="1"/>
  <c r="AC66" i="108" s="1"/>
  <c r="V54" i="108"/>
  <c r="X54" i="108" s="1"/>
  <c r="V70" i="108"/>
  <c r="X70" i="108" s="1"/>
  <c r="AC70" i="108" s="1"/>
  <c r="V100" i="108"/>
  <c r="X100" i="108" s="1"/>
  <c r="AC100" i="108" s="1"/>
  <c r="V86" i="108"/>
  <c r="X86" i="108" s="1"/>
  <c r="AC86" i="108" s="1"/>
  <c r="V98" i="108"/>
  <c r="X98" i="108" s="1"/>
  <c r="AC98" i="108" s="1"/>
  <c r="V24" i="108"/>
  <c r="X24" i="108" s="1"/>
  <c r="V9" i="108"/>
  <c r="X9" i="108" s="1"/>
  <c r="V50" i="108"/>
  <c r="X50" i="108" s="1"/>
  <c r="AC50" i="108" s="1"/>
  <c r="V40" i="108"/>
  <c r="X40" i="108" s="1"/>
  <c r="AC40" i="108" s="1"/>
  <c r="V31" i="108"/>
  <c r="X31" i="108" s="1"/>
  <c r="AC31" i="108" s="1"/>
  <c r="V44" i="108"/>
  <c r="X44" i="108" s="1"/>
  <c r="V38" i="108"/>
  <c r="X38" i="108" s="1"/>
  <c r="AC38" i="108" s="1"/>
  <c r="V61" i="108"/>
  <c r="X61" i="108" s="1"/>
  <c r="AC61" i="108" s="1"/>
  <c r="V10" i="108"/>
  <c r="X10" i="108" s="1"/>
  <c r="AC10" i="108" s="1"/>
  <c r="V11" i="108"/>
  <c r="X11" i="108" s="1"/>
  <c r="AC11" i="108" s="1"/>
  <c r="V69" i="108"/>
  <c r="X69" i="108" s="1"/>
  <c r="V22" i="108"/>
  <c r="X22" i="108" s="1"/>
  <c r="AC22" i="108" s="1"/>
  <c r="V88" i="108"/>
  <c r="X88" i="108" s="1"/>
  <c r="AC88" i="108" s="1"/>
  <c r="V68" i="108"/>
  <c r="X68" i="108" s="1"/>
  <c r="AC68" i="108" s="1"/>
  <c r="V5" i="108"/>
  <c r="X5" i="108" s="1"/>
  <c r="AC5" i="108" s="1"/>
  <c r="V78" i="108"/>
  <c r="X78" i="108" s="1"/>
  <c r="AC78" i="108" s="1"/>
  <c r="V37" i="108"/>
  <c r="X37" i="108" s="1"/>
  <c r="V63" i="108"/>
  <c r="X63" i="108" s="1"/>
  <c r="AC63" i="108" s="1"/>
  <c r="V58" i="108"/>
  <c r="X58" i="108" s="1"/>
  <c r="AC58" i="108" s="1"/>
  <c r="V84" i="108"/>
  <c r="X84" i="108" s="1"/>
  <c r="V46" i="108"/>
  <c r="X46" i="108" s="1"/>
  <c r="AC46" i="108" s="1"/>
  <c r="V76" i="108"/>
  <c r="X76" i="108" s="1"/>
  <c r="AC76" i="108" s="1"/>
  <c r="V59" i="108"/>
  <c r="X59" i="108" s="1"/>
  <c r="V73" i="108"/>
  <c r="X73" i="108" s="1"/>
  <c r="AC73" i="108" s="1"/>
  <c r="V13" i="108"/>
  <c r="X13" i="108" s="1"/>
  <c r="AC13" i="108" s="1"/>
  <c r="V4" i="108"/>
  <c r="X4" i="108" s="1"/>
  <c r="V103" i="108"/>
  <c r="X103" i="108" s="1"/>
  <c r="AC103" i="108" s="1"/>
  <c r="V20" i="108"/>
  <c r="X20" i="108" s="1"/>
  <c r="AC20" i="108" s="1"/>
  <c r="V93" i="108"/>
  <c r="X93" i="108" s="1"/>
  <c r="AC93" i="108" s="1"/>
  <c r="V17" i="108"/>
  <c r="X17" i="108" s="1"/>
  <c r="AC17" i="108" s="1"/>
  <c r="V48" i="108"/>
  <c r="X48" i="108" s="1"/>
  <c r="AC48" i="108" s="1"/>
  <c r="V43" i="108"/>
  <c r="X43" i="108" s="1"/>
  <c r="AC43" i="108" s="1"/>
  <c r="V49" i="108"/>
  <c r="X49" i="108" s="1"/>
  <c r="V39" i="108"/>
  <c r="X39" i="108" s="1"/>
  <c r="V29" i="108"/>
  <c r="X29" i="108" s="1"/>
  <c r="V57" i="108"/>
  <c r="X57" i="108" s="1"/>
  <c r="AC57" i="108" s="1"/>
  <c r="V102" i="108"/>
  <c r="X102" i="108" s="1"/>
  <c r="AC102" i="108" s="1"/>
  <c r="V60" i="108"/>
  <c r="X60" i="108" s="1"/>
  <c r="AC60" i="108" s="1"/>
  <c r="V26" i="108"/>
  <c r="X26" i="108" s="1"/>
  <c r="AC26" i="108" s="1"/>
  <c r="V87" i="108"/>
  <c r="X87" i="108" s="1"/>
  <c r="AC87" i="108" s="1"/>
  <c r="V83" i="108"/>
  <c r="X83" i="108" s="1"/>
  <c r="AC83" i="108" s="1"/>
  <c r="V28" i="108"/>
  <c r="X28" i="108" s="1"/>
  <c r="AC28" i="108" s="1"/>
  <c r="V6" i="108"/>
  <c r="X6" i="108" s="1"/>
  <c r="AC6" i="108" s="1"/>
  <c r="V94" i="108"/>
  <c r="X94" i="108" s="1"/>
  <c r="V33" i="108"/>
  <c r="X33" i="108" s="1"/>
  <c r="AC33" i="108" s="1"/>
  <c r="V101" i="108"/>
  <c r="X101" i="108" s="1"/>
  <c r="AC101" i="108" s="1"/>
  <c r="V99" i="108"/>
  <c r="X99" i="108" s="1"/>
  <c r="V97" i="108"/>
  <c r="X97" i="108" s="1"/>
  <c r="AC97" i="108" s="1"/>
  <c r="V55" i="108"/>
  <c r="X55" i="108" s="1"/>
  <c r="AC55" i="108" s="1"/>
  <c r="V51" i="108"/>
  <c r="X51" i="108" s="1"/>
  <c r="AC51" i="108" s="1"/>
  <c r="V36" i="108"/>
  <c r="X36" i="108" s="1"/>
  <c r="AC36" i="108" s="1"/>
  <c r="V71" i="108"/>
  <c r="X71" i="108" s="1"/>
  <c r="AC71" i="108" s="1"/>
  <c r="V92" i="108"/>
  <c r="X92" i="108" s="1"/>
  <c r="AC92" i="108" s="1"/>
  <c r="V14" i="108"/>
  <c r="X14" i="108" s="1"/>
  <c r="V96" i="108"/>
  <c r="X96" i="108" s="1"/>
  <c r="AC96" i="108" s="1"/>
  <c r="V18" i="108"/>
  <c r="X18" i="108" s="1"/>
  <c r="AC18" i="108" s="1"/>
  <c r="V89" i="108"/>
  <c r="X89" i="108" s="1"/>
  <c r="V90" i="108"/>
  <c r="X90" i="108" s="1"/>
  <c r="AC90" i="108" s="1"/>
  <c r="V7" i="108"/>
  <c r="X7" i="108" s="1"/>
  <c r="AC7" i="108" s="1"/>
  <c r="V74" i="108"/>
  <c r="X74" i="108" s="1"/>
  <c r="V8" i="108"/>
  <c r="X8" i="108" s="1"/>
  <c r="AC8" i="108" s="1"/>
  <c r="V25" i="108"/>
  <c r="X25" i="108" s="1"/>
  <c r="AC25" i="108" s="1"/>
  <c r="V85" i="108"/>
  <c r="X85" i="108" s="1"/>
  <c r="AC85" i="108" s="1"/>
  <c r="V32" i="108"/>
  <c r="X32" i="108" s="1"/>
  <c r="AC32" i="108" s="1"/>
  <c r="V35" i="108"/>
  <c r="X35" i="108" s="1"/>
  <c r="AC35" i="108" s="1"/>
  <c r="V30" i="108"/>
  <c r="X30" i="108" s="1"/>
  <c r="AC30" i="108" s="1"/>
  <c r="V41" i="108"/>
  <c r="X41" i="108" s="1"/>
  <c r="AC41" i="108" s="1"/>
  <c r="V52" i="108"/>
  <c r="X52" i="108" s="1"/>
  <c r="AC52" i="108" s="1"/>
  <c r="V67" i="108"/>
  <c r="X67" i="108" s="1"/>
  <c r="AC67" i="108" s="1"/>
  <c r="V23" i="108"/>
  <c r="X23" i="108" s="1"/>
  <c r="AC23" i="108" s="1"/>
  <c r="V62" i="108"/>
  <c r="X62" i="108" s="1"/>
  <c r="AC62" i="108" s="1"/>
  <c r="V79" i="108"/>
  <c r="X79" i="108" s="1"/>
  <c r="V15" i="108"/>
  <c r="X15" i="108" s="1"/>
  <c r="AC15" i="108" s="1"/>
  <c r="V80" i="108"/>
  <c r="X80" i="108" s="1"/>
  <c r="AC80" i="108" s="1"/>
  <c r="V75" i="108"/>
  <c r="X75" i="108" s="1"/>
  <c r="AC75" i="108" s="1"/>
  <c r="V77" i="108"/>
  <c r="X77" i="108" s="1"/>
  <c r="AC77" i="108" s="1"/>
  <c r="V56" i="108"/>
  <c r="X56" i="108" s="1"/>
  <c r="AC56" i="108" s="1"/>
  <c r="V47" i="108"/>
  <c r="X47" i="108" s="1"/>
  <c r="AC47" i="108" s="1"/>
  <c r="AC25" i="105"/>
  <c r="AC93" i="105"/>
  <c r="AC76" i="105"/>
  <c r="AC7" i="105"/>
  <c r="AC16" i="105"/>
  <c r="AC90" i="105"/>
  <c r="AC66" i="105"/>
  <c r="AC87" i="105"/>
  <c r="AC96" i="105"/>
  <c r="AC27" i="105"/>
  <c r="AC81" i="105"/>
  <c r="AC102" i="105"/>
  <c r="AC75" i="105"/>
  <c r="AC100" i="105"/>
  <c r="AC5" i="105"/>
  <c r="AC78" i="105"/>
  <c r="AC88" i="105"/>
  <c r="AC11" i="105"/>
  <c r="AC21" i="105"/>
  <c r="AD95" i="105"/>
  <c r="AC82" i="105"/>
  <c r="AC86" i="105"/>
  <c r="AC10" i="105"/>
  <c r="AC101" i="105"/>
  <c r="AC92" i="105"/>
  <c r="AC6" i="105"/>
  <c r="AC67" i="105"/>
  <c r="AC56" i="105"/>
  <c r="AC28" i="105"/>
  <c r="AC85" i="105"/>
  <c r="AC98" i="105"/>
  <c r="AC73" i="105"/>
  <c r="AC97" i="105"/>
  <c r="AC80" i="105"/>
  <c r="AC91" i="105"/>
  <c r="AC63" i="105"/>
  <c r="AC20" i="105"/>
  <c r="AC61" i="105"/>
  <c r="Y40" i="105"/>
  <c r="Y41" i="105"/>
  <c r="AC65" i="105"/>
  <c r="AC77" i="105"/>
  <c r="AC17" i="105"/>
  <c r="AC68" i="105"/>
  <c r="AC8" i="105"/>
  <c r="AC83" i="105"/>
  <c r="AC72" i="105"/>
  <c r="AC60" i="105"/>
  <c r="Y30" i="105"/>
  <c r="AC30" i="105" s="1"/>
  <c r="Y35" i="105"/>
  <c r="AD15" i="105"/>
  <c r="AD57" i="105"/>
  <c r="AD71" i="105"/>
  <c r="AD55" i="105"/>
  <c r="AD103" i="105"/>
  <c r="AD12" i="105"/>
  <c r="AD18" i="105"/>
  <c r="AD62" i="105"/>
  <c r="AD58" i="105"/>
  <c r="AD22" i="105"/>
  <c r="AD13" i="105"/>
  <c r="AD70" i="105"/>
  <c r="Y32" i="105"/>
  <c r="Y51" i="105"/>
  <c r="Y42" i="105"/>
  <c r="Y52" i="105"/>
  <c r="Y33" i="105"/>
  <c r="Y53" i="105"/>
  <c r="Y37" i="105"/>
  <c r="Y45" i="105"/>
  <c r="Y36" i="105"/>
  <c r="W38" i="105"/>
  <c r="W43" i="105"/>
  <c r="W46" i="105"/>
  <c r="W31" i="105"/>
  <c r="W48" i="105"/>
  <c r="W47" i="105"/>
  <c r="W50" i="105"/>
  <c r="Q72" i="103"/>
  <c r="Q69" i="103" s="1"/>
  <c r="Q52" i="103" s="1"/>
  <c r="P69" i="103"/>
  <c r="P52" i="103" s="1"/>
  <c r="O63" i="103"/>
  <c r="O59" i="103"/>
  <c r="O55" i="103"/>
  <c r="O58" i="103"/>
  <c r="O64" i="103"/>
  <c r="O60" i="103"/>
  <c r="O56" i="103"/>
  <c r="O54" i="103"/>
  <c r="O65" i="103"/>
  <c r="O61" i="103"/>
  <c r="O57" i="103"/>
  <c r="O53" i="103"/>
  <c r="O62" i="103"/>
  <c r="S47" i="109" l="1"/>
  <c r="R299" i="109"/>
  <c r="R301" i="109"/>
  <c r="R300" i="109"/>
  <c r="R295" i="109"/>
  <c r="R291" i="109"/>
  <c r="R302" i="109"/>
  <c r="R298" i="109"/>
  <c r="R294" i="109"/>
  <c r="R290" i="109"/>
  <c r="R286" i="109"/>
  <c r="R282" i="109"/>
  <c r="R278" i="109"/>
  <c r="R275" i="109"/>
  <c r="R281" i="109"/>
  <c r="R293" i="109"/>
  <c r="R296" i="109"/>
  <c r="R292" i="109"/>
  <c r="R288" i="109"/>
  <c r="R287" i="109"/>
  <c r="R284" i="109"/>
  <c r="R283" i="109"/>
  <c r="R280" i="109"/>
  <c r="R279" i="109"/>
  <c r="R343" i="109" s="1"/>
  <c r="R285" i="109"/>
  <c r="R277" i="109"/>
  <c r="R297" i="109"/>
  <c r="R289" i="109"/>
  <c r="R276" i="109"/>
  <c r="S48" i="109"/>
  <c r="R333" i="109"/>
  <c r="R329" i="109"/>
  <c r="R332" i="109"/>
  <c r="R328" i="109"/>
  <c r="R324" i="109"/>
  <c r="R320" i="109"/>
  <c r="R316" i="109"/>
  <c r="R331" i="109"/>
  <c r="R327" i="109"/>
  <c r="R315" i="109"/>
  <c r="R311" i="109"/>
  <c r="R307" i="109"/>
  <c r="R334" i="109"/>
  <c r="R330" i="109"/>
  <c r="R325" i="109"/>
  <c r="R322" i="109"/>
  <c r="R321" i="109"/>
  <c r="R318" i="109"/>
  <c r="R317" i="109"/>
  <c r="R313" i="109"/>
  <c r="R323" i="109"/>
  <c r="R309" i="109"/>
  <c r="R308" i="109"/>
  <c r="R312" i="109"/>
  <c r="R310" i="109"/>
  <c r="R319" i="109"/>
  <c r="R326" i="109"/>
  <c r="R314" i="109"/>
  <c r="AD42" i="105"/>
  <c r="AD42" i="108"/>
  <c r="AD53" i="105"/>
  <c r="AD53" i="108"/>
  <c r="AD51" i="105"/>
  <c r="AD51" i="108"/>
  <c r="AC41" i="105"/>
  <c r="AD41" i="108"/>
  <c r="AC36" i="105"/>
  <c r="AD36" i="108"/>
  <c r="AD33" i="105"/>
  <c r="AD33" i="108"/>
  <c r="AD32" i="105"/>
  <c r="AD32" i="108"/>
  <c r="AD40" i="105"/>
  <c r="AD40" i="108"/>
  <c r="AC37" i="105"/>
  <c r="AD37" i="108"/>
  <c r="AD30" i="105"/>
  <c r="AD30" i="108"/>
  <c r="AD45" i="105"/>
  <c r="AD45" i="108"/>
  <c r="AD52" i="105"/>
  <c r="AD52" i="108"/>
  <c r="AD35" i="105"/>
  <c r="AD35" i="108"/>
  <c r="AC37" i="108"/>
  <c r="AC42" i="108"/>
  <c r="AC51" i="105"/>
  <c r="AC52" i="105"/>
  <c r="AC32" i="105"/>
  <c r="AC33" i="105"/>
  <c r="AC45" i="105"/>
  <c r="AC53" i="105"/>
  <c r="AC35" i="105"/>
  <c r="AC40" i="105"/>
  <c r="AC42" i="105"/>
  <c r="Y47" i="105"/>
  <c r="Y38" i="105"/>
  <c r="AD36" i="105"/>
  <c r="AD37" i="105"/>
  <c r="AD41" i="105"/>
  <c r="Y48" i="105"/>
  <c r="Y31" i="105"/>
  <c r="Y43" i="105"/>
  <c r="Y50" i="105"/>
  <c r="Y46" i="105"/>
  <c r="P64" i="103"/>
  <c r="P60" i="103"/>
  <c r="P56" i="103"/>
  <c r="P65" i="103"/>
  <c r="P61" i="103"/>
  <c r="P57" i="103"/>
  <c r="P53" i="103"/>
  <c r="P59" i="103"/>
  <c r="P62" i="103"/>
  <c r="P58" i="103"/>
  <c r="P54" i="103"/>
  <c r="P63" i="103"/>
  <c r="P55" i="103"/>
  <c r="Q65" i="103"/>
  <c r="Q61" i="103"/>
  <c r="Q57" i="103"/>
  <c r="Q53" i="103"/>
  <c r="Q56" i="103"/>
  <c r="Q62" i="103"/>
  <c r="Q58" i="103"/>
  <c r="Q54" i="103"/>
  <c r="Q64" i="103"/>
  <c r="Q63" i="103"/>
  <c r="Q59" i="103"/>
  <c r="Q55" i="103"/>
  <c r="Q60" i="103"/>
  <c r="R353" i="109" l="1"/>
  <c r="R351" i="109"/>
  <c r="R357" i="109"/>
  <c r="R346" i="109"/>
  <c r="R362" i="109"/>
  <c r="R364" i="109"/>
  <c r="R361" i="109"/>
  <c r="R344" i="109"/>
  <c r="R352" i="109"/>
  <c r="R345" i="109"/>
  <c r="R350" i="109"/>
  <c r="R366" i="109"/>
  <c r="R365" i="109"/>
  <c r="T48" i="109"/>
  <c r="S332" i="109"/>
  <c r="S328" i="109"/>
  <c r="S331" i="109"/>
  <c r="S327" i="109"/>
  <c r="S323" i="109"/>
  <c r="S319" i="109"/>
  <c r="S334" i="109"/>
  <c r="S330" i="109"/>
  <c r="S324" i="109"/>
  <c r="S320" i="109"/>
  <c r="S316" i="109"/>
  <c r="S314" i="109"/>
  <c r="S310" i="109"/>
  <c r="S333" i="109"/>
  <c r="S329" i="109"/>
  <c r="S325" i="109"/>
  <c r="S322" i="109"/>
  <c r="S321" i="109"/>
  <c r="S318" i="109"/>
  <c r="S317" i="109"/>
  <c r="S326" i="109"/>
  <c r="S312" i="109"/>
  <c r="S315" i="109"/>
  <c r="S311" i="109"/>
  <c r="S307" i="109"/>
  <c r="S313" i="109"/>
  <c r="S309" i="109"/>
  <c r="S308" i="109"/>
  <c r="R341" i="109"/>
  <c r="R347" i="109"/>
  <c r="R356" i="109"/>
  <c r="R339" i="109"/>
  <c r="R354" i="109"/>
  <c r="R355" i="109"/>
  <c r="R363" i="109"/>
  <c r="R340" i="109"/>
  <c r="R349" i="109"/>
  <c r="R348" i="109"/>
  <c r="R360" i="109"/>
  <c r="R342" i="109"/>
  <c r="R358" i="109"/>
  <c r="R359" i="109"/>
  <c r="T47" i="109"/>
  <c r="S302" i="109"/>
  <c r="S366" i="109" s="1"/>
  <c r="S298" i="109"/>
  <c r="S362" i="109" s="1"/>
  <c r="S294" i="109"/>
  <c r="S358" i="109" s="1"/>
  <c r="S290" i="109"/>
  <c r="S354" i="109" s="1"/>
  <c r="S297" i="109"/>
  <c r="S361" i="109" s="1"/>
  <c r="S293" i="109"/>
  <c r="S289" i="109"/>
  <c r="S353" i="109" s="1"/>
  <c r="S285" i="109"/>
  <c r="S281" i="109"/>
  <c r="S345" i="109" s="1"/>
  <c r="S277" i="109"/>
  <c r="S341" i="109" s="1"/>
  <c r="S299" i="109"/>
  <c r="S363" i="109" s="1"/>
  <c r="S296" i="109"/>
  <c r="S360" i="109" s="1"/>
  <c r="S292" i="109"/>
  <c r="S356" i="109" s="1"/>
  <c r="S288" i="109"/>
  <c r="S352" i="109" s="1"/>
  <c r="S287" i="109"/>
  <c r="S351" i="109" s="1"/>
  <c r="S284" i="109"/>
  <c r="S348" i="109" s="1"/>
  <c r="S283" i="109"/>
  <c r="S347" i="109" s="1"/>
  <c r="S280" i="109"/>
  <c r="S344" i="109" s="1"/>
  <c r="S279" i="109"/>
  <c r="S282" i="109"/>
  <c r="S346" i="109" s="1"/>
  <c r="S301" i="109"/>
  <c r="S365" i="109" s="1"/>
  <c r="S300" i="109"/>
  <c r="S364" i="109" s="1"/>
  <c r="S295" i="109"/>
  <c r="S359" i="109" s="1"/>
  <c r="S291" i="109"/>
  <c r="S355" i="109" s="1"/>
  <c r="S276" i="109"/>
  <c r="S340" i="109" s="1"/>
  <c r="S286" i="109"/>
  <c r="S350" i="109" s="1"/>
  <c r="S275" i="109"/>
  <c r="S339" i="109" s="1"/>
  <c r="S278" i="109"/>
  <c r="S342" i="109" s="1"/>
  <c r="AD31" i="105"/>
  <c r="AD31" i="108"/>
  <c r="AD43" i="105"/>
  <c r="AD43" i="108"/>
  <c r="AD46" i="105"/>
  <c r="AD46" i="108"/>
  <c r="AD48" i="105"/>
  <c r="AD48" i="108"/>
  <c r="AD38" i="105"/>
  <c r="AD38" i="108"/>
  <c r="AC50" i="105"/>
  <c r="AD50" i="108"/>
  <c r="AD47" i="105"/>
  <c r="AD47" i="108"/>
  <c r="AC38" i="105"/>
  <c r="AC48" i="105"/>
  <c r="AC43" i="105"/>
  <c r="AC31" i="105"/>
  <c r="AC46" i="105"/>
  <c r="AC47" i="105"/>
  <c r="AD50" i="105"/>
  <c r="S343" i="109" l="1"/>
  <c r="S357" i="109"/>
  <c r="U48" i="109"/>
  <c r="T331" i="109"/>
  <c r="T327" i="109"/>
  <c r="T334" i="109"/>
  <c r="T330" i="109"/>
  <c r="T326" i="109"/>
  <c r="T322" i="109"/>
  <c r="T318" i="109"/>
  <c r="T333" i="109"/>
  <c r="T329" i="109"/>
  <c r="T332" i="109"/>
  <c r="T328" i="109"/>
  <c r="T325" i="109"/>
  <c r="T321" i="109"/>
  <c r="T317" i="109"/>
  <c r="T313" i="109"/>
  <c r="T309" i="109"/>
  <c r="T323" i="109"/>
  <c r="T319" i="109"/>
  <c r="T315" i="109"/>
  <c r="T311" i="109"/>
  <c r="T324" i="109"/>
  <c r="T316" i="109"/>
  <c r="T312" i="109"/>
  <c r="T310" i="109"/>
  <c r="T307" i="109"/>
  <c r="T320" i="109"/>
  <c r="T314" i="109"/>
  <c r="T308" i="109"/>
  <c r="S349" i="109"/>
  <c r="U47" i="109"/>
  <c r="T301" i="109"/>
  <c r="T302" i="109"/>
  <c r="T366" i="109" s="1"/>
  <c r="T297" i="109"/>
  <c r="T361" i="109" s="1"/>
  <c r="T293" i="109"/>
  <c r="T289" i="109"/>
  <c r="T353" i="109" s="1"/>
  <c r="T299" i="109"/>
  <c r="T363" i="109" s="1"/>
  <c r="T296" i="109"/>
  <c r="T360" i="109" s="1"/>
  <c r="T292" i="109"/>
  <c r="T356" i="109" s="1"/>
  <c r="T288" i="109"/>
  <c r="T284" i="109"/>
  <c r="T348" i="109" s="1"/>
  <c r="T280" i="109"/>
  <c r="T344" i="109" s="1"/>
  <c r="T300" i="109"/>
  <c r="T364" i="109" s="1"/>
  <c r="T276" i="109"/>
  <c r="T278" i="109"/>
  <c r="T342" i="109" s="1"/>
  <c r="T283" i="109"/>
  <c r="T347" i="109" s="1"/>
  <c r="T295" i="109"/>
  <c r="T359" i="109" s="1"/>
  <c r="T291" i="109"/>
  <c r="T355" i="109" s="1"/>
  <c r="T285" i="109"/>
  <c r="T349" i="109" s="1"/>
  <c r="T281" i="109"/>
  <c r="T345" i="109" s="1"/>
  <c r="T277" i="109"/>
  <c r="T282" i="109"/>
  <c r="T346" i="109" s="1"/>
  <c r="T298" i="109"/>
  <c r="T362" i="109" s="1"/>
  <c r="T294" i="109"/>
  <c r="T358" i="109" s="1"/>
  <c r="T290" i="109"/>
  <c r="T354" i="109" s="1"/>
  <c r="T286" i="109"/>
  <c r="T350" i="109" s="1"/>
  <c r="T275" i="109"/>
  <c r="T339" i="109" s="1"/>
  <c r="T287" i="109"/>
  <c r="T279" i="109"/>
  <c r="AE86" i="108"/>
  <c r="AG86" i="108" s="1"/>
  <c r="AM86" i="108" s="1"/>
  <c r="AE71" i="108"/>
  <c r="AG71" i="108" s="1"/>
  <c r="AM71" i="108" s="1"/>
  <c r="AE43" i="108"/>
  <c r="AG43" i="108" s="1"/>
  <c r="AM43" i="108" s="1"/>
  <c r="AE49" i="108"/>
  <c r="AG49" i="108" s="1"/>
  <c r="AM49" i="108" s="1"/>
  <c r="AE25" i="108"/>
  <c r="AG25" i="108" s="1"/>
  <c r="AL25" i="108" s="1"/>
  <c r="AE59" i="108"/>
  <c r="AG59" i="108" s="1"/>
  <c r="AM59" i="108" s="1"/>
  <c r="AE91" i="108"/>
  <c r="AG91" i="108" s="1"/>
  <c r="AM91" i="108" s="1"/>
  <c r="AE4" i="108"/>
  <c r="AG4" i="108" s="1"/>
  <c r="AM4" i="108" s="1"/>
  <c r="AE45" i="108"/>
  <c r="AG45" i="108" s="1"/>
  <c r="AL45" i="108" s="1"/>
  <c r="AE67" i="108"/>
  <c r="AG67" i="108" s="1"/>
  <c r="AL67" i="108" s="1"/>
  <c r="AE30" i="108"/>
  <c r="AG30" i="108" s="1"/>
  <c r="AM30" i="108" s="1"/>
  <c r="AE57" i="108"/>
  <c r="AG57" i="108" s="1"/>
  <c r="AE70" i="108"/>
  <c r="AG70" i="108" s="1"/>
  <c r="AM70" i="108" s="1"/>
  <c r="AE40" i="108"/>
  <c r="AG40" i="108" s="1"/>
  <c r="AM40" i="108" s="1"/>
  <c r="AE101" i="108"/>
  <c r="AG101" i="108" s="1"/>
  <c r="AL101" i="108" s="1"/>
  <c r="AE19" i="108"/>
  <c r="AG19" i="108" s="1"/>
  <c r="AM19" i="108" s="1"/>
  <c r="AE55" i="108"/>
  <c r="AG55" i="108" s="1"/>
  <c r="AM55" i="108" s="1"/>
  <c r="AE100" i="108"/>
  <c r="AG100" i="108" s="1"/>
  <c r="AL100" i="108" s="1"/>
  <c r="AE61" i="108"/>
  <c r="AG61" i="108" s="1"/>
  <c r="AL61" i="108" s="1"/>
  <c r="AE69" i="108"/>
  <c r="AG69" i="108" s="1"/>
  <c r="AL69" i="108" s="1"/>
  <c r="AE64" i="108"/>
  <c r="AG64" i="108" s="1"/>
  <c r="AM64" i="108" s="1"/>
  <c r="AE65" i="108"/>
  <c r="AG65" i="108" s="1"/>
  <c r="AL65" i="108" s="1"/>
  <c r="AE80" i="108"/>
  <c r="AG80" i="108" s="1"/>
  <c r="AL80" i="108" s="1"/>
  <c r="AE38" i="108"/>
  <c r="AG38" i="108" s="1"/>
  <c r="AL38" i="108" s="1"/>
  <c r="AE39" i="108"/>
  <c r="AG39" i="108" s="1"/>
  <c r="AM39" i="108" s="1"/>
  <c r="AE15" i="108"/>
  <c r="AG15" i="108" s="1"/>
  <c r="AM15" i="108" s="1"/>
  <c r="AE82" i="108"/>
  <c r="AG82" i="108" s="1"/>
  <c r="AM82" i="108" s="1"/>
  <c r="AE99" i="108"/>
  <c r="AG99" i="108" s="1"/>
  <c r="AL99" i="108" s="1"/>
  <c r="AE102" i="108"/>
  <c r="AG102" i="108" s="1"/>
  <c r="AM102" i="108" s="1"/>
  <c r="AE9" i="108"/>
  <c r="AG9" i="108" s="1"/>
  <c r="AM9" i="108" s="1"/>
  <c r="AE74" i="108"/>
  <c r="AG74" i="108" s="1"/>
  <c r="AL74" i="108" s="1"/>
  <c r="AE31" i="108"/>
  <c r="AG31" i="108" s="1"/>
  <c r="AM31" i="108" s="1"/>
  <c r="AE22" i="108"/>
  <c r="AG22" i="108" s="1"/>
  <c r="AL22" i="108" s="1"/>
  <c r="AE81" i="108"/>
  <c r="AG81" i="108" s="1"/>
  <c r="AL81" i="108" s="1"/>
  <c r="AE29" i="108"/>
  <c r="AG29" i="108" s="1"/>
  <c r="AM29" i="108" s="1"/>
  <c r="AE92" i="108"/>
  <c r="AG92" i="108" s="1"/>
  <c r="AL92" i="108" s="1"/>
  <c r="AE16" i="108"/>
  <c r="AG16" i="108" s="1"/>
  <c r="AL16" i="108" s="1"/>
  <c r="AE17" i="108"/>
  <c r="AG17" i="108" s="1"/>
  <c r="AL17" i="108" s="1"/>
  <c r="AE88" i="108"/>
  <c r="AG88" i="108" s="1"/>
  <c r="AL88" i="108" s="1"/>
  <c r="AE90" i="108"/>
  <c r="AG90" i="108" s="1"/>
  <c r="AM90" i="108" s="1"/>
  <c r="AE68" i="108"/>
  <c r="AG68" i="108" s="1"/>
  <c r="AM68" i="108" s="1"/>
  <c r="AE34" i="108"/>
  <c r="AG34" i="108" s="1"/>
  <c r="AE56" i="108"/>
  <c r="AG56" i="108" s="1"/>
  <c r="AM56" i="108" s="1"/>
  <c r="AE72" i="108"/>
  <c r="AG72" i="108" s="1"/>
  <c r="AL72" i="108" s="1"/>
  <c r="AE60" i="108"/>
  <c r="AG60" i="108" s="1"/>
  <c r="AL60" i="108" s="1"/>
  <c r="AE42" i="108"/>
  <c r="AG42" i="108" s="1"/>
  <c r="AM42" i="108" s="1"/>
  <c r="AE83" i="108"/>
  <c r="AG83" i="108" s="1"/>
  <c r="AM83" i="108" s="1"/>
  <c r="AE97" i="108"/>
  <c r="AG97" i="108" s="1"/>
  <c r="AM97" i="108" s="1"/>
  <c r="AE13" i="108"/>
  <c r="AG13" i="108" s="1"/>
  <c r="AL13" i="108" s="1"/>
  <c r="AE14" i="108"/>
  <c r="AG14" i="108" s="1"/>
  <c r="AE79" i="108"/>
  <c r="AG79" i="108" s="1"/>
  <c r="AE21" i="108"/>
  <c r="AG21" i="108" s="1"/>
  <c r="AL21" i="108" s="1"/>
  <c r="AE32" i="108"/>
  <c r="AG32" i="108" s="1"/>
  <c r="AL32" i="108" s="1"/>
  <c r="AE12" i="108"/>
  <c r="AG12" i="108" s="1"/>
  <c r="AL12" i="108" s="1"/>
  <c r="AE23" i="108"/>
  <c r="AG23" i="108" s="1"/>
  <c r="AM23" i="108" s="1"/>
  <c r="AE94" i="108"/>
  <c r="AG94" i="108" s="1"/>
  <c r="AE93" i="108"/>
  <c r="AG93" i="108" s="1"/>
  <c r="AM93" i="108" s="1"/>
  <c r="AE18" i="108"/>
  <c r="AG18" i="108" s="1"/>
  <c r="AL18" i="108" s="1"/>
  <c r="AE103" i="108"/>
  <c r="AG103" i="108" s="1"/>
  <c r="AL103" i="108" s="1"/>
  <c r="AE63" i="108"/>
  <c r="AG63" i="108" s="1"/>
  <c r="AL63" i="108" s="1"/>
  <c r="AE75" i="108"/>
  <c r="AG75" i="108" s="1"/>
  <c r="AM75" i="108" s="1"/>
  <c r="AE7" i="108"/>
  <c r="AG7" i="108" s="1"/>
  <c r="AM7" i="108" s="1"/>
  <c r="AE6" i="108"/>
  <c r="AG6" i="108" s="1"/>
  <c r="AM6" i="108" s="1"/>
  <c r="AE58" i="108"/>
  <c r="AG58" i="108" s="1"/>
  <c r="AM58" i="108" s="1"/>
  <c r="AE33" i="108"/>
  <c r="AG33" i="108" s="1"/>
  <c r="AE96" i="108"/>
  <c r="AG96" i="108" s="1"/>
  <c r="AM96" i="108" s="1"/>
  <c r="AE26" i="108"/>
  <c r="AG26" i="108" s="1"/>
  <c r="AM26" i="108" s="1"/>
  <c r="AE5" i="108"/>
  <c r="AG5" i="108" s="1"/>
  <c r="AM5" i="108" s="1"/>
  <c r="AE27" i="108"/>
  <c r="AG27" i="108" s="1"/>
  <c r="AL27" i="108" s="1"/>
  <c r="AE46" i="108"/>
  <c r="AG46" i="108" s="1"/>
  <c r="AE50" i="108"/>
  <c r="AG50" i="108" s="1"/>
  <c r="AE41" i="108"/>
  <c r="AG41" i="108" s="1"/>
  <c r="AM41" i="108" s="1"/>
  <c r="AE36" i="108"/>
  <c r="AG36" i="108" s="1"/>
  <c r="AL36" i="108" s="1"/>
  <c r="AE48" i="108"/>
  <c r="AG48" i="108" s="1"/>
  <c r="AE51" i="108"/>
  <c r="AG51" i="108" s="1"/>
  <c r="AE35" i="108"/>
  <c r="AG35" i="108" s="1"/>
  <c r="AE52" i="108"/>
  <c r="AG52" i="108" s="1"/>
  <c r="AE66" i="108"/>
  <c r="AG66" i="108" s="1"/>
  <c r="AM66" i="108" s="1"/>
  <c r="AE47" i="108"/>
  <c r="AG47" i="108" s="1"/>
  <c r="AE62" i="108"/>
  <c r="AG62" i="108" s="1"/>
  <c r="AM62" i="108" s="1"/>
  <c r="AE54" i="108"/>
  <c r="AG54" i="108" s="1"/>
  <c r="AE73" i="108"/>
  <c r="AG73" i="108" s="1"/>
  <c r="AM73" i="108" s="1"/>
  <c r="AE53" i="108"/>
  <c r="AG53" i="108" s="1"/>
  <c r="AM53" i="108" s="1"/>
  <c r="AE20" i="108"/>
  <c r="AG20" i="108" s="1"/>
  <c r="AL20" i="108" s="1"/>
  <c r="AE77" i="108"/>
  <c r="AG77" i="108" s="1"/>
  <c r="AL77" i="108" s="1"/>
  <c r="AE11" i="108"/>
  <c r="AG11" i="108" s="1"/>
  <c r="AM11" i="108" s="1"/>
  <c r="AE24" i="108"/>
  <c r="AG24" i="108" s="1"/>
  <c r="AE10" i="108"/>
  <c r="AG10" i="108" s="1"/>
  <c r="AM10" i="108" s="1"/>
  <c r="AE87" i="108"/>
  <c r="AG87" i="108" s="1"/>
  <c r="AL87" i="108" s="1"/>
  <c r="AE85" i="108"/>
  <c r="AG85" i="108" s="1"/>
  <c r="AM85" i="108" s="1"/>
  <c r="AE84" i="108"/>
  <c r="AG84" i="108" s="1"/>
  <c r="AE8" i="108"/>
  <c r="AG8" i="108" s="1"/>
  <c r="AL8" i="108" s="1"/>
  <c r="AE28" i="108"/>
  <c r="AG28" i="108" s="1"/>
  <c r="AL28" i="108" s="1"/>
  <c r="AE98" i="108"/>
  <c r="AG98" i="108" s="1"/>
  <c r="AM98" i="108" s="1"/>
  <c r="AE37" i="108"/>
  <c r="AG37" i="108" s="1"/>
  <c r="AL37" i="108" s="1"/>
  <c r="AE89" i="108"/>
  <c r="AG89" i="108" s="1"/>
  <c r="AE44" i="108"/>
  <c r="AG44" i="108" s="1"/>
  <c r="AE76" i="108"/>
  <c r="AG76" i="108" s="1"/>
  <c r="AM76" i="108" s="1"/>
  <c r="AE78" i="108"/>
  <c r="AG78" i="108" s="1"/>
  <c r="AL78" i="108" s="1"/>
  <c r="AE95" i="108"/>
  <c r="AG95" i="108" s="1"/>
  <c r="AM95" i="108" s="1"/>
  <c r="AL86" i="108" l="1"/>
  <c r="V48" i="109"/>
  <c r="U334" i="109"/>
  <c r="U330" i="109"/>
  <c r="U326" i="109"/>
  <c r="U333" i="109"/>
  <c r="U329" i="109"/>
  <c r="U325" i="109"/>
  <c r="U321" i="109"/>
  <c r="U317" i="109"/>
  <c r="U332" i="109"/>
  <c r="U328" i="109"/>
  <c r="U322" i="109"/>
  <c r="U318" i="109"/>
  <c r="U312" i="109"/>
  <c r="U308" i="109"/>
  <c r="U323" i="109"/>
  <c r="U319" i="109"/>
  <c r="U331" i="109"/>
  <c r="U327" i="109"/>
  <c r="U324" i="109"/>
  <c r="U320" i="109"/>
  <c r="U316" i="109"/>
  <c r="U314" i="109"/>
  <c r="U315" i="109"/>
  <c r="U311" i="109"/>
  <c r="U307" i="109"/>
  <c r="U313" i="109"/>
  <c r="U310" i="109"/>
  <c r="U309" i="109"/>
  <c r="T340" i="109"/>
  <c r="T352" i="109"/>
  <c r="T365" i="109"/>
  <c r="T343" i="109"/>
  <c r="T341" i="109"/>
  <c r="T357" i="109"/>
  <c r="V47" i="109"/>
  <c r="U300" i="109"/>
  <c r="U299" i="109"/>
  <c r="U363" i="109" s="1"/>
  <c r="U296" i="109"/>
  <c r="U360" i="109" s="1"/>
  <c r="U292" i="109"/>
  <c r="U356" i="109" s="1"/>
  <c r="U288" i="109"/>
  <c r="U352" i="109" s="1"/>
  <c r="U295" i="109"/>
  <c r="U359" i="109" s="1"/>
  <c r="U291" i="109"/>
  <c r="U287" i="109"/>
  <c r="U351" i="109" s="1"/>
  <c r="U283" i="109"/>
  <c r="U279" i="109"/>
  <c r="U343" i="109" s="1"/>
  <c r="U302" i="109"/>
  <c r="U366" i="109" s="1"/>
  <c r="U301" i="109"/>
  <c r="U365" i="109" s="1"/>
  <c r="U285" i="109"/>
  <c r="U349" i="109" s="1"/>
  <c r="U281" i="109"/>
  <c r="U345" i="109" s="1"/>
  <c r="U277" i="109"/>
  <c r="U341" i="109" s="1"/>
  <c r="U276" i="109"/>
  <c r="U340" i="109" s="1"/>
  <c r="U275" i="109"/>
  <c r="U339" i="109" s="1"/>
  <c r="U284" i="109"/>
  <c r="U348" i="109" s="1"/>
  <c r="U298" i="109"/>
  <c r="U362" i="109" s="1"/>
  <c r="U294" i="109"/>
  <c r="U358" i="109" s="1"/>
  <c r="U290" i="109"/>
  <c r="U286" i="109"/>
  <c r="U350" i="109" s="1"/>
  <c r="U282" i="109"/>
  <c r="U346" i="109" s="1"/>
  <c r="U278" i="109"/>
  <c r="U342" i="109" s="1"/>
  <c r="U297" i="109"/>
  <c r="U361" i="109" s="1"/>
  <c r="U293" i="109"/>
  <c r="U357" i="109" s="1"/>
  <c r="U289" i="109"/>
  <c r="U280" i="109"/>
  <c r="U344" i="109" s="1"/>
  <c r="T351" i="109"/>
  <c r="AM101" i="108"/>
  <c r="AL43" i="108"/>
  <c r="AL71" i="108"/>
  <c r="AM99" i="108"/>
  <c r="AL59" i="108"/>
  <c r="AL30" i="108"/>
  <c r="AM74" i="108"/>
  <c r="AM38" i="108"/>
  <c r="AM69" i="108"/>
  <c r="AL19" i="108"/>
  <c r="AL7" i="108"/>
  <c r="AM18" i="108"/>
  <c r="AM72" i="108"/>
  <c r="AL23" i="108"/>
  <c r="AL90" i="108"/>
  <c r="AL4" i="108"/>
  <c r="AM92" i="108"/>
  <c r="AL10" i="108"/>
  <c r="AL62" i="108"/>
  <c r="AM20" i="108"/>
  <c r="AM12" i="108"/>
  <c r="AM60" i="108"/>
  <c r="AL31" i="108"/>
  <c r="AL64" i="108"/>
  <c r="AL49" i="108"/>
  <c r="AL75" i="108"/>
  <c r="AL66" i="108"/>
  <c r="AL96" i="108"/>
  <c r="AL55" i="108"/>
  <c r="AL39" i="108"/>
  <c r="AL53" i="108"/>
  <c r="AM16" i="108"/>
  <c r="AL70" i="108"/>
  <c r="AL11" i="108"/>
  <c r="AM22" i="108"/>
  <c r="AM45" i="108"/>
  <c r="AL102" i="108"/>
  <c r="AL58" i="108"/>
  <c r="AM25" i="108"/>
  <c r="AM67" i="108"/>
  <c r="AL68" i="108"/>
  <c r="AM28" i="108"/>
  <c r="AL26" i="108"/>
  <c r="AL6" i="108"/>
  <c r="AM77" i="108"/>
  <c r="AL83" i="108"/>
  <c r="AM13" i="108"/>
  <c r="AM27" i="108"/>
  <c r="AM61" i="108"/>
  <c r="AL56" i="108"/>
  <c r="AM36" i="108"/>
  <c r="AL29" i="108"/>
  <c r="AM32" i="108"/>
  <c r="AM88" i="108"/>
  <c r="AL93" i="108"/>
  <c r="AM80" i="108"/>
  <c r="AL82" i="108"/>
  <c r="AL91" i="108"/>
  <c r="AL95" i="108"/>
  <c r="AL9" i="108"/>
  <c r="AM57" i="108"/>
  <c r="AL57" i="108"/>
  <c r="AL40" i="108"/>
  <c r="AM21" i="108"/>
  <c r="AM65" i="108"/>
  <c r="AL15" i="108"/>
  <c r="AM63" i="108"/>
  <c r="AL85" i="108"/>
  <c r="AM100" i="108"/>
  <c r="AL5" i="108"/>
  <c r="AL97" i="108"/>
  <c r="AM81" i="108"/>
  <c r="AM17" i="108"/>
  <c r="AL76" i="108"/>
  <c r="AL41" i="108"/>
  <c r="AL73" i="108"/>
  <c r="AL98" i="108"/>
  <c r="AM78" i="108"/>
  <c r="AM84" i="108"/>
  <c r="AL84" i="108"/>
  <c r="AM103" i="108"/>
  <c r="AM89" i="108"/>
  <c r="AL89" i="108"/>
  <c r="AM35" i="108"/>
  <c r="AL35" i="108"/>
  <c r="AM94" i="108"/>
  <c r="AL94" i="108"/>
  <c r="AM34" i="108"/>
  <c r="AL34" i="108"/>
  <c r="AM79" i="108"/>
  <c r="AL79" i="108"/>
  <c r="AM54" i="108"/>
  <c r="AL54" i="108"/>
  <c r="AM51" i="108"/>
  <c r="AL51" i="108"/>
  <c r="AM48" i="108"/>
  <c r="AL48" i="108"/>
  <c r="AM46" i="108"/>
  <c r="AL46" i="108"/>
  <c r="AM14" i="108"/>
  <c r="AL14" i="108"/>
  <c r="AM47" i="108"/>
  <c r="AL47" i="108"/>
  <c r="AM50" i="108"/>
  <c r="AL50" i="108"/>
  <c r="AM8" i="108"/>
  <c r="AM87" i="108"/>
  <c r="AM44" i="108"/>
  <c r="AL44" i="108"/>
  <c r="AM24" i="108"/>
  <c r="AL24" i="108"/>
  <c r="AM52" i="108"/>
  <c r="AL52" i="108"/>
  <c r="AM33" i="108"/>
  <c r="AL33" i="108"/>
  <c r="AM37" i="108"/>
  <c r="AL42" i="108"/>
  <c r="W47" i="109" l="1"/>
  <c r="V299" i="109"/>
  <c r="V295" i="109"/>
  <c r="V291" i="109"/>
  <c r="V355" i="109" s="1"/>
  <c r="V301" i="109"/>
  <c r="V300" i="109"/>
  <c r="V298" i="109"/>
  <c r="V294" i="109"/>
  <c r="V290" i="109"/>
  <c r="V286" i="109"/>
  <c r="V282" i="109"/>
  <c r="V278" i="109"/>
  <c r="V342" i="109" s="1"/>
  <c r="V275" i="109"/>
  <c r="V283" i="109"/>
  <c r="V280" i="109"/>
  <c r="V279" i="109"/>
  <c r="V302" i="109"/>
  <c r="V292" i="109"/>
  <c r="V288" i="109"/>
  <c r="V285" i="109"/>
  <c r="V349" i="109" s="1"/>
  <c r="V297" i="109"/>
  <c r="V293" i="109"/>
  <c r="V289" i="109"/>
  <c r="V287" i="109"/>
  <c r="V351" i="109" s="1"/>
  <c r="V284" i="109"/>
  <c r="V296" i="109"/>
  <c r="V281" i="109"/>
  <c r="V276" i="109"/>
  <c r="V340" i="109" s="1"/>
  <c r="V277" i="109"/>
  <c r="U353" i="109"/>
  <c r="U355" i="109"/>
  <c r="U354" i="109"/>
  <c r="U347" i="109"/>
  <c r="U364" i="109"/>
  <c r="W48" i="109"/>
  <c r="V333" i="109"/>
  <c r="V329" i="109"/>
  <c r="V332" i="109"/>
  <c r="V328" i="109"/>
  <c r="V324" i="109"/>
  <c r="V320" i="109"/>
  <c r="V316" i="109"/>
  <c r="V331" i="109"/>
  <c r="V327" i="109"/>
  <c r="V323" i="109"/>
  <c r="V319" i="109"/>
  <c r="V315" i="109"/>
  <c r="V311" i="109"/>
  <c r="V307" i="109"/>
  <c r="V334" i="109"/>
  <c r="V330" i="109"/>
  <c r="V326" i="109"/>
  <c r="V313" i="109"/>
  <c r="V322" i="109"/>
  <c r="V321" i="109"/>
  <c r="V314" i="109"/>
  <c r="V309" i="109"/>
  <c r="V308" i="109"/>
  <c r="V318" i="109"/>
  <c r="V325" i="109"/>
  <c r="V317" i="109"/>
  <c r="V312" i="109"/>
  <c r="V310" i="109"/>
  <c r="X48" i="109" l="1"/>
  <c r="W332" i="109"/>
  <c r="W328" i="109"/>
  <c r="W331" i="109"/>
  <c r="W327" i="109"/>
  <c r="W323" i="109"/>
  <c r="W319" i="109"/>
  <c r="W334" i="109"/>
  <c r="W330" i="109"/>
  <c r="W326" i="109"/>
  <c r="W333" i="109"/>
  <c r="W329" i="109"/>
  <c r="W314" i="109"/>
  <c r="W310" i="109"/>
  <c r="W324" i="109"/>
  <c r="W320" i="109"/>
  <c r="W316" i="109"/>
  <c r="W325" i="109"/>
  <c r="W322" i="109"/>
  <c r="W321" i="109"/>
  <c r="W318" i="109"/>
  <c r="W317" i="109"/>
  <c r="W312" i="109"/>
  <c r="W309" i="109"/>
  <c r="W308" i="109"/>
  <c r="W313" i="109"/>
  <c r="W307" i="109"/>
  <c r="W311" i="109"/>
  <c r="W315" i="109"/>
  <c r="V345" i="109"/>
  <c r="V353" i="109"/>
  <c r="V352" i="109"/>
  <c r="V344" i="109"/>
  <c r="V346" i="109"/>
  <c r="V362" i="109"/>
  <c r="V359" i="109"/>
  <c r="V343" i="109"/>
  <c r="V358" i="109"/>
  <c r="V360" i="109"/>
  <c r="V357" i="109"/>
  <c r="V356" i="109"/>
  <c r="V347" i="109"/>
  <c r="V350" i="109"/>
  <c r="V364" i="109"/>
  <c r="V363" i="109"/>
  <c r="V341" i="109"/>
  <c r="V348" i="109"/>
  <c r="V361" i="109"/>
  <c r="V366" i="109"/>
  <c r="V339" i="109"/>
  <c r="V354" i="109"/>
  <c r="V365" i="109"/>
  <c r="X47" i="109"/>
  <c r="W302" i="109"/>
  <c r="W366" i="109" s="1"/>
  <c r="W301" i="109"/>
  <c r="W365" i="109" s="1"/>
  <c r="W300" i="109"/>
  <c r="W298" i="109"/>
  <c r="W362" i="109" s="1"/>
  <c r="W294" i="109"/>
  <c r="W358" i="109" s="1"/>
  <c r="W290" i="109"/>
  <c r="W354" i="109" s="1"/>
  <c r="W297" i="109"/>
  <c r="W361" i="109" s="1"/>
  <c r="W293" i="109"/>
  <c r="W289" i="109"/>
  <c r="W353" i="109" s="1"/>
  <c r="W285" i="109"/>
  <c r="W281" i="109"/>
  <c r="W345" i="109" s="1"/>
  <c r="W277" i="109"/>
  <c r="W295" i="109"/>
  <c r="W359" i="109" s="1"/>
  <c r="W291" i="109"/>
  <c r="W286" i="109"/>
  <c r="W350" i="109" s="1"/>
  <c r="W282" i="109"/>
  <c r="W346" i="109" s="1"/>
  <c r="W278" i="109"/>
  <c r="W342" i="109" s="1"/>
  <c r="W276" i="109"/>
  <c r="W340" i="109" s="1"/>
  <c r="W287" i="109"/>
  <c r="W351" i="109" s="1"/>
  <c r="W284" i="109"/>
  <c r="W348" i="109" s="1"/>
  <c r="W283" i="109"/>
  <c r="W347" i="109" s="1"/>
  <c r="W280" i="109"/>
  <c r="W344" i="109" s="1"/>
  <c r="W279" i="109"/>
  <c r="W343" i="109" s="1"/>
  <c r="W296" i="109"/>
  <c r="W360" i="109" s="1"/>
  <c r="W292" i="109"/>
  <c r="W356" i="109" s="1"/>
  <c r="W288" i="109"/>
  <c r="W299" i="109"/>
  <c r="W363" i="109" s="1"/>
  <c r="W275" i="109"/>
  <c r="W339" i="109" s="1"/>
  <c r="W364" i="109" l="1"/>
  <c r="W352" i="109"/>
  <c r="W355" i="109"/>
  <c r="W349" i="109"/>
  <c r="W341" i="109"/>
  <c r="W357" i="109"/>
  <c r="Y47" i="109"/>
  <c r="X301" i="109"/>
  <c r="X297" i="109"/>
  <c r="X293" i="109"/>
  <c r="X289" i="109"/>
  <c r="X302" i="109"/>
  <c r="X296" i="109"/>
  <c r="X292" i="109"/>
  <c r="X288" i="109"/>
  <c r="X284" i="109"/>
  <c r="X280" i="109"/>
  <c r="X298" i="109"/>
  <c r="X294" i="109"/>
  <c r="X290" i="109"/>
  <c r="X287" i="109"/>
  <c r="X283" i="109"/>
  <c r="X279" i="109"/>
  <c r="X277" i="109"/>
  <c r="X295" i="109"/>
  <c r="X291" i="109"/>
  <c r="X276" i="109"/>
  <c r="X281" i="109"/>
  <c r="X299" i="109"/>
  <c r="X285" i="109"/>
  <c r="X275" i="109"/>
  <c r="X300" i="109"/>
  <c r="X286" i="109"/>
  <c r="X282" i="109"/>
  <c r="X278" i="109"/>
  <c r="Y48" i="109"/>
  <c r="X331" i="109"/>
  <c r="X327" i="109"/>
  <c r="X334" i="109"/>
  <c r="X330" i="109"/>
  <c r="X326" i="109"/>
  <c r="X322" i="109"/>
  <c r="X318" i="109"/>
  <c r="X333" i="109"/>
  <c r="X329" i="109"/>
  <c r="X324" i="109"/>
  <c r="X320" i="109"/>
  <c r="X316" i="109"/>
  <c r="X313" i="109"/>
  <c r="X309" i="109"/>
  <c r="X325" i="109"/>
  <c r="X321" i="109"/>
  <c r="X317" i="109"/>
  <c r="X315" i="109"/>
  <c r="X311" i="109"/>
  <c r="X328" i="109"/>
  <c r="X314" i="109"/>
  <c r="X319" i="109"/>
  <c r="X310" i="109"/>
  <c r="X332" i="109"/>
  <c r="X323" i="109"/>
  <c r="X308" i="109"/>
  <c r="X312" i="109"/>
  <c r="X307" i="109"/>
  <c r="Z48" i="109" l="1"/>
  <c r="Y334" i="109"/>
  <c r="Y330" i="109"/>
  <c r="Y326" i="109"/>
  <c r="Y333" i="109"/>
  <c r="Y329" i="109"/>
  <c r="Y325" i="109"/>
  <c r="Y321" i="109"/>
  <c r="Y317" i="109"/>
  <c r="Y332" i="109"/>
  <c r="Y328" i="109"/>
  <c r="Y312" i="109"/>
  <c r="Y308" i="109"/>
  <c r="Y331" i="109"/>
  <c r="Y327" i="109"/>
  <c r="Y322" i="109"/>
  <c r="Y318" i="109"/>
  <c r="Y323" i="109"/>
  <c r="Y319" i="109"/>
  <c r="Y314" i="109"/>
  <c r="Y313" i="109"/>
  <c r="Y310" i="109"/>
  <c r="Y320" i="109"/>
  <c r="Y307" i="109"/>
  <c r="Y315" i="109"/>
  <c r="Y311" i="109"/>
  <c r="Y316" i="109"/>
  <c r="Y309" i="109"/>
  <c r="Y324" i="109"/>
  <c r="X364" i="109"/>
  <c r="X345" i="109"/>
  <c r="X341" i="109"/>
  <c r="X354" i="109"/>
  <c r="X348" i="109"/>
  <c r="X366" i="109"/>
  <c r="X365" i="109"/>
  <c r="X342" i="109"/>
  <c r="X339" i="109"/>
  <c r="X340" i="109"/>
  <c r="X343" i="109"/>
  <c r="X358" i="109"/>
  <c r="X352" i="109"/>
  <c r="X353" i="109"/>
  <c r="Z47" i="109"/>
  <c r="Y300" i="109"/>
  <c r="Y364" i="109" s="1"/>
  <c r="Y302" i="109"/>
  <c r="Y366" i="109" s="1"/>
  <c r="Y296" i="109"/>
  <c r="Y360" i="109" s="1"/>
  <c r="Y292" i="109"/>
  <c r="Y356" i="109" s="1"/>
  <c r="Y288" i="109"/>
  <c r="Y352" i="109" s="1"/>
  <c r="Y299" i="109"/>
  <c r="Y363" i="109" s="1"/>
  <c r="Y295" i="109"/>
  <c r="Y359" i="109" s="1"/>
  <c r="Y291" i="109"/>
  <c r="Y355" i="109" s="1"/>
  <c r="Y287" i="109"/>
  <c r="Y351" i="109" s="1"/>
  <c r="Y283" i="109"/>
  <c r="Y347" i="109" s="1"/>
  <c r="Y279" i="109"/>
  <c r="Y343" i="109" s="1"/>
  <c r="Y297" i="109"/>
  <c r="Y361" i="109" s="1"/>
  <c r="Y293" i="109"/>
  <c r="Y357" i="109" s="1"/>
  <c r="Y289" i="109"/>
  <c r="Y353" i="109" s="1"/>
  <c r="Y284" i="109"/>
  <c r="Y348" i="109" s="1"/>
  <c r="Y280" i="109"/>
  <c r="Y344" i="109" s="1"/>
  <c r="Y276" i="109"/>
  <c r="Y340" i="109" s="1"/>
  <c r="Y282" i="109"/>
  <c r="Y346" i="109" s="1"/>
  <c r="Y278" i="109"/>
  <c r="Y342" i="109" s="1"/>
  <c r="Y301" i="109"/>
  <c r="Y365" i="109" s="1"/>
  <c r="Y294" i="109"/>
  <c r="Y358" i="109" s="1"/>
  <c r="Y285" i="109"/>
  <c r="Y349" i="109" s="1"/>
  <c r="Y281" i="109"/>
  <c r="Y345" i="109" s="1"/>
  <c r="Y277" i="109"/>
  <c r="Y341" i="109" s="1"/>
  <c r="Y275" i="109"/>
  <c r="Y339" i="109" s="1"/>
  <c r="Y286" i="109"/>
  <c r="Y350" i="109" s="1"/>
  <c r="Y298" i="109"/>
  <c r="Y362" i="109" s="1"/>
  <c r="Y290" i="109"/>
  <c r="Y354" i="109" s="1"/>
  <c r="X346" i="109"/>
  <c r="X349" i="109"/>
  <c r="X355" i="109"/>
  <c r="X347" i="109"/>
  <c r="X362" i="109"/>
  <c r="X356" i="109"/>
  <c r="X357" i="109"/>
  <c r="X350" i="109"/>
  <c r="X363" i="109"/>
  <c r="X359" i="109"/>
  <c r="X351" i="109"/>
  <c r="X344" i="109"/>
  <c r="X360" i="109"/>
  <c r="X361" i="109"/>
  <c r="AA47" i="109" l="1"/>
  <c r="Z299" i="109"/>
  <c r="Z295" i="109"/>
  <c r="Z291" i="109"/>
  <c r="Z298" i="109"/>
  <c r="Z294" i="109"/>
  <c r="Z290" i="109"/>
  <c r="Z286" i="109"/>
  <c r="Z282" i="109"/>
  <c r="Z278" i="109"/>
  <c r="Z285" i="109"/>
  <c r="Z281" i="109"/>
  <c r="Z277" i="109"/>
  <c r="Z275" i="109"/>
  <c r="Z297" i="109"/>
  <c r="Z289" i="109"/>
  <c r="Z287" i="109"/>
  <c r="Z283" i="109"/>
  <c r="Z296" i="109"/>
  <c r="Z292" i="109"/>
  <c r="Z288" i="109"/>
  <c r="Z302" i="109"/>
  <c r="Z301" i="109"/>
  <c r="Z300" i="109"/>
  <c r="Z293" i="109"/>
  <c r="Z284" i="109"/>
  <c r="Z280" i="109"/>
  <c r="Z279" i="109"/>
  <c r="Z276" i="109"/>
  <c r="AA48" i="109"/>
  <c r="Z333" i="109"/>
  <c r="Z329" i="109"/>
  <c r="Z332" i="109"/>
  <c r="Z328" i="109"/>
  <c r="Z324" i="109"/>
  <c r="Z320" i="109"/>
  <c r="Z316" i="109"/>
  <c r="Z331" i="109"/>
  <c r="Z327" i="109"/>
  <c r="Z334" i="109"/>
  <c r="Z330" i="109"/>
  <c r="Z326" i="109"/>
  <c r="Z325" i="109"/>
  <c r="Z322" i="109"/>
  <c r="Z321" i="109"/>
  <c r="Z318" i="109"/>
  <c r="Z317" i="109"/>
  <c r="Z315" i="109"/>
  <c r="Z311" i="109"/>
  <c r="Z307" i="109"/>
  <c r="Z323" i="109"/>
  <c r="Z319" i="109"/>
  <c r="Z313" i="109"/>
  <c r="Z312" i="109"/>
  <c r="Z314" i="109"/>
  <c r="Z310" i="109"/>
  <c r="Z309" i="109"/>
  <c r="Z308" i="109"/>
  <c r="Z343" i="109" l="1"/>
  <c r="Z364" i="109"/>
  <c r="Z356" i="109"/>
  <c r="Z353" i="109"/>
  <c r="Z345" i="109"/>
  <c r="Z350" i="109"/>
  <c r="Z355" i="109"/>
  <c r="Z344" i="109"/>
  <c r="Z365" i="109"/>
  <c r="Z360" i="109"/>
  <c r="Z361" i="109"/>
  <c r="Z349" i="109"/>
  <c r="Z354" i="109"/>
  <c r="Z359" i="109"/>
  <c r="AB48" i="109"/>
  <c r="AA332" i="109"/>
  <c r="AA328" i="109"/>
  <c r="AA331" i="109"/>
  <c r="AA327" i="109"/>
  <c r="AA323" i="109"/>
  <c r="AA319" i="109"/>
  <c r="AA334" i="109"/>
  <c r="AA330" i="109"/>
  <c r="AA326" i="109"/>
  <c r="AA314" i="109"/>
  <c r="AA310" i="109"/>
  <c r="AA324" i="109"/>
  <c r="AA320" i="109"/>
  <c r="AA316" i="109"/>
  <c r="AA312" i="109"/>
  <c r="AA329" i="109"/>
  <c r="AA321" i="109"/>
  <c r="AA307" i="109"/>
  <c r="AA318" i="109"/>
  <c r="AA315" i="109"/>
  <c r="AA311" i="109"/>
  <c r="AA309" i="109"/>
  <c r="AA308" i="109"/>
  <c r="AA333" i="109"/>
  <c r="AA325" i="109"/>
  <c r="AA317" i="109"/>
  <c r="AA322" i="109"/>
  <c r="AA313" i="109"/>
  <c r="Z348" i="109"/>
  <c r="Z366" i="109"/>
  <c r="Z347" i="109"/>
  <c r="Z339" i="109"/>
  <c r="Z342" i="109"/>
  <c r="Z358" i="109"/>
  <c r="Z363" i="109"/>
  <c r="Z340" i="109"/>
  <c r="Z357" i="109"/>
  <c r="Z352" i="109"/>
  <c r="Z351" i="109"/>
  <c r="Z341" i="109"/>
  <c r="Z346" i="109"/>
  <c r="Z362" i="109"/>
  <c r="AB47" i="109"/>
  <c r="AA302" i="109"/>
  <c r="AA366" i="109" s="1"/>
  <c r="AA299" i="109"/>
  <c r="AA363" i="109" s="1"/>
  <c r="AA298" i="109"/>
  <c r="AA294" i="109"/>
  <c r="AA358" i="109" s="1"/>
  <c r="AA290" i="109"/>
  <c r="AA354" i="109" s="1"/>
  <c r="AA301" i="109"/>
  <c r="AA300" i="109"/>
  <c r="AA364" i="109" s="1"/>
  <c r="AA297" i="109"/>
  <c r="AA293" i="109"/>
  <c r="AA357" i="109" s="1"/>
  <c r="AA289" i="109"/>
  <c r="AA353" i="109" s="1"/>
  <c r="AA285" i="109"/>
  <c r="AA349" i="109" s="1"/>
  <c r="AA281" i="109"/>
  <c r="AA277" i="109"/>
  <c r="AA341" i="109" s="1"/>
  <c r="AA296" i="109"/>
  <c r="AA360" i="109" s="1"/>
  <c r="AA292" i="109"/>
  <c r="AA288" i="109"/>
  <c r="AA352" i="109" s="1"/>
  <c r="AA280" i="109"/>
  <c r="AA344" i="109" s="1"/>
  <c r="AA279" i="109"/>
  <c r="AA343" i="109" s="1"/>
  <c r="AA286" i="109"/>
  <c r="AA350" i="109" s="1"/>
  <c r="AA282" i="109"/>
  <c r="AA346" i="109" s="1"/>
  <c r="AA278" i="109"/>
  <c r="AA342" i="109" s="1"/>
  <c r="AA283" i="109"/>
  <c r="AA295" i="109"/>
  <c r="AA291" i="109"/>
  <c r="AA355" i="109" s="1"/>
  <c r="AA287" i="109"/>
  <c r="AA351" i="109" s="1"/>
  <c r="AA284" i="109"/>
  <c r="AA348" i="109" s="1"/>
  <c r="AA276" i="109"/>
  <c r="AA340" i="109" s="1"/>
  <c r="AA275" i="109"/>
  <c r="AA339" i="109" s="1"/>
  <c r="AA347" i="109" l="1"/>
  <c r="AA365" i="109"/>
  <c r="AC48" i="109"/>
  <c r="AB331" i="109"/>
  <c r="AB327" i="109"/>
  <c r="AB334" i="109"/>
  <c r="AB330" i="109"/>
  <c r="AB326" i="109"/>
  <c r="AB322" i="109"/>
  <c r="AB318" i="109"/>
  <c r="AB333" i="109"/>
  <c r="AB329" i="109"/>
  <c r="AB323" i="109"/>
  <c r="AB319" i="109"/>
  <c r="AB313" i="109"/>
  <c r="AB309" i="109"/>
  <c r="AB324" i="109"/>
  <c r="AB320" i="109"/>
  <c r="AB316" i="109"/>
  <c r="AB332" i="109"/>
  <c r="AB328" i="109"/>
  <c r="AB325" i="109"/>
  <c r="AB321" i="109"/>
  <c r="AB317" i="109"/>
  <c r="AB315" i="109"/>
  <c r="AB311" i="109"/>
  <c r="AB312" i="109"/>
  <c r="AB308" i="109"/>
  <c r="AB314" i="109"/>
  <c r="AB310" i="109"/>
  <c r="AB307" i="109"/>
  <c r="AA345" i="109"/>
  <c r="AC47" i="109"/>
  <c r="AB301" i="109"/>
  <c r="AB365" i="109" s="1"/>
  <c r="AB300" i="109"/>
  <c r="AB297" i="109"/>
  <c r="AB361" i="109" s="1"/>
  <c r="AB293" i="109"/>
  <c r="AB289" i="109"/>
  <c r="AB353" i="109" s="1"/>
  <c r="AB296" i="109"/>
  <c r="AB360" i="109" s="1"/>
  <c r="AB292" i="109"/>
  <c r="AB356" i="109" s="1"/>
  <c r="AB288" i="109"/>
  <c r="AB352" i="109" s="1"/>
  <c r="AB284" i="109"/>
  <c r="AB348" i="109" s="1"/>
  <c r="AB280" i="109"/>
  <c r="AB344" i="109" s="1"/>
  <c r="AB276" i="109"/>
  <c r="AB340" i="109" s="1"/>
  <c r="AB286" i="109"/>
  <c r="AB350" i="109" s="1"/>
  <c r="AB282" i="109"/>
  <c r="AB346" i="109" s="1"/>
  <c r="AB278" i="109"/>
  <c r="AB342" i="109" s="1"/>
  <c r="AB275" i="109"/>
  <c r="AB339" i="109" s="1"/>
  <c r="AB281" i="109"/>
  <c r="AB345" i="109" s="1"/>
  <c r="AB302" i="109"/>
  <c r="AB366" i="109" s="1"/>
  <c r="AB299" i="109"/>
  <c r="AB295" i="109"/>
  <c r="AB359" i="109" s="1"/>
  <c r="AB291" i="109"/>
  <c r="AB355" i="109" s="1"/>
  <c r="AB287" i="109"/>
  <c r="AB351" i="109" s="1"/>
  <c r="AB283" i="109"/>
  <c r="AB347" i="109" s="1"/>
  <c r="AB279" i="109"/>
  <c r="AB343" i="109" s="1"/>
  <c r="AB298" i="109"/>
  <c r="AB362" i="109" s="1"/>
  <c r="AB294" i="109"/>
  <c r="AB290" i="109"/>
  <c r="AB354" i="109" s="1"/>
  <c r="AB285" i="109"/>
  <c r="AB349" i="109" s="1"/>
  <c r="AB277" i="109"/>
  <c r="AA361" i="109"/>
  <c r="AA359" i="109"/>
  <c r="AA356" i="109"/>
  <c r="AA362" i="109"/>
  <c r="AB363" i="109" l="1"/>
  <c r="AB364" i="109"/>
  <c r="AD48" i="109"/>
  <c r="AC334" i="109"/>
  <c r="AC330" i="109"/>
  <c r="AC326" i="109"/>
  <c r="AC333" i="109"/>
  <c r="AC329" i="109"/>
  <c r="AC325" i="109"/>
  <c r="AC321" i="109"/>
  <c r="AC317" i="109"/>
  <c r="AC332" i="109"/>
  <c r="AC328" i="109"/>
  <c r="AC331" i="109"/>
  <c r="AC327" i="109"/>
  <c r="AC324" i="109"/>
  <c r="AC320" i="109"/>
  <c r="AC316" i="109"/>
  <c r="AC312" i="109"/>
  <c r="AC308" i="109"/>
  <c r="AC322" i="109"/>
  <c r="AC318" i="109"/>
  <c r="AC314" i="109"/>
  <c r="AC319" i="109"/>
  <c r="AC315" i="109"/>
  <c r="AC311" i="109"/>
  <c r="AC309" i="109"/>
  <c r="AC310" i="109"/>
  <c r="AC323" i="109"/>
  <c r="AC313" i="109"/>
  <c r="AC307" i="109"/>
  <c r="AB358" i="109"/>
  <c r="AB341" i="109"/>
  <c r="AB357" i="109"/>
  <c r="AD47" i="109"/>
  <c r="AC300" i="109"/>
  <c r="AC364" i="109" s="1"/>
  <c r="AC301" i="109"/>
  <c r="AC365" i="109" s="1"/>
  <c r="AC296" i="109"/>
  <c r="AC292" i="109"/>
  <c r="AC288" i="109"/>
  <c r="AC352" i="109" s="1"/>
  <c r="AC302" i="109"/>
  <c r="AC366" i="109" s="1"/>
  <c r="AC295" i="109"/>
  <c r="AC359" i="109" s="1"/>
  <c r="AC291" i="109"/>
  <c r="AC287" i="109"/>
  <c r="AC351" i="109" s="1"/>
  <c r="AC283" i="109"/>
  <c r="AC347" i="109" s="1"/>
  <c r="AC279" i="109"/>
  <c r="AC343" i="109" s="1"/>
  <c r="AC299" i="109"/>
  <c r="AC363" i="109" s="1"/>
  <c r="AC276" i="109"/>
  <c r="AC340" i="109" s="1"/>
  <c r="AC275" i="109"/>
  <c r="AC339" i="109" s="1"/>
  <c r="AC281" i="109"/>
  <c r="AC345" i="109" s="1"/>
  <c r="AC282" i="109"/>
  <c r="AC346" i="109" s="1"/>
  <c r="AC298" i="109"/>
  <c r="AC362" i="109" s="1"/>
  <c r="AC294" i="109"/>
  <c r="AC358" i="109" s="1"/>
  <c r="AC290" i="109"/>
  <c r="AC284" i="109"/>
  <c r="AC348" i="109" s="1"/>
  <c r="AC280" i="109"/>
  <c r="AC344" i="109" s="1"/>
  <c r="AC297" i="109"/>
  <c r="AC361" i="109" s="1"/>
  <c r="AC293" i="109"/>
  <c r="AC289" i="109"/>
  <c r="AC353" i="109" s="1"/>
  <c r="AC285" i="109"/>
  <c r="AC349" i="109" s="1"/>
  <c r="AC277" i="109"/>
  <c r="AC341" i="109" s="1"/>
  <c r="AC286" i="109"/>
  <c r="AC350" i="109" s="1"/>
  <c r="AC278" i="109"/>
  <c r="AC342" i="109" l="1"/>
  <c r="AC355" i="109"/>
  <c r="AC356" i="109"/>
  <c r="AE47" i="109"/>
  <c r="AD299" i="109"/>
  <c r="AD302" i="109"/>
  <c r="AD295" i="109"/>
  <c r="AD291" i="109"/>
  <c r="AD355" i="109" s="1"/>
  <c r="AD298" i="109"/>
  <c r="AD294" i="109"/>
  <c r="AD290" i="109"/>
  <c r="AD286" i="109"/>
  <c r="AD350" i="109" s="1"/>
  <c r="AD282" i="109"/>
  <c r="AD278" i="109"/>
  <c r="AD287" i="109"/>
  <c r="AD284" i="109"/>
  <c r="AD283" i="109"/>
  <c r="AD280" i="109"/>
  <c r="AD279" i="109"/>
  <c r="AD276" i="109"/>
  <c r="AD340" i="109" s="1"/>
  <c r="AD275" i="109"/>
  <c r="AD296" i="109"/>
  <c r="AD360" i="109" s="1"/>
  <c r="AD301" i="109"/>
  <c r="AD300" i="109"/>
  <c r="AD297" i="109"/>
  <c r="AD293" i="109"/>
  <c r="AD289" i="109"/>
  <c r="AD285" i="109"/>
  <c r="AD349" i="109" s="1"/>
  <c r="AD281" i="109"/>
  <c r="AD277" i="109"/>
  <c r="AD292" i="109"/>
  <c r="AD288" i="109"/>
  <c r="AD352" i="109" s="1"/>
  <c r="AE48" i="109"/>
  <c r="AD333" i="109"/>
  <c r="AD329" i="109"/>
  <c r="AD332" i="109"/>
  <c r="AD328" i="109"/>
  <c r="AD324" i="109"/>
  <c r="AD320" i="109"/>
  <c r="AD316" i="109"/>
  <c r="AD331" i="109"/>
  <c r="AD327" i="109"/>
  <c r="AD315" i="109"/>
  <c r="AD311" i="109"/>
  <c r="AD307" i="109"/>
  <c r="AD325" i="109"/>
  <c r="AD322" i="109"/>
  <c r="AD321" i="109"/>
  <c r="AD318" i="109"/>
  <c r="AD317" i="109"/>
  <c r="AD323" i="109"/>
  <c r="AD319" i="109"/>
  <c r="AD313" i="109"/>
  <c r="AD330" i="109"/>
  <c r="AD310" i="109"/>
  <c r="AD314" i="109"/>
  <c r="AD334" i="109"/>
  <c r="AD326" i="109"/>
  <c r="AD312" i="109"/>
  <c r="AD309" i="109"/>
  <c r="AD308" i="109"/>
  <c r="AC357" i="109"/>
  <c r="AC354" i="109"/>
  <c r="AC360" i="109"/>
  <c r="AD364" i="109" l="1"/>
  <c r="AD348" i="109"/>
  <c r="AF47" i="109"/>
  <c r="AE302" i="109"/>
  <c r="AE298" i="109"/>
  <c r="AE294" i="109"/>
  <c r="AE290" i="109"/>
  <c r="AE299" i="109"/>
  <c r="AE297" i="109"/>
  <c r="AE293" i="109"/>
  <c r="AE289" i="109"/>
  <c r="AE285" i="109"/>
  <c r="AE349" i="109" s="1"/>
  <c r="AE281" i="109"/>
  <c r="AE277" i="109"/>
  <c r="AE301" i="109"/>
  <c r="AE300" i="109"/>
  <c r="AE364" i="109" s="1"/>
  <c r="AE295" i="109"/>
  <c r="AE291" i="109"/>
  <c r="AE278" i="109"/>
  <c r="AE284" i="109"/>
  <c r="AE348" i="109" s="1"/>
  <c r="AE283" i="109"/>
  <c r="AE282" i="109"/>
  <c r="AE296" i="109"/>
  <c r="AE292" i="109"/>
  <c r="AE288" i="109"/>
  <c r="AE286" i="109"/>
  <c r="AE287" i="109"/>
  <c r="AE280" i="109"/>
  <c r="AE279" i="109"/>
  <c r="AE275" i="109"/>
  <c r="AE276" i="109"/>
  <c r="AD356" i="109"/>
  <c r="AD353" i="109"/>
  <c r="AD365" i="109"/>
  <c r="AD343" i="109"/>
  <c r="AD351" i="109"/>
  <c r="AD354" i="109"/>
  <c r="AD359" i="109"/>
  <c r="AD341" i="109"/>
  <c r="AD357" i="109"/>
  <c r="AD344" i="109"/>
  <c r="AD342" i="109"/>
  <c r="AD358" i="109"/>
  <c r="AD366" i="109"/>
  <c r="AF48" i="109"/>
  <c r="AE332" i="109"/>
  <c r="AE328" i="109"/>
  <c r="AE331" i="109"/>
  <c r="AE327" i="109"/>
  <c r="AE323" i="109"/>
  <c r="AE319" i="109"/>
  <c r="AE334" i="109"/>
  <c r="AE330" i="109"/>
  <c r="AE326" i="109"/>
  <c r="AE325" i="109"/>
  <c r="AE322" i="109"/>
  <c r="AE321" i="109"/>
  <c r="AE318" i="109"/>
  <c r="AE317" i="109"/>
  <c r="AE314" i="109"/>
  <c r="AE310" i="109"/>
  <c r="AE333" i="109"/>
  <c r="AE329" i="109"/>
  <c r="AE312" i="109"/>
  <c r="AE320" i="109"/>
  <c r="AE313" i="109"/>
  <c r="AE307" i="109"/>
  <c r="AE324" i="109"/>
  <c r="AE316" i="109"/>
  <c r="AE309" i="109"/>
  <c r="AE308" i="109"/>
  <c r="AE311" i="109"/>
  <c r="AE315" i="109"/>
  <c r="AD345" i="109"/>
  <c r="AD361" i="109"/>
  <c r="AD339" i="109"/>
  <c r="AD347" i="109"/>
  <c r="AD346" i="109"/>
  <c r="AD362" i="109"/>
  <c r="AD363" i="109"/>
  <c r="AE363" i="109" l="1"/>
  <c r="AE366" i="109"/>
  <c r="AE340" i="109"/>
  <c r="AE351" i="109"/>
  <c r="AE360" i="109"/>
  <c r="AE342" i="109"/>
  <c r="AE365" i="109"/>
  <c r="AE353" i="109"/>
  <c r="AE354" i="109"/>
  <c r="AG47" i="109"/>
  <c r="AF301" i="109"/>
  <c r="AF299" i="109"/>
  <c r="AF363" i="109" s="1"/>
  <c r="AF297" i="109"/>
  <c r="AF293" i="109"/>
  <c r="AF289" i="109"/>
  <c r="AF300" i="109"/>
  <c r="AF296" i="109"/>
  <c r="AF292" i="109"/>
  <c r="AF288" i="109"/>
  <c r="AF284" i="109"/>
  <c r="AF348" i="109" s="1"/>
  <c r="AF280" i="109"/>
  <c r="AF276" i="109"/>
  <c r="AF302" i="109"/>
  <c r="AF298" i="109"/>
  <c r="AF294" i="109"/>
  <c r="AF290" i="109"/>
  <c r="AF285" i="109"/>
  <c r="AF281" i="109"/>
  <c r="AF345" i="109" s="1"/>
  <c r="AF277" i="109"/>
  <c r="AF279" i="109"/>
  <c r="AF291" i="109"/>
  <c r="AF286" i="109"/>
  <c r="AF350" i="109" s="1"/>
  <c r="AF282" i="109"/>
  <c r="AF278" i="109"/>
  <c r="AF283" i="109"/>
  <c r="AF287" i="109"/>
  <c r="AF351" i="109" s="1"/>
  <c r="AF275" i="109"/>
  <c r="AF295" i="109"/>
  <c r="AE339" i="109"/>
  <c r="AE350" i="109"/>
  <c r="AE346" i="109"/>
  <c r="AE355" i="109"/>
  <c r="AE341" i="109"/>
  <c r="AE357" i="109"/>
  <c r="AE358" i="109"/>
  <c r="AE344" i="109"/>
  <c r="AE356" i="109"/>
  <c r="AG48" i="109"/>
  <c r="AF331" i="109"/>
  <c r="AF327" i="109"/>
  <c r="AF334" i="109"/>
  <c r="AF330" i="109"/>
  <c r="AF326" i="109"/>
  <c r="AF322" i="109"/>
  <c r="AF318" i="109"/>
  <c r="AF333" i="109"/>
  <c r="AF329" i="109"/>
  <c r="AF313" i="109"/>
  <c r="AF309" i="109"/>
  <c r="AF332" i="109"/>
  <c r="AF328" i="109"/>
  <c r="AF323" i="109"/>
  <c r="AF319" i="109"/>
  <c r="AF324" i="109"/>
  <c r="AF320" i="109"/>
  <c r="AF316" i="109"/>
  <c r="AF315" i="109"/>
  <c r="AF311" i="109"/>
  <c r="AF314" i="109"/>
  <c r="AF307" i="109"/>
  <c r="AF325" i="109"/>
  <c r="AF317" i="109"/>
  <c r="AF308" i="109"/>
  <c r="AF321" i="109"/>
  <c r="AF310" i="109"/>
  <c r="AF312" i="109"/>
  <c r="AE343" i="109"/>
  <c r="AE352" i="109"/>
  <c r="AE347" i="109"/>
  <c r="AE359" i="109"/>
  <c r="AE345" i="109"/>
  <c r="AE361" i="109"/>
  <c r="AE362" i="109"/>
  <c r="AF362" i="109" l="1"/>
  <c r="AF347" i="109"/>
  <c r="AF355" i="109"/>
  <c r="AF349" i="109"/>
  <c r="AF366" i="109"/>
  <c r="AF352" i="109"/>
  <c r="AF353" i="109"/>
  <c r="AF365" i="109"/>
  <c r="AH48" i="109"/>
  <c r="AG334" i="109"/>
  <c r="AG330" i="109"/>
  <c r="AG326" i="109"/>
  <c r="AG333" i="109"/>
  <c r="AG329" i="109"/>
  <c r="AG325" i="109"/>
  <c r="AG321" i="109"/>
  <c r="AG317" i="109"/>
  <c r="AG332" i="109"/>
  <c r="AG328" i="109"/>
  <c r="AG323" i="109"/>
  <c r="AG319" i="109"/>
  <c r="AG312" i="109"/>
  <c r="AG308" i="109"/>
  <c r="AG324" i="109"/>
  <c r="AG320" i="109"/>
  <c r="AG316" i="109"/>
  <c r="AG314" i="109"/>
  <c r="AG318" i="109"/>
  <c r="AG313" i="109"/>
  <c r="AG331" i="109"/>
  <c r="AG309" i="109"/>
  <c r="AG322" i="109"/>
  <c r="AG315" i="109"/>
  <c r="AG310" i="109"/>
  <c r="AG327" i="109"/>
  <c r="AG311" i="109"/>
  <c r="AG307" i="109"/>
  <c r="AF364" i="109"/>
  <c r="AF359" i="109"/>
  <c r="AF342" i="109"/>
  <c r="AF343" i="109"/>
  <c r="AF354" i="109"/>
  <c r="AF340" i="109"/>
  <c r="AF356" i="109"/>
  <c r="AF357" i="109"/>
  <c r="AH47" i="109"/>
  <c r="AG300" i="109"/>
  <c r="AG364" i="109" s="1"/>
  <c r="AG296" i="109"/>
  <c r="AG360" i="109" s="1"/>
  <c r="AG292" i="109"/>
  <c r="AG288" i="109"/>
  <c r="AG352" i="109" s="1"/>
  <c r="AG301" i="109"/>
  <c r="AG365" i="109" s="1"/>
  <c r="AG295" i="109"/>
  <c r="AG359" i="109" s="1"/>
  <c r="AG291" i="109"/>
  <c r="AG287" i="109"/>
  <c r="AG351" i="109" s="1"/>
  <c r="AG283" i="109"/>
  <c r="AG347" i="109" s="1"/>
  <c r="AG279" i="109"/>
  <c r="AG343" i="109" s="1"/>
  <c r="AG297" i="109"/>
  <c r="AG361" i="109" s="1"/>
  <c r="AG293" i="109"/>
  <c r="AG289" i="109"/>
  <c r="AG286" i="109"/>
  <c r="AG350" i="109" s="1"/>
  <c r="AG282" i="109"/>
  <c r="AG278" i="109"/>
  <c r="AG342" i="109" s="1"/>
  <c r="AG275" i="109"/>
  <c r="AG339" i="109" s="1"/>
  <c r="AG280" i="109"/>
  <c r="AG344" i="109" s="1"/>
  <c r="AG276" i="109"/>
  <c r="AG299" i="109"/>
  <c r="AG363" i="109" s="1"/>
  <c r="AG298" i="109"/>
  <c r="AG362" i="109" s="1"/>
  <c r="AG290" i="109"/>
  <c r="AG354" i="109" s="1"/>
  <c r="AG285" i="109"/>
  <c r="AG349" i="109" s="1"/>
  <c r="AG284" i="109"/>
  <c r="AG348" i="109" s="1"/>
  <c r="AG302" i="109"/>
  <c r="AG366" i="109" s="1"/>
  <c r="AG294" i="109"/>
  <c r="AG358" i="109" s="1"/>
  <c r="AG281" i="109"/>
  <c r="AG345" i="109" s="1"/>
  <c r="AG277" i="109"/>
  <c r="AF339" i="109"/>
  <c r="AF346" i="109"/>
  <c r="AF341" i="109"/>
  <c r="AF358" i="109"/>
  <c r="AF344" i="109"/>
  <c r="AF360" i="109"/>
  <c r="AF361" i="109"/>
  <c r="AG341" i="109" l="1"/>
  <c r="AG357" i="109"/>
  <c r="AI47" i="109"/>
  <c r="AH299" i="109"/>
  <c r="AH301" i="109"/>
  <c r="AH300" i="109"/>
  <c r="AH295" i="109"/>
  <c r="AH291" i="109"/>
  <c r="AH302" i="109"/>
  <c r="AH298" i="109"/>
  <c r="AH294" i="109"/>
  <c r="AH290" i="109"/>
  <c r="AH286" i="109"/>
  <c r="AH350" i="109" s="1"/>
  <c r="AH282" i="109"/>
  <c r="AH278" i="109"/>
  <c r="AH275" i="109"/>
  <c r="AH281" i="109"/>
  <c r="AH277" i="109"/>
  <c r="AH293" i="109"/>
  <c r="AH296" i="109"/>
  <c r="AH292" i="109"/>
  <c r="AH356" i="109" s="1"/>
  <c r="AH288" i="109"/>
  <c r="AH352" i="109" s="1"/>
  <c r="AH287" i="109"/>
  <c r="AH284" i="109"/>
  <c r="AH283" i="109"/>
  <c r="AH347" i="109" s="1"/>
  <c r="AH280" i="109"/>
  <c r="AH279" i="109"/>
  <c r="AH276" i="109"/>
  <c r="AH285" i="109"/>
  <c r="AH297" i="109"/>
  <c r="AH361" i="109" s="1"/>
  <c r="AH289" i="109"/>
  <c r="AG353" i="109"/>
  <c r="AG340" i="109"/>
  <c r="AG346" i="109"/>
  <c r="AG355" i="109"/>
  <c r="AG356" i="109"/>
  <c r="AI48" i="109"/>
  <c r="AH333" i="109"/>
  <c r="AH329" i="109"/>
  <c r="AH332" i="109"/>
  <c r="AH328" i="109"/>
  <c r="AH324" i="109"/>
  <c r="AH320" i="109"/>
  <c r="AH316" i="109"/>
  <c r="AH331" i="109"/>
  <c r="AH327" i="109"/>
  <c r="AH315" i="109"/>
  <c r="AH311" i="109"/>
  <c r="AH307" i="109"/>
  <c r="AH334" i="109"/>
  <c r="AH330" i="109"/>
  <c r="AH326" i="109"/>
  <c r="AH325" i="109"/>
  <c r="AH322" i="109"/>
  <c r="AH321" i="109"/>
  <c r="AH318" i="109"/>
  <c r="AH317" i="109"/>
  <c r="AH313" i="109"/>
  <c r="AH309" i="109"/>
  <c r="AH308" i="109"/>
  <c r="AH323" i="109"/>
  <c r="AH312" i="109"/>
  <c r="AH310" i="109"/>
  <c r="AH314" i="109"/>
  <c r="AH319" i="109"/>
  <c r="AH349" i="109" l="1"/>
  <c r="AH365" i="109"/>
  <c r="AH340" i="109"/>
  <c r="AH348" i="109"/>
  <c r="AH360" i="109"/>
  <c r="AH339" i="109"/>
  <c r="AH354" i="109"/>
  <c r="AH355" i="109"/>
  <c r="AH363" i="109"/>
  <c r="AJ48" i="109"/>
  <c r="AI332" i="109"/>
  <c r="AI328" i="109"/>
  <c r="AI331" i="109"/>
  <c r="AI327" i="109"/>
  <c r="AI323" i="109"/>
  <c r="AI319" i="109"/>
  <c r="AI334" i="109"/>
  <c r="AI330" i="109"/>
  <c r="AI326" i="109"/>
  <c r="AI324" i="109"/>
  <c r="AI320" i="109"/>
  <c r="AI316" i="109"/>
  <c r="AI314" i="109"/>
  <c r="AI310" i="109"/>
  <c r="AI333" i="109"/>
  <c r="AI329" i="109"/>
  <c r="AI325" i="109"/>
  <c r="AI322" i="109"/>
  <c r="AI321" i="109"/>
  <c r="AI318" i="109"/>
  <c r="AI317" i="109"/>
  <c r="AI312" i="109"/>
  <c r="AI315" i="109"/>
  <c r="AI311" i="109"/>
  <c r="AI313" i="109"/>
  <c r="AI307" i="109"/>
  <c r="AI309" i="109"/>
  <c r="AI308" i="109"/>
  <c r="AH345" i="109"/>
  <c r="AH366" i="109"/>
  <c r="AH353" i="109"/>
  <c r="AH343" i="109"/>
  <c r="AH351" i="109"/>
  <c r="AH357" i="109"/>
  <c r="AH342" i="109"/>
  <c r="AH358" i="109"/>
  <c r="AH359" i="109"/>
  <c r="AJ47" i="109"/>
  <c r="AI302" i="109"/>
  <c r="AI366" i="109" s="1"/>
  <c r="AI298" i="109"/>
  <c r="AI362" i="109" s="1"/>
  <c r="AI294" i="109"/>
  <c r="AI358" i="109" s="1"/>
  <c r="AI290" i="109"/>
  <c r="AI297" i="109"/>
  <c r="AI361" i="109" s="1"/>
  <c r="AI293" i="109"/>
  <c r="AI357" i="109" s="1"/>
  <c r="AI289" i="109"/>
  <c r="AI353" i="109" s="1"/>
  <c r="AI285" i="109"/>
  <c r="AI349" i="109" s="1"/>
  <c r="AI281" i="109"/>
  <c r="AI345" i="109" s="1"/>
  <c r="AI277" i="109"/>
  <c r="AI341" i="109" s="1"/>
  <c r="AI296" i="109"/>
  <c r="AI360" i="109" s="1"/>
  <c r="AI292" i="109"/>
  <c r="AI288" i="109"/>
  <c r="AI352" i="109" s="1"/>
  <c r="AI287" i="109"/>
  <c r="AI284" i="109"/>
  <c r="AI348" i="109" s="1"/>
  <c r="AI283" i="109"/>
  <c r="AI347" i="109" s="1"/>
  <c r="AI280" i="109"/>
  <c r="AI279" i="109"/>
  <c r="AI343" i="109" s="1"/>
  <c r="AI276" i="109"/>
  <c r="AI340" i="109" s="1"/>
  <c r="AI300" i="109"/>
  <c r="AI364" i="109" s="1"/>
  <c r="AI299" i="109"/>
  <c r="AI363" i="109" s="1"/>
  <c r="AI295" i="109"/>
  <c r="AI359" i="109" s="1"/>
  <c r="AI291" i="109"/>
  <c r="AI355" i="109" s="1"/>
  <c r="AI301" i="109"/>
  <c r="AI365" i="109" s="1"/>
  <c r="AI286" i="109"/>
  <c r="AI350" i="109" s="1"/>
  <c r="AI282" i="109"/>
  <c r="AI346" i="109" s="1"/>
  <c r="AI278" i="109"/>
  <c r="AI342" i="109" s="1"/>
  <c r="AI275" i="109"/>
  <c r="AI339" i="109" s="1"/>
  <c r="AH344" i="109"/>
  <c r="AH341" i="109"/>
  <c r="AH346" i="109"/>
  <c r="AH362" i="109"/>
  <c r="AH364" i="109"/>
  <c r="AI351" i="109" l="1"/>
  <c r="AI344" i="109"/>
  <c r="AK48" i="109"/>
  <c r="AJ331" i="109"/>
  <c r="AJ327" i="109"/>
  <c r="AJ334" i="109"/>
  <c r="AJ330" i="109"/>
  <c r="AJ326" i="109"/>
  <c r="AJ322" i="109"/>
  <c r="AJ318" i="109"/>
  <c r="AJ333" i="109"/>
  <c r="AJ329" i="109"/>
  <c r="AJ332" i="109"/>
  <c r="AJ328" i="109"/>
  <c r="AJ325" i="109"/>
  <c r="AJ321" i="109"/>
  <c r="AJ317" i="109"/>
  <c r="AJ313" i="109"/>
  <c r="AJ309" i="109"/>
  <c r="AJ323" i="109"/>
  <c r="AJ319" i="109"/>
  <c r="AJ315" i="109"/>
  <c r="AJ311" i="109"/>
  <c r="AJ312" i="109"/>
  <c r="AJ310" i="109"/>
  <c r="AJ324" i="109"/>
  <c r="AJ316" i="109"/>
  <c r="AJ307" i="109"/>
  <c r="AJ314" i="109"/>
  <c r="AJ320" i="109"/>
  <c r="AJ308" i="109"/>
  <c r="AI356" i="109"/>
  <c r="AI354" i="109"/>
  <c r="AK47" i="109"/>
  <c r="AJ301" i="109"/>
  <c r="AJ365" i="109" s="1"/>
  <c r="AJ302" i="109"/>
  <c r="AJ366" i="109" s="1"/>
  <c r="AJ298" i="109"/>
  <c r="AJ362" i="109" s="1"/>
  <c r="AJ297" i="109"/>
  <c r="AJ293" i="109"/>
  <c r="AJ357" i="109" s="1"/>
  <c r="AJ289" i="109"/>
  <c r="AJ353" i="109" s="1"/>
  <c r="AJ299" i="109"/>
  <c r="AJ296" i="109"/>
  <c r="AJ360" i="109" s="1"/>
  <c r="AJ292" i="109"/>
  <c r="AJ356" i="109" s="1"/>
  <c r="AJ288" i="109"/>
  <c r="AJ352" i="109" s="1"/>
  <c r="AJ284" i="109"/>
  <c r="AJ348" i="109" s="1"/>
  <c r="AJ280" i="109"/>
  <c r="AJ276" i="109"/>
  <c r="AJ340" i="109" s="1"/>
  <c r="AJ282" i="109"/>
  <c r="AJ346" i="109" s="1"/>
  <c r="AJ278" i="109"/>
  <c r="AJ342" i="109" s="1"/>
  <c r="AJ275" i="109"/>
  <c r="AJ287" i="109"/>
  <c r="AJ351" i="109" s="1"/>
  <c r="AJ283" i="109"/>
  <c r="AJ347" i="109" s="1"/>
  <c r="AJ295" i="109"/>
  <c r="AJ359" i="109" s="1"/>
  <c r="AJ291" i="109"/>
  <c r="AJ285" i="109"/>
  <c r="AJ349" i="109" s="1"/>
  <c r="AJ281" i="109"/>
  <c r="AJ345" i="109" s="1"/>
  <c r="AJ277" i="109"/>
  <c r="AJ341" i="109" s="1"/>
  <c r="AJ300" i="109"/>
  <c r="AJ364" i="109" s="1"/>
  <c r="AJ294" i="109"/>
  <c r="AJ290" i="109"/>
  <c r="AJ354" i="109" s="1"/>
  <c r="AJ286" i="109"/>
  <c r="AJ350" i="109" s="1"/>
  <c r="AJ279" i="109"/>
  <c r="AJ343" i="109" s="1"/>
  <c r="AL48" i="109" l="1"/>
  <c r="AK334" i="109"/>
  <c r="AK330" i="109"/>
  <c r="AK326" i="109"/>
  <c r="AK333" i="109"/>
  <c r="AK329" i="109"/>
  <c r="AK325" i="109"/>
  <c r="AK321" i="109"/>
  <c r="AK317" i="109"/>
  <c r="AK332" i="109"/>
  <c r="AK328" i="109"/>
  <c r="AK322" i="109"/>
  <c r="AK318" i="109"/>
  <c r="AK312" i="109"/>
  <c r="AK308" i="109"/>
  <c r="AK323" i="109"/>
  <c r="AK319" i="109"/>
  <c r="AK315" i="109"/>
  <c r="AK331" i="109"/>
  <c r="AK327" i="109"/>
  <c r="AK324" i="109"/>
  <c r="AK320" i="109"/>
  <c r="AK316" i="109"/>
  <c r="AK314" i="109"/>
  <c r="AK311" i="109"/>
  <c r="AK307" i="109"/>
  <c r="AK313" i="109"/>
  <c r="AK310" i="109"/>
  <c r="AK309" i="109"/>
  <c r="AJ355" i="109"/>
  <c r="AJ339" i="109"/>
  <c r="AJ344" i="109"/>
  <c r="AJ361" i="109"/>
  <c r="AL47" i="109"/>
  <c r="AK300" i="109"/>
  <c r="AK364" i="109" s="1"/>
  <c r="AK299" i="109"/>
  <c r="AK363" i="109" s="1"/>
  <c r="AK296" i="109"/>
  <c r="AK360" i="109" s="1"/>
  <c r="AK292" i="109"/>
  <c r="AK356" i="109" s="1"/>
  <c r="AK288" i="109"/>
  <c r="AK352" i="109" s="1"/>
  <c r="AK295" i="109"/>
  <c r="AK359" i="109" s="1"/>
  <c r="AK291" i="109"/>
  <c r="AK287" i="109"/>
  <c r="AK351" i="109" s="1"/>
  <c r="AK283" i="109"/>
  <c r="AK347" i="109" s="1"/>
  <c r="AK279" i="109"/>
  <c r="AK343" i="109" s="1"/>
  <c r="AK285" i="109"/>
  <c r="AK349" i="109" s="1"/>
  <c r="AK281" i="109"/>
  <c r="AK345" i="109" s="1"/>
  <c r="AK277" i="109"/>
  <c r="AK341" i="109" s="1"/>
  <c r="AK275" i="109"/>
  <c r="AK339" i="109" s="1"/>
  <c r="AK294" i="109"/>
  <c r="AK290" i="109"/>
  <c r="AK286" i="109"/>
  <c r="AK350" i="109" s="1"/>
  <c r="AK282" i="109"/>
  <c r="AK278" i="109"/>
  <c r="AK302" i="109"/>
  <c r="AK366" i="109" s="1"/>
  <c r="AK301" i="109"/>
  <c r="AK365" i="109" s="1"/>
  <c r="AK298" i="109"/>
  <c r="AK362" i="109" s="1"/>
  <c r="AK297" i="109"/>
  <c r="AK361" i="109" s="1"/>
  <c r="AK293" i="109"/>
  <c r="AK357" i="109" s="1"/>
  <c r="AK289" i="109"/>
  <c r="AK284" i="109"/>
  <c r="AK348" i="109" s="1"/>
  <c r="AK276" i="109"/>
  <c r="AK340" i="109" s="1"/>
  <c r="AK280" i="109"/>
  <c r="AK344" i="109" s="1"/>
  <c r="AJ358" i="109"/>
  <c r="AJ363" i="109"/>
  <c r="AK353" i="109" l="1"/>
  <c r="AK354" i="109"/>
  <c r="AM47" i="109"/>
  <c r="AL299" i="109"/>
  <c r="AL363" i="109" s="1"/>
  <c r="AL295" i="109"/>
  <c r="AL291" i="109"/>
  <c r="AL301" i="109"/>
  <c r="AL365" i="109" s="1"/>
  <c r="AL300" i="109"/>
  <c r="AL294" i="109"/>
  <c r="AL290" i="109"/>
  <c r="AL286" i="109"/>
  <c r="AL350" i="109" s="1"/>
  <c r="AL282" i="109"/>
  <c r="AL346" i="109" s="1"/>
  <c r="AL278" i="109"/>
  <c r="AL275" i="109"/>
  <c r="AL280" i="109"/>
  <c r="AL279" i="109"/>
  <c r="AL343" i="109" s="1"/>
  <c r="AL292" i="109"/>
  <c r="AL288" i="109"/>
  <c r="AL281" i="109"/>
  <c r="AL345" i="109" s="1"/>
  <c r="AL302" i="109"/>
  <c r="AL366" i="109" s="1"/>
  <c r="AL298" i="109"/>
  <c r="AL297" i="109"/>
  <c r="AL293" i="109"/>
  <c r="AL289" i="109"/>
  <c r="AL353" i="109" s="1"/>
  <c r="AL283" i="109"/>
  <c r="AL287" i="109"/>
  <c r="AL284" i="109"/>
  <c r="AL276" i="109"/>
  <c r="AL296" i="109"/>
  <c r="AL285" i="109"/>
  <c r="AL277" i="109"/>
  <c r="AK346" i="109"/>
  <c r="AK342" i="109"/>
  <c r="AK358" i="109"/>
  <c r="AK355" i="109"/>
  <c r="AM48" i="109"/>
  <c r="AL334" i="109"/>
  <c r="AL333" i="109"/>
  <c r="AL329" i="109"/>
  <c r="AL332" i="109"/>
  <c r="AL328" i="109"/>
  <c r="AL324" i="109"/>
  <c r="AL320" i="109"/>
  <c r="AL316" i="109"/>
  <c r="AL331" i="109"/>
  <c r="AL327" i="109"/>
  <c r="AL323" i="109"/>
  <c r="AL319" i="109"/>
  <c r="AL315" i="109"/>
  <c r="AL311" i="109"/>
  <c r="AL307" i="109"/>
  <c r="AL330" i="109"/>
  <c r="AL326" i="109"/>
  <c r="AL313" i="109"/>
  <c r="AL325" i="109"/>
  <c r="AL317" i="109"/>
  <c r="AL322" i="109"/>
  <c r="AL314" i="109"/>
  <c r="AL309" i="109"/>
  <c r="AL308" i="109"/>
  <c r="AL321" i="109"/>
  <c r="AL318" i="109"/>
  <c r="AL310" i="109"/>
  <c r="AL312" i="109"/>
  <c r="AL364" i="109" l="1"/>
  <c r="AN48" i="109"/>
  <c r="AM332" i="109"/>
  <c r="AM328" i="109"/>
  <c r="AM331" i="109"/>
  <c r="AM327" i="109"/>
  <c r="AM323" i="109"/>
  <c r="AM319" i="109"/>
  <c r="AM315" i="109"/>
  <c r="AM330" i="109"/>
  <c r="AM326" i="109"/>
  <c r="AM333" i="109"/>
  <c r="AM329" i="109"/>
  <c r="AM314" i="109"/>
  <c r="AM310" i="109"/>
  <c r="AM334" i="109"/>
  <c r="AM324" i="109"/>
  <c r="AM320" i="109"/>
  <c r="AM316" i="109"/>
  <c r="AM325" i="109"/>
  <c r="AM322" i="109"/>
  <c r="AM321" i="109"/>
  <c r="AM318" i="109"/>
  <c r="AM317" i="109"/>
  <c r="AM312" i="109"/>
  <c r="AM309" i="109"/>
  <c r="AM308" i="109"/>
  <c r="AM313" i="109"/>
  <c r="AM311" i="109"/>
  <c r="AM307" i="109"/>
  <c r="AL344" i="109"/>
  <c r="AN47" i="109"/>
  <c r="AM302" i="109"/>
  <c r="AM366" i="109" s="1"/>
  <c r="AM298" i="109"/>
  <c r="AM362" i="109" s="1"/>
  <c r="AM301" i="109"/>
  <c r="AM365" i="109" s="1"/>
  <c r="AM300" i="109"/>
  <c r="AM364" i="109" s="1"/>
  <c r="AM294" i="109"/>
  <c r="AM358" i="109" s="1"/>
  <c r="AM290" i="109"/>
  <c r="AM354" i="109" s="1"/>
  <c r="AM297" i="109"/>
  <c r="AM361" i="109" s="1"/>
  <c r="AM293" i="109"/>
  <c r="AM289" i="109"/>
  <c r="AM353" i="109" s="1"/>
  <c r="AM285" i="109"/>
  <c r="AM281" i="109"/>
  <c r="AM277" i="109"/>
  <c r="AM341" i="109" s="1"/>
  <c r="AM295" i="109"/>
  <c r="AM359" i="109" s="1"/>
  <c r="AM291" i="109"/>
  <c r="AM355" i="109" s="1"/>
  <c r="AM286" i="109"/>
  <c r="AM350" i="109" s="1"/>
  <c r="AM282" i="109"/>
  <c r="AM346" i="109" s="1"/>
  <c r="AM278" i="109"/>
  <c r="AM342" i="109" s="1"/>
  <c r="AM276" i="109"/>
  <c r="AM340" i="109" s="1"/>
  <c r="AM299" i="109"/>
  <c r="AM363" i="109" s="1"/>
  <c r="AM287" i="109"/>
  <c r="AM351" i="109" s="1"/>
  <c r="AM284" i="109"/>
  <c r="AM348" i="109" s="1"/>
  <c r="AM283" i="109"/>
  <c r="AM347" i="109" s="1"/>
  <c r="AM280" i="109"/>
  <c r="AM344" i="109" s="1"/>
  <c r="AM279" i="109"/>
  <c r="AM343" i="109" s="1"/>
  <c r="AM296" i="109"/>
  <c r="AM360" i="109" s="1"/>
  <c r="AM292" i="109"/>
  <c r="AM356" i="109" s="1"/>
  <c r="AM288" i="109"/>
  <c r="AM352" i="109" s="1"/>
  <c r="AM275" i="109"/>
  <c r="AM339" i="109" s="1"/>
  <c r="AL340" i="109"/>
  <c r="AL341" i="109"/>
  <c r="AL349" i="109"/>
  <c r="AL351" i="109"/>
  <c r="AL361" i="109"/>
  <c r="AL352" i="109"/>
  <c r="AL339" i="109"/>
  <c r="AL354" i="109"/>
  <c r="AL355" i="109"/>
  <c r="AL348" i="109"/>
  <c r="AL357" i="109"/>
  <c r="AL360" i="109"/>
  <c r="AL347" i="109"/>
  <c r="AL362" i="109"/>
  <c r="AL356" i="109"/>
  <c r="AL342" i="109"/>
  <c r="AL358" i="109"/>
  <c r="AL359" i="109"/>
  <c r="AM357" i="109" l="1"/>
  <c r="AO47" i="109"/>
  <c r="AN301" i="109"/>
  <c r="AN297" i="109"/>
  <c r="AN361" i="109" s="1"/>
  <c r="AN293" i="109"/>
  <c r="AN289" i="109"/>
  <c r="AN302" i="109"/>
  <c r="AN298" i="109"/>
  <c r="AN362" i="109" s="1"/>
  <c r="AN296" i="109"/>
  <c r="AN292" i="109"/>
  <c r="AN288" i="109"/>
  <c r="AN284" i="109"/>
  <c r="AN348" i="109" s="1"/>
  <c r="AN280" i="109"/>
  <c r="AN276" i="109"/>
  <c r="AN299" i="109"/>
  <c r="AN294" i="109"/>
  <c r="AN358" i="109" s="1"/>
  <c r="AN290" i="109"/>
  <c r="AN287" i="109"/>
  <c r="AN283" i="109"/>
  <c r="AN279" i="109"/>
  <c r="AN343" i="109" s="1"/>
  <c r="AN281" i="109"/>
  <c r="AN295" i="109"/>
  <c r="AN300" i="109"/>
  <c r="AN285" i="109"/>
  <c r="AN349" i="109" s="1"/>
  <c r="AN277" i="109"/>
  <c r="AN275" i="109"/>
  <c r="AN291" i="109"/>
  <c r="AN286" i="109"/>
  <c r="AN282" i="109"/>
  <c r="AN278" i="109"/>
  <c r="AM345" i="109"/>
  <c r="AM349" i="109"/>
  <c r="AO48" i="109"/>
  <c r="AN334" i="109"/>
  <c r="AN331" i="109"/>
  <c r="AN327" i="109"/>
  <c r="AN330" i="109"/>
  <c r="AN326" i="109"/>
  <c r="AN322" i="109"/>
  <c r="AN318" i="109"/>
  <c r="AN333" i="109"/>
  <c r="AN329" i="109"/>
  <c r="AN324" i="109"/>
  <c r="AN320" i="109"/>
  <c r="AN316" i="109"/>
  <c r="AN313" i="109"/>
  <c r="AN309" i="109"/>
  <c r="AN325" i="109"/>
  <c r="AN321" i="109"/>
  <c r="AN317" i="109"/>
  <c r="AN311" i="109"/>
  <c r="AN323" i="109"/>
  <c r="AN315" i="109"/>
  <c r="AN314" i="109"/>
  <c r="AN332" i="109"/>
  <c r="AN310" i="109"/>
  <c r="AN319" i="109"/>
  <c r="AN312" i="109"/>
  <c r="AN328" i="109"/>
  <c r="AN307" i="109"/>
  <c r="AN308" i="109"/>
  <c r="AN355" i="109" l="1"/>
  <c r="AN364" i="109"/>
  <c r="AN347" i="109"/>
  <c r="AN363" i="109"/>
  <c r="AN352" i="109"/>
  <c r="AN366" i="109"/>
  <c r="AN365" i="109"/>
  <c r="AN350" i="109"/>
  <c r="AN342" i="109"/>
  <c r="AN339" i="109"/>
  <c r="AN359" i="109"/>
  <c r="AN351" i="109"/>
  <c r="AN340" i="109"/>
  <c r="AN356" i="109"/>
  <c r="AN353" i="109"/>
  <c r="AP47" i="109"/>
  <c r="AO300" i="109"/>
  <c r="AO302" i="109"/>
  <c r="AO298" i="109"/>
  <c r="AO296" i="109"/>
  <c r="AO360" i="109" s="1"/>
  <c r="AO292" i="109"/>
  <c r="AO288" i="109"/>
  <c r="AO299" i="109"/>
  <c r="AO295" i="109"/>
  <c r="AO359" i="109" s="1"/>
  <c r="AO291" i="109"/>
  <c r="AO287" i="109"/>
  <c r="AO283" i="109"/>
  <c r="AO279" i="109"/>
  <c r="AO297" i="109"/>
  <c r="AO293" i="109"/>
  <c r="AO289" i="109"/>
  <c r="AO284" i="109"/>
  <c r="AO348" i="109" s="1"/>
  <c r="AO280" i="109"/>
  <c r="AO276" i="109"/>
  <c r="AO275" i="109"/>
  <c r="AO278" i="109"/>
  <c r="AO342" i="109" s="1"/>
  <c r="AO301" i="109"/>
  <c r="AO285" i="109"/>
  <c r="AO281" i="109"/>
  <c r="AO277" i="109"/>
  <c r="AO341" i="109" s="1"/>
  <c r="AO282" i="109"/>
  <c r="AO286" i="109"/>
  <c r="AO294" i="109"/>
  <c r="AO290" i="109"/>
  <c r="AP48" i="109"/>
  <c r="AO334" i="109"/>
  <c r="AO330" i="109"/>
  <c r="AO326" i="109"/>
  <c r="AO333" i="109"/>
  <c r="AO329" i="109"/>
  <c r="AO325" i="109"/>
  <c r="AO321" i="109"/>
  <c r="AO317" i="109"/>
  <c r="AO332" i="109"/>
  <c r="AO328" i="109"/>
  <c r="AO312" i="109"/>
  <c r="AO308" i="109"/>
  <c r="AO331" i="109"/>
  <c r="AO327" i="109"/>
  <c r="AO322" i="109"/>
  <c r="AO318" i="109"/>
  <c r="AO323" i="109"/>
  <c r="AO319" i="109"/>
  <c r="AO315" i="109"/>
  <c r="AO314" i="109"/>
  <c r="AO324" i="109"/>
  <c r="AO316" i="109"/>
  <c r="AO313" i="109"/>
  <c r="AO310" i="109"/>
  <c r="AO307" i="109"/>
  <c r="AO320" i="109"/>
  <c r="AO311" i="109"/>
  <c r="AO309" i="109"/>
  <c r="AN346" i="109"/>
  <c r="AN341" i="109"/>
  <c r="AN345" i="109"/>
  <c r="AN354" i="109"/>
  <c r="AN344" i="109"/>
  <c r="AN360" i="109"/>
  <c r="AN357" i="109"/>
  <c r="AO343" i="109" l="1"/>
  <c r="AO358" i="109"/>
  <c r="AO345" i="109"/>
  <c r="AO339" i="109"/>
  <c r="AO353" i="109"/>
  <c r="AO347" i="109"/>
  <c r="AO363" i="109"/>
  <c r="AO362" i="109"/>
  <c r="AO350" i="109"/>
  <c r="AO349" i="109"/>
  <c r="AO340" i="109"/>
  <c r="AO357" i="109"/>
  <c r="AO351" i="109"/>
  <c r="AO352" i="109"/>
  <c r="AO366" i="109"/>
  <c r="AO354" i="109"/>
  <c r="AQ47" i="109"/>
  <c r="AP299" i="109"/>
  <c r="AP295" i="109"/>
  <c r="AP291" i="109"/>
  <c r="AP355" i="109" s="1"/>
  <c r="AP294" i="109"/>
  <c r="AP290" i="109"/>
  <c r="AP286" i="109"/>
  <c r="AP282" i="109"/>
  <c r="AP346" i="109" s="1"/>
  <c r="AP278" i="109"/>
  <c r="AP302" i="109"/>
  <c r="AP301" i="109"/>
  <c r="AP300" i="109"/>
  <c r="AP364" i="109" s="1"/>
  <c r="AP298" i="109"/>
  <c r="AP285" i="109"/>
  <c r="AP281" i="109"/>
  <c r="AP277" i="109"/>
  <c r="AP341" i="109" s="1"/>
  <c r="AP275" i="109"/>
  <c r="AP297" i="109"/>
  <c r="AP289" i="109"/>
  <c r="AP353" i="109" s="1"/>
  <c r="AP284" i="109"/>
  <c r="AP348" i="109" s="1"/>
  <c r="AP283" i="109"/>
  <c r="AP296" i="109"/>
  <c r="AP292" i="109"/>
  <c r="AP288" i="109"/>
  <c r="AP293" i="109"/>
  <c r="AP287" i="109"/>
  <c r="AP276" i="109"/>
  <c r="AP340" i="109" s="1"/>
  <c r="AP280" i="109"/>
  <c r="AP344" i="109" s="1"/>
  <c r="AP279" i="109"/>
  <c r="AQ48" i="109"/>
  <c r="AP333" i="109"/>
  <c r="AP329" i="109"/>
  <c r="AP332" i="109"/>
  <c r="AP328" i="109"/>
  <c r="AP324" i="109"/>
  <c r="AP320" i="109"/>
  <c r="AP316" i="109"/>
  <c r="AP334" i="109"/>
  <c r="AP331" i="109"/>
  <c r="AP327" i="109"/>
  <c r="AP330" i="109"/>
  <c r="AP326" i="109"/>
  <c r="AP325" i="109"/>
  <c r="AP322" i="109"/>
  <c r="AP321" i="109"/>
  <c r="AP318" i="109"/>
  <c r="AP317" i="109"/>
  <c r="AP311" i="109"/>
  <c r="AP307" i="109"/>
  <c r="AP323" i="109"/>
  <c r="AP319" i="109"/>
  <c r="AP315" i="109"/>
  <c r="AP313" i="109"/>
  <c r="AP312" i="109"/>
  <c r="AP310" i="109"/>
  <c r="AP309" i="109"/>
  <c r="AP308" i="109"/>
  <c r="AP314" i="109"/>
  <c r="AO346" i="109"/>
  <c r="AO365" i="109"/>
  <c r="AO344" i="109"/>
  <c r="AO361" i="109"/>
  <c r="AO355" i="109"/>
  <c r="AO356" i="109"/>
  <c r="AO364" i="109"/>
  <c r="AP352" i="109" l="1"/>
  <c r="AP356" i="109"/>
  <c r="AP345" i="109"/>
  <c r="AP365" i="109"/>
  <c r="AP350" i="109"/>
  <c r="AP359" i="109"/>
  <c r="AR48" i="109"/>
  <c r="AQ332" i="109"/>
  <c r="AQ328" i="109"/>
  <c r="AQ334" i="109"/>
  <c r="AQ331" i="109"/>
  <c r="AQ327" i="109"/>
  <c r="AQ323" i="109"/>
  <c r="AQ319" i="109"/>
  <c r="AQ315" i="109"/>
  <c r="AQ330" i="109"/>
  <c r="AQ326" i="109"/>
  <c r="AQ314" i="109"/>
  <c r="AQ310" i="109"/>
  <c r="AQ324" i="109"/>
  <c r="AQ320" i="109"/>
  <c r="AQ316" i="109"/>
  <c r="AQ312" i="109"/>
  <c r="AQ322" i="109"/>
  <c r="AQ307" i="109"/>
  <c r="AQ333" i="109"/>
  <c r="AQ321" i="109"/>
  <c r="AQ311" i="109"/>
  <c r="AQ309" i="109"/>
  <c r="AQ308" i="109"/>
  <c r="AQ318" i="109"/>
  <c r="AQ317" i="109"/>
  <c r="AQ313" i="109"/>
  <c r="AQ329" i="109"/>
  <c r="AQ325" i="109"/>
  <c r="AP351" i="109"/>
  <c r="AP360" i="109"/>
  <c r="AP361" i="109"/>
  <c r="AP349" i="109"/>
  <c r="AP366" i="109"/>
  <c r="AP354" i="109"/>
  <c r="AP363" i="109"/>
  <c r="AP343" i="109"/>
  <c r="AP357" i="109"/>
  <c r="AP347" i="109"/>
  <c r="AP339" i="109"/>
  <c r="AP362" i="109"/>
  <c r="AP342" i="109"/>
  <c r="AP358" i="109"/>
  <c r="AR47" i="109"/>
  <c r="AQ302" i="109"/>
  <c r="AQ366" i="109" s="1"/>
  <c r="AQ298" i="109"/>
  <c r="AQ362" i="109" s="1"/>
  <c r="AQ299" i="109"/>
  <c r="AQ294" i="109"/>
  <c r="AQ358" i="109" s="1"/>
  <c r="AQ290" i="109"/>
  <c r="AQ301" i="109"/>
  <c r="AQ365" i="109" s="1"/>
  <c r="AQ300" i="109"/>
  <c r="AQ297" i="109"/>
  <c r="AQ361" i="109" s="1"/>
  <c r="AQ293" i="109"/>
  <c r="AQ357" i="109" s="1"/>
  <c r="AQ289" i="109"/>
  <c r="AQ353" i="109" s="1"/>
  <c r="AQ285" i="109"/>
  <c r="AQ281" i="109"/>
  <c r="AQ345" i="109" s="1"/>
  <c r="AQ277" i="109"/>
  <c r="AQ341" i="109" s="1"/>
  <c r="AQ296" i="109"/>
  <c r="AQ360" i="109" s="1"/>
  <c r="AQ292" i="109"/>
  <c r="AQ288" i="109"/>
  <c r="AQ352" i="109" s="1"/>
  <c r="AQ280" i="109"/>
  <c r="AQ344" i="109" s="1"/>
  <c r="AQ279" i="109"/>
  <c r="AQ343" i="109" s="1"/>
  <c r="AQ276" i="109"/>
  <c r="AQ286" i="109"/>
  <c r="AQ282" i="109"/>
  <c r="AQ346" i="109" s="1"/>
  <c r="AQ278" i="109"/>
  <c r="AQ342" i="109" s="1"/>
  <c r="AQ283" i="109"/>
  <c r="AQ295" i="109"/>
  <c r="AQ291" i="109"/>
  <c r="AQ355" i="109" s="1"/>
  <c r="AQ287" i="109"/>
  <c r="AQ351" i="109" s="1"/>
  <c r="AQ284" i="109"/>
  <c r="AQ348" i="109" s="1"/>
  <c r="AQ275" i="109"/>
  <c r="AQ339" i="109" s="1"/>
  <c r="AR334" i="109" l="1"/>
  <c r="AR331" i="109"/>
  <c r="AR327" i="109"/>
  <c r="AR330" i="109"/>
  <c r="AR326" i="109"/>
  <c r="AR322" i="109"/>
  <c r="AR318" i="109"/>
  <c r="AR333" i="109"/>
  <c r="AR329" i="109"/>
  <c r="AR323" i="109"/>
  <c r="AR319" i="109"/>
  <c r="AR315" i="109"/>
  <c r="AR313" i="109"/>
  <c r="AR309" i="109"/>
  <c r="AR324" i="109"/>
  <c r="AR320" i="109"/>
  <c r="AR316" i="109"/>
  <c r="AR332" i="109"/>
  <c r="AR328" i="109"/>
  <c r="AR325" i="109"/>
  <c r="AR321" i="109"/>
  <c r="AR317" i="109"/>
  <c r="AR311" i="109"/>
  <c r="AR312" i="109"/>
  <c r="AR308" i="109"/>
  <c r="AR314" i="109"/>
  <c r="AR307" i="109"/>
  <c r="AR310" i="109"/>
  <c r="AQ350" i="109"/>
  <c r="AR301" i="109"/>
  <c r="AR300" i="109"/>
  <c r="AR364" i="109" s="1"/>
  <c r="AR297" i="109"/>
  <c r="AR361" i="109" s="1"/>
  <c r="AR293" i="109"/>
  <c r="AR289" i="109"/>
  <c r="AR353" i="109" s="1"/>
  <c r="AR296" i="109"/>
  <c r="AR360" i="109" s="1"/>
  <c r="AR292" i="109"/>
  <c r="AR356" i="109" s="1"/>
  <c r="AR288" i="109"/>
  <c r="AR284" i="109"/>
  <c r="AR348" i="109" s="1"/>
  <c r="AR280" i="109"/>
  <c r="AR276" i="109"/>
  <c r="AR340" i="109" s="1"/>
  <c r="AR286" i="109"/>
  <c r="AR282" i="109"/>
  <c r="AR346" i="109" s="1"/>
  <c r="AR278" i="109"/>
  <c r="AR275" i="109"/>
  <c r="AR339" i="109" s="1"/>
  <c r="AR302" i="109"/>
  <c r="AR366" i="109" s="1"/>
  <c r="AR295" i="109"/>
  <c r="AR359" i="109" s="1"/>
  <c r="AR291" i="109"/>
  <c r="AR355" i="109" s="1"/>
  <c r="AR287" i="109"/>
  <c r="AR351" i="109" s="1"/>
  <c r="AR283" i="109"/>
  <c r="AR279" i="109"/>
  <c r="AR343" i="109" s="1"/>
  <c r="AR294" i="109"/>
  <c r="AR358" i="109" s="1"/>
  <c r="AR290" i="109"/>
  <c r="AR354" i="109" s="1"/>
  <c r="AR299" i="109"/>
  <c r="AR298" i="109"/>
  <c r="AR285" i="109"/>
  <c r="AR349" i="109" s="1"/>
  <c r="AR281" i="109"/>
  <c r="AR345" i="109" s="1"/>
  <c r="AR277" i="109"/>
  <c r="AQ354" i="109"/>
  <c r="AQ359" i="109"/>
  <c r="AQ347" i="109"/>
  <c r="AQ340" i="109"/>
  <c r="AQ356" i="109"/>
  <c r="AQ349" i="109"/>
  <c r="AQ364" i="109"/>
  <c r="AQ363" i="109"/>
  <c r="AR344" i="109" l="1"/>
  <c r="AR362" i="109"/>
  <c r="AR342" i="109"/>
  <c r="AR365" i="109"/>
  <c r="AR341" i="109"/>
  <c r="AR363" i="109"/>
  <c r="AR347" i="109"/>
  <c r="AR350" i="109"/>
  <c r="AR352" i="109"/>
  <c r="AR357" i="10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Brad</author>
    <author>Brad GRIFFIN</author>
  </authors>
  <commentList>
    <comment ref="A1" authorId="0" shapeId="0" xr:uid="{B8AF5B54-2786-4CDC-AA38-9955A509A761}">
      <text>
        <r>
          <rPr>
            <b/>
            <sz val="9"/>
            <color indexed="81"/>
            <rFont val="Tahoma"/>
            <family val="2"/>
          </rPr>
          <t xml:space="preserve">Colours:
</t>
        </r>
        <r>
          <rPr>
            <sz val="9"/>
            <color indexed="81"/>
            <rFont val="Tahoma"/>
            <family val="2"/>
          </rPr>
          <t xml:space="preserve">Black - data
Red - estimate
Blue - based on proxy fuel
Yellow highlighting - single value datum or hard-coded data from John Nyboer
Green - maintain constant value
</t>
        </r>
      </text>
    </comment>
    <comment ref="C7" authorId="1" shapeId="0" xr:uid="{195387DA-6C81-4331-83E8-3473617AF5DC}">
      <text>
        <r>
          <rPr>
            <b/>
            <sz val="9"/>
            <color indexed="81"/>
            <rFont val="Tahoma"/>
            <family val="2"/>
          </rPr>
          <t>Brad GRIFFIN:</t>
        </r>
        <r>
          <rPr>
            <sz val="9"/>
            <color indexed="81"/>
            <rFont val="Tahoma"/>
            <family val="2"/>
          </rPr>
          <t xml:space="preserve">
http://www.afdc.energy.gov/fuels/fuel_comparison_chart.pdf (2014)</t>
        </r>
      </text>
    </comment>
    <comment ref="C15" authorId="1" shapeId="0" xr:uid="{C5B02CF9-84F5-4465-9B25-EB755376ABAE}">
      <text>
        <r>
          <rPr>
            <b/>
            <sz val="9"/>
            <color indexed="81"/>
            <rFont val="Tahoma"/>
            <family val="2"/>
          </rPr>
          <t>Brad GRIFFIN:</t>
        </r>
        <r>
          <rPr>
            <sz val="9"/>
            <color indexed="81"/>
            <rFont val="Tahoma"/>
            <family val="2"/>
          </rPr>
          <t xml:space="preserve">
http://www.afdc.energy.gov/fuels/fuel_comparison_chart.pdf (2014)</t>
        </r>
      </text>
    </comment>
    <comment ref="I21" authorId="1" shapeId="0" xr:uid="{C89C3EE6-4184-4DBF-A361-C577E21F85BA}">
      <text>
        <r>
          <rPr>
            <b/>
            <sz val="9"/>
            <color indexed="81"/>
            <rFont val="Tahoma"/>
            <family val="2"/>
          </rPr>
          <t>Brad GRIFFIN:</t>
        </r>
        <r>
          <rPr>
            <sz val="9"/>
            <color indexed="81"/>
            <rFont val="Tahoma"/>
            <family val="2"/>
          </rPr>
          <t xml:space="preserve">
Energy content provided by RESD for 1995-2001 is incorrect and too low, therefore use 2002 value.</t>
        </r>
      </text>
    </comment>
    <comment ref="J21" authorId="1" shapeId="0" xr:uid="{A90EAFF1-BDD2-473B-85BB-DC985E7B0DA4}">
      <text>
        <r>
          <rPr>
            <b/>
            <sz val="9"/>
            <color indexed="81"/>
            <rFont val="Tahoma"/>
            <family val="2"/>
          </rPr>
          <t>Brad GRIFFIN:</t>
        </r>
        <r>
          <rPr>
            <sz val="9"/>
            <color indexed="81"/>
            <rFont val="Tahoma"/>
            <family val="2"/>
          </rPr>
          <t xml:space="preserve">
Energy content provided by RESD for 1995-2001 is incorrect and too low, therefore use 2002 value.</t>
        </r>
      </text>
    </comment>
    <comment ref="K21" authorId="1" shapeId="0" xr:uid="{EC73FF97-1592-4508-B5CF-7F41C7364EF6}">
      <text>
        <r>
          <rPr>
            <b/>
            <sz val="9"/>
            <color indexed="81"/>
            <rFont val="Tahoma"/>
            <family val="2"/>
          </rPr>
          <t>Brad GRIFFIN:</t>
        </r>
        <r>
          <rPr>
            <sz val="9"/>
            <color indexed="81"/>
            <rFont val="Tahoma"/>
            <family val="2"/>
          </rPr>
          <t xml:space="preserve">
Energy content provided by RESD for 1995-2001 is incorrect and too low, therefore use 2002 value.</t>
        </r>
      </text>
    </comment>
    <comment ref="L21" authorId="1" shapeId="0" xr:uid="{DBA637D1-F8F8-40E8-9EB5-27919296CCB3}">
      <text>
        <r>
          <rPr>
            <b/>
            <sz val="9"/>
            <color indexed="81"/>
            <rFont val="Tahoma"/>
            <family val="2"/>
          </rPr>
          <t>Brad GRIFFIN:</t>
        </r>
        <r>
          <rPr>
            <sz val="9"/>
            <color indexed="81"/>
            <rFont val="Tahoma"/>
            <family val="2"/>
          </rPr>
          <t xml:space="preserve">
Energy content provided by RESD for 1995-2001 is incorrect and too low, therefore use 2002 value.</t>
        </r>
      </text>
    </comment>
    <comment ref="M21" authorId="1" shapeId="0" xr:uid="{7241C331-CF7B-4102-B451-7FCF4D689679}">
      <text>
        <r>
          <rPr>
            <b/>
            <sz val="9"/>
            <color indexed="81"/>
            <rFont val="Tahoma"/>
            <family val="2"/>
          </rPr>
          <t>Brad GRIFFIN:</t>
        </r>
        <r>
          <rPr>
            <sz val="9"/>
            <color indexed="81"/>
            <rFont val="Tahoma"/>
            <family val="2"/>
          </rPr>
          <t xml:space="preserve">
Energy content provided by RESD for 1995-2001 is incorrect and too low, therefore use 2002 value.</t>
        </r>
      </text>
    </comment>
    <comment ref="N21" authorId="1" shapeId="0" xr:uid="{398BACA1-16EE-448F-9487-E0BB2AA06652}">
      <text>
        <r>
          <rPr>
            <b/>
            <sz val="9"/>
            <color indexed="81"/>
            <rFont val="Tahoma"/>
            <family val="2"/>
          </rPr>
          <t>Brad GRIFFIN:</t>
        </r>
        <r>
          <rPr>
            <sz val="9"/>
            <color indexed="81"/>
            <rFont val="Tahoma"/>
            <family val="2"/>
          </rPr>
          <t xml:space="preserve">
Energy content provided by RESD for 1995-2001 is incorrect and too low, therefore use 2002 value.</t>
        </r>
      </text>
    </comment>
    <comment ref="O21" authorId="1" shapeId="0" xr:uid="{4089302E-AF6C-475E-A09D-A23750270911}">
      <text>
        <r>
          <rPr>
            <b/>
            <sz val="9"/>
            <color indexed="81"/>
            <rFont val="Tahoma"/>
            <family val="2"/>
          </rPr>
          <t>Brad GRIFFIN:</t>
        </r>
        <r>
          <rPr>
            <sz val="9"/>
            <color indexed="81"/>
            <rFont val="Tahoma"/>
            <family val="2"/>
          </rPr>
          <t xml:space="preserve">
Energy content provided by RESD for 1995-2001 is incorrect and too low, therefore use 2002 value.</t>
        </r>
      </text>
    </comment>
    <comment ref="C30" authorId="1" shapeId="0" xr:uid="{D678B722-6CC2-4052-ADEC-1DE4683DC898}">
      <text>
        <r>
          <rPr>
            <b/>
            <sz val="9"/>
            <color indexed="81"/>
            <rFont val="Tahoma"/>
            <family val="2"/>
          </rPr>
          <t>Brad GRIFFIN:</t>
        </r>
        <r>
          <rPr>
            <sz val="9"/>
            <color indexed="81"/>
            <rFont val="Tahoma"/>
            <family val="2"/>
          </rPr>
          <t xml:space="preserve">
Table 6.1</t>
        </r>
      </text>
    </comment>
    <comment ref="C57" authorId="1" shapeId="0" xr:uid="{4C15D189-B953-4E74-9291-078619FE6C20}">
      <text>
        <r>
          <rPr>
            <b/>
            <sz val="9"/>
            <color indexed="81"/>
            <rFont val="Tahoma"/>
            <family val="2"/>
          </rPr>
          <t>Brad GRIFFIN:</t>
        </r>
        <r>
          <rPr>
            <sz val="9"/>
            <color indexed="81"/>
            <rFont val="Tahoma"/>
            <family val="2"/>
          </rPr>
          <t xml:space="preserve">
Use bituminous, but could weight for bituminous, sub, and lignite</t>
        </r>
      </text>
    </comment>
    <comment ref="C71" authorId="1" shapeId="0" xr:uid="{D6E9EAF3-BA80-4224-9C8C-FE98DE6F3F8E}">
      <text>
        <r>
          <rPr>
            <b/>
            <sz val="9"/>
            <color indexed="81"/>
            <rFont val="Tahoma"/>
            <family val="2"/>
          </rPr>
          <t>Brad GRIFFIN:</t>
        </r>
        <r>
          <rPr>
            <sz val="9"/>
            <color indexed="81"/>
            <rFont val="Tahoma"/>
            <family val="2"/>
          </rPr>
          <t xml:space="preserve">
Weighted average calculated on NIR_A6-1</t>
        </r>
      </text>
    </comment>
    <comment ref="A75" authorId="1" shapeId="0" xr:uid="{98F4A96F-303C-414E-AF0C-5473C6589A08}">
      <text>
        <r>
          <rPr>
            <b/>
            <sz val="9"/>
            <color indexed="81"/>
            <rFont val="Tahoma"/>
            <family val="2"/>
          </rPr>
          <t>Brad GRIFFIN:</t>
        </r>
        <r>
          <rPr>
            <sz val="9"/>
            <color indexed="81"/>
            <rFont val="Tahoma"/>
            <family val="2"/>
          </rPr>
          <t xml:space="preserve">
Biomass considered to be CO2 neutral</t>
        </r>
      </text>
    </comment>
    <comment ref="C75" authorId="1" shapeId="0" xr:uid="{79838C70-B1B6-4AF0-B5BA-BBE7A166FECA}">
      <text>
        <r>
          <rPr>
            <b/>
            <sz val="9"/>
            <color indexed="81"/>
            <rFont val="Tahoma"/>
            <family val="2"/>
          </rPr>
          <t>Brad GRIFFIN:</t>
        </r>
        <r>
          <rPr>
            <sz val="9"/>
            <color indexed="81"/>
            <rFont val="Tahoma"/>
            <family val="2"/>
          </rPr>
          <t xml:space="preserve">
See Defintions sheet for re-calculation to 10% moisture content</t>
        </r>
      </text>
    </comment>
    <comment ref="A79" authorId="0" shapeId="0" xr:uid="{45E7EBD4-11EA-4301-8FAF-AD77283E1C5C}">
      <text>
        <r>
          <rPr>
            <b/>
            <sz val="9"/>
            <color indexed="81"/>
            <rFont val="Tahoma"/>
            <family val="2"/>
          </rPr>
          <t>Cement</t>
        </r>
      </text>
    </comment>
    <comment ref="A80" authorId="1" shapeId="0" xr:uid="{52285D07-AF0A-4A1D-BAC3-5BF51E9D746B}">
      <text>
        <r>
          <rPr>
            <b/>
            <sz val="9"/>
            <color indexed="81"/>
            <rFont val="Tahoma"/>
            <family val="2"/>
          </rPr>
          <t>Brad GRIFFIN:</t>
        </r>
        <r>
          <rPr>
            <sz val="9"/>
            <color indexed="81"/>
            <rFont val="Tahoma"/>
            <family val="2"/>
          </rPr>
          <t xml:space="preserve">
Biomass considered to be CO2 neutral</t>
        </r>
      </text>
    </comment>
    <comment ref="C80" authorId="1" shapeId="0" xr:uid="{90047A12-0336-40F8-BCB9-25D502801901}">
      <text>
        <r>
          <rPr>
            <b/>
            <sz val="9"/>
            <color indexed="81"/>
            <rFont val="Tahoma"/>
            <family val="2"/>
          </rPr>
          <t>Brad GRIFFIN:</t>
        </r>
        <r>
          <rPr>
            <sz val="9"/>
            <color indexed="81"/>
            <rFont val="Tahoma"/>
            <family val="2"/>
          </rPr>
          <t xml:space="preserve">
See Defintions sheet for re-calculation to 10% moisture content</t>
        </r>
      </text>
    </comment>
    <comment ref="C82" authorId="1" shapeId="0" xr:uid="{66C349D9-7968-4089-B2DE-8A1226A0C48F}">
      <text>
        <r>
          <rPr>
            <b/>
            <sz val="9"/>
            <color indexed="81"/>
            <rFont val="Tahoma"/>
            <family val="2"/>
          </rPr>
          <t>Brad GRIFFIN:</t>
        </r>
        <r>
          <rPr>
            <sz val="9"/>
            <color indexed="81"/>
            <rFont val="Tahoma"/>
            <family val="2"/>
          </rPr>
          <t xml:space="preserve">
Table 2(I)s1 &amp; 2(I).A-Hs1
Cement Association of Canada (2014): emission factor and ranges between 522.0 and 532.7 g CO2/ kg clinker. This EF is multiplied by the CKD correction factor, 1.013, to account for clinker that is lost or removed from the process. Excluding the correction factor, the 2013 EF is 527 g CO2/kg clinker.
NIR, Table A6-13 has factor of 0.532</t>
        </r>
      </text>
    </comment>
    <comment ref="C83" authorId="1" shapeId="0" xr:uid="{BEB09054-FF94-4211-82C6-1102760D7DA3}">
      <text>
        <r>
          <rPr>
            <b/>
            <sz val="9"/>
            <color indexed="81"/>
            <rFont val="Tahoma"/>
            <family val="2"/>
          </rPr>
          <t>Brad GRIFFIN:</t>
        </r>
        <r>
          <rPr>
            <sz val="9"/>
            <color indexed="81"/>
            <rFont val="Tahoma"/>
            <family val="2"/>
          </rPr>
          <t xml:space="preserve">
Table 2(I)s1 &amp; 2(I).A-Hs1
NIR, Table A6-13 lists 0.751 for high calcium lime</t>
        </r>
      </text>
    </comment>
    <comment ref="C84" authorId="1" shapeId="0" xr:uid="{3CDECA59-BA46-458D-BE74-C2AD24BE4C6B}">
      <text>
        <r>
          <rPr>
            <b/>
            <sz val="9"/>
            <color indexed="81"/>
            <rFont val="Tahoma"/>
            <family val="2"/>
          </rPr>
          <t>Brad GRIFFIN:</t>
        </r>
        <r>
          <rPr>
            <sz val="9"/>
            <color indexed="81"/>
            <rFont val="Tahoma"/>
            <family val="2"/>
          </rPr>
          <t xml:space="preserve">
Table 2(I)s1 &amp; 2(I).A-Hs1</t>
        </r>
      </text>
    </comment>
    <comment ref="C85" authorId="1" shapeId="0" xr:uid="{8948B8C4-E8BA-40C4-944B-38372F522596}">
      <text>
        <r>
          <rPr>
            <b/>
            <sz val="9"/>
            <color indexed="81"/>
            <rFont val="Tahoma"/>
            <family val="2"/>
          </rPr>
          <t>Brad GRIFFIN:</t>
        </r>
        <r>
          <rPr>
            <sz val="9"/>
            <color indexed="81"/>
            <rFont val="Tahoma"/>
            <family val="2"/>
          </rPr>
          <t xml:space="preserve">
Table 2(I)s1 &amp; 2(I).A-Hs1</t>
        </r>
      </text>
    </comment>
    <comment ref="C89" authorId="1" shapeId="0" xr:uid="{BA74E2FE-2E48-4315-BE42-74F8232CB45E}">
      <text>
        <r>
          <rPr>
            <b/>
            <sz val="9"/>
            <color indexed="81"/>
            <rFont val="Tahoma"/>
            <family val="2"/>
          </rPr>
          <t>Brad GRIFFIN:</t>
        </r>
        <r>
          <rPr>
            <sz val="9"/>
            <color indexed="81"/>
            <rFont val="Tahoma"/>
            <family val="2"/>
          </rPr>
          <t xml:space="preserve">
Weighted average calculated on NIR_A6-1</t>
        </r>
      </text>
    </comment>
    <comment ref="C90" authorId="0" shapeId="0" xr:uid="{890C09DA-BED3-49D9-904B-2639C412EF29}">
      <text>
        <r>
          <rPr>
            <b/>
            <sz val="9"/>
            <color indexed="81"/>
            <rFont val="Tahoma"/>
            <family val="2"/>
          </rPr>
          <t xml:space="preserve">Brad GRIFFIN
</t>
        </r>
        <r>
          <rPr>
            <sz val="9"/>
            <color indexed="81"/>
            <rFont val="Tahoma"/>
            <family val="2"/>
          </rPr>
          <t>Table1.A(b)</t>
        </r>
      </text>
    </comment>
    <comment ref="C91" authorId="0" shapeId="0" xr:uid="{CE9A95A2-F49B-471A-93EE-1292100A0886}">
      <text>
        <r>
          <rPr>
            <b/>
            <sz val="9"/>
            <color indexed="81"/>
            <rFont val="Tahoma"/>
            <family val="2"/>
          </rPr>
          <t xml:space="preserve">Brad GRIFFIN
</t>
        </r>
        <r>
          <rPr>
            <sz val="9"/>
            <color indexed="81"/>
            <rFont val="Tahoma"/>
            <family val="2"/>
          </rPr>
          <t>Table1.A(b)</t>
        </r>
      </text>
    </comment>
    <comment ref="C117" authorId="1" shapeId="0" xr:uid="{B23F09BA-FAD7-47A3-B3CE-C5877E0A3187}">
      <text>
        <r>
          <rPr>
            <b/>
            <sz val="9"/>
            <color indexed="81"/>
            <rFont val="Tahoma"/>
            <family val="2"/>
          </rPr>
          <t>Brad GRIFFIN:</t>
        </r>
        <r>
          <rPr>
            <sz val="9"/>
            <color indexed="81"/>
            <rFont val="Tahoma"/>
            <family val="2"/>
          </rPr>
          <t xml:space="preserve">
See Defintions sheet for re-calculation to 10% moisture content</t>
        </r>
      </text>
    </comment>
    <comment ref="A121" authorId="0" shapeId="0" xr:uid="{551CE389-858E-44F6-A3D3-F95E09876198}">
      <text>
        <r>
          <rPr>
            <b/>
            <sz val="9"/>
            <color indexed="81"/>
            <rFont val="Tahoma"/>
            <family val="2"/>
          </rPr>
          <t>Cement</t>
        </r>
      </text>
    </comment>
    <comment ref="C122" authorId="1" shapeId="0" xr:uid="{46B8EFE6-596F-49E9-B276-F98CE96DACF5}">
      <text>
        <r>
          <rPr>
            <b/>
            <sz val="9"/>
            <color indexed="81"/>
            <rFont val="Tahoma"/>
            <family val="2"/>
          </rPr>
          <t>Brad GRIFFIN:</t>
        </r>
        <r>
          <rPr>
            <sz val="9"/>
            <color indexed="81"/>
            <rFont val="Tahoma"/>
            <family val="2"/>
          </rPr>
          <t xml:space="preserve">
See Defintions sheet for re-calculation to 10% moisture content</t>
        </r>
      </text>
    </comment>
    <comment ref="C149" authorId="1" shapeId="0" xr:uid="{CF219855-D88B-4B59-BF7C-64D6EC62EA73}">
      <text>
        <r>
          <rPr>
            <b/>
            <sz val="9"/>
            <color indexed="81"/>
            <rFont val="Tahoma"/>
            <family val="2"/>
          </rPr>
          <t>Brad GRIFFIN:</t>
        </r>
        <r>
          <rPr>
            <sz val="9"/>
            <color indexed="81"/>
            <rFont val="Tahoma"/>
            <family val="2"/>
          </rPr>
          <t xml:space="preserve">
See Defintions sheet for re-calculation to 10% moisture content</t>
        </r>
      </text>
    </comment>
    <comment ref="A153" authorId="0" shapeId="0" xr:uid="{87E1E8B1-414B-4570-BBCE-149B2ECFD10E}">
      <text>
        <r>
          <rPr>
            <b/>
            <sz val="9"/>
            <color indexed="81"/>
            <rFont val="Tahoma"/>
            <family val="2"/>
          </rPr>
          <t>Cement</t>
        </r>
      </text>
    </comment>
    <comment ref="C154" authorId="1" shapeId="0" xr:uid="{6BA6A56E-5837-4AA1-8B6C-753F41B0DEA3}">
      <text>
        <r>
          <rPr>
            <b/>
            <sz val="9"/>
            <color indexed="81"/>
            <rFont val="Tahoma"/>
            <family val="2"/>
          </rPr>
          <t>Brad GRIFFIN:</t>
        </r>
        <r>
          <rPr>
            <sz val="9"/>
            <color indexed="81"/>
            <rFont val="Tahoma"/>
            <family val="2"/>
          </rPr>
          <t xml:space="preserve">
See Defintions sheet for re-calculation to 10% moisture content</t>
        </r>
      </text>
    </comment>
    <comment ref="C156" authorId="1" shapeId="0" xr:uid="{DB5939B4-6D7B-48BF-8FD4-AC617D55340A}">
      <text>
        <r>
          <rPr>
            <b/>
            <sz val="9"/>
            <color indexed="81"/>
            <rFont val="Tahoma"/>
            <family val="2"/>
          </rPr>
          <t>Brad GRIFFIN:</t>
        </r>
        <r>
          <rPr>
            <sz val="9"/>
            <color indexed="81"/>
            <rFont val="Tahoma"/>
            <family val="2"/>
          </rPr>
          <t xml:space="preserve">
Not used on Import since actually just a 0/1 switch</t>
        </r>
      </text>
    </comment>
    <comment ref="C157" authorId="1" shapeId="0" xr:uid="{5B6CED47-9FB3-4A7D-9B2B-6D9357F076DA}">
      <text>
        <r>
          <rPr>
            <b/>
            <sz val="9"/>
            <color indexed="81"/>
            <rFont val="Tahoma"/>
            <family val="2"/>
          </rPr>
          <t>Brad GRIFFIN:</t>
        </r>
        <r>
          <rPr>
            <sz val="9"/>
            <color indexed="81"/>
            <rFont val="Tahoma"/>
            <family val="2"/>
          </rPr>
          <t xml:space="preserve">
Not used on Import since actually just a 0/1 switch</t>
        </r>
      </text>
    </comment>
    <comment ref="A190" authorId="1" shapeId="0" xr:uid="{71AE4245-35B9-4DB1-9A28-312F8A423ED7}">
      <text>
        <r>
          <rPr>
            <b/>
            <sz val="9"/>
            <color indexed="81"/>
            <rFont val="Tahoma"/>
            <family val="2"/>
          </rPr>
          <t>Brad GRIFFIN:</t>
        </r>
        <r>
          <rPr>
            <sz val="9"/>
            <color indexed="81"/>
            <rFont val="Tahoma"/>
            <family val="2"/>
          </rPr>
          <t xml:space="preserve">
Biomass considered to be CO2 neutral</t>
        </r>
      </text>
    </comment>
    <comment ref="A194" authorId="0" shapeId="0" xr:uid="{327EE47E-38C5-43F1-A9F3-D19ABC2CA786}">
      <text>
        <r>
          <rPr>
            <b/>
            <sz val="9"/>
            <color indexed="81"/>
            <rFont val="Tahoma"/>
            <family val="2"/>
          </rPr>
          <t>Cement</t>
        </r>
      </text>
    </comment>
    <comment ref="A195" authorId="1" shapeId="0" xr:uid="{3AC74AD4-5E80-400A-861A-DA9EB022EE28}">
      <text>
        <r>
          <rPr>
            <b/>
            <sz val="9"/>
            <color indexed="81"/>
            <rFont val="Tahoma"/>
            <family val="2"/>
          </rPr>
          <t>Brad GRIFFIN:</t>
        </r>
        <r>
          <rPr>
            <sz val="9"/>
            <color indexed="81"/>
            <rFont val="Tahoma"/>
            <family val="2"/>
          </rPr>
          <t xml:space="preserve">
Biomass considered to be CO2 neutral</t>
        </r>
      </text>
    </comment>
    <comment ref="C197" authorId="1" shapeId="0" xr:uid="{5D40BE88-3FF4-404F-BDA7-A0AB4B2E0BE4}">
      <text>
        <r>
          <rPr>
            <b/>
            <sz val="9"/>
            <color indexed="81"/>
            <rFont val="Tahoma"/>
            <family val="2"/>
          </rPr>
          <t>Brad GRIFFIN:</t>
        </r>
        <r>
          <rPr>
            <sz val="9"/>
            <color indexed="81"/>
            <rFont val="Tahoma"/>
            <family val="2"/>
          </rPr>
          <t xml:space="preserve">
Table 2(I)s1 &amp; 2(I).A-Hs1</t>
        </r>
      </text>
    </comment>
    <comment ref="A237" authorId="0" shapeId="0" xr:uid="{D1FC7448-1C34-4324-883F-60C0054532BE}">
      <text>
        <r>
          <rPr>
            <b/>
            <sz val="9"/>
            <color indexed="81"/>
            <rFont val="Tahoma"/>
            <family val="2"/>
          </rPr>
          <t>Cement</t>
        </r>
      </text>
    </comment>
    <comment ref="A269" authorId="0" shapeId="0" xr:uid="{ED111E4C-7C80-46DC-A565-2FE6D622E7CE}">
      <text>
        <r>
          <rPr>
            <b/>
            <sz val="9"/>
            <color indexed="81"/>
            <rFont val="Tahoma"/>
            <family val="2"/>
          </rPr>
          <t>Cement</t>
        </r>
      </text>
    </comment>
    <comment ref="A301" authorId="0" shapeId="0" xr:uid="{9686EAE0-F44A-411E-8D9F-C9E193F5FB7B}">
      <text>
        <r>
          <rPr>
            <b/>
            <sz val="9"/>
            <color indexed="81"/>
            <rFont val="Tahoma"/>
            <family val="2"/>
          </rPr>
          <t>Cement</t>
        </r>
      </text>
    </comment>
    <comment ref="A333" authorId="0" shapeId="0" xr:uid="{E9140639-728C-4A36-8ECF-3148E61D9776}">
      <text>
        <r>
          <rPr>
            <b/>
            <sz val="9"/>
            <color indexed="81"/>
            <rFont val="Tahoma"/>
            <family val="2"/>
          </rPr>
          <t>Cement</t>
        </r>
      </text>
    </comment>
    <comment ref="A365" authorId="0" shapeId="0" xr:uid="{83CA655B-F302-4133-8547-69E52EF49B15}">
      <text>
        <r>
          <rPr>
            <b/>
            <sz val="9"/>
            <color indexed="81"/>
            <rFont val="Tahoma"/>
            <family val="2"/>
          </rPr>
          <t>Cement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Brad GRIFFIN</author>
    <author>Griffin</author>
  </authors>
  <commentList>
    <comment ref="G2" authorId="0" shapeId="0" xr:uid="{25FBCEDE-6DA1-442A-912A-00B73902CFE8}">
      <text>
        <r>
          <rPr>
            <sz val="9"/>
            <color indexed="81"/>
            <rFont val="Tahoma"/>
            <family val="2"/>
          </rPr>
          <t>We can provide activity amounts (e.g. population or number of houses per person) for all years and prices (for all fuels and services) in the first year of simulation.</t>
        </r>
      </text>
    </comment>
    <comment ref="B101" authorId="0" shapeId="0" xr:uid="{8DE60240-3EC0-46B7-92AF-4049F8E94811}">
      <text>
        <r>
          <rPr>
            <sz val="9"/>
            <color indexed="81"/>
            <rFont val="Tahoma"/>
            <family val="2"/>
          </rPr>
          <t>End use demanded for each technology per unit of demand (in this case, GJ of heating per m2 of floorspace for each shell type (e.g. Pre-1960)</t>
        </r>
      </text>
    </comment>
    <comment ref="E256" authorId="0" shapeId="0" xr:uid="{F58A9F1C-7777-4B94-BE08-70D3F2DF3A35}">
      <text>
        <r>
          <rPr>
            <sz val="9"/>
            <color indexed="81"/>
            <rFont val="Tahoma"/>
            <family val="2"/>
          </rPr>
          <t>This is the inverse of efficiency (GJ of energy provided per GJ of fuel used).</t>
        </r>
      </text>
    </comment>
    <comment ref="E286" authorId="0" shapeId="0" xr:uid="{2502057E-AF89-4FC2-BD4A-055DFBA32EE6}">
      <text>
        <r>
          <rPr>
            <sz val="9"/>
            <color indexed="81"/>
            <rFont val="Tahoma"/>
            <family val="2"/>
          </rPr>
          <t>This is the inverse of efficiency (GJ of energy provided per GJ of fuel used).</t>
        </r>
      </text>
    </comment>
    <comment ref="D322" authorId="0" shapeId="0" xr:uid="{4E3D5B53-F182-43B9-A862-729769134E4F}">
      <text>
        <r>
          <rPr>
            <sz val="9"/>
            <color indexed="81"/>
            <rFont val="Tahoma"/>
            <family val="2"/>
          </rPr>
          <t>Note this is Canada, not Alberta for this fuel/price.
Need some way to actually allocate fuel at this point so that we can calculate GHG emissions later.</t>
        </r>
      </text>
    </comment>
    <comment ref="E322" authorId="0" shapeId="0" xr:uid="{9996127C-DCC6-40B1-90D9-23EE20C462CE}">
      <text>
        <r>
          <rPr>
            <sz val="9"/>
            <color indexed="81"/>
            <rFont val="Tahoma"/>
            <family val="2"/>
          </rPr>
          <t>This is the inverse of efficiency (GJ of energy provided per GJ of fuel used).</t>
        </r>
      </text>
    </comment>
    <comment ref="E352" authorId="0" shapeId="0" xr:uid="{E2AA9462-E268-4C7C-ACEF-E6864081B1B3}">
      <text>
        <r>
          <rPr>
            <sz val="9"/>
            <color indexed="81"/>
            <rFont val="Tahoma"/>
            <family val="2"/>
          </rPr>
          <t>This is the inverse of efficiency (GJ of energy provided per GJ of fuel used).</t>
        </r>
      </text>
    </comment>
    <comment ref="E382" authorId="0" shapeId="0" xr:uid="{C206B4D1-F752-4BA9-8151-486B1E044298}">
      <text>
        <r>
          <rPr>
            <sz val="9"/>
            <color indexed="81"/>
            <rFont val="Tahoma"/>
            <family val="2"/>
          </rPr>
          <t>This is the inverse of efficiency (GJ of energy provided per GJ of fuel used).</t>
        </r>
      </text>
    </comment>
    <comment ref="D412" authorId="0" shapeId="0" xr:uid="{B4D26A65-775A-4808-8B1D-E525B25033D7}">
      <text>
        <r>
          <rPr>
            <sz val="9"/>
            <color indexed="81"/>
            <rFont val="Tahoma"/>
            <family val="2"/>
          </rPr>
          <t>Note this is Canada, not Alberta for this fuel/price.
Need some way to actually allocate fuel at this point so that we can calculate GHG emissions later.</t>
        </r>
      </text>
    </comment>
    <comment ref="E412" authorId="0" shapeId="0" xr:uid="{5A730B19-08C0-4380-8B50-836FAA0B3BD6}">
      <text>
        <r>
          <rPr>
            <sz val="9"/>
            <color indexed="81"/>
            <rFont val="Tahoma"/>
            <family val="2"/>
          </rPr>
          <t>This is the inverse of efficiency (GJ of energy provided per GJ of fuel used).</t>
        </r>
      </text>
    </comment>
    <comment ref="E447" authorId="0" shapeId="0" xr:uid="{E3EB25C6-51BA-47A7-9EB3-1462BB627EC7}">
      <text>
        <r>
          <rPr>
            <sz val="9"/>
            <color indexed="81"/>
            <rFont val="Tahoma"/>
            <family val="2"/>
          </rPr>
          <t>This is the inverse of efficiency (GJ of energy provided per GJ of fuel used).</t>
        </r>
      </text>
    </comment>
    <comment ref="E477" authorId="0" shapeId="0" xr:uid="{546C475A-D87B-4CE5-A044-E53E9755DBF4}">
      <text>
        <r>
          <rPr>
            <sz val="9"/>
            <color indexed="81"/>
            <rFont val="Tahoma"/>
            <family val="2"/>
          </rPr>
          <t>This is the inverse of efficiency (GJ of energy provided per GJ of fuel used).</t>
        </r>
      </text>
    </comment>
    <comment ref="E507" authorId="0" shapeId="0" xr:uid="{53BF92D7-1B52-4E7C-961E-7747FC4C7511}">
      <text>
        <r>
          <rPr>
            <sz val="9"/>
            <color indexed="81"/>
            <rFont val="Tahoma"/>
            <family val="2"/>
          </rPr>
          <t>This is the inverse of efficiency (GJ of energy provided per GJ of fuel used).</t>
        </r>
      </text>
    </comment>
    <comment ref="E537" authorId="0" shapeId="0" xr:uid="{5DC67F07-A58C-4DDD-B83B-50FBE0640D6D}">
      <text>
        <r>
          <rPr>
            <sz val="9"/>
            <color indexed="81"/>
            <rFont val="Tahoma"/>
            <family val="2"/>
          </rPr>
          <t>This is the inverse of efficiency (GJ of energy provided per GJ of fuel used).</t>
        </r>
      </text>
    </comment>
    <comment ref="E567" authorId="0" shapeId="0" xr:uid="{077CB35D-F8C2-42D3-AE11-58FCAF78905E}">
      <text>
        <r>
          <rPr>
            <sz val="9"/>
            <color indexed="81"/>
            <rFont val="Tahoma"/>
            <family val="2"/>
          </rPr>
          <t>This is the inverse of efficiency (GJ of energy provided per GJ of fuel used).</t>
        </r>
      </text>
    </comment>
    <comment ref="E597" authorId="0" shapeId="0" xr:uid="{E2F42A70-13CD-4743-9D9D-FD6F4E7CBC73}">
      <text>
        <r>
          <rPr>
            <sz val="9"/>
            <color indexed="81"/>
            <rFont val="Tahoma"/>
            <family val="2"/>
          </rPr>
          <t>This is the inverse of efficiency (GJ of energy provided per GJ of fuel used).</t>
        </r>
      </text>
    </comment>
    <comment ref="E627" authorId="0" shapeId="0" xr:uid="{F62473FA-3D0D-422C-8025-5F681E89AB88}">
      <text>
        <r>
          <rPr>
            <sz val="9"/>
            <color indexed="81"/>
            <rFont val="Tahoma"/>
            <family val="2"/>
          </rPr>
          <t>This is the inverse of efficiency (GJ of energy provided per GJ of fuel used).</t>
        </r>
      </text>
    </comment>
    <comment ref="E657" authorId="0" shapeId="0" xr:uid="{B69CA5C9-8F0B-4873-AC94-62C5135EAAAE}">
      <text>
        <r>
          <rPr>
            <sz val="9"/>
            <color indexed="81"/>
            <rFont val="Tahoma"/>
            <family val="2"/>
          </rPr>
          <t>This is the inverse of efficiency (GJ of energy provided per GJ of fuel used).</t>
        </r>
      </text>
    </comment>
    <comment ref="B840" authorId="0" shapeId="0" xr:uid="{B395B48D-F7AA-4743-80FD-EC1E297EDBDF}">
      <text>
        <r>
          <rPr>
            <sz val="9"/>
            <color indexed="81"/>
            <rFont val="Tahoma"/>
            <family val="2"/>
          </rPr>
          <t>These GHGs should be able to be summed when fuel is assigned to demand nodes.
For example, XX GJ of natural gas demanded times 0.051 tCO2/GJ</t>
        </r>
      </text>
    </comment>
    <comment ref="B841" authorId="0" shapeId="0" xr:uid="{472A60A6-5EA4-4045-BF1D-8018AA17E7E7}">
      <text>
        <r>
          <rPr>
            <sz val="9"/>
            <color indexed="81"/>
            <rFont val="Tahoma"/>
            <family val="2"/>
          </rPr>
          <t>These GHGs should be able to be summed when fuel is assigned to demand nodes.
For example, XX GJ of natural gas demanded times 0.051 tCO2/GJ</t>
        </r>
      </text>
    </comment>
    <comment ref="B842" authorId="0" shapeId="0" xr:uid="{F1CBC3BA-6037-42FB-8C0F-5DFC1643B7F4}">
      <text>
        <r>
          <rPr>
            <sz val="9"/>
            <color indexed="81"/>
            <rFont val="Tahoma"/>
            <family val="2"/>
          </rPr>
          <t>These GHGs should be able to be summed when fuel is assigned to demand nodes.
For example, XX GJ of natural gas demanded times 0.051 tCO2/GJ</t>
        </r>
      </text>
    </comment>
    <comment ref="G848" authorId="0" shapeId="0" xr:uid="{130E1608-5E31-4C49-A46C-152951B96C5F}">
      <text>
        <r>
          <rPr>
            <sz val="9"/>
            <color indexed="81"/>
            <rFont val="Tahoma"/>
            <family val="2"/>
          </rPr>
          <t>Should be enough to satisfy demand in 2000
(see example calcs 2000)</t>
        </r>
      </text>
    </comment>
    <comment ref="E885" authorId="0" shapeId="0" xr:uid="{F0FC9657-31BB-4C67-BD42-1BA80DF97F01}">
      <text>
        <r>
          <rPr>
            <sz val="9"/>
            <color indexed="81"/>
            <rFont val="Tahoma"/>
            <family val="2"/>
          </rPr>
          <t>This ratio is to pass along the GJ requirement (i.e. we want 1 GJ of heating, so require 1 GJ of furnace heating)</t>
        </r>
      </text>
    </comment>
    <comment ref="E914" authorId="0" shapeId="0" xr:uid="{938ADEE3-EA17-458A-B282-8416378F94B2}">
      <text>
        <r>
          <rPr>
            <sz val="9"/>
            <color indexed="81"/>
            <rFont val="Tahoma"/>
            <family val="2"/>
          </rPr>
          <t>This ratio is to pass along the GJ requirement (i.e. we want 1 GJ of heating, so require 1 GJ of furnace heating)</t>
        </r>
      </text>
    </comment>
    <comment ref="D950" authorId="0" shapeId="0" xr:uid="{FBFA743D-F073-47BB-8D5A-E99FF3E3AC0D}">
      <text>
        <r>
          <rPr>
            <sz val="9"/>
            <color indexed="81"/>
            <rFont val="Tahoma"/>
            <family val="2"/>
          </rPr>
          <t>Note this is Canada, not Alberta for this fuel/price.
Need some way to actually allocate fuel at this point so that we can calculate GHG emissions later.</t>
        </r>
      </text>
    </comment>
    <comment ref="E950" authorId="0" shapeId="0" xr:uid="{0EAE35AC-D08E-4E47-A84E-04501A445AA5}">
      <text>
        <r>
          <rPr>
            <sz val="9"/>
            <color indexed="81"/>
            <rFont val="Tahoma"/>
            <family val="2"/>
          </rPr>
          <t>This is the inverse of efficiency (GJ of energy provided per GJ of fuel used).</t>
        </r>
      </text>
    </comment>
    <comment ref="D951" authorId="0" shapeId="0" xr:uid="{5EEFA313-F7DE-4986-84E5-8BB24BDFAF9B}">
      <text>
        <r>
          <rPr>
            <sz val="9"/>
            <color indexed="81"/>
            <rFont val="Tahoma"/>
            <family val="2"/>
          </rPr>
          <t>Note this is Canada, not Alberta for this fuel/price.
Need some way to actually allocate fuel at this point so that we can calculate GHG emissions later.</t>
        </r>
      </text>
    </comment>
    <comment ref="E951" authorId="0" shapeId="0" xr:uid="{E701540A-F06F-4198-B053-E4059C5262E1}">
      <text>
        <r>
          <rPr>
            <sz val="9"/>
            <color indexed="81"/>
            <rFont val="Tahoma"/>
            <family val="2"/>
          </rPr>
          <t>This is the inverse of efficiency (GJ of energy provided per GJ of fuel used).</t>
        </r>
      </text>
    </comment>
    <comment ref="D981" authorId="0" shapeId="0" xr:uid="{293047D6-2BEE-474C-8507-8800440ADA55}">
      <text>
        <r>
          <rPr>
            <sz val="9"/>
            <color indexed="81"/>
            <rFont val="Tahoma"/>
            <family val="2"/>
          </rPr>
          <t>Note this is Canada, not Alberta for this fuel/price.
Need some way to actually allocate fuel at this point so that we can calculate GHG emissions later.</t>
        </r>
      </text>
    </comment>
    <comment ref="E981" authorId="0" shapeId="0" xr:uid="{E019397D-EAF7-4AF3-995A-F5158574A8C0}">
      <text>
        <r>
          <rPr>
            <sz val="9"/>
            <color indexed="81"/>
            <rFont val="Tahoma"/>
            <family val="2"/>
          </rPr>
          <t>This is the inverse of efficiency (GJ of energy provided per GJ of fuel used).</t>
        </r>
      </text>
    </comment>
    <comment ref="D982" authorId="0" shapeId="0" xr:uid="{8E60FFB1-1570-4391-A613-05C553A0CAD5}">
      <text>
        <r>
          <rPr>
            <sz val="9"/>
            <color indexed="81"/>
            <rFont val="Tahoma"/>
            <family val="2"/>
          </rPr>
          <t>Note this is Canada, not Alberta for this fuel/price.
Need some way to actually allocate fuel at this point so that we can calculate GHG emissions later.</t>
        </r>
      </text>
    </comment>
    <comment ref="E982" authorId="0" shapeId="0" xr:uid="{76EDA385-DCB3-49D3-9447-9652A16DA77B}">
      <text>
        <r>
          <rPr>
            <sz val="9"/>
            <color indexed="81"/>
            <rFont val="Tahoma"/>
            <family val="2"/>
          </rPr>
          <t>This is the inverse of efficiency (GJ of energy provided per GJ of fuel used).</t>
        </r>
      </text>
    </comment>
    <comment ref="D1012" authorId="0" shapeId="0" xr:uid="{2B0B851D-185C-499C-AE71-E13076C54F40}">
      <text>
        <r>
          <rPr>
            <sz val="9"/>
            <color indexed="81"/>
            <rFont val="Tahoma"/>
            <family val="2"/>
          </rPr>
          <t>Note this is Canada, not Alberta for this fuel/price.
Need some way to actually allocate fuel at this point so that we can calculate GHG emissions later.</t>
        </r>
      </text>
    </comment>
    <comment ref="E1012" authorId="0" shapeId="0" xr:uid="{21B2CA1F-97D9-438E-8F41-428BB71E0D11}">
      <text>
        <r>
          <rPr>
            <sz val="9"/>
            <color indexed="81"/>
            <rFont val="Tahoma"/>
            <family val="2"/>
          </rPr>
          <t>This is the inverse of efficiency (GJ of energy provided per GJ of fuel used).</t>
        </r>
      </text>
    </comment>
    <comment ref="D1013" authorId="0" shapeId="0" xr:uid="{F1CDE64B-BDA5-4914-9DDD-A59CAB774CA6}">
      <text>
        <r>
          <rPr>
            <sz val="9"/>
            <color indexed="81"/>
            <rFont val="Tahoma"/>
            <family val="2"/>
          </rPr>
          <t>Note this is Canada, not Alberta for this fuel/price.
Need some way to actually allocate fuel at this point so that we can calculate GHG emissions later.</t>
        </r>
      </text>
    </comment>
    <comment ref="E1013" authorId="0" shapeId="0" xr:uid="{B2FC22FC-5727-4421-82D7-FB31026200C1}">
      <text>
        <r>
          <rPr>
            <sz val="9"/>
            <color indexed="81"/>
            <rFont val="Tahoma"/>
            <family val="2"/>
          </rPr>
          <t>This is the inverse of efficiency (GJ of energy provided per GJ of fuel used).</t>
        </r>
      </text>
    </comment>
    <comment ref="D1049" authorId="0" shapeId="0" xr:uid="{BBA49AC7-FB4D-4B4B-960A-2DE46E793763}">
      <text>
        <r>
          <rPr>
            <sz val="9"/>
            <color indexed="81"/>
            <rFont val="Tahoma"/>
            <family val="2"/>
          </rPr>
          <t>Note this is Canada, not Alberta for this fuel/price.
Need some way to actually allocate fuel at this point so that we can calculate GHG emissions later.</t>
        </r>
      </text>
    </comment>
    <comment ref="E1049" authorId="0" shapeId="0" xr:uid="{29C51532-7961-4A11-8882-0DC229A3F817}">
      <text>
        <r>
          <rPr>
            <sz val="9"/>
            <color indexed="81"/>
            <rFont val="Tahoma"/>
            <family val="2"/>
          </rPr>
          <t>This is the inverse of efficiency (GJ of energy provided per GJ of fuel used).</t>
        </r>
      </text>
    </comment>
    <comment ref="D1050" authorId="0" shapeId="0" xr:uid="{2EFA608E-94A8-4BB4-B2AF-32A80CCE8E3A}">
      <text>
        <r>
          <rPr>
            <sz val="9"/>
            <color indexed="81"/>
            <rFont val="Tahoma"/>
            <family val="2"/>
          </rPr>
          <t>Note this is Canada, not Alberta for this fuel/price.
Need some way to actually allocate fuel at this point so that we can calculate GHG emissions later.</t>
        </r>
      </text>
    </comment>
    <comment ref="E1050" authorId="0" shapeId="0" xr:uid="{440907DB-064B-4ED0-B6DB-4C123E63AAC2}">
      <text>
        <r>
          <rPr>
            <sz val="9"/>
            <color indexed="81"/>
            <rFont val="Tahoma"/>
            <family val="2"/>
          </rPr>
          <t>This is the inverse of efficiency (GJ of energy provided per GJ of fuel used).</t>
        </r>
      </text>
    </comment>
    <comment ref="D1080" authorId="0" shapeId="0" xr:uid="{92C3905E-C3C0-4778-B9FF-635D3735DFC8}">
      <text>
        <r>
          <rPr>
            <sz val="9"/>
            <color indexed="81"/>
            <rFont val="Tahoma"/>
            <family val="2"/>
          </rPr>
          <t>Note this is Canada, not Alberta for this fuel/price.
Need some way to actually allocate fuel at this point so that we can calculate GHG emissions later.</t>
        </r>
      </text>
    </comment>
    <comment ref="E1080" authorId="0" shapeId="0" xr:uid="{DA4027A2-B0D6-4553-862A-67FC014A8664}">
      <text>
        <r>
          <rPr>
            <sz val="9"/>
            <color indexed="81"/>
            <rFont val="Tahoma"/>
            <family val="2"/>
          </rPr>
          <t>This is the inverse of efficiency (GJ of energy provided per GJ of fuel used).</t>
        </r>
      </text>
    </comment>
    <comment ref="D1081" authorId="0" shapeId="0" xr:uid="{7DBD1072-2748-49DA-908E-0F774B71A7E3}">
      <text>
        <r>
          <rPr>
            <sz val="9"/>
            <color indexed="81"/>
            <rFont val="Tahoma"/>
            <family val="2"/>
          </rPr>
          <t>Note this is Canada, not Alberta for this fuel/price.
Need some way to actually allocate fuel at this point so that we can calculate GHG emissions later.</t>
        </r>
      </text>
    </comment>
    <comment ref="E1081" authorId="0" shapeId="0" xr:uid="{DA838F68-46AC-4D93-8421-E3141FA48457}">
      <text>
        <r>
          <rPr>
            <sz val="9"/>
            <color indexed="81"/>
            <rFont val="Tahoma"/>
            <family val="2"/>
          </rPr>
          <t>This is the inverse of efficiency (GJ of energy provided per GJ of fuel used).</t>
        </r>
      </text>
    </comment>
    <comment ref="B1126" authorId="1" shapeId="0" xr:uid="{E9A34266-E66A-4642-A417-4EE2885BDD4F}">
      <text>
        <r>
          <rPr>
            <sz val="9"/>
            <color indexed="81"/>
            <rFont val="Tahoma"/>
            <family val="2"/>
          </rPr>
          <t>If no price given, should calculate endogenously. If price given, should use that value instead of the price calc iteration.</t>
        </r>
      </text>
    </comment>
    <comment ref="B1127" authorId="1" shapeId="0" xr:uid="{3A568D2A-421F-47F4-8058-0EB118EBBC12}">
      <text>
        <r>
          <rPr>
            <sz val="9"/>
            <color indexed="81"/>
            <rFont val="Tahoma"/>
            <family val="2"/>
          </rPr>
          <t>If no price given, should calculate endogenously. If price given, should use that value instead of the price calc iteration.</t>
        </r>
      </text>
    </comment>
    <comment ref="B1128" authorId="1" shapeId="0" xr:uid="{F1C7F587-C9E3-4170-B5E7-F87DDA0730C6}">
      <text>
        <r>
          <rPr>
            <sz val="9"/>
            <color indexed="81"/>
            <rFont val="Tahoma"/>
            <family val="2"/>
          </rPr>
          <t>If no price given, should calculate endogenously. If price given, should use that value instead of the price calc iteration.</t>
        </r>
      </text>
    </comment>
    <comment ref="B1129" authorId="1" shapeId="0" xr:uid="{645EEA17-A60A-460A-B311-39803BC4321D}">
      <text>
        <r>
          <rPr>
            <sz val="9"/>
            <color indexed="81"/>
            <rFont val="Tahoma"/>
            <family val="2"/>
          </rPr>
          <t>If no price given, should calculate endogenously. If price given, should use that value instead of the price calc iteration.</t>
        </r>
      </text>
    </comment>
    <comment ref="B1130" authorId="1" shapeId="0" xr:uid="{E2166179-CD26-404A-9DF1-CDAC086F5D1D}">
      <text>
        <r>
          <rPr>
            <sz val="9"/>
            <color indexed="81"/>
            <rFont val="Tahoma"/>
            <family val="2"/>
          </rPr>
          <t>If no price given, should calculate endogenously. If price given, should use that value instead of the price calc iteration.</t>
        </r>
      </text>
    </comment>
    <comment ref="B1135" authorId="0" shapeId="0" xr:uid="{2B4AB1FA-9C48-45A0-A242-5B53AF4F6568}">
      <text>
        <r>
          <rPr>
            <sz val="9"/>
            <color indexed="81"/>
            <rFont val="Tahoma"/>
            <family val="2"/>
          </rPr>
          <t>These GHGs should be able to be summed when fuel is assigned to demand nodes.
For example, x GJ of natural gas demanded x 0.051 tCO2/GJ</t>
        </r>
      </text>
    </comment>
    <comment ref="B1136" authorId="0" shapeId="0" xr:uid="{87440674-C257-4C26-8933-1D0DFCAEB294}">
      <text>
        <r>
          <rPr>
            <sz val="9"/>
            <color indexed="81"/>
            <rFont val="Tahoma"/>
            <family val="2"/>
          </rPr>
          <t>These GHGs should be able to be summed when fuel is assigned to demand nodes.
For example, x GJ of natural gas demanded x 0.051 tCO2/GJ</t>
        </r>
      </text>
    </comment>
    <comment ref="B1137" authorId="0" shapeId="0" xr:uid="{D65ACA83-B7D9-40E6-AA9E-ED866148C786}">
      <text>
        <r>
          <rPr>
            <sz val="9"/>
            <color indexed="81"/>
            <rFont val="Tahoma"/>
            <family val="2"/>
          </rPr>
          <t>These GHGs should be able to be summed when fuel is assigned to demand nodes.
For example, x GJ of natural gas demanded x 0.051 tCO2/GJ</t>
        </r>
      </text>
    </comment>
  </commentList>
</comments>
</file>

<file path=xl/sharedStrings.xml><?xml version="1.0" encoding="utf-8"?>
<sst xmlns="http://schemas.openxmlformats.org/spreadsheetml/2006/main" count="8228" uniqueCount="482">
  <si>
    <t>Residential</t>
  </si>
  <si>
    <t>Shell</t>
  </si>
  <si>
    <t>Electricity</t>
  </si>
  <si>
    <t>Base load</t>
  </si>
  <si>
    <t>Generation</t>
  </si>
  <si>
    <t>Alberta</t>
  </si>
  <si>
    <t>Branch</t>
  </si>
  <si>
    <t>Retrofit Variance</t>
  </si>
  <si>
    <t>Value</t>
  </si>
  <si>
    <t>Parameter</t>
  </si>
  <si>
    <t>Years</t>
  </si>
  <si>
    <t>Price</t>
  </si>
  <si>
    <t>Diesel</t>
  </si>
  <si>
    <t>Light Fuel Oil</t>
  </si>
  <si>
    <t>Natural Gas</t>
  </si>
  <si>
    <t>Wood</t>
  </si>
  <si>
    <t>Unit</t>
  </si>
  <si>
    <t>CO2</t>
  </si>
  <si>
    <t>CH4</t>
  </si>
  <si>
    <t>N2O</t>
  </si>
  <si>
    <t>Consumer Price Index</t>
  </si>
  <si>
    <t>Tech Compete</t>
  </si>
  <si>
    <t>Fixed Ratio</t>
  </si>
  <si>
    <t>Single Family Detached</t>
  </si>
  <si>
    <t>Single Family Attached</t>
  </si>
  <si>
    <t>Apartment</t>
  </si>
  <si>
    <t>Mobile</t>
  </si>
  <si>
    <t>Post-1960</t>
  </si>
  <si>
    <t>Pre-1960</t>
  </si>
  <si>
    <t>Standard</t>
  </si>
  <si>
    <t>R2000</t>
  </si>
  <si>
    <t>LEED</t>
  </si>
  <si>
    <t>Electric baseboard</t>
  </si>
  <si>
    <t>Furnace</t>
  </si>
  <si>
    <t>GJ</t>
  </si>
  <si>
    <t>v</t>
  </si>
  <si>
    <t>m2 floorspace</t>
  </si>
  <si>
    <t>Unavailable</t>
  </si>
  <si>
    <t>Available</t>
  </si>
  <si>
    <t>Lifetime</t>
  </si>
  <si>
    <t>Date</t>
  </si>
  <si>
    <t>r</t>
  </si>
  <si>
    <t>CPI</t>
  </si>
  <si>
    <t>Population</t>
  </si>
  <si>
    <t>GDP</t>
  </si>
  <si>
    <t>GJ/m2 floorspace</t>
  </si>
  <si>
    <t>person</t>
  </si>
  <si>
    <t>Competition type</t>
  </si>
  <si>
    <t>Canada</t>
  </si>
  <si>
    <t>Node</t>
  </si>
  <si>
    <t>Risk rate</t>
  </si>
  <si>
    <t>Technology</t>
  </si>
  <si>
    <t>Natural Gas_existing</t>
  </si>
  <si>
    <t>Natural Gas_high efficiency</t>
  </si>
  <si>
    <t>Heat pump_air source</t>
  </si>
  <si>
    <t>GHG</t>
  </si>
  <si>
    <t>Sector</t>
  </si>
  <si>
    <t>Fuel</t>
  </si>
  <si>
    <t>Commercial</t>
  </si>
  <si>
    <t>Region</t>
  </si>
  <si>
    <t>Region_code</t>
  </si>
  <si>
    <t>British Columbia</t>
  </si>
  <si>
    <t>CAN</t>
  </si>
  <si>
    <t>AB</t>
  </si>
  <si>
    <t>BC</t>
  </si>
  <si>
    <t>Winner Take All</t>
  </si>
  <si>
    <t>Heterogeneity</t>
  </si>
  <si>
    <t>Country</t>
  </si>
  <si>
    <t>Clothes washing</t>
  </si>
  <si>
    <t>Water heating</t>
  </si>
  <si>
    <t>Space heating</t>
  </si>
  <si>
    <t>Conventional</t>
  </si>
  <si>
    <t>Renewables</t>
  </si>
  <si>
    <t>Floorspace</t>
  </si>
  <si>
    <t>Service</t>
  </si>
  <si>
    <t>Market share</t>
  </si>
  <si>
    <t>Comments / Calcs</t>
  </si>
  <si>
    <t>Source</t>
  </si>
  <si>
    <t>Reference</t>
  </si>
  <si>
    <t>million m2</t>
  </si>
  <si>
    <t>NRCan NEUD</t>
  </si>
  <si>
    <t>Households</t>
  </si>
  <si>
    <t>persons</t>
  </si>
  <si>
    <t>StatCan</t>
  </si>
  <si>
    <t>calc</t>
  </si>
  <si>
    <t>Newfoundland and Labrador</t>
  </si>
  <si>
    <t>Prince Edward Island</t>
  </si>
  <si>
    <t>Nova Scotia</t>
  </si>
  <si>
    <t>New Brunswick</t>
  </si>
  <si>
    <t>Quebec</t>
  </si>
  <si>
    <t>Ontario</t>
  </si>
  <si>
    <t>Manitoba</t>
  </si>
  <si>
    <t>Saskatchewan</t>
  </si>
  <si>
    <t>Yukon</t>
  </si>
  <si>
    <t>Nunavut</t>
  </si>
  <si>
    <t>Northwest Territories</t>
  </si>
  <si>
    <t>StatCan, Scenario M1</t>
  </si>
  <si>
    <t>%</t>
  </si>
  <si>
    <t>Population annual growth rate</t>
  </si>
  <si>
    <t>Population forecast</t>
  </si>
  <si>
    <t>OECD long-term forecast</t>
  </si>
  <si>
    <t>2010 ppp, real dollars, M$ USD</t>
  </si>
  <si>
    <t>2012 ppp, real dollars, M$ CAD</t>
  </si>
  <si>
    <t>Purchasing Power Parities for GDP</t>
  </si>
  <si>
    <t>CAD per USD</t>
  </si>
  <si>
    <t>OECD PPP rates</t>
  </si>
  <si>
    <t>Average household size in private dwellings</t>
  </si>
  <si>
    <t>Census</t>
  </si>
  <si>
    <t>Buildings</t>
  </si>
  <si>
    <t>Persons per household</t>
  </si>
  <si>
    <t>Type</t>
  </si>
  <si>
    <t>Demand</t>
  </si>
  <si>
    <t>Supply</t>
  </si>
  <si>
    <t>Dishwashing</t>
  </si>
  <si>
    <t>GDP deflator</t>
  </si>
  <si>
    <t>Description</t>
  </si>
  <si>
    <t>Competition type for child nodes</t>
  </si>
  <si>
    <t>Heat pump_ground source</t>
  </si>
  <si>
    <t>Red combinations not allowed</t>
  </si>
  <si>
    <t>House_Natural Gas_existing stock</t>
  </si>
  <si>
    <t>House_Natural Gas_Standard</t>
  </si>
  <si>
    <t>House_Electric_existing stock</t>
  </si>
  <si>
    <t>House_Electric_Standard</t>
  </si>
  <si>
    <t>household</t>
  </si>
  <si>
    <t>fixed shares</t>
  </si>
  <si>
    <t>tech compete</t>
  </si>
  <si>
    <t>Stock</t>
  </si>
  <si>
    <t>thousands</t>
  </si>
  <si>
    <t>Single family detached</t>
  </si>
  <si>
    <t>Single family attached</t>
  </si>
  <si>
    <t>building/household</t>
  </si>
  <si>
    <t>building</t>
  </si>
  <si>
    <t>m2 floorspace/building</t>
  </si>
  <si>
    <t>household/person</t>
  </si>
  <si>
    <t>households/person</t>
  </si>
  <si>
    <t>buildings/household</t>
  </si>
  <si>
    <t>buildings</t>
  </si>
  <si>
    <t>supply</t>
  </si>
  <si>
    <t>demand</t>
  </si>
  <si>
    <t>competition</t>
  </si>
  <si>
    <t>LCC</t>
  </si>
  <si>
    <t>GJ elec</t>
  </si>
  <si>
    <t>GJ natural gas</t>
  </si>
  <si>
    <t>GJ furnace/GJ heat</t>
  </si>
  <si>
    <t>GJ elec / GJ heat</t>
  </si>
  <si>
    <t>Apartment &gt; … &gt; Heat pump_air source</t>
  </si>
  <si>
    <t>existing stock</t>
  </si>
  <si>
    <t>split of existing options</t>
  </si>
  <si>
    <t>Market share total_Max</t>
  </si>
  <si>
    <t>Market share total_Min</t>
  </si>
  <si>
    <t>Calculated by python code</t>
  </si>
  <si>
    <t>Adjusted due to disallowed combination</t>
  </si>
  <si>
    <t>Capital cost</t>
  </si>
  <si>
    <t>lifetime</t>
  </si>
  <si>
    <t>operating cost</t>
  </si>
  <si>
    <t>intangible cost</t>
  </si>
  <si>
    <t>service cost</t>
  </si>
  <si>
    <t>m2 floorspade/building</t>
  </si>
  <si>
    <t>GJ/m2 floorspade</t>
  </si>
  <si>
    <t>calc: for this example, assume 80% existing stock remains from last time step</t>
  </si>
  <si>
    <t>stock remaining</t>
  </si>
  <si>
    <t>Each row is a tree branch</t>
  </si>
  <si>
    <t>calc: remove remaining stock and then use tech compete shares on gap</t>
  </si>
  <si>
    <t>remaining demand</t>
  </si>
  <si>
    <t>Only include techs with available year &lt; current year AND unavailable year &gt; current year</t>
  </si>
  <si>
    <t>calc: for this example, assume 95% existing stock remains from last time step</t>
  </si>
  <si>
    <t>&lt;- these should actually be calculated by python</t>
  </si>
  <si>
    <t>Fixed Market Shares</t>
  </si>
  <si>
    <t>Use market share equation to allocate shares to (available) technologies within node. Market share equation based on life cycle costs for each technology.</t>
  </si>
  <si>
    <t>Allocate all demand to the technology within the node with the lowest life cycle cost.</t>
  </si>
  <si>
    <t>Natural Gas_Single Cycle Gas Turbine</t>
  </si>
  <si>
    <t>Solar PV</t>
  </si>
  <si>
    <t>Wind</t>
  </si>
  <si>
    <t>Adjusted due to unavailable tech</t>
  </si>
  <si>
    <t>tCO2/GJ</t>
  </si>
  <si>
    <t>Energy</t>
  </si>
  <si>
    <t>HHV</t>
  </si>
  <si>
    <t>GJ/unit</t>
  </si>
  <si>
    <t>Aviation gasoline</t>
  </si>
  <si>
    <t>kL</t>
  </si>
  <si>
    <t>Aviation turbo</t>
  </si>
  <si>
    <t>Biodiesel</t>
  </si>
  <si>
    <t>AFDC</t>
  </si>
  <si>
    <t>Butane</t>
  </si>
  <si>
    <t>Coal</t>
  </si>
  <si>
    <t>t</t>
  </si>
  <si>
    <t>Coke</t>
  </si>
  <si>
    <t>Coke on Cat Crackers</t>
  </si>
  <si>
    <t>Petcoke</t>
  </si>
  <si>
    <t>COG</t>
  </si>
  <si>
    <t>ML</t>
  </si>
  <si>
    <t>MWh</t>
  </si>
  <si>
    <t>Ethanol</t>
  </si>
  <si>
    <t>Flare Gas</t>
  </si>
  <si>
    <t>RFG</t>
  </si>
  <si>
    <t>Gasoline</t>
  </si>
  <si>
    <t>Kerosene</t>
  </si>
  <si>
    <t>MD</t>
  </si>
  <si>
    <t>LFO</t>
  </si>
  <si>
    <t>LPG</t>
  </si>
  <si>
    <t>Propane</t>
  </si>
  <si>
    <t>SPL</t>
  </si>
  <si>
    <t>Steam</t>
  </si>
  <si>
    <t>-</t>
  </si>
  <si>
    <t>Still Gas</t>
  </si>
  <si>
    <t>Uranium</t>
  </si>
  <si>
    <t>kg</t>
  </si>
  <si>
    <t>Waste</t>
  </si>
  <si>
    <t>Refinery</t>
  </si>
  <si>
    <t>LHV</t>
  </si>
  <si>
    <t>tCO2/unit</t>
  </si>
  <si>
    <t>NIR, Table A6-12</t>
  </si>
  <si>
    <t>NIR, Table A6-3</t>
  </si>
  <si>
    <t>NIR, Table A6-8</t>
  </si>
  <si>
    <t>NIR, Table A6-9</t>
  </si>
  <si>
    <t>NIR, Table A6-4</t>
  </si>
  <si>
    <t>NIR, Table A6-1</t>
  </si>
  <si>
    <t>NIR, Table A6-34</t>
  </si>
  <si>
    <t>NIR, Table A6-11</t>
  </si>
  <si>
    <t>Cement Clinker</t>
  </si>
  <si>
    <t>NIR, CRF</t>
  </si>
  <si>
    <t>Lime</t>
  </si>
  <si>
    <t>Aluminium</t>
  </si>
  <si>
    <t>Ammonia</t>
  </si>
  <si>
    <t>Iron &amp; Steel Coke</t>
  </si>
  <si>
    <t>NG (marketable)</t>
  </si>
  <si>
    <t>NG (non-marketable)</t>
  </si>
  <si>
    <t>Petcoke Upgraders</t>
  </si>
  <si>
    <t>RFG Upgraders</t>
  </si>
  <si>
    <t>tCH4/unit</t>
  </si>
  <si>
    <t>NIR, Table A6-10</t>
  </si>
  <si>
    <t>NIR, Table A6-2</t>
  </si>
  <si>
    <t>NIR, Table A6-7</t>
  </si>
  <si>
    <t>tN2O/unit</t>
  </si>
  <si>
    <t>NIR, Table A6-6</t>
  </si>
  <si>
    <t>Adipic Acid</t>
  </si>
  <si>
    <t>NIR, Table A6-15</t>
  </si>
  <si>
    <t>Nitric Acid</t>
  </si>
  <si>
    <t>Other</t>
  </si>
  <si>
    <t>tCO2e/unit</t>
  </si>
  <si>
    <t>PFCs</t>
  </si>
  <si>
    <t>Magnesium</t>
  </si>
  <si>
    <t>SF6</t>
  </si>
  <si>
    <t>CO2/Energy</t>
  </si>
  <si>
    <t>CO2/Energy - Refinery</t>
  </si>
  <si>
    <t>CH4/Energy</t>
  </si>
  <si>
    <t>tCH4/GJ</t>
  </si>
  <si>
    <t>N2O/Energy</t>
  </si>
  <si>
    <t>tN2O/GJ</t>
  </si>
  <si>
    <t>GHG/Energy</t>
  </si>
  <si>
    <t>tCO2e/GJ</t>
  </si>
  <si>
    <t>Heavy Fuel Oil</t>
  </si>
  <si>
    <t>GJ/000m3</t>
  </si>
  <si>
    <t>Solar</t>
  </si>
  <si>
    <t>Global Warming Potentials</t>
  </si>
  <si>
    <t>tCO2/tGHG</t>
  </si>
  <si>
    <t>tCO2</t>
  </si>
  <si>
    <t>tCH4</t>
  </si>
  <si>
    <t>tN2O</t>
  </si>
  <si>
    <t>IPCC AR5</t>
  </si>
  <si>
    <t>A child node should inherit attributes from the parent, unless over-written. For example, if the price of natural gas at the Alberta node is $5/GJ, then all sectors would use that. Except that residential might declare natural gas to be $8/GJ for that sector only.</t>
  </si>
  <si>
    <t>Response</t>
  </si>
  <si>
    <t>We will be able to provide activity variables (like population, GDP, ratios, etc) that are used to drive demand for all nodes in all years.
We can also provide prices for all fuels and services (like the weighted cost of furnaces) in the first year of the simulation. This means that the first year of simulation (2000) could actually be calculated by hand. The Python code will mostly be used to do those calculations (like what are the market shares for a node). For subsequent years, the prices will be dynamic, unless they are provided exogenously in the model description file.</t>
  </si>
  <si>
    <t>Can some attributes be set as scalar values (independent of year) or do values need to be input for each year (i.e. the same value repeated)?</t>
  </si>
  <si>
    <t>Question / Comment for developers</t>
  </si>
  <si>
    <t>Question / Comment for EMRG</t>
  </si>
  <si>
    <t>Energy content</t>
  </si>
  <si>
    <t>Natural Gas_Combined Cycle Gas Turbine</t>
  </si>
  <si>
    <t>Hydroelectric_reservoir</t>
  </si>
  <si>
    <t>Price Multiplier</t>
  </si>
  <si>
    <t>Commodity prices</t>
  </si>
  <si>
    <t>US$/bbl</t>
  </si>
  <si>
    <t>US$/MMBtu</t>
  </si>
  <si>
    <t>Brent</t>
  </si>
  <si>
    <t>West Texas Intermediate (WTI)</t>
  </si>
  <si>
    <t>Western Canadian Select (WCS)</t>
  </si>
  <si>
    <t>Henry Hub</t>
  </si>
  <si>
    <t>Nova Inventory Transfer (NIT)</t>
  </si>
  <si>
    <t>Canadian Light Sweet (CLS)</t>
  </si>
  <si>
    <t>NEB</t>
  </si>
  <si>
    <t>Oil</t>
  </si>
  <si>
    <t>NEB, Energy Future, 2018</t>
  </si>
  <si>
    <t>2018$/GJ</t>
  </si>
  <si>
    <t>bbl</t>
  </si>
  <si>
    <t>From</t>
  </si>
  <si>
    <t>To</t>
  </si>
  <si>
    <t>Multiply by</t>
  </si>
  <si>
    <t>Name</t>
  </si>
  <si>
    <t>gal</t>
  </si>
  <si>
    <t>Litre</t>
  </si>
  <si>
    <t>Barrel</t>
  </si>
  <si>
    <t>l</t>
  </si>
  <si>
    <t>US gallon</t>
  </si>
  <si>
    <t>Million British Thermal Units</t>
  </si>
  <si>
    <t>MMBtu (Same as MBtu)</t>
  </si>
  <si>
    <t>Gigajoule</t>
  </si>
  <si>
    <t>n/a</t>
  </si>
  <si>
    <t>ECCC, NIR</t>
  </si>
  <si>
    <t>StatCan, ICE</t>
  </si>
  <si>
    <t>NIR, CRF / StatCan, ICE</t>
  </si>
  <si>
    <t>StatCan, RESD</t>
  </si>
  <si>
    <t>StatCan, EPTGD</t>
  </si>
  <si>
    <t>Transportation</t>
  </si>
  <si>
    <t>Industrial</t>
  </si>
  <si>
    <t>Red cells need sources</t>
  </si>
  <si>
    <t>Service provided</t>
  </si>
  <si>
    <t>Service requested</t>
  </si>
  <si>
    <t>Should "Competition exclude" be moved to a separate sheet where generic technology-node combinations can be specified. For example, rather than including in a specific branch (like Alberta.Residential.Buildings(apartments) for heat pumps in water heating), we could include the generic *.Buildings(apartments).*.Water heating(heat pumps)</t>
  </si>
  <si>
    <t>Some combinations of parent and child branches should not be available. For example, in the Building.*.Furnace branch, we should have different furnace options for single family detached vs. apartment. Is it possible somehow to indicate which combinations are possible (or not possible)?</t>
  </si>
  <si>
    <t>Discount rate_Financial</t>
  </si>
  <si>
    <t>Operating cost</t>
  </si>
  <si>
    <t>Discount rate_Social</t>
  </si>
  <si>
    <t>GHG content</t>
  </si>
  <si>
    <t>Simulation time</t>
  </si>
  <si>
    <t>r_social</t>
  </si>
  <si>
    <t>Should market shares be combined with services requested? For example, in the Buildings node, should the market shares already be applied in the model description to each service requested?</t>
  </si>
  <si>
    <t>Change Fixed ratios/shares to atributes instead of competition?</t>
  </si>
  <si>
    <t>Cogeneration can provide two services (heat and electricity), but usually only one is the main service.</t>
  </si>
  <si>
    <t>Attribute</t>
  </si>
  <si>
    <t>unit/building</t>
  </si>
  <si>
    <t>unit</t>
  </si>
  <si>
    <t>$</t>
  </si>
  <si>
    <t>$/GJ</t>
  </si>
  <si>
    <t>$/tCO2e</t>
  </si>
  <si>
    <t>$/m2 floorspace</t>
  </si>
  <si>
    <t>Currency</t>
  </si>
  <si>
    <t>Data Year</t>
  </si>
  <si>
    <t>Constant prices, M$</t>
  </si>
  <si>
    <t>CAD</t>
  </si>
  <si>
    <t>2018$ CAD/GJ</t>
  </si>
  <si>
    <t>Apartment_Natural Gas_existing stock</t>
  </si>
  <si>
    <t>Apartment_Electric_existing stock</t>
  </si>
  <si>
    <t>Apartment_Natural Gas_Standard</t>
  </si>
  <si>
    <t>Apartment_Electric_Standard</t>
  </si>
  <si>
    <t>GJ requested / GJ provided</t>
  </si>
  <si>
    <t>Stock remaining</t>
  </si>
  <si>
    <t>Megawatt-hour</t>
  </si>
  <si>
    <t>$/MWh</t>
  </si>
  <si>
    <t>Output</t>
  </si>
  <si>
    <t>Transmission Losses</t>
  </si>
  <si>
    <t>Technologies</t>
  </si>
  <si>
    <t>Have we ever used different prices for each sector (e.g. residential vs industrial price)?</t>
  </si>
  <si>
    <t>Should the discount rate be set by technology or by node?</t>
  </si>
  <si>
    <t>Intangible cost variable</t>
  </si>
  <si>
    <t>Intangible cost fixed</t>
  </si>
  <si>
    <t>MWh/GJ</t>
  </si>
  <si>
    <t>MWh requested / MWh provided</t>
  </si>
  <si>
    <t>When competing services (like at Shells), should we consider the weighted average service cost of technologies/services of child nodes?</t>
  </si>
  <si>
    <t>Service requested cost</t>
  </si>
  <si>
    <t>75 MW plant, 56% capacity factor</t>
  </si>
  <si>
    <t>GJ requested / MWh provided</t>
  </si>
  <si>
    <t>Unit requested / MWh provided</t>
  </si>
  <si>
    <t>Calculation notes</t>
  </si>
  <si>
    <t>Default technology format</t>
  </si>
  <si>
    <t>XX requested / XX provided</t>
  </si>
  <si>
    <t>$/XX provided</t>
  </si>
  <si>
    <t>XX provided</t>
  </si>
  <si>
    <t>Discount rate_Revealed</t>
  </si>
  <si>
    <t>Discount rate_Retrofit</t>
  </si>
  <si>
    <t>Required / Optional</t>
  </si>
  <si>
    <t>Allocated cost</t>
  </si>
  <si>
    <t>Retirement</t>
  </si>
  <si>
    <t>Required</t>
  </si>
  <si>
    <t>Optional</t>
  </si>
  <si>
    <t>Default value</t>
  </si>
  <si>
    <t># Years required</t>
  </si>
  <si>
    <t>First only</t>
  </si>
  <si>
    <t>All (constant)</t>
  </si>
  <si>
    <t>All (can vary)</t>
  </si>
  <si>
    <t>Declining capital cost_AEEI</t>
  </si>
  <si>
    <t>Market share new_Max</t>
  </si>
  <si>
    <t>Market share new_Min</t>
  </si>
  <si>
    <t>Maximum total market share a technology can be allocated based on remaining and new stock.</t>
  </si>
  <si>
    <t>Minimum total market share a technology must be allocated based on remaining and new stock. If insufficient new stock is available to reach this value, then all new stock is allocated to the technology.</t>
  </si>
  <si>
    <t>Maximum new market share a technology can be allocated based on new stock competition.</t>
  </si>
  <si>
    <t>Minimum new market share a technology must be allocated based on new stock competition.</t>
  </si>
  <si>
    <t>Controls if a technology can participate in new stock competition. Existing stock is allowed to retire naturally.</t>
  </si>
  <si>
    <t>Controls if a technology can participate in new stock competition.</t>
  </si>
  <si>
    <t>Grants, fees, rebates, or other simple one-time costs (+) / benefits (-).
Must be divided by Output.</t>
  </si>
  <si>
    <t>Non-financial one-time costs.
Must be divided by Output.</t>
  </si>
  <si>
    <t>Overnight capital cost.
Must be divided by Output.</t>
  </si>
  <si>
    <t>Size of technology output (usually physical product).</t>
  </si>
  <si>
    <t>Share between 0 and 1.</t>
  </si>
  <si>
    <t>Declining capital cost_Limit</t>
  </si>
  <si>
    <t>Provincial Production</t>
  </si>
  <si>
    <t xml:space="preserve">                      -   </t>
  </si>
  <si>
    <t>National Production</t>
  </si>
  <si>
    <t>Declining capital cost_Progress Ratio</t>
  </si>
  <si>
    <t>Ratio of final to initial costs associated with a doubling of cumulative output. Equal to (1 - Learning Rate).</t>
  </si>
  <si>
    <t>Exogenous rate</t>
  </si>
  <si>
    <t>Progress ratio</t>
  </si>
  <si>
    <t>Limit</t>
  </si>
  <si>
    <t>Upfront fixed intangible cost</t>
  </si>
  <si>
    <t>Annual fixed intangible cost</t>
  </si>
  <si>
    <t>Upfront declining intangible cost_Initial</t>
  </si>
  <si>
    <t>Upfront declining intangible cost_Rate</t>
  </si>
  <si>
    <t>Upfront declining intangible cost_Shape</t>
  </si>
  <si>
    <t>Annual declining intangible cost_Initial</t>
  </si>
  <si>
    <t>Annual declining intangible cost_Rate</t>
  </si>
  <si>
    <t>Annual declining intangible cost_Shape</t>
  </si>
  <si>
    <t>UDIC lowers a technology's upfront intangible cost as a function of market share.
Must be divided by Output.</t>
  </si>
  <si>
    <t>DCC lowers a technology's capital cost as a function of market share. Requires 3 parameters, the progress ratio (%), the limit capital costs cannot decline below (% of capital cost), and the existing global stock of the technology in 2000. There is no direct time dependency.
Equivalent to Learning by Doing.</t>
  </si>
  <si>
    <t>Autonomous energy efficiency index. AEEI lowers a technology's capital cost as a function of time.</t>
  </si>
  <si>
    <t>Can we deal with transmission losses (or other supply side increase) somehow?</t>
  </si>
  <si>
    <t>See "Incompatible" sheet</t>
  </si>
  <si>
    <t>Use this sheet to specify combinations that should be exlcuded from competitions</t>
  </si>
  <si>
    <t>Ancestor node</t>
  </si>
  <si>
    <t>Ancestor technology</t>
  </si>
  <si>
    <t>Child node</t>
  </si>
  <si>
    <t>Child technology</t>
  </si>
  <si>
    <t>Dishwasher_existing</t>
  </si>
  <si>
    <t>Dishwasher_Standard</t>
  </si>
  <si>
    <t>$/unit</t>
  </si>
  <si>
    <t>GJ requested / unit</t>
  </si>
  <si>
    <t>Clothes washer_Existing</t>
  </si>
  <si>
    <t>Clothes washer_Standard</t>
  </si>
  <si>
    <t>Clothes washer_Steam</t>
  </si>
  <si>
    <t>A / shape</t>
  </si>
  <si>
    <t>k / rate</t>
  </si>
  <si>
    <t>Water</t>
  </si>
  <si>
    <t>Blue values indicate formula to carry value forward to future years</t>
  </si>
  <si>
    <t>Existing stock retirement</t>
  </si>
  <si>
    <t>New stock retirement</t>
  </si>
  <si>
    <t>Total stock</t>
  </si>
  <si>
    <t>Branch 1</t>
  </si>
  <si>
    <t>Branch 2</t>
  </si>
  <si>
    <t>Branch N</t>
  </si>
  <si>
    <t>Notes</t>
  </si>
  <si>
    <t>Blue text = Assume value is constant in time</t>
  </si>
  <si>
    <t>Life cycle cost</t>
  </si>
  <si>
    <t>Cost recovery factor</t>
  </si>
  <si>
    <t>Service cost</t>
  </si>
  <si>
    <t>Declining capital cost</t>
  </si>
  <si>
    <t>Cumulative production for declining capital cost function</t>
  </si>
  <si>
    <t>Declining intangible cost</t>
  </si>
  <si>
    <t>Note that market shares used to calculate the weighted-average LCC are from the previous iteration of the demand-supply equilibrium process (i.e. the final market shares from the previous year if calculating the first iteration or the previous demand-supply iteration if equilibrium prices have not yet been found).</t>
  </si>
  <si>
    <t>GCCt</t>
  </si>
  <si>
    <t>Annual operating and maintenance cost per unit output.</t>
  </si>
  <si>
    <t>Non-financial recurring costs per unit output.</t>
  </si>
  <si>
    <t>ADIC lowers a technology's annual recurring intangible cost as a function of market share.
Per unit output.</t>
  </si>
  <si>
    <t>Ignore UIC for now</t>
  </si>
  <si>
    <t>AEEI (exogenous rate)</t>
  </si>
  <si>
    <t>t&lt;=2000</t>
  </si>
  <si>
    <t>Existing stock (production input)</t>
  </si>
  <si>
    <t>DCCt</t>
  </si>
  <si>
    <t>Cumulative Production (2005 to t-5)</t>
  </si>
  <si>
    <t>Declining capital cost_Cumulative new stock</t>
  </si>
  <si>
    <t>Cumulative new stock of a technology for all years up to and including the year 2000.</t>
  </si>
  <si>
    <t>Global capital cost reduction</t>
  </si>
  <si>
    <t>Demand / Supply</t>
  </si>
  <si>
    <t/>
  </si>
  <si>
    <t>Formulas</t>
  </si>
  <si>
    <t>&lt;-</t>
  </si>
  <si>
    <t>Aprtment</t>
  </si>
  <si>
    <t>Market shares applied to technologies within node. Market shares must add to 1.</t>
  </si>
  <si>
    <t>Competition type used if no technologies included for node but still have services requested (e.g. Province or Sector nodes)</t>
  </si>
  <si>
    <t>Supply No Techs</t>
  </si>
  <si>
    <t>Indicates a supply sector that does not include technology competitions in child nodes. Any fuel quantity requested from this supply sector should be fulfilled automatically and fuel prices for this sector are set exogenously in the demand nodes.</t>
  </si>
  <si>
    <t>pyCIMS</t>
  </si>
  <si>
    <t>pyCIMS.Canada</t>
  </si>
  <si>
    <t>pyCIMS.Canada.Alberta</t>
  </si>
  <si>
    <t>pyCIMS.Canada.Alberta.Residential</t>
  </si>
  <si>
    <t>pyCIMS.Canada.Alberta.Residential.Buildings</t>
  </si>
  <si>
    <t>pyCIMS.Canada.Alberta.Residential.Buildings.Shell</t>
  </si>
  <si>
    <t>pyCIMS.Canada.Alberta.Residential.Buildings.Shell.Space heating</t>
  </si>
  <si>
    <t>pyCIMS.Canada.Alberta.Residential.Buildings.Shell.Space heating.Furnace</t>
  </si>
  <si>
    <t>pyCIMS.Canada.Alberta.Residential.Buildings.Shell.Water heating</t>
  </si>
  <si>
    <t>pyCIMS.Canada.Alberta.Residential.Buildings.Dishwashing</t>
  </si>
  <si>
    <t>pyCIMS.Canada.Alberta.Residential.Buildings.Clothes washing</t>
  </si>
  <si>
    <t>pyCIMS.Canada.Alberta.Electricity</t>
  </si>
  <si>
    <t>pyCIMS.Canada.Alberta.Electricity.Generation</t>
  </si>
  <si>
    <t>pyCIMS.Canada.Alberta.Electricity.Generation.Base load</t>
  </si>
  <si>
    <t>pyCIMS.Canada.Alberta.Electricity.Generation.Base load.Conventional</t>
  </si>
  <si>
    <t>pyCIMS.Canada.Alberta.Electricity.Generation.Base load.Renewables</t>
  </si>
  <si>
    <t>pyCIMS.Canada.Alberta.Electricity.Transmission losses</t>
  </si>
  <si>
    <t>pyCIMS.Canada.Alberta.Natural Gas</t>
  </si>
  <si>
    <t>pyCIMS.Canada.Alberta.Solar</t>
  </si>
  <si>
    <t>pyCIMS.Canada.Alberta.Wind</t>
  </si>
  <si>
    <t>pyCIMS.Canada.Alberta.Water</t>
  </si>
  <si>
    <t>pyCIMS.Canada.Alberta.Residential.Buildings.Shell.Space Heating</t>
  </si>
  <si>
    <t>pyCIMS.Canada.Alberta.Electricity.Transmission Losses</t>
  </si>
  <si>
    <t>Sector type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</si>
</sst>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0.0"/>
    <numFmt numFmtId="165" formatCode="0.000"/>
    <numFmt numFmtId="166" formatCode="#,##0_ ;\-#,##0\ "/>
    <numFmt numFmtId="167" formatCode="#,##0.0"/>
    <numFmt numFmtId="168" formatCode="#,##0.000"/>
    <numFmt numFmtId="169" formatCode="#,##0.000000"/>
    <numFmt numFmtId="170" formatCode="#,##0.00000"/>
    <numFmt numFmtId="171" formatCode="0.0%"/>
    <numFmt numFmtId="172" formatCode="&quot;-&quot;"/>
    <numFmt numFmtId="173" formatCode="&quot;+&quot;"/>
  </numFmts>
  <fonts count="28" x14ac:knownFonts="1">
    <font>
      <sz val="11"/>
      <color theme="1"/>
      <name val="Calibri"/>
      <family val="2"/>
      <scheme val="minor"/>
    </font>
    <font>
      <b/>
      <sz val="11"/>
      <color theme="1"/>
      <name val="Calibri"/>
      <family val="2"/>
      <scheme val="minor"/>
    </font>
    <font>
      <sz val="9"/>
      <color indexed="81"/>
      <name val="Tahoma"/>
      <family val="2"/>
    </font>
    <font>
      <sz val="11"/>
      <color theme="1"/>
      <name val="Calibri"/>
      <family val="2"/>
      <scheme val="minor"/>
    </font>
    <font>
      <u/>
      <sz val="11"/>
      <color theme="10"/>
      <name val="Calibri"/>
      <family val="2"/>
      <scheme val="minor"/>
    </font>
    <font>
      <sz val="11"/>
      <color rgb="FFC00000"/>
      <name val="Calibri"/>
      <family val="2"/>
      <scheme val="minor"/>
    </font>
    <font>
      <sz val="11"/>
      <color rgb="FF0070C0"/>
      <name val="Calibri"/>
      <family val="2"/>
      <scheme val="minor"/>
    </font>
    <font>
      <b/>
      <sz val="11"/>
      <name val="Calibri"/>
      <family val="2"/>
      <scheme val="minor"/>
    </font>
    <font>
      <b/>
      <sz val="11"/>
      <color theme="0" tint="-0.249977111117893"/>
      <name val="Calibri"/>
      <family val="2"/>
      <scheme val="minor"/>
    </font>
    <font>
      <sz val="11"/>
      <color rgb="FFFF0000"/>
      <name val="Calibri"/>
      <family val="2"/>
      <scheme val="minor"/>
    </font>
    <font>
      <b/>
      <sz val="11"/>
      <color rgb="FFFF0000"/>
      <name val="Calibri"/>
      <family val="2"/>
      <scheme val="minor"/>
    </font>
    <font>
      <sz val="11"/>
      <name val="Calibri"/>
      <family val="2"/>
      <scheme val="minor"/>
    </font>
    <font>
      <b/>
      <sz val="9"/>
      <color indexed="81"/>
      <name val="Tahoma"/>
      <family val="2"/>
    </font>
    <font>
      <b/>
      <sz val="11"/>
      <color theme="0"/>
      <name val="Calibri"/>
      <family val="2"/>
      <scheme val="minor"/>
    </font>
    <font>
      <sz val="11"/>
      <color theme="0"/>
      <name val="Calibri"/>
      <family val="2"/>
      <scheme val="minor"/>
    </font>
    <font>
      <sz val="10"/>
      <name val="Arial"/>
      <family val="2"/>
    </font>
    <font>
      <sz val="11"/>
      <color theme="9" tint="-0.249977111117893"/>
      <name val="Calibri"/>
      <family val="2"/>
      <scheme val="minor"/>
    </font>
    <font>
      <sz val="11"/>
      <color theme="5"/>
      <name val="Calibri"/>
      <family val="2"/>
      <scheme val="minor"/>
    </font>
    <font>
      <sz val="11"/>
      <color theme="9"/>
      <name val="Calibri"/>
      <family val="2"/>
      <scheme val="minor"/>
    </font>
    <font>
      <sz val="11"/>
      <color rgb="FF00B0F0"/>
      <name val="Calibri"/>
      <family val="2"/>
      <scheme val="minor"/>
    </font>
    <font>
      <sz val="11"/>
      <color rgb="FF7030A0"/>
      <name val="Calibri"/>
      <family val="2"/>
      <scheme val="minor"/>
    </font>
    <font>
      <sz val="11"/>
      <color theme="5" tint="-0.249977111117893"/>
      <name val="Calibri"/>
      <family val="2"/>
      <scheme val="minor"/>
    </font>
    <font>
      <sz val="8"/>
      <name val="Calibri"/>
      <family val="2"/>
      <scheme val="minor"/>
    </font>
    <font>
      <b/>
      <sz val="11"/>
      <color rgb="FFC00000"/>
      <name val="Calibri"/>
      <family val="2"/>
      <scheme val="minor"/>
    </font>
    <font>
      <b/>
      <sz val="10"/>
      <color theme="1"/>
      <name val="Calibri"/>
      <family val="2"/>
      <scheme val="minor"/>
    </font>
    <font>
      <sz val="10"/>
      <color theme="1"/>
      <name val="Calibri"/>
      <family val="2"/>
      <scheme val="minor"/>
    </font>
    <font>
      <sz val="11"/>
      <color theme="1" tint="0.499984740745262"/>
      <name val="Calibri"/>
      <family val="2"/>
      <scheme val="minor"/>
    </font>
    <font>
      <b/>
      <sz val="11"/>
      <color theme="1" tint="0.499984740745262"/>
      <name val="Calibri"/>
      <family val="2"/>
      <scheme val="minor"/>
    </font>
  </fonts>
  <fills count="16">
    <fill>
      <patternFill patternType="none"/>
    </fill>
    <fill>
      <patternFill patternType="gray125"/>
    </fill>
    <fill>
      <patternFill patternType="solid">
        <fgColor theme="2" tint="-9.9978637043366805E-2"/>
        <bgColor indexed="64"/>
      </patternFill>
    </fill>
    <fill>
      <patternFill patternType="solid">
        <fgColor rgb="FFFFC000"/>
        <bgColor indexed="64"/>
      </patternFill>
    </fill>
    <fill>
      <patternFill patternType="solid">
        <fgColor rgb="FFFFFF00"/>
        <bgColor indexed="64"/>
      </patternFill>
    </fill>
    <fill>
      <patternFill patternType="solid">
        <fgColor theme="2"/>
        <bgColor indexed="64"/>
      </patternFill>
    </fill>
    <fill>
      <patternFill patternType="solid">
        <fgColor theme="1" tint="0.499984740745262"/>
        <bgColor indexed="64"/>
      </patternFill>
    </fill>
    <fill>
      <patternFill patternType="solid">
        <fgColor rgb="FF92D050"/>
        <bgColor indexed="64"/>
      </patternFill>
    </fill>
    <fill>
      <patternFill patternType="solid">
        <fgColor rgb="FFFF0000"/>
        <bgColor indexed="64"/>
      </patternFill>
    </fill>
    <fill>
      <patternFill patternType="solid">
        <fgColor rgb="FF00B0F0"/>
        <bgColor indexed="64"/>
      </patternFill>
    </fill>
    <fill>
      <patternFill patternType="solid">
        <fgColor rgb="FF00B050"/>
        <bgColor indexed="64"/>
      </patternFill>
    </fill>
    <fill>
      <patternFill patternType="solid">
        <fgColor theme="9" tint="-0.499984740745262"/>
        <bgColor indexed="64"/>
      </patternFill>
    </fill>
    <fill>
      <patternFill patternType="solid">
        <fgColor rgb="FF7030A0"/>
        <bgColor indexed="64"/>
      </patternFill>
    </fill>
    <fill>
      <patternFill patternType="solid">
        <fgColor theme="7" tint="0.79998168889431442"/>
        <bgColor indexed="64"/>
      </patternFill>
    </fill>
    <fill>
      <patternFill patternType="solid">
        <fgColor rgb="FFC00000"/>
        <bgColor indexed="64"/>
      </patternFill>
    </fill>
    <fill>
      <patternFill patternType="solid">
        <fgColor theme="7" tint="0.59999389629810485"/>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right/>
      <top/>
      <bottom style="medium">
        <color indexed="64"/>
      </bottom>
      <diagonal/>
    </border>
    <border>
      <left/>
      <right style="thin">
        <color indexed="64"/>
      </right>
      <top/>
      <bottom style="medium">
        <color indexed="64"/>
      </bottom>
      <diagonal/>
    </border>
    <border>
      <left style="medium">
        <color auto="1"/>
      </left>
      <right/>
      <top/>
      <bottom/>
      <diagonal/>
    </border>
    <border>
      <left/>
      <right style="thin">
        <color indexed="64"/>
      </right>
      <top style="thin">
        <color indexed="64"/>
      </top>
      <bottom style="thin">
        <color indexed="64"/>
      </bottom>
      <diagonal/>
    </border>
    <border>
      <left style="thin">
        <color indexed="64"/>
      </left>
      <right/>
      <top/>
      <bottom/>
      <diagonal/>
    </border>
  </borders>
  <cellStyleXfs count="6">
    <xf numFmtId="0" fontId="0" fillId="0" borderId="0"/>
    <xf numFmtId="166" fontId="3" fillId="0" borderId="0" applyFont="0" applyFill="0" applyBorder="0" applyAlignment="0" applyProtection="0"/>
    <xf numFmtId="0" fontId="4" fillId="0" borderId="0" applyNumberFormat="0" applyFill="0" applyBorder="0" applyAlignment="0" applyProtection="0"/>
    <xf numFmtId="0" fontId="15" fillId="0" borderId="0" applyBorder="0"/>
    <xf numFmtId="0" fontId="15" fillId="0" borderId="0"/>
    <xf numFmtId="9" fontId="3" fillId="0" borderId="0" applyFont="0" applyFill="0" applyBorder="0" applyAlignment="0" applyProtection="0"/>
  </cellStyleXfs>
  <cellXfs count="363">
    <xf numFmtId="0" fontId="0" fillId="0" borderId="0" xfId="0"/>
    <xf numFmtId="0" fontId="1" fillId="0" borderId="0" xfId="0" applyFont="1"/>
    <xf numFmtId="0" fontId="0" fillId="0" borderId="0" xfId="0" applyFont="1"/>
    <xf numFmtId="0" fontId="0" fillId="0" borderId="0" xfId="0" applyFont="1" applyFill="1"/>
    <xf numFmtId="0" fontId="0" fillId="0" borderId="0" xfId="0" applyFont="1" applyFill="1" applyBorder="1"/>
    <xf numFmtId="0" fontId="0" fillId="6" borderId="0" xfId="0" applyFont="1" applyFill="1"/>
    <xf numFmtId="0" fontId="1" fillId="3" borderId="0" xfId="0" applyFont="1" applyFill="1" applyBorder="1"/>
    <xf numFmtId="0" fontId="1" fillId="2" borderId="0" xfId="0" applyFont="1" applyFill="1" applyBorder="1" applyAlignment="1">
      <alignment horizontal="center"/>
    </xf>
    <xf numFmtId="0" fontId="1" fillId="3" borderId="2" xfId="0" applyFont="1" applyFill="1" applyBorder="1" applyAlignment="1">
      <alignment horizontal="left"/>
    </xf>
    <xf numFmtId="0" fontId="0" fillId="0" borderId="2" xfId="0" applyFont="1" applyFill="1" applyBorder="1" applyAlignment="1">
      <alignment horizontal="left"/>
    </xf>
    <xf numFmtId="0" fontId="0" fillId="0" borderId="0" xfId="0" applyFont="1" applyFill="1" applyAlignment="1">
      <alignment horizontal="center"/>
    </xf>
    <xf numFmtId="0" fontId="0" fillId="6" borderId="0" xfId="0" applyFont="1" applyFill="1" applyAlignment="1">
      <alignment horizontal="center"/>
    </xf>
    <xf numFmtId="0" fontId="0" fillId="0" borderId="0" xfId="0" applyFont="1" applyFill="1" applyBorder="1" applyAlignment="1">
      <alignment horizontal="center"/>
    </xf>
    <xf numFmtId="0" fontId="0" fillId="0" borderId="0" xfId="0" applyFont="1" applyFill="1" applyBorder="1" applyAlignment="1">
      <alignment horizontal="left"/>
    </xf>
    <xf numFmtId="0" fontId="0" fillId="0" borderId="2" xfId="0" applyFont="1" applyFill="1" applyBorder="1"/>
    <xf numFmtId="0" fontId="0" fillId="0" borderId="0" xfId="0" applyFont="1" applyBorder="1"/>
    <xf numFmtId="0" fontId="0" fillId="0" borderId="2" xfId="0" applyFont="1" applyBorder="1" applyAlignment="1">
      <alignment horizontal="left"/>
    </xf>
    <xf numFmtId="3" fontId="0" fillId="0" borderId="0" xfId="0" applyNumberFormat="1" applyFont="1" applyBorder="1"/>
    <xf numFmtId="2" fontId="0" fillId="0" borderId="0" xfId="0" applyNumberFormat="1" applyFont="1"/>
    <xf numFmtId="0" fontId="1" fillId="0" borderId="0" xfId="0" applyFont="1" applyFill="1" applyAlignment="1">
      <alignment horizontal="center"/>
    </xf>
    <xf numFmtId="0" fontId="1" fillId="6" borderId="0" xfId="0" applyFont="1" applyFill="1" applyAlignment="1">
      <alignment horizontal="center"/>
    </xf>
    <xf numFmtId="0" fontId="1" fillId="5" borderId="0" xfId="0" applyFont="1" applyFill="1" applyBorder="1"/>
    <xf numFmtId="0" fontId="1" fillId="5" borderId="0" xfId="0" applyFont="1" applyFill="1"/>
    <xf numFmtId="0" fontId="1" fillId="0" borderId="1" xfId="2" applyFont="1" applyFill="1" applyBorder="1"/>
    <xf numFmtId="0" fontId="1" fillId="3" borderId="0" xfId="0" applyFont="1" applyFill="1" applyBorder="1" applyAlignment="1">
      <alignment horizontal="left"/>
    </xf>
    <xf numFmtId="0" fontId="0" fillId="0" borderId="0" xfId="0" applyFont="1" applyBorder="1" applyAlignment="1">
      <alignment horizontal="left"/>
    </xf>
    <xf numFmtId="0" fontId="0" fillId="0" borderId="2" xfId="0" applyFont="1" applyBorder="1"/>
    <xf numFmtId="0" fontId="4" fillId="0" borderId="2" xfId="2" applyBorder="1" applyAlignment="1">
      <alignment horizontal="left"/>
    </xf>
    <xf numFmtId="167" fontId="0" fillId="0" borderId="0" xfId="0" applyNumberFormat="1" applyFont="1" applyFill="1" applyBorder="1" applyAlignment="1">
      <alignment horizontal="center"/>
    </xf>
    <xf numFmtId="167" fontId="0" fillId="0" borderId="0" xfId="0" applyNumberFormat="1" applyFont="1" applyFill="1" applyBorder="1"/>
    <xf numFmtId="167" fontId="0" fillId="0" borderId="0" xfId="0" applyNumberFormat="1" applyFont="1" applyBorder="1"/>
    <xf numFmtId="167" fontId="0" fillId="0" borderId="0" xfId="0" applyNumberFormat="1" applyFont="1"/>
    <xf numFmtId="167" fontId="0" fillId="0" borderId="0" xfId="0" applyNumberFormat="1" applyFont="1" applyFill="1"/>
    <xf numFmtId="0" fontId="1" fillId="2" borderId="0" xfId="0" applyNumberFormat="1" applyFont="1" applyFill="1" applyBorder="1" applyAlignment="1">
      <alignment horizontal="center"/>
    </xf>
    <xf numFmtId="4" fontId="0" fillId="0" borderId="0" xfId="0" applyNumberFormat="1" applyFont="1" applyBorder="1"/>
    <xf numFmtId="167" fontId="0" fillId="4" borderId="0" xfId="0" applyNumberFormat="1" applyFont="1" applyFill="1" applyBorder="1"/>
    <xf numFmtId="0" fontId="1" fillId="6" borderId="0" xfId="0" applyFont="1" applyFill="1" applyBorder="1" applyAlignment="1">
      <alignment horizontal="center"/>
    </xf>
    <xf numFmtId="0" fontId="0" fillId="6" borderId="0" xfId="0" applyFont="1" applyFill="1" applyBorder="1" applyAlignment="1">
      <alignment horizontal="center"/>
    </xf>
    <xf numFmtId="0" fontId="0" fillId="6" borderId="0" xfId="0" applyFont="1" applyFill="1" applyBorder="1"/>
    <xf numFmtId="3" fontId="0" fillId="0" borderId="0" xfId="0" applyNumberFormat="1"/>
    <xf numFmtId="167" fontId="0" fillId="0" borderId="0" xfId="0" applyNumberFormat="1"/>
    <xf numFmtId="4" fontId="0" fillId="0" borderId="0" xfId="0" applyNumberFormat="1"/>
    <xf numFmtId="3" fontId="5" fillId="0" borderId="0" xfId="0" applyNumberFormat="1" applyFont="1" applyBorder="1"/>
    <xf numFmtId="167" fontId="5" fillId="0" borderId="0" xfId="0" applyNumberFormat="1" applyFont="1" applyBorder="1"/>
    <xf numFmtId="167" fontId="6" fillId="0" borderId="0" xfId="0" applyNumberFormat="1" applyFont="1" applyBorder="1"/>
    <xf numFmtId="168" fontId="0" fillId="0" borderId="0" xfId="0" applyNumberFormat="1" applyFont="1" applyBorder="1"/>
    <xf numFmtId="0" fontId="0" fillId="6" borderId="3" xfId="0" applyFont="1" applyFill="1" applyBorder="1"/>
    <xf numFmtId="0" fontId="0" fillId="0" borderId="3" xfId="0" applyFont="1" applyBorder="1" applyAlignment="1">
      <alignment horizontal="left"/>
    </xf>
    <xf numFmtId="0" fontId="0" fillId="0" borderId="4" xfId="0" applyFont="1" applyBorder="1" applyAlignment="1">
      <alignment horizontal="left"/>
    </xf>
    <xf numFmtId="167" fontId="0" fillId="0" borderId="3" xfId="0" applyNumberFormat="1" applyFont="1" applyBorder="1"/>
    <xf numFmtId="3" fontId="0" fillId="0" borderId="3" xfId="0" applyNumberFormat="1" applyFont="1" applyBorder="1"/>
    <xf numFmtId="3" fontId="0" fillId="0" borderId="3" xfId="0" applyNumberFormat="1" applyBorder="1"/>
    <xf numFmtId="0" fontId="0" fillId="0" borderId="3" xfId="0" applyBorder="1"/>
    <xf numFmtId="4" fontId="5" fillId="0" borderId="0" xfId="0" applyNumberFormat="1" applyFont="1" applyBorder="1"/>
    <xf numFmtId="4" fontId="0" fillId="0" borderId="0" xfId="0" applyNumberFormat="1" applyFont="1" applyFill="1" applyBorder="1"/>
    <xf numFmtId="3" fontId="0" fillId="0" borderId="0" xfId="0" applyNumberFormat="1" applyFont="1" applyFill="1" applyBorder="1"/>
    <xf numFmtId="3" fontId="5" fillId="0" borderId="0" xfId="0" applyNumberFormat="1" applyFont="1" applyFill="1" applyBorder="1"/>
    <xf numFmtId="0" fontId="1" fillId="0" borderId="0" xfId="0" applyFont="1" applyBorder="1" applyAlignment="1">
      <alignment horizontal="left"/>
    </xf>
    <xf numFmtId="0" fontId="8" fillId="0" borderId="0" xfId="0" applyFont="1" applyFill="1" applyAlignment="1">
      <alignment horizontal="center"/>
    </xf>
    <xf numFmtId="0" fontId="8" fillId="0" borderId="0" xfId="0" applyFont="1" applyFill="1" applyBorder="1" applyAlignment="1">
      <alignment horizontal="center"/>
    </xf>
    <xf numFmtId="0" fontId="7" fillId="0" borderId="0" xfId="0" applyFont="1" applyFill="1" applyAlignment="1">
      <alignment horizontal="center"/>
    </xf>
    <xf numFmtId="0" fontId="7" fillId="0" borderId="0" xfId="0" applyFont="1" applyFill="1" applyBorder="1" applyAlignment="1">
      <alignment horizontal="center"/>
    </xf>
    <xf numFmtId="0" fontId="7" fillId="0" borderId="0" xfId="0" applyFont="1" applyFill="1"/>
    <xf numFmtId="0" fontId="0" fillId="4" borderId="2" xfId="0" applyFont="1" applyFill="1" applyBorder="1" applyAlignment="1">
      <alignment horizontal="left"/>
    </xf>
    <xf numFmtId="0" fontId="0" fillId="4" borderId="0" xfId="0" applyFont="1" applyFill="1"/>
    <xf numFmtId="0" fontId="0" fillId="4" borderId="0" xfId="0" applyFont="1" applyFill="1" applyBorder="1" applyAlignment="1">
      <alignment horizontal="left"/>
    </xf>
    <xf numFmtId="167" fontId="0" fillId="4" borderId="0" xfId="0" applyNumberFormat="1" applyFont="1" applyFill="1"/>
    <xf numFmtId="0" fontId="0" fillId="0" borderId="0" xfId="0" applyFill="1"/>
    <xf numFmtId="0" fontId="0" fillId="0" borderId="0" xfId="0" applyAlignment="1">
      <alignment vertical="center"/>
    </xf>
    <xf numFmtId="0" fontId="0" fillId="0" borderId="0" xfId="0" applyAlignment="1">
      <alignment vertical="center" wrapText="1"/>
    </xf>
    <xf numFmtId="0" fontId="1" fillId="4" borderId="0" xfId="0" applyFont="1" applyFill="1"/>
    <xf numFmtId="0" fontId="9" fillId="0" borderId="0" xfId="0" applyFont="1"/>
    <xf numFmtId="0" fontId="11" fillId="0" borderId="0" xfId="0" applyFont="1"/>
    <xf numFmtId="0" fontId="1" fillId="0" borderId="0" xfId="2" applyFont="1" applyFill="1" applyBorder="1"/>
    <xf numFmtId="0" fontId="1" fillId="4" borderId="0" xfId="0" applyFont="1" applyFill="1" applyBorder="1"/>
    <xf numFmtId="0" fontId="0" fillId="0" borderId="0" xfId="0" applyBorder="1"/>
    <xf numFmtId="0" fontId="1" fillId="0" borderId="0" xfId="0" applyFont="1" applyBorder="1"/>
    <xf numFmtId="0" fontId="7" fillId="4" borderId="0" xfId="0" applyFont="1" applyFill="1"/>
    <xf numFmtId="0" fontId="7" fillId="0" borderId="0" xfId="0" applyFont="1"/>
    <xf numFmtId="4" fontId="0" fillId="0" borderId="0" xfId="0" applyNumberFormat="1" applyBorder="1"/>
    <xf numFmtId="4" fontId="11" fillId="0" borderId="0" xfId="0" applyNumberFormat="1" applyFont="1"/>
    <xf numFmtId="4" fontId="9" fillId="0" borderId="0" xfId="0" applyNumberFormat="1" applyFont="1"/>
    <xf numFmtId="4" fontId="9" fillId="0" borderId="0" xfId="0" applyNumberFormat="1" applyFont="1" applyBorder="1"/>
    <xf numFmtId="0" fontId="1" fillId="4" borderId="5" xfId="0" applyFont="1" applyFill="1" applyBorder="1"/>
    <xf numFmtId="0" fontId="1" fillId="0" borderId="5" xfId="0" applyFont="1" applyBorder="1"/>
    <xf numFmtId="0" fontId="0" fillId="0" borderId="5" xfId="0" applyBorder="1"/>
    <xf numFmtId="4" fontId="0" fillId="0" borderId="5" xfId="0" applyNumberFormat="1" applyBorder="1"/>
    <xf numFmtId="4" fontId="9" fillId="0" borderId="5" xfId="0" applyNumberFormat="1" applyFont="1" applyBorder="1"/>
    <xf numFmtId="0" fontId="1" fillId="0" borderId="0" xfId="0" applyFont="1" applyFill="1" applyBorder="1"/>
    <xf numFmtId="0" fontId="1" fillId="0" borderId="5" xfId="0" applyFont="1" applyFill="1" applyBorder="1"/>
    <xf numFmtId="4" fontId="11" fillId="0" borderId="0" xfId="0" applyNumberFormat="1" applyFont="1" applyBorder="1"/>
    <xf numFmtId="4" fontId="11" fillId="0" borderId="5" xfId="0" applyNumberFormat="1" applyFont="1" applyBorder="1"/>
    <xf numFmtId="0" fontId="1" fillId="0" borderId="5" xfId="0" applyFont="1" applyBorder="1" applyAlignment="1">
      <alignment vertical="top" wrapText="1"/>
    </xf>
    <xf numFmtId="0" fontId="1" fillId="0" borderId="0" xfId="0" applyFont="1" applyAlignment="1">
      <alignment vertical="top" wrapText="1"/>
    </xf>
    <xf numFmtId="0" fontId="1" fillId="0" borderId="0" xfId="0" applyFont="1" applyBorder="1" applyAlignment="1">
      <alignment vertical="top" wrapText="1"/>
    </xf>
    <xf numFmtId="0" fontId="1" fillId="0" borderId="0" xfId="0" applyFont="1" applyFill="1" applyBorder="1" applyAlignment="1">
      <alignment vertical="top" wrapText="1"/>
    </xf>
    <xf numFmtId="0" fontId="1" fillId="0" borderId="5" xfId="0" applyFont="1" applyFill="1" applyBorder="1" applyAlignment="1">
      <alignment vertical="top" wrapText="1"/>
    </xf>
    <xf numFmtId="0" fontId="7" fillId="0" borderId="0" xfId="0" applyFont="1" applyAlignment="1">
      <alignment vertical="top" wrapText="1"/>
    </xf>
    <xf numFmtId="0" fontId="0" fillId="7" borderId="0" xfId="0" applyFill="1"/>
    <xf numFmtId="4" fontId="0" fillId="7" borderId="5" xfId="0" applyNumberFormat="1" applyFill="1" applyBorder="1"/>
    <xf numFmtId="4" fontId="0" fillId="7" borderId="0" xfId="0" applyNumberFormat="1" applyFill="1" applyBorder="1"/>
    <xf numFmtId="4" fontId="9" fillId="7" borderId="0" xfId="0" applyNumberFormat="1" applyFont="1" applyFill="1" applyBorder="1"/>
    <xf numFmtId="4" fontId="11" fillId="7" borderId="0" xfId="0" applyNumberFormat="1" applyFont="1" applyFill="1" applyBorder="1"/>
    <xf numFmtId="4" fontId="9" fillId="7" borderId="5" xfId="0" applyNumberFormat="1" applyFont="1" applyFill="1" applyBorder="1"/>
    <xf numFmtId="4" fontId="11" fillId="7" borderId="5" xfId="0" applyNumberFormat="1" applyFont="1" applyFill="1" applyBorder="1"/>
    <xf numFmtId="0" fontId="10" fillId="0" borderId="0" xfId="0" applyFont="1" applyFill="1"/>
    <xf numFmtId="0" fontId="0" fillId="8" borderId="0" xfId="0" applyFill="1"/>
    <xf numFmtId="11" fontId="0" fillId="0" borderId="0" xfId="0" applyNumberFormat="1"/>
    <xf numFmtId="0" fontId="1" fillId="0" borderId="5" xfId="0" applyFont="1" applyBorder="1" applyAlignment="1">
      <alignment vertical="top"/>
    </xf>
    <xf numFmtId="0" fontId="1" fillId="0" borderId="0" xfId="0" applyFont="1" applyAlignment="1">
      <alignment vertical="top"/>
    </xf>
    <xf numFmtId="0" fontId="1" fillId="0" borderId="0" xfId="0" applyFont="1" applyBorder="1" applyAlignment="1">
      <alignment vertical="top"/>
    </xf>
    <xf numFmtId="0" fontId="1" fillId="0" borderId="0" xfId="0" applyFont="1" applyFill="1" applyBorder="1" applyAlignment="1">
      <alignment vertical="top"/>
    </xf>
    <xf numFmtId="0" fontId="1" fillId="0" borderId="5" xfId="0" applyFont="1" applyFill="1" applyBorder="1" applyAlignment="1">
      <alignment vertical="top"/>
    </xf>
    <xf numFmtId="0" fontId="7" fillId="0" borderId="0" xfId="0" applyFont="1" applyAlignment="1">
      <alignment vertical="top"/>
    </xf>
    <xf numFmtId="0" fontId="0" fillId="0" borderId="0" xfId="0" applyAlignment="1">
      <alignment wrapText="1"/>
    </xf>
    <xf numFmtId="0" fontId="1" fillId="0" borderId="0" xfId="0" applyFont="1" applyAlignment="1">
      <alignment wrapText="1"/>
    </xf>
    <xf numFmtId="2" fontId="0" fillId="0" borderId="0" xfId="0" applyNumberFormat="1"/>
    <xf numFmtId="4" fontId="0" fillId="0" borderId="0" xfId="0" applyNumberFormat="1" applyFill="1" applyBorder="1"/>
    <xf numFmtId="4" fontId="9" fillId="0" borderId="0" xfId="0" applyNumberFormat="1" applyFont="1" applyFill="1" applyBorder="1"/>
    <xf numFmtId="4" fontId="11" fillId="0" borderId="0" xfId="0" applyNumberFormat="1" applyFont="1" applyFill="1" applyBorder="1"/>
    <xf numFmtId="4" fontId="9" fillId="8" borderId="0" xfId="0" applyNumberFormat="1" applyFont="1" applyFill="1" applyBorder="1"/>
    <xf numFmtId="3" fontId="0" fillId="0" borderId="5" xfId="0" applyNumberFormat="1" applyBorder="1"/>
    <xf numFmtId="3" fontId="0" fillId="7" borderId="5" xfId="0" applyNumberFormat="1" applyFill="1" applyBorder="1"/>
    <xf numFmtId="0" fontId="1" fillId="9" borderId="0" xfId="0" applyFont="1" applyFill="1" applyBorder="1" applyAlignment="1">
      <alignment vertical="top" wrapText="1"/>
    </xf>
    <xf numFmtId="0" fontId="0" fillId="0" borderId="0" xfId="0" applyAlignment="1">
      <alignment vertical="top" wrapText="1"/>
    </xf>
    <xf numFmtId="0" fontId="1" fillId="4" borderId="0" xfId="0" applyFont="1" applyFill="1" applyAlignment="1">
      <alignment vertical="top" wrapText="1"/>
    </xf>
    <xf numFmtId="2" fontId="11" fillId="0" borderId="0" xfId="0" applyNumberFormat="1" applyFont="1"/>
    <xf numFmtId="0" fontId="1" fillId="4" borderId="0" xfId="0" applyFont="1" applyFill="1" applyAlignment="1">
      <alignment vertical="top"/>
    </xf>
    <xf numFmtId="0" fontId="1" fillId="4" borderId="5" xfId="0" applyFont="1" applyFill="1" applyBorder="1" applyAlignment="1">
      <alignment vertical="top"/>
    </xf>
    <xf numFmtId="0" fontId="1" fillId="4" borderId="0" xfId="0" applyFont="1" applyFill="1" applyBorder="1" applyAlignment="1">
      <alignment vertical="top"/>
    </xf>
    <xf numFmtId="0" fontId="7" fillId="4" borderId="0" xfId="0" applyFont="1" applyFill="1" applyAlignment="1">
      <alignment vertical="top"/>
    </xf>
    <xf numFmtId="0" fontId="0" fillId="0" borderId="0" xfId="0" applyAlignment="1">
      <alignment vertical="top"/>
    </xf>
    <xf numFmtId="2" fontId="0" fillId="0" borderId="0" xfId="0" applyNumberFormat="1" applyFont="1" applyFill="1" applyBorder="1"/>
    <xf numFmtId="0" fontId="0" fillId="4" borderId="0" xfId="0" applyFill="1" applyAlignment="1">
      <alignment vertical="top" wrapText="1"/>
    </xf>
    <xf numFmtId="2" fontId="0" fillId="7" borderId="0" xfId="0" applyNumberFormat="1" applyFill="1"/>
    <xf numFmtId="3" fontId="9" fillId="0" borderId="5" xfId="0" applyNumberFormat="1" applyFont="1" applyBorder="1"/>
    <xf numFmtId="3" fontId="9" fillId="7" borderId="5" xfId="0" applyNumberFormat="1" applyFont="1" applyFill="1" applyBorder="1"/>
    <xf numFmtId="3" fontId="9" fillId="0" borderId="0" xfId="0" applyNumberFormat="1" applyFont="1"/>
    <xf numFmtId="0" fontId="0" fillId="9" borderId="0" xfId="0" applyFill="1"/>
    <xf numFmtId="4" fontId="0" fillId="9" borderId="0" xfId="0" applyNumberFormat="1" applyFill="1" applyBorder="1"/>
    <xf numFmtId="0" fontId="7" fillId="3" borderId="0" xfId="3" applyFont="1" applyFill="1"/>
    <xf numFmtId="0" fontId="7" fillId="0" borderId="0" xfId="3" applyFont="1"/>
    <xf numFmtId="0" fontId="11" fillId="0" borderId="0" xfId="3" applyFont="1"/>
    <xf numFmtId="4" fontId="11" fillId="0" borderId="0" xfId="3" applyNumberFormat="1" applyFont="1"/>
    <xf numFmtId="4" fontId="7" fillId="7" borderId="0" xfId="3" applyNumberFormat="1" applyFont="1" applyFill="1"/>
    <xf numFmtId="4" fontId="11" fillId="7" borderId="0" xfId="3" applyNumberFormat="1" applyFont="1" applyFill="1"/>
    <xf numFmtId="0" fontId="11" fillId="7" borderId="0" xfId="3" applyFont="1" applyFill="1"/>
    <xf numFmtId="0" fontId="7" fillId="0" borderId="0" xfId="4" applyFont="1"/>
    <xf numFmtId="0" fontId="11" fillId="0" borderId="0" xfId="3" quotePrefix="1" applyFont="1"/>
    <xf numFmtId="168" fontId="5" fillId="0" borderId="0" xfId="3" applyNumberFormat="1" applyFont="1"/>
    <xf numFmtId="168" fontId="11" fillId="0" borderId="0" xfId="3" applyNumberFormat="1" applyFont="1"/>
    <xf numFmtId="0" fontId="11" fillId="0" borderId="0" xfId="4" applyFont="1"/>
    <xf numFmtId="168" fontId="11" fillId="3" borderId="0" xfId="4" applyNumberFormat="1" applyFont="1" applyFill="1"/>
    <xf numFmtId="168" fontId="16" fillId="0" borderId="0" xfId="4" applyNumberFormat="1" applyFont="1"/>
    <xf numFmtId="0" fontId="6" fillId="0" borderId="0" xfId="3" applyFont="1"/>
    <xf numFmtId="168" fontId="6" fillId="0" borderId="0" xfId="3" applyNumberFormat="1" applyFont="1"/>
    <xf numFmtId="168" fontId="6" fillId="0" borderId="0" xfId="4" applyNumberFormat="1" applyFont="1"/>
    <xf numFmtId="168" fontId="11" fillId="0" borderId="0" xfId="4" applyNumberFormat="1" applyFont="1"/>
    <xf numFmtId="4" fontId="11" fillId="0" borderId="0" xfId="4" applyNumberFormat="1" applyFont="1"/>
    <xf numFmtId="4" fontId="7" fillId="10" borderId="0" xfId="3" applyNumberFormat="1" applyFont="1" applyFill="1"/>
    <xf numFmtId="4" fontId="11" fillId="10" borderId="0" xfId="3" applyNumberFormat="1" applyFont="1" applyFill="1"/>
    <xf numFmtId="0" fontId="11" fillId="10" borderId="0" xfId="3" applyFont="1" applyFill="1"/>
    <xf numFmtId="0" fontId="6" fillId="0" borderId="0" xfId="4" applyFont="1"/>
    <xf numFmtId="0" fontId="17" fillId="0" borderId="0" xfId="3" applyFont="1"/>
    <xf numFmtId="168" fontId="17" fillId="0" borderId="0" xfId="4" applyNumberFormat="1" applyFont="1"/>
    <xf numFmtId="168" fontId="5" fillId="0" borderId="0" xfId="4" applyNumberFormat="1" applyFont="1"/>
    <xf numFmtId="4" fontId="7" fillId="9" borderId="0" xfId="3" applyNumberFormat="1" applyFont="1" applyFill="1"/>
    <xf numFmtId="4" fontId="11" fillId="9" borderId="0" xfId="3" applyNumberFormat="1" applyFont="1" applyFill="1"/>
    <xf numFmtId="0" fontId="11" fillId="9" borderId="0" xfId="3" applyFont="1" applyFill="1"/>
    <xf numFmtId="168" fontId="18" fillId="0" borderId="0" xfId="4" applyNumberFormat="1" applyFont="1"/>
    <xf numFmtId="0" fontId="7" fillId="4" borderId="0" xfId="3" applyFont="1" applyFill="1"/>
    <xf numFmtId="169" fontId="11" fillId="3" borderId="0" xfId="4" applyNumberFormat="1" applyFont="1" applyFill="1"/>
    <xf numFmtId="169" fontId="18" fillId="0" borderId="0" xfId="4" applyNumberFormat="1" applyFont="1"/>
    <xf numFmtId="169" fontId="6" fillId="0" borderId="0" xfId="4" applyNumberFormat="1" applyFont="1"/>
    <xf numFmtId="169" fontId="16" fillId="0" borderId="0" xfId="4" applyNumberFormat="1" applyFont="1"/>
    <xf numFmtId="169" fontId="11" fillId="9" borderId="0" xfId="3" applyNumberFormat="1" applyFont="1" applyFill="1"/>
    <xf numFmtId="0" fontId="6" fillId="0" borderId="0" xfId="3" quotePrefix="1" applyFont="1"/>
    <xf numFmtId="169" fontId="11" fillId="0" borderId="0" xfId="4" applyNumberFormat="1" applyFont="1"/>
    <xf numFmtId="0" fontId="11" fillId="4" borderId="0" xfId="4" applyFont="1" applyFill="1"/>
    <xf numFmtId="165" fontId="11" fillId="0" borderId="0" xfId="4" applyNumberFormat="1" applyFont="1"/>
    <xf numFmtId="4" fontId="13" fillId="11" borderId="0" xfId="3" applyNumberFormat="1" applyFont="1" applyFill="1"/>
    <xf numFmtId="4" fontId="14" fillId="11" borderId="0" xfId="3" applyNumberFormat="1" applyFont="1" applyFill="1"/>
    <xf numFmtId="0" fontId="14" fillId="11" borderId="0" xfId="3" applyFont="1" applyFill="1"/>
    <xf numFmtId="3" fontId="11" fillId="3" borderId="0" xfId="4" applyNumberFormat="1" applyFont="1" applyFill="1"/>
    <xf numFmtId="3" fontId="16" fillId="0" borderId="0" xfId="4" applyNumberFormat="1" applyFont="1"/>
    <xf numFmtId="4" fontId="13" fillId="12" borderId="0" xfId="3" applyNumberFormat="1" applyFont="1" applyFill="1"/>
    <xf numFmtId="4" fontId="14" fillId="12" borderId="0" xfId="3" applyNumberFormat="1" applyFont="1" applyFill="1"/>
    <xf numFmtId="0" fontId="14" fillId="12" borderId="0" xfId="3" applyFont="1" applyFill="1"/>
    <xf numFmtId="0" fontId="1" fillId="2" borderId="0" xfId="0" applyFont="1" applyFill="1" applyAlignment="1">
      <alignment horizontal="center" vertical="top" wrapText="1"/>
    </xf>
    <xf numFmtId="0" fontId="0" fillId="13" borderId="0" xfId="0" applyFont="1" applyFill="1"/>
    <xf numFmtId="0" fontId="0" fillId="13" borderId="2" xfId="0" applyFont="1" applyFill="1" applyBorder="1" applyAlignment="1">
      <alignment horizontal="left"/>
    </xf>
    <xf numFmtId="164" fontId="0" fillId="0" borderId="0" xfId="0" applyNumberFormat="1" applyFont="1"/>
    <xf numFmtId="0" fontId="0" fillId="13" borderId="0" xfId="0" applyFont="1" applyFill="1" applyBorder="1" applyAlignment="1">
      <alignment horizontal="left"/>
    </xf>
    <xf numFmtId="0" fontId="14" fillId="14" borderId="0" xfId="0" applyFont="1" applyFill="1" applyBorder="1" applyAlignment="1">
      <alignment horizontal="left"/>
    </xf>
    <xf numFmtId="4" fontId="6" fillId="0" borderId="0" xfId="0" applyNumberFormat="1" applyFont="1" applyBorder="1"/>
    <xf numFmtId="0" fontId="0" fillId="6" borderId="0" xfId="0" applyFill="1"/>
    <xf numFmtId="170" fontId="5" fillId="0" borderId="0" xfId="3" applyNumberFormat="1" applyFont="1"/>
    <xf numFmtId="169" fontId="5" fillId="0" borderId="0" xfId="3" applyNumberFormat="1" applyFont="1"/>
    <xf numFmtId="0" fontId="0" fillId="4" borderId="0" xfId="0" applyFont="1" applyFill="1" applyBorder="1"/>
    <xf numFmtId="0" fontId="1" fillId="0" borderId="6" xfId="2" applyFont="1" applyFill="1" applyBorder="1"/>
    <xf numFmtId="0" fontId="1" fillId="0" borderId="0" xfId="0" applyFont="1" applyFill="1" applyBorder="1" applyAlignment="1">
      <alignment horizontal="center"/>
    </xf>
    <xf numFmtId="0" fontId="0" fillId="0" borderId="0" xfId="0" quotePrefix="1" applyFill="1"/>
    <xf numFmtId="0" fontId="0" fillId="0" borderId="2" xfId="0" applyFill="1" applyBorder="1"/>
    <xf numFmtId="0" fontId="0" fillId="0" borderId="2" xfId="0" applyFont="1" applyFill="1" applyBorder="1" applyAlignment="1">
      <alignment horizontal="center"/>
    </xf>
    <xf numFmtId="0" fontId="1" fillId="3" borderId="0" xfId="0" applyFont="1" applyFill="1"/>
    <xf numFmtId="0" fontId="1" fillId="3" borderId="2" xfId="0" applyFont="1" applyFill="1" applyBorder="1"/>
    <xf numFmtId="0" fontId="14" fillId="14" borderId="0" xfId="0" applyFont="1" applyFill="1"/>
    <xf numFmtId="0" fontId="0" fillId="4" borderId="2" xfId="0" applyFill="1" applyBorder="1"/>
    <xf numFmtId="164" fontId="19" fillId="0" borderId="0" xfId="0" applyNumberFormat="1" applyFont="1"/>
    <xf numFmtId="1" fontId="19" fillId="0" borderId="0" xfId="0" applyNumberFormat="1" applyFont="1"/>
    <xf numFmtId="0" fontId="0" fillId="0" borderId="2" xfId="0" applyFill="1" applyBorder="1" applyAlignment="1">
      <alignment horizontal="left"/>
    </xf>
    <xf numFmtId="0" fontId="1" fillId="0" borderId="7" xfId="2" applyFont="1" applyFill="1" applyBorder="1"/>
    <xf numFmtId="0" fontId="1" fillId="7" borderId="0" xfId="0" applyFont="1" applyFill="1" applyAlignment="1">
      <alignment horizontal="center"/>
    </xf>
    <xf numFmtId="0" fontId="1" fillId="7" borderId="0" xfId="0" applyFont="1" applyFill="1" applyBorder="1" applyAlignment="1">
      <alignment horizontal="left"/>
    </xf>
    <xf numFmtId="0" fontId="1" fillId="7" borderId="2" xfId="0" applyFont="1" applyFill="1" applyBorder="1" applyAlignment="1">
      <alignment horizontal="left"/>
    </xf>
    <xf numFmtId="167" fontId="1" fillId="7" borderId="0" xfId="0" applyNumberFormat="1" applyFont="1" applyFill="1" applyBorder="1" applyAlignment="1">
      <alignment horizontal="center"/>
    </xf>
    <xf numFmtId="0" fontId="1" fillId="7" borderId="0" xfId="0" applyFont="1" applyFill="1" applyBorder="1" applyAlignment="1">
      <alignment horizontal="center"/>
    </xf>
    <xf numFmtId="3" fontId="1" fillId="7" borderId="0" xfId="0" applyNumberFormat="1" applyFont="1" applyFill="1"/>
    <xf numFmtId="0" fontId="1" fillId="7" borderId="0" xfId="0" applyFont="1" applyFill="1"/>
    <xf numFmtId="0" fontId="1" fillId="15" borderId="0" xfId="0" applyFont="1" applyFill="1"/>
    <xf numFmtId="0" fontId="1" fillId="15" borderId="0" xfId="0" applyFont="1" applyFill="1" applyBorder="1" applyAlignment="1">
      <alignment horizontal="left"/>
    </xf>
    <xf numFmtId="0" fontId="1" fillId="15" borderId="2" xfId="0" applyFont="1" applyFill="1" applyBorder="1" applyAlignment="1">
      <alignment horizontal="left"/>
    </xf>
    <xf numFmtId="167" fontId="1" fillId="15" borderId="0" xfId="0" applyNumberFormat="1" applyFont="1" applyFill="1" applyBorder="1"/>
    <xf numFmtId="0" fontId="1" fillId="15" borderId="0" xfId="0" applyFont="1" applyFill="1" applyBorder="1"/>
    <xf numFmtId="167" fontId="1" fillId="15" borderId="0" xfId="0" applyNumberFormat="1" applyFont="1" applyFill="1"/>
    <xf numFmtId="3" fontId="0" fillId="0" borderId="0" xfId="0" applyNumberFormat="1" applyFont="1" applyFill="1"/>
    <xf numFmtId="0" fontId="0" fillId="0" borderId="0" xfId="0" applyNumberFormat="1" applyFont="1" applyBorder="1"/>
    <xf numFmtId="165" fontId="19" fillId="0" borderId="0" xfId="0" applyNumberFormat="1" applyFont="1"/>
    <xf numFmtId="2" fontId="11" fillId="0" borderId="0" xfId="0" applyNumberFormat="1" applyFont="1" applyFill="1" applyBorder="1"/>
    <xf numFmtId="3" fontId="19" fillId="0" borderId="0" xfId="0" applyNumberFormat="1" applyFont="1"/>
    <xf numFmtId="1" fontId="0" fillId="0" borderId="0" xfId="0" applyNumberFormat="1" applyFont="1" applyFill="1" applyBorder="1"/>
    <xf numFmtId="2" fontId="0" fillId="0" borderId="0" xfId="0" applyNumberFormat="1" applyFont="1" applyFill="1"/>
    <xf numFmtId="0" fontId="1" fillId="6" borderId="0" xfId="0" applyFont="1" applyFill="1" applyAlignment="1">
      <alignment horizontal="center" vertical="center"/>
    </xf>
    <xf numFmtId="0" fontId="1" fillId="3" borderId="0" xfId="0" applyFont="1" applyFill="1" applyBorder="1" applyAlignment="1">
      <alignment horizontal="left" vertical="center"/>
    </xf>
    <xf numFmtId="0" fontId="1" fillId="3" borderId="0" xfId="0" applyFont="1" applyFill="1" applyBorder="1" applyAlignment="1">
      <alignment horizontal="left" vertical="center" wrapText="1"/>
    </xf>
    <xf numFmtId="0" fontId="1" fillId="6" borderId="0" xfId="0" applyFont="1" applyFill="1" applyBorder="1" applyAlignment="1">
      <alignment horizontal="center" vertical="center"/>
    </xf>
    <xf numFmtId="0" fontId="1" fillId="2" borderId="0" xfId="0" applyNumberFormat="1" applyFont="1" applyFill="1" applyBorder="1" applyAlignment="1">
      <alignment horizontal="center" vertical="center"/>
    </xf>
    <xf numFmtId="0" fontId="0" fillId="0" borderId="0" xfId="0" applyFont="1" applyFill="1" applyBorder="1" applyAlignment="1">
      <alignment horizontal="left" vertical="center"/>
    </xf>
    <xf numFmtId="0" fontId="0" fillId="0" borderId="0" xfId="0" applyFont="1" applyFill="1" applyBorder="1" applyAlignment="1">
      <alignment horizontal="left" vertical="center" wrapText="1"/>
    </xf>
    <xf numFmtId="167" fontId="0" fillId="0" borderId="0" xfId="0" applyNumberFormat="1" applyFont="1" applyFill="1" applyBorder="1" applyAlignment="1">
      <alignment horizontal="center" vertical="center"/>
    </xf>
    <xf numFmtId="0" fontId="1" fillId="15" borderId="0" xfId="0" applyFont="1" applyFill="1" applyAlignment="1">
      <alignment vertical="center"/>
    </xf>
    <xf numFmtId="0" fontId="1" fillId="15" borderId="0" xfId="0" applyFont="1" applyFill="1" applyBorder="1" applyAlignment="1">
      <alignment horizontal="left" vertical="center"/>
    </xf>
    <xf numFmtId="0" fontId="1" fillId="15" borderId="0" xfId="0" applyFont="1" applyFill="1" applyBorder="1" applyAlignment="1">
      <alignment horizontal="left" vertical="center" wrapText="1"/>
    </xf>
    <xf numFmtId="0" fontId="1" fillId="15" borderId="0" xfId="0" applyFont="1" applyFill="1" applyBorder="1" applyAlignment="1">
      <alignment vertical="center"/>
    </xf>
    <xf numFmtId="167" fontId="1" fillId="15" borderId="0" xfId="0" applyNumberFormat="1" applyFont="1" applyFill="1" applyBorder="1" applyAlignment="1">
      <alignment horizontal="center" vertical="center"/>
    </xf>
    <xf numFmtId="0" fontId="0" fillId="6" borderId="0" xfId="0" applyFont="1" applyFill="1" applyAlignment="1">
      <alignment vertical="center"/>
    </xf>
    <xf numFmtId="0" fontId="0" fillId="0" borderId="0" xfId="0" applyFont="1" applyBorder="1" applyAlignment="1">
      <alignment horizontal="left" vertical="center"/>
    </xf>
    <xf numFmtId="0" fontId="0" fillId="0" borderId="0" xfId="0" applyFont="1" applyBorder="1" applyAlignment="1">
      <alignment horizontal="left" vertical="center" wrapText="1"/>
    </xf>
    <xf numFmtId="0" fontId="0" fillId="6" borderId="0" xfId="0" applyFont="1" applyFill="1" applyBorder="1" applyAlignment="1">
      <alignment vertical="center"/>
    </xf>
    <xf numFmtId="0" fontId="11" fillId="0" borderId="0" xfId="0" applyNumberFormat="1" applyFont="1" applyBorder="1" applyAlignment="1">
      <alignment horizontal="center" vertical="center"/>
    </xf>
    <xf numFmtId="0" fontId="0" fillId="0" borderId="0" xfId="0" applyNumberFormat="1" applyFont="1" applyBorder="1" applyAlignment="1">
      <alignment horizontal="center" vertical="center"/>
    </xf>
    <xf numFmtId="3" fontId="0" fillId="0" borderId="0" xfId="0" applyNumberFormat="1" applyAlignment="1">
      <alignment vertical="center"/>
    </xf>
    <xf numFmtId="0" fontId="0" fillId="0" borderId="0" xfId="0" applyNumberFormat="1" applyFont="1" applyFill="1" applyBorder="1" applyAlignment="1">
      <alignment horizontal="center" vertical="center"/>
    </xf>
    <xf numFmtId="2" fontId="0" fillId="0" borderId="0" xfId="0" applyNumberFormat="1" applyFont="1" applyBorder="1" applyAlignment="1">
      <alignment horizontal="center" vertical="center"/>
    </xf>
    <xf numFmtId="167" fontId="0" fillId="0" borderId="0" xfId="0" applyNumberFormat="1" applyFont="1" applyAlignment="1">
      <alignment horizontal="center" vertical="center"/>
    </xf>
    <xf numFmtId="167" fontId="0" fillId="0" borderId="0" xfId="0" applyNumberFormat="1" applyFont="1" applyFill="1" applyAlignment="1">
      <alignment horizontal="center" vertical="center"/>
    </xf>
    <xf numFmtId="0" fontId="0" fillId="0" borderId="0" xfId="0" applyFont="1" applyAlignment="1">
      <alignment vertical="center"/>
    </xf>
    <xf numFmtId="0" fontId="0" fillId="0" borderId="0" xfId="0" applyFont="1" applyBorder="1" applyAlignment="1">
      <alignment vertical="center"/>
    </xf>
    <xf numFmtId="0" fontId="0" fillId="0" borderId="0" xfId="0" applyFont="1" applyBorder="1" applyAlignment="1">
      <alignment vertical="center" wrapText="1"/>
    </xf>
    <xf numFmtId="0" fontId="20" fillId="0" borderId="0" xfId="0" applyNumberFormat="1" applyFont="1" applyBorder="1" applyAlignment="1">
      <alignment horizontal="center" vertical="center"/>
    </xf>
    <xf numFmtId="0" fontId="21" fillId="0" borderId="0" xfId="0" applyNumberFormat="1" applyFont="1" applyBorder="1" applyAlignment="1">
      <alignment horizontal="center" vertical="center"/>
    </xf>
    <xf numFmtId="0" fontId="19" fillId="0" borderId="0" xfId="0" applyFont="1" applyFill="1" applyBorder="1"/>
    <xf numFmtId="3" fontId="19" fillId="0" borderId="0" xfId="0" applyNumberFormat="1" applyFont="1" applyFill="1" applyBorder="1"/>
    <xf numFmtId="0" fontId="1" fillId="0" borderId="0" xfId="2" applyFont="1" applyFill="1"/>
    <xf numFmtId="0" fontId="1" fillId="3" borderId="0" xfId="0" applyFont="1" applyFill="1" applyAlignment="1">
      <alignment horizontal="center"/>
    </xf>
    <xf numFmtId="0" fontId="1" fillId="3" borderId="0" xfId="0" applyFont="1" applyFill="1" applyAlignment="1">
      <alignment vertical="center" wrapText="1"/>
    </xf>
    <xf numFmtId="0" fontId="1" fillId="3" borderId="5" xfId="0" applyFont="1" applyFill="1" applyBorder="1" applyAlignment="1">
      <alignment vertical="center" wrapText="1"/>
    </xf>
    <xf numFmtId="0" fontId="0" fillId="0" borderId="5" xfId="0" applyBorder="1" applyAlignment="1">
      <alignment vertical="center" wrapText="1"/>
    </xf>
    <xf numFmtId="0" fontId="0" fillId="0" borderId="5" xfId="0" applyBorder="1" applyAlignment="1">
      <alignment vertical="center"/>
    </xf>
    <xf numFmtId="0" fontId="23" fillId="3" borderId="5" xfId="0" applyFont="1" applyFill="1" applyBorder="1" applyAlignment="1">
      <alignment vertical="center"/>
    </xf>
    <xf numFmtId="171" fontId="0" fillId="0" borderId="0" xfId="5" applyNumberFormat="1" applyFont="1" applyBorder="1"/>
    <xf numFmtId="171" fontId="0" fillId="0" borderId="0" xfId="5" applyNumberFormat="1" applyFont="1" applyFill="1" applyBorder="1"/>
    <xf numFmtId="171" fontId="19" fillId="0" borderId="0" xfId="5" applyNumberFormat="1" applyFont="1"/>
    <xf numFmtId="171" fontId="0" fillId="0" borderId="0" xfId="5" applyNumberFormat="1" applyFont="1"/>
    <xf numFmtId="171" fontId="19" fillId="0" borderId="0" xfId="5" applyNumberFormat="1" applyFont="1" applyFill="1" applyBorder="1"/>
    <xf numFmtId="171" fontId="0" fillId="0" borderId="0" xfId="5" applyNumberFormat="1" applyFont="1" applyFill="1"/>
    <xf numFmtId="3" fontId="0" fillId="0" borderId="0" xfId="0" applyNumberFormat="1" applyFont="1"/>
    <xf numFmtId="0" fontId="0" fillId="0" borderId="0" xfId="0" applyNumberFormat="1" applyFont="1" applyFill="1" applyBorder="1"/>
    <xf numFmtId="0" fontId="19" fillId="0" borderId="0" xfId="0" applyNumberFormat="1" applyFont="1"/>
    <xf numFmtId="0" fontId="0" fillId="0" borderId="0" xfId="0" applyNumberFormat="1" applyFont="1" applyFill="1"/>
    <xf numFmtId="0" fontId="19" fillId="0" borderId="0" xfId="0" applyNumberFormat="1" applyFont="1" applyFill="1" applyBorder="1"/>
    <xf numFmtId="3" fontId="11" fillId="0" borderId="0" xfId="0" applyNumberFormat="1" applyFont="1"/>
    <xf numFmtId="4" fontId="0" fillId="0" borderId="0" xfId="0" applyNumberFormat="1" applyFont="1"/>
    <xf numFmtId="4" fontId="0" fillId="0" borderId="0" xfId="0" applyNumberFormat="1" applyFont="1" applyFill="1"/>
    <xf numFmtId="4" fontId="19" fillId="0" borderId="0" xfId="0" applyNumberFormat="1" applyFont="1" applyFill="1"/>
    <xf numFmtId="4" fontId="19" fillId="0" borderId="0" xfId="0" applyNumberFormat="1" applyFont="1" applyFill="1" applyBorder="1"/>
    <xf numFmtId="0" fontId="19" fillId="0" borderId="0" xfId="0" applyFont="1" applyFill="1" applyAlignment="1">
      <alignment horizontal="left"/>
    </xf>
    <xf numFmtId="0" fontId="1" fillId="0" borderId="0" xfId="0" applyFont="1" applyAlignment="1">
      <alignment vertical="center"/>
    </xf>
    <xf numFmtId="0" fontId="0" fillId="0" borderId="0" xfId="0" applyFill="1" applyBorder="1"/>
    <xf numFmtId="0" fontId="1" fillId="2" borderId="7" xfId="0" applyNumberFormat="1" applyFont="1" applyFill="1" applyBorder="1" applyAlignment="1">
      <alignment horizontal="center" vertical="center"/>
    </xf>
    <xf numFmtId="167" fontId="1" fillId="15" borderId="7" xfId="0" applyNumberFormat="1" applyFont="1" applyFill="1" applyBorder="1" applyAlignment="1">
      <alignment horizontal="center" vertical="center"/>
    </xf>
    <xf numFmtId="0" fontId="5" fillId="0" borderId="7" xfId="0" applyNumberFormat="1" applyFont="1" applyBorder="1" applyAlignment="1">
      <alignment horizontal="center" vertical="center"/>
    </xf>
    <xf numFmtId="0" fontId="6" fillId="0" borderId="7" xfId="0" applyNumberFormat="1" applyFont="1" applyBorder="1" applyAlignment="1">
      <alignment horizontal="center" vertical="center"/>
    </xf>
    <xf numFmtId="167" fontId="0" fillId="0" borderId="7" xfId="0" applyNumberFormat="1" applyFont="1" applyBorder="1" applyAlignment="1">
      <alignment horizontal="center" vertical="center"/>
    </xf>
    <xf numFmtId="0" fontId="0" fillId="0" borderId="7" xfId="0" applyNumberFormat="1" applyFont="1" applyFill="1" applyBorder="1"/>
    <xf numFmtId="3" fontId="0" fillId="0" borderId="7" xfId="0" applyNumberFormat="1" applyFont="1" applyFill="1" applyBorder="1"/>
    <xf numFmtId="171" fontId="0" fillId="0" borderId="7" xfId="5" applyNumberFormat="1" applyFont="1" applyFill="1" applyBorder="1"/>
    <xf numFmtId="4" fontId="0" fillId="0" borderId="7" xfId="0" applyNumberFormat="1" applyFont="1" applyFill="1" applyBorder="1"/>
    <xf numFmtId="167" fontId="0" fillId="0" borderId="7" xfId="0" applyNumberFormat="1" applyFont="1" applyFill="1" applyBorder="1" applyAlignment="1">
      <alignment horizontal="center" vertical="center"/>
    </xf>
    <xf numFmtId="0" fontId="1" fillId="2" borderId="7" xfId="0" applyNumberFormat="1" applyFont="1" applyFill="1" applyBorder="1" applyAlignment="1">
      <alignment horizontal="center"/>
    </xf>
    <xf numFmtId="0" fontId="1" fillId="15" borderId="7" xfId="0" applyFont="1" applyFill="1" applyBorder="1" applyAlignment="1">
      <alignment vertical="center"/>
    </xf>
    <xf numFmtId="0" fontId="0" fillId="0" borderId="7" xfId="0" applyBorder="1" applyAlignment="1">
      <alignment vertical="center"/>
    </xf>
    <xf numFmtId="3" fontId="0" fillId="0" borderId="7" xfId="0" applyNumberFormat="1" applyBorder="1" applyAlignment="1">
      <alignment vertical="center"/>
    </xf>
    <xf numFmtId="0" fontId="1" fillId="15" borderId="0" xfId="2" applyFont="1" applyFill="1"/>
    <xf numFmtId="0" fontId="1" fillId="15" borderId="7" xfId="0" applyFont="1" applyFill="1" applyBorder="1"/>
    <xf numFmtId="3" fontId="1" fillId="15" borderId="0" xfId="0" applyNumberFormat="1" applyFont="1" applyFill="1" applyAlignment="1">
      <alignment vertical="center"/>
    </xf>
    <xf numFmtId="167" fontId="1" fillId="15" borderId="0" xfId="0" applyNumberFormat="1" applyFont="1" applyFill="1" applyAlignment="1">
      <alignment horizontal="center" vertical="center"/>
    </xf>
    <xf numFmtId="0" fontId="1" fillId="15" borderId="2" xfId="0" applyFont="1" applyFill="1" applyBorder="1"/>
    <xf numFmtId="0" fontId="11" fillId="10" borderId="0" xfId="0" applyFont="1" applyFill="1" applyAlignment="1">
      <alignment vertical="center"/>
    </xf>
    <xf numFmtId="167" fontId="11" fillId="10" borderId="7" xfId="0" applyNumberFormat="1" applyFont="1" applyFill="1" applyBorder="1" applyAlignment="1">
      <alignment horizontal="center" vertical="center"/>
    </xf>
    <xf numFmtId="167" fontId="11" fillId="10" borderId="0" xfId="0" applyNumberFormat="1" applyFont="1" applyFill="1" applyAlignment="1">
      <alignment horizontal="center" vertical="center"/>
    </xf>
    <xf numFmtId="0" fontId="11" fillId="10" borderId="0" xfId="0" applyFont="1" applyFill="1" applyBorder="1" applyAlignment="1">
      <alignment horizontal="left" vertical="center"/>
    </xf>
    <xf numFmtId="0" fontId="7" fillId="10" borderId="0" xfId="0" applyFont="1" applyFill="1" applyBorder="1" applyAlignment="1">
      <alignment horizontal="left" vertical="center"/>
    </xf>
    <xf numFmtId="0" fontId="11" fillId="10" borderId="0" xfId="0" applyFont="1" applyFill="1" applyBorder="1" applyAlignment="1">
      <alignment horizontal="left" vertical="center" wrapText="1"/>
    </xf>
    <xf numFmtId="3" fontId="11" fillId="10" borderId="7" xfId="0" applyNumberFormat="1" applyFont="1" applyFill="1" applyBorder="1" applyAlignment="1">
      <alignment vertical="center"/>
    </xf>
    <xf numFmtId="3" fontId="11" fillId="10" borderId="0" xfId="0" applyNumberFormat="1" applyFont="1" applyFill="1" applyAlignment="1">
      <alignment vertical="center"/>
    </xf>
    <xf numFmtId="0" fontId="11" fillId="10" borderId="0" xfId="0" applyFont="1" applyFill="1" applyBorder="1" applyAlignment="1">
      <alignment vertical="center"/>
    </xf>
    <xf numFmtId="0" fontId="11" fillId="7" borderId="0" xfId="0" applyFont="1" applyFill="1" applyAlignment="1">
      <alignment vertical="center"/>
    </xf>
    <xf numFmtId="167" fontId="11" fillId="7" borderId="7" xfId="0" applyNumberFormat="1" applyFont="1" applyFill="1" applyBorder="1" applyAlignment="1">
      <alignment horizontal="center" vertical="center"/>
    </xf>
    <xf numFmtId="167" fontId="11" fillId="7" borderId="0" xfId="0" applyNumberFormat="1" applyFont="1" applyFill="1" applyAlignment="1">
      <alignment horizontal="center" vertical="center"/>
    </xf>
    <xf numFmtId="0" fontId="11" fillId="7" borderId="0" xfId="0" applyFont="1" applyFill="1" applyBorder="1" applyAlignment="1">
      <alignment horizontal="left" vertical="center"/>
    </xf>
    <xf numFmtId="0" fontId="7" fillId="7" borderId="0" xfId="0" applyFont="1" applyFill="1" applyBorder="1" applyAlignment="1">
      <alignment horizontal="left" vertical="center"/>
    </xf>
    <xf numFmtId="0" fontId="11" fillId="7" borderId="0" xfId="0" applyFont="1" applyFill="1" applyBorder="1" applyAlignment="1">
      <alignment horizontal="left" vertical="center" wrapText="1"/>
    </xf>
    <xf numFmtId="3" fontId="11" fillId="7" borderId="7" xfId="0" applyNumberFormat="1" applyFont="1" applyFill="1" applyBorder="1" applyAlignment="1">
      <alignment vertical="center"/>
    </xf>
    <xf numFmtId="3" fontId="11" fillId="7" borderId="0" xfId="0" applyNumberFormat="1" applyFont="1" applyFill="1" applyAlignment="1">
      <alignment vertical="center"/>
    </xf>
    <xf numFmtId="0" fontId="11" fillId="7" borderId="0" xfId="0" applyFont="1" applyFill="1" applyBorder="1" applyAlignment="1">
      <alignment vertical="center"/>
    </xf>
    <xf numFmtId="0" fontId="19" fillId="0" borderId="0" xfId="0" applyFont="1" applyAlignment="1">
      <alignment vertical="center"/>
    </xf>
    <xf numFmtId="0" fontId="1" fillId="4" borderId="0" xfId="0" applyFont="1" applyFill="1" applyAlignment="1">
      <alignment vertical="center"/>
    </xf>
    <xf numFmtId="0" fontId="24" fillId="0" borderId="0" xfId="0" applyFont="1" applyAlignment="1">
      <alignment vertical="center" wrapText="1"/>
    </xf>
    <xf numFmtId="0" fontId="25" fillId="0" borderId="0" xfId="0" applyFont="1" applyAlignment="1">
      <alignment vertical="center" wrapText="1"/>
    </xf>
    <xf numFmtId="0" fontId="25" fillId="0" borderId="0" xfId="0" applyFont="1" applyAlignment="1">
      <alignment horizontal="right" vertical="center"/>
    </xf>
    <xf numFmtId="0" fontId="24" fillId="0" borderId="0" xfId="0" applyFont="1" applyAlignment="1">
      <alignment vertical="center"/>
    </xf>
    <xf numFmtId="0" fontId="25" fillId="0" borderId="0" xfId="0" applyFont="1" applyAlignment="1">
      <alignment vertical="center"/>
    </xf>
    <xf numFmtId="3" fontId="25" fillId="0" borderId="0" xfId="0" applyNumberFormat="1" applyFont="1" applyAlignment="1">
      <alignment vertical="center"/>
    </xf>
    <xf numFmtId="0" fontId="25" fillId="0" borderId="0" xfId="0" applyFont="1"/>
    <xf numFmtId="2" fontId="25" fillId="0" borderId="0" xfId="0" applyNumberFormat="1" applyFont="1"/>
    <xf numFmtId="164" fontId="25" fillId="0" borderId="0" xfId="0" applyNumberFormat="1" applyFont="1"/>
    <xf numFmtId="0" fontId="0" fillId="4" borderId="0" xfId="0" applyFill="1" applyAlignment="1">
      <alignment vertical="center"/>
    </xf>
    <xf numFmtId="0" fontId="24" fillId="0" borderId="0" xfId="0" applyFont="1" applyAlignment="1">
      <alignment horizontal="right" vertical="center"/>
    </xf>
    <xf numFmtId="0" fontId="24" fillId="0" borderId="0" xfId="0" applyFont="1"/>
    <xf numFmtId="0" fontId="24" fillId="0" borderId="7" xfId="0" applyFont="1" applyBorder="1" applyAlignment="1">
      <alignment horizontal="right" vertical="center"/>
    </xf>
    <xf numFmtId="0" fontId="25" fillId="0" borderId="7" xfId="0" applyFont="1" applyBorder="1" applyAlignment="1">
      <alignment vertical="center"/>
    </xf>
    <xf numFmtId="0" fontId="25" fillId="0" borderId="7" xfId="0" applyFont="1" applyBorder="1"/>
    <xf numFmtId="0" fontId="25" fillId="0" borderId="7" xfId="0" applyFont="1" applyBorder="1" applyAlignment="1">
      <alignment horizontal="right" vertical="center"/>
    </xf>
    <xf numFmtId="3" fontId="25" fillId="0" borderId="7" xfId="0" applyNumberFormat="1" applyFont="1" applyBorder="1" applyAlignment="1">
      <alignment vertical="center"/>
    </xf>
    <xf numFmtId="164" fontId="25" fillId="0" borderId="7" xfId="0" applyNumberFormat="1" applyFont="1" applyBorder="1"/>
    <xf numFmtId="0" fontId="1" fillId="0" borderId="0" xfId="2" applyFont="1" applyFill="1" applyAlignment="1">
      <alignment horizontal="center"/>
    </xf>
    <xf numFmtId="0" fontId="1" fillId="0" borderId="0" xfId="2" applyFont="1" applyFill="1" applyBorder="1" applyAlignment="1">
      <alignment horizontal="center"/>
    </xf>
    <xf numFmtId="0" fontId="1" fillId="0" borderId="2" xfId="2" applyFont="1" applyFill="1" applyBorder="1" applyAlignment="1">
      <alignment horizontal="center"/>
    </xf>
    <xf numFmtId="0" fontId="1" fillId="0" borderId="0" xfId="0" applyFont="1" applyFill="1" applyAlignment="1">
      <alignment horizontal="left"/>
    </xf>
    <xf numFmtId="0" fontId="4" fillId="0" borderId="2" xfId="2" applyBorder="1"/>
    <xf numFmtId="0" fontId="23" fillId="4" borderId="0" xfId="0" applyFont="1" applyFill="1" applyAlignment="1">
      <alignment horizontal="left"/>
    </xf>
    <xf numFmtId="172" fontId="1" fillId="0" borderId="1" xfId="2" applyNumberFormat="1" applyFont="1" applyFill="1" applyBorder="1" applyAlignment="1">
      <alignment horizontal="center"/>
    </xf>
    <xf numFmtId="0" fontId="26" fillId="6" borderId="0" xfId="0" applyFont="1" applyFill="1"/>
    <xf numFmtId="0" fontId="0" fillId="0" borderId="0" xfId="0" applyFont="1" applyFill="1" applyAlignment="1">
      <alignment horizontal="left"/>
    </xf>
    <xf numFmtId="0" fontId="0" fillId="0" borderId="0" xfId="0" applyAlignment="1">
      <alignment horizontal="left"/>
    </xf>
    <xf numFmtId="0" fontId="0" fillId="0" borderId="0" xfId="0" applyFont="1" applyAlignment="1">
      <alignment horizontal="left"/>
    </xf>
    <xf numFmtId="0" fontId="27" fillId="6" borderId="0" xfId="0" applyFont="1" applyFill="1" applyAlignment="1">
      <alignment horizontal="center"/>
    </xf>
    <xf numFmtId="0" fontId="26" fillId="0" borderId="0" xfId="0" applyFont="1"/>
    <xf numFmtId="0" fontId="0" fillId="5" borderId="0" xfId="0" applyFill="1"/>
    <xf numFmtId="173" fontId="1" fillId="0" borderId="0" xfId="2" applyNumberFormat="1" applyFont="1" applyFill="1" applyBorder="1" applyAlignment="1">
      <alignment horizontal="center"/>
    </xf>
    <xf numFmtId="173" fontId="1" fillId="0" borderId="1" xfId="2" applyNumberFormat="1" applyFont="1" applyFill="1" applyBorder="1" applyAlignment="1">
      <alignment horizontal="center"/>
    </xf>
    <xf numFmtId="0" fontId="1" fillId="3" borderId="0" xfId="0" applyFont="1" applyFill="1" applyAlignment="1">
      <alignment horizontal="center"/>
    </xf>
  </cellXfs>
  <cellStyles count="6">
    <cellStyle name="Comma" xfId="1" builtinId="3" customBuiltin="1"/>
    <cellStyle name="Hyperlink" xfId="2" builtinId="8"/>
    <cellStyle name="Normal" xfId="0" builtinId="0"/>
    <cellStyle name="Normal 2" xfId="4" xr:uid="{E45FBE04-53F7-4D75-856F-A5B9805F9991}"/>
    <cellStyle name="Normal 3" xfId="3" xr:uid="{54880F9D-5CF9-4D74-83F0-7FCE360D97C7}"/>
    <cellStyle name="Percent" xfId="5" builtinId="5"/>
  </cellStyles>
  <dxfs count="40">
    <dxf>
      <fill>
        <patternFill patternType="solid">
          <fgColor indexed="64"/>
          <bgColor rgb="FFC00000"/>
        </patternFill>
      </fill>
    </dxf>
    <dxf>
      <font>
        <b/>
        <i val="0"/>
        <color theme="0"/>
      </font>
      <fill>
        <patternFill>
          <fgColor indexed="64"/>
          <bgColor theme="7" tint="-0.249977111117893"/>
        </patternFill>
      </fill>
    </dxf>
    <dxf>
      <font>
        <b/>
        <i val="0"/>
      </font>
      <fill>
        <patternFill>
          <fgColor indexed="64"/>
          <bgColor theme="7" tint="0.79995117038483843"/>
        </patternFill>
      </fill>
    </dxf>
    <dxf>
      <font>
        <b/>
        <i val="0"/>
      </font>
      <border>
        <bottom style="thin">
          <color auto="1"/>
        </bottom>
      </border>
    </dxf>
    <dxf>
      <font>
        <b/>
        <i val="0"/>
        <color theme="0"/>
      </font>
      <fill>
        <patternFill>
          <fgColor indexed="64"/>
          <bgColor theme="7" tint="-0.249977111117893"/>
        </patternFill>
      </fill>
    </dxf>
    <dxf>
      <font>
        <b/>
        <i val="0"/>
      </font>
      <fill>
        <patternFill>
          <fgColor indexed="64"/>
          <bgColor theme="7" tint="0.79995117038483843"/>
        </patternFill>
      </fill>
    </dxf>
    <dxf>
      <border>
        <bottom style="thin">
          <color auto="1"/>
        </bottom>
      </border>
    </dxf>
    <dxf>
      <font>
        <b/>
        <i val="0"/>
        <color theme="0"/>
      </font>
      <fill>
        <patternFill>
          <fgColor indexed="64"/>
          <bgColor theme="7" tint="-0.249977111117893"/>
        </patternFill>
      </fill>
    </dxf>
    <dxf>
      <font>
        <b/>
        <i val="0"/>
      </font>
      <fill>
        <patternFill>
          <fgColor indexed="64"/>
          <bgColor theme="7" tint="0.79995117038483843"/>
        </patternFill>
      </fill>
    </dxf>
    <dxf>
      <border>
        <bottom style="thin">
          <color auto="1"/>
        </bottom>
      </border>
    </dxf>
    <dxf>
      <font>
        <b/>
        <i val="0"/>
        <color theme="0"/>
      </font>
      <fill>
        <patternFill>
          <fgColor indexed="64"/>
          <bgColor theme="7" tint="-0.249977111117893"/>
        </patternFill>
      </fill>
    </dxf>
    <dxf>
      <font>
        <b/>
        <i val="0"/>
      </font>
      <fill>
        <patternFill>
          <fgColor indexed="64"/>
          <bgColor theme="7" tint="0.79995117038483843"/>
        </patternFill>
      </fill>
    </dxf>
    <dxf>
      <border>
        <bottom style="thin">
          <color auto="1"/>
        </bottom>
      </border>
    </dxf>
    <dxf>
      <font>
        <b/>
        <i val="0"/>
      </font>
      <fill>
        <patternFill>
          <fgColor indexed="64"/>
          <bgColor theme="7" tint="0.79995117038483843"/>
        </patternFill>
      </fill>
    </dxf>
    <dxf>
      <fill>
        <patternFill patternType="solid">
          <fgColor indexed="64"/>
          <bgColor rgb="FFC00000"/>
        </patternFill>
      </fill>
    </dxf>
    <dxf>
      <fill>
        <patternFill patternType="solid">
          <fgColor indexed="64"/>
          <bgColor rgb="FFC00000"/>
        </patternFill>
      </fill>
    </dxf>
    <dxf>
      <font>
        <b/>
        <i val="0"/>
        <color theme="0"/>
      </font>
      <fill>
        <patternFill>
          <fgColor indexed="64"/>
          <bgColor theme="7" tint="-0.249977111117893"/>
        </patternFill>
      </fill>
    </dxf>
    <dxf>
      <font>
        <b/>
        <i val="0"/>
      </font>
      <fill>
        <patternFill>
          <fgColor indexed="64"/>
          <bgColor theme="7" tint="0.79995117038483843"/>
        </patternFill>
      </fill>
    </dxf>
    <dxf>
      <font>
        <b/>
        <i val="0"/>
      </font>
      <border>
        <bottom style="thin">
          <color auto="1"/>
        </bottom>
      </border>
    </dxf>
    <dxf>
      <fill>
        <patternFill>
          <fgColor indexed="64"/>
          <bgColor theme="8" tint="0.39994506668294322"/>
        </patternFill>
      </fill>
    </dxf>
    <dxf>
      <fill>
        <patternFill>
          <fgColor indexed="64"/>
          <bgColor theme="9" tint="0.39994506668294322"/>
        </patternFill>
      </fill>
    </dxf>
    <dxf>
      <fill>
        <patternFill>
          <fgColor indexed="64"/>
          <bgColor theme="8" tint="0.39994506668294322"/>
        </patternFill>
      </fill>
    </dxf>
    <dxf>
      <fill>
        <patternFill>
          <fgColor indexed="64"/>
          <bgColor theme="9" tint="0.39994506668294322"/>
        </patternFill>
      </fill>
    </dxf>
    <dxf>
      <fill>
        <patternFill>
          <fgColor indexed="64"/>
          <bgColor theme="8" tint="0.39994506668294322"/>
        </patternFill>
      </fill>
    </dxf>
    <dxf>
      <fill>
        <patternFill>
          <fgColor indexed="64"/>
          <bgColor theme="9" tint="0.39994506668294322"/>
        </patternFill>
      </fill>
    </dxf>
    <dxf>
      <fill>
        <patternFill>
          <fgColor indexed="64"/>
          <bgColor theme="8" tint="0.39994506668294322"/>
        </patternFill>
      </fill>
    </dxf>
    <dxf>
      <fill>
        <patternFill>
          <fgColor indexed="64"/>
          <bgColor theme="9" tint="0.39994506668294322"/>
        </patternFill>
      </fill>
    </dxf>
    <dxf>
      <fill>
        <patternFill>
          <fgColor indexed="64"/>
          <bgColor theme="8" tint="0.39994506668294322"/>
        </patternFill>
      </fill>
    </dxf>
    <dxf>
      <fill>
        <patternFill>
          <fgColor indexed="64"/>
          <bgColor theme="9" tint="0.39994506668294322"/>
        </patternFill>
      </fill>
    </dxf>
    <dxf>
      <fill>
        <patternFill>
          <fgColor indexed="64"/>
          <bgColor theme="8" tint="0.39994506668294322"/>
        </patternFill>
      </fill>
    </dxf>
    <dxf>
      <fill>
        <patternFill>
          <fgColor indexed="64"/>
          <bgColor theme="9" tint="0.39994506668294322"/>
        </patternFill>
      </fill>
    </dxf>
    <dxf>
      <fill>
        <patternFill>
          <fgColor indexed="64"/>
          <bgColor theme="8" tint="0.39994506668294322"/>
        </patternFill>
      </fill>
    </dxf>
    <dxf>
      <fill>
        <patternFill>
          <fgColor indexed="64"/>
          <bgColor theme="9" tint="0.39994506668294322"/>
        </patternFill>
      </fill>
    </dxf>
    <dxf>
      <font>
        <color theme="0"/>
      </font>
      <fill>
        <patternFill>
          <fgColor indexed="64"/>
          <bgColor theme="1"/>
        </patternFill>
      </fill>
    </dxf>
    <dxf>
      <fill>
        <patternFill>
          <fgColor indexed="64"/>
          <bgColor theme="8" tint="0.39994506668294322"/>
        </patternFill>
      </fill>
    </dxf>
    <dxf>
      <fill>
        <patternFill>
          <fgColor indexed="64"/>
          <bgColor theme="9" tint="0.39994506668294322"/>
        </patternFill>
      </fill>
    </dxf>
    <dxf>
      <font>
        <color theme="0"/>
      </font>
      <fill>
        <patternFill>
          <fgColor indexed="64"/>
          <bgColor rgb="FF0070C0"/>
        </patternFill>
      </fill>
    </dxf>
    <dxf>
      <font>
        <color theme="0"/>
      </font>
      <fill>
        <patternFill>
          <fgColor indexed="64"/>
          <bgColor rgb="FF00B050"/>
        </patternFill>
      </fill>
    </dxf>
    <dxf>
      <font>
        <color theme="0"/>
      </font>
      <fill>
        <patternFill>
          <fgColor indexed="64"/>
          <bgColor rgb="FFC00000"/>
        </patternFill>
      </fill>
    </dxf>
    <dxf>
      <font>
        <color theme="0"/>
      </font>
      <fill>
        <patternFill>
          <fgColor indexed="64"/>
          <bgColor theme="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11" Type="http://schemas.openxmlformats.org/officeDocument/2006/relationships/image" Target="../media/image11.emf"/><Relationship Id="rId5" Type="http://schemas.openxmlformats.org/officeDocument/2006/relationships/image" Target="../media/image5.emf"/><Relationship Id="rId10" Type="http://schemas.openxmlformats.org/officeDocument/2006/relationships/image" Target="../media/image10.emf"/><Relationship Id="rId4" Type="http://schemas.openxmlformats.org/officeDocument/2006/relationships/image" Target="../media/image4.emf"/><Relationship Id="rId9" Type="http://schemas.openxmlformats.org/officeDocument/2006/relationships/image" Target="../media/image9.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3.wmf"/><Relationship Id="rId1" Type="http://schemas.openxmlformats.org/officeDocument/2006/relationships/image" Target="../media/image12.wmf"/></Relationships>
</file>

<file path=xl/drawings/drawing1.xml><?xml version="1.0" encoding="utf-8"?>
<xdr:wsDr xmlns:xdr="http://schemas.openxmlformats.org/drawingml/2006/spreadsheetDrawing" xmlns:a="http://schemas.openxmlformats.org/drawingml/2006/main">
  <xdr:twoCellAnchor>
    <xdr:from>
      <xdr:col>1</xdr:col>
      <xdr:colOff>0</xdr:colOff>
      <xdr:row>27</xdr:row>
      <xdr:rowOff>0</xdr:rowOff>
    </xdr:from>
    <xdr:to>
      <xdr:col>10</xdr:col>
      <xdr:colOff>499305</xdr:colOff>
      <xdr:row>30</xdr:row>
      <xdr:rowOff>75248</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1"/>
        <a:stretch>
          <a:fillRect/>
        </a:stretch>
      </xdr:blipFill>
      <xdr:spPr>
        <a:xfrm>
          <a:off x="986118" y="5143500"/>
          <a:ext cx="5945363" cy="646748"/>
        </a:xfrm>
        <a:prstGeom prst="rect">
          <a:avLst/>
        </a:prstGeom>
        <a:solidFill>
          <a:schemeClr val="bg1"/>
        </a:solidFill>
      </xdr:spPr>
    </xdr:pic>
    <xdr:clientData/>
  </xdr:twoCellAnchor>
  <xdr:twoCellAnchor>
    <xdr:from>
      <xdr:col>1</xdr:col>
      <xdr:colOff>0</xdr:colOff>
      <xdr:row>2</xdr:row>
      <xdr:rowOff>0</xdr:rowOff>
    </xdr:from>
    <xdr:to>
      <xdr:col>10</xdr:col>
      <xdr:colOff>466726</xdr:colOff>
      <xdr:row>10</xdr:row>
      <xdr:rowOff>95250</xdr:rowOff>
    </xdr:to>
    <xdr:pic>
      <xdr:nvPicPr>
        <xdr:cNvPr id="14" name="Picture 13">
          <a:extLst>
            <a:ext uri="{FF2B5EF4-FFF2-40B4-BE49-F238E27FC236}">
              <a16:creationId xmlns:a16="http://schemas.microsoft.com/office/drawing/2014/main" id="{00000000-0008-0000-0100-00000E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557618" y="381000"/>
          <a:ext cx="5912784" cy="1619250"/>
        </a:xfrm>
        <a:prstGeom prst="rect">
          <a:avLst/>
        </a:prstGeom>
        <a:solidFill>
          <a:schemeClr val="bg1"/>
        </a:solidFill>
      </xdr:spPr>
    </xdr:pic>
    <xdr:clientData/>
  </xdr:twoCellAnchor>
  <xdr:twoCellAnchor>
    <xdr:from>
      <xdr:col>1</xdr:col>
      <xdr:colOff>0</xdr:colOff>
      <xdr:row>60</xdr:row>
      <xdr:rowOff>0</xdr:rowOff>
    </xdr:from>
    <xdr:to>
      <xdr:col>10</xdr:col>
      <xdr:colOff>466725</xdr:colOff>
      <xdr:row>66</xdr:row>
      <xdr:rowOff>152400</xdr:rowOff>
    </xdr:to>
    <xdr:pic>
      <xdr:nvPicPr>
        <xdr:cNvPr id="26" name="Picture 25">
          <a:extLst>
            <a:ext uri="{FF2B5EF4-FFF2-40B4-BE49-F238E27FC236}">
              <a16:creationId xmlns:a16="http://schemas.microsoft.com/office/drawing/2014/main" id="{00000000-0008-0000-0100-00001A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562100" y="8763000"/>
          <a:ext cx="5953125" cy="1295400"/>
        </a:xfrm>
        <a:prstGeom prst="rect">
          <a:avLst/>
        </a:prstGeom>
        <a:solidFill>
          <a:schemeClr val="bg1"/>
        </a:solidFill>
      </xdr:spPr>
    </xdr:pic>
    <xdr:clientData/>
  </xdr:twoCellAnchor>
  <xdr:twoCellAnchor>
    <xdr:from>
      <xdr:col>1</xdr:col>
      <xdr:colOff>0</xdr:colOff>
      <xdr:row>48</xdr:row>
      <xdr:rowOff>0</xdr:rowOff>
    </xdr:from>
    <xdr:to>
      <xdr:col>10</xdr:col>
      <xdr:colOff>466726</xdr:colOff>
      <xdr:row>56</xdr:row>
      <xdr:rowOff>47625</xdr:rowOff>
    </xdr:to>
    <xdr:pic>
      <xdr:nvPicPr>
        <xdr:cNvPr id="27" name="Picture 26">
          <a:extLst>
            <a:ext uri="{FF2B5EF4-FFF2-40B4-BE49-F238E27FC236}">
              <a16:creationId xmlns:a16="http://schemas.microsoft.com/office/drawing/2014/main" id="{00000000-0008-0000-0100-00001B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1557618" y="6477000"/>
          <a:ext cx="5912784" cy="1571625"/>
        </a:xfrm>
        <a:prstGeom prst="rect">
          <a:avLst/>
        </a:prstGeom>
        <a:solidFill>
          <a:schemeClr val="bg1"/>
        </a:solidFill>
      </xdr:spPr>
    </xdr:pic>
    <xdr:clientData/>
  </xdr:twoCellAnchor>
  <xdr:twoCellAnchor>
    <xdr:from>
      <xdr:col>1</xdr:col>
      <xdr:colOff>0</xdr:colOff>
      <xdr:row>82</xdr:row>
      <xdr:rowOff>0</xdr:rowOff>
    </xdr:from>
    <xdr:to>
      <xdr:col>10</xdr:col>
      <xdr:colOff>466725</xdr:colOff>
      <xdr:row>88</xdr:row>
      <xdr:rowOff>171450</xdr:rowOff>
    </xdr:to>
    <xdr:pic>
      <xdr:nvPicPr>
        <xdr:cNvPr id="13" name="Picture 12">
          <a:extLst>
            <a:ext uri="{FF2B5EF4-FFF2-40B4-BE49-F238E27FC236}">
              <a16:creationId xmlns:a16="http://schemas.microsoft.com/office/drawing/2014/main" id="{00000000-0008-0000-0100-00000D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562100" y="12954000"/>
          <a:ext cx="5953125" cy="1314450"/>
        </a:xfrm>
        <a:prstGeom prst="rect">
          <a:avLst/>
        </a:prstGeom>
        <a:solidFill>
          <a:schemeClr val="bg1"/>
        </a:solidFill>
      </xdr:spPr>
    </xdr:pic>
    <xdr:clientData/>
  </xdr:twoCellAnchor>
  <xdr:twoCellAnchor>
    <xdr:from>
      <xdr:col>1</xdr:col>
      <xdr:colOff>0</xdr:colOff>
      <xdr:row>91</xdr:row>
      <xdr:rowOff>0</xdr:rowOff>
    </xdr:from>
    <xdr:to>
      <xdr:col>10</xdr:col>
      <xdr:colOff>466725</xdr:colOff>
      <xdr:row>98</xdr:row>
      <xdr:rowOff>104775</xdr:rowOff>
    </xdr:to>
    <xdr:pic>
      <xdr:nvPicPr>
        <xdr:cNvPr id="16" name="Picture 15">
          <a:extLst>
            <a:ext uri="{FF2B5EF4-FFF2-40B4-BE49-F238E27FC236}">
              <a16:creationId xmlns:a16="http://schemas.microsoft.com/office/drawing/2014/main" id="{00000000-0008-0000-0100-0000100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1562100" y="14668500"/>
          <a:ext cx="5953125" cy="1438275"/>
        </a:xfrm>
        <a:prstGeom prst="rect">
          <a:avLst/>
        </a:prstGeom>
        <a:solidFill>
          <a:schemeClr val="bg1"/>
        </a:solidFill>
      </xdr:spPr>
    </xdr:pic>
    <xdr:clientData/>
  </xdr:twoCellAnchor>
  <xdr:twoCellAnchor editAs="oneCell">
    <xdr:from>
      <xdr:col>1</xdr:col>
      <xdr:colOff>0</xdr:colOff>
      <xdr:row>70</xdr:row>
      <xdr:rowOff>0</xdr:rowOff>
    </xdr:from>
    <xdr:to>
      <xdr:col>10</xdr:col>
      <xdr:colOff>466725</xdr:colOff>
      <xdr:row>79</xdr:row>
      <xdr:rowOff>95250</xdr:rowOff>
    </xdr:to>
    <xdr:pic>
      <xdr:nvPicPr>
        <xdr:cNvPr id="24" name="Picture 23">
          <a:extLst>
            <a:ext uri="{FF2B5EF4-FFF2-40B4-BE49-F238E27FC236}">
              <a16:creationId xmlns:a16="http://schemas.microsoft.com/office/drawing/2014/main" id="{00000000-0008-0000-0100-000018000000}"/>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1562100" y="10668000"/>
          <a:ext cx="5953125" cy="1809750"/>
        </a:xfrm>
        <a:prstGeom prst="rect">
          <a:avLst/>
        </a:prstGeom>
        <a:solidFill>
          <a:schemeClr val="bg1"/>
        </a:solidFill>
      </xdr:spPr>
    </xdr:pic>
    <xdr:clientData/>
  </xdr:twoCellAnchor>
  <xdr:twoCellAnchor editAs="oneCell">
    <xdr:from>
      <xdr:col>1</xdr:col>
      <xdr:colOff>1525</xdr:colOff>
      <xdr:row>32</xdr:row>
      <xdr:rowOff>0</xdr:rowOff>
    </xdr:from>
    <xdr:to>
      <xdr:col>7</xdr:col>
      <xdr:colOff>376777</xdr:colOff>
      <xdr:row>45</xdr:row>
      <xdr:rowOff>41366</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xdr:blipFill>
      <xdr:spPr>
        <a:xfrm>
          <a:off x="1563625" y="6096000"/>
          <a:ext cx="4032852" cy="2517866"/>
        </a:xfrm>
        <a:prstGeom prst="rect">
          <a:avLst/>
        </a:prstGeom>
        <a:solidFill>
          <a:schemeClr val="bg1"/>
        </a:solidFill>
      </xdr:spPr>
    </xdr:pic>
    <xdr:clientData/>
  </xdr:twoCellAnchor>
  <xdr:twoCellAnchor editAs="oneCell">
    <xdr:from>
      <xdr:col>1</xdr:col>
      <xdr:colOff>0</xdr:colOff>
      <xdr:row>14</xdr:row>
      <xdr:rowOff>0</xdr:rowOff>
    </xdr:from>
    <xdr:to>
      <xdr:col>10</xdr:col>
      <xdr:colOff>466725</xdr:colOff>
      <xdr:row>23</xdr:row>
      <xdr:rowOff>161925</xdr:rowOff>
    </xdr:to>
    <xdr:pic>
      <xdr:nvPicPr>
        <xdr:cNvPr id="30" name="Picture 29">
          <a:extLst>
            <a:ext uri="{FF2B5EF4-FFF2-40B4-BE49-F238E27FC236}">
              <a16:creationId xmlns:a16="http://schemas.microsoft.com/office/drawing/2014/main" id="{00000000-0008-0000-0100-00001E000000}"/>
            </a:ext>
          </a:extLst>
        </xdr:cNvPr>
        <xdr:cNvPicPr>
          <a:picLocks noChangeAspect="1" noChangeArrowheads="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1562100" y="2667000"/>
          <a:ext cx="5953125" cy="1876425"/>
        </a:xfrm>
        <a:prstGeom prst="rect">
          <a:avLst/>
        </a:prstGeom>
        <a:solidFill>
          <a:schemeClr val="bg1"/>
        </a:solidFill>
      </xdr:spPr>
    </xdr:pic>
    <xdr:clientData/>
  </xdr:twoCellAnchor>
  <xdr:twoCellAnchor>
    <xdr:from>
      <xdr:col>1</xdr:col>
      <xdr:colOff>0</xdr:colOff>
      <xdr:row>101</xdr:row>
      <xdr:rowOff>0</xdr:rowOff>
    </xdr:from>
    <xdr:to>
      <xdr:col>10</xdr:col>
      <xdr:colOff>466725</xdr:colOff>
      <xdr:row>111</xdr:row>
      <xdr:rowOff>104775</xdr:rowOff>
    </xdr:to>
    <xdr:pic>
      <xdr:nvPicPr>
        <xdr:cNvPr id="12" name="Picture 11">
          <a:extLst>
            <a:ext uri="{FF2B5EF4-FFF2-40B4-BE49-F238E27FC236}">
              <a16:creationId xmlns:a16="http://schemas.microsoft.com/office/drawing/2014/main" id="{00000000-0008-0000-0100-00000C000000}"/>
            </a:ext>
          </a:extLst>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1562100" y="19240500"/>
          <a:ext cx="5953125" cy="2009775"/>
        </a:xfrm>
        <a:prstGeom prst="rect">
          <a:avLst/>
        </a:prstGeom>
        <a:solidFill>
          <a:schemeClr val="bg1"/>
        </a:solidFill>
      </xdr:spPr>
    </xdr:pic>
    <xdr:clientData/>
  </xdr:twoCellAnchor>
  <xdr:twoCellAnchor>
    <xdr:from>
      <xdr:col>1</xdr:col>
      <xdr:colOff>0</xdr:colOff>
      <xdr:row>115</xdr:row>
      <xdr:rowOff>0</xdr:rowOff>
    </xdr:from>
    <xdr:to>
      <xdr:col>10</xdr:col>
      <xdr:colOff>466725</xdr:colOff>
      <xdr:row>120</xdr:row>
      <xdr:rowOff>38100</xdr:rowOff>
    </xdr:to>
    <xdr:pic>
      <xdr:nvPicPr>
        <xdr:cNvPr id="17" name="Picture 16">
          <a:extLst>
            <a:ext uri="{FF2B5EF4-FFF2-40B4-BE49-F238E27FC236}">
              <a16:creationId xmlns:a16="http://schemas.microsoft.com/office/drawing/2014/main" id="{00000000-0008-0000-0100-000011000000}"/>
            </a:ext>
          </a:extLst>
        </xdr:cNvPr>
        <xdr:cNvPicPr>
          <a:picLocks noChangeAspect="1" noChangeArrowheads="1"/>
        </xdr:cNvPicPr>
      </xdr:nvPicPr>
      <xdr:blipFill>
        <a:blip xmlns:r="http://schemas.openxmlformats.org/officeDocument/2006/relationships" r:embed="rId11" cstate="print">
          <a:extLst>
            <a:ext uri="{28A0092B-C50C-407E-A947-70E740481C1C}">
              <a14:useLocalDpi xmlns:a14="http://schemas.microsoft.com/office/drawing/2010/main" val="0"/>
            </a:ext>
          </a:extLst>
        </a:blip>
        <a:srcRect/>
        <a:stretch>
          <a:fillRect/>
        </a:stretch>
      </xdr:blipFill>
      <xdr:spPr bwMode="auto">
        <a:xfrm>
          <a:off x="1562100" y="21907500"/>
          <a:ext cx="5953125" cy="990600"/>
        </a:xfrm>
        <a:prstGeom prst="rect">
          <a:avLst/>
        </a:prstGeom>
        <a:solidFill>
          <a:schemeClr val="bg1"/>
        </a:solidFill>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647700</xdr:colOff>
          <xdr:row>20</xdr:row>
          <xdr:rowOff>180975</xdr:rowOff>
        </xdr:from>
        <xdr:to>
          <xdr:col>0</xdr:col>
          <xdr:colOff>2486025</xdr:colOff>
          <xdr:row>23</xdr:row>
          <xdr:rowOff>28575</xdr:rowOff>
        </xdr:to>
        <xdr:sp macro="" textlink="">
          <xdr:nvSpPr>
            <xdr:cNvPr id="163841" name="Object 1" hidden="1">
              <a:extLst>
                <a:ext uri="{63B3BB69-23CF-44E3-9099-C40C66FF867C}">
                  <a14:compatExt spid="_x0000_s163841"/>
                </a:ext>
                <a:ext uri="{FF2B5EF4-FFF2-40B4-BE49-F238E27FC236}">
                  <a16:creationId xmlns:a16="http://schemas.microsoft.com/office/drawing/2014/main" id="{00000000-0008-0000-0900-000001800200}"/>
                </a:ext>
              </a:extLst>
            </xdr:cNvPr>
            <xdr:cNvSpPr/>
          </xdr:nvSpPr>
          <xdr:spPr bwMode="auto">
            <a:xfrm>
              <a:off x="0" y="0"/>
              <a:ext cx="0" cy="0"/>
            </a:xfrm>
            <a:prstGeom prst="rect">
              <a:avLst/>
            </a:prstGeom>
            <a:solidFill>
              <a:srgbClr val="FFFFFF"/>
            </a:solidFill>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800100</xdr:colOff>
          <xdr:row>32</xdr:row>
          <xdr:rowOff>180975</xdr:rowOff>
        </xdr:from>
        <xdr:to>
          <xdr:col>3</xdr:col>
          <xdr:colOff>571500</xdr:colOff>
          <xdr:row>42</xdr:row>
          <xdr:rowOff>95250</xdr:rowOff>
        </xdr:to>
        <xdr:sp macro="" textlink="">
          <xdr:nvSpPr>
            <xdr:cNvPr id="163842" name="Object 2" hidden="1">
              <a:extLst>
                <a:ext uri="{63B3BB69-23CF-44E3-9099-C40C66FF867C}">
                  <a14:compatExt spid="_x0000_s163842"/>
                </a:ext>
                <a:ext uri="{FF2B5EF4-FFF2-40B4-BE49-F238E27FC236}">
                  <a16:creationId xmlns:a16="http://schemas.microsoft.com/office/drawing/2014/main" id="{00000000-0008-0000-0900-000002800200}"/>
                </a:ext>
              </a:extLst>
            </xdr:cNvPr>
            <xdr:cNvSpPr/>
          </xdr:nvSpPr>
          <xdr:spPr bwMode="auto">
            <a:xfrm>
              <a:off x="0" y="0"/>
              <a:ext cx="0" cy="0"/>
            </a:xfrm>
            <a:prstGeom prst="rect">
              <a:avLst/>
            </a:prstGeom>
            <a:solidFill>
              <a:srgbClr val="FFFFFF"/>
            </a:solidFill>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CIMS/pyCIMS/Sources/Prices/End_-_Use_Price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nd - Use Prices"/>
    </sheetNames>
    <sheetDataSet>
      <sheetData sheetId="0">
        <row r="7">
          <cell r="C7">
            <v>2005</v>
          </cell>
          <cell r="D7">
            <v>2006</v>
          </cell>
          <cell r="E7">
            <v>2007</v>
          </cell>
          <cell r="F7">
            <v>2008</v>
          </cell>
          <cell r="G7">
            <v>2009</v>
          </cell>
          <cell r="H7">
            <v>2010</v>
          </cell>
          <cell r="I7">
            <v>2011</v>
          </cell>
          <cell r="J7">
            <v>2012</v>
          </cell>
          <cell r="K7">
            <v>2013</v>
          </cell>
          <cell r="L7">
            <v>2014</v>
          </cell>
          <cell r="M7">
            <v>2015</v>
          </cell>
          <cell r="N7">
            <v>2016</v>
          </cell>
          <cell r="O7">
            <v>2017</v>
          </cell>
          <cell r="P7">
            <v>2018</v>
          </cell>
          <cell r="Q7">
            <v>2019</v>
          </cell>
          <cell r="R7">
            <v>2020</v>
          </cell>
          <cell r="S7">
            <v>2021</v>
          </cell>
          <cell r="T7">
            <v>2022</v>
          </cell>
          <cell r="U7">
            <v>2023</v>
          </cell>
          <cell r="V7">
            <v>2024</v>
          </cell>
          <cell r="W7">
            <v>2025</v>
          </cell>
          <cell r="X7">
            <v>2026</v>
          </cell>
          <cell r="Y7">
            <v>2027</v>
          </cell>
          <cell r="Z7">
            <v>2028</v>
          </cell>
          <cell r="AA7">
            <v>2029</v>
          </cell>
          <cell r="AB7">
            <v>2030</v>
          </cell>
          <cell r="AC7">
            <v>2031</v>
          </cell>
          <cell r="AD7">
            <v>2032</v>
          </cell>
          <cell r="AE7">
            <v>2033</v>
          </cell>
          <cell r="AF7">
            <v>2034</v>
          </cell>
          <cell r="AG7">
            <v>2035</v>
          </cell>
          <cell r="AH7">
            <v>2036</v>
          </cell>
          <cell r="AI7">
            <v>2037</v>
          </cell>
          <cell r="AJ7">
            <v>2038</v>
          </cell>
          <cell r="AK7">
            <v>2039</v>
          </cell>
          <cell r="AL7">
            <v>2040</v>
          </cell>
        </row>
        <row r="8">
          <cell r="C8" t="str">
            <v>2005</v>
          </cell>
          <cell r="D8" t="str">
            <v>2006</v>
          </cell>
          <cell r="E8" t="str">
            <v>2007</v>
          </cell>
          <cell r="F8" t="str">
            <v>2008</v>
          </cell>
          <cell r="G8" t="str">
            <v>2009</v>
          </cell>
          <cell r="H8" t="str">
            <v>2010</v>
          </cell>
          <cell r="I8" t="str">
            <v>2011</v>
          </cell>
          <cell r="J8" t="str">
            <v>2012</v>
          </cell>
          <cell r="K8" t="str">
            <v>2013</v>
          </cell>
          <cell r="L8" t="str">
            <v>2014</v>
          </cell>
          <cell r="M8" t="str">
            <v>2015</v>
          </cell>
          <cell r="N8" t="str">
            <v>2016</v>
          </cell>
          <cell r="O8" t="str">
            <v>2017</v>
          </cell>
          <cell r="P8" t="str">
            <v>2018</v>
          </cell>
          <cell r="Q8" t="str">
            <v>2019</v>
          </cell>
          <cell r="R8" t="str">
            <v>2020</v>
          </cell>
          <cell r="S8" t="str">
            <v>2021</v>
          </cell>
          <cell r="T8" t="str">
            <v>2022</v>
          </cell>
          <cell r="U8" t="str">
            <v>2023</v>
          </cell>
          <cell r="V8" t="str">
            <v>2024</v>
          </cell>
          <cell r="W8" t="str">
            <v>2025</v>
          </cell>
          <cell r="X8" t="str">
            <v>2026</v>
          </cell>
          <cell r="Y8" t="str">
            <v>2027</v>
          </cell>
          <cell r="Z8" t="str">
            <v>2028</v>
          </cell>
          <cell r="AA8" t="str">
            <v>2029</v>
          </cell>
          <cell r="AB8" t="str">
            <v>2030</v>
          </cell>
          <cell r="AC8" t="str">
            <v>2031</v>
          </cell>
          <cell r="AD8" t="str">
            <v>2032</v>
          </cell>
          <cell r="AE8" t="str">
            <v>2033</v>
          </cell>
          <cell r="AF8" t="str">
            <v>2034</v>
          </cell>
          <cell r="AG8" t="str">
            <v>2035</v>
          </cell>
          <cell r="AH8" t="str">
            <v>2036</v>
          </cell>
          <cell r="AI8" t="str">
            <v>2037</v>
          </cell>
          <cell r="AJ8" t="str">
            <v>2038</v>
          </cell>
          <cell r="AK8" t="str">
            <v>2039</v>
          </cell>
          <cell r="AL8" t="str">
            <v>2040</v>
          </cell>
        </row>
        <row r="9">
          <cell r="A9" t="str">
            <v>Canada</v>
          </cell>
          <cell r="B9" t="str">
            <v>Electricity</v>
          </cell>
          <cell r="C9">
            <v>28.95</v>
          </cell>
          <cell r="D9">
            <v>32.35</v>
          </cell>
          <cell r="E9">
            <v>31.56</v>
          </cell>
          <cell r="F9">
            <v>30.57</v>
          </cell>
          <cell r="G9">
            <v>31.64</v>
          </cell>
          <cell r="H9">
            <v>31.32</v>
          </cell>
          <cell r="I9">
            <v>32.659999999999997</v>
          </cell>
          <cell r="J9">
            <v>32.83</v>
          </cell>
          <cell r="K9">
            <v>32.92</v>
          </cell>
          <cell r="L9">
            <v>33.6</v>
          </cell>
          <cell r="M9">
            <v>34.979999999999997</v>
          </cell>
          <cell r="N9">
            <v>37.61</v>
          </cell>
          <cell r="O9">
            <v>37.65</v>
          </cell>
          <cell r="P9">
            <v>38.03</v>
          </cell>
          <cell r="Q9">
            <v>38.380000000000003</v>
          </cell>
          <cell r="R9">
            <v>38.72</v>
          </cell>
          <cell r="S9">
            <v>39.04</v>
          </cell>
          <cell r="T9">
            <v>39.36</v>
          </cell>
          <cell r="U9">
            <v>39.69</v>
          </cell>
          <cell r="V9">
            <v>40.020000000000003</v>
          </cell>
          <cell r="W9">
            <v>40.39</v>
          </cell>
          <cell r="X9">
            <v>40.74</v>
          </cell>
          <cell r="Y9">
            <v>41.1</v>
          </cell>
          <cell r="Z9">
            <v>41.49</v>
          </cell>
          <cell r="AA9">
            <v>41.88</v>
          </cell>
          <cell r="AB9">
            <v>42.26</v>
          </cell>
          <cell r="AC9">
            <v>42.62</v>
          </cell>
          <cell r="AD9">
            <v>42.97</v>
          </cell>
          <cell r="AE9">
            <v>43.31</v>
          </cell>
          <cell r="AF9">
            <v>43.65</v>
          </cell>
          <cell r="AG9">
            <v>43.98</v>
          </cell>
          <cell r="AH9">
            <v>44.31</v>
          </cell>
          <cell r="AI9">
            <v>44.63</v>
          </cell>
          <cell r="AJ9">
            <v>44.95</v>
          </cell>
          <cell r="AK9">
            <v>45.27</v>
          </cell>
          <cell r="AL9">
            <v>45.58</v>
          </cell>
        </row>
        <row r="10">
          <cell r="A10" t="str">
            <v>Canada</v>
          </cell>
          <cell r="B10" t="str">
            <v>Natural Gas</v>
          </cell>
          <cell r="C10">
            <v>15.81</v>
          </cell>
          <cell r="D10">
            <v>16.04</v>
          </cell>
          <cell r="E10">
            <v>14.76</v>
          </cell>
          <cell r="F10">
            <v>14.82</v>
          </cell>
          <cell r="G10">
            <v>12.89</v>
          </cell>
          <cell r="H10">
            <v>12.69</v>
          </cell>
          <cell r="I10">
            <v>11.75</v>
          </cell>
          <cell r="J10">
            <v>10.82</v>
          </cell>
          <cell r="K10">
            <v>10.77</v>
          </cell>
          <cell r="L10">
            <v>11.71</v>
          </cell>
          <cell r="M10">
            <v>10.65</v>
          </cell>
          <cell r="N10">
            <v>8.93</v>
          </cell>
          <cell r="O10">
            <v>10.82</v>
          </cell>
          <cell r="P10">
            <v>9.86</v>
          </cell>
          <cell r="Q10">
            <v>9.5299999999999994</v>
          </cell>
          <cell r="R10">
            <v>9.67</v>
          </cell>
          <cell r="S10">
            <v>9.8699999999999992</v>
          </cell>
          <cell r="T10">
            <v>10.19</v>
          </cell>
          <cell r="U10">
            <v>10.44</v>
          </cell>
          <cell r="V10">
            <v>10.53</v>
          </cell>
          <cell r="W10">
            <v>10.64</v>
          </cell>
          <cell r="X10">
            <v>10.82</v>
          </cell>
          <cell r="Y10">
            <v>10.85</v>
          </cell>
          <cell r="Z10">
            <v>10.9</v>
          </cell>
          <cell r="AA10">
            <v>10.96</v>
          </cell>
          <cell r="AB10">
            <v>11.02</v>
          </cell>
          <cell r="AC10">
            <v>11.09</v>
          </cell>
          <cell r="AD10">
            <v>11.18</v>
          </cell>
          <cell r="AE10">
            <v>11.28</v>
          </cell>
          <cell r="AF10">
            <v>11.33</v>
          </cell>
          <cell r="AG10">
            <v>11.37</v>
          </cell>
          <cell r="AH10">
            <v>11.41</v>
          </cell>
          <cell r="AI10">
            <v>11.43</v>
          </cell>
          <cell r="AJ10">
            <v>11.43</v>
          </cell>
          <cell r="AK10">
            <v>11.44</v>
          </cell>
          <cell r="AL10">
            <v>11.44</v>
          </cell>
        </row>
        <row r="11">
          <cell r="A11" t="str">
            <v>Canada</v>
          </cell>
          <cell r="B11" t="str">
            <v>Oil</v>
          </cell>
          <cell r="C11">
            <v>25.71</v>
          </cell>
          <cell r="D11">
            <v>26.31</v>
          </cell>
          <cell r="E11">
            <v>26.43</v>
          </cell>
          <cell r="F11">
            <v>33.200000000000003</v>
          </cell>
          <cell r="G11">
            <v>23.79</v>
          </cell>
          <cell r="H11">
            <v>26.91</v>
          </cell>
          <cell r="I11">
            <v>32.58</v>
          </cell>
          <cell r="J11">
            <v>33.74</v>
          </cell>
          <cell r="K11">
            <v>33.31</v>
          </cell>
          <cell r="L11">
            <v>34.46</v>
          </cell>
          <cell r="M11">
            <v>28.23</v>
          </cell>
          <cell r="N11">
            <v>24.61</v>
          </cell>
          <cell r="O11">
            <v>27.26</v>
          </cell>
          <cell r="P11">
            <v>31.59</v>
          </cell>
          <cell r="Q11">
            <v>35.08</v>
          </cell>
          <cell r="R11">
            <v>38.950000000000003</v>
          </cell>
          <cell r="S11">
            <v>36.01</v>
          </cell>
          <cell r="T11">
            <v>34.17</v>
          </cell>
          <cell r="U11">
            <v>34.06</v>
          </cell>
          <cell r="V11">
            <v>34.04</v>
          </cell>
          <cell r="W11">
            <v>34.25</v>
          </cell>
          <cell r="X11">
            <v>34.39</v>
          </cell>
          <cell r="Y11">
            <v>34.22</v>
          </cell>
          <cell r="Z11">
            <v>34.020000000000003</v>
          </cell>
          <cell r="AA11">
            <v>33.840000000000003</v>
          </cell>
          <cell r="AB11">
            <v>33.67</v>
          </cell>
          <cell r="AC11">
            <v>33.58</v>
          </cell>
          <cell r="AD11">
            <v>33.51</v>
          </cell>
          <cell r="AE11">
            <v>33.49</v>
          </cell>
          <cell r="AF11">
            <v>33.5</v>
          </cell>
          <cell r="AG11">
            <v>33.49</v>
          </cell>
          <cell r="AH11">
            <v>33.46</v>
          </cell>
          <cell r="AI11">
            <v>33.42</v>
          </cell>
          <cell r="AJ11">
            <v>33.340000000000003</v>
          </cell>
          <cell r="AK11">
            <v>33.270000000000003</v>
          </cell>
          <cell r="AL11">
            <v>33.18</v>
          </cell>
        </row>
        <row r="14">
          <cell r="C14" t="str">
            <v>2005</v>
          </cell>
          <cell r="D14" t="str">
            <v>2006</v>
          </cell>
          <cell r="E14" t="str">
            <v>2007</v>
          </cell>
          <cell r="F14" t="str">
            <v>2008</v>
          </cell>
          <cell r="G14" t="str">
            <v>2009</v>
          </cell>
          <cell r="H14" t="str">
            <v>2010</v>
          </cell>
          <cell r="I14" t="str">
            <v>2011</v>
          </cell>
          <cell r="J14" t="str">
            <v>2012</v>
          </cell>
          <cell r="K14" t="str">
            <v>2013</v>
          </cell>
          <cell r="L14" t="str">
            <v>2014</v>
          </cell>
          <cell r="M14" t="str">
            <v>2015</v>
          </cell>
          <cell r="N14" t="str">
            <v>2016</v>
          </cell>
          <cell r="O14" t="str">
            <v>2017</v>
          </cell>
          <cell r="P14" t="str">
            <v>2018</v>
          </cell>
          <cell r="Q14" t="str">
            <v>2019</v>
          </cell>
          <cell r="R14" t="str">
            <v>2020</v>
          </cell>
          <cell r="S14" t="str">
            <v>2021</v>
          </cell>
          <cell r="T14" t="str">
            <v>2022</v>
          </cell>
          <cell r="U14" t="str">
            <v>2023</v>
          </cell>
          <cell r="V14" t="str">
            <v>2024</v>
          </cell>
          <cell r="W14" t="str">
            <v>2025</v>
          </cell>
          <cell r="X14" t="str">
            <v>2026</v>
          </cell>
          <cell r="Y14" t="str">
            <v>2027</v>
          </cell>
          <cell r="Z14" t="str">
            <v>2028</v>
          </cell>
          <cell r="AA14" t="str">
            <v>2029</v>
          </cell>
          <cell r="AB14" t="str">
            <v>2030</v>
          </cell>
          <cell r="AC14" t="str">
            <v>2031</v>
          </cell>
          <cell r="AD14" t="str">
            <v>2032</v>
          </cell>
          <cell r="AE14" t="str">
            <v>2033</v>
          </cell>
          <cell r="AF14" t="str">
            <v>2034</v>
          </cell>
          <cell r="AG14" t="str">
            <v>2035</v>
          </cell>
          <cell r="AH14" t="str">
            <v>2036</v>
          </cell>
          <cell r="AI14" t="str">
            <v>2037</v>
          </cell>
          <cell r="AJ14" t="str">
            <v>2038</v>
          </cell>
          <cell r="AK14" t="str">
            <v>2039</v>
          </cell>
          <cell r="AL14" t="str">
            <v>2040</v>
          </cell>
        </row>
        <row r="15">
          <cell r="A15" t="str">
            <v>Newfoundland and Labrador</v>
          </cell>
          <cell r="C15">
            <v>34.03</v>
          </cell>
          <cell r="D15">
            <v>39.85</v>
          </cell>
          <cell r="E15">
            <v>39.83</v>
          </cell>
          <cell r="F15">
            <v>37.99</v>
          </cell>
          <cell r="G15">
            <v>41.07</v>
          </cell>
          <cell r="H15">
            <v>38.9</v>
          </cell>
          <cell r="I15">
            <v>38.54</v>
          </cell>
          <cell r="J15">
            <v>40.909999999999997</v>
          </cell>
          <cell r="K15">
            <v>39.76</v>
          </cell>
          <cell r="L15">
            <v>38.340000000000003</v>
          </cell>
          <cell r="M15">
            <v>39.4</v>
          </cell>
          <cell r="N15">
            <v>40.49</v>
          </cell>
          <cell r="O15">
            <v>42.88</v>
          </cell>
          <cell r="P15">
            <v>43.74</v>
          </cell>
          <cell r="Q15">
            <v>44.52</v>
          </cell>
          <cell r="R15">
            <v>45.24</v>
          </cell>
          <cell r="S15">
            <v>45.89</v>
          </cell>
          <cell r="T15">
            <v>46.48</v>
          </cell>
          <cell r="U15">
            <v>47.03</v>
          </cell>
          <cell r="V15">
            <v>47.53</v>
          </cell>
          <cell r="W15">
            <v>48</v>
          </cell>
          <cell r="X15">
            <v>48.44</v>
          </cell>
          <cell r="Y15">
            <v>48.85</v>
          </cell>
          <cell r="Z15">
            <v>49.25</v>
          </cell>
          <cell r="AA15">
            <v>49.64</v>
          </cell>
          <cell r="AB15">
            <v>50.03</v>
          </cell>
          <cell r="AC15">
            <v>50.42</v>
          </cell>
          <cell r="AD15">
            <v>50.82</v>
          </cell>
          <cell r="AE15">
            <v>51.23</v>
          </cell>
          <cell r="AF15">
            <v>51.67</v>
          </cell>
          <cell r="AG15">
            <v>52.14</v>
          </cell>
          <cell r="AH15">
            <v>52.65</v>
          </cell>
          <cell r="AI15">
            <v>53.2</v>
          </cell>
          <cell r="AJ15">
            <v>53.8</v>
          </cell>
          <cell r="AK15">
            <v>54.45</v>
          </cell>
          <cell r="AL15">
            <v>55.17</v>
          </cell>
        </row>
        <row r="16">
          <cell r="A16" t="str">
            <v>Newfoundland and Labrador</v>
          </cell>
          <cell r="C16">
            <v>18.899999999999999</v>
          </cell>
          <cell r="D16">
            <v>18.940000000000001</v>
          </cell>
          <cell r="E16">
            <v>11.86</v>
          </cell>
          <cell r="F16">
            <v>14.01</v>
          </cell>
          <cell r="G16">
            <v>14.6</v>
          </cell>
          <cell r="H16">
            <v>20.09</v>
          </cell>
          <cell r="I16">
            <v>17.2</v>
          </cell>
          <cell r="J16">
            <v>17.59</v>
          </cell>
          <cell r="K16">
            <v>18.75</v>
          </cell>
          <cell r="L16">
            <v>18.48</v>
          </cell>
          <cell r="M16">
            <v>13.86</v>
          </cell>
          <cell r="N16">
            <v>9.4700000000000006</v>
          </cell>
          <cell r="O16">
            <v>10.75</v>
          </cell>
          <cell r="P16">
            <v>10.63</v>
          </cell>
          <cell r="Q16">
            <v>10.61</v>
          </cell>
          <cell r="R16">
            <v>10.91</v>
          </cell>
          <cell r="S16">
            <v>11.07</v>
          </cell>
          <cell r="T16">
            <v>11.22</v>
          </cell>
          <cell r="U16">
            <v>11.35</v>
          </cell>
          <cell r="V16">
            <v>11.35</v>
          </cell>
          <cell r="W16">
            <v>11.38</v>
          </cell>
          <cell r="X16">
            <v>11.48</v>
          </cell>
          <cell r="Y16">
            <v>11.57</v>
          </cell>
          <cell r="Z16">
            <v>11.67</v>
          </cell>
          <cell r="AA16">
            <v>11.79</v>
          </cell>
          <cell r="AB16">
            <v>11.9</v>
          </cell>
          <cell r="AC16">
            <v>12.02</v>
          </cell>
          <cell r="AD16">
            <v>12.15</v>
          </cell>
          <cell r="AE16">
            <v>12.3</v>
          </cell>
          <cell r="AF16">
            <v>12.38</v>
          </cell>
          <cell r="AG16">
            <v>12.45</v>
          </cell>
          <cell r="AH16">
            <v>12.52</v>
          </cell>
          <cell r="AI16">
            <v>12.57</v>
          </cell>
          <cell r="AJ16">
            <v>12.6</v>
          </cell>
          <cell r="AK16">
            <v>12.64</v>
          </cell>
          <cell r="AL16">
            <v>12.67</v>
          </cell>
        </row>
        <row r="17">
          <cell r="A17" t="str">
            <v>Newfoundland and Labrador</v>
          </cell>
          <cell r="C17">
            <v>25.86</v>
          </cell>
          <cell r="D17">
            <v>27.18</v>
          </cell>
          <cell r="E17">
            <v>27.19</v>
          </cell>
          <cell r="F17">
            <v>32.65</v>
          </cell>
          <cell r="G17">
            <v>22.7</v>
          </cell>
          <cell r="H17">
            <v>26.25</v>
          </cell>
          <cell r="I17">
            <v>31.74</v>
          </cell>
          <cell r="J17">
            <v>32.58</v>
          </cell>
          <cell r="K17">
            <v>29.61</v>
          </cell>
          <cell r="L17">
            <v>29.41</v>
          </cell>
          <cell r="M17">
            <v>22.78</v>
          </cell>
          <cell r="N17">
            <v>21.05</v>
          </cell>
          <cell r="O17">
            <v>24</v>
          </cell>
          <cell r="P17">
            <v>27.31</v>
          </cell>
          <cell r="Q17">
            <v>30.69</v>
          </cell>
          <cell r="R17">
            <v>35.65</v>
          </cell>
          <cell r="S17">
            <v>32.92</v>
          </cell>
          <cell r="T17">
            <v>31.27</v>
          </cell>
          <cell r="U17">
            <v>31.4</v>
          </cell>
          <cell r="V17">
            <v>31.13</v>
          </cell>
          <cell r="W17">
            <v>31.1</v>
          </cell>
          <cell r="X17">
            <v>31.02</v>
          </cell>
          <cell r="Y17">
            <v>30.85</v>
          </cell>
          <cell r="Z17">
            <v>30.63</v>
          </cell>
          <cell r="AA17">
            <v>30.45</v>
          </cell>
          <cell r="AB17">
            <v>30.26</v>
          </cell>
          <cell r="AC17">
            <v>30.15</v>
          </cell>
          <cell r="AD17">
            <v>30.08</v>
          </cell>
          <cell r="AE17">
            <v>30.05</v>
          </cell>
          <cell r="AF17">
            <v>30.05</v>
          </cell>
          <cell r="AG17">
            <v>30.03</v>
          </cell>
          <cell r="AH17">
            <v>29.99</v>
          </cell>
          <cell r="AI17">
            <v>29.93</v>
          </cell>
          <cell r="AJ17">
            <v>29.84</v>
          </cell>
          <cell r="AK17">
            <v>29.75</v>
          </cell>
          <cell r="AL17">
            <v>29.65</v>
          </cell>
        </row>
        <row r="20">
          <cell r="C20" t="str">
            <v>2005</v>
          </cell>
          <cell r="D20" t="str">
            <v>2006</v>
          </cell>
          <cell r="E20" t="str">
            <v>2007</v>
          </cell>
          <cell r="F20" t="str">
            <v>2008</v>
          </cell>
          <cell r="G20" t="str">
            <v>2009</v>
          </cell>
          <cell r="H20" t="str">
            <v>2010</v>
          </cell>
          <cell r="I20" t="str">
            <v>2011</v>
          </cell>
          <cell r="J20" t="str">
            <v>2012</v>
          </cell>
          <cell r="K20" t="str">
            <v>2013</v>
          </cell>
          <cell r="L20" t="str">
            <v>2014</v>
          </cell>
          <cell r="M20" t="str">
            <v>2015</v>
          </cell>
          <cell r="N20" t="str">
            <v>2016</v>
          </cell>
          <cell r="O20" t="str">
            <v>2017</v>
          </cell>
          <cell r="P20" t="str">
            <v>2018</v>
          </cell>
          <cell r="Q20" t="str">
            <v>2019</v>
          </cell>
          <cell r="R20" t="str">
            <v>2020</v>
          </cell>
          <cell r="S20" t="str">
            <v>2021</v>
          </cell>
          <cell r="T20" t="str">
            <v>2022</v>
          </cell>
          <cell r="U20" t="str">
            <v>2023</v>
          </cell>
          <cell r="V20" t="str">
            <v>2024</v>
          </cell>
          <cell r="W20" t="str">
            <v>2025</v>
          </cell>
          <cell r="X20" t="str">
            <v>2026</v>
          </cell>
          <cell r="Y20" t="str">
            <v>2027</v>
          </cell>
          <cell r="Z20" t="str">
            <v>2028</v>
          </cell>
          <cell r="AA20" t="str">
            <v>2029</v>
          </cell>
          <cell r="AB20" t="str">
            <v>2030</v>
          </cell>
          <cell r="AC20" t="str">
            <v>2031</v>
          </cell>
          <cell r="AD20" t="str">
            <v>2032</v>
          </cell>
          <cell r="AE20" t="str">
            <v>2033</v>
          </cell>
          <cell r="AF20" t="str">
            <v>2034</v>
          </cell>
          <cell r="AG20" t="str">
            <v>2035</v>
          </cell>
          <cell r="AH20" t="str">
            <v>2036</v>
          </cell>
          <cell r="AI20" t="str">
            <v>2037</v>
          </cell>
          <cell r="AJ20" t="str">
            <v>2038</v>
          </cell>
          <cell r="AK20" t="str">
            <v>2039</v>
          </cell>
          <cell r="AL20" t="str">
            <v>2040</v>
          </cell>
        </row>
        <row r="21">
          <cell r="A21" t="str">
            <v>Prince Edward Island</v>
          </cell>
          <cell r="C21">
            <v>41.51</v>
          </cell>
          <cell r="D21">
            <v>42.42</v>
          </cell>
          <cell r="E21">
            <v>44.58</v>
          </cell>
          <cell r="F21">
            <v>46.56</v>
          </cell>
          <cell r="G21">
            <v>55.63</v>
          </cell>
          <cell r="H21">
            <v>50.51</v>
          </cell>
          <cell r="I21">
            <v>43.95</v>
          </cell>
          <cell r="J21">
            <v>43.43</v>
          </cell>
          <cell r="K21">
            <v>50.61</v>
          </cell>
          <cell r="L21">
            <v>51.93</v>
          </cell>
          <cell r="M21">
            <v>53.64</v>
          </cell>
          <cell r="N21">
            <v>54.8</v>
          </cell>
          <cell r="O21">
            <v>54.98</v>
          </cell>
          <cell r="P21">
            <v>55.16</v>
          </cell>
          <cell r="Q21">
            <v>55.34</v>
          </cell>
          <cell r="R21">
            <v>55.52</v>
          </cell>
          <cell r="S21">
            <v>55.7</v>
          </cell>
          <cell r="T21">
            <v>55.88</v>
          </cell>
          <cell r="U21">
            <v>56.06</v>
          </cell>
          <cell r="V21">
            <v>56.24</v>
          </cell>
          <cell r="W21">
            <v>56.42</v>
          </cell>
          <cell r="X21">
            <v>56.61</v>
          </cell>
          <cell r="Y21">
            <v>56.79</v>
          </cell>
          <cell r="Z21">
            <v>56.97</v>
          </cell>
          <cell r="AA21">
            <v>57.16</v>
          </cell>
          <cell r="AB21">
            <v>57.35</v>
          </cell>
          <cell r="AC21">
            <v>57.53</v>
          </cell>
          <cell r="AD21">
            <v>57.72</v>
          </cell>
          <cell r="AE21">
            <v>57.91</v>
          </cell>
          <cell r="AF21">
            <v>58.09</v>
          </cell>
          <cell r="AG21">
            <v>58.28</v>
          </cell>
          <cell r="AH21">
            <v>58.47</v>
          </cell>
          <cell r="AI21">
            <v>58.66</v>
          </cell>
          <cell r="AJ21">
            <v>58.85</v>
          </cell>
          <cell r="AK21">
            <v>59.04</v>
          </cell>
          <cell r="AL21">
            <v>59.23</v>
          </cell>
        </row>
        <row r="22">
          <cell r="A22" t="str">
            <v>Prince Edward Island</v>
          </cell>
          <cell r="C22">
            <v>18.899999999999999</v>
          </cell>
          <cell r="D22">
            <v>18.940000000000001</v>
          </cell>
          <cell r="E22">
            <v>11.86</v>
          </cell>
          <cell r="F22">
            <v>14.01</v>
          </cell>
          <cell r="G22">
            <v>14.6</v>
          </cell>
          <cell r="H22">
            <v>20.09</v>
          </cell>
          <cell r="I22">
            <v>17.2</v>
          </cell>
          <cell r="J22">
            <v>17.59</v>
          </cell>
          <cell r="K22">
            <v>18.38</v>
          </cell>
          <cell r="L22">
            <v>18.48</v>
          </cell>
          <cell r="M22">
            <v>10.53</v>
          </cell>
          <cell r="N22">
            <v>9.49</v>
          </cell>
          <cell r="O22">
            <v>10.75</v>
          </cell>
          <cell r="P22">
            <v>10.63</v>
          </cell>
          <cell r="Q22">
            <v>10.61</v>
          </cell>
          <cell r="R22">
            <v>10.91</v>
          </cell>
          <cell r="S22">
            <v>11.07</v>
          </cell>
          <cell r="T22">
            <v>11.22</v>
          </cell>
          <cell r="U22">
            <v>11.35</v>
          </cell>
          <cell r="V22">
            <v>11.35</v>
          </cell>
          <cell r="W22">
            <v>11.38</v>
          </cell>
          <cell r="X22">
            <v>11.48</v>
          </cell>
          <cell r="Y22">
            <v>11.57</v>
          </cell>
          <cell r="Z22">
            <v>11.67</v>
          </cell>
          <cell r="AA22">
            <v>11.79</v>
          </cell>
          <cell r="AB22">
            <v>11.9</v>
          </cell>
          <cell r="AC22">
            <v>12.02</v>
          </cell>
          <cell r="AD22">
            <v>12.15</v>
          </cell>
          <cell r="AE22">
            <v>12.3</v>
          </cell>
          <cell r="AF22">
            <v>12.38</v>
          </cell>
          <cell r="AG22">
            <v>12.45</v>
          </cell>
          <cell r="AH22">
            <v>12.52</v>
          </cell>
          <cell r="AI22">
            <v>12.57</v>
          </cell>
          <cell r="AJ22">
            <v>12.6</v>
          </cell>
          <cell r="AK22">
            <v>12.64</v>
          </cell>
          <cell r="AL22">
            <v>12.67</v>
          </cell>
        </row>
        <row r="23">
          <cell r="A23" t="str">
            <v>Prince Edward Island</v>
          </cell>
          <cell r="C23">
            <v>24.29</v>
          </cell>
          <cell r="D23">
            <v>24.86</v>
          </cell>
          <cell r="E23">
            <v>24.61</v>
          </cell>
          <cell r="F23">
            <v>30.51</v>
          </cell>
          <cell r="G23">
            <v>21.93</v>
          </cell>
          <cell r="H23">
            <v>24.71</v>
          </cell>
          <cell r="I23">
            <v>30.18</v>
          </cell>
          <cell r="J23">
            <v>31.33</v>
          </cell>
          <cell r="K23">
            <v>30.91</v>
          </cell>
          <cell r="L23">
            <v>31</v>
          </cell>
          <cell r="M23">
            <v>24.09</v>
          </cell>
          <cell r="N23">
            <v>20.85</v>
          </cell>
          <cell r="O23">
            <v>22.06</v>
          </cell>
          <cell r="P23">
            <v>26.58</v>
          </cell>
          <cell r="Q23">
            <v>29.7</v>
          </cell>
          <cell r="R23">
            <v>34.39</v>
          </cell>
          <cell r="S23">
            <v>31.95</v>
          </cell>
          <cell r="T23">
            <v>30.49</v>
          </cell>
          <cell r="U23">
            <v>30.66</v>
          </cell>
          <cell r="V23">
            <v>30.4</v>
          </cell>
          <cell r="W23">
            <v>30.37</v>
          </cell>
          <cell r="X23">
            <v>30.29</v>
          </cell>
          <cell r="Y23">
            <v>30.12</v>
          </cell>
          <cell r="Z23">
            <v>29.91</v>
          </cell>
          <cell r="AA23">
            <v>29.74</v>
          </cell>
          <cell r="AB23">
            <v>29.56</v>
          </cell>
          <cell r="AC23">
            <v>29.46</v>
          </cell>
          <cell r="AD23">
            <v>29.39</v>
          </cell>
          <cell r="AE23">
            <v>29.35</v>
          </cell>
          <cell r="AF23">
            <v>29.35</v>
          </cell>
          <cell r="AG23">
            <v>29.32</v>
          </cell>
          <cell r="AH23">
            <v>29.28</v>
          </cell>
          <cell r="AI23">
            <v>29.23</v>
          </cell>
          <cell r="AJ23">
            <v>29.14</v>
          </cell>
          <cell r="AK23">
            <v>29.05</v>
          </cell>
          <cell r="AL23">
            <v>28.95</v>
          </cell>
        </row>
        <row r="26">
          <cell r="C26" t="str">
            <v>2005</v>
          </cell>
          <cell r="D26" t="str">
            <v>2006</v>
          </cell>
          <cell r="E26" t="str">
            <v>2007</v>
          </cell>
          <cell r="F26" t="str">
            <v>2008</v>
          </cell>
          <cell r="G26" t="str">
            <v>2009</v>
          </cell>
          <cell r="H26" t="str">
            <v>2010</v>
          </cell>
          <cell r="I26" t="str">
            <v>2011</v>
          </cell>
          <cell r="J26" t="str">
            <v>2012</v>
          </cell>
          <cell r="K26" t="str">
            <v>2013</v>
          </cell>
          <cell r="L26" t="str">
            <v>2014</v>
          </cell>
          <cell r="M26" t="str">
            <v>2015</v>
          </cell>
          <cell r="N26" t="str">
            <v>2016</v>
          </cell>
          <cell r="O26" t="str">
            <v>2017</v>
          </cell>
          <cell r="P26" t="str">
            <v>2018</v>
          </cell>
          <cell r="Q26" t="str">
            <v>2019</v>
          </cell>
          <cell r="R26" t="str">
            <v>2020</v>
          </cell>
          <cell r="S26" t="str">
            <v>2021</v>
          </cell>
          <cell r="T26" t="str">
            <v>2022</v>
          </cell>
          <cell r="U26" t="str">
            <v>2023</v>
          </cell>
          <cell r="V26" t="str">
            <v>2024</v>
          </cell>
          <cell r="W26" t="str">
            <v>2025</v>
          </cell>
          <cell r="X26" t="str">
            <v>2026</v>
          </cell>
          <cell r="Y26" t="str">
            <v>2027</v>
          </cell>
          <cell r="Z26" t="str">
            <v>2028</v>
          </cell>
          <cell r="AA26" t="str">
            <v>2029</v>
          </cell>
          <cell r="AB26" t="str">
            <v>2030</v>
          </cell>
          <cell r="AC26" t="str">
            <v>2031</v>
          </cell>
          <cell r="AD26" t="str">
            <v>2032</v>
          </cell>
          <cell r="AE26" t="str">
            <v>2033</v>
          </cell>
          <cell r="AF26" t="str">
            <v>2034</v>
          </cell>
          <cell r="AG26" t="str">
            <v>2035</v>
          </cell>
          <cell r="AH26" t="str">
            <v>2036</v>
          </cell>
          <cell r="AI26" t="str">
            <v>2037</v>
          </cell>
          <cell r="AJ26" t="str">
            <v>2038</v>
          </cell>
          <cell r="AK26" t="str">
            <v>2039</v>
          </cell>
          <cell r="AL26" t="str">
            <v>2040</v>
          </cell>
        </row>
        <row r="27">
          <cell r="A27" t="str">
            <v>Nova Scotia</v>
          </cell>
          <cell r="C27">
            <v>37.270000000000003</v>
          </cell>
          <cell r="D27">
            <v>41.5</v>
          </cell>
          <cell r="E27">
            <v>38.799999999999997</v>
          </cell>
          <cell r="F27">
            <v>36.950000000000003</v>
          </cell>
          <cell r="G27">
            <v>44.6</v>
          </cell>
          <cell r="H27">
            <v>40.32</v>
          </cell>
          <cell r="I27">
            <v>41.27</v>
          </cell>
          <cell r="J27">
            <v>44.94</v>
          </cell>
          <cell r="K27">
            <v>45.5</v>
          </cell>
          <cell r="L27">
            <v>46.34</v>
          </cell>
          <cell r="M27">
            <v>46.71</v>
          </cell>
          <cell r="N27">
            <v>46.01</v>
          </cell>
          <cell r="O27">
            <v>46.61</v>
          </cell>
          <cell r="P27">
            <v>47.54</v>
          </cell>
          <cell r="Q27">
            <v>48.44</v>
          </cell>
          <cell r="R27">
            <v>49.31</v>
          </cell>
          <cell r="S27">
            <v>50.14</v>
          </cell>
          <cell r="T27">
            <v>50.94</v>
          </cell>
          <cell r="U27">
            <v>51.71</v>
          </cell>
          <cell r="V27">
            <v>52.45</v>
          </cell>
          <cell r="W27">
            <v>53.15</v>
          </cell>
          <cell r="X27">
            <v>53.81</v>
          </cell>
          <cell r="Y27">
            <v>54.43</v>
          </cell>
          <cell r="Z27">
            <v>55.02</v>
          </cell>
          <cell r="AA27">
            <v>55.56</v>
          </cell>
          <cell r="AB27">
            <v>56.07</v>
          </cell>
          <cell r="AC27">
            <v>56.53</v>
          </cell>
          <cell r="AD27">
            <v>56.95</v>
          </cell>
          <cell r="AE27">
            <v>57.32</v>
          </cell>
          <cell r="AF27">
            <v>57.65</v>
          </cell>
          <cell r="AG27">
            <v>57.94</v>
          </cell>
          <cell r="AH27">
            <v>58.17</v>
          </cell>
          <cell r="AI27">
            <v>58.36</v>
          </cell>
          <cell r="AJ27">
            <v>58.5</v>
          </cell>
          <cell r="AK27">
            <v>58.59</v>
          </cell>
          <cell r="AL27">
            <v>58.62</v>
          </cell>
        </row>
        <row r="28">
          <cell r="A28" t="str">
            <v>Nova Scotia</v>
          </cell>
          <cell r="C28">
            <v>48.47</v>
          </cell>
          <cell r="D28">
            <v>44.05</v>
          </cell>
          <cell r="E28">
            <v>40.97</v>
          </cell>
          <cell r="F28">
            <v>39.74</v>
          </cell>
          <cell r="G28">
            <v>38.31</v>
          </cell>
          <cell r="H28">
            <v>36.06</v>
          </cell>
          <cell r="I28">
            <v>33.869999999999997</v>
          </cell>
          <cell r="J28">
            <v>32.549999999999997</v>
          </cell>
          <cell r="K28">
            <v>25.3</v>
          </cell>
          <cell r="L28">
            <v>26.06</v>
          </cell>
          <cell r="M28">
            <v>30.99</v>
          </cell>
          <cell r="N28">
            <v>27.98</v>
          </cell>
          <cell r="O28">
            <v>25.3</v>
          </cell>
          <cell r="P28">
            <v>25.21</v>
          </cell>
          <cell r="Q28">
            <v>25.2</v>
          </cell>
          <cell r="R28">
            <v>25.99</v>
          </cell>
          <cell r="S28">
            <v>26.36</v>
          </cell>
          <cell r="T28">
            <v>26.71</v>
          </cell>
          <cell r="U28">
            <v>27.03</v>
          </cell>
          <cell r="V28">
            <v>26.98</v>
          </cell>
          <cell r="W28">
            <v>26.97</v>
          </cell>
          <cell r="X28">
            <v>27.01</v>
          </cell>
          <cell r="Y28">
            <v>27.04</v>
          </cell>
          <cell r="Z28">
            <v>27.1</v>
          </cell>
          <cell r="AA28">
            <v>27.16</v>
          </cell>
          <cell r="AB28">
            <v>27.22</v>
          </cell>
          <cell r="AC28">
            <v>27.29</v>
          </cell>
          <cell r="AD28">
            <v>27.37</v>
          </cell>
          <cell r="AE28">
            <v>27.46</v>
          </cell>
          <cell r="AF28">
            <v>27.51</v>
          </cell>
          <cell r="AG28">
            <v>27.55</v>
          </cell>
          <cell r="AH28">
            <v>27.58</v>
          </cell>
          <cell r="AI28">
            <v>27.6</v>
          </cell>
          <cell r="AJ28">
            <v>27.61</v>
          </cell>
          <cell r="AK28">
            <v>27.62</v>
          </cell>
          <cell r="AL28">
            <v>27.62</v>
          </cell>
        </row>
        <row r="29">
          <cell r="A29" t="str">
            <v>Nova Scotia</v>
          </cell>
          <cell r="C29">
            <v>27.52</v>
          </cell>
          <cell r="D29">
            <v>28.18</v>
          </cell>
          <cell r="E29">
            <v>26.07</v>
          </cell>
          <cell r="F29">
            <v>31.72</v>
          </cell>
          <cell r="G29">
            <v>22.7</v>
          </cell>
          <cell r="H29">
            <v>25.32</v>
          </cell>
          <cell r="I29">
            <v>30.73</v>
          </cell>
          <cell r="J29">
            <v>31.88</v>
          </cell>
          <cell r="K29">
            <v>31.97</v>
          </cell>
          <cell r="L29">
            <v>34.450000000000003</v>
          </cell>
          <cell r="M29">
            <v>27.46</v>
          </cell>
          <cell r="N29">
            <v>23.92</v>
          </cell>
          <cell r="O29">
            <v>25.38</v>
          </cell>
          <cell r="P29">
            <v>29.63</v>
          </cell>
          <cell r="Q29">
            <v>32.75</v>
          </cell>
          <cell r="R29">
            <v>37.450000000000003</v>
          </cell>
          <cell r="S29">
            <v>35</v>
          </cell>
          <cell r="T29">
            <v>33.549999999999997</v>
          </cell>
          <cell r="U29">
            <v>33.72</v>
          </cell>
          <cell r="V29">
            <v>33.450000000000003</v>
          </cell>
          <cell r="W29">
            <v>33.42</v>
          </cell>
          <cell r="X29">
            <v>33.340000000000003</v>
          </cell>
          <cell r="Y29">
            <v>33.17</v>
          </cell>
          <cell r="Z29">
            <v>32.96</v>
          </cell>
          <cell r="AA29">
            <v>32.79</v>
          </cell>
          <cell r="AB29">
            <v>32.61</v>
          </cell>
          <cell r="AC29">
            <v>32.51</v>
          </cell>
          <cell r="AD29">
            <v>32.44</v>
          </cell>
          <cell r="AE29">
            <v>32.4</v>
          </cell>
          <cell r="AF29">
            <v>32.4</v>
          </cell>
          <cell r="AG29">
            <v>32.369999999999997</v>
          </cell>
          <cell r="AH29">
            <v>32.33</v>
          </cell>
          <cell r="AI29">
            <v>32.28</v>
          </cell>
          <cell r="AJ29">
            <v>32.19</v>
          </cell>
          <cell r="AK29">
            <v>32.1</v>
          </cell>
          <cell r="AL29">
            <v>32</v>
          </cell>
        </row>
        <row r="32">
          <cell r="C32" t="str">
            <v>2005</v>
          </cell>
          <cell r="D32" t="str">
            <v>2006</v>
          </cell>
          <cell r="E32" t="str">
            <v>2007</v>
          </cell>
          <cell r="F32" t="str">
            <v>2008</v>
          </cell>
          <cell r="G32" t="str">
            <v>2009</v>
          </cell>
          <cell r="H32" t="str">
            <v>2010</v>
          </cell>
          <cell r="I32" t="str">
            <v>2011</v>
          </cell>
          <cell r="J32" t="str">
            <v>2012</v>
          </cell>
          <cell r="K32" t="str">
            <v>2013</v>
          </cell>
          <cell r="L32" t="str">
            <v>2014</v>
          </cell>
          <cell r="M32" t="str">
            <v>2015</v>
          </cell>
          <cell r="N32" t="str">
            <v>2016</v>
          </cell>
          <cell r="O32" t="str">
            <v>2017</v>
          </cell>
          <cell r="P32" t="str">
            <v>2018</v>
          </cell>
          <cell r="Q32" t="str">
            <v>2019</v>
          </cell>
          <cell r="R32" t="str">
            <v>2020</v>
          </cell>
          <cell r="S32" t="str">
            <v>2021</v>
          </cell>
          <cell r="T32" t="str">
            <v>2022</v>
          </cell>
          <cell r="U32" t="str">
            <v>2023</v>
          </cell>
          <cell r="V32" t="str">
            <v>2024</v>
          </cell>
          <cell r="W32" t="str">
            <v>2025</v>
          </cell>
          <cell r="X32" t="str">
            <v>2026</v>
          </cell>
          <cell r="Y32" t="str">
            <v>2027</v>
          </cell>
          <cell r="Z32" t="str">
            <v>2028</v>
          </cell>
          <cell r="AA32" t="str">
            <v>2029</v>
          </cell>
          <cell r="AB32" t="str">
            <v>2030</v>
          </cell>
          <cell r="AC32" t="str">
            <v>2031</v>
          </cell>
          <cell r="AD32" t="str">
            <v>2032</v>
          </cell>
          <cell r="AE32" t="str">
            <v>2033</v>
          </cell>
          <cell r="AF32" t="str">
            <v>2034</v>
          </cell>
          <cell r="AG32" t="str">
            <v>2035</v>
          </cell>
          <cell r="AH32" t="str">
            <v>2036</v>
          </cell>
          <cell r="AI32" t="str">
            <v>2037</v>
          </cell>
          <cell r="AJ32" t="str">
            <v>2038</v>
          </cell>
          <cell r="AK32" t="str">
            <v>2039</v>
          </cell>
          <cell r="AL32" t="str">
            <v>2040</v>
          </cell>
        </row>
        <row r="33">
          <cell r="A33" t="str">
            <v>New Brunswick</v>
          </cell>
          <cell r="C33">
            <v>35.630000000000003</v>
          </cell>
          <cell r="D33">
            <v>40.94</v>
          </cell>
          <cell r="E33">
            <v>42.23</v>
          </cell>
          <cell r="F33">
            <v>41.92</v>
          </cell>
          <cell r="G33">
            <v>43.47</v>
          </cell>
          <cell r="H33">
            <v>42.27</v>
          </cell>
          <cell r="I33">
            <v>41.5</v>
          </cell>
          <cell r="J33">
            <v>41</v>
          </cell>
          <cell r="K33">
            <v>40.340000000000003</v>
          </cell>
          <cell r="L33">
            <v>40.39</v>
          </cell>
          <cell r="M33">
            <v>41.52</v>
          </cell>
          <cell r="N33">
            <v>42.28</v>
          </cell>
          <cell r="O33">
            <v>42.82</v>
          </cell>
          <cell r="P33">
            <v>43.37</v>
          </cell>
          <cell r="Q33">
            <v>43.92</v>
          </cell>
          <cell r="R33">
            <v>44.47</v>
          </cell>
          <cell r="S33">
            <v>45.04</v>
          </cell>
          <cell r="T33">
            <v>45.61</v>
          </cell>
          <cell r="U33">
            <v>46.19</v>
          </cell>
          <cell r="V33">
            <v>46.78</v>
          </cell>
          <cell r="W33">
            <v>47.37</v>
          </cell>
          <cell r="X33">
            <v>47.97</v>
          </cell>
          <cell r="Y33">
            <v>48.58</v>
          </cell>
          <cell r="Z33">
            <v>49.2</v>
          </cell>
          <cell r="AA33">
            <v>49.82</v>
          </cell>
          <cell r="AB33">
            <v>50.45</v>
          </cell>
          <cell r="AC33">
            <v>51.09</v>
          </cell>
          <cell r="AD33">
            <v>51.74</v>
          </cell>
          <cell r="AE33">
            <v>52.4</v>
          </cell>
          <cell r="AF33">
            <v>53.07</v>
          </cell>
          <cell r="AG33">
            <v>53.74</v>
          </cell>
          <cell r="AH33">
            <v>54.42</v>
          </cell>
          <cell r="AI33">
            <v>55.11</v>
          </cell>
          <cell r="AJ33">
            <v>55.81</v>
          </cell>
          <cell r="AK33">
            <v>56.52</v>
          </cell>
          <cell r="AL33">
            <v>57.24</v>
          </cell>
        </row>
        <row r="34">
          <cell r="A34" t="str">
            <v>New Brunswick</v>
          </cell>
          <cell r="C34">
            <v>18.899999999999999</v>
          </cell>
          <cell r="D34">
            <v>18.940000000000001</v>
          </cell>
          <cell r="E34">
            <v>11.86</v>
          </cell>
          <cell r="F34">
            <v>14.01</v>
          </cell>
          <cell r="G34">
            <v>14.6</v>
          </cell>
          <cell r="H34">
            <v>20.09</v>
          </cell>
          <cell r="I34">
            <v>17.2</v>
          </cell>
          <cell r="J34">
            <v>17.59</v>
          </cell>
          <cell r="K34">
            <v>18.75</v>
          </cell>
          <cell r="L34">
            <v>18.48</v>
          </cell>
          <cell r="M34">
            <v>13.86</v>
          </cell>
          <cell r="N34">
            <v>9.4700000000000006</v>
          </cell>
          <cell r="O34">
            <v>10.75</v>
          </cell>
          <cell r="P34">
            <v>10.63</v>
          </cell>
          <cell r="Q34">
            <v>10.61</v>
          </cell>
          <cell r="R34">
            <v>11.56</v>
          </cell>
          <cell r="S34">
            <v>12.01</v>
          </cell>
          <cell r="T34">
            <v>12.44</v>
          </cell>
          <cell r="U34">
            <v>12.83</v>
          </cell>
          <cell r="V34">
            <v>12.77</v>
          </cell>
          <cell r="W34">
            <v>12.76</v>
          </cell>
          <cell r="X34">
            <v>12.82</v>
          </cell>
          <cell r="Y34">
            <v>12.87</v>
          </cell>
          <cell r="Z34">
            <v>12.94</v>
          </cell>
          <cell r="AA34">
            <v>13.03</v>
          </cell>
          <cell r="AB34">
            <v>13.11</v>
          </cell>
          <cell r="AC34">
            <v>13.21</v>
          </cell>
          <cell r="AD34">
            <v>13.32</v>
          </cell>
          <cell r="AE34">
            <v>13.44</v>
          </cell>
          <cell r="AF34">
            <v>13.5</v>
          </cell>
          <cell r="AG34">
            <v>13.55</v>
          </cell>
          <cell r="AH34">
            <v>13.6</v>
          </cell>
          <cell r="AI34">
            <v>13.63</v>
          </cell>
          <cell r="AJ34">
            <v>13.64</v>
          </cell>
          <cell r="AK34">
            <v>13.66</v>
          </cell>
          <cell r="AL34">
            <v>13.67</v>
          </cell>
        </row>
        <row r="35">
          <cell r="A35" t="str">
            <v>New Brunswick</v>
          </cell>
          <cell r="C35">
            <v>27.36</v>
          </cell>
          <cell r="D35">
            <v>27.14</v>
          </cell>
          <cell r="E35">
            <v>27.83</v>
          </cell>
          <cell r="F35">
            <v>34.340000000000003</v>
          </cell>
          <cell r="G35">
            <v>24.16</v>
          </cell>
          <cell r="H35">
            <v>27.36</v>
          </cell>
          <cell r="I35">
            <v>32.19</v>
          </cell>
          <cell r="J35">
            <v>33.76</v>
          </cell>
          <cell r="K35">
            <v>32.590000000000003</v>
          </cell>
          <cell r="L35">
            <v>34.17</v>
          </cell>
          <cell r="M35">
            <v>28.05</v>
          </cell>
          <cell r="N35">
            <v>24.4</v>
          </cell>
          <cell r="O35">
            <v>26.95</v>
          </cell>
          <cell r="P35">
            <v>30.62</v>
          </cell>
          <cell r="Q35">
            <v>34.01</v>
          </cell>
          <cell r="R35">
            <v>38.97</v>
          </cell>
          <cell r="S35">
            <v>36.24</v>
          </cell>
          <cell r="T35">
            <v>34.6</v>
          </cell>
          <cell r="U35">
            <v>34.72</v>
          </cell>
          <cell r="V35">
            <v>34.450000000000003</v>
          </cell>
          <cell r="W35">
            <v>34.42</v>
          </cell>
          <cell r="X35">
            <v>34.35</v>
          </cell>
          <cell r="Y35">
            <v>34.17</v>
          </cell>
          <cell r="Z35">
            <v>33.950000000000003</v>
          </cell>
          <cell r="AA35">
            <v>33.770000000000003</v>
          </cell>
          <cell r="AB35">
            <v>33.590000000000003</v>
          </cell>
          <cell r="AC35">
            <v>33.479999999999997</v>
          </cell>
          <cell r="AD35">
            <v>33.409999999999997</v>
          </cell>
          <cell r="AE35">
            <v>33.369999999999997</v>
          </cell>
          <cell r="AF35">
            <v>33.369999999999997</v>
          </cell>
          <cell r="AG35">
            <v>33.35</v>
          </cell>
          <cell r="AH35">
            <v>33.31</v>
          </cell>
          <cell r="AI35">
            <v>33.25</v>
          </cell>
          <cell r="AJ35">
            <v>33.159999999999997</v>
          </cell>
          <cell r="AK35">
            <v>33.07</v>
          </cell>
          <cell r="AL35">
            <v>32.97</v>
          </cell>
        </row>
        <row r="38">
          <cell r="C38" t="str">
            <v>2005</v>
          </cell>
          <cell r="D38" t="str">
            <v>2006</v>
          </cell>
          <cell r="E38" t="str">
            <v>2007</v>
          </cell>
          <cell r="F38" t="str">
            <v>2008</v>
          </cell>
          <cell r="G38" t="str">
            <v>2009</v>
          </cell>
          <cell r="H38" t="str">
            <v>2010</v>
          </cell>
          <cell r="I38" t="str">
            <v>2011</v>
          </cell>
          <cell r="J38" t="str">
            <v>2012</v>
          </cell>
          <cell r="K38" t="str">
            <v>2013</v>
          </cell>
          <cell r="L38" t="str">
            <v>2014</v>
          </cell>
          <cell r="M38" t="str">
            <v>2015</v>
          </cell>
          <cell r="N38" t="str">
            <v>2016</v>
          </cell>
          <cell r="O38" t="str">
            <v>2017</v>
          </cell>
          <cell r="P38" t="str">
            <v>2018</v>
          </cell>
          <cell r="Q38" t="str">
            <v>2019</v>
          </cell>
          <cell r="R38" t="str">
            <v>2020</v>
          </cell>
          <cell r="S38" t="str">
            <v>2021</v>
          </cell>
          <cell r="T38" t="str">
            <v>2022</v>
          </cell>
          <cell r="U38" t="str">
            <v>2023</v>
          </cell>
          <cell r="V38" t="str">
            <v>2024</v>
          </cell>
          <cell r="W38" t="str">
            <v>2025</v>
          </cell>
          <cell r="X38" t="str">
            <v>2026</v>
          </cell>
          <cell r="Y38" t="str">
            <v>2027</v>
          </cell>
          <cell r="Z38" t="str">
            <v>2028</v>
          </cell>
          <cell r="AA38" t="str">
            <v>2029</v>
          </cell>
          <cell r="AB38" t="str">
            <v>2030</v>
          </cell>
          <cell r="AC38" t="str">
            <v>2031</v>
          </cell>
          <cell r="AD38" t="str">
            <v>2032</v>
          </cell>
          <cell r="AE38" t="str">
            <v>2033</v>
          </cell>
          <cell r="AF38" t="str">
            <v>2034</v>
          </cell>
          <cell r="AG38" t="str">
            <v>2035</v>
          </cell>
          <cell r="AH38" t="str">
            <v>2036</v>
          </cell>
          <cell r="AI38" t="str">
            <v>2037</v>
          </cell>
          <cell r="AJ38" t="str">
            <v>2038</v>
          </cell>
          <cell r="AK38" t="str">
            <v>2039</v>
          </cell>
          <cell r="AL38" t="str">
            <v>2040</v>
          </cell>
        </row>
        <row r="39">
          <cell r="A39" t="str">
            <v>Quebec</v>
          </cell>
          <cell r="C39">
            <v>23.05</v>
          </cell>
          <cell r="D39">
            <v>26.62</v>
          </cell>
          <cell r="E39">
            <v>25.75</v>
          </cell>
          <cell r="F39">
            <v>24.75</v>
          </cell>
          <cell r="G39">
            <v>25.57</v>
          </cell>
          <cell r="H39">
            <v>24.86</v>
          </cell>
          <cell r="I39">
            <v>24.33</v>
          </cell>
          <cell r="J39">
            <v>24.26</v>
          </cell>
          <cell r="K39">
            <v>24.24</v>
          </cell>
          <cell r="L39">
            <v>24.48</v>
          </cell>
          <cell r="M39">
            <v>25.13</v>
          </cell>
          <cell r="N39">
            <v>25.1</v>
          </cell>
          <cell r="O39">
            <v>25.35</v>
          </cell>
          <cell r="P39">
            <v>25.6</v>
          </cell>
          <cell r="Q39">
            <v>25.86</v>
          </cell>
          <cell r="R39">
            <v>26.11</v>
          </cell>
          <cell r="S39">
            <v>26.37</v>
          </cell>
          <cell r="T39">
            <v>26.64</v>
          </cell>
          <cell r="U39">
            <v>26.9</v>
          </cell>
          <cell r="V39">
            <v>27.17</v>
          </cell>
          <cell r="W39">
            <v>27.44</v>
          </cell>
          <cell r="X39">
            <v>27.72</v>
          </cell>
          <cell r="Y39">
            <v>27.99</v>
          </cell>
          <cell r="Z39">
            <v>28.27</v>
          </cell>
          <cell r="AA39">
            <v>28.55</v>
          </cell>
          <cell r="AB39">
            <v>28.84</v>
          </cell>
          <cell r="AC39">
            <v>29.12</v>
          </cell>
          <cell r="AD39">
            <v>29.41</v>
          </cell>
          <cell r="AE39">
            <v>29.71</v>
          </cell>
          <cell r="AF39">
            <v>30</v>
          </cell>
          <cell r="AG39">
            <v>30.3</v>
          </cell>
          <cell r="AH39">
            <v>30.6</v>
          </cell>
          <cell r="AI39">
            <v>30.91</v>
          </cell>
          <cell r="AJ39">
            <v>31.22</v>
          </cell>
          <cell r="AK39">
            <v>31.53</v>
          </cell>
          <cell r="AL39">
            <v>31.84</v>
          </cell>
        </row>
        <row r="40">
          <cell r="A40" t="str">
            <v>Quebec</v>
          </cell>
          <cell r="C40">
            <v>20.32</v>
          </cell>
          <cell r="D40">
            <v>20.36</v>
          </cell>
          <cell r="E40">
            <v>19</v>
          </cell>
          <cell r="F40">
            <v>19.5</v>
          </cell>
          <cell r="G40">
            <v>18.579999999999998</v>
          </cell>
          <cell r="H40">
            <v>18.399999999999999</v>
          </cell>
          <cell r="I40">
            <v>17.54</v>
          </cell>
          <cell r="J40">
            <v>17.05</v>
          </cell>
          <cell r="K40">
            <v>15.49</v>
          </cell>
          <cell r="L40">
            <v>16.84</v>
          </cell>
          <cell r="M40">
            <v>15.95</v>
          </cell>
          <cell r="N40">
            <v>14.86</v>
          </cell>
          <cell r="O40">
            <v>15.15</v>
          </cell>
          <cell r="P40">
            <v>15</v>
          </cell>
          <cell r="Q40">
            <v>14.94</v>
          </cell>
          <cell r="R40">
            <v>15</v>
          </cell>
          <cell r="S40">
            <v>15.24</v>
          </cell>
          <cell r="T40">
            <v>15.47</v>
          </cell>
          <cell r="U40">
            <v>15.66</v>
          </cell>
          <cell r="V40">
            <v>15.86</v>
          </cell>
          <cell r="W40">
            <v>16.07</v>
          </cell>
          <cell r="X40">
            <v>16.350000000000001</v>
          </cell>
          <cell r="Y40">
            <v>16.36</v>
          </cell>
          <cell r="Z40">
            <v>16.399999999999999</v>
          </cell>
          <cell r="AA40">
            <v>16.45</v>
          </cell>
          <cell r="AB40">
            <v>16.5</v>
          </cell>
          <cell r="AC40">
            <v>16.57</v>
          </cell>
          <cell r="AD40">
            <v>16.649999999999999</v>
          </cell>
          <cell r="AE40">
            <v>16.739999999999998</v>
          </cell>
          <cell r="AF40">
            <v>16.77</v>
          </cell>
          <cell r="AG40">
            <v>16.809999999999999</v>
          </cell>
          <cell r="AH40">
            <v>16.829999999999998</v>
          </cell>
          <cell r="AI40">
            <v>16.829999999999998</v>
          </cell>
          <cell r="AJ40">
            <v>16.829999999999998</v>
          </cell>
          <cell r="AK40">
            <v>16.82</v>
          </cell>
          <cell r="AL40">
            <v>16.809999999999999</v>
          </cell>
        </row>
        <row r="41">
          <cell r="A41" t="str">
            <v>Quebec</v>
          </cell>
          <cell r="C41">
            <v>24.67</v>
          </cell>
          <cell r="D41">
            <v>25.2</v>
          </cell>
          <cell r="E41">
            <v>25.43</v>
          </cell>
          <cell r="F41">
            <v>33.47</v>
          </cell>
          <cell r="G41">
            <v>23.22</v>
          </cell>
          <cell r="H41">
            <v>26.1</v>
          </cell>
          <cell r="I41">
            <v>32.090000000000003</v>
          </cell>
          <cell r="J41">
            <v>33.770000000000003</v>
          </cell>
          <cell r="K41">
            <v>33.130000000000003</v>
          </cell>
          <cell r="L41">
            <v>33.630000000000003</v>
          </cell>
          <cell r="M41">
            <v>27.54</v>
          </cell>
          <cell r="N41">
            <v>23.58</v>
          </cell>
          <cell r="O41">
            <v>25.75</v>
          </cell>
          <cell r="P41">
            <v>30.37</v>
          </cell>
          <cell r="Q41">
            <v>34.700000000000003</v>
          </cell>
          <cell r="R41">
            <v>38.03</v>
          </cell>
          <cell r="S41">
            <v>34.799999999999997</v>
          </cell>
          <cell r="T41">
            <v>32.68</v>
          </cell>
          <cell r="U41">
            <v>32.369999999999997</v>
          </cell>
          <cell r="V41">
            <v>32.47</v>
          </cell>
          <cell r="W41">
            <v>32.78</v>
          </cell>
          <cell r="X41">
            <v>33.03</v>
          </cell>
          <cell r="Y41">
            <v>32.81</v>
          </cell>
          <cell r="Z41">
            <v>32.549999999999997</v>
          </cell>
          <cell r="AA41">
            <v>32.33</v>
          </cell>
          <cell r="AB41">
            <v>32.11</v>
          </cell>
          <cell r="AC41">
            <v>31.96</v>
          </cell>
          <cell r="AD41">
            <v>31.85</v>
          </cell>
          <cell r="AE41">
            <v>31.79</v>
          </cell>
          <cell r="AF41">
            <v>31.75</v>
          </cell>
          <cell r="AG41">
            <v>31.7</v>
          </cell>
          <cell r="AH41">
            <v>31.63</v>
          </cell>
          <cell r="AI41">
            <v>31.54</v>
          </cell>
          <cell r="AJ41">
            <v>31.42</v>
          </cell>
          <cell r="AK41">
            <v>31.3</v>
          </cell>
          <cell r="AL41">
            <v>31.16</v>
          </cell>
        </row>
        <row r="44">
          <cell r="C44" t="str">
            <v>2005</v>
          </cell>
          <cell r="D44" t="str">
            <v>2006</v>
          </cell>
          <cell r="E44" t="str">
            <v>2007</v>
          </cell>
          <cell r="F44" t="str">
            <v>2008</v>
          </cell>
          <cell r="G44" t="str">
            <v>2009</v>
          </cell>
          <cell r="H44" t="str">
            <v>2010</v>
          </cell>
          <cell r="I44" t="str">
            <v>2011</v>
          </cell>
          <cell r="J44" t="str">
            <v>2012</v>
          </cell>
          <cell r="K44" t="str">
            <v>2013</v>
          </cell>
          <cell r="L44" t="str">
            <v>2014</v>
          </cell>
          <cell r="M44" t="str">
            <v>2015</v>
          </cell>
          <cell r="N44" t="str">
            <v>2016</v>
          </cell>
          <cell r="O44" t="str">
            <v>2017</v>
          </cell>
          <cell r="P44" t="str">
            <v>2018</v>
          </cell>
          <cell r="Q44" t="str">
            <v>2019</v>
          </cell>
          <cell r="R44" t="str">
            <v>2020</v>
          </cell>
          <cell r="S44" t="str">
            <v>2021</v>
          </cell>
          <cell r="T44" t="str">
            <v>2022</v>
          </cell>
          <cell r="U44" t="str">
            <v>2023</v>
          </cell>
          <cell r="V44" t="str">
            <v>2024</v>
          </cell>
          <cell r="W44" t="str">
            <v>2025</v>
          </cell>
          <cell r="X44" t="str">
            <v>2026</v>
          </cell>
          <cell r="Y44" t="str">
            <v>2027</v>
          </cell>
          <cell r="Z44" t="str">
            <v>2028</v>
          </cell>
          <cell r="AA44" t="str">
            <v>2029</v>
          </cell>
          <cell r="AB44" t="str">
            <v>2030</v>
          </cell>
          <cell r="AC44" t="str">
            <v>2031</v>
          </cell>
          <cell r="AD44" t="str">
            <v>2032</v>
          </cell>
          <cell r="AE44" t="str">
            <v>2033</v>
          </cell>
          <cell r="AF44" t="str">
            <v>2034</v>
          </cell>
          <cell r="AG44" t="str">
            <v>2035</v>
          </cell>
          <cell r="AH44" t="str">
            <v>2036</v>
          </cell>
          <cell r="AI44" t="str">
            <v>2037</v>
          </cell>
          <cell r="AJ44" t="str">
            <v>2038</v>
          </cell>
          <cell r="AK44" t="str">
            <v>2039</v>
          </cell>
          <cell r="AL44" t="str">
            <v>2040</v>
          </cell>
        </row>
        <row r="45">
          <cell r="A45" t="str">
            <v>Ontario</v>
          </cell>
          <cell r="C45">
            <v>36.92</v>
          </cell>
          <cell r="D45">
            <v>40.86</v>
          </cell>
          <cell r="E45">
            <v>40.64</v>
          </cell>
          <cell r="F45">
            <v>37.31</v>
          </cell>
          <cell r="G45">
            <v>39.53</v>
          </cell>
          <cell r="H45">
            <v>39.14</v>
          </cell>
          <cell r="I45">
            <v>40.4</v>
          </cell>
          <cell r="J45">
            <v>42.06</v>
          </cell>
          <cell r="K45">
            <v>42.96</v>
          </cell>
          <cell r="L45">
            <v>46.39</v>
          </cell>
          <cell r="M45">
            <v>48.73</v>
          </cell>
          <cell r="N45">
            <v>58.38</v>
          </cell>
          <cell r="O45">
            <v>58.96</v>
          </cell>
          <cell r="P45">
            <v>59.62</v>
          </cell>
          <cell r="Q45">
            <v>60.27</v>
          </cell>
          <cell r="R45">
            <v>60.89</v>
          </cell>
          <cell r="S45">
            <v>61.51</v>
          </cell>
          <cell r="T45">
            <v>62.1</v>
          </cell>
          <cell r="U45">
            <v>62.68</v>
          </cell>
          <cell r="V45">
            <v>63.25</v>
          </cell>
          <cell r="W45">
            <v>63.81</v>
          </cell>
          <cell r="X45">
            <v>64.36</v>
          </cell>
          <cell r="Y45">
            <v>64.900000000000006</v>
          </cell>
          <cell r="Z45">
            <v>65.430000000000007</v>
          </cell>
          <cell r="AA45">
            <v>65.95</v>
          </cell>
          <cell r="AB45">
            <v>66.47</v>
          </cell>
          <cell r="AC45">
            <v>66.989999999999995</v>
          </cell>
          <cell r="AD45">
            <v>67.510000000000005</v>
          </cell>
          <cell r="AE45">
            <v>68.02</v>
          </cell>
          <cell r="AF45">
            <v>68.53</v>
          </cell>
          <cell r="AG45">
            <v>69.05</v>
          </cell>
          <cell r="AH45">
            <v>69.569999999999993</v>
          </cell>
          <cell r="AI45">
            <v>70.09</v>
          </cell>
          <cell r="AJ45">
            <v>70.62</v>
          </cell>
          <cell r="AK45">
            <v>71.150000000000006</v>
          </cell>
          <cell r="AL45">
            <v>71.69</v>
          </cell>
        </row>
        <row r="46">
          <cell r="A46" t="str">
            <v>Ontario</v>
          </cell>
          <cell r="C46">
            <v>16.739999999999998</v>
          </cell>
          <cell r="D46">
            <v>17.82</v>
          </cell>
          <cell r="E46">
            <v>16.100000000000001</v>
          </cell>
          <cell r="F46">
            <v>16.25</v>
          </cell>
          <cell r="G46">
            <v>13.76</v>
          </cell>
          <cell r="H46">
            <v>13.57</v>
          </cell>
          <cell r="I46">
            <v>11.83</v>
          </cell>
          <cell r="J46">
            <v>11.22</v>
          </cell>
          <cell r="K46">
            <v>11.17</v>
          </cell>
          <cell r="L46">
            <v>12.03</v>
          </cell>
          <cell r="M46">
            <v>12.15</v>
          </cell>
          <cell r="N46">
            <v>9.42</v>
          </cell>
          <cell r="O46">
            <v>13.49</v>
          </cell>
          <cell r="P46">
            <v>10.95</v>
          </cell>
          <cell r="Q46">
            <v>10.029999999999999</v>
          </cell>
          <cell r="R46">
            <v>10.119999999999999</v>
          </cell>
          <cell r="S46">
            <v>10.4</v>
          </cell>
          <cell r="T46">
            <v>10.68</v>
          </cell>
          <cell r="U46">
            <v>10.91</v>
          </cell>
          <cell r="V46">
            <v>11.15</v>
          </cell>
          <cell r="W46">
            <v>11.4</v>
          </cell>
          <cell r="X46">
            <v>11.72</v>
          </cell>
          <cell r="Y46">
            <v>11.76</v>
          </cell>
          <cell r="Z46">
            <v>11.83</v>
          </cell>
          <cell r="AA46">
            <v>11.91</v>
          </cell>
          <cell r="AB46">
            <v>11.98</v>
          </cell>
          <cell r="AC46">
            <v>12.07</v>
          </cell>
          <cell r="AD46">
            <v>12.18</v>
          </cell>
          <cell r="AE46">
            <v>12.29</v>
          </cell>
          <cell r="AF46">
            <v>12.35</v>
          </cell>
          <cell r="AG46">
            <v>12.4</v>
          </cell>
          <cell r="AH46">
            <v>12.45</v>
          </cell>
          <cell r="AI46">
            <v>12.48</v>
          </cell>
          <cell r="AJ46">
            <v>12.49</v>
          </cell>
          <cell r="AK46">
            <v>12.51</v>
          </cell>
          <cell r="AL46">
            <v>12.52</v>
          </cell>
        </row>
        <row r="47">
          <cell r="A47" t="str">
            <v>Ontario</v>
          </cell>
          <cell r="C47">
            <v>25.66</v>
          </cell>
          <cell r="D47">
            <v>26.36</v>
          </cell>
          <cell r="E47">
            <v>27.18</v>
          </cell>
          <cell r="F47">
            <v>33.630000000000003</v>
          </cell>
          <cell r="G47">
            <v>25.05</v>
          </cell>
          <cell r="H47">
            <v>28.54</v>
          </cell>
          <cell r="I47">
            <v>35.020000000000003</v>
          </cell>
          <cell r="J47">
            <v>35.61</v>
          </cell>
          <cell r="K47">
            <v>35.47</v>
          </cell>
          <cell r="L47">
            <v>36.5</v>
          </cell>
          <cell r="M47">
            <v>30.91</v>
          </cell>
          <cell r="N47">
            <v>27.23</v>
          </cell>
          <cell r="O47">
            <v>31.23</v>
          </cell>
          <cell r="P47">
            <v>35.57</v>
          </cell>
          <cell r="Q47">
            <v>38.32</v>
          </cell>
          <cell r="R47">
            <v>41.65</v>
          </cell>
          <cell r="S47">
            <v>38.53</v>
          </cell>
          <cell r="T47">
            <v>36.51</v>
          </cell>
          <cell r="U47">
            <v>36.270000000000003</v>
          </cell>
          <cell r="V47">
            <v>36.42</v>
          </cell>
          <cell r="W47">
            <v>36.79</v>
          </cell>
          <cell r="X47">
            <v>37.08</v>
          </cell>
          <cell r="Y47">
            <v>36.909999999999997</v>
          </cell>
          <cell r="Z47">
            <v>36.69</v>
          </cell>
          <cell r="AA47">
            <v>36.51</v>
          </cell>
          <cell r="AB47">
            <v>36.32</v>
          </cell>
          <cell r="AC47">
            <v>36.22</v>
          </cell>
          <cell r="AD47">
            <v>36.14</v>
          </cell>
          <cell r="AE47">
            <v>36.11</v>
          </cell>
          <cell r="AF47">
            <v>36.11</v>
          </cell>
          <cell r="AG47">
            <v>36.090000000000003</v>
          </cell>
          <cell r="AH47">
            <v>36.049999999999997</v>
          </cell>
          <cell r="AI47">
            <v>35.99</v>
          </cell>
          <cell r="AJ47">
            <v>35.9</v>
          </cell>
          <cell r="AK47">
            <v>35.81</v>
          </cell>
          <cell r="AL47">
            <v>35.71</v>
          </cell>
        </row>
        <row r="50">
          <cell r="C50" t="str">
            <v>2005</v>
          </cell>
          <cell r="D50" t="str">
            <v>2006</v>
          </cell>
          <cell r="E50" t="str">
            <v>2007</v>
          </cell>
          <cell r="F50" t="str">
            <v>2008</v>
          </cell>
          <cell r="G50" t="str">
            <v>2009</v>
          </cell>
          <cell r="H50" t="str">
            <v>2010</v>
          </cell>
          <cell r="I50" t="str">
            <v>2011</v>
          </cell>
          <cell r="J50" t="str">
            <v>2012</v>
          </cell>
          <cell r="K50" t="str">
            <v>2013</v>
          </cell>
          <cell r="L50" t="str">
            <v>2014</v>
          </cell>
          <cell r="M50" t="str">
            <v>2015</v>
          </cell>
          <cell r="N50" t="str">
            <v>2016</v>
          </cell>
          <cell r="O50" t="str">
            <v>2017</v>
          </cell>
          <cell r="P50" t="str">
            <v>2018</v>
          </cell>
          <cell r="Q50" t="str">
            <v>2019</v>
          </cell>
          <cell r="R50" t="str">
            <v>2020</v>
          </cell>
          <cell r="S50" t="str">
            <v>2021</v>
          </cell>
          <cell r="T50" t="str">
            <v>2022</v>
          </cell>
          <cell r="U50" t="str">
            <v>2023</v>
          </cell>
          <cell r="V50" t="str">
            <v>2024</v>
          </cell>
          <cell r="W50" t="str">
            <v>2025</v>
          </cell>
          <cell r="X50" t="str">
            <v>2026</v>
          </cell>
          <cell r="Y50" t="str">
            <v>2027</v>
          </cell>
          <cell r="Z50" t="str">
            <v>2028</v>
          </cell>
          <cell r="AA50" t="str">
            <v>2029</v>
          </cell>
          <cell r="AB50" t="str">
            <v>2030</v>
          </cell>
          <cell r="AC50" t="str">
            <v>2031</v>
          </cell>
          <cell r="AD50" t="str">
            <v>2032</v>
          </cell>
          <cell r="AE50" t="str">
            <v>2033</v>
          </cell>
          <cell r="AF50" t="str">
            <v>2034</v>
          </cell>
          <cell r="AG50" t="str">
            <v>2035</v>
          </cell>
          <cell r="AH50" t="str">
            <v>2036</v>
          </cell>
          <cell r="AI50" t="str">
            <v>2037</v>
          </cell>
          <cell r="AJ50" t="str">
            <v>2038</v>
          </cell>
          <cell r="AK50" t="str">
            <v>2039</v>
          </cell>
          <cell r="AL50" t="str">
            <v>2040</v>
          </cell>
        </row>
        <row r="51">
          <cell r="A51" t="str">
            <v>Manitoba</v>
          </cell>
          <cell r="C51">
            <v>23.08</v>
          </cell>
          <cell r="D51">
            <v>23.95</v>
          </cell>
          <cell r="E51">
            <v>23.39</v>
          </cell>
          <cell r="F51">
            <v>22.1</v>
          </cell>
          <cell r="G51">
            <v>24.37</v>
          </cell>
          <cell r="H51">
            <v>24.17</v>
          </cell>
          <cell r="I51">
            <v>24.13</v>
          </cell>
          <cell r="J51">
            <v>24.35</v>
          </cell>
          <cell r="K51">
            <v>24.49</v>
          </cell>
          <cell r="L51">
            <v>25.11</v>
          </cell>
          <cell r="M51">
            <v>26.03</v>
          </cell>
          <cell r="N51">
            <v>26.89</v>
          </cell>
          <cell r="O51">
            <v>27.19</v>
          </cell>
          <cell r="P51">
            <v>27.53</v>
          </cell>
          <cell r="Q51">
            <v>27.88</v>
          </cell>
          <cell r="R51">
            <v>28.24</v>
          </cell>
          <cell r="S51">
            <v>28.59</v>
          </cell>
          <cell r="T51">
            <v>28.94</v>
          </cell>
          <cell r="U51">
            <v>29.29</v>
          </cell>
          <cell r="V51">
            <v>29.64</v>
          </cell>
          <cell r="W51">
            <v>29.99</v>
          </cell>
          <cell r="X51">
            <v>30.32</v>
          </cell>
          <cell r="Y51">
            <v>30.65</v>
          </cell>
          <cell r="Z51">
            <v>30.97</v>
          </cell>
          <cell r="AA51">
            <v>31.28</v>
          </cell>
          <cell r="AB51">
            <v>31.58</v>
          </cell>
          <cell r="AC51">
            <v>31.86</v>
          </cell>
          <cell r="AD51">
            <v>32.130000000000003</v>
          </cell>
          <cell r="AE51">
            <v>32.380000000000003</v>
          </cell>
          <cell r="AF51">
            <v>32.61</v>
          </cell>
          <cell r="AG51">
            <v>32.82</v>
          </cell>
          <cell r="AH51">
            <v>33.01</v>
          </cell>
          <cell r="AI51">
            <v>33.17</v>
          </cell>
          <cell r="AJ51">
            <v>33.31</v>
          </cell>
          <cell r="AK51">
            <v>33.43</v>
          </cell>
          <cell r="AL51">
            <v>33.51</v>
          </cell>
        </row>
        <row r="52">
          <cell r="A52" t="str">
            <v>Manitoba</v>
          </cell>
          <cell r="C52">
            <v>16.21</v>
          </cell>
          <cell r="D52">
            <v>15.41</v>
          </cell>
          <cell r="E52">
            <v>14.81</v>
          </cell>
          <cell r="F52">
            <v>14.53</v>
          </cell>
          <cell r="G52">
            <v>14.23</v>
          </cell>
          <cell r="H52">
            <v>11.7</v>
          </cell>
          <cell r="I52">
            <v>11.6</v>
          </cell>
          <cell r="J52">
            <v>10.07</v>
          </cell>
          <cell r="K52">
            <v>10.41</v>
          </cell>
          <cell r="L52">
            <v>10.98</v>
          </cell>
          <cell r="M52">
            <v>11.47</v>
          </cell>
          <cell r="N52">
            <v>9.65</v>
          </cell>
          <cell r="O52">
            <v>9.7100000000000009</v>
          </cell>
          <cell r="P52">
            <v>9.6300000000000008</v>
          </cell>
          <cell r="Q52">
            <v>9.6199999999999992</v>
          </cell>
          <cell r="R52">
            <v>10.53</v>
          </cell>
          <cell r="S52">
            <v>10.96</v>
          </cell>
          <cell r="T52">
            <v>11.37</v>
          </cell>
          <cell r="U52">
            <v>11.74</v>
          </cell>
          <cell r="V52">
            <v>11.76</v>
          </cell>
          <cell r="W52">
            <v>11.81</v>
          </cell>
          <cell r="X52">
            <v>11.93</v>
          </cell>
          <cell r="Y52">
            <v>12.04</v>
          </cell>
          <cell r="Z52">
            <v>12.16</v>
          </cell>
          <cell r="AA52">
            <v>12.3</v>
          </cell>
          <cell r="AB52">
            <v>12.43</v>
          </cell>
          <cell r="AC52">
            <v>12.56</v>
          </cell>
          <cell r="AD52">
            <v>12.7</v>
          </cell>
          <cell r="AE52">
            <v>12.86</v>
          </cell>
          <cell r="AF52">
            <v>12.95</v>
          </cell>
          <cell r="AG52">
            <v>13.03</v>
          </cell>
          <cell r="AH52">
            <v>13.11</v>
          </cell>
          <cell r="AI52">
            <v>13.17</v>
          </cell>
          <cell r="AJ52">
            <v>13.22</v>
          </cell>
          <cell r="AK52">
            <v>13.27</v>
          </cell>
          <cell r="AL52">
            <v>13.31</v>
          </cell>
        </row>
        <row r="53">
          <cell r="A53" t="str">
            <v>Manitoba</v>
          </cell>
          <cell r="C53">
            <v>26.86</v>
          </cell>
          <cell r="D53">
            <v>26.92</v>
          </cell>
          <cell r="E53">
            <v>28.39</v>
          </cell>
          <cell r="F53">
            <v>34.549999999999997</v>
          </cell>
          <cell r="G53">
            <v>25.26</v>
          </cell>
          <cell r="H53">
            <v>28.11</v>
          </cell>
          <cell r="I53">
            <v>32.72</v>
          </cell>
          <cell r="J53">
            <v>32.950000000000003</v>
          </cell>
          <cell r="K53">
            <v>33.5</v>
          </cell>
          <cell r="L53">
            <v>34.840000000000003</v>
          </cell>
          <cell r="M53">
            <v>26.82</v>
          </cell>
          <cell r="N53">
            <v>24</v>
          </cell>
          <cell r="O53">
            <v>26.23</v>
          </cell>
          <cell r="P53">
            <v>30.14</v>
          </cell>
          <cell r="Q53">
            <v>33.479999999999997</v>
          </cell>
          <cell r="R53">
            <v>36.65</v>
          </cell>
          <cell r="S53">
            <v>33.15</v>
          </cell>
          <cell r="T53">
            <v>30.77</v>
          </cell>
          <cell r="U53">
            <v>30.2</v>
          </cell>
          <cell r="V53">
            <v>30.06</v>
          </cell>
          <cell r="W53">
            <v>30.13</v>
          </cell>
          <cell r="X53">
            <v>30.14</v>
          </cell>
          <cell r="Y53">
            <v>30.06</v>
          </cell>
          <cell r="Z53">
            <v>29.92</v>
          </cell>
          <cell r="AA53">
            <v>29.81</v>
          </cell>
          <cell r="AB53">
            <v>29.7</v>
          </cell>
          <cell r="AC53">
            <v>29.64</v>
          </cell>
          <cell r="AD53">
            <v>29.62</v>
          </cell>
          <cell r="AE53">
            <v>29.64</v>
          </cell>
          <cell r="AF53">
            <v>29.67</v>
          </cell>
          <cell r="AG53">
            <v>29.69</v>
          </cell>
          <cell r="AH53">
            <v>29.7</v>
          </cell>
          <cell r="AI53">
            <v>29.69</v>
          </cell>
          <cell r="AJ53">
            <v>29.65</v>
          </cell>
          <cell r="AK53">
            <v>29.61</v>
          </cell>
          <cell r="AL53">
            <v>29.56</v>
          </cell>
        </row>
        <row r="56">
          <cell r="C56" t="str">
            <v>2005</v>
          </cell>
          <cell r="D56" t="str">
            <v>2006</v>
          </cell>
          <cell r="E56" t="str">
            <v>2007</v>
          </cell>
          <cell r="F56" t="str">
            <v>2008</v>
          </cell>
          <cell r="G56" t="str">
            <v>2009</v>
          </cell>
          <cell r="H56" t="str">
            <v>2010</v>
          </cell>
          <cell r="I56" t="str">
            <v>2011</v>
          </cell>
          <cell r="J56" t="str">
            <v>2012</v>
          </cell>
          <cell r="K56" t="str">
            <v>2013</v>
          </cell>
          <cell r="L56" t="str">
            <v>2014</v>
          </cell>
          <cell r="M56" t="str">
            <v>2015</v>
          </cell>
          <cell r="N56" t="str">
            <v>2016</v>
          </cell>
          <cell r="O56" t="str">
            <v>2017</v>
          </cell>
          <cell r="P56" t="str">
            <v>2018</v>
          </cell>
          <cell r="Q56" t="str">
            <v>2019</v>
          </cell>
          <cell r="R56" t="str">
            <v>2020</v>
          </cell>
          <cell r="S56" t="str">
            <v>2021</v>
          </cell>
          <cell r="T56" t="str">
            <v>2022</v>
          </cell>
          <cell r="U56" t="str">
            <v>2023</v>
          </cell>
          <cell r="V56" t="str">
            <v>2024</v>
          </cell>
          <cell r="W56" t="str">
            <v>2025</v>
          </cell>
          <cell r="X56" t="str">
            <v>2026</v>
          </cell>
          <cell r="Y56" t="str">
            <v>2027</v>
          </cell>
          <cell r="Z56" t="str">
            <v>2028</v>
          </cell>
          <cell r="AA56" t="str">
            <v>2029</v>
          </cell>
          <cell r="AB56" t="str">
            <v>2030</v>
          </cell>
          <cell r="AC56" t="str">
            <v>2031</v>
          </cell>
          <cell r="AD56" t="str">
            <v>2032</v>
          </cell>
          <cell r="AE56" t="str">
            <v>2033</v>
          </cell>
          <cell r="AF56" t="str">
            <v>2034</v>
          </cell>
          <cell r="AG56" t="str">
            <v>2035</v>
          </cell>
          <cell r="AH56" t="str">
            <v>2036</v>
          </cell>
          <cell r="AI56" t="str">
            <v>2037</v>
          </cell>
          <cell r="AJ56" t="str">
            <v>2038</v>
          </cell>
          <cell r="AK56" t="str">
            <v>2039</v>
          </cell>
          <cell r="AL56" t="str">
            <v>2040</v>
          </cell>
        </row>
        <row r="57">
          <cell r="A57" t="str">
            <v>Alberta</v>
          </cell>
          <cell r="C57">
            <v>30.07</v>
          </cell>
          <cell r="D57">
            <v>35.659999999999997</v>
          </cell>
          <cell r="E57">
            <v>38.57</v>
          </cell>
          <cell r="F57">
            <v>42.28</v>
          </cell>
          <cell r="G57">
            <v>36.1</v>
          </cell>
          <cell r="H57">
            <v>31.25</v>
          </cell>
          <cell r="I57">
            <v>51.38</v>
          </cell>
          <cell r="J57">
            <v>40.17</v>
          </cell>
          <cell r="K57">
            <v>42.35</v>
          </cell>
          <cell r="L57">
            <v>36.65</v>
          </cell>
          <cell r="M57">
            <v>33.81</v>
          </cell>
          <cell r="N57">
            <v>30.08</v>
          </cell>
          <cell r="O57">
            <v>30.5</v>
          </cell>
          <cell r="P57">
            <v>31.18</v>
          </cell>
          <cell r="Q57">
            <v>31.86</v>
          </cell>
          <cell r="R57">
            <v>32.520000000000003</v>
          </cell>
          <cell r="S57">
            <v>33.159999999999997</v>
          </cell>
          <cell r="T57">
            <v>33.78</v>
          </cell>
          <cell r="U57">
            <v>34.369999999999997</v>
          </cell>
          <cell r="V57">
            <v>34.94</v>
          </cell>
          <cell r="W57">
            <v>35.47</v>
          </cell>
          <cell r="X57">
            <v>35.97</v>
          </cell>
          <cell r="Y57">
            <v>36.44</v>
          </cell>
          <cell r="Z57">
            <v>36.86</v>
          </cell>
          <cell r="AA57">
            <v>37.24</v>
          </cell>
          <cell r="AB57">
            <v>37.57</v>
          </cell>
          <cell r="AC57">
            <v>37.85</v>
          </cell>
          <cell r="AD57">
            <v>38.07</v>
          </cell>
          <cell r="AE57">
            <v>38.24</v>
          </cell>
          <cell r="AF57">
            <v>38.35</v>
          </cell>
          <cell r="AG57">
            <v>38.39</v>
          </cell>
          <cell r="AH57">
            <v>38.369999999999997</v>
          </cell>
          <cell r="AI57">
            <v>38.270000000000003</v>
          </cell>
          <cell r="AJ57">
            <v>38.11</v>
          </cell>
          <cell r="AK57">
            <v>37.86</v>
          </cell>
          <cell r="AL57">
            <v>37.54</v>
          </cell>
        </row>
        <row r="58">
          <cell r="A58" t="str">
            <v>Alberta</v>
          </cell>
          <cell r="C58">
            <v>12.98</v>
          </cell>
          <cell r="D58">
            <v>11.76</v>
          </cell>
          <cell r="E58">
            <v>10.95</v>
          </cell>
          <cell r="F58">
            <v>11.03</v>
          </cell>
          <cell r="G58">
            <v>7.77</v>
          </cell>
          <cell r="H58">
            <v>7.97</v>
          </cell>
          <cell r="I58">
            <v>8.15</v>
          </cell>
          <cell r="J58">
            <v>6.63</v>
          </cell>
          <cell r="K58">
            <v>6.93</v>
          </cell>
          <cell r="L58">
            <v>8.5399999999999991</v>
          </cell>
          <cell r="M58">
            <v>3.36</v>
          </cell>
          <cell r="N58">
            <v>5.3</v>
          </cell>
          <cell r="O58">
            <v>4.5599999999999996</v>
          </cell>
          <cell r="P58">
            <v>5.99</v>
          </cell>
          <cell r="Q58">
            <v>6.47</v>
          </cell>
          <cell r="R58">
            <v>6.42</v>
          </cell>
          <cell r="S58">
            <v>6.38</v>
          </cell>
          <cell r="T58">
            <v>6.84</v>
          </cell>
          <cell r="U58">
            <v>7.25</v>
          </cell>
          <cell r="V58">
            <v>7.19</v>
          </cell>
          <cell r="W58">
            <v>7.15</v>
          </cell>
          <cell r="X58">
            <v>7.18</v>
          </cell>
          <cell r="Y58">
            <v>7.2</v>
          </cell>
          <cell r="Z58">
            <v>7.23</v>
          </cell>
          <cell r="AA58">
            <v>7.28</v>
          </cell>
          <cell r="AB58">
            <v>7.33</v>
          </cell>
          <cell r="AC58">
            <v>7.38</v>
          </cell>
          <cell r="AD58">
            <v>7.45</v>
          </cell>
          <cell r="AE58">
            <v>7.53</v>
          </cell>
          <cell r="AF58">
            <v>7.57</v>
          </cell>
          <cell r="AG58">
            <v>7.6</v>
          </cell>
          <cell r="AH58">
            <v>7.62</v>
          </cell>
          <cell r="AI58">
            <v>7.63</v>
          </cell>
          <cell r="AJ58">
            <v>7.63</v>
          </cell>
          <cell r="AK58">
            <v>7.63</v>
          </cell>
          <cell r="AL58">
            <v>7.63</v>
          </cell>
        </row>
        <row r="59">
          <cell r="A59" t="str">
            <v>Alberta</v>
          </cell>
          <cell r="C59">
            <v>24.45</v>
          </cell>
          <cell r="D59">
            <v>25.51</v>
          </cell>
          <cell r="E59">
            <v>26.83</v>
          </cell>
          <cell r="F59">
            <v>31.95</v>
          </cell>
          <cell r="G59">
            <v>23.37</v>
          </cell>
          <cell r="H59">
            <v>26.03</v>
          </cell>
          <cell r="I59">
            <v>27.78</v>
          </cell>
          <cell r="J59">
            <v>29.65</v>
          </cell>
          <cell r="K59">
            <v>27.25</v>
          </cell>
          <cell r="L59">
            <v>32.840000000000003</v>
          </cell>
          <cell r="M59">
            <v>24.73</v>
          </cell>
          <cell r="N59">
            <v>22.55</v>
          </cell>
          <cell r="O59">
            <v>24.52</v>
          </cell>
          <cell r="P59">
            <v>30.35</v>
          </cell>
          <cell r="Q59">
            <v>34.29</v>
          </cell>
          <cell r="R59">
            <v>37.21</v>
          </cell>
          <cell r="S59">
            <v>33.880000000000003</v>
          </cell>
          <cell r="T59">
            <v>32.43</v>
          </cell>
          <cell r="U59">
            <v>32.590000000000003</v>
          </cell>
          <cell r="V59">
            <v>32.33</v>
          </cell>
          <cell r="W59">
            <v>32.299999999999997</v>
          </cell>
          <cell r="X59">
            <v>32.22</v>
          </cell>
          <cell r="Y59">
            <v>32.049999999999997</v>
          </cell>
          <cell r="Z59">
            <v>31.84</v>
          </cell>
          <cell r="AA59">
            <v>31.67</v>
          </cell>
          <cell r="AB59">
            <v>31.49</v>
          </cell>
          <cell r="AC59">
            <v>31.39</v>
          </cell>
          <cell r="AD59">
            <v>31.32</v>
          </cell>
          <cell r="AE59">
            <v>31.28</v>
          </cell>
          <cell r="AF59">
            <v>31.27</v>
          </cell>
          <cell r="AG59">
            <v>31.25</v>
          </cell>
          <cell r="AH59">
            <v>31.21</v>
          </cell>
          <cell r="AI59">
            <v>31.15</v>
          </cell>
          <cell r="AJ59">
            <v>31.06</v>
          </cell>
          <cell r="AK59">
            <v>30.98</v>
          </cell>
          <cell r="AL59">
            <v>30.88</v>
          </cell>
        </row>
        <row r="62">
          <cell r="C62" t="str">
            <v>2005</v>
          </cell>
          <cell r="D62" t="str">
            <v>2006</v>
          </cell>
          <cell r="E62" t="str">
            <v>2007</v>
          </cell>
          <cell r="F62" t="str">
            <v>2008</v>
          </cell>
          <cell r="G62" t="str">
            <v>2009</v>
          </cell>
          <cell r="H62" t="str">
            <v>2010</v>
          </cell>
          <cell r="I62" t="str">
            <v>2011</v>
          </cell>
          <cell r="J62" t="str">
            <v>2012</v>
          </cell>
          <cell r="K62" t="str">
            <v>2013</v>
          </cell>
          <cell r="L62" t="str">
            <v>2014</v>
          </cell>
          <cell r="M62" t="str">
            <v>2015</v>
          </cell>
          <cell r="N62" t="str">
            <v>2016</v>
          </cell>
          <cell r="O62" t="str">
            <v>2017</v>
          </cell>
          <cell r="P62" t="str">
            <v>2018</v>
          </cell>
          <cell r="Q62" t="str">
            <v>2019</v>
          </cell>
          <cell r="R62" t="str">
            <v>2020</v>
          </cell>
          <cell r="S62" t="str">
            <v>2021</v>
          </cell>
          <cell r="T62" t="str">
            <v>2022</v>
          </cell>
          <cell r="U62" t="str">
            <v>2023</v>
          </cell>
          <cell r="V62" t="str">
            <v>2024</v>
          </cell>
          <cell r="W62" t="str">
            <v>2025</v>
          </cell>
          <cell r="X62" t="str">
            <v>2026</v>
          </cell>
          <cell r="Y62" t="str">
            <v>2027</v>
          </cell>
          <cell r="Z62" t="str">
            <v>2028</v>
          </cell>
          <cell r="AA62" t="str">
            <v>2029</v>
          </cell>
          <cell r="AB62" t="str">
            <v>2030</v>
          </cell>
          <cell r="AC62" t="str">
            <v>2031</v>
          </cell>
          <cell r="AD62" t="str">
            <v>2032</v>
          </cell>
          <cell r="AE62" t="str">
            <v>2033</v>
          </cell>
          <cell r="AF62" t="str">
            <v>2034</v>
          </cell>
          <cell r="AG62" t="str">
            <v>2035</v>
          </cell>
          <cell r="AH62" t="str">
            <v>2036</v>
          </cell>
          <cell r="AI62" t="str">
            <v>2037</v>
          </cell>
          <cell r="AJ62" t="str">
            <v>2038</v>
          </cell>
          <cell r="AK62" t="str">
            <v>2039</v>
          </cell>
          <cell r="AL62" t="str">
            <v>2040</v>
          </cell>
        </row>
        <row r="63">
          <cell r="A63" t="str">
            <v>British Columbia</v>
          </cell>
          <cell r="C63">
            <v>22.24</v>
          </cell>
          <cell r="D63">
            <v>23.07</v>
          </cell>
          <cell r="E63">
            <v>22.79</v>
          </cell>
          <cell r="F63">
            <v>22.61</v>
          </cell>
          <cell r="G63">
            <v>23.66</v>
          </cell>
          <cell r="H63">
            <v>25.9</v>
          </cell>
          <cell r="I63">
            <v>25.46</v>
          </cell>
          <cell r="J63">
            <v>28.65</v>
          </cell>
          <cell r="K63">
            <v>27.24</v>
          </cell>
          <cell r="L63">
            <v>28.61</v>
          </cell>
          <cell r="M63">
            <v>30.53</v>
          </cell>
          <cell r="N63">
            <v>31.55</v>
          </cell>
          <cell r="O63">
            <v>31.68</v>
          </cell>
          <cell r="P63">
            <v>31.78</v>
          </cell>
          <cell r="Q63">
            <v>31.88</v>
          </cell>
          <cell r="R63">
            <v>31.99</v>
          </cell>
          <cell r="S63">
            <v>32.1</v>
          </cell>
          <cell r="T63">
            <v>32.229999999999997</v>
          </cell>
          <cell r="U63">
            <v>32.35</v>
          </cell>
          <cell r="V63">
            <v>32.479999999999997</v>
          </cell>
          <cell r="W63">
            <v>32.61</v>
          </cell>
          <cell r="X63">
            <v>32.74</v>
          </cell>
          <cell r="Y63">
            <v>32.869999999999997</v>
          </cell>
          <cell r="Z63">
            <v>33</v>
          </cell>
          <cell r="AA63">
            <v>33.130000000000003</v>
          </cell>
          <cell r="AB63">
            <v>33.25</v>
          </cell>
          <cell r="AC63">
            <v>33.369999999999997</v>
          </cell>
          <cell r="AD63">
            <v>33.479999999999997</v>
          </cell>
          <cell r="AE63">
            <v>33.58</v>
          </cell>
          <cell r="AF63">
            <v>33.68</v>
          </cell>
          <cell r="AG63">
            <v>33.76</v>
          </cell>
          <cell r="AH63">
            <v>33.840000000000003</v>
          </cell>
          <cell r="AI63">
            <v>33.9</v>
          </cell>
          <cell r="AJ63">
            <v>33.950000000000003</v>
          </cell>
          <cell r="AK63">
            <v>33.979999999999997</v>
          </cell>
          <cell r="AL63">
            <v>34</v>
          </cell>
        </row>
        <row r="64">
          <cell r="A64" t="str">
            <v>British Columbia</v>
          </cell>
          <cell r="C64">
            <v>15.71</v>
          </cell>
          <cell r="D64">
            <v>16.100000000000001</v>
          </cell>
          <cell r="E64">
            <v>15.95</v>
          </cell>
          <cell r="F64">
            <v>15.79</v>
          </cell>
          <cell r="G64">
            <v>16.8</v>
          </cell>
          <cell r="H64">
            <v>17.63</v>
          </cell>
          <cell r="I64">
            <v>17.100000000000001</v>
          </cell>
          <cell r="J64">
            <v>16.28</v>
          </cell>
          <cell r="K64">
            <v>15.65</v>
          </cell>
          <cell r="L64">
            <v>16.579999999999998</v>
          </cell>
          <cell r="M64">
            <v>15.79</v>
          </cell>
          <cell r="N64">
            <v>12.09</v>
          </cell>
          <cell r="O64">
            <v>12.97</v>
          </cell>
          <cell r="P64">
            <v>12.73</v>
          </cell>
          <cell r="Q64">
            <v>12.86</v>
          </cell>
          <cell r="R64">
            <v>13.09</v>
          </cell>
          <cell r="S64">
            <v>13.29</v>
          </cell>
          <cell r="T64">
            <v>13.49</v>
          </cell>
          <cell r="U64">
            <v>13.43</v>
          </cell>
          <cell r="V64">
            <v>13.32</v>
          </cell>
          <cell r="W64">
            <v>13.24</v>
          </cell>
          <cell r="X64">
            <v>13.25</v>
          </cell>
          <cell r="Y64">
            <v>13.24</v>
          </cell>
          <cell r="Z64">
            <v>13.26</v>
          </cell>
          <cell r="AA64">
            <v>13.3</v>
          </cell>
          <cell r="AB64">
            <v>13.33</v>
          </cell>
          <cell r="AC64">
            <v>13.38</v>
          </cell>
          <cell r="AD64">
            <v>13.44</v>
          </cell>
          <cell r="AE64">
            <v>13.51</v>
          </cell>
          <cell r="AF64">
            <v>13.54</v>
          </cell>
          <cell r="AG64">
            <v>13.56</v>
          </cell>
          <cell r="AH64">
            <v>13.57</v>
          </cell>
          <cell r="AI64">
            <v>13.56</v>
          </cell>
          <cell r="AJ64">
            <v>13.54</v>
          </cell>
          <cell r="AK64">
            <v>13.52</v>
          </cell>
          <cell r="AL64">
            <v>13.49</v>
          </cell>
        </row>
        <row r="65">
          <cell r="A65" t="str">
            <v>British Columbia</v>
          </cell>
          <cell r="C65">
            <v>28.98</v>
          </cell>
          <cell r="D65">
            <v>28.54</v>
          </cell>
          <cell r="E65">
            <v>29.02</v>
          </cell>
          <cell r="F65">
            <v>34.479999999999997</v>
          </cell>
          <cell r="G65">
            <v>25.41</v>
          </cell>
          <cell r="H65">
            <v>29.71</v>
          </cell>
          <cell r="I65">
            <v>34.4</v>
          </cell>
          <cell r="J65">
            <v>35.71</v>
          </cell>
          <cell r="K65">
            <v>35.47</v>
          </cell>
          <cell r="L65">
            <v>35.78</v>
          </cell>
          <cell r="M65">
            <v>29.49</v>
          </cell>
          <cell r="N65">
            <v>26.92</v>
          </cell>
          <cell r="O65">
            <v>29.45</v>
          </cell>
          <cell r="P65">
            <v>33.119999999999997</v>
          </cell>
          <cell r="Q65">
            <v>38.61</v>
          </cell>
          <cell r="R65">
            <v>41.92</v>
          </cell>
          <cell r="S65">
            <v>38.94</v>
          </cell>
          <cell r="T65">
            <v>36.979999999999997</v>
          </cell>
          <cell r="U65">
            <v>36.39</v>
          </cell>
          <cell r="V65">
            <v>36.08</v>
          </cell>
          <cell r="W65">
            <v>36</v>
          </cell>
          <cell r="X65">
            <v>35.89</v>
          </cell>
          <cell r="Y65">
            <v>35.68</v>
          </cell>
          <cell r="Z65">
            <v>35.44</v>
          </cell>
          <cell r="AA65">
            <v>35.229999999999997</v>
          </cell>
          <cell r="AB65">
            <v>35.03</v>
          </cell>
          <cell r="AC65">
            <v>34.89</v>
          </cell>
          <cell r="AD65">
            <v>34.79</v>
          </cell>
          <cell r="AE65">
            <v>34.729999999999997</v>
          </cell>
          <cell r="AF65">
            <v>34.69</v>
          </cell>
          <cell r="AG65">
            <v>34.64</v>
          </cell>
          <cell r="AH65">
            <v>34.58</v>
          </cell>
          <cell r="AI65">
            <v>34.49</v>
          </cell>
          <cell r="AJ65">
            <v>34.380000000000003</v>
          </cell>
          <cell r="AK65">
            <v>34.270000000000003</v>
          </cell>
          <cell r="AL65">
            <v>34.14</v>
          </cell>
        </row>
        <row r="68">
          <cell r="C68" t="str">
            <v>2005</v>
          </cell>
          <cell r="D68" t="str">
            <v>2006</v>
          </cell>
          <cell r="E68" t="str">
            <v>2007</v>
          </cell>
          <cell r="F68" t="str">
            <v>2008</v>
          </cell>
          <cell r="G68" t="str">
            <v>2009</v>
          </cell>
          <cell r="H68" t="str">
            <v>2010</v>
          </cell>
          <cell r="I68" t="str">
            <v>2011</v>
          </cell>
          <cell r="J68" t="str">
            <v>2012</v>
          </cell>
          <cell r="K68" t="str">
            <v>2013</v>
          </cell>
          <cell r="L68" t="str">
            <v>2014</v>
          </cell>
          <cell r="M68" t="str">
            <v>2015</v>
          </cell>
          <cell r="N68" t="str">
            <v>2016</v>
          </cell>
          <cell r="O68" t="str">
            <v>2017</v>
          </cell>
          <cell r="P68" t="str">
            <v>2018</v>
          </cell>
          <cell r="Q68" t="str">
            <v>2019</v>
          </cell>
          <cell r="R68" t="str">
            <v>2020</v>
          </cell>
          <cell r="S68" t="str">
            <v>2021</v>
          </cell>
          <cell r="T68" t="str">
            <v>2022</v>
          </cell>
          <cell r="U68" t="str">
            <v>2023</v>
          </cell>
          <cell r="V68" t="str">
            <v>2024</v>
          </cell>
          <cell r="W68" t="str">
            <v>2025</v>
          </cell>
          <cell r="X68" t="str">
            <v>2026</v>
          </cell>
          <cell r="Y68" t="str">
            <v>2027</v>
          </cell>
          <cell r="Z68" t="str">
            <v>2028</v>
          </cell>
          <cell r="AA68" t="str">
            <v>2029</v>
          </cell>
          <cell r="AB68" t="str">
            <v>2030</v>
          </cell>
          <cell r="AC68" t="str">
            <v>2031</v>
          </cell>
          <cell r="AD68" t="str">
            <v>2032</v>
          </cell>
          <cell r="AE68" t="str">
            <v>2033</v>
          </cell>
          <cell r="AF68" t="str">
            <v>2034</v>
          </cell>
          <cell r="AG68" t="str">
            <v>2035</v>
          </cell>
          <cell r="AH68" t="str">
            <v>2036</v>
          </cell>
          <cell r="AI68" t="str">
            <v>2037</v>
          </cell>
          <cell r="AJ68" t="str">
            <v>2038</v>
          </cell>
          <cell r="AK68" t="str">
            <v>2039</v>
          </cell>
          <cell r="AL68" t="str">
            <v>2040</v>
          </cell>
        </row>
        <row r="69">
          <cell r="A69" t="str">
            <v>Saskatchewan</v>
          </cell>
          <cell r="C69">
            <v>36.07</v>
          </cell>
          <cell r="D69">
            <v>42.3</v>
          </cell>
          <cell r="E69">
            <v>41.68</v>
          </cell>
          <cell r="F69">
            <v>39.369999999999997</v>
          </cell>
          <cell r="G69">
            <v>40.299999999999997</v>
          </cell>
          <cell r="H69">
            <v>42.93</v>
          </cell>
          <cell r="I69">
            <v>43.6</v>
          </cell>
          <cell r="J69">
            <v>43.08</v>
          </cell>
          <cell r="K69">
            <v>44.44</v>
          </cell>
          <cell r="L69">
            <v>46.3</v>
          </cell>
          <cell r="M69">
            <v>48.06</v>
          </cell>
          <cell r="N69">
            <v>48.66</v>
          </cell>
          <cell r="O69">
            <v>49.42</v>
          </cell>
          <cell r="P69">
            <v>50.31</v>
          </cell>
          <cell r="Q69">
            <v>51.11</v>
          </cell>
          <cell r="R69">
            <v>51.84</v>
          </cell>
          <cell r="S69">
            <v>52.5</v>
          </cell>
          <cell r="T69">
            <v>53.11</v>
          </cell>
          <cell r="U69">
            <v>53.65</v>
          </cell>
          <cell r="V69">
            <v>54.15</v>
          </cell>
          <cell r="W69">
            <v>54.59</v>
          </cell>
          <cell r="X69">
            <v>55</v>
          </cell>
          <cell r="Y69">
            <v>55.38</v>
          </cell>
          <cell r="Z69">
            <v>55.73</v>
          </cell>
          <cell r="AA69">
            <v>56.05</v>
          </cell>
          <cell r="AB69">
            <v>56.35</v>
          </cell>
          <cell r="AC69">
            <v>56.65</v>
          </cell>
          <cell r="AD69">
            <v>56.93</v>
          </cell>
          <cell r="AE69">
            <v>57.22</v>
          </cell>
          <cell r="AF69">
            <v>57.51</v>
          </cell>
          <cell r="AG69">
            <v>57.81</v>
          </cell>
          <cell r="AH69">
            <v>58.13</v>
          </cell>
          <cell r="AI69">
            <v>58.47</v>
          </cell>
          <cell r="AJ69">
            <v>58.83</v>
          </cell>
          <cell r="AK69">
            <v>59.23</v>
          </cell>
          <cell r="AL69">
            <v>59.66</v>
          </cell>
        </row>
        <row r="70">
          <cell r="A70" t="str">
            <v>Saskatchewan</v>
          </cell>
          <cell r="C70">
            <v>14.11</v>
          </cell>
          <cell r="D70">
            <v>13.96</v>
          </cell>
          <cell r="E70">
            <v>13.58</v>
          </cell>
          <cell r="F70">
            <v>12.3</v>
          </cell>
          <cell r="G70">
            <v>14.1</v>
          </cell>
          <cell r="H70">
            <v>12.28</v>
          </cell>
          <cell r="I70">
            <v>11.25</v>
          </cell>
          <cell r="J70">
            <v>10.93</v>
          </cell>
          <cell r="K70">
            <v>10.61</v>
          </cell>
          <cell r="L70">
            <v>9.19</v>
          </cell>
          <cell r="M70">
            <v>11.81</v>
          </cell>
          <cell r="N70">
            <v>8.8000000000000007</v>
          </cell>
          <cell r="O70">
            <v>7.48</v>
          </cell>
          <cell r="P70">
            <v>7.4</v>
          </cell>
          <cell r="Q70">
            <v>7.39</v>
          </cell>
          <cell r="R70">
            <v>8.3000000000000007</v>
          </cell>
          <cell r="S70">
            <v>8.73</v>
          </cell>
          <cell r="T70">
            <v>9.14</v>
          </cell>
          <cell r="U70">
            <v>9.51</v>
          </cell>
          <cell r="V70">
            <v>9.4499999999999993</v>
          </cell>
          <cell r="W70">
            <v>9.42</v>
          </cell>
          <cell r="X70">
            <v>9.4600000000000009</v>
          </cell>
          <cell r="Y70">
            <v>9.48</v>
          </cell>
          <cell r="Z70">
            <v>9.52</v>
          </cell>
          <cell r="AA70">
            <v>9.57</v>
          </cell>
          <cell r="AB70">
            <v>9.6199999999999992</v>
          </cell>
          <cell r="AC70">
            <v>9.68</v>
          </cell>
          <cell r="AD70">
            <v>9.75</v>
          </cell>
          <cell r="AE70">
            <v>9.83</v>
          </cell>
          <cell r="AF70">
            <v>9.8699999999999992</v>
          </cell>
          <cell r="AG70">
            <v>9.9</v>
          </cell>
          <cell r="AH70">
            <v>9.93</v>
          </cell>
          <cell r="AI70">
            <v>9.94</v>
          </cell>
          <cell r="AJ70">
            <v>9.94</v>
          </cell>
          <cell r="AK70">
            <v>9.9499999999999993</v>
          </cell>
          <cell r="AL70">
            <v>9.9499999999999993</v>
          </cell>
        </row>
        <row r="71">
          <cell r="A71" t="str">
            <v>Saskatchewan</v>
          </cell>
          <cell r="C71">
            <v>26.98</v>
          </cell>
          <cell r="D71">
            <v>26.48</v>
          </cell>
          <cell r="E71">
            <v>28.47</v>
          </cell>
          <cell r="F71">
            <v>34.4</v>
          </cell>
          <cell r="G71">
            <v>24.36</v>
          </cell>
          <cell r="H71">
            <v>26.99</v>
          </cell>
          <cell r="I71">
            <v>32.65</v>
          </cell>
          <cell r="J71">
            <v>31.57</v>
          </cell>
          <cell r="K71">
            <v>32.36</v>
          </cell>
          <cell r="L71">
            <v>35.340000000000003</v>
          </cell>
          <cell r="M71">
            <v>26.82</v>
          </cell>
          <cell r="N71">
            <v>24.02</v>
          </cell>
          <cell r="O71">
            <v>26.27</v>
          </cell>
          <cell r="P71">
            <v>29.87</v>
          </cell>
          <cell r="Q71">
            <v>33.14</v>
          </cell>
          <cell r="R71">
            <v>37.92</v>
          </cell>
          <cell r="S71">
            <v>35.28</v>
          </cell>
          <cell r="T71">
            <v>33.700000000000003</v>
          </cell>
          <cell r="U71">
            <v>33.82</v>
          </cell>
          <cell r="V71">
            <v>33.549999999999997</v>
          </cell>
          <cell r="W71">
            <v>33.53</v>
          </cell>
          <cell r="X71">
            <v>33.46</v>
          </cell>
          <cell r="Y71">
            <v>33.29</v>
          </cell>
          <cell r="Z71">
            <v>33.07</v>
          </cell>
          <cell r="AA71">
            <v>32.9</v>
          </cell>
          <cell r="AB71">
            <v>32.72</v>
          </cell>
          <cell r="AC71">
            <v>32.619999999999997</v>
          </cell>
          <cell r="AD71">
            <v>32.549999999999997</v>
          </cell>
          <cell r="AE71">
            <v>32.520000000000003</v>
          </cell>
          <cell r="AF71">
            <v>32.51</v>
          </cell>
          <cell r="AG71">
            <v>32.49</v>
          </cell>
          <cell r="AH71">
            <v>32.450000000000003</v>
          </cell>
          <cell r="AI71">
            <v>32.4</v>
          </cell>
          <cell r="AJ71">
            <v>32.31</v>
          </cell>
          <cell r="AK71">
            <v>32.229999999999997</v>
          </cell>
          <cell r="AL71">
            <v>32.130000000000003</v>
          </cell>
        </row>
        <row r="74">
          <cell r="C74" t="str">
            <v>2005</v>
          </cell>
          <cell r="D74" t="str">
            <v>2006</v>
          </cell>
          <cell r="E74" t="str">
            <v>2007</v>
          </cell>
          <cell r="F74" t="str">
            <v>2008</v>
          </cell>
          <cell r="G74" t="str">
            <v>2009</v>
          </cell>
          <cell r="H74" t="str">
            <v>2010</v>
          </cell>
          <cell r="I74" t="str">
            <v>2011</v>
          </cell>
          <cell r="J74" t="str">
            <v>2012</v>
          </cell>
          <cell r="K74" t="str">
            <v>2013</v>
          </cell>
          <cell r="L74" t="str">
            <v>2014</v>
          </cell>
          <cell r="M74" t="str">
            <v>2015</v>
          </cell>
          <cell r="N74" t="str">
            <v>2016</v>
          </cell>
          <cell r="O74" t="str">
            <v>2017</v>
          </cell>
          <cell r="P74" t="str">
            <v>2018</v>
          </cell>
          <cell r="Q74" t="str">
            <v>2019</v>
          </cell>
          <cell r="R74" t="str">
            <v>2020</v>
          </cell>
          <cell r="S74" t="str">
            <v>2021</v>
          </cell>
          <cell r="T74" t="str">
            <v>2022</v>
          </cell>
          <cell r="U74" t="str">
            <v>2023</v>
          </cell>
          <cell r="V74" t="str">
            <v>2024</v>
          </cell>
          <cell r="W74" t="str">
            <v>2025</v>
          </cell>
          <cell r="X74" t="str">
            <v>2026</v>
          </cell>
          <cell r="Y74" t="str">
            <v>2027</v>
          </cell>
          <cell r="Z74" t="str">
            <v>2028</v>
          </cell>
          <cell r="AA74" t="str">
            <v>2029</v>
          </cell>
          <cell r="AB74" t="str">
            <v>2030</v>
          </cell>
          <cell r="AC74" t="str">
            <v>2031</v>
          </cell>
          <cell r="AD74" t="str">
            <v>2032</v>
          </cell>
          <cell r="AE74" t="str">
            <v>2033</v>
          </cell>
          <cell r="AF74" t="str">
            <v>2034</v>
          </cell>
          <cell r="AG74" t="str">
            <v>2035</v>
          </cell>
          <cell r="AH74" t="str">
            <v>2036</v>
          </cell>
          <cell r="AI74" t="str">
            <v>2037</v>
          </cell>
          <cell r="AJ74" t="str">
            <v>2038</v>
          </cell>
          <cell r="AK74" t="str">
            <v>2039</v>
          </cell>
          <cell r="AL74" t="str">
            <v>2040</v>
          </cell>
        </row>
        <row r="75">
          <cell r="A75" t="str">
            <v>Yukon</v>
          </cell>
          <cell r="C75">
            <v>33.479999999999997</v>
          </cell>
          <cell r="D75">
            <v>34.72</v>
          </cell>
          <cell r="E75">
            <v>34.299999999999997</v>
          </cell>
          <cell r="F75">
            <v>34</v>
          </cell>
          <cell r="G75">
            <v>35.590000000000003</v>
          </cell>
          <cell r="H75">
            <v>37.69</v>
          </cell>
          <cell r="I75">
            <v>35.89</v>
          </cell>
          <cell r="J75">
            <v>40.39</v>
          </cell>
          <cell r="K75">
            <v>40.28</v>
          </cell>
          <cell r="L75">
            <v>47.35</v>
          </cell>
          <cell r="M75">
            <v>47.73</v>
          </cell>
          <cell r="N75">
            <v>47.43</v>
          </cell>
          <cell r="O75">
            <v>47.71</v>
          </cell>
          <cell r="P75">
            <v>47.86</v>
          </cell>
          <cell r="Q75">
            <v>48.02</v>
          </cell>
          <cell r="R75">
            <v>48.18</v>
          </cell>
          <cell r="S75">
            <v>48.35</v>
          </cell>
          <cell r="T75">
            <v>48.52</v>
          </cell>
          <cell r="U75">
            <v>48.69</v>
          </cell>
          <cell r="V75">
            <v>48.86</v>
          </cell>
          <cell r="W75">
            <v>49.04</v>
          </cell>
          <cell r="X75">
            <v>49.22</v>
          </cell>
          <cell r="Y75">
            <v>49.41</v>
          </cell>
          <cell r="Z75">
            <v>49.59</v>
          </cell>
          <cell r="AA75">
            <v>49.78</v>
          </cell>
          <cell r="AB75">
            <v>49.97</v>
          </cell>
          <cell r="AC75">
            <v>50.16</v>
          </cell>
          <cell r="AD75">
            <v>50.35</v>
          </cell>
          <cell r="AE75">
            <v>50.54</v>
          </cell>
          <cell r="AF75">
            <v>50.73</v>
          </cell>
          <cell r="AG75">
            <v>50.92</v>
          </cell>
          <cell r="AH75">
            <v>51.11</v>
          </cell>
          <cell r="AI75">
            <v>51.3</v>
          </cell>
          <cell r="AJ75">
            <v>51.48</v>
          </cell>
          <cell r="AK75">
            <v>51.67</v>
          </cell>
          <cell r="AL75">
            <v>51.85</v>
          </cell>
        </row>
        <row r="76">
          <cell r="A76" t="str">
            <v>Yukon</v>
          </cell>
          <cell r="C76">
            <v>15.71</v>
          </cell>
          <cell r="D76">
            <v>16.100000000000001</v>
          </cell>
          <cell r="E76">
            <v>15.74</v>
          </cell>
          <cell r="F76">
            <v>15.46</v>
          </cell>
          <cell r="G76">
            <v>15.41</v>
          </cell>
          <cell r="H76">
            <v>14.92</v>
          </cell>
          <cell r="I76">
            <v>13.77</v>
          </cell>
          <cell r="J76">
            <v>12.54</v>
          </cell>
          <cell r="K76">
            <v>12.18</v>
          </cell>
          <cell r="L76">
            <v>13.28</v>
          </cell>
          <cell r="M76">
            <v>12.25</v>
          </cell>
          <cell r="N76">
            <v>8.43</v>
          </cell>
          <cell r="O76">
            <v>8.91</v>
          </cell>
          <cell r="P76">
            <v>8.81</v>
          </cell>
          <cell r="Q76">
            <v>8.7899999999999991</v>
          </cell>
          <cell r="R76">
            <v>9.07</v>
          </cell>
          <cell r="S76">
            <v>9.2200000000000006</v>
          </cell>
          <cell r="T76">
            <v>9.36</v>
          </cell>
          <cell r="U76">
            <v>9.48</v>
          </cell>
          <cell r="V76">
            <v>9.48</v>
          </cell>
          <cell r="W76">
            <v>9.5</v>
          </cell>
          <cell r="X76">
            <v>9.58</v>
          </cell>
          <cell r="Y76">
            <v>9.66</v>
          </cell>
          <cell r="Z76">
            <v>9.75</v>
          </cell>
          <cell r="AA76">
            <v>9.85</v>
          </cell>
          <cell r="AB76">
            <v>9.94</v>
          </cell>
          <cell r="AC76">
            <v>10.039999999999999</v>
          </cell>
          <cell r="AD76">
            <v>10.16</v>
          </cell>
          <cell r="AE76">
            <v>10.28</v>
          </cell>
          <cell r="AF76">
            <v>10.34</v>
          </cell>
          <cell r="AG76">
            <v>10.41</v>
          </cell>
          <cell r="AH76">
            <v>10.46</v>
          </cell>
          <cell r="AI76">
            <v>10.5</v>
          </cell>
          <cell r="AJ76">
            <v>10.54</v>
          </cell>
          <cell r="AK76">
            <v>10.57</v>
          </cell>
          <cell r="AL76">
            <v>10.59</v>
          </cell>
        </row>
        <row r="77">
          <cell r="A77" t="str">
            <v>Yukon</v>
          </cell>
          <cell r="C77">
            <v>29.08</v>
          </cell>
          <cell r="D77">
            <v>30.15</v>
          </cell>
          <cell r="E77">
            <v>31.73</v>
          </cell>
          <cell r="F77">
            <v>37.46</v>
          </cell>
          <cell r="G77">
            <v>28.89</v>
          </cell>
          <cell r="H77">
            <v>31.56</v>
          </cell>
          <cell r="I77">
            <v>36.9</v>
          </cell>
          <cell r="J77">
            <v>38.08</v>
          </cell>
          <cell r="K77">
            <v>36.86</v>
          </cell>
          <cell r="L77">
            <v>37.01</v>
          </cell>
          <cell r="M77">
            <v>29.89</v>
          </cell>
          <cell r="N77">
            <v>25.86</v>
          </cell>
          <cell r="O77">
            <v>27.9</v>
          </cell>
          <cell r="P77">
            <v>31.56</v>
          </cell>
          <cell r="Q77">
            <v>33.29</v>
          </cell>
          <cell r="R77">
            <v>37.340000000000003</v>
          </cell>
          <cell r="S77">
            <v>34.270000000000003</v>
          </cell>
          <cell r="T77">
            <v>32.229999999999997</v>
          </cell>
          <cell r="U77">
            <v>32.729999999999997</v>
          </cell>
          <cell r="V77">
            <v>32.54</v>
          </cell>
          <cell r="W77">
            <v>32.57</v>
          </cell>
          <cell r="X77">
            <v>32.56</v>
          </cell>
          <cell r="Y77">
            <v>32.44</v>
          </cell>
          <cell r="Z77">
            <v>32.29</v>
          </cell>
          <cell r="AA77">
            <v>32.17</v>
          </cell>
          <cell r="AB77">
            <v>32.04</v>
          </cell>
          <cell r="AC77">
            <v>31.98</v>
          </cell>
          <cell r="AD77">
            <v>31.96</v>
          </cell>
          <cell r="AE77">
            <v>31.97</v>
          </cell>
          <cell r="AF77">
            <v>32.01</v>
          </cell>
          <cell r="AG77">
            <v>32.03</v>
          </cell>
          <cell r="AH77">
            <v>32.03</v>
          </cell>
          <cell r="AI77">
            <v>32.020000000000003</v>
          </cell>
          <cell r="AJ77">
            <v>31.97</v>
          </cell>
          <cell r="AK77">
            <v>31.93</v>
          </cell>
          <cell r="AL77">
            <v>31.87</v>
          </cell>
        </row>
        <row r="80">
          <cell r="C80" t="str">
            <v>2005</v>
          </cell>
          <cell r="D80" t="str">
            <v>2006</v>
          </cell>
          <cell r="E80" t="str">
            <v>2007</v>
          </cell>
          <cell r="F80" t="str">
            <v>2008</v>
          </cell>
          <cell r="G80" t="str">
            <v>2009</v>
          </cell>
          <cell r="H80" t="str">
            <v>2010</v>
          </cell>
          <cell r="I80" t="str">
            <v>2011</v>
          </cell>
          <cell r="J80" t="str">
            <v>2012</v>
          </cell>
          <cell r="K80" t="str">
            <v>2013</v>
          </cell>
          <cell r="L80" t="str">
            <v>2014</v>
          </cell>
          <cell r="M80" t="str">
            <v>2015</v>
          </cell>
          <cell r="N80" t="str">
            <v>2016</v>
          </cell>
          <cell r="O80" t="str">
            <v>2017</v>
          </cell>
          <cell r="P80" t="str">
            <v>2018</v>
          </cell>
          <cell r="Q80" t="str">
            <v>2019</v>
          </cell>
          <cell r="R80" t="str">
            <v>2020</v>
          </cell>
          <cell r="S80" t="str">
            <v>2021</v>
          </cell>
          <cell r="T80" t="str">
            <v>2022</v>
          </cell>
          <cell r="U80" t="str">
            <v>2023</v>
          </cell>
          <cell r="V80" t="str">
            <v>2024</v>
          </cell>
          <cell r="W80" t="str">
            <v>2025</v>
          </cell>
          <cell r="X80" t="str">
            <v>2026</v>
          </cell>
          <cell r="Y80" t="str">
            <v>2027</v>
          </cell>
          <cell r="Z80" t="str">
            <v>2028</v>
          </cell>
          <cell r="AA80" t="str">
            <v>2029</v>
          </cell>
          <cell r="AB80" t="str">
            <v>2030</v>
          </cell>
          <cell r="AC80" t="str">
            <v>2031</v>
          </cell>
          <cell r="AD80" t="str">
            <v>2032</v>
          </cell>
          <cell r="AE80" t="str">
            <v>2033</v>
          </cell>
          <cell r="AF80" t="str">
            <v>2034</v>
          </cell>
          <cell r="AG80" t="str">
            <v>2035</v>
          </cell>
          <cell r="AH80" t="str">
            <v>2036</v>
          </cell>
          <cell r="AI80" t="str">
            <v>2037</v>
          </cell>
          <cell r="AJ80" t="str">
            <v>2038</v>
          </cell>
          <cell r="AK80" t="str">
            <v>2039</v>
          </cell>
          <cell r="AL80" t="str">
            <v>2040</v>
          </cell>
        </row>
        <row r="81">
          <cell r="A81" t="str">
            <v>Northwest Territories</v>
          </cell>
          <cell r="C81">
            <v>80.930000000000007</v>
          </cell>
          <cell r="D81">
            <v>83.41</v>
          </cell>
          <cell r="E81">
            <v>82.56</v>
          </cell>
          <cell r="F81">
            <v>81.98</v>
          </cell>
          <cell r="G81">
            <v>85.14</v>
          </cell>
          <cell r="H81">
            <v>89.34</v>
          </cell>
          <cell r="I81">
            <v>85.75</v>
          </cell>
          <cell r="J81">
            <v>94.73</v>
          </cell>
          <cell r="K81">
            <v>94.52</v>
          </cell>
          <cell r="L81">
            <v>94.52</v>
          </cell>
          <cell r="M81">
            <v>95.28</v>
          </cell>
          <cell r="N81">
            <v>94.69</v>
          </cell>
          <cell r="O81">
            <v>95.56</v>
          </cell>
          <cell r="P81">
            <v>96.01</v>
          </cell>
          <cell r="Q81">
            <v>96.45</v>
          </cell>
          <cell r="R81">
            <v>96.87</v>
          </cell>
          <cell r="S81">
            <v>97.29</v>
          </cell>
          <cell r="T81">
            <v>97.69</v>
          </cell>
          <cell r="U81">
            <v>98.09</v>
          </cell>
          <cell r="V81">
            <v>98.48</v>
          </cell>
          <cell r="W81">
            <v>98.86</v>
          </cell>
          <cell r="X81">
            <v>99.23</v>
          </cell>
          <cell r="Y81">
            <v>99.6</v>
          </cell>
          <cell r="Z81">
            <v>99.97</v>
          </cell>
          <cell r="AA81">
            <v>100.34</v>
          </cell>
          <cell r="AB81">
            <v>100.71</v>
          </cell>
          <cell r="AC81">
            <v>101.08</v>
          </cell>
          <cell r="AD81">
            <v>101.45</v>
          </cell>
          <cell r="AE81">
            <v>101.83</v>
          </cell>
          <cell r="AF81">
            <v>102.21</v>
          </cell>
          <cell r="AG81">
            <v>102.6</v>
          </cell>
          <cell r="AH81">
            <v>103</v>
          </cell>
          <cell r="AI81">
            <v>103.4</v>
          </cell>
          <cell r="AJ81">
            <v>103.82</v>
          </cell>
          <cell r="AK81">
            <v>104.25</v>
          </cell>
          <cell r="AL81">
            <v>104.69</v>
          </cell>
        </row>
        <row r="82">
          <cell r="A82" t="str">
            <v>Northwest Territories</v>
          </cell>
          <cell r="C82">
            <v>32.04</v>
          </cell>
          <cell r="D82">
            <v>31.25</v>
          </cell>
          <cell r="E82">
            <v>32.020000000000003</v>
          </cell>
          <cell r="F82">
            <v>31.29</v>
          </cell>
          <cell r="G82">
            <v>30.74</v>
          </cell>
          <cell r="H82">
            <v>30.65</v>
          </cell>
          <cell r="I82">
            <v>29.66</v>
          </cell>
          <cell r="J82">
            <v>33.369999999999997</v>
          </cell>
          <cell r="K82">
            <v>33.28</v>
          </cell>
          <cell r="L82">
            <v>39.119999999999997</v>
          </cell>
          <cell r="M82">
            <v>39.43</v>
          </cell>
          <cell r="N82">
            <v>39.19</v>
          </cell>
          <cell r="O82">
            <v>39.659999999999997</v>
          </cell>
          <cell r="P82">
            <v>39.57</v>
          </cell>
          <cell r="Q82">
            <v>39.549999999999997</v>
          </cell>
          <cell r="R82">
            <v>41.09</v>
          </cell>
          <cell r="S82">
            <v>41.81</v>
          </cell>
          <cell r="T82">
            <v>42.49</v>
          </cell>
          <cell r="U82">
            <v>43.1</v>
          </cell>
          <cell r="V82">
            <v>43</v>
          </cell>
          <cell r="W82">
            <v>42.93</v>
          </cell>
          <cell r="X82">
            <v>42.95</v>
          </cell>
          <cell r="Y82">
            <v>42.95</v>
          </cell>
          <cell r="Z82">
            <v>42.97</v>
          </cell>
          <cell r="AA82">
            <v>43.01</v>
          </cell>
          <cell r="AB82">
            <v>43.05</v>
          </cell>
          <cell r="AC82">
            <v>43.1</v>
          </cell>
          <cell r="AD82">
            <v>43.17</v>
          </cell>
          <cell r="AE82">
            <v>43.25</v>
          </cell>
          <cell r="AF82">
            <v>43.28</v>
          </cell>
          <cell r="AG82">
            <v>43.31</v>
          </cell>
          <cell r="AH82">
            <v>43.33</v>
          </cell>
          <cell r="AI82">
            <v>43.33</v>
          </cell>
          <cell r="AJ82">
            <v>43.31</v>
          </cell>
          <cell r="AK82">
            <v>43.3</v>
          </cell>
          <cell r="AL82">
            <v>43.29</v>
          </cell>
        </row>
        <row r="83">
          <cell r="A83" t="str">
            <v>Northwest Territories</v>
          </cell>
          <cell r="C83">
            <v>26.74</v>
          </cell>
          <cell r="D83">
            <v>27.19</v>
          </cell>
          <cell r="E83">
            <v>29.89</v>
          </cell>
          <cell r="F83">
            <v>36.56</v>
          </cell>
          <cell r="G83">
            <v>26.59</v>
          </cell>
          <cell r="H83">
            <v>28.81</v>
          </cell>
          <cell r="I83">
            <v>34.630000000000003</v>
          </cell>
          <cell r="J83">
            <v>34.79</v>
          </cell>
          <cell r="K83">
            <v>33.89</v>
          </cell>
          <cell r="L83">
            <v>36.409999999999997</v>
          </cell>
          <cell r="M83">
            <v>28.29</v>
          </cell>
          <cell r="N83">
            <v>24.92</v>
          </cell>
          <cell r="O83">
            <v>27.54</v>
          </cell>
          <cell r="P83">
            <v>30.62</v>
          </cell>
          <cell r="Q83">
            <v>32.35</v>
          </cell>
          <cell r="R83">
            <v>36.4</v>
          </cell>
          <cell r="S83">
            <v>33.33</v>
          </cell>
          <cell r="T83">
            <v>31.29</v>
          </cell>
          <cell r="U83">
            <v>31.79</v>
          </cell>
          <cell r="V83">
            <v>31.61</v>
          </cell>
          <cell r="W83">
            <v>31.63</v>
          </cell>
          <cell r="X83">
            <v>31.62</v>
          </cell>
          <cell r="Y83">
            <v>31.5</v>
          </cell>
          <cell r="Z83">
            <v>31.35</v>
          </cell>
          <cell r="AA83">
            <v>31.23</v>
          </cell>
          <cell r="AB83">
            <v>31.1</v>
          </cell>
          <cell r="AC83">
            <v>31.05</v>
          </cell>
          <cell r="AD83">
            <v>31.02</v>
          </cell>
          <cell r="AE83">
            <v>31.03</v>
          </cell>
          <cell r="AF83">
            <v>31.07</v>
          </cell>
          <cell r="AG83">
            <v>31.09</v>
          </cell>
          <cell r="AH83">
            <v>31.09</v>
          </cell>
          <cell r="AI83">
            <v>31.08</v>
          </cell>
          <cell r="AJ83">
            <v>31.03</v>
          </cell>
          <cell r="AK83">
            <v>30.99</v>
          </cell>
          <cell r="AL83">
            <v>30.93</v>
          </cell>
        </row>
        <row r="86">
          <cell r="C86" t="str">
            <v>2005</v>
          </cell>
          <cell r="D86" t="str">
            <v>2006</v>
          </cell>
          <cell r="E86" t="str">
            <v>2007</v>
          </cell>
          <cell r="F86" t="str">
            <v>2008</v>
          </cell>
          <cell r="G86" t="str">
            <v>2009</v>
          </cell>
          <cell r="H86" t="str">
            <v>2010</v>
          </cell>
          <cell r="I86" t="str">
            <v>2011</v>
          </cell>
          <cell r="J86" t="str">
            <v>2012</v>
          </cell>
          <cell r="K86" t="str">
            <v>2013</v>
          </cell>
          <cell r="L86" t="str">
            <v>2014</v>
          </cell>
          <cell r="M86" t="str">
            <v>2015</v>
          </cell>
          <cell r="N86" t="str">
            <v>2016</v>
          </cell>
          <cell r="O86" t="str">
            <v>2017</v>
          </cell>
          <cell r="P86" t="str">
            <v>2018</v>
          </cell>
          <cell r="Q86" t="str">
            <v>2019</v>
          </cell>
          <cell r="R86" t="str">
            <v>2020</v>
          </cell>
          <cell r="S86" t="str">
            <v>2021</v>
          </cell>
          <cell r="T86" t="str">
            <v>2022</v>
          </cell>
          <cell r="U86" t="str">
            <v>2023</v>
          </cell>
          <cell r="V86" t="str">
            <v>2024</v>
          </cell>
          <cell r="W86" t="str">
            <v>2025</v>
          </cell>
          <cell r="X86" t="str">
            <v>2026</v>
          </cell>
          <cell r="Y86" t="str">
            <v>2027</v>
          </cell>
          <cell r="Z86" t="str">
            <v>2028</v>
          </cell>
          <cell r="AA86" t="str">
            <v>2029</v>
          </cell>
          <cell r="AB86" t="str">
            <v>2030</v>
          </cell>
          <cell r="AC86" t="str">
            <v>2031</v>
          </cell>
          <cell r="AD86" t="str">
            <v>2032</v>
          </cell>
          <cell r="AE86" t="str">
            <v>2033</v>
          </cell>
          <cell r="AF86" t="str">
            <v>2034</v>
          </cell>
          <cell r="AG86" t="str">
            <v>2035</v>
          </cell>
          <cell r="AH86" t="str">
            <v>2036</v>
          </cell>
          <cell r="AI86" t="str">
            <v>2037</v>
          </cell>
          <cell r="AJ86" t="str">
            <v>2038</v>
          </cell>
          <cell r="AK86" t="str">
            <v>2039</v>
          </cell>
          <cell r="AL86" t="str">
            <v>2040</v>
          </cell>
        </row>
        <row r="87">
          <cell r="A87" t="str">
            <v>Nunavut</v>
          </cell>
          <cell r="C87">
            <v>83.79</v>
          </cell>
          <cell r="D87">
            <v>86.36</v>
          </cell>
          <cell r="E87">
            <v>85.49</v>
          </cell>
          <cell r="F87">
            <v>84.88</v>
          </cell>
          <cell r="G87">
            <v>88.16</v>
          </cell>
          <cell r="H87">
            <v>92.5</v>
          </cell>
          <cell r="I87">
            <v>88.79</v>
          </cell>
          <cell r="J87">
            <v>98.09</v>
          </cell>
          <cell r="K87">
            <v>97.87</v>
          </cell>
          <cell r="L87">
            <v>97.87</v>
          </cell>
          <cell r="M87">
            <v>98.65</v>
          </cell>
          <cell r="N87">
            <v>98.04</v>
          </cell>
          <cell r="O87">
            <v>98.81</v>
          </cell>
          <cell r="P87">
            <v>98.94</v>
          </cell>
          <cell r="Q87">
            <v>99.05</v>
          </cell>
          <cell r="R87">
            <v>99.14</v>
          </cell>
          <cell r="S87">
            <v>99.2</v>
          </cell>
          <cell r="T87">
            <v>99.25</v>
          </cell>
          <cell r="U87">
            <v>99.28</v>
          </cell>
          <cell r="V87">
            <v>99.3</v>
          </cell>
          <cell r="W87">
            <v>99.31</v>
          </cell>
          <cell r="X87">
            <v>99.3</v>
          </cell>
          <cell r="Y87">
            <v>99.29</v>
          </cell>
          <cell r="Z87">
            <v>99.27</v>
          </cell>
          <cell r="AA87">
            <v>99.25</v>
          </cell>
          <cell r="AB87">
            <v>99.23</v>
          </cell>
          <cell r="AC87">
            <v>99.2</v>
          </cell>
          <cell r="AD87">
            <v>99.18</v>
          </cell>
          <cell r="AE87">
            <v>99.16</v>
          </cell>
          <cell r="AF87">
            <v>99.15</v>
          </cell>
          <cell r="AG87">
            <v>99.15</v>
          </cell>
          <cell r="AH87">
            <v>99.15</v>
          </cell>
          <cell r="AI87">
            <v>99.17</v>
          </cell>
          <cell r="AJ87">
            <v>99.2</v>
          </cell>
          <cell r="AK87">
            <v>99.25</v>
          </cell>
          <cell r="AL87">
            <v>99.32</v>
          </cell>
        </row>
        <row r="88">
          <cell r="A88" t="str">
            <v>Nunavut</v>
          </cell>
          <cell r="C88">
            <v>15.71</v>
          </cell>
          <cell r="D88">
            <v>16.100000000000001</v>
          </cell>
          <cell r="E88">
            <v>15.74</v>
          </cell>
          <cell r="F88">
            <v>15.46</v>
          </cell>
          <cell r="G88">
            <v>15.41</v>
          </cell>
          <cell r="H88">
            <v>14.92</v>
          </cell>
          <cell r="I88">
            <v>13.77</v>
          </cell>
          <cell r="J88">
            <v>12.54</v>
          </cell>
          <cell r="K88">
            <v>12.18</v>
          </cell>
          <cell r="L88">
            <v>13.28</v>
          </cell>
          <cell r="M88">
            <v>12.25</v>
          </cell>
          <cell r="N88">
            <v>8.43</v>
          </cell>
          <cell r="O88">
            <v>8.91</v>
          </cell>
          <cell r="P88">
            <v>8.81</v>
          </cell>
          <cell r="Q88">
            <v>8.7899999999999991</v>
          </cell>
          <cell r="R88">
            <v>9.07</v>
          </cell>
          <cell r="S88">
            <v>9.2200000000000006</v>
          </cell>
          <cell r="T88">
            <v>9.36</v>
          </cell>
          <cell r="U88">
            <v>9.48</v>
          </cell>
          <cell r="V88">
            <v>9.48</v>
          </cell>
          <cell r="W88">
            <v>9.5</v>
          </cell>
          <cell r="X88">
            <v>9.58</v>
          </cell>
          <cell r="Y88">
            <v>9.66</v>
          </cell>
          <cell r="Z88">
            <v>9.75</v>
          </cell>
          <cell r="AA88">
            <v>9.85</v>
          </cell>
          <cell r="AB88">
            <v>9.94</v>
          </cell>
          <cell r="AC88">
            <v>10.039999999999999</v>
          </cell>
          <cell r="AD88">
            <v>10.16</v>
          </cell>
          <cell r="AE88">
            <v>10.28</v>
          </cell>
          <cell r="AF88">
            <v>10.34</v>
          </cell>
          <cell r="AG88">
            <v>10.41</v>
          </cell>
          <cell r="AH88">
            <v>10.46</v>
          </cell>
          <cell r="AI88">
            <v>10.5</v>
          </cell>
          <cell r="AJ88">
            <v>10.54</v>
          </cell>
          <cell r="AK88">
            <v>10.57</v>
          </cell>
          <cell r="AL88">
            <v>10.59</v>
          </cell>
        </row>
        <row r="89">
          <cell r="A89" t="str">
            <v>Nunavut</v>
          </cell>
          <cell r="C89">
            <v>26.74</v>
          </cell>
          <cell r="D89">
            <v>27.19</v>
          </cell>
          <cell r="E89">
            <v>29.89</v>
          </cell>
          <cell r="F89">
            <v>36.56</v>
          </cell>
          <cell r="G89">
            <v>26.59</v>
          </cell>
          <cell r="H89">
            <v>28.81</v>
          </cell>
          <cell r="I89">
            <v>34.630000000000003</v>
          </cell>
          <cell r="J89">
            <v>34.79</v>
          </cell>
          <cell r="K89">
            <v>33.89</v>
          </cell>
          <cell r="L89">
            <v>36.409999999999997</v>
          </cell>
          <cell r="M89">
            <v>28.29</v>
          </cell>
          <cell r="N89">
            <v>24.92</v>
          </cell>
          <cell r="O89">
            <v>27.54</v>
          </cell>
          <cell r="P89">
            <v>30.62</v>
          </cell>
          <cell r="Q89">
            <v>32.35</v>
          </cell>
          <cell r="R89">
            <v>36.33</v>
          </cell>
          <cell r="S89">
            <v>33.229999999999997</v>
          </cell>
          <cell r="T89">
            <v>31.15</v>
          </cell>
          <cell r="U89">
            <v>31.62</v>
          </cell>
          <cell r="V89">
            <v>31.44</v>
          </cell>
          <cell r="W89">
            <v>31.48</v>
          </cell>
          <cell r="X89">
            <v>31.46</v>
          </cell>
          <cell r="Y89">
            <v>31.36</v>
          </cell>
          <cell r="Z89">
            <v>31.2</v>
          </cell>
          <cell r="AA89">
            <v>31.09</v>
          </cell>
          <cell r="AB89">
            <v>30.97</v>
          </cell>
          <cell r="AC89">
            <v>30.91</v>
          </cell>
          <cell r="AD89">
            <v>30.89</v>
          </cell>
          <cell r="AE89">
            <v>30.9</v>
          </cell>
          <cell r="AF89">
            <v>30.94</v>
          </cell>
          <cell r="AG89">
            <v>30.96</v>
          </cell>
          <cell r="AH89">
            <v>30.97</v>
          </cell>
          <cell r="AI89">
            <v>30.96</v>
          </cell>
          <cell r="AJ89">
            <v>30.91</v>
          </cell>
          <cell r="AK89">
            <v>30.87</v>
          </cell>
          <cell r="AL89">
            <v>30.82</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3" Type="http://schemas.openxmlformats.org/officeDocument/2006/relationships/oleObject" Target="../embeddings/oleObject1.bin"/><Relationship Id="rId2" Type="http://schemas.openxmlformats.org/officeDocument/2006/relationships/vmlDrawing" Target="../drawings/vmlDrawing3.vml"/><Relationship Id="rId1" Type="http://schemas.openxmlformats.org/officeDocument/2006/relationships/drawing" Target="../drawings/drawing2.xml"/><Relationship Id="rId6" Type="http://schemas.openxmlformats.org/officeDocument/2006/relationships/image" Target="../media/image13.wmf"/><Relationship Id="rId5" Type="http://schemas.openxmlformats.org/officeDocument/2006/relationships/oleObject" Target="../embeddings/oleObject2.bin"/><Relationship Id="rId4" Type="http://schemas.openxmlformats.org/officeDocument/2006/relationships/image" Target="../media/image12.wmf"/></Relationships>
</file>

<file path=xl/worksheets/_rels/sheet11.xml.rels><?xml version="1.0" encoding="UTF-8" standalone="yes"?>
<Relationships xmlns="http://schemas.openxmlformats.org/package/2006/relationships"><Relationship Id="rId8" Type="http://schemas.openxmlformats.org/officeDocument/2006/relationships/printerSettings" Target="../printerSettings/printerSettings3.bin"/><Relationship Id="rId3" Type="http://schemas.openxmlformats.org/officeDocument/2006/relationships/hyperlink" Target="https://data.oecd.org/gdp/gdp-long-term-forecast.htm" TargetMode="External"/><Relationship Id="rId7" Type="http://schemas.openxmlformats.org/officeDocument/2006/relationships/hyperlink" Target="https://www150.statcan.gc.ca/t1/tbl1/en/cv.action?pid=1710000501" TargetMode="External"/><Relationship Id="rId2" Type="http://schemas.openxmlformats.org/officeDocument/2006/relationships/hyperlink" Target="https://data.oecd.org/conversion/purchasing-power-parities-ppp.htm" TargetMode="External"/><Relationship Id="rId1" Type="http://schemas.openxmlformats.org/officeDocument/2006/relationships/hyperlink" Target="https://data.oecd.org/gdp/gdp-long-term-forecast.htm" TargetMode="External"/><Relationship Id="rId6" Type="http://schemas.openxmlformats.org/officeDocument/2006/relationships/hyperlink" Target="https://www150.statcan.gc.ca/t1/tbl1/en/cv.action?pid=1710000501" TargetMode="External"/><Relationship Id="rId5" Type="http://schemas.openxmlformats.org/officeDocument/2006/relationships/hyperlink" Target="https://www150.statcan.gc.ca/t1/tbl1/en/tv.action?pid=1710005801" TargetMode="External"/><Relationship Id="rId4" Type="http://schemas.openxmlformats.org/officeDocument/2006/relationships/hyperlink" Target="https://www150.statcan.gc.ca/t1/tbl1/en/tv.action?pid=1710005801" TargetMode="Externa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8" Type="http://schemas.openxmlformats.org/officeDocument/2006/relationships/hyperlink" Target="http://oee.nrcan.gc.ca/corporate/statistics/neud/dpa/showTable.cfm?type=CP&amp;sector=res&amp;juris=ab&amp;rn=18&amp;page=2" TargetMode="External"/><Relationship Id="rId13" Type="http://schemas.openxmlformats.org/officeDocument/2006/relationships/hyperlink" Target="http://oee.nrcan.gc.ca/corporate/statistics/neud/dpa/showTable.cfm?type=CP&amp;sector=res&amp;juris=ab&amp;rn=18&amp;page=2" TargetMode="External"/><Relationship Id="rId18" Type="http://schemas.openxmlformats.org/officeDocument/2006/relationships/hyperlink" Target="http://oee.nrcan.gc.ca/corporate/statistics/neud/dpa/showTable.cfm?type=CP&amp;sector=res&amp;juris=ab&amp;rn=18&amp;page=2" TargetMode="External"/><Relationship Id="rId3" Type="http://schemas.openxmlformats.org/officeDocument/2006/relationships/hyperlink" Target="https://www12.statcan.gc.ca/census-recensement/2016/dp-pd/dt-td/Rp-eng.cfm?TABID=4&amp;LANG=E&amp;A=R&amp;APATH=3&amp;DETAIL=0&amp;DIM=0&amp;FL=A&amp;FREE=0&amp;GC=01&amp;GL=-1&amp;GID=1234492&amp;GK=1&amp;GRP=1&amp;O=D&amp;PID=109532&amp;PRID=10&amp;PTYPE=109445&amp;S=0&amp;SHOWALL=0&amp;SUB=0&amp;Temporal=2016&amp;THEME=116&amp;VID=0&amp;VNAMEE=&amp;VNAMEF=&amp;D1=0&amp;D2=0&amp;D3=0&amp;D4=0&amp;D5=0&amp;D6=0" TargetMode="External"/><Relationship Id="rId7" Type="http://schemas.openxmlformats.org/officeDocument/2006/relationships/hyperlink" Target="http://oee.nrcan.gc.ca/corporate/statistics/neud/dpa/showTable.cfm?type=CP&amp;sector=res&amp;juris=ab&amp;rn=18&amp;page=2" TargetMode="External"/><Relationship Id="rId12" Type="http://schemas.openxmlformats.org/officeDocument/2006/relationships/hyperlink" Target="http://oee.nrcan.gc.ca/corporate/statistics/neud/dpa/showTable.cfm?type=CP&amp;sector=res&amp;juris=ab&amp;rn=18&amp;page=2" TargetMode="External"/><Relationship Id="rId17" Type="http://schemas.openxmlformats.org/officeDocument/2006/relationships/hyperlink" Target="http://oee.nrcan.gc.ca/corporate/statistics/neud/dpa/showTable.cfm?type=CP&amp;sector=res&amp;juris=ab&amp;rn=18&amp;page=2" TargetMode="External"/><Relationship Id="rId2" Type="http://schemas.openxmlformats.org/officeDocument/2006/relationships/hyperlink" Target="https://www12.statcan.gc.ca/census-recensement/2016/dp-pd/dt-td/Rp-eng.cfm?TABID=4&amp;LANG=E&amp;A=R&amp;APATH=3&amp;DETAIL=0&amp;DIM=0&amp;FL=A&amp;FREE=0&amp;GC=01&amp;GL=-1&amp;GID=1234492&amp;GK=1&amp;GRP=1&amp;O=D&amp;PID=109532&amp;PRID=10&amp;PTYPE=109445&amp;S=0&amp;SHOWALL=0&amp;SUB=0&amp;Temporal=2016&amp;THEME=116&amp;VID=0&amp;VNAMEE=&amp;VNAMEF=&amp;D1=0&amp;D2=0&amp;D3=0&amp;D4=0&amp;D5=0&amp;D6=0" TargetMode="External"/><Relationship Id="rId16" Type="http://schemas.openxmlformats.org/officeDocument/2006/relationships/hyperlink" Target="http://oee.nrcan.gc.ca/corporate/statistics/neud/dpa/showTable.cfm?type=CP&amp;sector=res&amp;juris=ab&amp;rn=18&amp;page=2" TargetMode="External"/><Relationship Id="rId20" Type="http://schemas.openxmlformats.org/officeDocument/2006/relationships/printerSettings" Target="../printerSettings/printerSettings5.bin"/><Relationship Id="rId1" Type="http://schemas.openxmlformats.org/officeDocument/2006/relationships/hyperlink" Target="http://oee.nrcan.gc.ca/corporate/statistics/neud/dpa/showTable.cfm?type=CP&amp;sector=res&amp;juris=ab&amp;rn=18&amp;page=2" TargetMode="External"/><Relationship Id="rId6" Type="http://schemas.openxmlformats.org/officeDocument/2006/relationships/hyperlink" Target="http://oee.nrcan.gc.ca/corporate/statistics/neud/dpa/showTable.cfm?type=CP&amp;sector=res&amp;juris=ab&amp;rn=18&amp;page=2" TargetMode="External"/><Relationship Id="rId11" Type="http://schemas.openxmlformats.org/officeDocument/2006/relationships/hyperlink" Target="https://www12.statcan.gc.ca/census-recensement/2016/dp-pd/dt-td/Rp-eng.cfm?TABID=4&amp;LANG=E&amp;A=R&amp;APATH=3&amp;DETAIL=0&amp;DIM=0&amp;FL=A&amp;FREE=0&amp;GC=01&amp;GL=-1&amp;GID=1234492&amp;GK=1&amp;GRP=1&amp;O=D&amp;PID=109532&amp;PRID=10&amp;PTYPE=109445&amp;S=0&amp;SHOWALL=0&amp;SUB=0&amp;Temporal=2016&amp;THEME=116&amp;VID=0&amp;VNAMEE=&amp;VNAMEF=&amp;D1=0&amp;D2=0&amp;D3=0&amp;D4=0&amp;D5=0&amp;D6=0" TargetMode="External"/><Relationship Id="rId5" Type="http://schemas.openxmlformats.org/officeDocument/2006/relationships/hyperlink" Target="http://oee.nrcan.gc.ca/corporate/statistics/neud/dpa/showTable.cfm?type=CP&amp;sector=res&amp;juris=ab&amp;rn=18&amp;page=2" TargetMode="External"/><Relationship Id="rId15" Type="http://schemas.openxmlformats.org/officeDocument/2006/relationships/hyperlink" Target="http://oee.nrcan.gc.ca/corporate/statistics/neud/dpa/showTable.cfm?type=CP&amp;sector=res&amp;juris=ab&amp;rn=18&amp;page=2" TargetMode="External"/><Relationship Id="rId10" Type="http://schemas.openxmlformats.org/officeDocument/2006/relationships/hyperlink" Target="http://oee.nrcan.gc.ca/corporate/statistics/neud/dpa/showTable.cfm?type=CP&amp;sector=res&amp;juris=ab&amp;rn=18&amp;page=2" TargetMode="External"/><Relationship Id="rId19" Type="http://schemas.openxmlformats.org/officeDocument/2006/relationships/hyperlink" Target="http://oee.nrcan.gc.ca/corporate/statistics/neud/dpa/showTable.cfm?type=CP&amp;sector=res&amp;juris=ab&amp;rn=18&amp;page=2" TargetMode="External"/><Relationship Id="rId4" Type="http://schemas.openxmlformats.org/officeDocument/2006/relationships/hyperlink" Target="http://oee.nrcan.gc.ca/corporate/statistics/neud/dpa/showTable.cfm?type=CP&amp;sector=res&amp;juris=ab&amp;rn=18&amp;page=2" TargetMode="External"/><Relationship Id="rId9" Type="http://schemas.openxmlformats.org/officeDocument/2006/relationships/hyperlink" Target="http://oee.nrcan.gc.ca/corporate/statistics/neud/dpa/showTable.cfm?type=CP&amp;sector=res&amp;juris=ab&amp;rn=18&amp;page=2" TargetMode="External"/><Relationship Id="rId14" Type="http://schemas.openxmlformats.org/officeDocument/2006/relationships/hyperlink" Target="http://oee.nrcan.gc.ca/corporate/statistics/neud/dpa/showTable.cfm?type=CP&amp;sector=res&amp;juris=ab&amp;rn=18&amp;page=2" TargetMode="Externa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E4968E-BAF9-4632-816F-40DE6B95FF25}">
  <sheetPr codeName="Sheet5">
    <tabColor rgb="FFFF0000"/>
  </sheetPr>
  <dimension ref="A1:C65"/>
  <sheetViews>
    <sheetView zoomScale="70" zoomScaleNormal="70" workbookViewId="0">
      <pane xSplit="1" ySplit="1" topLeftCell="B2" activePane="bottomRight" state="frozen"/>
      <selection pane="topRight" activeCell="B1" sqref="B1"/>
      <selection pane="bottomLeft" activeCell="A2" sqref="A2"/>
      <selection pane="bottomRight" activeCell="B6" sqref="B6"/>
    </sheetView>
    <sheetView zoomScale="70" zoomScaleNormal="70" workbookViewId="1"/>
  </sheetViews>
  <sheetFormatPr defaultRowHeight="15" x14ac:dyDescent="0.25"/>
  <cols>
    <col min="1" max="1" width="3" style="124" bestFit="1" customWidth="1"/>
    <col min="2" max="2" width="160.42578125" style="124" customWidth="1"/>
    <col min="3" max="3" width="141.140625" style="124" customWidth="1"/>
    <col min="4" max="16384" width="9.140625" style="124"/>
  </cols>
  <sheetData>
    <row r="1" spans="1:3" s="188" customFormat="1" x14ac:dyDescent="0.25">
      <c r="B1" s="188" t="s">
        <v>264</v>
      </c>
      <c r="C1" s="188" t="s">
        <v>261</v>
      </c>
    </row>
    <row r="2" spans="1:3" ht="30" x14ac:dyDescent="0.25">
      <c r="A2" s="124">
        <v>1</v>
      </c>
      <c r="B2" s="124" t="s">
        <v>260</v>
      </c>
    </row>
    <row r="3" spans="1:3" ht="30" x14ac:dyDescent="0.25">
      <c r="A3" s="124">
        <v>2</v>
      </c>
      <c r="B3" s="124" t="s">
        <v>308</v>
      </c>
    </row>
    <row r="4" spans="1:3" ht="75" x14ac:dyDescent="0.25">
      <c r="A4" s="124">
        <v>3</v>
      </c>
      <c r="B4" s="124" t="s">
        <v>262</v>
      </c>
    </row>
    <row r="5" spans="1:3" x14ac:dyDescent="0.25">
      <c r="A5" s="124">
        <v>4</v>
      </c>
      <c r="B5" s="124" t="s">
        <v>263</v>
      </c>
    </row>
    <row r="6" spans="1:3" ht="30" x14ac:dyDescent="0.25">
      <c r="A6" s="124">
        <v>5</v>
      </c>
      <c r="B6" s="124" t="s">
        <v>307</v>
      </c>
      <c r="C6" s="124" t="s">
        <v>404</v>
      </c>
    </row>
    <row r="7" spans="1:3" ht="30" x14ac:dyDescent="0.25">
      <c r="A7" s="124">
        <v>6</v>
      </c>
      <c r="B7" s="124" t="s">
        <v>315</v>
      </c>
    </row>
    <row r="8" spans="1:3" x14ac:dyDescent="0.25">
      <c r="A8" s="124">
        <v>7</v>
      </c>
      <c r="B8" s="124" t="s">
        <v>316</v>
      </c>
    </row>
    <row r="9" spans="1:3" x14ac:dyDescent="0.25">
      <c r="A9" s="124">
        <v>8</v>
      </c>
      <c r="B9" s="124" t="s">
        <v>317</v>
      </c>
    </row>
    <row r="10" spans="1:3" x14ac:dyDescent="0.25">
      <c r="A10" s="124">
        <v>9</v>
      </c>
      <c r="B10" s="124" t="s">
        <v>403</v>
      </c>
    </row>
    <row r="11" spans="1:3" x14ac:dyDescent="0.25">
      <c r="A11" s="124">
        <v>10</v>
      </c>
    </row>
    <row r="12" spans="1:3" x14ac:dyDescent="0.25">
      <c r="A12" s="124">
        <v>11</v>
      </c>
    </row>
    <row r="13" spans="1:3" x14ac:dyDescent="0.25">
      <c r="A13" s="124">
        <v>12</v>
      </c>
    </row>
    <row r="14" spans="1:3" x14ac:dyDescent="0.25">
      <c r="A14" s="124">
        <v>13</v>
      </c>
    </row>
    <row r="15" spans="1:3" x14ac:dyDescent="0.25">
      <c r="A15" s="124">
        <v>14</v>
      </c>
    </row>
    <row r="16" spans="1:3" x14ac:dyDescent="0.25">
      <c r="A16" s="124">
        <v>15</v>
      </c>
    </row>
    <row r="17" spans="1:1" x14ac:dyDescent="0.25">
      <c r="A17" s="124">
        <v>16</v>
      </c>
    </row>
    <row r="18" spans="1:1" x14ac:dyDescent="0.25">
      <c r="A18" s="124">
        <v>17</v>
      </c>
    </row>
    <row r="19" spans="1:1" x14ac:dyDescent="0.25">
      <c r="A19" s="124">
        <v>18</v>
      </c>
    </row>
    <row r="20" spans="1:1" x14ac:dyDescent="0.25">
      <c r="A20" s="124">
        <v>19</v>
      </c>
    </row>
    <row r="21" spans="1:1" x14ac:dyDescent="0.25">
      <c r="A21" s="124">
        <v>20</v>
      </c>
    </row>
    <row r="22" spans="1:1" x14ac:dyDescent="0.25">
      <c r="A22" s="124">
        <v>21</v>
      </c>
    </row>
    <row r="23" spans="1:1" x14ac:dyDescent="0.25">
      <c r="A23" s="124">
        <v>22</v>
      </c>
    </row>
    <row r="24" spans="1:1" x14ac:dyDescent="0.25">
      <c r="A24" s="124">
        <v>23</v>
      </c>
    </row>
    <row r="25" spans="1:1" x14ac:dyDescent="0.25">
      <c r="A25" s="124">
        <v>24</v>
      </c>
    </row>
    <row r="26" spans="1:1" x14ac:dyDescent="0.25">
      <c r="A26" s="124">
        <v>25</v>
      </c>
    </row>
    <row r="27" spans="1:1" x14ac:dyDescent="0.25">
      <c r="A27" s="124">
        <v>26</v>
      </c>
    </row>
    <row r="28" spans="1:1" x14ac:dyDescent="0.25">
      <c r="A28" s="124">
        <v>27</v>
      </c>
    </row>
    <row r="29" spans="1:1" x14ac:dyDescent="0.25">
      <c r="A29" s="124">
        <v>28</v>
      </c>
    </row>
    <row r="30" spans="1:1" x14ac:dyDescent="0.25">
      <c r="A30" s="124">
        <v>29</v>
      </c>
    </row>
    <row r="31" spans="1:1" x14ac:dyDescent="0.25">
      <c r="A31" s="124">
        <v>30</v>
      </c>
    </row>
    <row r="35" spans="1:3" s="188" customFormat="1" x14ac:dyDescent="0.25">
      <c r="B35" s="188" t="s">
        <v>265</v>
      </c>
      <c r="C35" s="188" t="s">
        <v>261</v>
      </c>
    </row>
    <row r="36" spans="1:3" x14ac:dyDescent="0.25">
      <c r="A36" s="124">
        <v>1</v>
      </c>
      <c r="B36" s="124" t="s">
        <v>341</v>
      </c>
    </row>
    <row r="37" spans="1:3" x14ac:dyDescent="0.25">
      <c r="A37" s="124">
        <v>2</v>
      </c>
      <c r="B37" s="124" t="s">
        <v>342</v>
      </c>
    </row>
    <row r="38" spans="1:3" x14ac:dyDescent="0.25">
      <c r="A38" s="124">
        <v>3</v>
      </c>
      <c r="B38" s="124" t="s">
        <v>347</v>
      </c>
    </row>
    <row r="39" spans="1:3" x14ac:dyDescent="0.25">
      <c r="A39" s="124">
        <v>4</v>
      </c>
    </row>
    <row r="40" spans="1:3" x14ac:dyDescent="0.25">
      <c r="A40" s="124">
        <v>5</v>
      </c>
    </row>
    <row r="41" spans="1:3" x14ac:dyDescent="0.25">
      <c r="A41" s="124">
        <v>6</v>
      </c>
    </row>
    <row r="42" spans="1:3" x14ac:dyDescent="0.25">
      <c r="A42" s="124">
        <v>7</v>
      </c>
    </row>
    <row r="43" spans="1:3" x14ac:dyDescent="0.25">
      <c r="A43" s="124">
        <v>8</v>
      </c>
    </row>
    <row r="44" spans="1:3" x14ac:dyDescent="0.25">
      <c r="A44" s="124">
        <v>9</v>
      </c>
    </row>
    <row r="45" spans="1:3" x14ac:dyDescent="0.25">
      <c r="A45" s="124">
        <v>10</v>
      </c>
    </row>
    <row r="46" spans="1:3" x14ac:dyDescent="0.25">
      <c r="A46" s="124">
        <v>11</v>
      </c>
    </row>
    <row r="47" spans="1:3" x14ac:dyDescent="0.25">
      <c r="A47" s="124">
        <v>12</v>
      </c>
    </row>
    <row r="48" spans="1:3" x14ac:dyDescent="0.25">
      <c r="A48" s="124">
        <v>13</v>
      </c>
    </row>
    <row r="49" spans="1:1" x14ac:dyDescent="0.25">
      <c r="A49" s="124">
        <v>14</v>
      </c>
    </row>
    <row r="50" spans="1:1" x14ac:dyDescent="0.25">
      <c r="A50" s="124">
        <v>15</v>
      </c>
    </row>
    <row r="51" spans="1:1" x14ac:dyDescent="0.25">
      <c r="A51" s="124">
        <v>16</v>
      </c>
    </row>
    <row r="52" spans="1:1" x14ac:dyDescent="0.25">
      <c r="A52" s="124">
        <v>17</v>
      </c>
    </row>
    <row r="53" spans="1:1" x14ac:dyDescent="0.25">
      <c r="A53" s="124">
        <v>18</v>
      </c>
    </row>
    <row r="54" spans="1:1" x14ac:dyDescent="0.25">
      <c r="A54" s="124">
        <v>19</v>
      </c>
    </row>
    <row r="55" spans="1:1" x14ac:dyDescent="0.25">
      <c r="A55" s="124">
        <v>20</v>
      </c>
    </row>
    <row r="56" spans="1:1" x14ac:dyDescent="0.25">
      <c r="A56" s="124">
        <v>21</v>
      </c>
    </row>
    <row r="57" spans="1:1" x14ac:dyDescent="0.25">
      <c r="A57" s="124">
        <v>22</v>
      </c>
    </row>
    <row r="58" spans="1:1" x14ac:dyDescent="0.25">
      <c r="A58" s="124">
        <v>23</v>
      </c>
    </row>
    <row r="59" spans="1:1" x14ac:dyDescent="0.25">
      <c r="A59" s="124">
        <v>24</v>
      </c>
    </row>
    <row r="60" spans="1:1" x14ac:dyDescent="0.25">
      <c r="A60" s="124">
        <v>25</v>
      </c>
    </row>
    <row r="61" spans="1:1" x14ac:dyDescent="0.25">
      <c r="A61" s="124">
        <v>26</v>
      </c>
    </row>
    <row r="62" spans="1:1" x14ac:dyDescent="0.25">
      <c r="A62" s="124">
        <v>27</v>
      </c>
    </row>
    <row r="63" spans="1:1" x14ac:dyDescent="0.25">
      <c r="A63" s="124">
        <v>28</v>
      </c>
    </row>
    <row r="64" spans="1:1" x14ac:dyDescent="0.25">
      <c r="A64" s="124">
        <v>29</v>
      </c>
    </row>
    <row r="65" spans="1:1" x14ac:dyDescent="0.25">
      <c r="A65" s="124">
        <v>30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A1C5BF-FF57-4E1A-A544-556E2E334E42}">
  <sheetPr codeName="Sheet14">
    <tabColor rgb="FFFF0000"/>
    <outlinePr summaryBelow="0" summaryRight="0"/>
  </sheetPr>
  <dimension ref="A2:N139"/>
  <sheetViews>
    <sheetView topLeftCell="A100" zoomScale="70" zoomScaleNormal="70" workbookViewId="0">
      <selection activeCell="A116" sqref="A116"/>
    </sheetView>
    <sheetView zoomScale="70" zoomScaleNormal="70" workbookViewId="1"/>
  </sheetViews>
  <sheetFormatPr defaultRowHeight="15" outlineLevelRow="1" x14ac:dyDescent="0.25"/>
  <cols>
    <col min="1" max="1" width="23.42578125" style="287" bestFit="1" customWidth="1"/>
    <col min="2" max="16384" width="9.140625" style="68"/>
  </cols>
  <sheetData>
    <row r="2" spans="1:1" x14ac:dyDescent="0.25">
      <c r="A2" s="287" t="s">
        <v>421</v>
      </c>
    </row>
    <row r="3" spans="1:1" outlineLevel="1" x14ac:dyDescent="0.25"/>
    <row r="4" spans="1:1" outlineLevel="1" x14ac:dyDescent="0.25"/>
    <row r="5" spans="1:1" outlineLevel="1" x14ac:dyDescent="0.25"/>
    <row r="6" spans="1:1" outlineLevel="1" x14ac:dyDescent="0.25"/>
    <row r="7" spans="1:1" outlineLevel="1" x14ac:dyDescent="0.25"/>
    <row r="8" spans="1:1" outlineLevel="1" x14ac:dyDescent="0.25"/>
    <row r="9" spans="1:1" outlineLevel="1" x14ac:dyDescent="0.25"/>
    <row r="10" spans="1:1" outlineLevel="1" x14ac:dyDescent="0.25"/>
    <row r="11" spans="1:1" outlineLevel="1" x14ac:dyDescent="0.25"/>
    <row r="12" spans="1:1" outlineLevel="1" x14ac:dyDescent="0.25"/>
    <row r="14" spans="1:1" x14ac:dyDescent="0.25">
      <c r="A14" s="287" t="s">
        <v>422</v>
      </c>
    </row>
    <row r="15" spans="1:1" outlineLevel="1" x14ac:dyDescent="0.25"/>
    <row r="16" spans="1:1" outlineLevel="1" x14ac:dyDescent="0.25"/>
    <row r="17" spans="1:1" outlineLevel="1" x14ac:dyDescent="0.25"/>
    <row r="18" spans="1:1" outlineLevel="1" x14ac:dyDescent="0.25"/>
    <row r="19" spans="1:1" outlineLevel="1" x14ac:dyDescent="0.25"/>
    <row r="20" spans="1:1" outlineLevel="1" x14ac:dyDescent="0.25"/>
    <row r="21" spans="1:1" outlineLevel="1" x14ac:dyDescent="0.25"/>
    <row r="22" spans="1:1" outlineLevel="1" x14ac:dyDescent="0.25"/>
    <row r="23" spans="1:1" outlineLevel="1" x14ac:dyDescent="0.25"/>
    <row r="24" spans="1:1" outlineLevel="1" x14ac:dyDescent="0.25"/>
    <row r="25" spans="1:1" outlineLevel="1" x14ac:dyDescent="0.25"/>
    <row r="27" spans="1:1" x14ac:dyDescent="0.25">
      <c r="A27" s="287" t="s">
        <v>423</v>
      </c>
    </row>
    <row r="28" spans="1:1" outlineLevel="1" x14ac:dyDescent="0.25"/>
    <row r="29" spans="1:1" outlineLevel="1" x14ac:dyDescent="0.25"/>
    <row r="30" spans="1:1" outlineLevel="1" x14ac:dyDescent="0.25"/>
    <row r="31" spans="1:1" outlineLevel="1" x14ac:dyDescent="0.25"/>
    <row r="32" spans="1:1" outlineLevel="1" x14ac:dyDescent="0.25"/>
    <row r="33" spans="1:1" outlineLevel="1" x14ac:dyDescent="0.25"/>
    <row r="34" spans="1:1" outlineLevel="1" x14ac:dyDescent="0.25"/>
    <row r="35" spans="1:1" outlineLevel="1" x14ac:dyDescent="0.25"/>
    <row r="36" spans="1:1" outlineLevel="1" x14ac:dyDescent="0.25"/>
    <row r="37" spans="1:1" outlineLevel="1" x14ac:dyDescent="0.25"/>
    <row r="38" spans="1:1" outlineLevel="1" x14ac:dyDescent="0.25"/>
    <row r="39" spans="1:1" outlineLevel="1" x14ac:dyDescent="0.25"/>
    <row r="40" spans="1:1" outlineLevel="1" x14ac:dyDescent="0.25"/>
    <row r="41" spans="1:1" outlineLevel="1" x14ac:dyDescent="0.25"/>
    <row r="42" spans="1:1" outlineLevel="1" x14ac:dyDescent="0.25"/>
    <row r="43" spans="1:1" outlineLevel="1" x14ac:dyDescent="0.25"/>
    <row r="44" spans="1:1" outlineLevel="1" x14ac:dyDescent="0.25"/>
    <row r="45" spans="1:1" outlineLevel="1" x14ac:dyDescent="0.25"/>
    <row r="46" spans="1:1" outlineLevel="1" x14ac:dyDescent="0.25"/>
    <row r="48" spans="1:1" x14ac:dyDescent="0.25">
      <c r="A48" s="287" t="s">
        <v>75</v>
      </c>
    </row>
    <row r="49" spans="1:1" outlineLevel="1" x14ac:dyDescent="0.25"/>
    <row r="50" spans="1:1" outlineLevel="1" x14ac:dyDescent="0.25"/>
    <row r="51" spans="1:1" outlineLevel="1" x14ac:dyDescent="0.25"/>
    <row r="52" spans="1:1" outlineLevel="1" x14ac:dyDescent="0.25"/>
    <row r="53" spans="1:1" outlineLevel="1" x14ac:dyDescent="0.25"/>
    <row r="54" spans="1:1" outlineLevel="1" x14ac:dyDescent="0.25"/>
    <row r="55" spans="1:1" outlineLevel="1" x14ac:dyDescent="0.25"/>
    <row r="56" spans="1:1" outlineLevel="1" x14ac:dyDescent="0.25"/>
    <row r="57" spans="1:1" outlineLevel="1" x14ac:dyDescent="0.25"/>
    <row r="58" spans="1:1" outlineLevel="1" x14ac:dyDescent="0.25"/>
    <row r="60" spans="1:1" x14ac:dyDescent="0.25">
      <c r="A60" s="287" t="s">
        <v>429</v>
      </c>
    </row>
    <row r="61" spans="1:1" outlineLevel="1" x14ac:dyDescent="0.25"/>
    <row r="62" spans="1:1" outlineLevel="1" x14ac:dyDescent="0.25"/>
    <row r="63" spans="1:1" outlineLevel="1" x14ac:dyDescent="0.25"/>
    <row r="64" spans="1:1" outlineLevel="1" x14ac:dyDescent="0.25"/>
    <row r="65" spans="1:14" outlineLevel="1" x14ac:dyDescent="0.25"/>
    <row r="66" spans="1:14" outlineLevel="1" x14ac:dyDescent="0.25"/>
    <row r="67" spans="1:14" outlineLevel="1" x14ac:dyDescent="0.25"/>
    <row r="68" spans="1:14" outlineLevel="1" x14ac:dyDescent="0.25"/>
    <row r="70" spans="1:14" x14ac:dyDescent="0.25">
      <c r="A70" s="287" t="s">
        <v>152</v>
      </c>
    </row>
    <row r="71" spans="1:14" outlineLevel="1" x14ac:dyDescent="0.25"/>
    <row r="72" spans="1:14" outlineLevel="1" x14ac:dyDescent="0.25">
      <c r="M72" s="337" t="s">
        <v>440</v>
      </c>
      <c r="N72" s="337"/>
    </row>
    <row r="73" spans="1:14" outlineLevel="1" x14ac:dyDescent="0.25"/>
    <row r="74" spans="1:14" outlineLevel="1" x14ac:dyDescent="0.25"/>
    <row r="75" spans="1:14" outlineLevel="1" x14ac:dyDescent="0.25"/>
    <row r="76" spans="1:14" outlineLevel="1" x14ac:dyDescent="0.25"/>
    <row r="77" spans="1:14" outlineLevel="1" x14ac:dyDescent="0.25"/>
    <row r="78" spans="1:14" outlineLevel="1" x14ac:dyDescent="0.25"/>
    <row r="79" spans="1:14" outlineLevel="1" x14ac:dyDescent="0.25"/>
    <row r="80" spans="1:14" outlineLevel="1" x14ac:dyDescent="0.25"/>
    <row r="82" spans="1:13" x14ac:dyDescent="0.25">
      <c r="A82" s="287" t="s">
        <v>430</v>
      </c>
    </row>
    <row r="83" spans="1:13" outlineLevel="1" x14ac:dyDescent="0.25"/>
    <row r="84" spans="1:13" outlineLevel="1" x14ac:dyDescent="0.25"/>
    <row r="85" spans="1:13" outlineLevel="1" x14ac:dyDescent="0.25"/>
    <row r="86" spans="1:13" outlineLevel="1" x14ac:dyDescent="0.25"/>
    <row r="87" spans="1:13" outlineLevel="1" x14ac:dyDescent="0.25"/>
    <row r="88" spans="1:13" outlineLevel="1" x14ac:dyDescent="0.25"/>
    <row r="89" spans="1:13" outlineLevel="1" x14ac:dyDescent="0.25"/>
    <row r="91" spans="1:13" x14ac:dyDescent="0.25">
      <c r="A91" s="287" t="s">
        <v>431</v>
      </c>
    </row>
    <row r="92" spans="1:13" outlineLevel="1" x14ac:dyDescent="0.25">
      <c r="M92" s="68" t="s">
        <v>435</v>
      </c>
    </row>
    <row r="93" spans="1:13" outlineLevel="1" x14ac:dyDescent="0.25"/>
    <row r="94" spans="1:13" outlineLevel="1" x14ac:dyDescent="0.25"/>
    <row r="95" spans="1:13" outlineLevel="1" x14ac:dyDescent="0.25"/>
    <row r="96" spans="1:13" outlineLevel="1" x14ac:dyDescent="0.25"/>
    <row r="97" spans="1:1" outlineLevel="1" x14ac:dyDescent="0.25"/>
    <row r="98" spans="1:1" outlineLevel="1" x14ac:dyDescent="0.25"/>
    <row r="99" spans="1:1" outlineLevel="1" x14ac:dyDescent="0.25"/>
    <row r="101" spans="1:1" x14ac:dyDescent="0.25">
      <c r="A101" s="287" t="s">
        <v>432</v>
      </c>
    </row>
    <row r="102" spans="1:1" outlineLevel="1" x14ac:dyDescent="0.25"/>
    <row r="103" spans="1:1" outlineLevel="1" x14ac:dyDescent="0.25"/>
    <row r="104" spans="1:1" outlineLevel="1" x14ac:dyDescent="0.25"/>
    <row r="105" spans="1:1" outlineLevel="1" x14ac:dyDescent="0.25"/>
    <row r="106" spans="1:1" outlineLevel="1" x14ac:dyDescent="0.25"/>
    <row r="107" spans="1:1" outlineLevel="1" x14ac:dyDescent="0.25"/>
    <row r="108" spans="1:1" outlineLevel="1" x14ac:dyDescent="0.25"/>
    <row r="109" spans="1:1" outlineLevel="1" x14ac:dyDescent="0.25"/>
    <row r="110" spans="1:1" outlineLevel="1" x14ac:dyDescent="0.25"/>
    <row r="111" spans="1:1" outlineLevel="1" x14ac:dyDescent="0.25"/>
    <row r="112" spans="1:1" outlineLevel="1" x14ac:dyDescent="0.25"/>
    <row r="113" spans="1:1" outlineLevel="1" x14ac:dyDescent="0.25"/>
    <row r="115" spans="1:1" x14ac:dyDescent="0.25">
      <c r="A115" s="287" t="s">
        <v>448</v>
      </c>
    </row>
    <row r="116" spans="1:1" outlineLevel="1" x14ac:dyDescent="0.25"/>
    <row r="117" spans="1:1" outlineLevel="1" x14ac:dyDescent="0.25"/>
    <row r="118" spans="1:1" outlineLevel="1" x14ac:dyDescent="0.25"/>
    <row r="119" spans="1:1" outlineLevel="1" x14ac:dyDescent="0.25"/>
    <row r="120" spans="1:1" outlineLevel="1" x14ac:dyDescent="0.25"/>
    <row r="121" spans="1:1" outlineLevel="1" x14ac:dyDescent="0.25"/>
    <row r="127" spans="1:1" x14ac:dyDescent="0.25">
      <c r="A127" s="287" t="s">
        <v>433</v>
      </c>
    </row>
    <row r="139" spans="1:1" x14ac:dyDescent="0.25">
      <c r="A139" s="327" t="s">
        <v>434</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C449E9-551D-4918-9891-B804DE91249B}">
  <sheetPr codeName="Sheet7">
    <tabColor theme="1" tint="0.499984740745262"/>
    <outlinePr summaryBelow="0" summaryRight="0"/>
  </sheetPr>
  <dimension ref="A1:L8"/>
  <sheetViews>
    <sheetView tabSelected="1" zoomScale="70" zoomScaleNormal="70" workbookViewId="0">
      <pane ySplit="1" topLeftCell="A2" activePane="bottomLeft" state="frozen"/>
      <selection pane="bottomLeft" activeCell="B2" sqref="B2"/>
    </sheetView>
    <sheetView zoomScale="70" zoomScaleNormal="70" workbookViewId="1">
      <selection activeCell="B7" sqref="B7"/>
    </sheetView>
  </sheetViews>
  <sheetFormatPr defaultRowHeight="15" x14ac:dyDescent="0.25"/>
  <cols>
    <col min="1" max="1" width="20" style="68" bestFit="1" customWidth="1"/>
    <col min="2" max="2" width="46.42578125" style="69" customWidth="1"/>
    <col min="3" max="3" width="3.140625" style="68" customWidth="1"/>
    <col min="4" max="4" width="16.5703125" style="68" bestFit="1" customWidth="1"/>
    <col min="5" max="5" width="11.85546875" style="68" customWidth="1"/>
    <col min="6" max="6" width="3.140625" style="68" customWidth="1"/>
    <col min="7" max="7" width="22" style="68" bestFit="1" customWidth="1"/>
    <col min="8" max="8" width="11.85546875" style="68" customWidth="1"/>
    <col min="9" max="9" width="3.140625" style="68" customWidth="1"/>
    <col min="10" max="10" width="12.140625" style="68" bestFit="1" customWidth="1"/>
    <col min="11" max="11" width="3.140625" style="68" customWidth="1"/>
    <col min="12" max="12" width="9.140625" style="68"/>
    <col min="13" max="13" width="3.140625" style="68" customWidth="1"/>
    <col min="14" max="16384" width="9.140625" style="68"/>
  </cols>
  <sheetData>
    <row r="1" spans="1:12" s="265" customFormat="1" ht="30" x14ac:dyDescent="0.25">
      <c r="A1" s="265" t="s">
        <v>116</v>
      </c>
      <c r="B1" s="265" t="s">
        <v>115</v>
      </c>
      <c r="D1" s="265" t="s">
        <v>59</v>
      </c>
      <c r="E1" s="265" t="s">
        <v>60</v>
      </c>
      <c r="G1" s="265" t="s">
        <v>56</v>
      </c>
      <c r="H1" s="265" t="s">
        <v>110</v>
      </c>
      <c r="J1" s="265" t="s">
        <v>57</v>
      </c>
      <c r="L1" s="265" t="s">
        <v>55</v>
      </c>
    </row>
    <row r="2" spans="1:12" ht="45" x14ac:dyDescent="0.25">
      <c r="A2" s="68" t="s">
        <v>22</v>
      </c>
      <c r="B2" s="69" t="s">
        <v>455</v>
      </c>
      <c r="D2" s="68" t="s">
        <v>48</v>
      </c>
      <c r="E2" s="68" t="s">
        <v>62</v>
      </c>
      <c r="G2" s="68" t="s">
        <v>0</v>
      </c>
      <c r="H2" s="68" t="s">
        <v>111</v>
      </c>
      <c r="J2" s="68" t="s">
        <v>2</v>
      </c>
      <c r="L2" s="68" t="s">
        <v>17</v>
      </c>
    </row>
    <row r="3" spans="1:12" ht="30" x14ac:dyDescent="0.25">
      <c r="A3" s="68" t="s">
        <v>167</v>
      </c>
      <c r="B3" s="69" t="s">
        <v>454</v>
      </c>
      <c r="D3" s="68" t="s">
        <v>5</v>
      </c>
      <c r="E3" s="68" t="s">
        <v>63</v>
      </c>
      <c r="G3" s="68" t="s">
        <v>58</v>
      </c>
      <c r="H3" s="68" t="s">
        <v>111</v>
      </c>
      <c r="J3" s="68" t="s">
        <v>14</v>
      </c>
      <c r="L3" s="68" t="s">
        <v>18</v>
      </c>
    </row>
    <row r="4" spans="1:12" ht="60" x14ac:dyDescent="0.25">
      <c r="A4" s="68" t="s">
        <v>21</v>
      </c>
      <c r="B4" s="69" t="s">
        <v>168</v>
      </c>
      <c r="D4" s="68" t="s">
        <v>61</v>
      </c>
      <c r="E4" s="68" t="s">
        <v>64</v>
      </c>
      <c r="G4" s="68" t="s">
        <v>2</v>
      </c>
      <c r="H4" s="68" t="s">
        <v>112</v>
      </c>
      <c r="L4" s="68" t="s">
        <v>19</v>
      </c>
    </row>
    <row r="5" spans="1:12" ht="30" x14ac:dyDescent="0.25">
      <c r="A5" s="68" t="s">
        <v>65</v>
      </c>
      <c r="B5" s="69" t="s">
        <v>169</v>
      </c>
      <c r="G5" s="68" t="s">
        <v>14</v>
      </c>
      <c r="H5" s="68" t="s">
        <v>112</v>
      </c>
    </row>
    <row r="6" spans="1:12" ht="75" x14ac:dyDescent="0.25">
      <c r="A6" s="68" t="s">
        <v>456</v>
      </c>
      <c r="B6" s="69" t="s">
        <v>457</v>
      </c>
      <c r="G6" s="68" t="s">
        <v>253</v>
      </c>
      <c r="H6" s="68" t="s">
        <v>112</v>
      </c>
    </row>
    <row r="7" spans="1:12" x14ac:dyDescent="0.25">
      <c r="G7" s="68" t="s">
        <v>172</v>
      </c>
      <c r="H7" s="68" t="s">
        <v>112</v>
      </c>
    </row>
    <row r="8" spans="1:12" x14ac:dyDescent="0.25">
      <c r="G8" s="68" t="s">
        <v>419</v>
      </c>
      <c r="H8" s="68" t="s">
        <v>112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97C95F-DDDB-4315-BFAB-254A90680195}">
  <sheetPr codeName="Sheet9">
    <tabColor theme="1" tint="0.499984740745262"/>
  </sheetPr>
  <dimension ref="A1:G6"/>
  <sheetViews>
    <sheetView zoomScale="70" zoomScaleNormal="70" workbookViewId="0">
      <pane ySplit="2" topLeftCell="A3" activePane="bottomLeft" state="frozen"/>
      <selection pane="bottomLeft" activeCell="A7" sqref="A7"/>
    </sheetView>
    <sheetView zoomScale="70" zoomScaleNormal="70" workbookViewId="1">
      <selection sqref="A1:B1"/>
    </sheetView>
  </sheetViews>
  <sheetFormatPr defaultRowHeight="15" x14ac:dyDescent="0.25"/>
  <cols>
    <col min="1" max="1" width="26.7109375" bestFit="1" customWidth="1"/>
    <col min="2" max="2" width="22" bestFit="1" customWidth="1"/>
    <col min="3" max="3" width="2.7109375" style="195" customWidth="1"/>
    <col min="4" max="4" width="20.5703125" customWidth="1"/>
    <col min="6" max="6" width="2.7109375" style="195" customWidth="1"/>
    <col min="7" max="7" width="11.140625" bestFit="1" customWidth="1"/>
  </cols>
  <sheetData>
    <row r="1" spans="1:7" s="264" customFormat="1" x14ac:dyDescent="0.25">
      <c r="A1" s="362" t="s">
        <v>284</v>
      </c>
      <c r="B1" s="362"/>
      <c r="C1" s="20"/>
      <c r="D1" s="362" t="s">
        <v>285</v>
      </c>
      <c r="E1" s="362"/>
      <c r="F1" s="20"/>
      <c r="G1" s="264" t="s">
        <v>286</v>
      </c>
    </row>
    <row r="2" spans="1:7" s="264" customFormat="1" x14ac:dyDescent="0.25">
      <c r="A2" s="264" t="s">
        <v>287</v>
      </c>
      <c r="B2" s="264" t="s">
        <v>16</v>
      </c>
      <c r="C2" s="20"/>
      <c r="D2" s="264" t="s">
        <v>287</v>
      </c>
      <c r="E2" s="264" t="s">
        <v>16</v>
      </c>
      <c r="F2" s="20"/>
    </row>
    <row r="3" spans="1:7" x14ac:dyDescent="0.25">
      <c r="A3" t="s">
        <v>290</v>
      </c>
      <c r="B3" t="s">
        <v>283</v>
      </c>
      <c r="D3" t="s">
        <v>292</v>
      </c>
      <c r="E3" t="s">
        <v>288</v>
      </c>
      <c r="G3">
        <v>42</v>
      </c>
    </row>
    <row r="4" spans="1:7" x14ac:dyDescent="0.25">
      <c r="A4" t="s">
        <v>292</v>
      </c>
      <c r="B4" t="s">
        <v>288</v>
      </c>
      <c r="D4" t="s">
        <v>289</v>
      </c>
      <c r="E4" t="s">
        <v>291</v>
      </c>
      <c r="G4">
        <v>3.7854000000000001</v>
      </c>
    </row>
    <row r="5" spans="1:7" x14ac:dyDescent="0.25">
      <c r="A5" t="s">
        <v>293</v>
      </c>
      <c r="B5" t="s">
        <v>294</v>
      </c>
      <c r="D5" t="s">
        <v>295</v>
      </c>
      <c r="E5" t="s">
        <v>34</v>
      </c>
      <c r="G5">
        <v>1.0550600000000001</v>
      </c>
    </row>
    <row r="6" spans="1:7" x14ac:dyDescent="0.25">
      <c r="A6" t="s">
        <v>336</v>
      </c>
      <c r="B6" t="s">
        <v>191</v>
      </c>
      <c r="D6" t="s">
        <v>295</v>
      </c>
      <c r="E6" t="s">
        <v>34</v>
      </c>
      <c r="G6">
        <v>3.6</v>
      </c>
    </row>
  </sheetData>
  <mergeCells count="2">
    <mergeCell ref="A1:B1"/>
    <mergeCell ref="D1:E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7BDB71-50DE-48E8-AE44-EE07C1226587}">
  <sheetPr codeName="Sheet4">
    <tabColor theme="1" tint="0.499984740745262"/>
  </sheetPr>
  <dimension ref="A1:BV366"/>
  <sheetViews>
    <sheetView zoomScale="70" zoomScaleNormal="70" workbookViewId="0">
      <pane xSplit="3" ySplit="1" topLeftCell="D2" activePane="bottomRight" state="frozen"/>
      <selection pane="topRight" activeCell="D1" sqref="D1"/>
      <selection pane="bottomLeft" activeCell="A2" sqref="A2"/>
      <selection pane="bottomRight" activeCell="D14" sqref="D14"/>
    </sheetView>
    <sheetView zoomScale="70" zoomScaleNormal="70" workbookViewId="1"/>
  </sheetViews>
  <sheetFormatPr defaultRowHeight="15" x14ac:dyDescent="0.25"/>
  <cols>
    <col min="1" max="1" width="21.5703125" style="151" bestFit="1" customWidth="1"/>
    <col min="2" max="2" width="10.85546875" style="151" bestFit="1" customWidth="1"/>
    <col min="3" max="3" width="17" style="151" bestFit="1" customWidth="1"/>
    <col min="4" max="45" width="8.7109375" style="151" customWidth="1"/>
    <col min="46" max="16384" width="9.140625" style="151"/>
  </cols>
  <sheetData>
    <row r="1" spans="1:74" s="140" customFormat="1" x14ac:dyDescent="0.25">
      <c r="A1" s="140" t="s">
        <v>57</v>
      </c>
      <c r="B1" s="140" t="s">
        <v>16</v>
      </c>
      <c r="C1" s="140" t="s">
        <v>77</v>
      </c>
      <c r="D1" s="140">
        <v>1990</v>
      </c>
      <c r="E1" s="140">
        <v>1991</v>
      </c>
      <c r="F1" s="140">
        <v>1992</v>
      </c>
      <c r="G1" s="140">
        <v>1993</v>
      </c>
      <c r="H1" s="140">
        <v>1994</v>
      </c>
      <c r="I1" s="140">
        <v>1995</v>
      </c>
      <c r="J1" s="140">
        <v>1996</v>
      </c>
      <c r="K1" s="140">
        <v>1997</v>
      </c>
      <c r="L1" s="140">
        <v>1998</v>
      </c>
      <c r="M1" s="140">
        <v>1999</v>
      </c>
      <c r="N1" s="140">
        <v>2000</v>
      </c>
      <c r="O1" s="140">
        <v>2001</v>
      </c>
      <c r="P1" s="140">
        <v>2002</v>
      </c>
      <c r="Q1" s="140">
        <v>2003</v>
      </c>
      <c r="R1" s="140">
        <v>2004</v>
      </c>
      <c r="S1" s="140">
        <v>2005</v>
      </c>
      <c r="T1" s="140">
        <v>2006</v>
      </c>
      <c r="U1" s="140">
        <v>2007</v>
      </c>
      <c r="V1" s="140">
        <v>2008</v>
      </c>
      <c r="W1" s="140">
        <v>2009</v>
      </c>
      <c r="X1" s="140">
        <v>2010</v>
      </c>
      <c r="Y1" s="140">
        <v>2011</v>
      </c>
      <c r="Z1" s="140">
        <v>2012</v>
      </c>
      <c r="AA1" s="140">
        <v>2013</v>
      </c>
      <c r="AB1" s="140">
        <v>2014</v>
      </c>
      <c r="AC1" s="140">
        <v>2015</v>
      </c>
      <c r="AD1" s="140">
        <v>2016</v>
      </c>
      <c r="AE1" s="140">
        <v>2017</v>
      </c>
      <c r="AF1" s="140">
        <v>2018</v>
      </c>
      <c r="AG1" s="140">
        <v>2019</v>
      </c>
      <c r="AH1" s="140">
        <v>2020</v>
      </c>
      <c r="AI1" s="140">
        <v>2021</v>
      </c>
      <c r="AJ1" s="140">
        <v>2022</v>
      </c>
      <c r="AK1" s="140">
        <v>2023</v>
      </c>
      <c r="AL1" s="140">
        <v>2024</v>
      </c>
      <c r="AM1" s="140">
        <v>2025</v>
      </c>
      <c r="AN1" s="140">
        <v>2026</v>
      </c>
      <c r="AO1" s="140">
        <v>2027</v>
      </c>
      <c r="AP1" s="140">
        <v>2028</v>
      </c>
      <c r="AQ1" s="140">
        <v>2029</v>
      </c>
      <c r="AR1" s="140">
        <v>2030</v>
      </c>
      <c r="AS1" s="140">
        <v>2031</v>
      </c>
      <c r="AT1" s="140">
        <v>2032</v>
      </c>
      <c r="AU1" s="140">
        <v>2033</v>
      </c>
      <c r="AV1" s="140">
        <v>2034</v>
      </c>
      <c r="AW1" s="140">
        <v>2035</v>
      </c>
      <c r="AX1" s="140">
        <v>2036</v>
      </c>
      <c r="AY1" s="140">
        <v>2037</v>
      </c>
      <c r="AZ1" s="140">
        <v>2038</v>
      </c>
      <c r="BA1" s="140">
        <v>2039</v>
      </c>
      <c r="BB1" s="140">
        <v>2040</v>
      </c>
      <c r="BC1" s="140">
        <v>2041</v>
      </c>
      <c r="BD1" s="140">
        <v>2042</v>
      </c>
      <c r="BE1" s="140">
        <v>2043</v>
      </c>
      <c r="BF1" s="140">
        <v>2044</v>
      </c>
      <c r="BG1" s="140">
        <v>2045</v>
      </c>
      <c r="BH1" s="140">
        <v>2046</v>
      </c>
      <c r="BI1" s="140">
        <v>2047</v>
      </c>
      <c r="BJ1" s="140">
        <v>2048</v>
      </c>
      <c r="BK1" s="140">
        <v>2049</v>
      </c>
      <c r="BL1" s="140">
        <v>2050</v>
      </c>
      <c r="BM1" s="140">
        <v>2051</v>
      </c>
      <c r="BN1" s="140">
        <v>2052</v>
      </c>
      <c r="BO1" s="140">
        <v>2053</v>
      </c>
      <c r="BP1" s="140">
        <v>2054</v>
      </c>
      <c r="BQ1" s="140">
        <v>2055</v>
      </c>
      <c r="BR1" s="140">
        <v>2056</v>
      </c>
      <c r="BS1" s="140">
        <v>2057</v>
      </c>
      <c r="BT1" s="140">
        <v>2058</v>
      </c>
      <c r="BU1" s="140">
        <v>2059</v>
      </c>
      <c r="BV1" s="140">
        <v>2060</v>
      </c>
    </row>
    <row r="2" spans="1:74" s="142" customFormat="1" x14ac:dyDescent="0.25">
      <c r="A2" s="141"/>
      <c r="D2" s="143"/>
      <c r="E2" s="143"/>
      <c r="F2" s="143"/>
      <c r="G2" s="143"/>
      <c r="H2" s="143"/>
      <c r="I2" s="143"/>
      <c r="J2" s="143"/>
      <c r="K2" s="143"/>
      <c r="L2" s="143"/>
      <c r="M2" s="143"/>
      <c r="N2" s="143"/>
      <c r="O2" s="143"/>
      <c r="P2" s="143"/>
      <c r="Q2" s="143"/>
      <c r="R2" s="143"/>
      <c r="S2" s="143"/>
      <c r="T2" s="143"/>
      <c r="U2" s="143"/>
      <c r="V2" s="143"/>
      <c r="W2" s="143"/>
      <c r="X2" s="143"/>
      <c r="Y2" s="143"/>
      <c r="Z2" s="143"/>
      <c r="AA2" s="143"/>
      <c r="AB2" s="143"/>
      <c r="AC2" s="143"/>
      <c r="AD2" s="143"/>
      <c r="AE2" s="143"/>
      <c r="AF2" s="143"/>
      <c r="AG2" s="143"/>
      <c r="AH2" s="143"/>
      <c r="AI2" s="143"/>
      <c r="AJ2" s="143"/>
      <c r="AK2" s="143"/>
      <c r="AL2" s="143"/>
      <c r="AM2" s="143"/>
      <c r="AN2" s="143"/>
      <c r="AO2" s="143"/>
      <c r="AP2" s="143"/>
      <c r="AQ2" s="143"/>
      <c r="AR2" s="143"/>
      <c r="AS2" s="143"/>
    </row>
    <row r="3" spans="1:74" s="146" customFormat="1" x14ac:dyDescent="0.25">
      <c r="A3" s="144" t="s">
        <v>175</v>
      </c>
      <c r="B3" s="145"/>
      <c r="I3" s="145"/>
      <c r="J3" s="145"/>
      <c r="K3" s="145"/>
      <c r="L3" s="145"/>
      <c r="M3" s="145"/>
      <c r="N3" s="145"/>
      <c r="O3" s="145"/>
      <c r="P3" s="145"/>
      <c r="Q3" s="145"/>
      <c r="R3" s="145"/>
      <c r="S3" s="145"/>
      <c r="T3" s="145"/>
      <c r="U3" s="145"/>
      <c r="V3" s="145"/>
      <c r="W3" s="145"/>
      <c r="X3" s="145"/>
      <c r="Y3" s="145"/>
      <c r="Z3" s="145"/>
      <c r="AA3" s="145"/>
      <c r="AB3" s="145"/>
      <c r="AC3" s="145"/>
      <c r="AD3" s="145"/>
      <c r="AE3" s="145"/>
      <c r="AF3" s="145"/>
      <c r="AG3" s="145"/>
      <c r="AH3" s="145"/>
      <c r="AI3" s="145"/>
      <c r="AJ3" s="145"/>
      <c r="AK3" s="145"/>
      <c r="AL3" s="145"/>
      <c r="AM3" s="145"/>
      <c r="AN3" s="145"/>
      <c r="AO3" s="145"/>
      <c r="AP3" s="145"/>
      <c r="AQ3" s="145"/>
      <c r="AR3" s="145"/>
      <c r="AS3" s="145"/>
    </row>
    <row r="4" spans="1:74" s="146" customFormat="1" x14ac:dyDescent="0.25">
      <c r="A4" s="144" t="s">
        <v>176</v>
      </c>
      <c r="B4" s="144" t="s">
        <v>177</v>
      </c>
      <c r="I4" s="144"/>
      <c r="J4" s="145"/>
      <c r="K4" s="145"/>
      <c r="L4" s="145"/>
      <c r="M4" s="145"/>
      <c r="N4" s="145"/>
      <c r="O4" s="145"/>
      <c r="P4" s="145"/>
      <c r="Q4" s="145"/>
      <c r="R4" s="145"/>
      <c r="S4" s="145"/>
      <c r="T4" s="145"/>
      <c r="U4" s="145"/>
      <c r="V4" s="145"/>
      <c r="W4" s="145"/>
      <c r="X4" s="145"/>
      <c r="Y4" s="145"/>
      <c r="Z4" s="145"/>
      <c r="AA4" s="145"/>
      <c r="AB4" s="145"/>
      <c r="AC4" s="145"/>
      <c r="AD4" s="145"/>
      <c r="AE4" s="145"/>
      <c r="AF4" s="145"/>
      <c r="AG4" s="145"/>
      <c r="AH4" s="145"/>
      <c r="AI4" s="145"/>
      <c r="AJ4" s="145"/>
      <c r="AK4" s="145"/>
      <c r="AL4" s="145"/>
      <c r="AM4" s="145"/>
      <c r="AN4" s="145"/>
      <c r="AO4" s="145"/>
      <c r="AP4" s="145"/>
      <c r="AQ4" s="145"/>
      <c r="AR4" s="145"/>
      <c r="AS4" s="145"/>
    </row>
    <row r="5" spans="1:74" x14ac:dyDescent="0.25">
      <c r="A5" s="147" t="s">
        <v>178</v>
      </c>
      <c r="B5" s="148" t="s">
        <v>179</v>
      </c>
      <c r="C5" s="142" t="s">
        <v>300</v>
      </c>
      <c r="D5" s="149">
        <v>33.524844720496894</v>
      </c>
      <c r="E5" s="149">
        <v>33.524844720496894</v>
      </c>
      <c r="F5" s="149">
        <v>33.524844720496894</v>
      </c>
      <c r="G5" s="149">
        <v>33.524844720496894</v>
      </c>
      <c r="H5" s="149">
        <v>33.524844720496894</v>
      </c>
      <c r="I5" s="150">
        <v>33.524844720496894</v>
      </c>
      <c r="J5" s="150">
        <v>33.528428093645488</v>
      </c>
      <c r="K5" s="150">
        <v>33.519503546099294</v>
      </c>
      <c r="L5" s="150">
        <v>33.531380753138073</v>
      </c>
      <c r="M5" s="150">
        <v>33.509513742071881</v>
      </c>
      <c r="N5" s="150">
        <v>33.524229074889867</v>
      </c>
      <c r="O5" s="150">
        <v>33.522304832713758</v>
      </c>
      <c r="P5" s="150">
        <v>33.516908212560388</v>
      </c>
      <c r="Q5" s="150">
        <v>33.52320675105485</v>
      </c>
      <c r="R5" s="150">
        <v>33.515358361774744</v>
      </c>
      <c r="S5" s="150">
        <v>33.507377979568673</v>
      </c>
      <c r="T5" s="150">
        <v>33.522083805209512</v>
      </c>
      <c r="U5" s="150">
        <v>33.521739130434781</v>
      </c>
      <c r="V5" s="150">
        <v>33.518930957683743</v>
      </c>
      <c r="W5" s="150">
        <v>33.509389671361504</v>
      </c>
      <c r="X5" s="150">
        <v>33.515625</v>
      </c>
      <c r="Y5" s="150">
        <v>33.513513513513516</v>
      </c>
      <c r="Z5" s="150">
        <v>33.536404160475485</v>
      </c>
      <c r="AA5" s="150">
        <v>33.509060955518947</v>
      </c>
      <c r="AB5" s="150">
        <v>33.510273972602739</v>
      </c>
      <c r="AC5" s="150">
        <v>33.517964071856291</v>
      </c>
      <c r="AD5" s="150">
        <v>33.512336719883884</v>
      </c>
      <c r="AE5" s="150">
        <v>33.523391812865498</v>
      </c>
      <c r="AF5" s="150">
        <v>33.523391812865498</v>
      </c>
      <c r="AG5" s="150">
        <v>33.523391812865498</v>
      </c>
      <c r="AH5" s="150">
        <v>33.523391812865498</v>
      </c>
      <c r="AI5" s="150">
        <v>33.523391812865498</v>
      </c>
      <c r="AJ5" s="150">
        <v>33.523391812865498</v>
      </c>
      <c r="AK5" s="150">
        <v>33.523391812865498</v>
      </c>
      <c r="AL5" s="150">
        <v>33.523391812865498</v>
      </c>
      <c r="AM5" s="150">
        <v>33.523391812865498</v>
      </c>
      <c r="AN5" s="150">
        <v>33.523391812865498</v>
      </c>
      <c r="AO5" s="150">
        <v>33.523391812865498</v>
      </c>
      <c r="AP5" s="150">
        <v>33.523391812865498</v>
      </c>
      <c r="AQ5" s="150">
        <v>33.523391812865498</v>
      </c>
      <c r="AR5" s="150">
        <v>33.523391812865498</v>
      </c>
      <c r="AS5" s="149">
        <f>AR5</f>
        <v>33.523391812865498</v>
      </c>
      <c r="AT5" s="149">
        <f t="shared" ref="AT5:BV5" si="0">AS5</f>
        <v>33.523391812865498</v>
      </c>
      <c r="AU5" s="149">
        <f t="shared" si="0"/>
        <v>33.523391812865498</v>
      </c>
      <c r="AV5" s="149">
        <f t="shared" si="0"/>
        <v>33.523391812865498</v>
      </c>
      <c r="AW5" s="149">
        <f t="shared" si="0"/>
        <v>33.523391812865498</v>
      </c>
      <c r="AX5" s="149">
        <f t="shared" si="0"/>
        <v>33.523391812865498</v>
      </c>
      <c r="AY5" s="149">
        <f t="shared" si="0"/>
        <v>33.523391812865498</v>
      </c>
      <c r="AZ5" s="149">
        <f t="shared" si="0"/>
        <v>33.523391812865498</v>
      </c>
      <c r="BA5" s="149">
        <f t="shared" si="0"/>
        <v>33.523391812865498</v>
      </c>
      <c r="BB5" s="149">
        <f t="shared" si="0"/>
        <v>33.523391812865498</v>
      </c>
      <c r="BC5" s="149">
        <f t="shared" si="0"/>
        <v>33.523391812865498</v>
      </c>
      <c r="BD5" s="149">
        <f t="shared" si="0"/>
        <v>33.523391812865498</v>
      </c>
      <c r="BE5" s="149">
        <f t="shared" si="0"/>
        <v>33.523391812865498</v>
      </c>
      <c r="BF5" s="149">
        <f t="shared" si="0"/>
        <v>33.523391812865498</v>
      </c>
      <c r="BG5" s="149">
        <f t="shared" si="0"/>
        <v>33.523391812865498</v>
      </c>
      <c r="BH5" s="149">
        <f t="shared" si="0"/>
        <v>33.523391812865498</v>
      </c>
      <c r="BI5" s="149">
        <f t="shared" si="0"/>
        <v>33.523391812865498</v>
      </c>
      <c r="BJ5" s="149">
        <f t="shared" si="0"/>
        <v>33.523391812865498</v>
      </c>
      <c r="BK5" s="149">
        <f t="shared" si="0"/>
        <v>33.523391812865498</v>
      </c>
      <c r="BL5" s="149">
        <f t="shared" si="0"/>
        <v>33.523391812865498</v>
      </c>
      <c r="BM5" s="149">
        <f t="shared" si="0"/>
        <v>33.523391812865498</v>
      </c>
      <c r="BN5" s="149">
        <f t="shared" si="0"/>
        <v>33.523391812865498</v>
      </c>
      <c r="BO5" s="149">
        <f t="shared" si="0"/>
        <v>33.523391812865498</v>
      </c>
      <c r="BP5" s="149">
        <f t="shared" si="0"/>
        <v>33.523391812865498</v>
      </c>
      <c r="BQ5" s="149">
        <f t="shared" si="0"/>
        <v>33.523391812865498</v>
      </c>
      <c r="BR5" s="149">
        <f t="shared" si="0"/>
        <v>33.523391812865498</v>
      </c>
      <c r="BS5" s="149">
        <f t="shared" si="0"/>
        <v>33.523391812865498</v>
      </c>
      <c r="BT5" s="149">
        <f t="shared" si="0"/>
        <v>33.523391812865498</v>
      </c>
      <c r="BU5" s="149">
        <f t="shared" si="0"/>
        <v>33.523391812865498</v>
      </c>
      <c r="BV5" s="149">
        <f t="shared" si="0"/>
        <v>33.523391812865498</v>
      </c>
    </row>
    <row r="6" spans="1:74" x14ac:dyDescent="0.25">
      <c r="A6" s="147" t="s">
        <v>180</v>
      </c>
      <c r="B6" s="148" t="s">
        <v>179</v>
      </c>
      <c r="C6" s="142" t="s">
        <v>300</v>
      </c>
      <c r="D6" s="149">
        <v>36.370080616337717</v>
      </c>
      <c r="E6" s="149">
        <v>36.370080616337717</v>
      </c>
      <c r="F6" s="149">
        <v>36.370080616337717</v>
      </c>
      <c r="G6" s="149">
        <v>36.370080616337717</v>
      </c>
      <c r="H6" s="149">
        <v>36.370080616337717</v>
      </c>
      <c r="I6" s="150">
        <v>36.370080616337717</v>
      </c>
      <c r="J6" s="150">
        <v>36.369990268070424</v>
      </c>
      <c r="K6" s="150">
        <v>36.37006258512784</v>
      </c>
      <c r="L6" s="150">
        <v>36.37004464435568</v>
      </c>
      <c r="M6" s="150">
        <v>36.369779446269355</v>
      </c>
      <c r="N6" s="150">
        <v>36.369907239712113</v>
      </c>
      <c r="O6" s="150">
        <v>36.370010596962203</v>
      </c>
      <c r="P6" s="150">
        <v>37.40004995420864</v>
      </c>
      <c r="Q6" s="150">
        <v>37.400067238191291</v>
      </c>
      <c r="R6" s="150">
        <v>37.399981406303262</v>
      </c>
      <c r="S6" s="150">
        <v>37.400184612679666</v>
      </c>
      <c r="T6" s="150">
        <v>37.400059355987537</v>
      </c>
      <c r="U6" s="150">
        <v>37.400157760962927</v>
      </c>
      <c r="V6" s="150">
        <v>37.40004043482994</v>
      </c>
      <c r="W6" s="150">
        <v>37.400068271036012</v>
      </c>
      <c r="X6" s="150">
        <v>37.400177462289264</v>
      </c>
      <c r="Y6" s="150">
        <v>37.400238829734306</v>
      </c>
      <c r="Z6" s="150">
        <v>37.39993851829081</v>
      </c>
      <c r="AA6" s="150">
        <v>37.400161140754925</v>
      </c>
      <c r="AB6" s="150">
        <v>37.400081034931844</v>
      </c>
      <c r="AC6" s="150">
        <v>37.400171193326173</v>
      </c>
      <c r="AD6" s="150">
        <v>37.400183235298023</v>
      </c>
      <c r="AE6" s="150">
        <v>37.400112119050043</v>
      </c>
      <c r="AF6" s="150">
        <v>37.400112119050043</v>
      </c>
      <c r="AG6" s="150">
        <v>37.400112119050043</v>
      </c>
      <c r="AH6" s="150">
        <v>37.400112119050043</v>
      </c>
      <c r="AI6" s="150">
        <v>37.400112119050043</v>
      </c>
      <c r="AJ6" s="150">
        <v>37.400112119050043</v>
      </c>
      <c r="AK6" s="150">
        <v>37.400112119050043</v>
      </c>
      <c r="AL6" s="150">
        <v>37.400112119050043</v>
      </c>
      <c r="AM6" s="150">
        <v>37.400112119050043</v>
      </c>
      <c r="AN6" s="150">
        <v>37.400112119050043</v>
      </c>
      <c r="AO6" s="150">
        <v>37.400112119050043</v>
      </c>
      <c r="AP6" s="150">
        <v>37.400112119050043</v>
      </c>
      <c r="AQ6" s="150">
        <v>37.400112119050043</v>
      </c>
      <c r="AR6" s="150">
        <v>37.400112119050043</v>
      </c>
      <c r="AS6" s="149">
        <f t="shared" ref="AS6:BV6" si="1">AR6</f>
        <v>37.400112119050043</v>
      </c>
      <c r="AT6" s="149">
        <f t="shared" si="1"/>
        <v>37.400112119050043</v>
      </c>
      <c r="AU6" s="149">
        <f t="shared" si="1"/>
        <v>37.400112119050043</v>
      </c>
      <c r="AV6" s="149">
        <f t="shared" si="1"/>
        <v>37.400112119050043</v>
      </c>
      <c r="AW6" s="149">
        <f t="shared" si="1"/>
        <v>37.400112119050043</v>
      </c>
      <c r="AX6" s="149">
        <f t="shared" si="1"/>
        <v>37.400112119050043</v>
      </c>
      <c r="AY6" s="149">
        <f t="shared" si="1"/>
        <v>37.400112119050043</v>
      </c>
      <c r="AZ6" s="149">
        <f t="shared" si="1"/>
        <v>37.400112119050043</v>
      </c>
      <c r="BA6" s="149">
        <f t="shared" si="1"/>
        <v>37.400112119050043</v>
      </c>
      <c r="BB6" s="149">
        <f t="shared" si="1"/>
        <v>37.400112119050043</v>
      </c>
      <c r="BC6" s="149">
        <f t="shared" si="1"/>
        <v>37.400112119050043</v>
      </c>
      <c r="BD6" s="149">
        <f t="shared" si="1"/>
        <v>37.400112119050043</v>
      </c>
      <c r="BE6" s="149">
        <f t="shared" si="1"/>
        <v>37.400112119050043</v>
      </c>
      <c r="BF6" s="149">
        <f t="shared" si="1"/>
        <v>37.400112119050043</v>
      </c>
      <c r="BG6" s="149">
        <f t="shared" si="1"/>
        <v>37.400112119050043</v>
      </c>
      <c r="BH6" s="149">
        <f t="shared" si="1"/>
        <v>37.400112119050043</v>
      </c>
      <c r="BI6" s="149">
        <f t="shared" si="1"/>
        <v>37.400112119050043</v>
      </c>
      <c r="BJ6" s="149">
        <f t="shared" si="1"/>
        <v>37.400112119050043</v>
      </c>
      <c r="BK6" s="149">
        <f t="shared" si="1"/>
        <v>37.400112119050043</v>
      </c>
      <c r="BL6" s="149">
        <f t="shared" si="1"/>
        <v>37.400112119050043</v>
      </c>
      <c r="BM6" s="149">
        <f t="shared" si="1"/>
        <v>37.400112119050043</v>
      </c>
      <c r="BN6" s="149">
        <f t="shared" si="1"/>
        <v>37.400112119050043</v>
      </c>
      <c r="BO6" s="149">
        <f t="shared" si="1"/>
        <v>37.400112119050043</v>
      </c>
      <c r="BP6" s="149">
        <f t="shared" si="1"/>
        <v>37.400112119050043</v>
      </c>
      <c r="BQ6" s="149">
        <f t="shared" si="1"/>
        <v>37.400112119050043</v>
      </c>
      <c r="BR6" s="149">
        <f t="shared" si="1"/>
        <v>37.400112119050043</v>
      </c>
      <c r="BS6" s="149">
        <f t="shared" si="1"/>
        <v>37.400112119050043</v>
      </c>
      <c r="BT6" s="149">
        <f t="shared" si="1"/>
        <v>37.400112119050043</v>
      </c>
      <c r="BU6" s="149">
        <f t="shared" si="1"/>
        <v>37.400112119050043</v>
      </c>
      <c r="BV6" s="149">
        <f t="shared" si="1"/>
        <v>37.400112119050043</v>
      </c>
    </row>
    <row r="7" spans="1:74" s="142" customFormat="1" x14ac:dyDescent="0.25">
      <c r="A7" s="141" t="s">
        <v>181</v>
      </c>
      <c r="B7" s="148" t="s">
        <v>179</v>
      </c>
      <c r="C7" s="142" t="s">
        <v>182</v>
      </c>
      <c r="D7" s="152">
        <v>33.322391017173047</v>
      </c>
      <c r="E7" s="153">
        <v>33.322391017173047</v>
      </c>
      <c r="F7" s="153">
        <v>33.322391017173047</v>
      </c>
      <c r="G7" s="153">
        <v>33.322391017173047</v>
      </c>
      <c r="H7" s="153">
        <v>33.322391017173047</v>
      </c>
      <c r="I7" s="153">
        <v>33.322391017173047</v>
      </c>
      <c r="J7" s="153">
        <v>33.322391017173047</v>
      </c>
      <c r="K7" s="153">
        <v>33.322391017173047</v>
      </c>
      <c r="L7" s="153">
        <v>33.322391017173047</v>
      </c>
      <c r="M7" s="153">
        <v>33.322391017173047</v>
      </c>
      <c r="N7" s="153">
        <v>33.322391017173047</v>
      </c>
      <c r="O7" s="153">
        <v>33.322391017173047</v>
      </c>
      <c r="P7" s="153">
        <v>33.322391017173047</v>
      </c>
      <c r="Q7" s="153">
        <v>33.322391017173047</v>
      </c>
      <c r="R7" s="153">
        <v>33.322391017173047</v>
      </c>
      <c r="S7" s="153">
        <v>33.322391017173047</v>
      </c>
      <c r="T7" s="153">
        <v>33.322391017173047</v>
      </c>
      <c r="U7" s="153">
        <v>33.322391017173047</v>
      </c>
      <c r="V7" s="153">
        <v>33.322391017173047</v>
      </c>
      <c r="W7" s="153">
        <v>33.322391017173047</v>
      </c>
      <c r="X7" s="153">
        <v>33.322391017173047</v>
      </c>
      <c r="Y7" s="153">
        <v>33.322391017173047</v>
      </c>
      <c r="Z7" s="153">
        <v>33.322391017173047</v>
      </c>
      <c r="AA7" s="153">
        <v>33.322391017173047</v>
      </c>
      <c r="AB7" s="153">
        <v>33.322391017173047</v>
      </c>
      <c r="AC7" s="153">
        <v>33.322391017173047</v>
      </c>
      <c r="AD7" s="153">
        <v>33.322391017173047</v>
      </c>
      <c r="AE7" s="153">
        <v>33.322391017173047</v>
      </c>
      <c r="AF7" s="153">
        <v>33.322391017173047</v>
      </c>
      <c r="AG7" s="153">
        <v>33.322391017173047</v>
      </c>
      <c r="AH7" s="153">
        <v>33.322391017173047</v>
      </c>
      <c r="AI7" s="153">
        <v>33.322391017173047</v>
      </c>
      <c r="AJ7" s="153">
        <v>33.322391017173047</v>
      </c>
      <c r="AK7" s="153">
        <v>33.322391017173047</v>
      </c>
      <c r="AL7" s="153">
        <v>33.322391017173047</v>
      </c>
      <c r="AM7" s="153">
        <v>33.322391017173047</v>
      </c>
      <c r="AN7" s="153">
        <v>33.322391017173047</v>
      </c>
      <c r="AO7" s="153">
        <v>33.322391017173047</v>
      </c>
      <c r="AP7" s="153">
        <v>33.322391017173047</v>
      </c>
      <c r="AQ7" s="153">
        <v>33.322391017173047</v>
      </c>
      <c r="AR7" s="153">
        <v>33.322391017173047</v>
      </c>
      <c r="AS7" s="149">
        <f t="shared" ref="AS7:BV7" si="2">AR7</f>
        <v>33.322391017173047</v>
      </c>
      <c r="AT7" s="149">
        <f t="shared" si="2"/>
        <v>33.322391017173047</v>
      </c>
      <c r="AU7" s="149">
        <f t="shared" si="2"/>
        <v>33.322391017173047</v>
      </c>
      <c r="AV7" s="149">
        <f t="shared" si="2"/>
        <v>33.322391017173047</v>
      </c>
      <c r="AW7" s="149">
        <f t="shared" si="2"/>
        <v>33.322391017173047</v>
      </c>
      <c r="AX7" s="149">
        <f t="shared" si="2"/>
        <v>33.322391017173047</v>
      </c>
      <c r="AY7" s="149">
        <f t="shared" si="2"/>
        <v>33.322391017173047</v>
      </c>
      <c r="AZ7" s="149">
        <f t="shared" si="2"/>
        <v>33.322391017173047</v>
      </c>
      <c r="BA7" s="149">
        <f t="shared" si="2"/>
        <v>33.322391017173047</v>
      </c>
      <c r="BB7" s="149">
        <f t="shared" si="2"/>
        <v>33.322391017173047</v>
      </c>
      <c r="BC7" s="149">
        <f t="shared" si="2"/>
        <v>33.322391017173047</v>
      </c>
      <c r="BD7" s="149">
        <f t="shared" si="2"/>
        <v>33.322391017173047</v>
      </c>
      <c r="BE7" s="149">
        <f t="shared" si="2"/>
        <v>33.322391017173047</v>
      </c>
      <c r="BF7" s="149">
        <f t="shared" si="2"/>
        <v>33.322391017173047</v>
      </c>
      <c r="BG7" s="149">
        <f t="shared" si="2"/>
        <v>33.322391017173047</v>
      </c>
      <c r="BH7" s="149">
        <f t="shared" si="2"/>
        <v>33.322391017173047</v>
      </c>
      <c r="BI7" s="149">
        <f t="shared" si="2"/>
        <v>33.322391017173047</v>
      </c>
      <c r="BJ7" s="149">
        <f t="shared" si="2"/>
        <v>33.322391017173047</v>
      </c>
      <c r="BK7" s="149">
        <f t="shared" si="2"/>
        <v>33.322391017173047</v>
      </c>
      <c r="BL7" s="149">
        <f t="shared" si="2"/>
        <v>33.322391017173047</v>
      </c>
      <c r="BM7" s="149">
        <f t="shared" si="2"/>
        <v>33.322391017173047</v>
      </c>
      <c r="BN7" s="149">
        <f t="shared" si="2"/>
        <v>33.322391017173047</v>
      </c>
      <c r="BO7" s="149">
        <f t="shared" si="2"/>
        <v>33.322391017173047</v>
      </c>
      <c r="BP7" s="149">
        <f t="shared" si="2"/>
        <v>33.322391017173047</v>
      </c>
      <c r="BQ7" s="149">
        <f t="shared" si="2"/>
        <v>33.322391017173047</v>
      </c>
      <c r="BR7" s="149">
        <f t="shared" si="2"/>
        <v>33.322391017173047</v>
      </c>
      <c r="BS7" s="149">
        <f t="shared" si="2"/>
        <v>33.322391017173047</v>
      </c>
      <c r="BT7" s="149">
        <f t="shared" si="2"/>
        <v>33.322391017173047</v>
      </c>
      <c r="BU7" s="149">
        <f t="shared" si="2"/>
        <v>33.322391017173047</v>
      </c>
      <c r="BV7" s="149">
        <f t="shared" si="2"/>
        <v>33.322391017173047</v>
      </c>
    </row>
    <row r="8" spans="1:74" s="142" customFormat="1" x14ac:dyDescent="0.25">
      <c r="A8" s="141" t="s">
        <v>183</v>
      </c>
      <c r="B8" s="148" t="s">
        <v>179</v>
      </c>
      <c r="C8" s="142" t="s">
        <v>298</v>
      </c>
      <c r="D8" s="149">
        <v>28.440073468940184</v>
      </c>
      <c r="E8" s="149">
        <v>28.440073468940184</v>
      </c>
      <c r="F8" s="149">
        <v>28.440073468940184</v>
      </c>
      <c r="G8" s="149">
        <v>28.440073468940184</v>
      </c>
      <c r="H8" s="149">
        <v>28.440073468940184</v>
      </c>
      <c r="I8" s="149">
        <v>28.440073468940184</v>
      </c>
      <c r="J8" s="149">
        <v>28.440073468940184</v>
      </c>
      <c r="K8" s="149">
        <v>28.440073468940184</v>
      </c>
      <c r="L8" s="149">
        <v>28.440073468940184</v>
      </c>
      <c r="M8" s="149">
        <v>28.440073468940184</v>
      </c>
      <c r="N8" s="149">
        <v>28.440073468940184</v>
      </c>
      <c r="O8" s="149">
        <v>28.440073468940184</v>
      </c>
      <c r="P8" s="149">
        <v>28.440073468940184</v>
      </c>
      <c r="Q8" s="149">
        <v>28.440073468940184</v>
      </c>
      <c r="R8" s="149">
        <v>28.440073468940184</v>
      </c>
      <c r="S8" s="149">
        <v>28.440073468940184</v>
      </c>
      <c r="T8" s="149">
        <v>28.440073468940184</v>
      </c>
      <c r="U8" s="149">
        <v>28.440073468940184</v>
      </c>
      <c r="V8" s="149">
        <v>28.440073468940184</v>
      </c>
      <c r="W8" s="149">
        <v>28.440073468940184</v>
      </c>
      <c r="X8" s="149">
        <v>28.440073468940184</v>
      </c>
      <c r="Y8" s="150">
        <v>28.440073468940184</v>
      </c>
      <c r="Z8" s="150">
        <v>28.439921416198402</v>
      </c>
      <c r="AA8" s="150">
        <v>28.439921416198402</v>
      </c>
      <c r="AB8" s="150">
        <v>28.439921416198402</v>
      </c>
      <c r="AC8" s="150">
        <v>28.439921416198402</v>
      </c>
      <c r="AD8" s="150">
        <v>28.440562719812426</v>
      </c>
      <c r="AE8" s="150">
        <v>28.440562719812426</v>
      </c>
      <c r="AF8" s="150">
        <v>28.440562719812426</v>
      </c>
      <c r="AG8" s="150">
        <v>28.440562719812426</v>
      </c>
      <c r="AH8" s="150">
        <v>28.440562719812426</v>
      </c>
      <c r="AI8" s="150">
        <v>28.440562719812426</v>
      </c>
      <c r="AJ8" s="150">
        <v>28.440562719812426</v>
      </c>
      <c r="AK8" s="150">
        <v>28.440562719812426</v>
      </c>
      <c r="AL8" s="150">
        <v>28.440562719812426</v>
      </c>
      <c r="AM8" s="150">
        <v>28.440562719812426</v>
      </c>
      <c r="AN8" s="150">
        <v>28.440562719812426</v>
      </c>
      <c r="AO8" s="150">
        <v>28.440562719812426</v>
      </c>
      <c r="AP8" s="150">
        <v>28.440562719812426</v>
      </c>
      <c r="AQ8" s="150">
        <v>28.440562719812426</v>
      </c>
      <c r="AR8" s="150">
        <v>28.440562719812426</v>
      </c>
      <c r="AS8" s="149">
        <f t="shared" ref="AS8:BV8" si="3">AR8</f>
        <v>28.440562719812426</v>
      </c>
      <c r="AT8" s="149">
        <f t="shared" si="3"/>
        <v>28.440562719812426</v>
      </c>
      <c r="AU8" s="149">
        <f t="shared" si="3"/>
        <v>28.440562719812426</v>
      </c>
      <c r="AV8" s="149">
        <f t="shared" si="3"/>
        <v>28.440562719812426</v>
      </c>
      <c r="AW8" s="149">
        <f t="shared" si="3"/>
        <v>28.440562719812426</v>
      </c>
      <c r="AX8" s="149">
        <f t="shared" si="3"/>
        <v>28.440562719812426</v>
      </c>
      <c r="AY8" s="149">
        <f t="shared" si="3"/>
        <v>28.440562719812426</v>
      </c>
      <c r="AZ8" s="149">
        <f t="shared" si="3"/>
        <v>28.440562719812426</v>
      </c>
      <c r="BA8" s="149">
        <f t="shared" si="3"/>
        <v>28.440562719812426</v>
      </c>
      <c r="BB8" s="149">
        <f t="shared" si="3"/>
        <v>28.440562719812426</v>
      </c>
      <c r="BC8" s="149">
        <f t="shared" si="3"/>
        <v>28.440562719812426</v>
      </c>
      <c r="BD8" s="149">
        <f t="shared" si="3"/>
        <v>28.440562719812426</v>
      </c>
      <c r="BE8" s="149">
        <f t="shared" si="3"/>
        <v>28.440562719812426</v>
      </c>
      <c r="BF8" s="149">
        <f t="shared" si="3"/>
        <v>28.440562719812426</v>
      </c>
      <c r="BG8" s="149">
        <f t="shared" si="3"/>
        <v>28.440562719812426</v>
      </c>
      <c r="BH8" s="149">
        <f t="shared" si="3"/>
        <v>28.440562719812426</v>
      </c>
      <c r="BI8" s="149">
        <f t="shared" si="3"/>
        <v>28.440562719812426</v>
      </c>
      <c r="BJ8" s="149">
        <f t="shared" si="3"/>
        <v>28.440562719812426</v>
      </c>
      <c r="BK8" s="149">
        <f t="shared" si="3"/>
        <v>28.440562719812426</v>
      </c>
      <c r="BL8" s="149">
        <f t="shared" si="3"/>
        <v>28.440562719812426</v>
      </c>
      <c r="BM8" s="149">
        <f t="shared" si="3"/>
        <v>28.440562719812426</v>
      </c>
      <c r="BN8" s="149">
        <f t="shared" si="3"/>
        <v>28.440562719812426</v>
      </c>
      <c r="BO8" s="149">
        <f t="shared" si="3"/>
        <v>28.440562719812426</v>
      </c>
      <c r="BP8" s="149">
        <f t="shared" si="3"/>
        <v>28.440562719812426</v>
      </c>
      <c r="BQ8" s="149">
        <f t="shared" si="3"/>
        <v>28.440562719812426</v>
      </c>
      <c r="BR8" s="149">
        <f t="shared" si="3"/>
        <v>28.440562719812426</v>
      </c>
      <c r="BS8" s="149">
        <f t="shared" si="3"/>
        <v>28.440562719812426</v>
      </c>
      <c r="BT8" s="149">
        <f t="shared" si="3"/>
        <v>28.440562719812426</v>
      </c>
      <c r="BU8" s="149">
        <f t="shared" si="3"/>
        <v>28.440562719812426</v>
      </c>
      <c r="BV8" s="149">
        <f t="shared" si="3"/>
        <v>28.440562719812426</v>
      </c>
    </row>
    <row r="9" spans="1:74" s="142" customFormat="1" x14ac:dyDescent="0.25">
      <c r="A9" s="147" t="s">
        <v>184</v>
      </c>
      <c r="B9" s="151" t="s">
        <v>185</v>
      </c>
      <c r="C9" s="142" t="s">
        <v>298</v>
      </c>
      <c r="D9" s="150">
        <v>27.633853226882863</v>
      </c>
      <c r="E9" s="149">
        <v>27.674322434317862</v>
      </c>
      <c r="F9" s="149">
        <v>27.714791641752861</v>
      </c>
      <c r="G9" s="149">
        <v>27.755260849187859</v>
      </c>
      <c r="H9" s="149">
        <v>27.795730056622858</v>
      </c>
      <c r="I9" s="150">
        <v>27.83619926405785</v>
      </c>
      <c r="J9" s="150">
        <v>27.148078645734575</v>
      </c>
      <c r="K9" s="150">
        <v>26.831911674787339</v>
      </c>
      <c r="L9" s="150">
        <v>27.940109783947978</v>
      </c>
      <c r="M9" s="150">
        <v>27.544152545772683</v>
      </c>
      <c r="N9" s="150">
        <v>27.281135001993739</v>
      </c>
      <c r="O9" s="150">
        <v>27.326522347523987</v>
      </c>
      <c r="P9" s="150">
        <v>27.26900553429919</v>
      </c>
      <c r="Q9" s="150">
        <v>26.649636115461792</v>
      </c>
      <c r="R9" s="150">
        <v>26.436665511450485</v>
      </c>
      <c r="S9" s="150">
        <v>26.065005050848569</v>
      </c>
      <c r="T9" s="150">
        <v>25.961495108007071</v>
      </c>
      <c r="U9" s="150">
        <v>25.531014474531759</v>
      </c>
      <c r="V9" s="150">
        <v>25.843172868753484</v>
      </c>
      <c r="W9" s="150">
        <v>26.793021648355463</v>
      </c>
      <c r="X9" s="150">
        <v>26.786318243881073</v>
      </c>
      <c r="Y9" s="150">
        <v>26.168637600813259</v>
      </c>
      <c r="Z9" s="150">
        <v>26.659965993421157</v>
      </c>
      <c r="AA9" s="150">
        <v>27.016240445692489</v>
      </c>
      <c r="AB9" s="150">
        <v>26.977445511114617</v>
      </c>
      <c r="AC9" s="150">
        <v>27.053121030041794</v>
      </c>
      <c r="AD9" s="150">
        <v>27.163362076755085</v>
      </c>
      <c r="AE9" s="150">
        <v>26.783632126576585</v>
      </c>
      <c r="AF9" s="150">
        <v>26.783632126576585</v>
      </c>
      <c r="AG9" s="150">
        <v>26.783632126576585</v>
      </c>
      <c r="AH9" s="150">
        <v>26.783632126576585</v>
      </c>
      <c r="AI9" s="150">
        <v>26.783632126576585</v>
      </c>
      <c r="AJ9" s="150">
        <v>26.783632126576585</v>
      </c>
      <c r="AK9" s="150">
        <v>26.783632126576585</v>
      </c>
      <c r="AL9" s="150">
        <v>26.783632126576585</v>
      </c>
      <c r="AM9" s="150">
        <v>26.783632126576585</v>
      </c>
      <c r="AN9" s="150">
        <v>26.783632126576585</v>
      </c>
      <c r="AO9" s="150">
        <v>26.783632126576585</v>
      </c>
      <c r="AP9" s="150">
        <v>26.783632126576585</v>
      </c>
      <c r="AQ9" s="150">
        <v>26.783632126576585</v>
      </c>
      <c r="AR9" s="150">
        <v>26.783632126576585</v>
      </c>
      <c r="AS9" s="149">
        <f t="shared" ref="AS9:BV9" si="4">AR9</f>
        <v>26.783632126576585</v>
      </c>
      <c r="AT9" s="149">
        <f t="shared" si="4"/>
        <v>26.783632126576585</v>
      </c>
      <c r="AU9" s="149">
        <f t="shared" si="4"/>
        <v>26.783632126576585</v>
      </c>
      <c r="AV9" s="149">
        <f t="shared" si="4"/>
        <v>26.783632126576585</v>
      </c>
      <c r="AW9" s="149">
        <f t="shared" si="4"/>
        <v>26.783632126576585</v>
      </c>
      <c r="AX9" s="149">
        <f t="shared" si="4"/>
        <v>26.783632126576585</v>
      </c>
      <c r="AY9" s="149">
        <f t="shared" si="4"/>
        <v>26.783632126576585</v>
      </c>
      <c r="AZ9" s="149">
        <f t="shared" si="4"/>
        <v>26.783632126576585</v>
      </c>
      <c r="BA9" s="149">
        <f t="shared" si="4"/>
        <v>26.783632126576585</v>
      </c>
      <c r="BB9" s="149">
        <f t="shared" si="4"/>
        <v>26.783632126576585</v>
      </c>
      <c r="BC9" s="149">
        <f t="shared" si="4"/>
        <v>26.783632126576585</v>
      </c>
      <c r="BD9" s="149">
        <f t="shared" si="4"/>
        <v>26.783632126576585</v>
      </c>
      <c r="BE9" s="149">
        <f t="shared" si="4"/>
        <v>26.783632126576585</v>
      </c>
      <c r="BF9" s="149">
        <f t="shared" si="4"/>
        <v>26.783632126576585</v>
      </c>
      <c r="BG9" s="149">
        <f t="shared" si="4"/>
        <v>26.783632126576585</v>
      </c>
      <c r="BH9" s="149">
        <f t="shared" si="4"/>
        <v>26.783632126576585</v>
      </c>
      <c r="BI9" s="149">
        <f t="shared" si="4"/>
        <v>26.783632126576585</v>
      </c>
      <c r="BJ9" s="149">
        <f t="shared" si="4"/>
        <v>26.783632126576585</v>
      </c>
      <c r="BK9" s="149">
        <f t="shared" si="4"/>
        <v>26.783632126576585</v>
      </c>
      <c r="BL9" s="149">
        <f t="shared" si="4"/>
        <v>26.783632126576585</v>
      </c>
      <c r="BM9" s="149">
        <f t="shared" si="4"/>
        <v>26.783632126576585</v>
      </c>
      <c r="BN9" s="149">
        <f t="shared" si="4"/>
        <v>26.783632126576585</v>
      </c>
      <c r="BO9" s="149">
        <f t="shared" si="4"/>
        <v>26.783632126576585</v>
      </c>
      <c r="BP9" s="149">
        <f t="shared" si="4"/>
        <v>26.783632126576585</v>
      </c>
      <c r="BQ9" s="149">
        <f t="shared" si="4"/>
        <v>26.783632126576585</v>
      </c>
      <c r="BR9" s="149">
        <f t="shared" si="4"/>
        <v>26.783632126576585</v>
      </c>
      <c r="BS9" s="149">
        <f t="shared" si="4"/>
        <v>26.783632126576585</v>
      </c>
      <c r="BT9" s="149">
        <f t="shared" si="4"/>
        <v>26.783632126576585</v>
      </c>
      <c r="BU9" s="149">
        <f t="shared" si="4"/>
        <v>26.783632126576585</v>
      </c>
      <c r="BV9" s="149">
        <f t="shared" si="4"/>
        <v>26.783632126576585</v>
      </c>
    </row>
    <row r="10" spans="1:74" s="142" customFormat="1" x14ac:dyDescent="0.25">
      <c r="A10" s="147" t="s">
        <v>186</v>
      </c>
      <c r="B10" s="151" t="s">
        <v>185</v>
      </c>
      <c r="C10" s="142" t="s">
        <v>298</v>
      </c>
      <c r="D10" s="150">
        <v>28.829999862532993</v>
      </c>
      <c r="E10" s="149">
        <v>28.829999811601173</v>
      </c>
      <c r="F10" s="149">
        <v>28.829999760669352</v>
      </c>
      <c r="G10" s="149">
        <v>28.829999709737532</v>
      </c>
      <c r="H10" s="149">
        <v>28.829999658805711</v>
      </c>
      <c r="I10" s="150">
        <v>28.829999607873891</v>
      </c>
      <c r="J10" s="150">
        <v>28.82999990804344</v>
      </c>
      <c r="K10" s="150">
        <v>28.829999893660762</v>
      </c>
      <c r="L10" s="150">
        <v>28.829999945186401</v>
      </c>
      <c r="M10" s="150">
        <v>28.830000120665208</v>
      </c>
      <c r="N10" s="150">
        <v>28.830000239717378</v>
      </c>
      <c r="O10" s="150">
        <v>28.82999995511139</v>
      </c>
      <c r="P10" s="150">
        <v>28.830000015450388</v>
      </c>
      <c r="Q10" s="150">
        <v>28.82999994686336</v>
      </c>
      <c r="R10" s="150">
        <v>28.829999901213348</v>
      </c>
      <c r="S10" s="150">
        <v>28.830000062087507</v>
      </c>
      <c r="T10" s="150">
        <v>28.829996791359196</v>
      </c>
      <c r="U10" s="150">
        <v>28.829996297848346</v>
      </c>
      <c r="V10" s="150">
        <v>28.829998215308454</v>
      </c>
      <c r="W10" s="150">
        <v>28.83000207582332</v>
      </c>
      <c r="X10" s="150">
        <v>28.829995050999777</v>
      </c>
      <c r="Y10" s="150">
        <v>28.829996754598554</v>
      </c>
      <c r="Z10" s="150">
        <v>28.829999073505032</v>
      </c>
      <c r="AA10" s="150">
        <v>28.830005119721349</v>
      </c>
      <c r="AB10" s="150">
        <v>28.830002406580906</v>
      </c>
      <c r="AC10" s="150">
        <v>28.829999136977442</v>
      </c>
      <c r="AD10" s="150">
        <v>28.830004655337383</v>
      </c>
      <c r="AE10" s="150">
        <v>28.829997584391169</v>
      </c>
      <c r="AF10" s="150">
        <v>28.829997584391169</v>
      </c>
      <c r="AG10" s="150">
        <v>28.829997584391169</v>
      </c>
      <c r="AH10" s="150">
        <v>28.829997584391169</v>
      </c>
      <c r="AI10" s="150">
        <v>28.829997584391169</v>
      </c>
      <c r="AJ10" s="150">
        <v>28.829997584391169</v>
      </c>
      <c r="AK10" s="150">
        <v>28.829997584391169</v>
      </c>
      <c r="AL10" s="150">
        <v>28.829997584391169</v>
      </c>
      <c r="AM10" s="150">
        <v>28.829997584391169</v>
      </c>
      <c r="AN10" s="150">
        <v>28.829997584391169</v>
      </c>
      <c r="AO10" s="150">
        <v>28.829997584391169</v>
      </c>
      <c r="AP10" s="150">
        <v>28.829997584391169</v>
      </c>
      <c r="AQ10" s="150">
        <v>28.829997584391169</v>
      </c>
      <c r="AR10" s="150">
        <v>28.829997584391169</v>
      </c>
      <c r="AS10" s="149">
        <f t="shared" ref="AS10:BV10" si="5">AR10</f>
        <v>28.829997584391169</v>
      </c>
      <c r="AT10" s="149">
        <f t="shared" si="5"/>
        <v>28.829997584391169</v>
      </c>
      <c r="AU10" s="149">
        <f t="shared" si="5"/>
        <v>28.829997584391169</v>
      </c>
      <c r="AV10" s="149">
        <f t="shared" si="5"/>
        <v>28.829997584391169</v>
      </c>
      <c r="AW10" s="149">
        <f t="shared" si="5"/>
        <v>28.829997584391169</v>
      </c>
      <c r="AX10" s="149">
        <f t="shared" si="5"/>
        <v>28.829997584391169</v>
      </c>
      <c r="AY10" s="149">
        <f t="shared" si="5"/>
        <v>28.829997584391169</v>
      </c>
      <c r="AZ10" s="149">
        <f t="shared" si="5"/>
        <v>28.829997584391169</v>
      </c>
      <c r="BA10" s="149">
        <f t="shared" si="5"/>
        <v>28.829997584391169</v>
      </c>
      <c r="BB10" s="149">
        <f t="shared" si="5"/>
        <v>28.829997584391169</v>
      </c>
      <c r="BC10" s="149">
        <f t="shared" si="5"/>
        <v>28.829997584391169</v>
      </c>
      <c r="BD10" s="149">
        <f t="shared" si="5"/>
        <v>28.829997584391169</v>
      </c>
      <c r="BE10" s="149">
        <f t="shared" si="5"/>
        <v>28.829997584391169</v>
      </c>
      <c r="BF10" s="149">
        <f t="shared" si="5"/>
        <v>28.829997584391169</v>
      </c>
      <c r="BG10" s="149">
        <f t="shared" si="5"/>
        <v>28.829997584391169</v>
      </c>
      <c r="BH10" s="149">
        <f t="shared" si="5"/>
        <v>28.829997584391169</v>
      </c>
      <c r="BI10" s="149">
        <f t="shared" si="5"/>
        <v>28.829997584391169</v>
      </c>
      <c r="BJ10" s="149">
        <f t="shared" si="5"/>
        <v>28.829997584391169</v>
      </c>
      <c r="BK10" s="149">
        <f t="shared" si="5"/>
        <v>28.829997584391169</v>
      </c>
      <c r="BL10" s="149">
        <f t="shared" si="5"/>
        <v>28.829997584391169</v>
      </c>
      <c r="BM10" s="149">
        <f t="shared" si="5"/>
        <v>28.829997584391169</v>
      </c>
      <c r="BN10" s="149">
        <f t="shared" si="5"/>
        <v>28.829997584391169</v>
      </c>
      <c r="BO10" s="149">
        <f t="shared" si="5"/>
        <v>28.829997584391169</v>
      </c>
      <c r="BP10" s="149">
        <f t="shared" si="5"/>
        <v>28.829997584391169</v>
      </c>
      <c r="BQ10" s="149">
        <f t="shared" si="5"/>
        <v>28.829997584391169</v>
      </c>
      <c r="BR10" s="149">
        <f t="shared" si="5"/>
        <v>28.829997584391169</v>
      </c>
      <c r="BS10" s="149">
        <f t="shared" si="5"/>
        <v>28.829997584391169</v>
      </c>
      <c r="BT10" s="149">
        <f t="shared" si="5"/>
        <v>28.829997584391169</v>
      </c>
      <c r="BU10" s="149">
        <f t="shared" si="5"/>
        <v>28.829997584391169</v>
      </c>
      <c r="BV10" s="149">
        <f t="shared" si="5"/>
        <v>28.829997584391169</v>
      </c>
    </row>
    <row r="11" spans="1:74" s="142" customFormat="1" x14ac:dyDescent="0.25">
      <c r="A11" s="141" t="s">
        <v>187</v>
      </c>
      <c r="B11" s="142" t="s">
        <v>185</v>
      </c>
      <c r="C11" s="154" t="s">
        <v>188</v>
      </c>
      <c r="D11" s="155">
        <v>37.088301383721408</v>
      </c>
      <c r="E11" s="155">
        <v>37.088301339656731</v>
      </c>
      <c r="F11" s="155">
        <v>37.088301295592053</v>
      </c>
      <c r="G11" s="155">
        <v>37.088301251527376</v>
      </c>
      <c r="H11" s="155">
        <v>37.088301207462699</v>
      </c>
      <c r="I11" s="155">
        <v>37.088301163398015</v>
      </c>
      <c r="J11" s="155">
        <v>37.088302189689898</v>
      </c>
      <c r="K11" s="155">
        <v>37.088301865713994</v>
      </c>
      <c r="L11" s="155">
        <v>38.722588818692024</v>
      </c>
      <c r="M11" s="155">
        <v>38.647545107823234</v>
      </c>
      <c r="N11" s="155">
        <v>38.647544558124402</v>
      </c>
      <c r="O11" s="155">
        <v>38.647544505439768</v>
      </c>
      <c r="P11" s="155">
        <v>38.647544645524597</v>
      </c>
      <c r="Q11" s="155">
        <v>38.647544383625231</v>
      </c>
      <c r="R11" s="155">
        <v>38.647544562117609</v>
      </c>
      <c r="S11" s="155">
        <v>38.647544328371573</v>
      </c>
      <c r="T11" s="155">
        <v>38.647538364410046</v>
      </c>
      <c r="U11" s="155">
        <v>38.647532379989407</v>
      </c>
      <c r="V11" s="155">
        <v>38.647536489743565</v>
      </c>
      <c r="W11" s="155">
        <v>38.647537590620246</v>
      </c>
      <c r="X11" s="155">
        <v>38.647532447156081</v>
      </c>
      <c r="Y11" s="155">
        <v>38.647541819225708</v>
      </c>
      <c r="Z11" s="155">
        <v>38.647535763672678</v>
      </c>
      <c r="AA11" s="155">
        <v>38.647553606699262</v>
      </c>
      <c r="AB11" s="155">
        <v>38.649998943212829</v>
      </c>
      <c r="AC11" s="155">
        <v>38.650005369567552</v>
      </c>
      <c r="AD11" s="155">
        <v>38.649992812913396</v>
      </c>
      <c r="AE11" s="155">
        <v>38.649992812913396</v>
      </c>
      <c r="AF11" s="155">
        <v>38.649992812913396</v>
      </c>
      <c r="AG11" s="155">
        <v>38.649992812913396</v>
      </c>
      <c r="AH11" s="155">
        <v>38.649992812913396</v>
      </c>
      <c r="AI11" s="155">
        <v>38.649992812913396</v>
      </c>
      <c r="AJ11" s="155">
        <v>38.649992812913396</v>
      </c>
      <c r="AK11" s="155">
        <v>38.649992812913396</v>
      </c>
      <c r="AL11" s="155">
        <v>38.649992812913396</v>
      </c>
      <c r="AM11" s="155">
        <v>38.649992812913396</v>
      </c>
      <c r="AN11" s="155">
        <v>38.649992812913396</v>
      </c>
      <c r="AO11" s="155">
        <v>38.649992812913396</v>
      </c>
      <c r="AP11" s="155">
        <v>38.649992812913396</v>
      </c>
      <c r="AQ11" s="155">
        <v>38.649992812913396</v>
      </c>
      <c r="AR11" s="155">
        <v>38.649992812913396</v>
      </c>
      <c r="AS11" s="149">
        <f t="shared" ref="AS11:BV11" si="6">AR11</f>
        <v>38.649992812913396</v>
      </c>
      <c r="AT11" s="149">
        <f t="shared" si="6"/>
        <v>38.649992812913396</v>
      </c>
      <c r="AU11" s="149">
        <f t="shared" si="6"/>
        <v>38.649992812913396</v>
      </c>
      <c r="AV11" s="149">
        <f t="shared" si="6"/>
        <v>38.649992812913396</v>
      </c>
      <c r="AW11" s="149">
        <f t="shared" si="6"/>
        <v>38.649992812913396</v>
      </c>
      <c r="AX11" s="149">
        <f t="shared" si="6"/>
        <v>38.649992812913396</v>
      </c>
      <c r="AY11" s="149">
        <f t="shared" si="6"/>
        <v>38.649992812913396</v>
      </c>
      <c r="AZ11" s="149">
        <f t="shared" si="6"/>
        <v>38.649992812913396</v>
      </c>
      <c r="BA11" s="149">
        <f t="shared" si="6"/>
        <v>38.649992812913396</v>
      </c>
      <c r="BB11" s="149">
        <f t="shared" si="6"/>
        <v>38.649992812913396</v>
      </c>
      <c r="BC11" s="149">
        <f t="shared" si="6"/>
        <v>38.649992812913396</v>
      </c>
      <c r="BD11" s="149">
        <f t="shared" si="6"/>
        <v>38.649992812913396</v>
      </c>
      <c r="BE11" s="149">
        <f t="shared" si="6"/>
        <v>38.649992812913396</v>
      </c>
      <c r="BF11" s="149">
        <f t="shared" si="6"/>
        <v>38.649992812913396</v>
      </c>
      <c r="BG11" s="149">
        <f t="shared" si="6"/>
        <v>38.649992812913396</v>
      </c>
      <c r="BH11" s="149">
        <f t="shared" si="6"/>
        <v>38.649992812913396</v>
      </c>
      <c r="BI11" s="149">
        <f t="shared" si="6"/>
        <v>38.649992812913396</v>
      </c>
      <c r="BJ11" s="149">
        <f t="shared" si="6"/>
        <v>38.649992812913396</v>
      </c>
      <c r="BK11" s="149">
        <f t="shared" si="6"/>
        <v>38.649992812913396</v>
      </c>
      <c r="BL11" s="149">
        <f t="shared" si="6"/>
        <v>38.649992812913396</v>
      </c>
      <c r="BM11" s="149">
        <f t="shared" si="6"/>
        <v>38.649992812913396</v>
      </c>
      <c r="BN11" s="149">
        <f t="shared" si="6"/>
        <v>38.649992812913396</v>
      </c>
      <c r="BO11" s="149">
        <f t="shared" si="6"/>
        <v>38.649992812913396</v>
      </c>
      <c r="BP11" s="149">
        <f t="shared" si="6"/>
        <v>38.649992812913396</v>
      </c>
      <c r="BQ11" s="149">
        <f t="shared" si="6"/>
        <v>38.649992812913396</v>
      </c>
      <c r="BR11" s="149">
        <f t="shared" si="6"/>
        <v>38.649992812913396</v>
      </c>
      <c r="BS11" s="149">
        <f t="shared" si="6"/>
        <v>38.649992812913396</v>
      </c>
      <c r="BT11" s="149">
        <f t="shared" si="6"/>
        <v>38.649992812913396</v>
      </c>
      <c r="BU11" s="149">
        <f t="shared" si="6"/>
        <v>38.649992812913396</v>
      </c>
      <c r="BV11" s="149">
        <f t="shared" si="6"/>
        <v>38.649992812913396</v>
      </c>
    </row>
    <row r="12" spans="1:74" s="142" customFormat="1" x14ac:dyDescent="0.25">
      <c r="A12" s="147" t="s">
        <v>189</v>
      </c>
      <c r="B12" s="151" t="s">
        <v>190</v>
      </c>
      <c r="C12" s="142" t="s">
        <v>298</v>
      </c>
      <c r="D12" s="150">
        <v>18.61</v>
      </c>
      <c r="E12" s="149">
        <v>18.61000003258399</v>
      </c>
      <c r="F12" s="149">
        <v>18.610000065167981</v>
      </c>
      <c r="G12" s="149">
        <v>18.610000097751971</v>
      </c>
      <c r="H12" s="149">
        <v>18.610000130335962</v>
      </c>
      <c r="I12" s="150">
        <v>18.61000016291996</v>
      </c>
      <c r="J12" s="150">
        <v>18.61000019937806</v>
      </c>
      <c r="K12" s="150">
        <v>18.610000042221756</v>
      </c>
      <c r="L12" s="150">
        <v>19.139999682607467</v>
      </c>
      <c r="M12" s="150">
        <v>19.140000199529965</v>
      </c>
      <c r="N12" s="150">
        <v>19.139999957654901</v>
      </c>
      <c r="O12" s="150">
        <v>19.139999773457422</v>
      </c>
      <c r="P12" s="150">
        <v>19.139999671765949</v>
      </c>
      <c r="Q12" s="150">
        <v>19.140000273244574</v>
      </c>
      <c r="R12" s="150">
        <v>19.140000054043902</v>
      </c>
      <c r="S12" s="150">
        <v>19.140000272224011</v>
      </c>
      <c r="T12" s="150">
        <v>19.139998408189733</v>
      </c>
      <c r="U12" s="150">
        <v>19.140004810417725</v>
      </c>
      <c r="V12" s="150">
        <v>19.1399960823302</v>
      </c>
      <c r="W12" s="150">
        <v>19.139992072471465</v>
      </c>
      <c r="X12" s="150">
        <v>19.139999100583978</v>
      </c>
      <c r="Y12" s="150">
        <v>19.139998598649541</v>
      </c>
      <c r="Z12" s="150">
        <v>19.139997523658948</v>
      </c>
      <c r="AA12" s="150">
        <v>19.140004546473484</v>
      </c>
      <c r="AB12" s="150">
        <v>19.140001418633755</v>
      </c>
      <c r="AC12" s="150">
        <v>19.140008494180584</v>
      </c>
      <c r="AD12" s="150">
        <v>19.139993203237555</v>
      </c>
      <c r="AE12" s="150">
        <v>19.140009306293379</v>
      </c>
      <c r="AF12" s="150">
        <v>19.140009306293379</v>
      </c>
      <c r="AG12" s="150">
        <v>19.140009306293379</v>
      </c>
      <c r="AH12" s="150">
        <v>19.140009306293379</v>
      </c>
      <c r="AI12" s="150">
        <v>19.140009306293379</v>
      </c>
      <c r="AJ12" s="150">
        <v>19.140009306293379</v>
      </c>
      <c r="AK12" s="150">
        <v>19.140009306293379</v>
      </c>
      <c r="AL12" s="150">
        <v>19.140009306293379</v>
      </c>
      <c r="AM12" s="150">
        <v>19.140009306293379</v>
      </c>
      <c r="AN12" s="150">
        <v>19.140009306293379</v>
      </c>
      <c r="AO12" s="150">
        <v>19.140009306293379</v>
      </c>
      <c r="AP12" s="150">
        <v>19.140009306293379</v>
      </c>
      <c r="AQ12" s="150">
        <v>19.140009306293379</v>
      </c>
      <c r="AR12" s="150">
        <v>19.140009306293379</v>
      </c>
      <c r="AS12" s="149">
        <f t="shared" ref="AS12:BV12" si="7">AR12</f>
        <v>19.140009306293379</v>
      </c>
      <c r="AT12" s="149">
        <f t="shared" si="7"/>
        <v>19.140009306293379</v>
      </c>
      <c r="AU12" s="149">
        <f t="shared" si="7"/>
        <v>19.140009306293379</v>
      </c>
      <c r="AV12" s="149">
        <f t="shared" si="7"/>
        <v>19.140009306293379</v>
      </c>
      <c r="AW12" s="149">
        <f t="shared" si="7"/>
        <v>19.140009306293379</v>
      </c>
      <c r="AX12" s="149">
        <f t="shared" si="7"/>
        <v>19.140009306293379</v>
      </c>
      <c r="AY12" s="149">
        <f t="shared" si="7"/>
        <v>19.140009306293379</v>
      </c>
      <c r="AZ12" s="149">
        <f t="shared" si="7"/>
        <v>19.140009306293379</v>
      </c>
      <c r="BA12" s="149">
        <f t="shared" si="7"/>
        <v>19.140009306293379</v>
      </c>
      <c r="BB12" s="149">
        <f t="shared" si="7"/>
        <v>19.140009306293379</v>
      </c>
      <c r="BC12" s="149">
        <f t="shared" si="7"/>
        <v>19.140009306293379</v>
      </c>
      <c r="BD12" s="149">
        <f t="shared" si="7"/>
        <v>19.140009306293379</v>
      </c>
      <c r="BE12" s="149">
        <f t="shared" si="7"/>
        <v>19.140009306293379</v>
      </c>
      <c r="BF12" s="149">
        <f t="shared" si="7"/>
        <v>19.140009306293379</v>
      </c>
      <c r="BG12" s="149">
        <f t="shared" si="7"/>
        <v>19.140009306293379</v>
      </c>
      <c r="BH12" s="149">
        <f t="shared" si="7"/>
        <v>19.140009306293379</v>
      </c>
      <c r="BI12" s="149">
        <f t="shared" si="7"/>
        <v>19.140009306293379</v>
      </c>
      <c r="BJ12" s="149">
        <f t="shared" si="7"/>
        <v>19.140009306293379</v>
      </c>
      <c r="BK12" s="149">
        <f t="shared" si="7"/>
        <v>19.140009306293379</v>
      </c>
      <c r="BL12" s="149">
        <f t="shared" si="7"/>
        <v>19.140009306293379</v>
      </c>
      <c r="BM12" s="149">
        <f t="shared" si="7"/>
        <v>19.140009306293379</v>
      </c>
      <c r="BN12" s="149">
        <f t="shared" si="7"/>
        <v>19.140009306293379</v>
      </c>
      <c r="BO12" s="149">
        <f t="shared" si="7"/>
        <v>19.140009306293379</v>
      </c>
      <c r="BP12" s="149">
        <f t="shared" si="7"/>
        <v>19.140009306293379</v>
      </c>
      <c r="BQ12" s="149">
        <f t="shared" si="7"/>
        <v>19.140009306293379</v>
      </c>
      <c r="BR12" s="149">
        <f t="shared" si="7"/>
        <v>19.140009306293379</v>
      </c>
      <c r="BS12" s="149">
        <f t="shared" si="7"/>
        <v>19.140009306293379</v>
      </c>
      <c r="BT12" s="149">
        <f t="shared" si="7"/>
        <v>19.140009306293379</v>
      </c>
      <c r="BU12" s="149">
        <f t="shared" si="7"/>
        <v>19.140009306293379</v>
      </c>
      <c r="BV12" s="149">
        <f t="shared" si="7"/>
        <v>19.140009306293379</v>
      </c>
    </row>
    <row r="13" spans="1:74" s="142" customFormat="1" x14ac:dyDescent="0.25">
      <c r="A13" s="147" t="s">
        <v>12</v>
      </c>
      <c r="B13" s="148" t="s">
        <v>179</v>
      </c>
      <c r="C13" s="142" t="s">
        <v>300</v>
      </c>
      <c r="D13" s="149">
        <v>38.679974803988344</v>
      </c>
      <c r="E13" s="149">
        <v>38.679974803988344</v>
      </c>
      <c r="F13" s="149">
        <v>38.679974803988344</v>
      </c>
      <c r="G13" s="149">
        <v>38.679974803988344</v>
      </c>
      <c r="H13" s="149">
        <v>38.679974803988344</v>
      </c>
      <c r="I13" s="150">
        <v>38.679974803988344</v>
      </c>
      <c r="J13" s="150">
        <v>38.679945949144852</v>
      </c>
      <c r="K13" s="150">
        <v>38.680001335693056</v>
      </c>
      <c r="L13" s="150">
        <v>38.680026968590894</v>
      </c>
      <c r="M13" s="150">
        <v>38.68004352638787</v>
      </c>
      <c r="N13" s="150">
        <v>38.679925435948505</v>
      </c>
      <c r="O13" s="150">
        <v>38.680065473475189</v>
      </c>
      <c r="P13" s="150">
        <v>38.299955672007968</v>
      </c>
      <c r="Q13" s="150">
        <v>38.300019365322605</v>
      </c>
      <c r="R13" s="150">
        <v>38.299998399923197</v>
      </c>
      <c r="S13" s="150">
        <v>38.299926499862188</v>
      </c>
      <c r="T13" s="150">
        <v>38.300002667977786</v>
      </c>
      <c r="U13" s="150">
        <v>38.300015210447405</v>
      </c>
      <c r="V13" s="150">
        <v>38.299940790430028</v>
      </c>
      <c r="W13" s="150">
        <v>38.299974683738519</v>
      </c>
      <c r="X13" s="150">
        <v>38.299946866870457</v>
      </c>
      <c r="Y13" s="150">
        <v>38.300039514978138</v>
      </c>
      <c r="Z13" s="150">
        <v>38.300051884470577</v>
      </c>
      <c r="AA13" s="150">
        <v>38.299962441557767</v>
      </c>
      <c r="AB13" s="150">
        <v>38.300053668135767</v>
      </c>
      <c r="AC13" s="150">
        <v>38.29993343265604</v>
      </c>
      <c r="AD13" s="150">
        <v>38.299970443614477</v>
      </c>
      <c r="AE13" s="150">
        <v>38.299981329101264</v>
      </c>
      <c r="AF13" s="150">
        <v>38.299981329101264</v>
      </c>
      <c r="AG13" s="150">
        <v>38.299981329101264</v>
      </c>
      <c r="AH13" s="150">
        <v>38.299981329101264</v>
      </c>
      <c r="AI13" s="150">
        <v>38.299981329101264</v>
      </c>
      <c r="AJ13" s="150">
        <v>38.299981329101264</v>
      </c>
      <c r="AK13" s="150">
        <v>38.299981329101264</v>
      </c>
      <c r="AL13" s="150">
        <v>38.299981329101264</v>
      </c>
      <c r="AM13" s="150">
        <v>38.299981329101264</v>
      </c>
      <c r="AN13" s="150">
        <v>38.299981329101264</v>
      </c>
      <c r="AO13" s="150">
        <v>38.299981329101264</v>
      </c>
      <c r="AP13" s="150">
        <v>38.299981329101264</v>
      </c>
      <c r="AQ13" s="150">
        <v>38.299981329101264</v>
      </c>
      <c r="AR13" s="150">
        <v>38.299981329101264</v>
      </c>
      <c r="AS13" s="149">
        <f t="shared" ref="AS13:BV13" si="8">AR13</f>
        <v>38.299981329101264</v>
      </c>
      <c r="AT13" s="149">
        <f t="shared" si="8"/>
        <v>38.299981329101264</v>
      </c>
      <c r="AU13" s="149">
        <f t="shared" si="8"/>
        <v>38.299981329101264</v>
      </c>
      <c r="AV13" s="149">
        <f t="shared" si="8"/>
        <v>38.299981329101264</v>
      </c>
      <c r="AW13" s="149">
        <f t="shared" si="8"/>
        <v>38.299981329101264</v>
      </c>
      <c r="AX13" s="149">
        <f t="shared" si="8"/>
        <v>38.299981329101264</v>
      </c>
      <c r="AY13" s="149">
        <f t="shared" si="8"/>
        <v>38.299981329101264</v>
      </c>
      <c r="AZ13" s="149">
        <f t="shared" si="8"/>
        <v>38.299981329101264</v>
      </c>
      <c r="BA13" s="149">
        <f t="shared" si="8"/>
        <v>38.299981329101264</v>
      </c>
      <c r="BB13" s="149">
        <f t="shared" si="8"/>
        <v>38.299981329101264</v>
      </c>
      <c r="BC13" s="149">
        <f t="shared" si="8"/>
        <v>38.299981329101264</v>
      </c>
      <c r="BD13" s="149">
        <f t="shared" si="8"/>
        <v>38.299981329101264</v>
      </c>
      <c r="BE13" s="149">
        <f t="shared" si="8"/>
        <v>38.299981329101264</v>
      </c>
      <c r="BF13" s="149">
        <f t="shared" si="8"/>
        <v>38.299981329101264</v>
      </c>
      <c r="BG13" s="149">
        <f t="shared" si="8"/>
        <v>38.299981329101264</v>
      </c>
      <c r="BH13" s="149">
        <f t="shared" si="8"/>
        <v>38.299981329101264</v>
      </c>
      <c r="BI13" s="149">
        <f t="shared" si="8"/>
        <v>38.299981329101264</v>
      </c>
      <c r="BJ13" s="149">
        <f t="shared" si="8"/>
        <v>38.299981329101264</v>
      </c>
      <c r="BK13" s="149">
        <f t="shared" si="8"/>
        <v>38.299981329101264</v>
      </c>
      <c r="BL13" s="149">
        <f t="shared" si="8"/>
        <v>38.299981329101264</v>
      </c>
      <c r="BM13" s="149">
        <f t="shared" si="8"/>
        <v>38.299981329101264</v>
      </c>
      <c r="BN13" s="149">
        <f t="shared" si="8"/>
        <v>38.299981329101264</v>
      </c>
      <c r="BO13" s="149">
        <f t="shared" si="8"/>
        <v>38.299981329101264</v>
      </c>
      <c r="BP13" s="149">
        <f t="shared" si="8"/>
        <v>38.299981329101264</v>
      </c>
      <c r="BQ13" s="149">
        <f t="shared" si="8"/>
        <v>38.299981329101264</v>
      </c>
      <c r="BR13" s="149">
        <f t="shared" si="8"/>
        <v>38.299981329101264</v>
      </c>
      <c r="BS13" s="149">
        <f t="shared" si="8"/>
        <v>38.299981329101264</v>
      </c>
      <c r="BT13" s="149">
        <f t="shared" si="8"/>
        <v>38.299981329101264</v>
      </c>
      <c r="BU13" s="149">
        <f t="shared" si="8"/>
        <v>38.299981329101264</v>
      </c>
      <c r="BV13" s="149">
        <f t="shared" si="8"/>
        <v>38.299981329101264</v>
      </c>
    </row>
    <row r="14" spans="1:74" s="142" customFormat="1" x14ac:dyDescent="0.25">
      <c r="A14" s="141" t="s">
        <v>2</v>
      </c>
      <c r="B14" s="142" t="s">
        <v>191</v>
      </c>
      <c r="C14" s="142" t="s">
        <v>298</v>
      </c>
      <c r="D14" s="150">
        <v>3.6</v>
      </c>
      <c r="E14" s="149">
        <v>3.6</v>
      </c>
      <c r="F14" s="149">
        <v>3.6</v>
      </c>
      <c r="G14" s="149">
        <v>3.6</v>
      </c>
      <c r="H14" s="149">
        <v>3.6</v>
      </c>
      <c r="I14" s="150">
        <v>3.6</v>
      </c>
      <c r="J14" s="150">
        <v>3.6</v>
      </c>
      <c r="K14" s="150">
        <v>3.6</v>
      </c>
      <c r="L14" s="150">
        <v>3.6</v>
      </c>
      <c r="M14" s="150">
        <v>3.6</v>
      </c>
      <c r="N14" s="150">
        <v>3.6</v>
      </c>
      <c r="O14" s="150">
        <v>3.6</v>
      </c>
      <c r="P14" s="150">
        <v>3.6</v>
      </c>
      <c r="Q14" s="150">
        <v>3.6</v>
      </c>
      <c r="R14" s="150">
        <v>3.6</v>
      </c>
      <c r="S14" s="150">
        <v>3.6</v>
      </c>
      <c r="T14" s="150">
        <v>3.6</v>
      </c>
      <c r="U14" s="150">
        <v>3.6</v>
      </c>
      <c r="V14" s="150">
        <v>3.6</v>
      </c>
      <c r="W14" s="150">
        <v>3.6</v>
      </c>
      <c r="X14" s="150">
        <v>3.6</v>
      </c>
      <c r="Y14" s="150">
        <v>3.6</v>
      </c>
      <c r="Z14" s="150">
        <v>3.6</v>
      </c>
      <c r="AA14" s="150">
        <v>3.6</v>
      </c>
      <c r="AB14" s="150">
        <v>3.6</v>
      </c>
      <c r="AC14" s="150">
        <v>3.6</v>
      </c>
      <c r="AD14" s="150">
        <v>3.6</v>
      </c>
      <c r="AE14" s="150">
        <v>3.6</v>
      </c>
      <c r="AF14" s="150">
        <v>3.6</v>
      </c>
      <c r="AG14" s="150">
        <v>3.6</v>
      </c>
      <c r="AH14" s="150">
        <v>3.6</v>
      </c>
      <c r="AI14" s="150">
        <v>3.6</v>
      </c>
      <c r="AJ14" s="150">
        <v>3.6</v>
      </c>
      <c r="AK14" s="150">
        <v>3.6</v>
      </c>
      <c r="AL14" s="150">
        <v>3.6</v>
      </c>
      <c r="AM14" s="150">
        <v>3.6</v>
      </c>
      <c r="AN14" s="150">
        <v>3.6</v>
      </c>
      <c r="AO14" s="150">
        <v>3.6</v>
      </c>
      <c r="AP14" s="150">
        <v>3.6</v>
      </c>
      <c r="AQ14" s="150">
        <v>3.6</v>
      </c>
      <c r="AR14" s="150">
        <v>3.6</v>
      </c>
      <c r="AS14" s="149">
        <f t="shared" ref="AS14:BV14" si="9">AR14</f>
        <v>3.6</v>
      </c>
      <c r="AT14" s="149">
        <f t="shared" si="9"/>
        <v>3.6</v>
      </c>
      <c r="AU14" s="149">
        <f t="shared" si="9"/>
        <v>3.6</v>
      </c>
      <c r="AV14" s="149">
        <f t="shared" si="9"/>
        <v>3.6</v>
      </c>
      <c r="AW14" s="149">
        <f t="shared" si="9"/>
        <v>3.6</v>
      </c>
      <c r="AX14" s="149">
        <f t="shared" si="9"/>
        <v>3.6</v>
      </c>
      <c r="AY14" s="149">
        <f t="shared" si="9"/>
        <v>3.6</v>
      </c>
      <c r="AZ14" s="149">
        <f t="shared" si="9"/>
        <v>3.6</v>
      </c>
      <c r="BA14" s="149">
        <f t="shared" si="9"/>
        <v>3.6</v>
      </c>
      <c r="BB14" s="149">
        <f t="shared" si="9"/>
        <v>3.6</v>
      </c>
      <c r="BC14" s="149">
        <f t="shared" si="9"/>
        <v>3.6</v>
      </c>
      <c r="BD14" s="149">
        <f t="shared" si="9"/>
        <v>3.6</v>
      </c>
      <c r="BE14" s="149">
        <f t="shared" si="9"/>
        <v>3.6</v>
      </c>
      <c r="BF14" s="149">
        <f t="shared" si="9"/>
        <v>3.6</v>
      </c>
      <c r="BG14" s="149">
        <f t="shared" si="9"/>
        <v>3.6</v>
      </c>
      <c r="BH14" s="149">
        <f t="shared" si="9"/>
        <v>3.6</v>
      </c>
      <c r="BI14" s="149">
        <f t="shared" si="9"/>
        <v>3.6</v>
      </c>
      <c r="BJ14" s="149">
        <f t="shared" si="9"/>
        <v>3.6</v>
      </c>
      <c r="BK14" s="149">
        <f t="shared" si="9"/>
        <v>3.6</v>
      </c>
      <c r="BL14" s="149">
        <f t="shared" si="9"/>
        <v>3.6</v>
      </c>
      <c r="BM14" s="149">
        <f t="shared" si="9"/>
        <v>3.6</v>
      </c>
      <c r="BN14" s="149">
        <f t="shared" si="9"/>
        <v>3.6</v>
      </c>
      <c r="BO14" s="149">
        <f t="shared" si="9"/>
        <v>3.6</v>
      </c>
      <c r="BP14" s="149">
        <f t="shared" si="9"/>
        <v>3.6</v>
      </c>
      <c r="BQ14" s="149">
        <f t="shared" si="9"/>
        <v>3.6</v>
      </c>
      <c r="BR14" s="149">
        <f t="shared" si="9"/>
        <v>3.6</v>
      </c>
      <c r="BS14" s="149">
        <f t="shared" si="9"/>
        <v>3.6</v>
      </c>
      <c r="BT14" s="149">
        <f t="shared" si="9"/>
        <v>3.6</v>
      </c>
      <c r="BU14" s="149">
        <f t="shared" si="9"/>
        <v>3.6</v>
      </c>
      <c r="BV14" s="149">
        <f t="shared" si="9"/>
        <v>3.6</v>
      </c>
    </row>
    <row r="15" spans="1:74" s="142" customFormat="1" x14ac:dyDescent="0.25">
      <c r="A15" s="141" t="s">
        <v>192</v>
      </c>
      <c r="B15" s="148" t="s">
        <v>179</v>
      </c>
      <c r="C15" s="142" t="s">
        <v>182</v>
      </c>
      <c r="D15" s="152">
        <v>21.275601056803168</v>
      </c>
      <c r="E15" s="153">
        <v>21.275601056803168</v>
      </c>
      <c r="F15" s="153">
        <v>21.275601056803168</v>
      </c>
      <c r="G15" s="153">
        <v>21.275601056803168</v>
      </c>
      <c r="H15" s="153">
        <v>21.275601056803168</v>
      </c>
      <c r="I15" s="153">
        <v>21.275601056803168</v>
      </c>
      <c r="J15" s="153">
        <v>21.275601056803168</v>
      </c>
      <c r="K15" s="153">
        <v>21.275601056803168</v>
      </c>
      <c r="L15" s="153">
        <v>21.275601056803168</v>
      </c>
      <c r="M15" s="153">
        <v>21.275601056803168</v>
      </c>
      <c r="N15" s="153">
        <v>21.275601056803168</v>
      </c>
      <c r="O15" s="153">
        <v>21.275601056803168</v>
      </c>
      <c r="P15" s="153">
        <v>21.275601056803168</v>
      </c>
      <c r="Q15" s="153">
        <v>21.275601056803168</v>
      </c>
      <c r="R15" s="153">
        <v>21.275601056803168</v>
      </c>
      <c r="S15" s="153">
        <v>21.275601056803168</v>
      </c>
      <c r="T15" s="153">
        <v>21.275601056803168</v>
      </c>
      <c r="U15" s="153">
        <v>21.275601056803168</v>
      </c>
      <c r="V15" s="153">
        <v>21.275601056803168</v>
      </c>
      <c r="W15" s="153">
        <v>21.275601056803168</v>
      </c>
      <c r="X15" s="153">
        <v>21.275601056803168</v>
      </c>
      <c r="Y15" s="153">
        <v>21.275601056803168</v>
      </c>
      <c r="Z15" s="153">
        <v>21.275601056803168</v>
      </c>
      <c r="AA15" s="153">
        <v>21.275601056803168</v>
      </c>
      <c r="AB15" s="153">
        <v>21.275601056803168</v>
      </c>
      <c r="AC15" s="153">
        <v>21.275601056803168</v>
      </c>
      <c r="AD15" s="153">
        <v>21.275601056803168</v>
      </c>
      <c r="AE15" s="153">
        <v>21.275601056803168</v>
      </c>
      <c r="AF15" s="153">
        <v>21.275601056803168</v>
      </c>
      <c r="AG15" s="153">
        <v>21.275601056803168</v>
      </c>
      <c r="AH15" s="153">
        <v>21.275601056803168</v>
      </c>
      <c r="AI15" s="153">
        <v>21.275601056803168</v>
      </c>
      <c r="AJ15" s="153">
        <v>21.275601056803168</v>
      </c>
      <c r="AK15" s="153">
        <v>21.275601056803168</v>
      </c>
      <c r="AL15" s="153">
        <v>21.275601056803168</v>
      </c>
      <c r="AM15" s="153">
        <v>21.275601056803168</v>
      </c>
      <c r="AN15" s="153">
        <v>21.275601056803168</v>
      </c>
      <c r="AO15" s="153">
        <v>21.275601056803168</v>
      </c>
      <c r="AP15" s="153">
        <v>21.275601056803168</v>
      </c>
      <c r="AQ15" s="153">
        <v>21.275601056803168</v>
      </c>
      <c r="AR15" s="153">
        <v>21.275601056803168</v>
      </c>
      <c r="AS15" s="149">
        <f t="shared" ref="AS15:BV15" si="10">AR15</f>
        <v>21.275601056803168</v>
      </c>
      <c r="AT15" s="149">
        <f t="shared" si="10"/>
        <v>21.275601056803168</v>
      </c>
      <c r="AU15" s="149">
        <f t="shared" si="10"/>
        <v>21.275601056803168</v>
      </c>
      <c r="AV15" s="149">
        <f t="shared" si="10"/>
        <v>21.275601056803168</v>
      </c>
      <c r="AW15" s="149">
        <f t="shared" si="10"/>
        <v>21.275601056803168</v>
      </c>
      <c r="AX15" s="149">
        <f t="shared" si="10"/>
        <v>21.275601056803168</v>
      </c>
      <c r="AY15" s="149">
        <f t="shared" si="10"/>
        <v>21.275601056803168</v>
      </c>
      <c r="AZ15" s="149">
        <f t="shared" si="10"/>
        <v>21.275601056803168</v>
      </c>
      <c r="BA15" s="149">
        <f t="shared" si="10"/>
        <v>21.275601056803168</v>
      </c>
      <c r="BB15" s="149">
        <f t="shared" si="10"/>
        <v>21.275601056803168</v>
      </c>
      <c r="BC15" s="149">
        <f t="shared" si="10"/>
        <v>21.275601056803168</v>
      </c>
      <c r="BD15" s="149">
        <f t="shared" si="10"/>
        <v>21.275601056803168</v>
      </c>
      <c r="BE15" s="149">
        <f t="shared" si="10"/>
        <v>21.275601056803168</v>
      </c>
      <c r="BF15" s="149">
        <f t="shared" si="10"/>
        <v>21.275601056803168</v>
      </c>
      <c r="BG15" s="149">
        <f t="shared" si="10"/>
        <v>21.275601056803168</v>
      </c>
      <c r="BH15" s="149">
        <f t="shared" si="10"/>
        <v>21.275601056803168</v>
      </c>
      <c r="BI15" s="149">
        <f t="shared" si="10"/>
        <v>21.275601056803168</v>
      </c>
      <c r="BJ15" s="149">
        <f t="shared" si="10"/>
        <v>21.275601056803168</v>
      </c>
      <c r="BK15" s="149">
        <f t="shared" si="10"/>
        <v>21.275601056803168</v>
      </c>
      <c r="BL15" s="149">
        <f t="shared" si="10"/>
        <v>21.275601056803168</v>
      </c>
      <c r="BM15" s="149">
        <f t="shared" si="10"/>
        <v>21.275601056803168</v>
      </c>
      <c r="BN15" s="149">
        <f t="shared" si="10"/>
        <v>21.275601056803168</v>
      </c>
      <c r="BO15" s="149">
        <f t="shared" si="10"/>
        <v>21.275601056803168</v>
      </c>
      <c r="BP15" s="149">
        <f t="shared" si="10"/>
        <v>21.275601056803168</v>
      </c>
      <c r="BQ15" s="149">
        <f t="shared" si="10"/>
        <v>21.275601056803168</v>
      </c>
      <c r="BR15" s="149">
        <f t="shared" si="10"/>
        <v>21.275601056803168</v>
      </c>
      <c r="BS15" s="149">
        <f t="shared" si="10"/>
        <v>21.275601056803168</v>
      </c>
      <c r="BT15" s="149">
        <f t="shared" si="10"/>
        <v>21.275601056803168</v>
      </c>
      <c r="BU15" s="149">
        <f t="shared" si="10"/>
        <v>21.275601056803168</v>
      </c>
      <c r="BV15" s="149">
        <f t="shared" si="10"/>
        <v>21.275601056803168</v>
      </c>
    </row>
    <row r="16" spans="1:74" x14ac:dyDescent="0.25">
      <c r="A16" s="141" t="s">
        <v>193</v>
      </c>
      <c r="B16" s="148" t="s">
        <v>190</v>
      </c>
      <c r="C16" s="154" t="s">
        <v>194</v>
      </c>
      <c r="D16" s="156">
        <v>41.730000077547437</v>
      </c>
      <c r="E16" s="156">
        <v>41.730000061384125</v>
      </c>
      <c r="F16" s="156">
        <v>41.730000045220812</v>
      </c>
      <c r="G16" s="156">
        <v>41.7300000290575</v>
      </c>
      <c r="H16" s="156">
        <v>41.730000012894187</v>
      </c>
      <c r="I16" s="156">
        <v>41.729999996730889</v>
      </c>
      <c r="J16" s="156">
        <v>41.730000063641704</v>
      </c>
      <c r="K16" s="156">
        <v>41.730000005731441</v>
      </c>
      <c r="L16" s="156">
        <v>42.5</v>
      </c>
      <c r="M16" s="156">
        <v>42.500000146223499</v>
      </c>
      <c r="N16" s="156">
        <v>42.500000140364548</v>
      </c>
      <c r="O16" s="156">
        <v>42.500000122808636</v>
      </c>
      <c r="P16" s="156">
        <v>42.500000121325208</v>
      </c>
      <c r="Q16" s="156">
        <v>42.5</v>
      </c>
      <c r="R16" s="156">
        <v>42.5</v>
      </c>
      <c r="S16" s="156">
        <v>42.500000113997764</v>
      </c>
      <c r="T16" s="156">
        <v>42.500000107487381</v>
      </c>
      <c r="U16" s="156">
        <v>42.499999800711066</v>
      </c>
      <c r="V16" s="156">
        <v>42.500001501511811</v>
      </c>
      <c r="W16" s="156">
        <v>42.500004407954123</v>
      </c>
      <c r="X16" s="156">
        <v>42.49999555949703</v>
      </c>
      <c r="Y16" s="156">
        <v>42.500000769872727</v>
      </c>
      <c r="Z16" s="156">
        <v>36.079997308866041</v>
      </c>
      <c r="AA16" s="156">
        <v>36.080004249007544</v>
      </c>
      <c r="AB16" s="156">
        <v>36.080004249007544</v>
      </c>
      <c r="AC16" s="156">
        <v>36.080004249007544</v>
      </c>
      <c r="AD16" s="156">
        <v>36.079999690602889</v>
      </c>
      <c r="AE16" s="156">
        <v>36.079999690602889</v>
      </c>
      <c r="AF16" s="156">
        <v>36.079999690602889</v>
      </c>
      <c r="AG16" s="156">
        <v>36.079999690602889</v>
      </c>
      <c r="AH16" s="156">
        <v>36.079999690602889</v>
      </c>
      <c r="AI16" s="156">
        <v>36.079999690602889</v>
      </c>
      <c r="AJ16" s="156">
        <v>36.079999690602889</v>
      </c>
      <c r="AK16" s="156">
        <v>36.079999690602889</v>
      </c>
      <c r="AL16" s="156">
        <v>36.079999690602889</v>
      </c>
      <c r="AM16" s="156">
        <v>36.079999690602889</v>
      </c>
      <c r="AN16" s="156">
        <v>36.079999690602889</v>
      </c>
      <c r="AO16" s="156">
        <v>36.079999690602889</v>
      </c>
      <c r="AP16" s="156">
        <v>36.079999690602889</v>
      </c>
      <c r="AQ16" s="156">
        <v>36.079999690602889</v>
      </c>
      <c r="AR16" s="156">
        <v>36.079999690602889</v>
      </c>
      <c r="AS16" s="149">
        <f t="shared" ref="AS16:BV16" si="11">AR16</f>
        <v>36.079999690602889</v>
      </c>
      <c r="AT16" s="149">
        <f t="shared" si="11"/>
        <v>36.079999690602889</v>
      </c>
      <c r="AU16" s="149">
        <f t="shared" si="11"/>
        <v>36.079999690602889</v>
      </c>
      <c r="AV16" s="149">
        <f t="shared" si="11"/>
        <v>36.079999690602889</v>
      </c>
      <c r="AW16" s="149">
        <f t="shared" si="11"/>
        <v>36.079999690602889</v>
      </c>
      <c r="AX16" s="149">
        <f t="shared" si="11"/>
        <v>36.079999690602889</v>
      </c>
      <c r="AY16" s="149">
        <f t="shared" si="11"/>
        <v>36.079999690602889</v>
      </c>
      <c r="AZ16" s="149">
        <f t="shared" si="11"/>
        <v>36.079999690602889</v>
      </c>
      <c r="BA16" s="149">
        <f t="shared" si="11"/>
        <v>36.079999690602889</v>
      </c>
      <c r="BB16" s="149">
        <f t="shared" si="11"/>
        <v>36.079999690602889</v>
      </c>
      <c r="BC16" s="149">
        <f t="shared" si="11"/>
        <v>36.079999690602889</v>
      </c>
      <c r="BD16" s="149">
        <f t="shared" si="11"/>
        <v>36.079999690602889</v>
      </c>
      <c r="BE16" s="149">
        <f t="shared" si="11"/>
        <v>36.079999690602889</v>
      </c>
      <c r="BF16" s="149">
        <f t="shared" si="11"/>
        <v>36.079999690602889</v>
      </c>
      <c r="BG16" s="149">
        <f t="shared" si="11"/>
        <v>36.079999690602889</v>
      </c>
      <c r="BH16" s="149">
        <f t="shared" si="11"/>
        <v>36.079999690602889</v>
      </c>
      <c r="BI16" s="149">
        <f t="shared" si="11"/>
        <v>36.079999690602889</v>
      </c>
      <c r="BJ16" s="149">
        <f t="shared" si="11"/>
        <v>36.079999690602889</v>
      </c>
      <c r="BK16" s="149">
        <f t="shared" si="11"/>
        <v>36.079999690602889</v>
      </c>
      <c r="BL16" s="149">
        <f t="shared" si="11"/>
        <v>36.079999690602889</v>
      </c>
      <c r="BM16" s="149">
        <f t="shared" si="11"/>
        <v>36.079999690602889</v>
      </c>
      <c r="BN16" s="149">
        <f t="shared" si="11"/>
        <v>36.079999690602889</v>
      </c>
      <c r="BO16" s="149">
        <f t="shared" si="11"/>
        <v>36.079999690602889</v>
      </c>
      <c r="BP16" s="149">
        <f t="shared" si="11"/>
        <v>36.079999690602889</v>
      </c>
      <c r="BQ16" s="149">
        <f t="shared" si="11"/>
        <v>36.079999690602889</v>
      </c>
      <c r="BR16" s="149">
        <f t="shared" si="11"/>
        <v>36.079999690602889</v>
      </c>
      <c r="BS16" s="149">
        <f t="shared" si="11"/>
        <v>36.079999690602889</v>
      </c>
      <c r="BT16" s="149">
        <f t="shared" si="11"/>
        <v>36.079999690602889</v>
      </c>
      <c r="BU16" s="149">
        <f t="shared" si="11"/>
        <v>36.079999690602889</v>
      </c>
      <c r="BV16" s="149">
        <f t="shared" si="11"/>
        <v>36.079999690602889</v>
      </c>
    </row>
    <row r="17" spans="1:74" x14ac:dyDescent="0.25">
      <c r="A17" s="141" t="s">
        <v>195</v>
      </c>
      <c r="B17" s="148" t="s">
        <v>179</v>
      </c>
      <c r="C17" s="142" t="s">
        <v>300</v>
      </c>
      <c r="D17" s="149">
        <v>34.660034464364017</v>
      </c>
      <c r="E17" s="149">
        <v>34.660034464364017</v>
      </c>
      <c r="F17" s="149">
        <v>34.660034464364017</v>
      </c>
      <c r="G17" s="149">
        <v>34.660034464364017</v>
      </c>
      <c r="H17" s="149">
        <v>34.660034464364017</v>
      </c>
      <c r="I17" s="150">
        <v>34.660034464364017</v>
      </c>
      <c r="J17" s="150">
        <v>34.660027852074542</v>
      </c>
      <c r="K17" s="150">
        <v>34.660030351008871</v>
      </c>
      <c r="L17" s="150">
        <v>34.66001927298035</v>
      </c>
      <c r="M17" s="150">
        <v>34.660021987595677</v>
      </c>
      <c r="N17" s="150">
        <v>34.659999168511533</v>
      </c>
      <c r="O17" s="150">
        <v>34.659952530630569</v>
      </c>
      <c r="P17" s="150">
        <v>34.99994930856888</v>
      </c>
      <c r="Q17" s="150">
        <v>35.000024944125158</v>
      </c>
      <c r="R17" s="150">
        <v>35</v>
      </c>
      <c r="S17" s="150">
        <v>34.999987749992037</v>
      </c>
      <c r="T17" s="150">
        <v>35</v>
      </c>
      <c r="U17" s="150">
        <v>35</v>
      </c>
      <c r="V17" s="150">
        <v>35.000011988021569</v>
      </c>
      <c r="W17" s="150">
        <v>34.999976324748687</v>
      </c>
      <c r="X17" s="150">
        <v>35.00002304986608</v>
      </c>
      <c r="Y17" s="150">
        <v>35</v>
      </c>
      <c r="Z17" s="150">
        <v>34.99997675942754</v>
      </c>
      <c r="AA17" s="150">
        <v>34.999988638610098</v>
      </c>
      <c r="AB17" s="150">
        <v>34.999977954144619</v>
      </c>
      <c r="AC17" s="150">
        <v>34.99996661703733</v>
      </c>
      <c r="AD17" s="150">
        <v>35.000010793145059</v>
      </c>
      <c r="AE17" s="150">
        <v>35.000010864723329</v>
      </c>
      <c r="AF17" s="150">
        <v>35.000010864723329</v>
      </c>
      <c r="AG17" s="150">
        <v>35.000010864723329</v>
      </c>
      <c r="AH17" s="150">
        <v>35.000010864723329</v>
      </c>
      <c r="AI17" s="150">
        <v>35.000010864723329</v>
      </c>
      <c r="AJ17" s="150">
        <v>35.000010864723329</v>
      </c>
      <c r="AK17" s="150">
        <v>35.000010864723329</v>
      </c>
      <c r="AL17" s="150">
        <v>35.000010864723329</v>
      </c>
      <c r="AM17" s="150">
        <v>35.000010864723329</v>
      </c>
      <c r="AN17" s="150">
        <v>35.000010864723329</v>
      </c>
      <c r="AO17" s="150">
        <v>35.000010864723329</v>
      </c>
      <c r="AP17" s="150">
        <v>35.000010864723329</v>
      </c>
      <c r="AQ17" s="150">
        <v>35.000010864723329</v>
      </c>
      <c r="AR17" s="150">
        <v>35.000010864723329</v>
      </c>
      <c r="AS17" s="149">
        <f t="shared" ref="AS17:BV17" si="12">AR17</f>
        <v>35.000010864723329</v>
      </c>
      <c r="AT17" s="149">
        <f t="shared" si="12"/>
        <v>35.000010864723329</v>
      </c>
      <c r="AU17" s="149">
        <f t="shared" si="12"/>
        <v>35.000010864723329</v>
      </c>
      <c r="AV17" s="149">
        <f t="shared" si="12"/>
        <v>35.000010864723329</v>
      </c>
      <c r="AW17" s="149">
        <f t="shared" si="12"/>
        <v>35.000010864723329</v>
      </c>
      <c r="AX17" s="149">
        <f t="shared" si="12"/>
        <v>35.000010864723329</v>
      </c>
      <c r="AY17" s="149">
        <f t="shared" si="12"/>
        <v>35.000010864723329</v>
      </c>
      <c r="AZ17" s="149">
        <f t="shared" si="12"/>
        <v>35.000010864723329</v>
      </c>
      <c r="BA17" s="149">
        <f t="shared" si="12"/>
        <v>35.000010864723329</v>
      </c>
      <c r="BB17" s="149">
        <f t="shared" si="12"/>
        <v>35.000010864723329</v>
      </c>
      <c r="BC17" s="149">
        <f t="shared" si="12"/>
        <v>35.000010864723329</v>
      </c>
      <c r="BD17" s="149">
        <f t="shared" si="12"/>
        <v>35.000010864723329</v>
      </c>
      <c r="BE17" s="149">
        <f t="shared" si="12"/>
        <v>35.000010864723329</v>
      </c>
      <c r="BF17" s="149">
        <f t="shared" si="12"/>
        <v>35.000010864723329</v>
      </c>
      <c r="BG17" s="149">
        <f t="shared" si="12"/>
        <v>35.000010864723329</v>
      </c>
      <c r="BH17" s="149">
        <f t="shared" si="12"/>
        <v>35.000010864723329</v>
      </c>
      <c r="BI17" s="149">
        <f t="shared" si="12"/>
        <v>35.000010864723329</v>
      </c>
      <c r="BJ17" s="149">
        <f t="shared" si="12"/>
        <v>35.000010864723329</v>
      </c>
      <c r="BK17" s="149">
        <f t="shared" si="12"/>
        <v>35.000010864723329</v>
      </c>
      <c r="BL17" s="149">
        <f t="shared" si="12"/>
        <v>35.000010864723329</v>
      </c>
      <c r="BM17" s="149">
        <f t="shared" si="12"/>
        <v>35.000010864723329</v>
      </c>
      <c r="BN17" s="149">
        <f t="shared" si="12"/>
        <v>35.000010864723329</v>
      </c>
      <c r="BO17" s="149">
        <f t="shared" si="12"/>
        <v>35.000010864723329</v>
      </c>
      <c r="BP17" s="149">
        <f t="shared" si="12"/>
        <v>35.000010864723329</v>
      </c>
      <c r="BQ17" s="149">
        <f t="shared" si="12"/>
        <v>35.000010864723329</v>
      </c>
      <c r="BR17" s="149">
        <f t="shared" si="12"/>
        <v>35.000010864723329</v>
      </c>
      <c r="BS17" s="149">
        <f t="shared" si="12"/>
        <v>35.000010864723329</v>
      </c>
      <c r="BT17" s="149">
        <f t="shared" si="12"/>
        <v>35.000010864723329</v>
      </c>
      <c r="BU17" s="149">
        <f t="shared" si="12"/>
        <v>35.000010864723329</v>
      </c>
      <c r="BV17" s="149">
        <f t="shared" si="12"/>
        <v>35.000010864723329</v>
      </c>
    </row>
    <row r="18" spans="1:74" x14ac:dyDescent="0.25">
      <c r="A18" s="141" t="s">
        <v>251</v>
      </c>
      <c r="B18" s="148" t="s">
        <v>179</v>
      </c>
      <c r="C18" s="142" t="s">
        <v>298</v>
      </c>
      <c r="D18" s="150">
        <v>41.729999798728734</v>
      </c>
      <c r="E18" s="149">
        <v>41.729999850324248</v>
      </c>
      <c r="F18" s="149">
        <v>41.729999901919761</v>
      </c>
      <c r="G18" s="149">
        <v>41.729999953515275</v>
      </c>
      <c r="H18" s="149">
        <v>41.730000005110789</v>
      </c>
      <c r="I18" s="150">
        <v>41.730000056706309</v>
      </c>
      <c r="J18" s="150">
        <v>41.730000149270637</v>
      </c>
      <c r="K18" s="150">
        <v>41.730007627459827</v>
      </c>
      <c r="L18" s="150">
        <v>42.500001626852651</v>
      </c>
      <c r="M18" s="150">
        <v>42.500001046407576</v>
      </c>
      <c r="N18" s="150">
        <v>42.500001679681141</v>
      </c>
      <c r="O18" s="150">
        <v>42.500001372430312</v>
      </c>
      <c r="P18" s="150">
        <v>42.500001853421082</v>
      </c>
      <c r="Q18" s="150">
        <v>42.500000153212326</v>
      </c>
      <c r="R18" s="150">
        <v>42.500001555910806</v>
      </c>
      <c r="S18" s="150">
        <v>42.49999462158479</v>
      </c>
      <c r="T18" s="150">
        <v>42.499993198406727</v>
      </c>
      <c r="U18" s="150">
        <v>42.500007934339692</v>
      </c>
      <c r="V18" s="150">
        <v>42.500003902539106</v>
      </c>
      <c r="W18" s="150">
        <v>42.500005927963386</v>
      </c>
      <c r="X18" s="150">
        <v>42.499996053265136</v>
      </c>
      <c r="Y18" s="150">
        <v>42.500008082757489</v>
      </c>
      <c r="Z18" s="150">
        <v>42.500026715920235</v>
      </c>
      <c r="AA18" s="150">
        <v>42.500005546759979</v>
      </c>
      <c r="AB18" s="150">
        <v>42.500005546759979</v>
      </c>
      <c r="AC18" s="150">
        <v>42.500005546759979</v>
      </c>
      <c r="AD18" s="150">
        <v>42.500021461699902</v>
      </c>
      <c r="AE18" s="150">
        <v>42.500021461699902</v>
      </c>
      <c r="AF18" s="150">
        <v>42.500021461699902</v>
      </c>
      <c r="AG18" s="150">
        <v>42.500021461699902</v>
      </c>
      <c r="AH18" s="150">
        <v>42.500021461699902</v>
      </c>
      <c r="AI18" s="150">
        <v>42.500021461699902</v>
      </c>
      <c r="AJ18" s="150">
        <v>42.500021461699902</v>
      </c>
      <c r="AK18" s="150">
        <v>42.500021461699902</v>
      </c>
      <c r="AL18" s="150">
        <v>42.500021461699902</v>
      </c>
      <c r="AM18" s="150">
        <v>42.500021461699902</v>
      </c>
      <c r="AN18" s="150">
        <v>42.500021461699902</v>
      </c>
      <c r="AO18" s="150">
        <v>42.500021461699902</v>
      </c>
      <c r="AP18" s="150">
        <v>42.500021461699902</v>
      </c>
      <c r="AQ18" s="150">
        <v>42.500021461699902</v>
      </c>
      <c r="AR18" s="150">
        <v>42.500021461699902</v>
      </c>
      <c r="AS18" s="149">
        <f t="shared" ref="AS18:BV18" si="13">AR18</f>
        <v>42.500021461699902</v>
      </c>
      <c r="AT18" s="149">
        <f t="shared" si="13"/>
        <v>42.500021461699902</v>
      </c>
      <c r="AU18" s="149">
        <f t="shared" si="13"/>
        <v>42.500021461699902</v>
      </c>
      <c r="AV18" s="149">
        <f t="shared" si="13"/>
        <v>42.500021461699902</v>
      </c>
      <c r="AW18" s="149">
        <f t="shared" si="13"/>
        <v>42.500021461699902</v>
      </c>
      <c r="AX18" s="149">
        <f t="shared" si="13"/>
        <v>42.500021461699902</v>
      </c>
      <c r="AY18" s="149">
        <f t="shared" si="13"/>
        <v>42.500021461699902</v>
      </c>
      <c r="AZ18" s="149">
        <f t="shared" si="13"/>
        <v>42.500021461699902</v>
      </c>
      <c r="BA18" s="149">
        <f t="shared" si="13"/>
        <v>42.500021461699902</v>
      </c>
      <c r="BB18" s="149">
        <f t="shared" si="13"/>
        <v>42.500021461699902</v>
      </c>
      <c r="BC18" s="149">
        <f t="shared" si="13"/>
        <v>42.500021461699902</v>
      </c>
      <c r="BD18" s="149">
        <f t="shared" si="13"/>
        <v>42.500021461699902</v>
      </c>
      <c r="BE18" s="149">
        <f t="shared" si="13"/>
        <v>42.500021461699902</v>
      </c>
      <c r="BF18" s="149">
        <f t="shared" si="13"/>
        <v>42.500021461699902</v>
      </c>
      <c r="BG18" s="149">
        <f t="shared" si="13"/>
        <v>42.500021461699902</v>
      </c>
      <c r="BH18" s="149">
        <f t="shared" si="13"/>
        <v>42.500021461699902</v>
      </c>
      <c r="BI18" s="149">
        <f t="shared" si="13"/>
        <v>42.500021461699902</v>
      </c>
      <c r="BJ18" s="149">
        <f t="shared" si="13"/>
        <v>42.500021461699902</v>
      </c>
      <c r="BK18" s="149">
        <f t="shared" si="13"/>
        <v>42.500021461699902</v>
      </c>
      <c r="BL18" s="149">
        <f t="shared" si="13"/>
        <v>42.500021461699902</v>
      </c>
      <c r="BM18" s="149">
        <f t="shared" si="13"/>
        <v>42.500021461699902</v>
      </c>
      <c r="BN18" s="149">
        <f t="shared" si="13"/>
        <v>42.500021461699902</v>
      </c>
      <c r="BO18" s="149">
        <f t="shared" si="13"/>
        <v>42.500021461699902</v>
      </c>
      <c r="BP18" s="149">
        <f t="shared" si="13"/>
        <v>42.500021461699902</v>
      </c>
      <c r="BQ18" s="149">
        <f t="shared" si="13"/>
        <v>42.500021461699902</v>
      </c>
      <c r="BR18" s="149">
        <f t="shared" si="13"/>
        <v>42.500021461699902</v>
      </c>
      <c r="BS18" s="149">
        <f t="shared" si="13"/>
        <v>42.500021461699902</v>
      </c>
      <c r="BT18" s="149">
        <f t="shared" si="13"/>
        <v>42.500021461699902</v>
      </c>
      <c r="BU18" s="149">
        <f t="shared" si="13"/>
        <v>42.500021461699902</v>
      </c>
      <c r="BV18" s="149">
        <f t="shared" si="13"/>
        <v>42.500021461699902</v>
      </c>
    </row>
    <row r="19" spans="1:74" x14ac:dyDescent="0.25">
      <c r="A19" s="141" t="s">
        <v>196</v>
      </c>
      <c r="B19" s="148" t="s">
        <v>179</v>
      </c>
      <c r="C19" s="154" t="s">
        <v>197</v>
      </c>
      <c r="D19" s="156">
        <v>38.679999232750063</v>
      </c>
      <c r="E19" s="156">
        <v>38.679998396969175</v>
      </c>
      <c r="F19" s="156">
        <v>38.679997561188287</v>
      </c>
      <c r="G19" s="156">
        <v>38.679996725407399</v>
      </c>
      <c r="H19" s="156">
        <v>38.679995889626511</v>
      </c>
      <c r="I19" s="156">
        <v>38.679995053845637</v>
      </c>
      <c r="J19" s="156">
        <v>38.679999632717525</v>
      </c>
      <c r="K19" s="156">
        <v>38.680002557762812</v>
      </c>
      <c r="L19" s="156">
        <v>38.679993993385487</v>
      </c>
      <c r="M19" s="156">
        <v>38.679998388251818</v>
      </c>
      <c r="N19" s="156">
        <v>38.680000248693197</v>
      </c>
      <c r="O19" s="156">
        <v>38.680000952692033</v>
      </c>
      <c r="P19" s="156">
        <v>38.679997660202979</v>
      </c>
      <c r="Q19" s="156">
        <v>38.679999233475002</v>
      </c>
      <c r="R19" s="156">
        <v>38.6800045103193</v>
      </c>
      <c r="S19" s="156">
        <v>38.680011694231176</v>
      </c>
      <c r="T19" s="156">
        <v>38.679963391858195</v>
      </c>
      <c r="U19" s="156">
        <v>38.679976398214102</v>
      </c>
      <c r="V19" s="156">
        <v>38.680013593062455</v>
      </c>
      <c r="W19" s="156">
        <v>38.6799859652672</v>
      </c>
      <c r="X19" s="156">
        <v>38.680001283507877</v>
      </c>
      <c r="Y19" s="156">
        <v>38.679993610020993</v>
      </c>
      <c r="Z19" s="156">
        <v>38.680024743620322</v>
      </c>
      <c r="AA19" s="156">
        <v>38.680009057183312</v>
      </c>
      <c r="AB19" s="156">
        <v>38.525270085209982</v>
      </c>
      <c r="AC19" s="156">
        <v>38.53171255427781</v>
      </c>
      <c r="AD19" s="156">
        <v>38.458573642019466</v>
      </c>
      <c r="AE19" s="156">
        <v>38.435284437573493</v>
      </c>
      <c r="AF19" s="156">
        <v>38.435284437573493</v>
      </c>
      <c r="AG19" s="156">
        <v>38.435284437573493</v>
      </c>
      <c r="AH19" s="156">
        <v>38.435284437573493</v>
      </c>
      <c r="AI19" s="156">
        <v>38.435284437573493</v>
      </c>
      <c r="AJ19" s="156">
        <v>38.435284437573493</v>
      </c>
      <c r="AK19" s="156">
        <v>38.435284437573493</v>
      </c>
      <c r="AL19" s="156">
        <v>38.435284437573493</v>
      </c>
      <c r="AM19" s="156">
        <v>38.435284437573493</v>
      </c>
      <c r="AN19" s="156">
        <v>38.435284437573493</v>
      </c>
      <c r="AO19" s="156">
        <v>38.435284437573493</v>
      </c>
      <c r="AP19" s="156">
        <v>38.435284437573493</v>
      </c>
      <c r="AQ19" s="156">
        <v>38.435284437573493</v>
      </c>
      <c r="AR19" s="156">
        <v>38.435284437573493</v>
      </c>
      <c r="AS19" s="149">
        <f t="shared" ref="AS19:BV19" si="14">AR19</f>
        <v>38.435284437573493</v>
      </c>
      <c r="AT19" s="149">
        <f t="shared" si="14"/>
        <v>38.435284437573493</v>
      </c>
      <c r="AU19" s="149">
        <f t="shared" si="14"/>
        <v>38.435284437573493</v>
      </c>
      <c r="AV19" s="149">
        <f t="shared" si="14"/>
        <v>38.435284437573493</v>
      </c>
      <c r="AW19" s="149">
        <f t="shared" si="14"/>
        <v>38.435284437573493</v>
      </c>
      <c r="AX19" s="149">
        <f t="shared" si="14"/>
        <v>38.435284437573493</v>
      </c>
      <c r="AY19" s="149">
        <f t="shared" si="14"/>
        <v>38.435284437573493</v>
      </c>
      <c r="AZ19" s="149">
        <f t="shared" si="14"/>
        <v>38.435284437573493</v>
      </c>
      <c r="BA19" s="149">
        <f t="shared" si="14"/>
        <v>38.435284437573493</v>
      </c>
      <c r="BB19" s="149">
        <f t="shared" si="14"/>
        <v>38.435284437573493</v>
      </c>
      <c r="BC19" s="149">
        <f t="shared" si="14"/>
        <v>38.435284437573493</v>
      </c>
      <c r="BD19" s="149">
        <f t="shared" si="14"/>
        <v>38.435284437573493</v>
      </c>
      <c r="BE19" s="149">
        <f t="shared" si="14"/>
        <v>38.435284437573493</v>
      </c>
      <c r="BF19" s="149">
        <f t="shared" si="14"/>
        <v>38.435284437573493</v>
      </c>
      <c r="BG19" s="149">
        <f t="shared" si="14"/>
        <v>38.435284437573493</v>
      </c>
      <c r="BH19" s="149">
        <f t="shared" si="14"/>
        <v>38.435284437573493</v>
      </c>
      <c r="BI19" s="149">
        <f t="shared" si="14"/>
        <v>38.435284437573493</v>
      </c>
      <c r="BJ19" s="149">
        <f t="shared" si="14"/>
        <v>38.435284437573493</v>
      </c>
      <c r="BK19" s="149">
        <f t="shared" si="14"/>
        <v>38.435284437573493</v>
      </c>
      <c r="BL19" s="149">
        <f t="shared" si="14"/>
        <v>38.435284437573493</v>
      </c>
      <c r="BM19" s="149">
        <f t="shared" si="14"/>
        <v>38.435284437573493</v>
      </c>
      <c r="BN19" s="149">
        <f t="shared" si="14"/>
        <v>38.435284437573493</v>
      </c>
      <c r="BO19" s="149">
        <f t="shared" si="14"/>
        <v>38.435284437573493</v>
      </c>
      <c r="BP19" s="149">
        <f t="shared" si="14"/>
        <v>38.435284437573493</v>
      </c>
      <c r="BQ19" s="149">
        <f t="shared" si="14"/>
        <v>38.435284437573493</v>
      </c>
      <c r="BR19" s="149">
        <f t="shared" si="14"/>
        <v>38.435284437573493</v>
      </c>
      <c r="BS19" s="149">
        <f t="shared" si="14"/>
        <v>38.435284437573493</v>
      </c>
      <c r="BT19" s="149">
        <f t="shared" si="14"/>
        <v>38.435284437573493</v>
      </c>
      <c r="BU19" s="149">
        <f t="shared" si="14"/>
        <v>38.435284437573493</v>
      </c>
      <c r="BV19" s="149">
        <f t="shared" si="14"/>
        <v>38.435284437573493</v>
      </c>
    </row>
    <row r="20" spans="1:74" x14ac:dyDescent="0.25">
      <c r="A20" s="147" t="s">
        <v>13</v>
      </c>
      <c r="B20" s="148" t="s">
        <v>179</v>
      </c>
      <c r="C20" s="154" t="s">
        <v>197</v>
      </c>
      <c r="D20" s="156">
        <v>38.679999232750063</v>
      </c>
      <c r="E20" s="156">
        <v>38.679998396969175</v>
      </c>
      <c r="F20" s="156">
        <v>38.679997561188287</v>
      </c>
      <c r="G20" s="156">
        <v>38.679996725407399</v>
      </c>
      <c r="H20" s="156">
        <v>38.679995889626511</v>
      </c>
      <c r="I20" s="156">
        <v>38.679995053845637</v>
      </c>
      <c r="J20" s="156">
        <v>38.679999632717525</v>
      </c>
      <c r="K20" s="156">
        <v>38.680002557762812</v>
      </c>
      <c r="L20" s="156">
        <v>38.679993993385487</v>
      </c>
      <c r="M20" s="156">
        <v>38.679998388251818</v>
      </c>
      <c r="N20" s="156">
        <v>38.680000248693197</v>
      </c>
      <c r="O20" s="156">
        <v>38.680000952692033</v>
      </c>
      <c r="P20" s="156">
        <v>38.679997660202979</v>
      </c>
      <c r="Q20" s="156">
        <v>38.679999233475002</v>
      </c>
      <c r="R20" s="156">
        <v>38.6800045103193</v>
      </c>
      <c r="S20" s="156">
        <v>38.680011694231176</v>
      </c>
      <c r="T20" s="156">
        <v>38.679963391858195</v>
      </c>
      <c r="U20" s="156">
        <v>38.679976398214102</v>
      </c>
      <c r="V20" s="156">
        <v>38.680013593062455</v>
      </c>
      <c r="W20" s="156">
        <v>38.6799859652672</v>
      </c>
      <c r="X20" s="156">
        <v>38.680001283507877</v>
      </c>
      <c r="Y20" s="156">
        <v>38.679993610020993</v>
      </c>
      <c r="Z20" s="156">
        <v>38.680024743620322</v>
      </c>
      <c r="AA20" s="156">
        <v>38.680009057183312</v>
      </c>
      <c r="AB20" s="156">
        <v>38.525270085209982</v>
      </c>
      <c r="AC20" s="156">
        <v>38.53171255427781</v>
      </c>
      <c r="AD20" s="156">
        <v>38.458573642019466</v>
      </c>
      <c r="AE20" s="156">
        <v>38.435284437573493</v>
      </c>
      <c r="AF20" s="156">
        <v>38.435284437573493</v>
      </c>
      <c r="AG20" s="156">
        <v>38.435284437573493</v>
      </c>
      <c r="AH20" s="156">
        <v>38.435284437573493</v>
      </c>
      <c r="AI20" s="156">
        <v>38.435284437573493</v>
      </c>
      <c r="AJ20" s="156">
        <v>38.435284437573493</v>
      </c>
      <c r="AK20" s="156">
        <v>38.435284437573493</v>
      </c>
      <c r="AL20" s="156">
        <v>38.435284437573493</v>
      </c>
      <c r="AM20" s="156">
        <v>38.435284437573493</v>
      </c>
      <c r="AN20" s="156">
        <v>38.435284437573493</v>
      </c>
      <c r="AO20" s="156">
        <v>38.435284437573493</v>
      </c>
      <c r="AP20" s="156">
        <v>38.435284437573493</v>
      </c>
      <c r="AQ20" s="156">
        <v>38.435284437573493</v>
      </c>
      <c r="AR20" s="156">
        <v>38.435284437573493</v>
      </c>
      <c r="AS20" s="149">
        <f t="shared" ref="AS20:BV20" si="15">AR20</f>
        <v>38.435284437573493</v>
      </c>
      <c r="AT20" s="149">
        <f t="shared" si="15"/>
        <v>38.435284437573493</v>
      </c>
      <c r="AU20" s="149">
        <f t="shared" si="15"/>
        <v>38.435284437573493</v>
      </c>
      <c r="AV20" s="149">
        <f t="shared" si="15"/>
        <v>38.435284437573493</v>
      </c>
      <c r="AW20" s="149">
        <f t="shared" si="15"/>
        <v>38.435284437573493</v>
      </c>
      <c r="AX20" s="149">
        <f t="shared" si="15"/>
        <v>38.435284437573493</v>
      </c>
      <c r="AY20" s="149">
        <f t="shared" si="15"/>
        <v>38.435284437573493</v>
      </c>
      <c r="AZ20" s="149">
        <f t="shared" si="15"/>
        <v>38.435284437573493</v>
      </c>
      <c r="BA20" s="149">
        <f t="shared" si="15"/>
        <v>38.435284437573493</v>
      </c>
      <c r="BB20" s="149">
        <f t="shared" si="15"/>
        <v>38.435284437573493</v>
      </c>
      <c r="BC20" s="149">
        <f t="shared" si="15"/>
        <v>38.435284437573493</v>
      </c>
      <c r="BD20" s="149">
        <f t="shared" si="15"/>
        <v>38.435284437573493</v>
      </c>
      <c r="BE20" s="149">
        <f t="shared" si="15"/>
        <v>38.435284437573493</v>
      </c>
      <c r="BF20" s="149">
        <f t="shared" si="15"/>
        <v>38.435284437573493</v>
      </c>
      <c r="BG20" s="149">
        <f t="shared" si="15"/>
        <v>38.435284437573493</v>
      </c>
      <c r="BH20" s="149">
        <f t="shared" si="15"/>
        <v>38.435284437573493</v>
      </c>
      <c r="BI20" s="149">
        <f t="shared" si="15"/>
        <v>38.435284437573493</v>
      </c>
      <c r="BJ20" s="149">
        <f t="shared" si="15"/>
        <v>38.435284437573493</v>
      </c>
      <c r="BK20" s="149">
        <f t="shared" si="15"/>
        <v>38.435284437573493</v>
      </c>
      <c r="BL20" s="149">
        <f t="shared" si="15"/>
        <v>38.435284437573493</v>
      </c>
      <c r="BM20" s="149">
        <f t="shared" si="15"/>
        <v>38.435284437573493</v>
      </c>
      <c r="BN20" s="149">
        <f t="shared" si="15"/>
        <v>38.435284437573493</v>
      </c>
      <c r="BO20" s="149">
        <f t="shared" si="15"/>
        <v>38.435284437573493</v>
      </c>
      <c r="BP20" s="149">
        <f t="shared" si="15"/>
        <v>38.435284437573493</v>
      </c>
      <c r="BQ20" s="149">
        <f t="shared" si="15"/>
        <v>38.435284437573493</v>
      </c>
      <c r="BR20" s="149">
        <f t="shared" si="15"/>
        <v>38.435284437573493</v>
      </c>
      <c r="BS20" s="149">
        <f t="shared" si="15"/>
        <v>38.435284437573493</v>
      </c>
      <c r="BT20" s="149">
        <f t="shared" si="15"/>
        <v>38.435284437573493</v>
      </c>
      <c r="BU20" s="149">
        <f t="shared" si="15"/>
        <v>38.435284437573493</v>
      </c>
      <c r="BV20" s="149">
        <f t="shared" si="15"/>
        <v>38.435284437573493</v>
      </c>
    </row>
    <row r="21" spans="1:74" x14ac:dyDescent="0.25">
      <c r="A21" s="147" t="s">
        <v>199</v>
      </c>
      <c r="B21" s="148" t="s">
        <v>179</v>
      </c>
      <c r="C21" s="142" t="s">
        <v>300</v>
      </c>
      <c r="D21" s="149">
        <v>26.84811029236986</v>
      </c>
      <c r="E21" s="149">
        <v>26.84811029236986</v>
      </c>
      <c r="F21" s="149">
        <v>26.84811029236986</v>
      </c>
      <c r="G21" s="149">
        <v>26.84811029236986</v>
      </c>
      <c r="H21" s="149">
        <v>26.84811029236986</v>
      </c>
      <c r="I21" s="149">
        <v>26.84811029236986</v>
      </c>
      <c r="J21" s="149">
        <v>26.84811029236986</v>
      </c>
      <c r="K21" s="149">
        <v>26.84811029236986</v>
      </c>
      <c r="L21" s="149">
        <v>26.84811029236986</v>
      </c>
      <c r="M21" s="149">
        <v>26.84811029236986</v>
      </c>
      <c r="N21" s="149">
        <v>26.84811029236986</v>
      </c>
      <c r="O21" s="149">
        <v>26.84811029236986</v>
      </c>
      <c r="P21" s="150">
        <v>26.84811029236986</v>
      </c>
      <c r="Q21" s="150">
        <v>26.800082610491533</v>
      </c>
      <c r="R21" s="150">
        <v>26.799897075220859</v>
      </c>
      <c r="S21" s="149">
        <v>26.799897075220859</v>
      </c>
      <c r="T21" s="149">
        <v>26.799897075220859</v>
      </c>
      <c r="U21" s="149">
        <v>26.799897075220859</v>
      </c>
      <c r="V21" s="149">
        <v>26.799897075220859</v>
      </c>
      <c r="W21" s="149">
        <v>26.799897075220859</v>
      </c>
      <c r="X21" s="149">
        <v>26.799897075220859</v>
      </c>
      <c r="Y21" s="149">
        <v>26.799897075220859</v>
      </c>
      <c r="Z21" s="149">
        <v>26.799897075220859</v>
      </c>
      <c r="AA21" s="149">
        <v>26.799897075220859</v>
      </c>
      <c r="AB21" s="149">
        <v>26.799897075220859</v>
      </c>
      <c r="AC21" s="149">
        <v>26.799897075220859</v>
      </c>
      <c r="AD21" s="149">
        <v>26.799897075220859</v>
      </c>
      <c r="AE21" s="149">
        <v>26.799897075220859</v>
      </c>
      <c r="AF21" s="149">
        <v>26.799897075220859</v>
      </c>
      <c r="AG21" s="149">
        <v>26.799897075220859</v>
      </c>
      <c r="AH21" s="149">
        <v>26.799897075220859</v>
      </c>
      <c r="AI21" s="149">
        <v>26.799897075220859</v>
      </c>
      <c r="AJ21" s="149">
        <v>26.799897075220859</v>
      </c>
      <c r="AK21" s="149">
        <v>26.799897075220859</v>
      </c>
      <c r="AL21" s="149">
        <v>26.799897075220859</v>
      </c>
      <c r="AM21" s="149">
        <v>26.799897075220859</v>
      </c>
      <c r="AN21" s="149">
        <v>26.799897075220859</v>
      </c>
      <c r="AO21" s="149">
        <v>26.799897075220859</v>
      </c>
      <c r="AP21" s="149">
        <v>26.799897075220859</v>
      </c>
      <c r="AQ21" s="149">
        <v>26.799897075220859</v>
      </c>
      <c r="AR21" s="149">
        <v>26.799897075220859</v>
      </c>
      <c r="AS21" s="149">
        <f t="shared" ref="AS21:BV21" si="16">AR21</f>
        <v>26.799897075220859</v>
      </c>
      <c r="AT21" s="149">
        <f t="shared" si="16"/>
        <v>26.799897075220859</v>
      </c>
      <c r="AU21" s="149">
        <f t="shared" si="16"/>
        <v>26.799897075220859</v>
      </c>
      <c r="AV21" s="149">
        <f t="shared" si="16"/>
        <v>26.799897075220859</v>
      </c>
      <c r="AW21" s="149">
        <f t="shared" si="16"/>
        <v>26.799897075220859</v>
      </c>
      <c r="AX21" s="149">
        <f t="shared" si="16"/>
        <v>26.799897075220859</v>
      </c>
      <c r="AY21" s="149">
        <f t="shared" si="16"/>
        <v>26.799897075220859</v>
      </c>
      <c r="AZ21" s="149">
        <f t="shared" si="16"/>
        <v>26.799897075220859</v>
      </c>
      <c r="BA21" s="149">
        <f t="shared" si="16"/>
        <v>26.799897075220859</v>
      </c>
      <c r="BB21" s="149">
        <f t="shared" si="16"/>
        <v>26.799897075220859</v>
      </c>
      <c r="BC21" s="149">
        <f t="shared" si="16"/>
        <v>26.799897075220859</v>
      </c>
      <c r="BD21" s="149">
        <f t="shared" si="16"/>
        <v>26.799897075220859</v>
      </c>
      <c r="BE21" s="149">
        <f t="shared" si="16"/>
        <v>26.799897075220859</v>
      </c>
      <c r="BF21" s="149">
        <f t="shared" si="16"/>
        <v>26.799897075220859</v>
      </c>
      <c r="BG21" s="149">
        <f t="shared" si="16"/>
        <v>26.799897075220859</v>
      </c>
      <c r="BH21" s="149">
        <f t="shared" si="16"/>
        <v>26.799897075220859</v>
      </c>
      <c r="BI21" s="149">
        <f t="shared" si="16"/>
        <v>26.799897075220859</v>
      </c>
      <c r="BJ21" s="149">
        <f t="shared" si="16"/>
        <v>26.799897075220859</v>
      </c>
      <c r="BK21" s="149">
        <f t="shared" si="16"/>
        <v>26.799897075220859</v>
      </c>
      <c r="BL21" s="149">
        <f t="shared" si="16"/>
        <v>26.799897075220859</v>
      </c>
      <c r="BM21" s="149">
        <f t="shared" si="16"/>
        <v>26.799897075220859</v>
      </c>
      <c r="BN21" s="149">
        <f t="shared" si="16"/>
        <v>26.799897075220859</v>
      </c>
      <c r="BO21" s="149">
        <f t="shared" si="16"/>
        <v>26.799897075220859</v>
      </c>
      <c r="BP21" s="149">
        <f t="shared" si="16"/>
        <v>26.799897075220859</v>
      </c>
      <c r="BQ21" s="149">
        <f t="shared" si="16"/>
        <v>26.799897075220859</v>
      </c>
      <c r="BR21" s="149">
        <f t="shared" si="16"/>
        <v>26.799897075220859</v>
      </c>
      <c r="BS21" s="149">
        <f t="shared" si="16"/>
        <v>26.799897075220859</v>
      </c>
      <c r="BT21" s="149">
        <f t="shared" si="16"/>
        <v>26.799897075220859</v>
      </c>
      <c r="BU21" s="149">
        <f t="shared" si="16"/>
        <v>26.799897075220859</v>
      </c>
      <c r="BV21" s="149">
        <f t="shared" si="16"/>
        <v>26.799897075220859</v>
      </c>
    </row>
    <row r="22" spans="1:74" x14ac:dyDescent="0.25">
      <c r="A22" s="147" t="s">
        <v>197</v>
      </c>
      <c r="B22" s="148" t="s">
        <v>179</v>
      </c>
      <c r="C22" s="142" t="s">
        <v>298</v>
      </c>
      <c r="D22" s="150">
        <v>38.679999232750063</v>
      </c>
      <c r="E22" s="149">
        <v>38.679998396969175</v>
      </c>
      <c r="F22" s="149">
        <v>38.679997561188287</v>
      </c>
      <c r="G22" s="149">
        <v>38.679996725407399</v>
      </c>
      <c r="H22" s="149">
        <v>38.679995889626511</v>
      </c>
      <c r="I22" s="150">
        <v>38.679995053845637</v>
      </c>
      <c r="J22" s="150">
        <v>38.679999632717525</v>
      </c>
      <c r="K22" s="150">
        <v>38.680002557762812</v>
      </c>
      <c r="L22" s="150">
        <v>38.679993993385487</v>
      </c>
      <c r="M22" s="150">
        <v>38.679998388251818</v>
      </c>
      <c r="N22" s="150">
        <v>38.680000248693197</v>
      </c>
      <c r="O22" s="150">
        <v>38.680000952692033</v>
      </c>
      <c r="P22" s="150">
        <v>38.679997660202979</v>
      </c>
      <c r="Q22" s="150">
        <v>38.679999233475002</v>
      </c>
      <c r="R22" s="150">
        <v>38.6800045103193</v>
      </c>
      <c r="S22" s="150">
        <v>38.680011694231176</v>
      </c>
      <c r="T22" s="150">
        <v>38.679963391858195</v>
      </c>
      <c r="U22" s="150">
        <v>38.679976398214102</v>
      </c>
      <c r="V22" s="150">
        <v>38.680013593062455</v>
      </c>
      <c r="W22" s="150">
        <v>38.6799859652672</v>
      </c>
      <c r="X22" s="150">
        <v>38.680001283507877</v>
      </c>
      <c r="Y22" s="150">
        <v>38.679993610020993</v>
      </c>
      <c r="Z22" s="150">
        <v>38.680024743620322</v>
      </c>
      <c r="AA22" s="150">
        <v>38.680009057183312</v>
      </c>
      <c r="AB22" s="150">
        <v>38.525270085209982</v>
      </c>
      <c r="AC22" s="150">
        <v>38.53171255427781</v>
      </c>
      <c r="AD22" s="150">
        <v>38.458573642019466</v>
      </c>
      <c r="AE22" s="150">
        <v>38.435284437573493</v>
      </c>
      <c r="AF22" s="150">
        <v>38.435284437573493</v>
      </c>
      <c r="AG22" s="150">
        <v>38.435284437573493</v>
      </c>
      <c r="AH22" s="150">
        <v>38.435284437573493</v>
      </c>
      <c r="AI22" s="150">
        <v>38.435284437573493</v>
      </c>
      <c r="AJ22" s="150">
        <v>38.435284437573493</v>
      </c>
      <c r="AK22" s="150">
        <v>38.435284437573493</v>
      </c>
      <c r="AL22" s="150">
        <v>38.435284437573493</v>
      </c>
      <c r="AM22" s="150">
        <v>38.435284437573493</v>
      </c>
      <c r="AN22" s="150">
        <v>38.435284437573493</v>
      </c>
      <c r="AO22" s="150">
        <v>38.435284437573493</v>
      </c>
      <c r="AP22" s="150">
        <v>38.435284437573493</v>
      </c>
      <c r="AQ22" s="150">
        <v>38.435284437573493</v>
      </c>
      <c r="AR22" s="150">
        <v>38.435284437573493</v>
      </c>
      <c r="AS22" s="149">
        <f t="shared" ref="AS22:BV22" si="17">AR22</f>
        <v>38.435284437573493</v>
      </c>
      <c r="AT22" s="149">
        <f t="shared" si="17"/>
        <v>38.435284437573493</v>
      </c>
      <c r="AU22" s="149">
        <f t="shared" si="17"/>
        <v>38.435284437573493</v>
      </c>
      <c r="AV22" s="149">
        <f t="shared" si="17"/>
        <v>38.435284437573493</v>
      </c>
      <c r="AW22" s="149">
        <f t="shared" si="17"/>
        <v>38.435284437573493</v>
      </c>
      <c r="AX22" s="149">
        <f t="shared" si="17"/>
        <v>38.435284437573493</v>
      </c>
      <c r="AY22" s="149">
        <f t="shared" si="17"/>
        <v>38.435284437573493</v>
      </c>
      <c r="AZ22" s="149">
        <f t="shared" si="17"/>
        <v>38.435284437573493</v>
      </c>
      <c r="BA22" s="149">
        <f t="shared" si="17"/>
        <v>38.435284437573493</v>
      </c>
      <c r="BB22" s="149">
        <f t="shared" si="17"/>
        <v>38.435284437573493</v>
      </c>
      <c r="BC22" s="149">
        <f t="shared" si="17"/>
        <v>38.435284437573493</v>
      </c>
      <c r="BD22" s="149">
        <f t="shared" si="17"/>
        <v>38.435284437573493</v>
      </c>
      <c r="BE22" s="149">
        <f t="shared" si="17"/>
        <v>38.435284437573493</v>
      </c>
      <c r="BF22" s="149">
        <f t="shared" si="17"/>
        <v>38.435284437573493</v>
      </c>
      <c r="BG22" s="149">
        <f t="shared" si="17"/>
        <v>38.435284437573493</v>
      </c>
      <c r="BH22" s="149">
        <f t="shared" si="17"/>
        <v>38.435284437573493</v>
      </c>
      <c r="BI22" s="149">
        <f t="shared" si="17"/>
        <v>38.435284437573493</v>
      </c>
      <c r="BJ22" s="149">
        <f t="shared" si="17"/>
        <v>38.435284437573493</v>
      </c>
      <c r="BK22" s="149">
        <f t="shared" si="17"/>
        <v>38.435284437573493</v>
      </c>
      <c r="BL22" s="149">
        <f t="shared" si="17"/>
        <v>38.435284437573493</v>
      </c>
      <c r="BM22" s="149">
        <f t="shared" si="17"/>
        <v>38.435284437573493</v>
      </c>
      <c r="BN22" s="149">
        <f t="shared" si="17"/>
        <v>38.435284437573493</v>
      </c>
      <c r="BO22" s="149">
        <f t="shared" si="17"/>
        <v>38.435284437573493</v>
      </c>
      <c r="BP22" s="149">
        <f t="shared" si="17"/>
        <v>38.435284437573493</v>
      </c>
      <c r="BQ22" s="149">
        <f t="shared" si="17"/>
        <v>38.435284437573493</v>
      </c>
      <c r="BR22" s="149">
        <f t="shared" si="17"/>
        <v>38.435284437573493</v>
      </c>
      <c r="BS22" s="149">
        <f t="shared" si="17"/>
        <v>38.435284437573493</v>
      </c>
      <c r="BT22" s="149">
        <f t="shared" si="17"/>
        <v>38.435284437573493</v>
      </c>
      <c r="BU22" s="149">
        <f t="shared" si="17"/>
        <v>38.435284437573493</v>
      </c>
      <c r="BV22" s="149">
        <f t="shared" si="17"/>
        <v>38.435284437573493</v>
      </c>
    </row>
    <row r="23" spans="1:74" x14ac:dyDescent="0.25">
      <c r="A23" s="141" t="s">
        <v>14</v>
      </c>
      <c r="B23" s="148" t="s">
        <v>190</v>
      </c>
      <c r="C23" s="142" t="s">
        <v>298</v>
      </c>
      <c r="D23" s="150">
        <v>37.779999885297023</v>
      </c>
      <c r="E23" s="149">
        <v>37.835999902365906</v>
      </c>
      <c r="F23" s="149">
        <v>37.891999919434788</v>
      </c>
      <c r="G23" s="149">
        <v>37.94799993650367</v>
      </c>
      <c r="H23" s="149">
        <v>38.003999953572553</v>
      </c>
      <c r="I23" s="150">
        <v>38.059999970641428</v>
      </c>
      <c r="J23" s="150">
        <v>38.100000047662988</v>
      </c>
      <c r="K23" s="150">
        <v>38.119999968575826</v>
      </c>
      <c r="L23" s="150">
        <v>38.170000007672186</v>
      </c>
      <c r="M23" s="150">
        <v>38.129999986403384</v>
      </c>
      <c r="N23" s="150">
        <v>37.989999934966505</v>
      </c>
      <c r="O23" s="150">
        <v>38.090000067537595</v>
      </c>
      <c r="P23" s="150">
        <v>38.089999943885992</v>
      </c>
      <c r="Q23" s="150">
        <v>38.200000000000003</v>
      </c>
      <c r="R23" s="150">
        <v>38.21000005608883</v>
      </c>
      <c r="S23" s="150">
        <v>38.259998958056819</v>
      </c>
      <c r="T23" s="150">
        <v>38.260000180720937</v>
      </c>
      <c r="U23" s="150">
        <v>38.110000608339433</v>
      </c>
      <c r="V23" s="150">
        <v>38.409998944225379</v>
      </c>
      <c r="W23" s="150">
        <v>38.430000915151403</v>
      </c>
      <c r="X23" s="150">
        <v>38.51999993949601</v>
      </c>
      <c r="Y23" s="150">
        <v>38.560001088530569</v>
      </c>
      <c r="Z23" s="150">
        <v>38.740000970806214</v>
      </c>
      <c r="AA23" s="150">
        <v>38.85000097656868</v>
      </c>
      <c r="AB23" s="150">
        <v>38.999999222988272</v>
      </c>
      <c r="AC23" s="150">
        <v>39.239999484440986</v>
      </c>
      <c r="AD23" s="150">
        <v>39.029993050258099</v>
      </c>
      <c r="AE23" s="150">
        <v>39.219991490126624</v>
      </c>
      <c r="AF23" s="150">
        <v>39.219991490126624</v>
      </c>
      <c r="AG23" s="150">
        <v>39.219991490126624</v>
      </c>
      <c r="AH23" s="150">
        <v>39.219991490126624</v>
      </c>
      <c r="AI23" s="150">
        <v>39.219991490126624</v>
      </c>
      <c r="AJ23" s="150">
        <v>39.219991490126624</v>
      </c>
      <c r="AK23" s="150">
        <v>39.219991490126624</v>
      </c>
      <c r="AL23" s="150">
        <v>39.219991490126624</v>
      </c>
      <c r="AM23" s="150">
        <v>39.219991490126624</v>
      </c>
      <c r="AN23" s="150">
        <v>39.219991490126624</v>
      </c>
      <c r="AO23" s="150">
        <v>39.219991490126624</v>
      </c>
      <c r="AP23" s="150">
        <v>39.219991490126624</v>
      </c>
      <c r="AQ23" s="150">
        <v>39.219991490126624</v>
      </c>
      <c r="AR23" s="150">
        <v>39.219991490126624</v>
      </c>
      <c r="AS23" s="149">
        <f t="shared" ref="AS23:BV23" si="18">AR23</f>
        <v>39.219991490126624</v>
      </c>
      <c r="AT23" s="149">
        <f t="shared" si="18"/>
        <v>39.219991490126624</v>
      </c>
      <c r="AU23" s="149">
        <f t="shared" si="18"/>
        <v>39.219991490126624</v>
      </c>
      <c r="AV23" s="149">
        <f t="shared" si="18"/>
        <v>39.219991490126624</v>
      </c>
      <c r="AW23" s="149">
        <f t="shared" si="18"/>
        <v>39.219991490126624</v>
      </c>
      <c r="AX23" s="149">
        <f t="shared" si="18"/>
        <v>39.219991490126624</v>
      </c>
      <c r="AY23" s="149">
        <f t="shared" si="18"/>
        <v>39.219991490126624</v>
      </c>
      <c r="AZ23" s="149">
        <f t="shared" si="18"/>
        <v>39.219991490126624</v>
      </c>
      <c r="BA23" s="149">
        <f t="shared" si="18"/>
        <v>39.219991490126624</v>
      </c>
      <c r="BB23" s="149">
        <f t="shared" si="18"/>
        <v>39.219991490126624</v>
      </c>
      <c r="BC23" s="149">
        <f t="shared" si="18"/>
        <v>39.219991490126624</v>
      </c>
      <c r="BD23" s="149">
        <f t="shared" si="18"/>
        <v>39.219991490126624</v>
      </c>
      <c r="BE23" s="149">
        <f t="shared" si="18"/>
        <v>39.219991490126624</v>
      </c>
      <c r="BF23" s="149">
        <f t="shared" si="18"/>
        <v>39.219991490126624</v>
      </c>
      <c r="BG23" s="149">
        <f t="shared" si="18"/>
        <v>39.219991490126624</v>
      </c>
      <c r="BH23" s="149">
        <f t="shared" si="18"/>
        <v>39.219991490126624</v>
      </c>
      <c r="BI23" s="149">
        <f t="shared" si="18"/>
        <v>39.219991490126624</v>
      </c>
      <c r="BJ23" s="149">
        <f t="shared" si="18"/>
        <v>39.219991490126624</v>
      </c>
      <c r="BK23" s="149">
        <f t="shared" si="18"/>
        <v>39.219991490126624</v>
      </c>
      <c r="BL23" s="149">
        <f t="shared" si="18"/>
        <v>39.219991490126624</v>
      </c>
      <c r="BM23" s="149">
        <f t="shared" si="18"/>
        <v>39.219991490126624</v>
      </c>
      <c r="BN23" s="149">
        <f t="shared" si="18"/>
        <v>39.219991490126624</v>
      </c>
      <c r="BO23" s="149">
        <f t="shared" si="18"/>
        <v>39.219991490126624</v>
      </c>
      <c r="BP23" s="149">
        <f t="shared" si="18"/>
        <v>39.219991490126624</v>
      </c>
      <c r="BQ23" s="149">
        <f t="shared" si="18"/>
        <v>39.219991490126624</v>
      </c>
      <c r="BR23" s="149">
        <f t="shared" si="18"/>
        <v>39.219991490126624</v>
      </c>
      <c r="BS23" s="149">
        <f t="shared" si="18"/>
        <v>39.219991490126624</v>
      </c>
      <c r="BT23" s="149">
        <f t="shared" si="18"/>
        <v>39.219991490126624</v>
      </c>
      <c r="BU23" s="149">
        <f t="shared" si="18"/>
        <v>39.219991490126624</v>
      </c>
      <c r="BV23" s="149">
        <f t="shared" si="18"/>
        <v>39.219991490126624</v>
      </c>
    </row>
    <row r="24" spans="1:74" x14ac:dyDescent="0.25">
      <c r="A24" s="141" t="s">
        <v>188</v>
      </c>
      <c r="B24" s="142" t="s">
        <v>185</v>
      </c>
      <c r="C24" s="142" t="s">
        <v>298</v>
      </c>
      <c r="D24" s="150">
        <v>37.088301383721408</v>
      </c>
      <c r="E24" s="149">
        <v>37.088301339656731</v>
      </c>
      <c r="F24" s="149">
        <v>37.088301295592053</v>
      </c>
      <c r="G24" s="149">
        <v>37.088301251527376</v>
      </c>
      <c r="H24" s="149">
        <v>37.088301207462699</v>
      </c>
      <c r="I24" s="150">
        <v>37.088301163398015</v>
      </c>
      <c r="J24" s="150">
        <v>37.088302189689898</v>
      </c>
      <c r="K24" s="150">
        <v>37.088301865713994</v>
      </c>
      <c r="L24" s="150">
        <v>38.722588818692024</v>
      </c>
      <c r="M24" s="150">
        <v>38.647545107823234</v>
      </c>
      <c r="N24" s="150">
        <v>38.647544558124402</v>
      </c>
      <c r="O24" s="150">
        <v>38.647544505439768</v>
      </c>
      <c r="P24" s="150">
        <v>38.647544645524597</v>
      </c>
      <c r="Q24" s="150">
        <v>38.647544383625231</v>
      </c>
      <c r="R24" s="150">
        <v>38.647544562117609</v>
      </c>
      <c r="S24" s="150">
        <v>38.647544328371573</v>
      </c>
      <c r="T24" s="150">
        <v>38.647538364410046</v>
      </c>
      <c r="U24" s="150">
        <v>38.647532379989407</v>
      </c>
      <c r="V24" s="150">
        <v>38.647536489743565</v>
      </c>
      <c r="W24" s="150">
        <v>38.647537590620246</v>
      </c>
      <c r="X24" s="150">
        <v>38.647532447156081</v>
      </c>
      <c r="Y24" s="150">
        <v>38.647541819225708</v>
      </c>
      <c r="Z24" s="150">
        <v>38.647535763672678</v>
      </c>
      <c r="AA24" s="150">
        <v>38.647553606699262</v>
      </c>
      <c r="AB24" s="150">
        <v>38.649998943212829</v>
      </c>
      <c r="AC24" s="150">
        <v>38.650005369567552</v>
      </c>
      <c r="AD24" s="150">
        <v>38.649992812913396</v>
      </c>
      <c r="AE24" s="150">
        <v>38.649992812913396</v>
      </c>
      <c r="AF24" s="150">
        <v>38.649992812913396</v>
      </c>
      <c r="AG24" s="150">
        <v>38.649992812913396</v>
      </c>
      <c r="AH24" s="150">
        <v>38.649992812913396</v>
      </c>
      <c r="AI24" s="150">
        <v>38.649992812913396</v>
      </c>
      <c r="AJ24" s="150">
        <v>38.649992812913396</v>
      </c>
      <c r="AK24" s="150">
        <v>38.649992812913396</v>
      </c>
      <c r="AL24" s="150">
        <v>38.649992812913396</v>
      </c>
      <c r="AM24" s="150">
        <v>38.649992812913396</v>
      </c>
      <c r="AN24" s="150">
        <v>38.649992812913396</v>
      </c>
      <c r="AO24" s="150">
        <v>38.649992812913396</v>
      </c>
      <c r="AP24" s="150">
        <v>38.649992812913396</v>
      </c>
      <c r="AQ24" s="150">
        <v>38.649992812913396</v>
      </c>
      <c r="AR24" s="150">
        <v>38.649992812913396</v>
      </c>
      <c r="AS24" s="149">
        <f t="shared" ref="AS24:BV24" si="19">AR24</f>
        <v>38.649992812913396</v>
      </c>
      <c r="AT24" s="149">
        <f t="shared" si="19"/>
        <v>38.649992812913396</v>
      </c>
      <c r="AU24" s="149">
        <f t="shared" si="19"/>
        <v>38.649992812913396</v>
      </c>
      <c r="AV24" s="149">
        <f t="shared" si="19"/>
        <v>38.649992812913396</v>
      </c>
      <c r="AW24" s="149">
        <f t="shared" si="19"/>
        <v>38.649992812913396</v>
      </c>
      <c r="AX24" s="149">
        <f t="shared" si="19"/>
        <v>38.649992812913396</v>
      </c>
      <c r="AY24" s="149">
        <f t="shared" si="19"/>
        <v>38.649992812913396</v>
      </c>
      <c r="AZ24" s="149">
        <f t="shared" si="19"/>
        <v>38.649992812913396</v>
      </c>
      <c r="BA24" s="149">
        <f t="shared" si="19"/>
        <v>38.649992812913396</v>
      </c>
      <c r="BB24" s="149">
        <f t="shared" si="19"/>
        <v>38.649992812913396</v>
      </c>
      <c r="BC24" s="149">
        <f t="shared" si="19"/>
        <v>38.649992812913396</v>
      </c>
      <c r="BD24" s="149">
        <f t="shared" si="19"/>
        <v>38.649992812913396</v>
      </c>
      <c r="BE24" s="149">
        <f t="shared" si="19"/>
        <v>38.649992812913396</v>
      </c>
      <c r="BF24" s="149">
        <f t="shared" si="19"/>
        <v>38.649992812913396</v>
      </c>
      <c r="BG24" s="149">
        <f t="shared" si="19"/>
        <v>38.649992812913396</v>
      </c>
      <c r="BH24" s="149">
        <f t="shared" si="19"/>
        <v>38.649992812913396</v>
      </c>
      <c r="BI24" s="149">
        <f t="shared" si="19"/>
        <v>38.649992812913396</v>
      </c>
      <c r="BJ24" s="149">
        <f t="shared" si="19"/>
        <v>38.649992812913396</v>
      </c>
      <c r="BK24" s="149">
        <f t="shared" si="19"/>
        <v>38.649992812913396</v>
      </c>
      <c r="BL24" s="149">
        <f t="shared" si="19"/>
        <v>38.649992812913396</v>
      </c>
      <c r="BM24" s="149">
        <f t="shared" si="19"/>
        <v>38.649992812913396</v>
      </c>
      <c r="BN24" s="149">
        <f t="shared" si="19"/>
        <v>38.649992812913396</v>
      </c>
      <c r="BO24" s="149">
        <f t="shared" si="19"/>
        <v>38.649992812913396</v>
      </c>
      <c r="BP24" s="149">
        <f t="shared" si="19"/>
        <v>38.649992812913396</v>
      </c>
      <c r="BQ24" s="149">
        <f t="shared" si="19"/>
        <v>38.649992812913396</v>
      </c>
      <c r="BR24" s="149">
        <f t="shared" si="19"/>
        <v>38.649992812913396</v>
      </c>
      <c r="BS24" s="149">
        <f t="shared" si="19"/>
        <v>38.649992812913396</v>
      </c>
      <c r="BT24" s="149">
        <f t="shared" si="19"/>
        <v>38.649992812913396</v>
      </c>
      <c r="BU24" s="149">
        <f t="shared" si="19"/>
        <v>38.649992812913396</v>
      </c>
      <c r="BV24" s="149">
        <f t="shared" si="19"/>
        <v>38.649992812913396</v>
      </c>
    </row>
    <row r="25" spans="1:74" x14ac:dyDescent="0.25">
      <c r="A25" s="147" t="s">
        <v>200</v>
      </c>
      <c r="B25" s="148" t="s">
        <v>179</v>
      </c>
      <c r="C25" s="142" t="s">
        <v>298</v>
      </c>
      <c r="D25" s="150">
        <v>25.530002137265313</v>
      </c>
      <c r="E25" s="149">
        <v>25.530001266948869</v>
      </c>
      <c r="F25" s="149">
        <v>25.530000396632424</v>
      </c>
      <c r="G25" s="149">
        <v>25.529999526315979</v>
      </c>
      <c r="H25" s="149">
        <v>25.529998655999535</v>
      </c>
      <c r="I25" s="150">
        <v>25.529997785683097</v>
      </c>
      <c r="J25" s="150">
        <v>25.530000991768322</v>
      </c>
      <c r="K25" s="150">
        <v>25.529999407924127</v>
      </c>
      <c r="L25" s="150">
        <v>25.309994298103849</v>
      </c>
      <c r="M25" s="150">
        <v>25.309998871089327</v>
      </c>
      <c r="N25" s="150">
        <v>25.309998872084865</v>
      </c>
      <c r="O25" s="150">
        <v>25.310000955862236</v>
      </c>
      <c r="P25" s="150">
        <v>25.309996195358337</v>
      </c>
      <c r="Q25" s="150">
        <v>25.310000652642113</v>
      </c>
      <c r="R25" s="150">
        <v>25.309999732126116</v>
      </c>
      <c r="S25" s="150">
        <v>25.310004648873331</v>
      </c>
      <c r="T25" s="150">
        <v>25.310008937742619</v>
      </c>
      <c r="U25" s="150">
        <v>25.309965026132161</v>
      </c>
      <c r="V25" s="150">
        <v>25.310016100068115</v>
      </c>
      <c r="W25" s="150">
        <v>25.30995543220482</v>
      </c>
      <c r="X25" s="150">
        <v>25.309980203756457</v>
      </c>
      <c r="Y25" s="150">
        <v>25.310013677607543</v>
      </c>
      <c r="Z25" s="150">
        <v>25.309978730946472</v>
      </c>
      <c r="AA25" s="150">
        <v>25.309978730946472</v>
      </c>
      <c r="AB25" s="150">
        <v>25.309978730946472</v>
      </c>
      <c r="AC25" s="150">
        <v>25.309978730946472</v>
      </c>
      <c r="AD25" s="150">
        <v>25.309821486577206</v>
      </c>
      <c r="AE25" s="150">
        <v>25.30985596363535</v>
      </c>
      <c r="AF25" s="150">
        <v>25.30985596363535</v>
      </c>
      <c r="AG25" s="150">
        <v>25.30985596363535</v>
      </c>
      <c r="AH25" s="150">
        <v>25.30985596363535</v>
      </c>
      <c r="AI25" s="150">
        <v>25.30985596363535</v>
      </c>
      <c r="AJ25" s="150">
        <v>25.30985596363535</v>
      </c>
      <c r="AK25" s="150">
        <v>25.30985596363535</v>
      </c>
      <c r="AL25" s="150">
        <v>25.30985596363535</v>
      </c>
      <c r="AM25" s="150">
        <v>25.30985596363535</v>
      </c>
      <c r="AN25" s="150">
        <v>25.30985596363535</v>
      </c>
      <c r="AO25" s="150">
        <v>25.30985596363535</v>
      </c>
      <c r="AP25" s="150">
        <v>25.30985596363535</v>
      </c>
      <c r="AQ25" s="150">
        <v>25.30985596363535</v>
      </c>
      <c r="AR25" s="150">
        <v>25.30985596363535</v>
      </c>
      <c r="AS25" s="149">
        <f t="shared" ref="AS25:BV25" si="20">AR25</f>
        <v>25.30985596363535</v>
      </c>
      <c r="AT25" s="149">
        <f t="shared" si="20"/>
        <v>25.30985596363535</v>
      </c>
      <c r="AU25" s="149">
        <f t="shared" si="20"/>
        <v>25.30985596363535</v>
      </c>
      <c r="AV25" s="149">
        <f t="shared" si="20"/>
        <v>25.30985596363535</v>
      </c>
      <c r="AW25" s="149">
        <f t="shared" si="20"/>
        <v>25.30985596363535</v>
      </c>
      <c r="AX25" s="149">
        <f t="shared" si="20"/>
        <v>25.30985596363535</v>
      </c>
      <c r="AY25" s="149">
        <f t="shared" si="20"/>
        <v>25.30985596363535</v>
      </c>
      <c r="AZ25" s="149">
        <f t="shared" si="20"/>
        <v>25.30985596363535</v>
      </c>
      <c r="BA25" s="149">
        <f t="shared" si="20"/>
        <v>25.30985596363535</v>
      </c>
      <c r="BB25" s="149">
        <f t="shared" si="20"/>
        <v>25.30985596363535</v>
      </c>
      <c r="BC25" s="149">
        <f t="shared" si="20"/>
        <v>25.30985596363535</v>
      </c>
      <c r="BD25" s="149">
        <f t="shared" si="20"/>
        <v>25.30985596363535</v>
      </c>
      <c r="BE25" s="149">
        <f t="shared" si="20"/>
        <v>25.30985596363535</v>
      </c>
      <c r="BF25" s="149">
        <f t="shared" si="20"/>
        <v>25.30985596363535</v>
      </c>
      <c r="BG25" s="149">
        <f t="shared" si="20"/>
        <v>25.30985596363535</v>
      </c>
      <c r="BH25" s="149">
        <f t="shared" si="20"/>
        <v>25.30985596363535</v>
      </c>
      <c r="BI25" s="149">
        <f t="shared" si="20"/>
        <v>25.30985596363535</v>
      </c>
      <c r="BJ25" s="149">
        <f t="shared" si="20"/>
        <v>25.30985596363535</v>
      </c>
      <c r="BK25" s="149">
        <f t="shared" si="20"/>
        <v>25.30985596363535</v>
      </c>
      <c r="BL25" s="149">
        <f t="shared" si="20"/>
        <v>25.30985596363535</v>
      </c>
      <c r="BM25" s="149">
        <f t="shared" si="20"/>
        <v>25.30985596363535</v>
      </c>
      <c r="BN25" s="149">
        <f t="shared" si="20"/>
        <v>25.30985596363535</v>
      </c>
      <c r="BO25" s="149">
        <f t="shared" si="20"/>
        <v>25.30985596363535</v>
      </c>
      <c r="BP25" s="149">
        <f t="shared" si="20"/>
        <v>25.30985596363535</v>
      </c>
      <c r="BQ25" s="149">
        <f t="shared" si="20"/>
        <v>25.30985596363535</v>
      </c>
      <c r="BR25" s="149">
        <f t="shared" si="20"/>
        <v>25.30985596363535</v>
      </c>
      <c r="BS25" s="149">
        <f t="shared" si="20"/>
        <v>25.30985596363535</v>
      </c>
      <c r="BT25" s="149">
        <f t="shared" si="20"/>
        <v>25.30985596363535</v>
      </c>
      <c r="BU25" s="149">
        <f t="shared" si="20"/>
        <v>25.30985596363535</v>
      </c>
      <c r="BV25" s="149">
        <f t="shared" si="20"/>
        <v>25.30985596363535</v>
      </c>
    </row>
    <row r="26" spans="1:74" x14ac:dyDescent="0.25">
      <c r="A26" s="141" t="s">
        <v>194</v>
      </c>
      <c r="B26" s="148" t="s">
        <v>190</v>
      </c>
      <c r="C26" s="142" t="s">
        <v>298</v>
      </c>
      <c r="D26" s="150">
        <v>41.730000077547437</v>
      </c>
      <c r="E26" s="149">
        <v>41.730000061384125</v>
      </c>
      <c r="F26" s="149">
        <v>41.730000045220812</v>
      </c>
      <c r="G26" s="149">
        <v>41.7300000290575</v>
      </c>
      <c r="H26" s="149">
        <v>41.730000012894187</v>
      </c>
      <c r="I26" s="150">
        <v>41.729999996730889</v>
      </c>
      <c r="J26" s="150">
        <v>41.730000063641704</v>
      </c>
      <c r="K26" s="150">
        <v>41.730000005731441</v>
      </c>
      <c r="L26" s="150">
        <v>42.5</v>
      </c>
      <c r="M26" s="150">
        <v>42.500000146223499</v>
      </c>
      <c r="N26" s="150">
        <v>42.500000140364548</v>
      </c>
      <c r="O26" s="150">
        <v>42.500000122808636</v>
      </c>
      <c r="P26" s="150">
        <v>42.500000121325208</v>
      </c>
      <c r="Q26" s="150">
        <v>42.5</v>
      </c>
      <c r="R26" s="150">
        <v>42.5</v>
      </c>
      <c r="S26" s="150">
        <v>42.500000113997764</v>
      </c>
      <c r="T26" s="150">
        <v>42.500000107487381</v>
      </c>
      <c r="U26" s="150">
        <v>42.499999800711066</v>
      </c>
      <c r="V26" s="150">
        <v>42.500001501511811</v>
      </c>
      <c r="W26" s="150">
        <v>42.500004407954123</v>
      </c>
      <c r="X26" s="150">
        <v>42.49999555949703</v>
      </c>
      <c r="Y26" s="150">
        <v>42.500000769872727</v>
      </c>
      <c r="Z26" s="150">
        <v>36.079997308866041</v>
      </c>
      <c r="AA26" s="150">
        <v>36.080004249007544</v>
      </c>
      <c r="AB26" s="150">
        <v>36.080004249007544</v>
      </c>
      <c r="AC26" s="150">
        <v>36.080004249007544</v>
      </c>
      <c r="AD26" s="150">
        <v>36.079999690602889</v>
      </c>
      <c r="AE26" s="150">
        <v>36.079999690602889</v>
      </c>
      <c r="AF26" s="150">
        <v>36.079999690602889</v>
      </c>
      <c r="AG26" s="150">
        <v>36.079999690602889</v>
      </c>
      <c r="AH26" s="150">
        <v>36.079999690602889</v>
      </c>
      <c r="AI26" s="150">
        <v>36.079999690602889</v>
      </c>
      <c r="AJ26" s="150">
        <v>36.079999690602889</v>
      </c>
      <c r="AK26" s="150">
        <v>36.079999690602889</v>
      </c>
      <c r="AL26" s="150">
        <v>36.079999690602889</v>
      </c>
      <c r="AM26" s="150">
        <v>36.079999690602889</v>
      </c>
      <c r="AN26" s="150">
        <v>36.079999690602889</v>
      </c>
      <c r="AO26" s="150">
        <v>36.079999690602889</v>
      </c>
      <c r="AP26" s="150">
        <v>36.079999690602889</v>
      </c>
      <c r="AQ26" s="150">
        <v>36.079999690602889</v>
      </c>
      <c r="AR26" s="150">
        <v>36.079999690602889</v>
      </c>
      <c r="AS26" s="149">
        <f t="shared" ref="AS26:BV26" si="21">AR26</f>
        <v>36.079999690602889</v>
      </c>
      <c r="AT26" s="149">
        <f t="shared" si="21"/>
        <v>36.079999690602889</v>
      </c>
      <c r="AU26" s="149">
        <f t="shared" si="21"/>
        <v>36.079999690602889</v>
      </c>
      <c r="AV26" s="149">
        <f t="shared" si="21"/>
        <v>36.079999690602889</v>
      </c>
      <c r="AW26" s="149">
        <f t="shared" si="21"/>
        <v>36.079999690602889</v>
      </c>
      <c r="AX26" s="149">
        <f t="shared" si="21"/>
        <v>36.079999690602889</v>
      </c>
      <c r="AY26" s="149">
        <f t="shared" si="21"/>
        <v>36.079999690602889</v>
      </c>
      <c r="AZ26" s="149">
        <f t="shared" si="21"/>
        <v>36.079999690602889</v>
      </c>
      <c r="BA26" s="149">
        <f t="shared" si="21"/>
        <v>36.079999690602889</v>
      </c>
      <c r="BB26" s="149">
        <f t="shared" si="21"/>
        <v>36.079999690602889</v>
      </c>
      <c r="BC26" s="149">
        <f t="shared" si="21"/>
        <v>36.079999690602889</v>
      </c>
      <c r="BD26" s="149">
        <f t="shared" si="21"/>
        <v>36.079999690602889</v>
      </c>
      <c r="BE26" s="149">
        <f t="shared" si="21"/>
        <v>36.079999690602889</v>
      </c>
      <c r="BF26" s="149">
        <f t="shared" si="21"/>
        <v>36.079999690602889</v>
      </c>
      <c r="BG26" s="149">
        <f t="shared" si="21"/>
        <v>36.079999690602889</v>
      </c>
      <c r="BH26" s="149">
        <f t="shared" si="21"/>
        <v>36.079999690602889</v>
      </c>
      <c r="BI26" s="149">
        <f t="shared" si="21"/>
        <v>36.079999690602889</v>
      </c>
      <c r="BJ26" s="149">
        <f t="shared" si="21"/>
        <v>36.079999690602889</v>
      </c>
      <c r="BK26" s="149">
        <f t="shared" si="21"/>
        <v>36.079999690602889</v>
      </c>
      <c r="BL26" s="149">
        <f t="shared" si="21"/>
        <v>36.079999690602889</v>
      </c>
      <c r="BM26" s="149">
        <f t="shared" si="21"/>
        <v>36.079999690602889</v>
      </c>
      <c r="BN26" s="149">
        <f t="shared" si="21"/>
        <v>36.079999690602889</v>
      </c>
      <c r="BO26" s="149">
        <f t="shared" si="21"/>
        <v>36.079999690602889</v>
      </c>
      <c r="BP26" s="149">
        <f t="shared" si="21"/>
        <v>36.079999690602889</v>
      </c>
      <c r="BQ26" s="149">
        <f t="shared" si="21"/>
        <v>36.079999690602889</v>
      </c>
      <c r="BR26" s="149">
        <f t="shared" si="21"/>
        <v>36.079999690602889</v>
      </c>
      <c r="BS26" s="149">
        <f t="shared" si="21"/>
        <v>36.079999690602889</v>
      </c>
      <c r="BT26" s="149">
        <f t="shared" si="21"/>
        <v>36.079999690602889</v>
      </c>
      <c r="BU26" s="149">
        <f t="shared" si="21"/>
        <v>36.079999690602889</v>
      </c>
      <c r="BV26" s="149">
        <f t="shared" si="21"/>
        <v>36.079999690602889</v>
      </c>
    </row>
    <row r="27" spans="1:74" x14ac:dyDescent="0.25">
      <c r="A27" s="147" t="s">
        <v>201</v>
      </c>
      <c r="B27" s="151" t="s">
        <v>185</v>
      </c>
      <c r="C27" s="142" t="s">
        <v>298</v>
      </c>
      <c r="D27" s="150">
        <v>14</v>
      </c>
      <c r="E27" s="149">
        <v>14</v>
      </c>
      <c r="F27" s="149">
        <v>14</v>
      </c>
      <c r="G27" s="149">
        <v>14</v>
      </c>
      <c r="H27" s="149">
        <v>14</v>
      </c>
      <c r="I27" s="150">
        <v>14</v>
      </c>
      <c r="J27" s="150">
        <v>14</v>
      </c>
      <c r="K27" s="150">
        <v>14</v>
      </c>
      <c r="L27" s="150">
        <v>14</v>
      </c>
      <c r="M27" s="150">
        <v>14</v>
      </c>
      <c r="N27" s="150">
        <v>14</v>
      </c>
      <c r="O27" s="150">
        <v>14</v>
      </c>
      <c r="P27" s="150">
        <v>14</v>
      </c>
      <c r="Q27" s="150">
        <v>14</v>
      </c>
      <c r="R27" s="150">
        <v>14</v>
      </c>
      <c r="S27" s="150">
        <v>14.000000108315001</v>
      </c>
      <c r="T27" s="150">
        <v>13.999999806108626</v>
      </c>
      <c r="U27" s="150">
        <v>13.999999748986674</v>
      </c>
      <c r="V27" s="150">
        <v>14.000000379920184</v>
      </c>
      <c r="W27" s="150">
        <v>14.000000293094232</v>
      </c>
      <c r="X27" s="150">
        <v>13.999999509048447</v>
      </c>
      <c r="Y27" s="150">
        <v>13.999999576064937</v>
      </c>
      <c r="Z27" s="150">
        <v>13.999999862124477</v>
      </c>
      <c r="AA27" s="150">
        <v>14.000000358891684</v>
      </c>
      <c r="AB27" s="150">
        <v>13.999999930118202</v>
      </c>
      <c r="AC27" s="150">
        <v>14.000000263165045</v>
      </c>
      <c r="AD27" s="150">
        <v>13.999999650391192</v>
      </c>
      <c r="AE27" s="150">
        <v>14.000000410167106</v>
      </c>
      <c r="AF27" s="150">
        <v>14.000000410167106</v>
      </c>
      <c r="AG27" s="150">
        <v>14.000000410167106</v>
      </c>
      <c r="AH27" s="150">
        <v>14.000000410167106</v>
      </c>
      <c r="AI27" s="150">
        <v>14.000000410167106</v>
      </c>
      <c r="AJ27" s="150">
        <v>14.000000410167106</v>
      </c>
      <c r="AK27" s="150">
        <v>14.000000410167106</v>
      </c>
      <c r="AL27" s="150">
        <v>14.000000410167106</v>
      </c>
      <c r="AM27" s="150">
        <v>14.000000410167106</v>
      </c>
      <c r="AN27" s="150">
        <v>14.000000410167106</v>
      </c>
      <c r="AO27" s="150">
        <v>14.000000410167106</v>
      </c>
      <c r="AP27" s="150">
        <v>14.000000410167106</v>
      </c>
      <c r="AQ27" s="150">
        <v>14.000000410167106</v>
      </c>
      <c r="AR27" s="150">
        <v>14.000000410167106</v>
      </c>
      <c r="AS27" s="149">
        <f t="shared" ref="AS27:BV27" si="22">AR27</f>
        <v>14.000000410167106</v>
      </c>
      <c r="AT27" s="149">
        <f t="shared" si="22"/>
        <v>14.000000410167106</v>
      </c>
      <c r="AU27" s="149">
        <f t="shared" si="22"/>
        <v>14.000000410167106</v>
      </c>
      <c r="AV27" s="149">
        <f t="shared" si="22"/>
        <v>14.000000410167106</v>
      </c>
      <c r="AW27" s="149">
        <f t="shared" si="22"/>
        <v>14.000000410167106</v>
      </c>
      <c r="AX27" s="149">
        <f t="shared" si="22"/>
        <v>14.000000410167106</v>
      </c>
      <c r="AY27" s="149">
        <f t="shared" si="22"/>
        <v>14.000000410167106</v>
      </c>
      <c r="AZ27" s="149">
        <f t="shared" si="22"/>
        <v>14.000000410167106</v>
      </c>
      <c r="BA27" s="149">
        <f t="shared" si="22"/>
        <v>14.000000410167106</v>
      </c>
      <c r="BB27" s="149">
        <f t="shared" si="22"/>
        <v>14.000000410167106</v>
      </c>
      <c r="BC27" s="149">
        <f t="shared" si="22"/>
        <v>14.000000410167106</v>
      </c>
      <c r="BD27" s="149">
        <f t="shared" si="22"/>
        <v>14.000000410167106</v>
      </c>
      <c r="BE27" s="149">
        <f t="shared" si="22"/>
        <v>14.000000410167106</v>
      </c>
      <c r="BF27" s="149">
        <f t="shared" si="22"/>
        <v>14.000000410167106</v>
      </c>
      <c r="BG27" s="149">
        <f t="shared" si="22"/>
        <v>14.000000410167106</v>
      </c>
      <c r="BH27" s="149">
        <f t="shared" si="22"/>
        <v>14.000000410167106</v>
      </c>
      <c r="BI27" s="149">
        <f t="shared" si="22"/>
        <v>14.000000410167106</v>
      </c>
      <c r="BJ27" s="149">
        <f t="shared" si="22"/>
        <v>14.000000410167106</v>
      </c>
      <c r="BK27" s="149">
        <f t="shared" si="22"/>
        <v>14.000000410167106</v>
      </c>
      <c r="BL27" s="149">
        <f t="shared" si="22"/>
        <v>14.000000410167106</v>
      </c>
      <c r="BM27" s="149">
        <f t="shared" si="22"/>
        <v>14.000000410167106</v>
      </c>
      <c r="BN27" s="149">
        <f t="shared" si="22"/>
        <v>14.000000410167106</v>
      </c>
      <c r="BO27" s="149">
        <f t="shared" si="22"/>
        <v>14.000000410167106</v>
      </c>
      <c r="BP27" s="149">
        <f t="shared" si="22"/>
        <v>14.000000410167106</v>
      </c>
      <c r="BQ27" s="149">
        <f t="shared" si="22"/>
        <v>14.000000410167106</v>
      </c>
      <c r="BR27" s="149">
        <f t="shared" si="22"/>
        <v>14.000000410167106</v>
      </c>
      <c r="BS27" s="149">
        <f t="shared" si="22"/>
        <v>14.000000410167106</v>
      </c>
      <c r="BT27" s="149">
        <f t="shared" si="22"/>
        <v>14.000000410167106</v>
      </c>
      <c r="BU27" s="149">
        <f t="shared" si="22"/>
        <v>14.000000410167106</v>
      </c>
      <c r="BV27" s="149">
        <f t="shared" si="22"/>
        <v>14.000000410167106</v>
      </c>
    </row>
    <row r="28" spans="1:74" x14ac:dyDescent="0.25">
      <c r="A28" s="141" t="s">
        <v>202</v>
      </c>
      <c r="B28" s="148" t="s">
        <v>34</v>
      </c>
      <c r="C28" s="142" t="s">
        <v>203</v>
      </c>
      <c r="D28" s="150">
        <v>1</v>
      </c>
      <c r="E28" s="150">
        <v>1</v>
      </c>
      <c r="F28" s="150">
        <v>1</v>
      </c>
      <c r="G28" s="150">
        <v>1</v>
      </c>
      <c r="H28" s="150">
        <v>1</v>
      </c>
      <c r="I28" s="150">
        <v>1</v>
      </c>
      <c r="J28" s="150">
        <v>1</v>
      </c>
      <c r="K28" s="150">
        <v>1</v>
      </c>
      <c r="L28" s="150">
        <v>1</v>
      </c>
      <c r="M28" s="150">
        <v>1</v>
      </c>
      <c r="N28" s="150">
        <v>1</v>
      </c>
      <c r="O28" s="150">
        <v>1</v>
      </c>
      <c r="P28" s="150">
        <v>1</v>
      </c>
      <c r="Q28" s="150">
        <v>1</v>
      </c>
      <c r="R28" s="150">
        <v>1</v>
      </c>
      <c r="S28" s="150">
        <v>1</v>
      </c>
      <c r="T28" s="150">
        <v>1</v>
      </c>
      <c r="U28" s="150">
        <v>1</v>
      </c>
      <c r="V28" s="150">
        <v>1</v>
      </c>
      <c r="W28" s="150">
        <v>1</v>
      </c>
      <c r="X28" s="150">
        <v>1</v>
      </c>
      <c r="Y28" s="150">
        <v>1</v>
      </c>
      <c r="Z28" s="150">
        <v>1</v>
      </c>
      <c r="AA28" s="150">
        <v>1</v>
      </c>
      <c r="AB28" s="150">
        <v>1</v>
      </c>
      <c r="AC28" s="150">
        <v>1</v>
      </c>
      <c r="AD28" s="150">
        <v>1</v>
      </c>
      <c r="AE28" s="150">
        <v>1</v>
      </c>
      <c r="AF28" s="150">
        <v>1</v>
      </c>
      <c r="AG28" s="150">
        <v>1</v>
      </c>
      <c r="AH28" s="150">
        <v>1</v>
      </c>
      <c r="AI28" s="150">
        <v>1</v>
      </c>
      <c r="AJ28" s="150">
        <v>1</v>
      </c>
      <c r="AK28" s="150">
        <v>1</v>
      </c>
      <c r="AL28" s="150">
        <v>1</v>
      </c>
      <c r="AM28" s="150">
        <v>1</v>
      </c>
      <c r="AN28" s="150">
        <v>1</v>
      </c>
      <c r="AO28" s="150">
        <v>1</v>
      </c>
      <c r="AP28" s="150">
        <v>1</v>
      </c>
      <c r="AQ28" s="150">
        <v>1</v>
      </c>
      <c r="AR28" s="150">
        <v>1</v>
      </c>
      <c r="AS28" s="149">
        <f t="shared" ref="AS28:BV28" si="23">AR28</f>
        <v>1</v>
      </c>
      <c r="AT28" s="149">
        <f t="shared" si="23"/>
        <v>1</v>
      </c>
      <c r="AU28" s="149">
        <f t="shared" si="23"/>
        <v>1</v>
      </c>
      <c r="AV28" s="149">
        <f t="shared" si="23"/>
        <v>1</v>
      </c>
      <c r="AW28" s="149">
        <f t="shared" si="23"/>
        <v>1</v>
      </c>
      <c r="AX28" s="149">
        <f t="shared" si="23"/>
        <v>1</v>
      </c>
      <c r="AY28" s="149">
        <f t="shared" si="23"/>
        <v>1</v>
      </c>
      <c r="AZ28" s="149">
        <f t="shared" si="23"/>
        <v>1</v>
      </c>
      <c r="BA28" s="149">
        <f t="shared" si="23"/>
        <v>1</v>
      </c>
      <c r="BB28" s="149">
        <f t="shared" si="23"/>
        <v>1</v>
      </c>
      <c r="BC28" s="149">
        <f t="shared" si="23"/>
        <v>1</v>
      </c>
      <c r="BD28" s="149">
        <f t="shared" si="23"/>
        <v>1</v>
      </c>
      <c r="BE28" s="149">
        <f t="shared" si="23"/>
        <v>1</v>
      </c>
      <c r="BF28" s="149">
        <f t="shared" si="23"/>
        <v>1</v>
      </c>
      <c r="BG28" s="149">
        <f t="shared" si="23"/>
        <v>1</v>
      </c>
      <c r="BH28" s="149">
        <f t="shared" si="23"/>
        <v>1</v>
      </c>
      <c r="BI28" s="149">
        <f t="shared" si="23"/>
        <v>1</v>
      </c>
      <c r="BJ28" s="149">
        <f t="shared" si="23"/>
        <v>1</v>
      </c>
      <c r="BK28" s="149">
        <f t="shared" si="23"/>
        <v>1</v>
      </c>
      <c r="BL28" s="149">
        <f t="shared" si="23"/>
        <v>1</v>
      </c>
      <c r="BM28" s="149">
        <f t="shared" si="23"/>
        <v>1</v>
      </c>
      <c r="BN28" s="149">
        <f t="shared" si="23"/>
        <v>1</v>
      </c>
      <c r="BO28" s="149">
        <f t="shared" si="23"/>
        <v>1</v>
      </c>
      <c r="BP28" s="149">
        <f t="shared" si="23"/>
        <v>1</v>
      </c>
      <c r="BQ28" s="149">
        <f t="shared" si="23"/>
        <v>1</v>
      </c>
      <c r="BR28" s="149">
        <f t="shared" si="23"/>
        <v>1</v>
      </c>
      <c r="BS28" s="149">
        <f t="shared" si="23"/>
        <v>1</v>
      </c>
      <c r="BT28" s="149">
        <f t="shared" si="23"/>
        <v>1</v>
      </c>
      <c r="BU28" s="149">
        <f t="shared" si="23"/>
        <v>1</v>
      </c>
      <c r="BV28" s="149">
        <f t="shared" si="23"/>
        <v>1</v>
      </c>
    </row>
    <row r="29" spans="1:74" x14ac:dyDescent="0.25">
      <c r="A29" s="147" t="s">
        <v>204</v>
      </c>
      <c r="B29" s="148" t="s">
        <v>190</v>
      </c>
      <c r="C29" s="142" t="s">
        <v>300</v>
      </c>
      <c r="D29" s="157">
        <v>37.28</v>
      </c>
      <c r="E29" s="157">
        <v>37.28</v>
      </c>
      <c r="F29" s="157">
        <v>37.28</v>
      </c>
      <c r="G29" s="157">
        <v>37.28</v>
      </c>
      <c r="H29" s="157">
        <v>37.28</v>
      </c>
      <c r="I29" s="157">
        <v>37.28</v>
      </c>
      <c r="J29" s="157">
        <v>37.28</v>
      </c>
      <c r="K29" s="157">
        <v>37.28</v>
      </c>
      <c r="L29" s="157">
        <v>37.700000000000003</v>
      </c>
      <c r="M29" s="157">
        <v>36.08</v>
      </c>
      <c r="N29" s="157">
        <v>36.08</v>
      </c>
      <c r="O29" s="157">
        <v>36.08</v>
      </c>
      <c r="P29" s="157">
        <v>36.08</v>
      </c>
      <c r="Q29" s="157">
        <v>36.08</v>
      </c>
      <c r="R29" s="157">
        <v>36.08</v>
      </c>
      <c r="S29" s="157">
        <v>36.08</v>
      </c>
      <c r="T29" s="157">
        <v>36.08</v>
      </c>
      <c r="U29" s="157">
        <v>36.08</v>
      </c>
      <c r="V29" s="157">
        <v>36.08</v>
      </c>
      <c r="W29" s="157">
        <v>36.08</v>
      </c>
      <c r="X29" s="157">
        <v>36.08</v>
      </c>
      <c r="Y29" s="157">
        <v>36.08</v>
      </c>
      <c r="Z29" s="157">
        <v>36.08</v>
      </c>
      <c r="AA29" s="157">
        <v>36.08</v>
      </c>
      <c r="AB29" s="157">
        <v>36.08</v>
      </c>
      <c r="AC29" s="157">
        <v>36.08</v>
      </c>
      <c r="AD29" s="157">
        <v>36.08</v>
      </c>
      <c r="AE29" s="157">
        <v>36.08</v>
      </c>
      <c r="AF29" s="157">
        <v>36.08</v>
      </c>
      <c r="AG29" s="157">
        <v>36.08</v>
      </c>
      <c r="AH29" s="157">
        <v>36.08</v>
      </c>
      <c r="AI29" s="157">
        <v>36.08</v>
      </c>
      <c r="AJ29" s="157">
        <v>36.08</v>
      </c>
      <c r="AK29" s="157">
        <v>36.08</v>
      </c>
      <c r="AL29" s="157">
        <v>36.08</v>
      </c>
      <c r="AM29" s="157">
        <v>36.08</v>
      </c>
      <c r="AN29" s="157">
        <v>36.08</v>
      </c>
      <c r="AO29" s="157">
        <v>36.08</v>
      </c>
      <c r="AP29" s="157">
        <v>36.08</v>
      </c>
      <c r="AQ29" s="157">
        <v>36.08</v>
      </c>
      <c r="AR29" s="157">
        <v>36.08</v>
      </c>
      <c r="AS29" s="149">
        <f t="shared" ref="AS29:BV29" si="24">AR29</f>
        <v>36.08</v>
      </c>
      <c r="AT29" s="149">
        <f t="shared" si="24"/>
        <v>36.08</v>
      </c>
      <c r="AU29" s="149">
        <f t="shared" si="24"/>
        <v>36.08</v>
      </c>
      <c r="AV29" s="149">
        <f t="shared" si="24"/>
        <v>36.08</v>
      </c>
      <c r="AW29" s="149">
        <f t="shared" si="24"/>
        <v>36.08</v>
      </c>
      <c r="AX29" s="149">
        <f t="shared" si="24"/>
        <v>36.08</v>
      </c>
      <c r="AY29" s="149">
        <f t="shared" si="24"/>
        <v>36.08</v>
      </c>
      <c r="AZ29" s="149">
        <f t="shared" si="24"/>
        <v>36.08</v>
      </c>
      <c r="BA29" s="149">
        <f t="shared" si="24"/>
        <v>36.08</v>
      </c>
      <c r="BB29" s="149">
        <f t="shared" si="24"/>
        <v>36.08</v>
      </c>
      <c r="BC29" s="149">
        <f t="shared" si="24"/>
        <v>36.08</v>
      </c>
      <c r="BD29" s="149">
        <f t="shared" si="24"/>
        <v>36.08</v>
      </c>
      <c r="BE29" s="149">
        <f t="shared" si="24"/>
        <v>36.08</v>
      </c>
      <c r="BF29" s="149">
        <f t="shared" si="24"/>
        <v>36.08</v>
      </c>
      <c r="BG29" s="149">
        <f t="shared" si="24"/>
        <v>36.08</v>
      </c>
      <c r="BH29" s="149">
        <f t="shared" si="24"/>
        <v>36.08</v>
      </c>
      <c r="BI29" s="149">
        <f t="shared" si="24"/>
        <v>36.08</v>
      </c>
      <c r="BJ29" s="149">
        <f t="shared" si="24"/>
        <v>36.08</v>
      </c>
      <c r="BK29" s="149">
        <f t="shared" si="24"/>
        <v>36.08</v>
      </c>
      <c r="BL29" s="149">
        <f t="shared" si="24"/>
        <v>36.08</v>
      </c>
      <c r="BM29" s="149">
        <f t="shared" si="24"/>
        <v>36.08</v>
      </c>
      <c r="BN29" s="149">
        <f t="shared" si="24"/>
        <v>36.08</v>
      </c>
      <c r="BO29" s="149">
        <f t="shared" si="24"/>
        <v>36.08</v>
      </c>
      <c r="BP29" s="149">
        <f t="shared" si="24"/>
        <v>36.08</v>
      </c>
      <c r="BQ29" s="149">
        <f t="shared" si="24"/>
        <v>36.08</v>
      </c>
      <c r="BR29" s="149">
        <f t="shared" si="24"/>
        <v>36.08</v>
      </c>
      <c r="BS29" s="149">
        <f t="shared" si="24"/>
        <v>36.08</v>
      </c>
      <c r="BT29" s="149">
        <f t="shared" si="24"/>
        <v>36.08</v>
      </c>
      <c r="BU29" s="149">
        <f t="shared" si="24"/>
        <v>36.08</v>
      </c>
      <c r="BV29" s="149">
        <f t="shared" si="24"/>
        <v>36.08</v>
      </c>
    </row>
    <row r="30" spans="1:74" x14ac:dyDescent="0.25">
      <c r="A30" s="147" t="s">
        <v>205</v>
      </c>
      <c r="B30" s="151" t="s">
        <v>206</v>
      </c>
      <c r="C30" s="142" t="s">
        <v>301</v>
      </c>
      <c r="D30" s="152">
        <v>685.85299999999995</v>
      </c>
      <c r="E30" s="152">
        <v>690.68700000000001</v>
      </c>
      <c r="F30" s="152">
        <v>693.96100000000001</v>
      </c>
      <c r="G30" s="152">
        <v>656.33</v>
      </c>
      <c r="H30" s="152">
        <v>643.17499999999995</v>
      </c>
      <c r="I30" s="152">
        <v>647.96</v>
      </c>
      <c r="J30" s="152">
        <v>650.375</v>
      </c>
      <c r="K30" s="152">
        <v>694.05700000000002</v>
      </c>
      <c r="L30" s="152">
        <v>698.23500000000001</v>
      </c>
      <c r="M30" s="152">
        <v>695.62599999999998</v>
      </c>
      <c r="N30" s="152">
        <v>697.70600000000002</v>
      </c>
      <c r="O30" s="152">
        <v>690.779</v>
      </c>
      <c r="P30" s="152">
        <v>697.35400000000004</v>
      </c>
      <c r="Q30" s="152">
        <v>688.81899999999996</v>
      </c>
      <c r="R30" s="152">
        <v>704.54700000000003</v>
      </c>
      <c r="S30" s="150">
        <v>704.54700000000003</v>
      </c>
      <c r="T30" s="150">
        <v>704.54700000000003</v>
      </c>
      <c r="U30" s="150">
        <v>704.54700000000003</v>
      </c>
      <c r="V30" s="150">
        <v>704.54700000000003</v>
      </c>
      <c r="W30" s="150">
        <v>704.54700000000003</v>
      </c>
      <c r="X30" s="150">
        <v>704.54700000000003</v>
      </c>
      <c r="Y30" s="150">
        <v>704.54700000000003</v>
      </c>
      <c r="Z30" s="150">
        <v>704.54700000000003</v>
      </c>
      <c r="AA30" s="150">
        <v>704.54700000000003</v>
      </c>
      <c r="AB30" s="150">
        <v>704.54700000000003</v>
      </c>
      <c r="AC30" s="150">
        <v>704.54700000000003</v>
      </c>
      <c r="AD30" s="150">
        <v>704.54700000000003</v>
      </c>
      <c r="AE30" s="150">
        <v>704.54700000000003</v>
      </c>
      <c r="AF30" s="150">
        <v>704.54700000000003</v>
      </c>
      <c r="AG30" s="150">
        <v>704.54700000000003</v>
      </c>
      <c r="AH30" s="150">
        <v>704.54700000000003</v>
      </c>
      <c r="AI30" s="150">
        <v>704.54700000000003</v>
      </c>
      <c r="AJ30" s="150">
        <v>704.54700000000003</v>
      </c>
      <c r="AK30" s="150">
        <v>704.54700000000003</v>
      </c>
      <c r="AL30" s="150">
        <v>704.54700000000003</v>
      </c>
      <c r="AM30" s="150">
        <v>704.54700000000003</v>
      </c>
      <c r="AN30" s="150">
        <v>704.54700000000003</v>
      </c>
      <c r="AO30" s="150">
        <v>704.54700000000003</v>
      </c>
      <c r="AP30" s="150">
        <v>704.54700000000003</v>
      </c>
      <c r="AQ30" s="150">
        <v>704.54700000000003</v>
      </c>
      <c r="AR30" s="150">
        <v>704.54700000000003</v>
      </c>
      <c r="AS30" s="149">
        <f t="shared" ref="AS30:BV30" si="25">AR30</f>
        <v>704.54700000000003</v>
      </c>
      <c r="AT30" s="149">
        <f t="shared" si="25"/>
        <v>704.54700000000003</v>
      </c>
      <c r="AU30" s="149">
        <f t="shared" si="25"/>
        <v>704.54700000000003</v>
      </c>
      <c r="AV30" s="149">
        <f t="shared" si="25"/>
        <v>704.54700000000003</v>
      </c>
      <c r="AW30" s="149">
        <f t="shared" si="25"/>
        <v>704.54700000000003</v>
      </c>
      <c r="AX30" s="149">
        <f t="shared" si="25"/>
        <v>704.54700000000003</v>
      </c>
      <c r="AY30" s="149">
        <f t="shared" si="25"/>
        <v>704.54700000000003</v>
      </c>
      <c r="AZ30" s="149">
        <f t="shared" si="25"/>
        <v>704.54700000000003</v>
      </c>
      <c r="BA30" s="149">
        <f t="shared" si="25"/>
        <v>704.54700000000003</v>
      </c>
      <c r="BB30" s="149">
        <f t="shared" si="25"/>
        <v>704.54700000000003</v>
      </c>
      <c r="BC30" s="149">
        <f t="shared" si="25"/>
        <v>704.54700000000003</v>
      </c>
      <c r="BD30" s="149">
        <f t="shared" si="25"/>
        <v>704.54700000000003</v>
      </c>
      <c r="BE30" s="149">
        <f t="shared" si="25"/>
        <v>704.54700000000003</v>
      </c>
      <c r="BF30" s="149">
        <f t="shared" si="25"/>
        <v>704.54700000000003</v>
      </c>
      <c r="BG30" s="149">
        <f t="shared" si="25"/>
        <v>704.54700000000003</v>
      </c>
      <c r="BH30" s="149">
        <f t="shared" si="25"/>
        <v>704.54700000000003</v>
      </c>
      <c r="BI30" s="149">
        <f t="shared" si="25"/>
        <v>704.54700000000003</v>
      </c>
      <c r="BJ30" s="149">
        <f t="shared" si="25"/>
        <v>704.54700000000003</v>
      </c>
      <c r="BK30" s="149">
        <f t="shared" si="25"/>
        <v>704.54700000000003</v>
      </c>
      <c r="BL30" s="149">
        <f t="shared" si="25"/>
        <v>704.54700000000003</v>
      </c>
      <c r="BM30" s="149">
        <f t="shared" si="25"/>
        <v>704.54700000000003</v>
      </c>
      <c r="BN30" s="149">
        <f t="shared" si="25"/>
        <v>704.54700000000003</v>
      </c>
      <c r="BO30" s="149">
        <f t="shared" si="25"/>
        <v>704.54700000000003</v>
      </c>
      <c r="BP30" s="149">
        <f t="shared" si="25"/>
        <v>704.54700000000003</v>
      </c>
      <c r="BQ30" s="149">
        <f t="shared" si="25"/>
        <v>704.54700000000003</v>
      </c>
      <c r="BR30" s="149">
        <f t="shared" si="25"/>
        <v>704.54700000000003</v>
      </c>
      <c r="BS30" s="149">
        <f t="shared" si="25"/>
        <v>704.54700000000003</v>
      </c>
      <c r="BT30" s="149">
        <f t="shared" si="25"/>
        <v>704.54700000000003</v>
      </c>
      <c r="BU30" s="149">
        <f t="shared" si="25"/>
        <v>704.54700000000003</v>
      </c>
      <c r="BV30" s="149">
        <f t="shared" si="25"/>
        <v>704.54700000000003</v>
      </c>
    </row>
    <row r="31" spans="1:74" x14ac:dyDescent="0.25">
      <c r="A31" s="147" t="s">
        <v>207</v>
      </c>
      <c r="B31" s="148" t="s">
        <v>34</v>
      </c>
      <c r="C31" s="142" t="s">
        <v>203</v>
      </c>
      <c r="D31" s="157">
        <v>1</v>
      </c>
      <c r="E31" s="157">
        <v>1</v>
      </c>
      <c r="F31" s="157">
        <v>1</v>
      </c>
      <c r="G31" s="157">
        <v>1</v>
      </c>
      <c r="H31" s="157">
        <v>1</v>
      </c>
      <c r="I31" s="157">
        <v>1</v>
      </c>
      <c r="J31" s="157">
        <v>1</v>
      </c>
      <c r="K31" s="157">
        <v>1</v>
      </c>
      <c r="L31" s="157">
        <v>1</v>
      </c>
      <c r="M31" s="157">
        <v>1</v>
      </c>
      <c r="N31" s="157">
        <v>1</v>
      </c>
      <c r="O31" s="157">
        <v>1</v>
      </c>
      <c r="P31" s="157">
        <v>1</v>
      </c>
      <c r="Q31" s="157">
        <v>1</v>
      </c>
      <c r="R31" s="157">
        <v>1</v>
      </c>
      <c r="S31" s="157">
        <v>1</v>
      </c>
      <c r="T31" s="157">
        <v>1</v>
      </c>
      <c r="U31" s="157">
        <v>1</v>
      </c>
      <c r="V31" s="157">
        <v>1</v>
      </c>
      <c r="W31" s="157">
        <v>1</v>
      </c>
      <c r="X31" s="157">
        <v>1</v>
      </c>
      <c r="Y31" s="157">
        <v>1</v>
      </c>
      <c r="Z31" s="157">
        <v>1</v>
      </c>
      <c r="AA31" s="157">
        <v>1</v>
      </c>
      <c r="AB31" s="157">
        <v>1</v>
      </c>
      <c r="AC31" s="157">
        <v>1</v>
      </c>
      <c r="AD31" s="157">
        <v>1</v>
      </c>
      <c r="AE31" s="157">
        <v>1</v>
      </c>
      <c r="AF31" s="157">
        <v>1</v>
      </c>
      <c r="AG31" s="157">
        <v>1</v>
      </c>
      <c r="AH31" s="157">
        <v>1</v>
      </c>
      <c r="AI31" s="157">
        <v>1</v>
      </c>
      <c r="AJ31" s="157">
        <v>1</v>
      </c>
      <c r="AK31" s="157">
        <v>1</v>
      </c>
      <c r="AL31" s="157">
        <v>1</v>
      </c>
      <c r="AM31" s="157">
        <v>1</v>
      </c>
      <c r="AN31" s="157">
        <v>1</v>
      </c>
      <c r="AO31" s="157">
        <v>1</v>
      </c>
      <c r="AP31" s="157">
        <v>1</v>
      </c>
      <c r="AQ31" s="157">
        <v>1</v>
      </c>
      <c r="AR31" s="157">
        <v>1</v>
      </c>
      <c r="AS31" s="149">
        <f t="shared" ref="AS31:BV31" si="26">AR31</f>
        <v>1</v>
      </c>
      <c r="AT31" s="149">
        <f t="shared" si="26"/>
        <v>1</v>
      </c>
      <c r="AU31" s="149">
        <f t="shared" si="26"/>
        <v>1</v>
      </c>
      <c r="AV31" s="149">
        <f t="shared" si="26"/>
        <v>1</v>
      </c>
      <c r="AW31" s="149">
        <f t="shared" si="26"/>
        <v>1</v>
      </c>
      <c r="AX31" s="149">
        <f t="shared" si="26"/>
        <v>1</v>
      </c>
      <c r="AY31" s="149">
        <f t="shared" si="26"/>
        <v>1</v>
      </c>
      <c r="AZ31" s="149">
        <f t="shared" si="26"/>
        <v>1</v>
      </c>
      <c r="BA31" s="149">
        <f t="shared" si="26"/>
        <v>1</v>
      </c>
      <c r="BB31" s="149">
        <f t="shared" si="26"/>
        <v>1</v>
      </c>
      <c r="BC31" s="149">
        <f t="shared" si="26"/>
        <v>1</v>
      </c>
      <c r="BD31" s="149">
        <f t="shared" si="26"/>
        <v>1</v>
      </c>
      <c r="BE31" s="149">
        <f t="shared" si="26"/>
        <v>1</v>
      </c>
      <c r="BF31" s="149">
        <f t="shared" si="26"/>
        <v>1</v>
      </c>
      <c r="BG31" s="149">
        <f t="shared" si="26"/>
        <v>1</v>
      </c>
      <c r="BH31" s="149">
        <f t="shared" si="26"/>
        <v>1</v>
      </c>
      <c r="BI31" s="149">
        <f t="shared" si="26"/>
        <v>1</v>
      </c>
      <c r="BJ31" s="149">
        <f t="shared" si="26"/>
        <v>1</v>
      </c>
      <c r="BK31" s="149">
        <f t="shared" si="26"/>
        <v>1</v>
      </c>
      <c r="BL31" s="149">
        <f t="shared" si="26"/>
        <v>1</v>
      </c>
      <c r="BM31" s="149">
        <f t="shared" si="26"/>
        <v>1</v>
      </c>
      <c r="BN31" s="149">
        <f t="shared" si="26"/>
        <v>1</v>
      </c>
      <c r="BO31" s="149">
        <f t="shared" si="26"/>
        <v>1</v>
      </c>
      <c r="BP31" s="149">
        <f t="shared" si="26"/>
        <v>1</v>
      </c>
      <c r="BQ31" s="149">
        <f t="shared" si="26"/>
        <v>1</v>
      </c>
      <c r="BR31" s="149">
        <f t="shared" si="26"/>
        <v>1</v>
      </c>
      <c r="BS31" s="149">
        <f t="shared" si="26"/>
        <v>1</v>
      </c>
      <c r="BT31" s="149">
        <f t="shared" si="26"/>
        <v>1</v>
      </c>
      <c r="BU31" s="149">
        <f t="shared" si="26"/>
        <v>1</v>
      </c>
      <c r="BV31" s="149">
        <f t="shared" si="26"/>
        <v>1</v>
      </c>
    </row>
    <row r="32" spans="1:74" x14ac:dyDescent="0.25">
      <c r="A32" s="147" t="s">
        <v>15</v>
      </c>
      <c r="B32" s="151" t="s">
        <v>185</v>
      </c>
      <c r="C32" s="142" t="s">
        <v>298</v>
      </c>
      <c r="D32" s="150">
        <v>18</v>
      </c>
      <c r="E32" s="149">
        <v>18</v>
      </c>
      <c r="F32" s="149">
        <v>18</v>
      </c>
      <c r="G32" s="149">
        <v>18</v>
      </c>
      <c r="H32" s="149">
        <v>18</v>
      </c>
      <c r="I32" s="150">
        <v>18</v>
      </c>
      <c r="J32" s="150">
        <v>18</v>
      </c>
      <c r="K32" s="150">
        <v>18</v>
      </c>
      <c r="L32" s="150">
        <v>18</v>
      </c>
      <c r="M32" s="150">
        <v>18</v>
      </c>
      <c r="N32" s="150">
        <v>18</v>
      </c>
      <c r="O32" s="150">
        <v>18</v>
      </c>
      <c r="P32" s="150">
        <v>18</v>
      </c>
      <c r="Q32" s="150">
        <v>18</v>
      </c>
      <c r="R32" s="150">
        <v>18</v>
      </c>
      <c r="S32" s="150">
        <v>18.000000170755115</v>
      </c>
      <c r="T32" s="150">
        <v>18.000000343487216</v>
      </c>
      <c r="U32" s="150">
        <v>17.999999715692439</v>
      </c>
      <c r="V32" s="150">
        <v>17.999999523496939</v>
      </c>
      <c r="W32" s="150">
        <v>17.999999577905282</v>
      </c>
      <c r="X32" s="150">
        <v>17.999999701146166</v>
      </c>
      <c r="Y32" s="150">
        <v>17.999999899867035</v>
      </c>
      <c r="Z32" s="150">
        <v>18.000000620051409</v>
      </c>
      <c r="AA32" s="150">
        <v>18.000000410619947</v>
      </c>
      <c r="AB32" s="150">
        <v>17.999999697412118</v>
      </c>
      <c r="AC32" s="150">
        <v>17.999999903322561</v>
      </c>
      <c r="AD32" s="150">
        <v>17.999999468259052</v>
      </c>
      <c r="AE32" s="150">
        <v>18</v>
      </c>
      <c r="AF32" s="150">
        <v>18</v>
      </c>
      <c r="AG32" s="150">
        <v>18</v>
      </c>
      <c r="AH32" s="150">
        <v>18</v>
      </c>
      <c r="AI32" s="150">
        <v>18</v>
      </c>
      <c r="AJ32" s="150">
        <v>18</v>
      </c>
      <c r="AK32" s="150">
        <v>18</v>
      </c>
      <c r="AL32" s="150">
        <v>18</v>
      </c>
      <c r="AM32" s="150">
        <v>18</v>
      </c>
      <c r="AN32" s="150">
        <v>18</v>
      </c>
      <c r="AO32" s="150">
        <v>18</v>
      </c>
      <c r="AP32" s="150">
        <v>18</v>
      </c>
      <c r="AQ32" s="150">
        <v>18</v>
      </c>
      <c r="AR32" s="150">
        <v>18</v>
      </c>
      <c r="AS32" s="149">
        <f t="shared" ref="AS32:BV32" si="27">AR32</f>
        <v>18</v>
      </c>
      <c r="AT32" s="149">
        <f t="shared" si="27"/>
        <v>18</v>
      </c>
      <c r="AU32" s="149">
        <f t="shared" si="27"/>
        <v>18</v>
      </c>
      <c r="AV32" s="149">
        <f t="shared" si="27"/>
        <v>18</v>
      </c>
      <c r="AW32" s="149">
        <f t="shared" si="27"/>
        <v>18</v>
      </c>
      <c r="AX32" s="149">
        <f t="shared" si="27"/>
        <v>18</v>
      </c>
      <c r="AY32" s="149">
        <f t="shared" si="27"/>
        <v>18</v>
      </c>
      <c r="AZ32" s="149">
        <f t="shared" si="27"/>
        <v>18</v>
      </c>
      <c r="BA32" s="149">
        <f t="shared" si="27"/>
        <v>18</v>
      </c>
      <c r="BB32" s="149">
        <f t="shared" si="27"/>
        <v>18</v>
      </c>
      <c r="BC32" s="149">
        <f t="shared" si="27"/>
        <v>18</v>
      </c>
      <c r="BD32" s="149">
        <f t="shared" si="27"/>
        <v>18</v>
      </c>
      <c r="BE32" s="149">
        <f t="shared" si="27"/>
        <v>18</v>
      </c>
      <c r="BF32" s="149">
        <f t="shared" si="27"/>
        <v>18</v>
      </c>
      <c r="BG32" s="149">
        <f t="shared" si="27"/>
        <v>18</v>
      </c>
      <c r="BH32" s="149">
        <f t="shared" si="27"/>
        <v>18</v>
      </c>
      <c r="BI32" s="149">
        <f t="shared" si="27"/>
        <v>18</v>
      </c>
      <c r="BJ32" s="149">
        <f t="shared" si="27"/>
        <v>18</v>
      </c>
      <c r="BK32" s="149">
        <f t="shared" si="27"/>
        <v>18</v>
      </c>
      <c r="BL32" s="149">
        <f t="shared" si="27"/>
        <v>18</v>
      </c>
      <c r="BM32" s="149">
        <f t="shared" si="27"/>
        <v>18</v>
      </c>
      <c r="BN32" s="149">
        <f t="shared" si="27"/>
        <v>18</v>
      </c>
      <c r="BO32" s="149">
        <f t="shared" si="27"/>
        <v>18</v>
      </c>
      <c r="BP32" s="149">
        <f t="shared" si="27"/>
        <v>18</v>
      </c>
      <c r="BQ32" s="149">
        <f t="shared" si="27"/>
        <v>18</v>
      </c>
      <c r="BR32" s="149">
        <f t="shared" si="27"/>
        <v>18</v>
      </c>
      <c r="BS32" s="149">
        <f t="shared" si="27"/>
        <v>18</v>
      </c>
      <c r="BT32" s="149">
        <f t="shared" si="27"/>
        <v>18</v>
      </c>
      <c r="BU32" s="149">
        <f t="shared" si="27"/>
        <v>18</v>
      </c>
      <c r="BV32" s="149">
        <f t="shared" si="27"/>
        <v>18</v>
      </c>
    </row>
    <row r="33" spans="1:74" x14ac:dyDescent="0.25">
      <c r="D33" s="158"/>
      <c r="E33" s="158"/>
      <c r="F33" s="158"/>
      <c r="G33" s="158"/>
      <c r="H33" s="158"/>
      <c r="I33" s="158"/>
      <c r="J33" s="158"/>
      <c r="K33" s="158"/>
      <c r="L33" s="158"/>
      <c r="M33" s="158"/>
      <c r="N33" s="158"/>
      <c r="O33" s="158"/>
      <c r="P33" s="158"/>
      <c r="Q33" s="158"/>
      <c r="R33" s="158"/>
      <c r="S33" s="158"/>
      <c r="T33" s="158"/>
      <c r="U33" s="158"/>
      <c r="V33" s="158"/>
      <c r="W33" s="158"/>
      <c r="X33" s="158"/>
      <c r="Y33" s="158"/>
      <c r="Z33" s="158"/>
      <c r="AA33" s="158"/>
      <c r="AB33" s="158"/>
      <c r="AC33" s="158"/>
      <c r="AD33" s="158"/>
      <c r="AE33" s="158"/>
      <c r="AF33" s="158"/>
      <c r="AG33" s="158"/>
      <c r="AH33" s="158"/>
      <c r="AI33" s="158"/>
      <c r="AJ33" s="158"/>
      <c r="AK33" s="158"/>
      <c r="AL33" s="158"/>
      <c r="AM33" s="158"/>
      <c r="AN33" s="158"/>
      <c r="AO33" s="158"/>
      <c r="AP33" s="158"/>
      <c r="AQ33" s="158"/>
      <c r="AR33" s="158"/>
      <c r="AS33" s="158"/>
    </row>
    <row r="34" spans="1:74" x14ac:dyDescent="0.25">
      <c r="D34" s="158"/>
      <c r="E34" s="158"/>
      <c r="F34" s="158"/>
      <c r="G34" s="158"/>
      <c r="H34" s="158"/>
      <c r="I34" s="158"/>
      <c r="J34" s="158"/>
      <c r="K34" s="158"/>
      <c r="L34" s="158"/>
      <c r="M34" s="158"/>
      <c r="N34" s="158"/>
      <c r="O34" s="158"/>
      <c r="P34" s="158"/>
      <c r="Q34" s="158"/>
      <c r="R34" s="158"/>
      <c r="S34" s="158"/>
      <c r="T34" s="158"/>
      <c r="U34" s="158"/>
      <c r="V34" s="158"/>
      <c r="W34" s="158"/>
      <c r="X34" s="158"/>
      <c r="Y34" s="158"/>
      <c r="Z34" s="158"/>
      <c r="AA34" s="158"/>
      <c r="AB34" s="158"/>
      <c r="AC34" s="158"/>
      <c r="AD34" s="158"/>
      <c r="AE34" s="158"/>
      <c r="AF34" s="158"/>
      <c r="AG34" s="158"/>
      <c r="AH34" s="158"/>
      <c r="AI34" s="158"/>
      <c r="AJ34" s="158"/>
      <c r="AK34" s="158"/>
      <c r="AL34" s="158"/>
      <c r="AM34" s="158"/>
      <c r="AN34" s="158"/>
      <c r="AO34" s="158"/>
      <c r="AP34" s="158"/>
      <c r="AQ34" s="158"/>
      <c r="AR34" s="158"/>
      <c r="AS34" s="158"/>
    </row>
    <row r="35" spans="1:74" s="161" customFormat="1" x14ac:dyDescent="0.25">
      <c r="A35" s="159" t="s">
        <v>208</v>
      </c>
      <c r="B35" s="160"/>
      <c r="I35" s="160"/>
      <c r="J35" s="160"/>
      <c r="K35" s="160"/>
      <c r="L35" s="160"/>
      <c r="M35" s="160"/>
      <c r="N35" s="160"/>
      <c r="O35" s="160"/>
      <c r="P35" s="160"/>
      <c r="Q35" s="160"/>
      <c r="R35" s="160"/>
      <c r="S35" s="160"/>
      <c r="T35" s="160"/>
      <c r="U35" s="160"/>
      <c r="V35" s="160"/>
      <c r="W35" s="160"/>
      <c r="X35" s="160"/>
      <c r="Y35" s="160"/>
      <c r="Z35" s="160"/>
      <c r="AA35" s="160"/>
      <c r="AB35" s="160"/>
      <c r="AC35" s="160"/>
      <c r="AD35" s="160"/>
      <c r="AE35" s="160"/>
      <c r="AF35" s="160"/>
      <c r="AG35" s="160"/>
      <c r="AH35" s="160"/>
      <c r="AI35" s="160"/>
      <c r="AJ35" s="160"/>
      <c r="AK35" s="160"/>
      <c r="AL35" s="160"/>
      <c r="AM35" s="160"/>
      <c r="AN35" s="160"/>
      <c r="AO35" s="160"/>
      <c r="AP35" s="160"/>
      <c r="AQ35" s="160"/>
      <c r="AR35" s="160"/>
      <c r="AS35" s="160"/>
    </row>
    <row r="36" spans="1:74" s="161" customFormat="1" x14ac:dyDescent="0.25">
      <c r="A36" s="159" t="s">
        <v>209</v>
      </c>
      <c r="B36" s="159" t="s">
        <v>177</v>
      </c>
      <c r="I36" s="159"/>
      <c r="J36" s="160"/>
      <c r="K36" s="160"/>
      <c r="L36" s="160"/>
      <c r="M36" s="160"/>
      <c r="N36" s="160"/>
      <c r="O36" s="160"/>
      <c r="P36" s="160"/>
      <c r="Q36" s="160"/>
      <c r="R36" s="160"/>
      <c r="S36" s="160"/>
      <c r="T36" s="160"/>
      <c r="U36" s="160"/>
      <c r="V36" s="160"/>
      <c r="W36" s="160"/>
      <c r="X36" s="160"/>
      <c r="Y36" s="160"/>
      <c r="Z36" s="160"/>
      <c r="AA36" s="160"/>
      <c r="AB36" s="160"/>
      <c r="AC36" s="160"/>
      <c r="AD36" s="160"/>
      <c r="AE36" s="160"/>
      <c r="AF36" s="160"/>
      <c r="AG36" s="160"/>
      <c r="AH36" s="160"/>
      <c r="AI36" s="160"/>
      <c r="AJ36" s="160"/>
      <c r="AK36" s="160"/>
      <c r="AL36" s="160"/>
      <c r="AM36" s="160"/>
      <c r="AN36" s="160"/>
      <c r="AO36" s="160"/>
      <c r="AP36" s="160"/>
      <c r="AQ36" s="160"/>
      <c r="AR36" s="160"/>
      <c r="AS36" s="160"/>
    </row>
    <row r="37" spans="1:74" s="142" customFormat="1" x14ac:dyDescent="0.25">
      <c r="A37" s="141" t="s">
        <v>187</v>
      </c>
      <c r="B37" s="151" t="s">
        <v>185</v>
      </c>
      <c r="C37" s="162" t="s">
        <v>188</v>
      </c>
      <c r="D37" s="156">
        <v>37.548459126867918</v>
      </c>
      <c r="E37" s="156">
        <v>38.15924564863866</v>
      </c>
      <c r="F37" s="156">
        <v>38.770032170409401</v>
      </c>
      <c r="G37" s="156">
        <v>39.380818692180142</v>
      </c>
      <c r="H37" s="156">
        <v>39.991605213950884</v>
      </c>
      <c r="I37" s="156">
        <v>40.602391735721639</v>
      </c>
      <c r="J37" s="156">
        <v>37.029910660331147</v>
      </c>
      <c r="K37" s="156">
        <v>37.38766859613127</v>
      </c>
      <c r="L37" s="156">
        <v>37.37679069516026</v>
      </c>
      <c r="M37" s="156">
        <v>37.456129728700496</v>
      </c>
      <c r="N37" s="156">
        <v>37.521028550239578</v>
      </c>
      <c r="O37" s="156">
        <v>37.582594899639922</v>
      </c>
      <c r="P37" s="156">
        <v>38.798506075302711</v>
      </c>
      <c r="Q37" s="156">
        <v>39.397491754128453</v>
      </c>
      <c r="R37" s="156">
        <v>37.299412424821639</v>
      </c>
      <c r="S37" s="156">
        <v>37.209539636689939</v>
      </c>
      <c r="T37" s="156">
        <v>37.266184003960042</v>
      </c>
      <c r="U37" s="156">
        <v>37.291218367707614</v>
      </c>
      <c r="V37" s="156">
        <v>37.386921987850592</v>
      </c>
      <c r="W37" s="156">
        <v>37.201591978278302</v>
      </c>
      <c r="X37" s="156">
        <v>37.339369330317673</v>
      </c>
      <c r="Y37" s="156">
        <v>37.324339044057353</v>
      </c>
      <c r="Z37" s="156">
        <v>37.416356456695944</v>
      </c>
      <c r="AA37" s="156">
        <v>37.573913014679924</v>
      </c>
      <c r="AB37" s="156">
        <v>37.80865399807309</v>
      </c>
      <c r="AC37" s="156">
        <v>37.15640480000738</v>
      </c>
      <c r="AD37" s="156">
        <v>37.395835319444295</v>
      </c>
      <c r="AE37" s="156">
        <v>37.324149820444227</v>
      </c>
      <c r="AF37" s="156">
        <v>37.324149820444227</v>
      </c>
      <c r="AG37" s="156">
        <v>37.324149820444227</v>
      </c>
      <c r="AH37" s="156">
        <v>37.324149820444227</v>
      </c>
      <c r="AI37" s="156">
        <v>37.324149820444227</v>
      </c>
      <c r="AJ37" s="156">
        <v>37.324149820444227</v>
      </c>
      <c r="AK37" s="156">
        <v>37.324149820444227</v>
      </c>
      <c r="AL37" s="156">
        <v>37.324149820444227</v>
      </c>
      <c r="AM37" s="156">
        <v>37.324149820444227</v>
      </c>
      <c r="AN37" s="156">
        <v>37.324149820444227</v>
      </c>
      <c r="AO37" s="156">
        <v>37.324149820444227</v>
      </c>
      <c r="AP37" s="156">
        <v>37.324149820444227</v>
      </c>
      <c r="AQ37" s="156">
        <v>37.324149820444227</v>
      </c>
      <c r="AR37" s="156">
        <v>37.324149820444227</v>
      </c>
      <c r="AS37" s="149">
        <f t="shared" ref="AS37:BV37" si="28">AR37</f>
        <v>37.324149820444227</v>
      </c>
      <c r="AT37" s="149">
        <f t="shared" si="28"/>
        <v>37.324149820444227</v>
      </c>
      <c r="AU37" s="149">
        <f t="shared" si="28"/>
        <v>37.324149820444227</v>
      </c>
      <c r="AV37" s="149">
        <f t="shared" si="28"/>
        <v>37.324149820444227</v>
      </c>
      <c r="AW37" s="149">
        <f t="shared" si="28"/>
        <v>37.324149820444227</v>
      </c>
      <c r="AX37" s="149">
        <f t="shared" si="28"/>
        <v>37.324149820444227</v>
      </c>
      <c r="AY37" s="149">
        <f t="shared" si="28"/>
        <v>37.324149820444227</v>
      </c>
      <c r="AZ37" s="149">
        <f t="shared" si="28"/>
        <v>37.324149820444227</v>
      </c>
      <c r="BA37" s="149">
        <f t="shared" si="28"/>
        <v>37.324149820444227</v>
      </c>
      <c r="BB37" s="149">
        <f t="shared" si="28"/>
        <v>37.324149820444227</v>
      </c>
      <c r="BC37" s="149">
        <f t="shared" si="28"/>
        <v>37.324149820444227</v>
      </c>
      <c r="BD37" s="149">
        <f t="shared" si="28"/>
        <v>37.324149820444227</v>
      </c>
      <c r="BE37" s="149">
        <f t="shared" si="28"/>
        <v>37.324149820444227</v>
      </c>
      <c r="BF37" s="149">
        <f t="shared" si="28"/>
        <v>37.324149820444227</v>
      </c>
      <c r="BG37" s="149">
        <f t="shared" si="28"/>
        <v>37.324149820444227</v>
      </c>
      <c r="BH37" s="149">
        <f t="shared" si="28"/>
        <v>37.324149820444227</v>
      </c>
      <c r="BI37" s="149">
        <f t="shared" si="28"/>
        <v>37.324149820444227</v>
      </c>
      <c r="BJ37" s="149">
        <f t="shared" si="28"/>
        <v>37.324149820444227</v>
      </c>
      <c r="BK37" s="149">
        <f t="shared" si="28"/>
        <v>37.324149820444227</v>
      </c>
      <c r="BL37" s="149">
        <f t="shared" si="28"/>
        <v>37.324149820444227</v>
      </c>
      <c r="BM37" s="149">
        <f t="shared" si="28"/>
        <v>37.324149820444227</v>
      </c>
      <c r="BN37" s="149">
        <f t="shared" si="28"/>
        <v>37.324149820444227</v>
      </c>
      <c r="BO37" s="149">
        <f t="shared" si="28"/>
        <v>37.324149820444227</v>
      </c>
      <c r="BP37" s="149">
        <f t="shared" si="28"/>
        <v>37.324149820444227</v>
      </c>
      <c r="BQ37" s="149">
        <f t="shared" si="28"/>
        <v>37.324149820444227</v>
      </c>
      <c r="BR37" s="149">
        <f t="shared" si="28"/>
        <v>37.324149820444227</v>
      </c>
      <c r="BS37" s="149">
        <f t="shared" si="28"/>
        <v>37.324149820444227</v>
      </c>
      <c r="BT37" s="149">
        <f t="shared" si="28"/>
        <v>37.324149820444227</v>
      </c>
      <c r="BU37" s="149">
        <f t="shared" si="28"/>
        <v>37.324149820444227</v>
      </c>
      <c r="BV37" s="149">
        <f t="shared" si="28"/>
        <v>37.324149820444227</v>
      </c>
    </row>
    <row r="38" spans="1:74" s="142" customFormat="1" x14ac:dyDescent="0.25">
      <c r="A38" s="141" t="s">
        <v>188</v>
      </c>
      <c r="B38" s="151" t="s">
        <v>185</v>
      </c>
      <c r="C38" s="163" t="s">
        <v>208</v>
      </c>
      <c r="D38" s="164">
        <v>37.548459126867918</v>
      </c>
      <c r="E38" s="165">
        <v>38.15924564863866</v>
      </c>
      <c r="F38" s="165">
        <v>38.770032170409401</v>
      </c>
      <c r="G38" s="165">
        <v>39.380818692180142</v>
      </c>
      <c r="H38" s="165">
        <v>39.991605213950884</v>
      </c>
      <c r="I38" s="164">
        <v>40.602391735721639</v>
      </c>
      <c r="J38" s="164">
        <v>37.029910660331147</v>
      </c>
      <c r="K38" s="164">
        <v>37.38766859613127</v>
      </c>
      <c r="L38" s="164">
        <v>37.37679069516026</v>
      </c>
      <c r="M38" s="164">
        <v>37.456129728700496</v>
      </c>
      <c r="N38" s="164">
        <v>37.521028550239578</v>
      </c>
      <c r="O38" s="164">
        <v>37.582594899639922</v>
      </c>
      <c r="P38" s="164">
        <v>38.798506075302711</v>
      </c>
      <c r="Q38" s="164">
        <v>39.397491754128453</v>
      </c>
      <c r="R38" s="164">
        <v>37.299412424821639</v>
      </c>
      <c r="S38" s="164">
        <v>37.209539636689939</v>
      </c>
      <c r="T38" s="164">
        <v>37.266184003960042</v>
      </c>
      <c r="U38" s="164">
        <v>37.291218367707614</v>
      </c>
      <c r="V38" s="164">
        <v>37.386921987850592</v>
      </c>
      <c r="W38" s="164">
        <v>37.201591978278302</v>
      </c>
      <c r="X38" s="164">
        <v>37.339369330317673</v>
      </c>
      <c r="Y38" s="164">
        <v>37.324339044057353</v>
      </c>
      <c r="Z38" s="164">
        <v>37.416356456695944</v>
      </c>
      <c r="AA38" s="164">
        <v>37.573913014679924</v>
      </c>
      <c r="AB38" s="164">
        <v>37.80865399807309</v>
      </c>
      <c r="AC38" s="164">
        <v>37.15640480000738</v>
      </c>
      <c r="AD38" s="164">
        <v>37.395835319444295</v>
      </c>
      <c r="AE38" s="164">
        <v>37.324149820444227</v>
      </c>
      <c r="AF38" s="165">
        <v>37.324149820444227</v>
      </c>
      <c r="AG38" s="165">
        <v>37.324149820444227</v>
      </c>
      <c r="AH38" s="165">
        <v>37.324149820444227</v>
      </c>
      <c r="AI38" s="165">
        <v>37.324149820444227</v>
      </c>
      <c r="AJ38" s="165">
        <v>37.324149820444227</v>
      </c>
      <c r="AK38" s="165">
        <v>37.324149820444227</v>
      </c>
      <c r="AL38" s="165">
        <v>37.324149820444227</v>
      </c>
      <c r="AM38" s="165">
        <v>37.324149820444227</v>
      </c>
      <c r="AN38" s="165">
        <v>37.324149820444227</v>
      </c>
      <c r="AO38" s="165">
        <v>37.324149820444227</v>
      </c>
      <c r="AP38" s="165">
        <v>37.324149820444227</v>
      </c>
      <c r="AQ38" s="165">
        <v>37.324149820444227</v>
      </c>
      <c r="AR38" s="165">
        <v>37.324149820444227</v>
      </c>
      <c r="AS38" s="149">
        <f t="shared" ref="AS38:BV38" si="29">AR38</f>
        <v>37.324149820444227</v>
      </c>
      <c r="AT38" s="149">
        <f t="shared" si="29"/>
        <v>37.324149820444227</v>
      </c>
      <c r="AU38" s="149">
        <f t="shared" si="29"/>
        <v>37.324149820444227</v>
      </c>
      <c r="AV38" s="149">
        <f t="shared" si="29"/>
        <v>37.324149820444227</v>
      </c>
      <c r="AW38" s="149">
        <f t="shared" si="29"/>
        <v>37.324149820444227</v>
      </c>
      <c r="AX38" s="149">
        <f t="shared" si="29"/>
        <v>37.324149820444227</v>
      </c>
      <c r="AY38" s="149">
        <f t="shared" si="29"/>
        <v>37.324149820444227</v>
      </c>
      <c r="AZ38" s="149">
        <f t="shared" si="29"/>
        <v>37.324149820444227</v>
      </c>
      <c r="BA38" s="149">
        <f t="shared" si="29"/>
        <v>37.324149820444227</v>
      </c>
      <c r="BB38" s="149">
        <f t="shared" si="29"/>
        <v>37.324149820444227</v>
      </c>
      <c r="BC38" s="149">
        <f t="shared" si="29"/>
        <v>37.324149820444227</v>
      </c>
      <c r="BD38" s="149">
        <f t="shared" si="29"/>
        <v>37.324149820444227</v>
      </c>
      <c r="BE38" s="149">
        <f t="shared" si="29"/>
        <v>37.324149820444227</v>
      </c>
      <c r="BF38" s="149">
        <f t="shared" si="29"/>
        <v>37.324149820444227</v>
      </c>
      <c r="BG38" s="149">
        <f t="shared" si="29"/>
        <v>37.324149820444227</v>
      </c>
      <c r="BH38" s="149">
        <f t="shared" si="29"/>
        <v>37.324149820444227</v>
      </c>
      <c r="BI38" s="149">
        <f t="shared" si="29"/>
        <v>37.324149820444227</v>
      </c>
      <c r="BJ38" s="149">
        <f t="shared" si="29"/>
        <v>37.324149820444227</v>
      </c>
      <c r="BK38" s="149">
        <f t="shared" si="29"/>
        <v>37.324149820444227</v>
      </c>
      <c r="BL38" s="149">
        <f t="shared" si="29"/>
        <v>37.324149820444227</v>
      </c>
      <c r="BM38" s="149">
        <f t="shared" si="29"/>
        <v>37.324149820444227</v>
      </c>
      <c r="BN38" s="149">
        <f t="shared" si="29"/>
        <v>37.324149820444227</v>
      </c>
      <c r="BO38" s="149">
        <f t="shared" si="29"/>
        <v>37.324149820444227</v>
      </c>
      <c r="BP38" s="149">
        <f t="shared" si="29"/>
        <v>37.324149820444227</v>
      </c>
      <c r="BQ38" s="149">
        <f t="shared" si="29"/>
        <v>37.324149820444227</v>
      </c>
      <c r="BR38" s="149">
        <f t="shared" si="29"/>
        <v>37.324149820444227</v>
      </c>
      <c r="BS38" s="149">
        <f t="shared" si="29"/>
        <v>37.324149820444227</v>
      </c>
      <c r="BT38" s="149">
        <f t="shared" si="29"/>
        <v>37.324149820444227</v>
      </c>
      <c r="BU38" s="149">
        <f t="shared" si="29"/>
        <v>37.324149820444227</v>
      </c>
      <c r="BV38" s="149">
        <f t="shared" si="29"/>
        <v>37.324149820444227</v>
      </c>
    </row>
    <row r="39" spans="1:74" s="142" customFormat="1" x14ac:dyDescent="0.25">
      <c r="A39" s="147" t="s">
        <v>193</v>
      </c>
      <c r="B39" s="148" t="s">
        <v>190</v>
      </c>
      <c r="C39" s="162" t="s">
        <v>194</v>
      </c>
      <c r="D39" s="156">
        <v>32.589447058762673</v>
      </c>
      <c r="E39" s="156">
        <v>33.70275515231868</v>
      </c>
      <c r="F39" s="156">
        <v>34.816063245874687</v>
      </c>
      <c r="G39" s="156">
        <v>35.929371339430695</v>
      </c>
      <c r="H39" s="156">
        <v>37.042679432986702</v>
      </c>
      <c r="I39" s="156">
        <v>38.155987526542702</v>
      </c>
      <c r="J39" s="156">
        <v>33.48854468552527</v>
      </c>
      <c r="K39" s="156">
        <v>33.148318327600506</v>
      </c>
      <c r="L39" s="156">
        <v>31.989569950591768</v>
      </c>
      <c r="M39" s="156">
        <v>31.108077736033309</v>
      </c>
      <c r="N39" s="156">
        <v>32.770808725175982</v>
      </c>
      <c r="O39" s="156">
        <v>33.762792828754094</v>
      </c>
      <c r="P39" s="156">
        <v>33.934363635441926</v>
      </c>
      <c r="Q39" s="156">
        <v>33.322675517678768</v>
      </c>
      <c r="R39" s="156">
        <v>33.308965261834203</v>
      </c>
      <c r="S39" s="156">
        <v>33.093844874925267</v>
      </c>
      <c r="T39" s="156">
        <v>32.126437748720889</v>
      </c>
      <c r="U39" s="156">
        <v>32.242028298130897</v>
      </c>
      <c r="V39" s="156">
        <v>32.385380611120624</v>
      </c>
      <c r="W39" s="156">
        <v>31.776001748104314</v>
      </c>
      <c r="X39" s="156">
        <v>32.169706683735349</v>
      </c>
      <c r="Y39" s="156">
        <v>32.307085263746742</v>
      </c>
      <c r="Z39" s="156">
        <v>32.86211185519808</v>
      </c>
      <c r="AA39" s="156">
        <v>30.543868285588864</v>
      </c>
      <c r="AB39" s="156">
        <v>31.157377080508969</v>
      </c>
      <c r="AC39" s="156">
        <v>31.024575235117581</v>
      </c>
      <c r="AD39" s="156">
        <v>32.471028639602189</v>
      </c>
      <c r="AE39" s="156">
        <v>31.676321172636296</v>
      </c>
      <c r="AF39" s="156">
        <v>31.676321172636296</v>
      </c>
      <c r="AG39" s="156">
        <v>31.676321172636296</v>
      </c>
      <c r="AH39" s="156">
        <v>31.676321172636296</v>
      </c>
      <c r="AI39" s="156">
        <v>31.676321172636296</v>
      </c>
      <c r="AJ39" s="156">
        <v>31.676321172636296</v>
      </c>
      <c r="AK39" s="156">
        <v>31.676321172636296</v>
      </c>
      <c r="AL39" s="156">
        <v>31.676321172636296</v>
      </c>
      <c r="AM39" s="156">
        <v>31.676321172636296</v>
      </c>
      <c r="AN39" s="156">
        <v>31.676321172636296</v>
      </c>
      <c r="AO39" s="156">
        <v>31.676321172636296</v>
      </c>
      <c r="AP39" s="156">
        <v>31.676321172636296</v>
      </c>
      <c r="AQ39" s="156">
        <v>31.676321172636296</v>
      </c>
      <c r="AR39" s="156">
        <v>31.676321172636296</v>
      </c>
      <c r="AS39" s="149">
        <f t="shared" ref="AS39:BV39" si="30">AR39</f>
        <v>31.676321172636296</v>
      </c>
      <c r="AT39" s="149">
        <f t="shared" si="30"/>
        <v>31.676321172636296</v>
      </c>
      <c r="AU39" s="149">
        <f t="shared" si="30"/>
        <v>31.676321172636296</v>
      </c>
      <c r="AV39" s="149">
        <f t="shared" si="30"/>
        <v>31.676321172636296</v>
      </c>
      <c r="AW39" s="149">
        <f t="shared" si="30"/>
        <v>31.676321172636296</v>
      </c>
      <c r="AX39" s="149">
        <f t="shared" si="30"/>
        <v>31.676321172636296</v>
      </c>
      <c r="AY39" s="149">
        <f t="shared" si="30"/>
        <v>31.676321172636296</v>
      </c>
      <c r="AZ39" s="149">
        <f t="shared" si="30"/>
        <v>31.676321172636296</v>
      </c>
      <c r="BA39" s="149">
        <f t="shared" si="30"/>
        <v>31.676321172636296</v>
      </c>
      <c r="BB39" s="149">
        <f t="shared" si="30"/>
        <v>31.676321172636296</v>
      </c>
      <c r="BC39" s="149">
        <f t="shared" si="30"/>
        <v>31.676321172636296</v>
      </c>
      <c r="BD39" s="149">
        <f t="shared" si="30"/>
        <v>31.676321172636296</v>
      </c>
      <c r="BE39" s="149">
        <f t="shared" si="30"/>
        <v>31.676321172636296</v>
      </c>
      <c r="BF39" s="149">
        <f t="shared" si="30"/>
        <v>31.676321172636296</v>
      </c>
      <c r="BG39" s="149">
        <f t="shared" si="30"/>
        <v>31.676321172636296</v>
      </c>
      <c r="BH39" s="149">
        <f t="shared" si="30"/>
        <v>31.676321172636296</v>
      </c>
      <c r="BI39" s="149">
        <f t="shared" si="30"/>
        <v>31.676321172636296</v>
      </c>
      <c r="BJ39" s="149">
        <f t="shared" si="30"/>
        <v>31.676321172636296</v>
      </c>
      <c r="BK39" s="149">
        <f t="shared" si="30"/>
        <v>31.676321172636296</v>
      </c>
      <c r="BL39" s="149">
        <f t="shared" si="30"/>
        <v>31.676321172636296</v>
      </c>
      <c r="BM39" s="149">
        <f t="shared" si="30"/>
        <v>31.676321172636296</v>
      </c>
      <c r="BN39" s="149">
        <f t="shared" si="30"/>
        <v>31.676321172636296</v>
      </c>
      <c r="BO39" s="149">
        <f t="shared" si="30"/>
        <v>31.676321172636296</v>
      </c>
      <c r="BP39" s="149">
        <f t="shared" si="30"/>
        <v>31.676321172636296</v>
      </c>
      <c r="BQ39" s="149">
        <f t="shared" si="30"/>
        <v>31.676321172636296</v>
      </c>
      <c r="BR39" s="149">
        <f t="shared" si="30"/>
        <v>31.676321172636296</v>
      </c>
      <c r="BS39" s="149">
        <f t="shared" si="30"/>
        <v>31.676321172636296</v>
      </c>
      <c r="BT39" s="149">
        <f t="shared" si="30"/>
        <v>31.676321172636296</v>
      </c>
      <c r="BU39" s="149">
        <f t="shared" si="30"/>
        <v>31.676321172636296</v>
      </c>
      <c r="BV39" s="149">
        <f t="shared" si="30"/>
        <v>31.676321172636296</v>
      </c>
    </row>
    <row r="40" spans="1:74" s="142" customFormat="1" x14ac:dyDescent="0.25">
      <c r="A40" s="141" t="s">
        <v>194</v>
      </c>
      <c r="B40" s="148" t="s">
        <v>190</v>
      </c>
      <c r="C40" s="163" t="s">
        <v>208</v>
      </c>
      <c r="D40" s="164">
        <v>32.589447058762673</v>
      </c>
      <c r="E40" s="165">
        <v>33.70275515231868</v>
      </c>
      <c r="F40" s="165">
        <v>34.816063245874687</v>
      </c>
      <c r="G40" s="165">
        <v>35.929371339430695</v>
      </c>
      <c r="H40" s="165">
        <v>37.042679432986702</v>
      </c>
      <c r="I40" s="164">
        <v>38.155987526542702</v>
      </c>
      <c r="J40" s="164">
        <v>33.48854468552527</v>
      </c>
      <c r="K40" s="164">
        <v>33.148318327600506</v>
      </c>
      <c r="L40" s="164">
        <v>31.989569950591768</v>
      </c>
      <c r="M40" s="164">
        <v>31.108077736033309</v>
      </c>
      <c r="N40" s="164">
        <v>32.770808725175982</v>
      </c>
      <c r="O40" s="164">
        <v>33.762792828754094</v>
      </c>
      <c r="P40" s="164">
        <v>33.934363635441926</v>
      </c>
      <c r="Q40" s="164">
        <v>33.322675517678768</v>
      </c>
      <c r="R40" s="164">
        <v>33.308965261834203</v>
      </c>
      <c r="S40" s="164">
        <v>33.093844874925267</v>
      </c>
      <c r="T40" s="164">
        <v>32.126437748720889</v>
      </c>
      <c r="U40" s="164">
        <v>32.242028298130897</v>
      </c>
      <c r="V40" s="164">
        <v>32.385380611120624</v>
      </c>
      <c r="W40" s="164">
        <v>31.776001748104314</v>
      </c>
      <c r="X40" s="164">
        <v>32.169706683735349</v>
      </c>
      <c r="Y40" s="164">
        <v>32.307085263746742</v>
      </c>
      <c r="Z40" s="164">
        <v>32.86211185519808</v>
      </c>
      <c r="AA40" s="164">
        <v>30.543868285588864</v>
      </c>
      <c r="AB40" s="164">
        <v>31.157377080508969</v>
      </c>
      <c r="AC40" s="164">
        <v>31.024575235117581</v>
      </c>
      <c r="AD40" s="164">
        <v>32.471028639602189</v>
      </c>
      <c r="AE40" s="164">
        <v>31.676321172636296</v>
      </c>
      <c r="AF40" s="165">
        <v>31.676321172636296</v>
      </c>
      <c r="AG40" s="165">
        <v>31.676321172636296</v>
      </c>
      <c r="AH40" s="165">
        <v>31.676321172636296</v>
      </c>
      <c r="AI40" s="165">
        <v>31.676321172636296</v>
      </c>
      <c r="AJ40" s="165">
        <v>31.676321172636296</v>
      </c>
      <c r="AK40" s="165">
        <v>31.676321172636296</v>
      </c>
      <c r="AL40" s="165">
        <v>31.676321172636296</v>
      </c>
      <c r="AM40" s="165">
        <v>31.676321172636296</v>
      </c>
      <c r="AN40" s="165">
        <v>31.676321172636296</v>
      </c>
      <c r="AO40" s="165">
        <v>31.676321172636296</v>
      </c>
      <c r="AP40" s="165">
        <v>31.676321172636296</v>
      </c>
      <c r="AQ40" s="165">
        <v>31.676321172636296</v>
      </c>
      <c r="AR40" s="165">
        <v>31.676321172636296</v>
      </c>
      <c r="AS40" s="149">
        <f t="shared" ref="AS40:BV40" si="31">AR40</f>
        <v>31.676321172636296</v>
      </c>
      <c r="AT40" s="149">
        <f t="shared" si="31"/>
        <v>31.676321172636296</v>
      </c>
      <c r="AU40" s="149">
        <f t="shared" si="31"/>
        <v>31.676321172636296</v>
      </c>
      <c r="AV40" s="149">
        <f t="shared" si="31"/>
        <v>31.676321172636296</v>
      </c>
      <c r="AW40" s="149">
        <f t="shared" si="31"/>
        <v>31.676321172636296</v>
      </c>
      <c r="AX40" s="149">
        <f t="shared" si="31"/>
        <v>31.676321172636296</v>
      </c>
      <c r="AY40" s="149">
        <f t="shared" si="31"/>
        <v>31.676321172636296</v>
      </c>
      <c r="AZ40" s="149">
        <f t="shared" si="31"/>
        <v>31.676321172636296</v>
      </c>
      <c r="BA40" s="149">
        <f t="shared" si="31"/>
        <v>31.676321172636296</v>
      </c>
      <c r="BB40" s="149">
        <f t="shared" si="31"/>
        <v>31.676321172636296</v>
      </c>
      <c r="BC40" s="149">
        <f t="shared" si="31"/>
        <v>31.676321172636296</v>
      </c>
      <c r="BD40" s="149">
        <f t="shared" si="31"/>
        <v>31.676321172636296</v>
      </c>
      <c r="BE40" s="149">
        <f t="shared" si="31"/>
        <v>31.676321172636296</v>
      </c>
      <c r="BF40" s="149">
        <f t="shared" si="31"/>
        <v>31.676321172636296</v>
      </c>
      <c r="BG40" s="149">
        <f t="shared" si="31"/>
        <v>31.676321172636296</v>
      </c>
      <c r="BH40" s="149">
        <f t="shared" si="31"/>
        <v>31.676321172636296</v>
      </c>
      <c r="BI40" s="149">
        <f t="shared" si="31"/>
        <v>31.676321172636296</v>
      </c>
      <c r="BJ40" s="149">
        <f t="shared" si="31"/>
        <v>31.676321172636296</v>
      </c>
      <c r="BK40" s="149">
        <f t="shared" si="31"/>
        <v>31.676321172636296</v>
      </c>
      <c r="BL40" s="149">
        <f t="shared" si="31"/>
        <v>31.676321172636296</v>
      </c>
      <c r="BM40" s="149">
        <f t="shared" si="31"/>
        <v>31.676321172636296</v>
      </c>
      <c r="BN40" s="149">
        <f t="shared" si="31"/>
        <v>31.676321172636296</v>
      </c>
      <c r="BO40" s="149">
        <f t="shared" si="31"/>
        <v>31.676321172636296</v>
      </c>
      <c r="BP40" s="149">
        <f t="shared" si="31"/>
        <v>31.676321172636296</v>
      </c>
      <c r="BQ40" s="149">
        <f t="shared" si="31"/>
        <v>31.676321172636296</v>
      </c>
      <c r="BR40" s="149">
        <f t="shared" si="31"/>
        <v>31.676321172636296</v>
      </c>
      <c r="BS40" s="149">
        <f t="shared" si="31"/>
        <v>31.676321172636296</v>
      </c>
      <c r="BT40" s="149">
        <f t="shared" si="31"/>
        <v>31.676321172636296</v>
      </c>
      <c r="BU40" s="149">
        <f t="shared" si="31"/>
        <v>31.676321172636296</v>
      </c>
      <c r="BV40" s="149">
        <f t="shared" si="31"/>
        <v>31.676321172636296</v>
      </c>
    </row>
    <row r="41" spans="1:74" s="142" customFormat="1" x14ac:dyDescent="0.25">
      <c r="A41" s="141" t="s">
        <v>14</v>
      </c>
      <c r="B41" s="148" t="s">
        <v>190</v>
      </c>
      <c r="C41" s="163" t="s">
        <v>208</v>
      </c>
      <c r="D41" s="164">
        <v>34.129065805663387</v>
      </c>
      <c r="E41" s="165">
        <v>35.278413023816718</v>
      </c>
      <c r="F41" s="165">
        <v>36.427760241970049</v>
      </c>
      <c r="G41" s="165">
        <v>37.577107460123379</v>
      </c>
      <c r="H41" s="165">
        <v>38.72645467827671</v>
      </c>
      <c r="I41" s="164">
        <v>39.875801896430033</v>
      </c>
      <c r="J41" s="164">
        <v>34.861445479182123</v>
      </c>
      <c r="K41" s="164">
        <v>34.395869943887611</v>
      </c>
      <c r="L41" s="164">
        <v>34.159573806108973</v>
      </c>
      <c r="M41" s="164">
        <v>33.782544772582717</v>
      </c>
      <c r="N41" s="164">
        <v>33.844446248930772</v>
      </c>
      <c r="O41" s="164">
        <v>34.197993282368529</v>
      </c>
      <c r="P41" s="164">
        <v>34.313374247778221</v>
      </c>
      <c r="Q41" s="164">
        <v>34.453982315191531</v>
      </c>
      <c r="R41" s="164">
        <v>34.365369316798123</v>
      </c>
      <c r="S41" s="164">
        <v>34.495964799658445</v>
      </c>
      <c r="T41" s="164">
        <v>34.597015548984245</v>
      </c>
      <c r="U41" s="164">
        <v>34.618103579232553</v>
      </c>
      <c r="V41" s="164">
        <v>34.537246967575449</v>
      </c>
      <c r="W41" s="164">
        <v>34.654533849119332</v>
      </c>
      <c r="X41" s="164">
        <v>34.586020679637429</v>
      </c>
      <c r="Y41" s="164">
        <v>34.713944209572055</v>
      </c>
      <c r="Z41" s="164">
        <v>34.85982125107126</v>
      </c>
      <c r="AA41" s="164">
        <v>34.717505109880037</v>
      </c>
      <c r="AB41" s="164">
        <v>35.134200231554537</v>
      </c>
      <c r="AC41" s="164">
        <v>34.927281482478378</v>
      </c>
      <c r="AD41" s="164">
        <v>34.977830835512705</v>
      </c>
      <c r="AE41" s="164">
        <v>34.759964294791452</v>
      </c>
      <c r="AF41" s="165">
        <v>34.759964294791452</v>
      </c>
      <c r="AG41" s="165">
        <v>34.759964294791452</v>
      </c>
      <c r="AH41" s="165">
        <v>34.759964294791452</v>
      </c>
      <c r="AI41" s="165">
        <v>34.759964294791452</v>
      </c>
      <c r="AJ41" s="165">
        <v>34.759964294791452</v>
      </c>
      <c r="AK41" s="165">
        <v>34.759964294791452</v>
      </c>
      <c r="AL41" s="165">
        <v>34.759964294791452</v>
      </c>
      <c r="AM41" s="165">
        <v>34.759964294791452</v>
      </c>
      <c r="AN41" s="165">
        <v>34.759964294791452</v>
      </c>
      <c r="AO41" s="165">
        <v>34.759964294791452</v>
      </c>
      <c r="AP41" s="165">
        <v>34.759964294791452</v>
      </c>
      <c r="AQ41" s="165">
        <v>34.759964294791452</v>
      </c>
      <c r="AR41" s="165">
        <v>34.759964294791452</v>
      </c>
      <c r="AS41" s="149">
        <f t="shared" ref="AS41:BV41" si="32">AR41</f>
        <v>34.759964294791452</v>
      </c>
      <c r="AT41" s="149">
        <f t="shared" si="32"/>
        <v>34.759964294791452</v>
      </c>
      <c r="AU41" s="149">
        <f t="shared" si="32"/>
        <v>34.759964294791452</v>
      </c>
      <c r="AV41" s="149">
        <f t="shared" si="32"/>
        <v>34.759964294791452</v>
      </c>
      <c r="AW41" s="149">
        <f t="shared" si="32"/>
        <v>34.759964294791452</v>
      </c>
      <c r="AX41" s="149">
        <f t="shared" si="32"/>
        <v>34.759964294791452</v>
      </c>
      <c r="AY41" s="149">
        <f t="shared" si="32"/>
        <v>34.759964294791452</v>
      </c>
      <c r="AZ41" s="149">
        <f t="shared" si="32"/>
        <v>34.759964294791452</v>
      </c>
      <c r="BA41" s="149">
        <f t="shared" si="32"/>
        <v>34.759964294791452</v>
      </c>
      <c r="BB41" s="149">
        <f t="shared" si="32"/>
        <v>34.759964294791452</v>
      </c>
      <c r="BC41" s="149">
        <f t="shared" si="32"/>
        <v>34.759964294791452</v>
      </c>
      <c r="BD41" s="149">
        <f t="shared" si="32"/>
        <v>34.759964294791452</v>
      </c>
      <c r="BE41" s="149">
        <f t="shared" si="32"/>
        <v>34.759964294791452</v>
      </c>
      <c r="BF41" s="149">
        <f t="shared" si="32"/>
        <v>34.759964294791452</v>
      </c>
      <c r="BG41" s="149">
        <f t="shared" si="32"/>
        <v>34.759964294791452</v>
      </c>
      <c r="BH41" s="149">
        <f t="shared" si="32"/>
        <v>34.759964294791452</v>
      </c>
      <c r="BI41" s="149">
        <f t="shared" si="32"/>
        <v>34.759964294791452</v>
      </c>
      <c r="BJ41" s="149">
        <f t="shared" si="32"/>
        <v>34.759964294791452</v>
      </c>
      <c r="BK41" s="149">
        <f t="shared" si="32"/>
        <v>34.759964294791452</v>
      </c>
      <c r="BL41" s="149">
        <f t="shared" si="32"/>
        <v>34.759964294791452</v>
      </c>
      <c r="BM41" s="149">
        <f t="shared" si="32"/>
        <v>34.759964294791452</v>
      </c>
      <c r="BN41" s="149">
        <f t="shared" si="32"/>
        <v>34.759964294791452</v>
      </c>
      <c r="BO41" s="149">
        <f t="shared" si="32"/>
        <v>34.759964294791452</v>
      </c>
      <c r="BP41" s="149">
        <f t="shared" si="32"/>
        <v>34.759964294791452</v>
      </c>
      <c r="BQ41" s="149">
        <f t="shared" si="32"/>
        <v>34.759964294791452</v>
      </c>
      <c r="BR41" s="149">
        <f t="shared" si="32"/>
        <v>34.759964294791452</v>
      </c>
      <c r="BS41" s="149">
        <f t="shared" si="32"/>
        <v>34.759964294791452</v>
      </c>
      <c r="BT41" s="149">
        <f t="shared" si="32"/>
        <v>34.759964294791452</v>
      </c>
      <c r="BU41" s="149">
        <f t="shared" si="32"/>
        <v>34.759964294791452</v>
      </c>
      <c r="BV41" s="149">
        <f t="shared" si="32"/>
        <v>34.759964294791452</v>
      </c>
    </row>
    <row r="42" spans="1:74" x14ac:dyDescent="0.25">
      <c r="D42" s="158"/>
      <c r="E42" s="158"/>
      <c r="F42" s="158"/>
      <c r="G42" s="158"/>
      <c r="H42" s="158"/>
      <c r="I42" s="158"/>
      <c r="J42" s="158"/>
      <c r="K42" s="158"/>
      <c r="L42" s="158"/>
      <c r="M42" s="158"/>
      <c r="N42" s="158"/>
      <c r="O42" s="158"/>
      <c r="P42" s="158"/>
      <c r="Q42" s="158"/>
      <c r="R42" s="158"/>
      <c r="S42" s="158"/>
      <c r="T42" s="158"/>
      <c r="U42" s="158"/>
      <c r="V42" s="158"/>
      <c r="W42" s="158"/>
      <c r="X42" s="158"/>
      <c r="Y42" s="158"/>
      <c r="Z42" s="158"/>
      <c r="AA42" s="158"/>
      <c r="AB42" s="158"/>
      <c r="AC42" s="158"/>
      <c r="AD42" s="158"/>
      <c r="AE42" s="158"/>
      <c r="AF42" s="158"/>
      <c r="AG42" s="158"/>
      <c r="AH42" s="158"/>
      <c r="AI42" s="158"/>
      <c r="AJ42" s="158"/>
      <c r="AK42" s="158"/>
      <c r="AL42" s="158"/>
      <c r="AM42" s="158"/>
      <c r="AN42" s="158"/>
      <c r="AO42" s="158"/>
      <c r="AP42" s="158"/>
      <c r="AQ42" s="158"/>
      <c r="AR42" s="158"/>
      <c r="AS42" s="158"/>
    </row>
    <row r="43" spans="1:74" x14ac:dyDescent="0.25">
      <c r="A43" s="141"/>
      <c r="B43" s="142"/>
      <c r="C43" s="142"/>
      <c r="D43" s="158"/>
      <c r="E43" s="158"/>
      <c r="F43" s="158"/>
      <c r="G43" s="158"/>
      <c r="H43" s="158"/>
      <c r="I43" s="158"/>
      <c r="J43" s="158"/>
      <c r="K43" s="158"/>
      <c r="L43" s="158"/>
      <c r="M43" s="158"/>
      <c r="N43" s="158"/>
      <c r="O43" s="158"/>
      <c r="P43" s="158"/>
      <c r="Q43" s="158"/>
      <c r="R43" s="158"/>
      <c r="S43" s="158"/>
      <c r="T43" s="158"/>
      <c r="U43" s="158"/>
      <c r="V43" s="158"/>
      <c r="W43" s="158"/>
      <c r="X43" s="158"/>
      <c r="Y43" s="158"/>
      <c r="Z43" s="158"/>
      <c r="AA43" s="158"/>
      <c r="AB43" s="158"/>
      <c r="AC43" s="158"/>
      <c r="AD43" s="158"/>
      <c r="AE43" s="158"/>
      <c r="AF43" s="158"/>
      <c r="AG43" s="158"/>
      <c r="AH43" s="158"/>
      <c r="AI43" s="158"/>
      <c r="AJ43" s="158"/>
      <c r="AK43" s="158"/>
      <c r="AL43" s="158"/>
      <c r="AM43" s="158"/>
      <c r="AN43" s="158"/>
      <c r="AO43" s="158"/>
      <c r="AP43" s="158"/>
      <c r="AQ43" s="158"/>
      <c r="AR43" s="158"/>
      <c r="AS43" s="158"/>
    </row>
    <row r="44" spans="1:74" s="168" customFormat="1" x14ac:dyDescent="0.25">
      <c r="A44" s="166" t="s">
        <v>254</v>
      </c>
      <c r="B44" s="167"/>
      <c r="I44" s="167"/>
      <c r="J44" s="167"/>
      <c r="K44" s="167"/>
      <c r="L44" s="167"/>
      <c r="M44" s="167"/>
      <c r="N44" s="167"/>
      <c r="O44" s="167"/>
      <c r="P44" s="167"/>
      <c r="Q44" s="167"/>
      <c r="R44" s="167"/>
      <c r="S44" s="167"/>
      <c r="T44" s="167"/>
      <c r="U44" s="167"/>
      <c r="V44" s="167"/>
      <c r="W44" s="167"/>
      <c r="X44" s="167"/>
      <c r="Y44" s="167"/>
      <c r="Z44" s="167"/>
      <c r="AA44" s="167"/>
      <c r="AB44" s="167"/>
      <c r="AC44" s="167"/>
      <c r="AD44" s="167"/>
      <c r="AE44" s="167"/>
      <c r="AF44" s="167"/>
      <c r="AG44" s="167"/>
      <c r="AH44" s="167"/>
      <c r="AI44" s="167"/>
      <c r="AJ44" s="167"/>
      <c r="AK44" s="167"/>
      <c r="AL44" s="167"/>
      <c r="AM44" s="167"/>
      <c r="AN44" s="167"/>
      <c r="AO44" s="167"/>
      <c r="AP44" s="167"/>
      <c r="AQ44" s="167"/>
      <c r="AR44" s="167"/>
      <c r="AS44" s="167"/>
    </row>
    <row r="45" spans="1:74" s="168" customFormat="1" x14ac:dyDescent="0.25">
      <c r="A45" s="166"/>
      <c r="B45" s="166" t="s">
        <v>255</v>
      </c>
      <c r="I45" s="167"/>
      <c r="J45" s="167"/>
      <c r="K45" s="167"/>
      <c r="L45" s="167"/>
      <c r="M45" s="167"/>
      <c r="N45" s="167"/>
      <c r="O45" s="167"/>
      <c r="P45" s="167"/>
      <c r="Q45" s="167"/>
      <c r="R45" s="167"/>
      <c r="S45" s="167"/>
      <c r="T45" s="167"/>
      <c r="U45" s="167"/>
      <c r="V45" s="167"/>
      <c r="W45" s="167"/>
      <c r="X45" s="167"/>
      <c r="Y45" s="167"/>
      <c r="Z45" s="167"/>
      <c r="AA45" s="167"/>
      <c r="AB45" s="167"/>
      <c r="AC45" s="167"/>
      <c r="AD45" s="167"/>
      <c r="AE45" s="167"/>
      <c r="AF45" s="167"/>
      <c r="AG45" s="167"/>
      <c r="AH45" s="167"/>
      <c r="AI45" s="167"/>
      <c r="AJ45" s="167"/>
      <c r="AK45" s="167"/>
      <c r="AL45" s="167"/>
      <c r="AM45" s="167"/>
      <c r="AN45" s="167"/>
      <c r="AO45" s="167"/>
      <c r="AP45" s="167"/>
      <c r="AQ45" s="167"/>
      <c r="AR45" s="167"/>
      <c r="AS45" s="167"/>
    </row>
    <row r="46" spans="1:74" s="142" customFormat="1" x14ac:dyDescent="0.25">
      <c r="A46" s="147" t="s">
        <v>17</v>
      </c>
      <c r="B46" s="148" t="s">
        <v>256</v>
      </c>
      <c r="C46" s="151" t="s">
        <v>259</v>
      </c>
      <c r="D46" s="183">
        <v>1</v>
      </c>
      <c r="E46" s="184">
        <f>D46</f>
        <v>1</v>
      </c>
      <c r="F46" s="184">
        <f t="shared" ref="F46:BQ48" si="33">E46</f>
        <v>1</v>
      </c>
      <c r="G46" s="184">
        <f t="shared" si="33"/>
        <v>1</v>
      </c>
      <c r="H46" s="184">
        <f t="shared" si="33"/>
        <v>1</v>
      </c>
      <c r="I46" s="184">
        <f t="shared" si="33"/>
        <v>1</v>
      </c>
      <c r="J46" s="184">
        <f t="shared" si="33"/>
        <v>1</v>
      </c>
      <c r="K46" s="184">
        <f t="shared" si="33"/>
        <v>1</v>
      </c>
      <c r="L46" s="184">
        <f t="shared" si="33"/>
        <v>1</v>
      </c>
      <c r="M46" s="184">
        <f t="shared" si="33"/>
        <v>1</v>
      </c>
      <c r="N46" s="184">
        <f t="shared" si="33"/>
        <v>1</v>
      </c>
      <c r="O46" s="184">
        <f t="shared" si="33"/>
        <v>1</v>
      </c>
      <c r="P46" s="184">
        <f t="shared" si="33"/>
        <v>1</v>
      </c>
      <c r="Q46" s="184">
        <f t="shared" si="33"/>
        <v>1</v>
      </c>
      <c r="R46" s="184">
        <f t="shared" si="33"/>
        <v>1</v>
      </c>
      <c r="S46" s="184">
        <f t="shared" si="33"/>
        <v>1</v>
      </c>
      <c r="T46" s="184">
        <f t="shared" si="33"/>
        <v>1</v>
      </c>
      <c r="U46" s="184">
        <f t="shared" si="33"/>
        <v>1</v>
      </c>
      <c r="V46" s="184">
        <f t="shared" si="33"/>
        <v>1</v>
      </c>
      <c r="W46" s="184">
        <f t="shared" si="33"/>
        <v>1</v>
      </c>
      <c r="X46" s="184">
        <f t="shared" si="33"/>
        <v>1</v>
      </c>
      <c r="Y46" s="184">
        <f t="shared" si="33"/>
        <v>1</v>
      </c>
      <c r="Z46" s="184">
        <f t="shared" si="33"/>
        <v>1</v>
      </c>
      <c r="AA46" s="184">
        <f t="shared" si="33"/>
        <v>1</v>
      </c>
      <c r="AB46" s="184">
        <f t="shared" si="33"/>
        <v>1</v>
      </c>
      <c r="AC46" s="184">
        <f t="shared" si="33"/>
        <v>1</v>
      </c>
      <c r="AD46" s="184">
        <f t="shared" si="33"/>
        <v>1</v>
      </c>
      <c r="AE46" s="184">
        <f t="shared" si="33"/>
        <v>1</v>
      </c>
      <c r="AF46" s="184">
        <f t="shared" si="33"/>
        <v>1</v>
      </c>
      <c r="AG46" s="184">
        <f t="shared" si="33"/>
        <v>1</v>
      </c>
      <c r="AH46" s="184">
        <f t="shared" si="33"/>
        <v>1</v>
      </c>
      <c r="AI46" s="184">
        <f t="shared" si="33"/>
        <v>1</v>
      </c>
      <c r="AJ46" s="184">
        <f t="shared" si="33"/>
        <v>1</v>
      </c>
      <c r="AK46" s="184">
        <f t="shared" si="33"/>
        <v>1</v>
      </c>
      <c r="AL46" s="184">
        <f t="shared" si="33"/>
        <v>1</v>
      </c>
      <c r="AM46" s="184">
        <f t="shared" si="33"/>
        <v>1</v>
      </c>
      <c r="AN46" s="184">
        <f t="shared" si="33"/>
        <v>1</v>
      </c>
      <c r="AO46" s="184">
        <f t="shared" si="33"/>
        <v>1</v>
      </c>
      <c r="AP46" s="184">
        <f t="shared" si="33"/>
        <v>1</v>
      </c>
      <c r="AQ46" s="184">
        <f t="shared" si="33"/>
        <v>1</v>
      </c>
      <c r="AR46" s="184">
        <f t="shared" si="33"/>
        <v>1</v>
      </c>
      <c r="AS46" s="149">
        <f t="shared" si="33"/>
        <v>1</v>
      </c>
      <c r="AT46" s="149">
        <f t="shared" si="33"/>
        <v>1</v>
      </c>
      <c r="AU46" s="149">
        <f t="shared" si="33"/>
        <v>1</v>
      </c>
      <c r="AV46" s="149">
        <f t="shared" si="33"/>
        <v>1</v>
      </c>
      <c r="AW46" s="149">
        <f t="shared" si="33"/>
        <v>1</v>
      </c>
      <c r="AX46" s="149">
        <f t="shared" si="33"/>
        <v>1</v>
      </c>
      <c r="AY46" s="149">
        <f t="shared" si="33"/>
        <v>1</v>
      </c>
      <c r="AZ46" s="149">
        <f t="shared" si="33"/>
        <v>1</v>
      </c>
      <c r="BA46" s="149">
        <f t="shared" si="33"/>
        <v>1</v>
      </c>
      <c r="BB46" s="149">
        <f t="shared" si="33"/>
        <v>1</v>
      </c>
      <c r="BC46" s="149">
        <f t="shared" si="33"/>
        <v>1</v>
      </c>
      <c r="BD46" s="149">
        <f t="shared" si="33"/>
        <v>1</v>
      </c>
      <c r="BE46" s="149">
        <f t="shared" si="33"/>
        <v>1</v>
      </c>
      <c r="BF46" s="149">
        <f t="shared" si="33"/>
        <v>1</v>
      </c>
      <c r="BG46" s="149">
        <f t="shared" si="33"/>
        <v>1</v>
      </c>
      <c r="BH46" s="149">
        <f t="shared" si="33"/>
        <v>1</v>
      </c>
      <c r="BI46" s="149">
        <f t="shared" si="33"/>
        <v>1</v>
      </c>
      <c r="BJ46" s="149">
        <f t="shared" si="33"/>
        <v>1</v>
      </c>
      <c r="BK46" s="149">
        <f t="shared" si="33"/>
        <v>1</v>
      </c>
      <c r="BL46" s="149">
        <f t="shared" si="33"/>
        <v>1</v>
      </c>
      <c r="BM46" s="149">
        <f t="shared" si="33"/>
        <v>1</v>
      </c>
      <c r="BN46" s="149">
        <f t="shared" si="33"/>
        <v>1</v>
      </c>
      <c r="BO46" s="149">
        <f t="shared" si="33"/>
        <v>1</v>
      </c>
      <c r="BP46" s="149">
        <f t="shared" si="33"/>
        <v>1</v>
      </c>
      <c r="BQ46" s="149">
        <f t="shared" si="33"/>
        <v>1</v>
      </c>
      <c r="BR46" s="149">
        <f t="shared" ref="BR46:BV48" si="34">BQ46</f>
        <v>1</v>
      </c>
      <c r="BS46" s="149">
        <f t="shared" si="34"/>
        <v>1</v>
      </c>
      <c r="BT46" s="149">
        <f t="shared" si="34"/>
        <v>1</v>
      </c>
      <c r="BU46" s="149">
        <f t="shared" si="34"/>
        <v>1</v>
      </c>
      <c r="BV46" s="149">
        <f t="shared" si="34"/>
        <v>1</v>
      </c>
    </row>
    <row r="47" spans="1:74" s="142" customFormat="1" x14ac:dyDescent="0.25">
      <c r="A47" s="147" t="s">
        <v>18</v>
      </c>
      <c r="B47" s="148" t="s">
        <v>257</v>
      </c>
      <c r="C47" s="151" t="s">
        <v>259</v>
      </c>
      <c r="D47" s="183">
        <v>28</v>
      </c>
      <c r="E47" s="184">
        <f t="shared" ref="E47:AR47" si="35">D47</f>
        <v>28</v>
      </c>
      <c r="F47" s="184">
        <f t="shared" si="35"/>
        <v>28</v>
      </c>
      <c r="G47" s="184">
        <f t="shared" si="35"/>
        <v>28</v>
      </c>
      <c r="H47" s="184">
        <f t="shared" si="35"/>
        <v>28</v>
      </c>
      <c r="I47" s="184">
        <f t="shared" si="35"/>
        <v>28</v>
      </c>
      <c r="J47" s="184">
        <f t="shared" si="35"/>
        <v>28</v>
      </c>
      <c r="K47" s="184">
        <f t="shared" si="35"/>
        <v>28</v>
      </c>
      <c r="L47" s="184">
        <f t="shared" si="35"/>
        <v>28</v>
      </c>
      <c r="M47" s="184">
        <f t="shared" si="35"/>
        <v>28</v>
      </c>
      <c r="N47" s="184">
        <f t="shared" si="35"/>
        <v>28</v>
      </c>
      <c r="O47" s="184">
        <f t="shared" si="35"/>
        <v>28</v>
      </c>
      <c r="P47" s="184">
        <f t="shared" si="35"/>
        <v>28</v>
      </c>
      <c r="Q47" s="184">
        <f t="shared" si="35"/>
        <v>28</v>
      </c>
      <c r="R47" s="184">
        <f t="shared" si="35"/>
        <v>28</v>
      </c>
      <c r="S47" s="184">
        <f t="shared" si="35"/>
        <v>28</v>
      </c>
      <c r="T47" s="184">
        <f t="shared" si="35"/>
        <v>28</v>
      </c>
      <c r="U47" s="184">
        <f t="shared" si="35"/>
        <v>28</v>
      </c>
      <c r="V47" s="184">
        <f t="shared" si="35"/>
        <v>28</v>
      </c>
      <c r="W47" s="184">
        <f t="shared" si="35"/>
        <v>28</v>
      </c>
      <c r="X47" s="184">
        <f t="shared" si="35"/>
        <v>28</v>
      </c>
      <c r="Y47" s="184">
        <f t="shared" si="35"/>
        <v>28</v>
      </c>
      <c r="Z47" s="184">
        <f t="shared" si="35"/>
        <v>28</v>
      </c>
      <c r="AA47" s="184">
        <f t="shared" si="35"/>
        <v>28</v>
      </c>
      <c r="AB47" s="184">
        <f t="shared" si="35"/>
        <v>28</v>
      </c>
      <c r="AC47" s="184">
        <f t="shared" si="35"/>
        <v>28</v>
      </c>
      <c r="AD47" s="184">
        <f t="shared" si="35"/>
        <v>28</v>
      </c>
      <c r="AE47" s="184">
        <f t="shared" si="35"/>
        <v>28</v>
      </c>
      <c r="AF47" s="184">
        <f t="shared" si="35"/>
        <v>28</v>
      </c>
      <c r="AG47" s="184">
        <f t="shared" si="35"/>
        <v>28</v>
      </c>
      <c r="AH47" s="184">
        <f t="shared" si="35"/>
        <v>28</v>
      </c>
      <c r="AI47" s="184">
        <f t="shared" si="35"/>
        <v>28</v>
      </c>
      <c r="AJ47" s="184">
        <f t="shared" si="35"/>
        <v>28</v>
      </c>
      <c r="AK47" s="184">
        <f t="shared" si="35"/>
        <v>28</v>
      </c>
      <c r="AL47" s="184">
        <f t="shared" si="35"/>
        <v>28</v>
      </c>
      <c r="AM47" s="184">
        <f t="shared" si="35"/>
        <v>28</v>
      </c>
      <c r="AN47" s="184">
        <f t="shared" si="35"/>
        <v>28</v>
      </c>
      <c r="AO47" s="184">
        <f t="shared" si="35"/>
        <v>28</v>
      </c>
      <c r="AP47" s="184">
        <f t="shared" si="35"/>
        <v>28</v>
      </c>
      <c r="AQ47" s="184">
        <f t="shared" si="35"/>
        <v>28</v>
      </c>
      <c r="AR47" s="184">
        <f t="shared" si="35"/>
        <v>28</v>
      </c>
      <c r="AS47" s="149">
        <f t="shared" si="33"/>
        <v>28</v>
      </c>
      <c r="AT47" s="149">
        <f t="shared" si="33"/>
        <v>28</v>
      </c>
      <c r="AU47" s="149">
        <f t="shared" si="33"/>
        <v>28</v>
      </c>
      <c r="AV47" s="149">
        <f t="shared" si="33"/>
        <v>28</v>
      </c>
      <c r="AW47" s="149">
        <f t="shared" si="33"/>
        <v>28</v>
      </c>
      <c r="AX47" s="149">
        <f t="shared" si="33"/>
        <v>28</v>
      </c>
      <c r="AY47" s="149">
        <f t="shared" si="33"/>
        <v>28</v>
      </c>
      <c r="AZ47" s="149">
        <f t="shared" si="33"/>
        <v>28</v>
      </c>
      <c r="BA47" s="149">
        <f t="shared" si="33"/>
        <v>28</v>
      </c>
      <c r="BB47" s="149">
        <f t="shared" si="33"/>
        <v>28</v>
      </c>
      <c r="BC47" s="149">
        <f t="shared" si="33"/>
        <v>28</v>
      </c>
      <c r="BD47" s="149">
        <f t="shared" si="33"/>
        <v>28</v>
      </c>
      <c r="BE47" s="149">
        <f t="shared" si="33"/>
        <v>28</v>
      </c>
      <c r="BF47" s="149">
        <f t="shared" si="33"/>
        <v>28</v>
      </c>
      <c r="BG47" s="149">
        <f t="shared" si="33"/>
        <v>28</v>
      </c>
      <c r="BH47" s="149">
        <f t="shared" si="33"/>
        <v>28</v>
      </c>
      <c r="BI47" s="149">
        <f t="shared" si="33"/>
        <v>28</v>
      </c>
      <c r="BJ47" s="149">
        <f t="shared" si="33"/>
        <v>28</v>
      </c>
      <c r="BK47" s="149">
        <f t="shared" si="33"/>
        <v>28</v>
      </c>
      <c r="BL47" s="149">
        <f t="shared" si="33"/>
        <v>28</v>
      </c>
      <c r="BM47" s="149">
        <f t="shared" si="33"/>
        <v>28</v>
      </c>
      <c r="BN47" s="149">
        <f t="shared" si="33"/>
        <v>28</v>
      </c>
      <c r="BO47" s="149">
        <f t="shared" si="33"/>
        <v>28</v>
      </c>
      <c r="BP47" s="149">
        <f t="shared" si="33"/>
        <v>28</v>
      </c>
      <c r="BQ47" s="149">
        <f t="shared" si="33"/>
        <v>28</v>
      </c>
      <c r="BR47" s="149">
        <f t="shared" si="34"/>
        <v>28</v>
      </c>
      <c r="BS47" s="149">
        <f t="shared" si="34"/>
        <v>28</v>
      </c>
      <c r="BT47" s="149">
        <f t="shared" si="34"/>
        <v>28</v>
      </c>
      <c r="BU47" s="149">
        <f t="shared" si="34"/>
        <v>28</v>
      </c>
      <c r="BV47" s="149">
        <f t="shared" si="34"/>
        <v>28</v>
      </c>
    </row>
    <row r="48" spans="1:74" s="142" customFormat="1" x14ac:dyDescent="0.25">
      <c r="A48" s="141" t="s">
        <v>19</v>
      </c>
      <c r="B48" s="148" t="s">
        <v>258</v>
      </c>
      <c r="C48" s="151" t="s">
        <v>259</v>
      </c>
      <c r="D48" s="183">
        <v>265</v>
      </c>
      <c r="E48" s="184">
        <f t="shared" ref="E48:AR48" si="36">D48</f>
        <v>265</v>
      </c>
      <c r="F48" s="184">
        <f t="shared" si="36"/>
        <v>265</v>
      </c>
      <c r="G48" s="184">
        <f t="shared" si="36"/>
        <v>265</v>
      </c>
      <c r="H48" s="184">
        <f t="shared" si="36"/>
        <v>265</v>
      </c>
      <c r="I48" s="184">
        <f t="shared" si="36"/>
        <v>265</v>
      </c>
      <c r="J48" s="184">
        <f t="shared" si="36"/>
        <v>265</v>
      </c>
      <c r="K48" s="184">
        <f t="shared" si="36"/>
        <v>265</v>
      </c>
      <c r="L48" s="184">
        <f t="shared" si="36"/>
        <v>265</v>
      </c>
      <c r="M48" s="184">
        <f t="shared" si="36"/>
        <v>265</v>
      </c>
      <c r="N48" s="184">
        <f t="shared" si="36"/>
        <v>265</v>
      </c>
      <c r="O48" s="184">
        <f t="shared" si="36"/>
        <v>265</v>
      </c>
      <c r="P48" s="184">
        <f t="shared" si="36"/>
        <v>265</v>
      </c>
      <c r="Q48" s="184">
        <f t="shared" si="36"/>
        <v>265</v>
      </c>
      <c r="R48" s="184">
        <f t="shared" si="36"/>
        <v>265</v>
      </c>
      <c r="S48" s="184">
        <f t="shared" si="36"/>
        <v>265</v>
      </c>
      <c r="T48" s="184">
        <f t="shared" si="36"/>
        <v>265</v>
      </c>
      <c r="U48" s="184">
        <f t="shared" si="36"/>
        <v>265</v>
      </c>
      <c r="V48" s="184">
        <f t="shared" si="36"/>
        <v>265</v>
      </c>
      <c r="W48" s="184">
        <f t="shared" si="36"/>
        <v>265</v>
      </c>
      <c r="X48" s="184">
        <f t="shared" si="36"/>
        <v>265</v>
      </c>
      <c r="Y48" s="184">
        <f t="shared" si="36"/>
        <v>265</v>
      </c>
      <c r="Z48" s="184">
        <f t="shared" si="36"/>
        <v>265</v>
      </c>
      <c r="AA48" s="184">
        <f t="shared" si="36"/>
        <v>265</v>
      </c>
      <c r="AB48" s="184">
        <f t="shared" si="36"/>
        <v>265</v>
      </c>
      <c r="AC48" s="184">
        <f t="shared" si="36"/>
        <v>265</v>
      </c>
      <c r="AD48" s="184">
        <f t="shared" si="36"/>
        <v>265</v>
      </c>
      <c r="AE48" s="184">
        <f t="shared" si="36"/>
        <v>265</v>
      </c>
      <c r="AF48" s="184">
        <f t="shared" si="36"/>
        <v>265</v>
      </c>
      <c r="AG48" s="184">
        <f t="shared" si="36"/>
        <v>265</v>
      </c>
      <c r="AH48" s="184">
        <f t="shared" si="36"/>
        <v>265</v>
      </c>
      <c r="AI48" s="184">
        <f t="shared" si="36"/>
        <v>265</v>
      </c>
      <c r="AJ48" s="184">
        <f t="shared" si="36"/>
        <v>265</v>
      </c>
      <c r="AK48" s="184">
        <f t="shared" si="36"/>
        <v>265</v>
      </c>
      <c r="AL48" s="184">
        <f t="shared" si="36"/>
        <v>265</v>
      </c>
      <c r="AM48" s="184">
        <f t="shared" si="36"/>
        <v>265</v>
      </c>
      <c r="AN48" s="184">
        <f t="shared" si="36"/>
        <v>265</v>
      </c>
      <c r="AO48" s="184">
        <f t="shared" si="36"/>
        <v>265</v>
      </c>
      <c r="AP48" s="184">
        <f t="shared" si="36"/>
        <v>265</v>
      </c>
      <c r="AQ48" s="184">
        <f t="shared" si="36"/>
        <v>265</v>
      </c>
      <c r="AR48" s="184">
        <f t="shared" si="36"/>
        <v>265</v>
      </c>
      <c r="AS48" s="149">
        <f t="shared" si="33"/>
        <v>265</v>
      </c>
      <c r="AT48" s="149">
        <f t="shared" si="33"/>
        <v>265</v>
      </c>
      <c r="AU48" s="149">
        <f t="shared" si="33"/>
        <v>265</v>
      </c>
      <c r="AV48" s="149">
        <f t="shared" si="33"/>
        <v>265</v>
      </c>
      <c r="AW48" s="149">
        <f t="shared" si="33"/>
        <v>265</v>
      </c>
      <c r="AX48" s="149">
        <f t="shared" si="33"/>
        <v>265</v>
      </c>
      <c r="AY48" s="149">
        <f t="shared" si="33"/>
        <v>265</v>
      </c>
      <c r="AZ48" s="149">
        <f t="shared" si="33"/>
        <v>265</v>
      </c>
      <c r="BA48" s="149">
        <f t="shared" si="33"/>
        <v>265</v>
      </c>
      <c r="BB48" s="149">
        <f t="shared" si="33"/>
        <v>265</v>
      </c>
      <c r="BC48" s="149">
        <f t="shared" si="33"/>
        <v>265</v>
      </c>
      <c r="BD48" s="149">
        <f t="shared" si="33"/>
        <v>265</v>
      </c>
      <c r="BE48" s="149">
        <f t="shared" si="33"/>
        <v>265</v>
      </c>
      <c r="BF48" s="149">
        <f t="shared" si="33"/>
        <v>265</v>
      </c>
      <c r="BG48" s="149">
        <f t="shared" si="33"/>
        <v>265</v>
      </c>
      <c r="BH48" s="149">
        <f t="shared" si="33"/>
        <v>265</v>
      </c>
      <c r="BI48" s="149">
        <f t="shared" si="33"/>
        <v>265</v>
      </c>
      <c r="BJ48" s="149">
        <f t="shared" si="33"/>
        <v>265</v>
      </c>
      <c r="BK48" s="149">
        <f t="shared" si="33"/>
        <v>265</v>
      </c>
      <c r="BL48" s="149">
        <f t="shared" si="33"/>
        <v>265</v>
      </c>
      <c r="BM48" s="149">
        <f t="shared" si="33"/>
        <v>265</v>
      </c>
      <c r="BN48" s="149">
        <f t="shared" si="33"/>
        <v>265</v>
      </c>
      <c r="BO48" s="149">
        <f t="shared" si="33"/>
        <v>265</v>
      </c>
      <c r="BP48" s="149">
        <f t="shared" si="33"/>
        <v>265</v>
      </c>
      <c r="BQ48" s="149">
        <f t="shared" si="33"/>
        <v>265</v>
      </c>
      <c r="BR48" s="149">
        <f t="shared" si="34"/>
        <v>265</v>
      </c>
      <c r="BS48" s="149">
        <f t="shared" si="34"/>
        <v>265</v>
      </c>
      <c r="BT48" s="149">
        <f t="shared" si="34"/>
        <v>265</v>
      </c>
      <c r="BU48" s="149">
        <f t="shared" si="34"/>
        <v>265</v>
      </c>
      <c r="BV48" s="149">
        <f t="shared" si="34"/>
        <v>265</v>
      </c>
    </row>
    <row r="49" spans="1:74" x14ac:dyDescent="0.25">
      <c r="D49" s="158"/>
      <c r="E49" s="158"/>
      <c r="F49" s="158"/>
      <c r="G49" s="158"/>
      <c r="H49" s="158"/>
      <c r="I49" s="158"/>
      <c r="J49" s="158"/>
      <c r="K49" s="158"/>
      <c r="L49" s="158"/>
      <c r="M49" s="158"/>
      <c r="N49" s="158"/>
      <c r="O49" s="158"/>
      <c r="P49" s="158"/>
      <c r="Q49" s="158"/>
      <c r="R49" s="158"/>
      <c r="S49" s="158"/>
      <c r="T49" s="158"/>
      <c r="U49" s="158"/>
      <c r="V49" s="158"/>
      <c r="W49" s="158"/>
      <c r="X49" s="158"/>
      <c r="Y49" s="158"/>
      <c r="Z49" s="158"/>
      <c r="AA49" s="158"/>
      <c r="AB49" s="158"/>
      <c r="AC49" s="158"/>
      <c r="AD49" s="158"/>
      <c r="AE49" s="158"/>
      <c r="AF49" s="158"/>
      <c r="AG49" s="158"/>
      <c r="AH49" s="158"/>
      <c r="AI49" s="158"/>
      <c r="AJ49" s="158"/>
      <c r="AK49" s="158"/>
      <c r="AL49" s="158"/>
      <c r="AM49" s="158"/>
      <c r="AN49" s="158"/>
      <c r="AO49" s="158"/>
      <c r="AP49" s="158"/>
      <c r="AQ49" s="158"/>
      <c r="AR49" s="158"/>
      <c r="AS49" s="158"/>
    </row>
    <row r="50" spans="1:74" x14ac:dyDescent="0.25">
      <c r="A50" s="141"/>
      <c r="B50" s="142"/>
      <c r="C50" s="142"/>
      <c r="D50" s="158"/>
      <c r="E50" s="158"/>
      <c r="F50" s="158"/>
      <c r="G50" s="158"/>
      <c r="H50" s="158"/>
      <c r="I50" s="158"/>
      <c r="J50" s="158"/>
      <c r="K50" s="158"/>
      <c r="L50" s="158"/>
      <c r="M50" s="158"/>
      <c r="N50" s="158"/>
      <c r="O50" s="158"/>
      <c r="P50" s="158"/>
      <c r="Q50" s="158"/>
      <c r="R50" s="158"/>
      <c r="S50" s="158"/>
      <c r="T50" s="158"/>
      <c r="U50" s="158"/>
      <c r="V50" s="158"/>
      <c r="W50" s="158"/>
      <c r="X50" s="158"/>
      <c r="Y50" s="158"/>
      <c r="Z50" s="158"/>
      <c r="AA50" s="158"/>
      <c r="AB50" s="158"/>
      <c r="AC50" s="158"/>
      <c r="AD50" s="158"/>
      <c r="AE50" s="158"/>
      <c r="AF50" s="158"/>
      <c r="AG50" s="158"/>
      <c r="AH50" s="158"/>
      <c r="AI50" s="158"/>
      <c r="AJ50" s="158"/>
      <c r="AK50" s="158"/>
      <c r="AL50" s="158"/>
      <c r="AM50" s="158"/>
      <c r="AN50" s="158"/>
      <c r="AO50" s="158"/>
      <c r="AP50" s="158"/>
      <c r="AQ50" s="158"/>
      <c r="AR50" s="158"/>
      <c r="AS50" s="158"/>
    </row>
    <row r="51" spans="1:74" s="168" customFormat="1" x14ac:dyDescent="0.25">
      <c r="A51" s="166" t="s">
        <v>55</v>
      </c>
      <c r="B51" s="167"/>
      <c r="I51" s="167"/>
      <c r="J51" s="167"/>
      <c r="K51" s="167"/>
      <c r="L51" s="167"/>
      <c r="M51" s="167"/>
      <c r="N51" s="167"/>
      <c r="O51" s="167"/>
      <c r="P51" s="167"/>
      <c r="Q51" s="167"/>
      <c r="R51" s="167"/>
      <c r="S51" s="167"/>
      <c r="T51" s="167"/>
      <c r="U51" s="167"/>
      <c r="V51" s="167"/>
      <c r="W51" s="167"/>
      <c r="X51" s="167"/>
      <c r="Y51" s="167"/>
      <c r="Z51" s="167"/>
      <c r="AA51" s="167"/>
      <c r="AB51" s="167"/>
      <c r="AC51" s="167"/>
      <c r="AD51" s="167"/>
      <c r="AE51" s="167"/>
      <c r="AF51" s="167"/>
      <c r="AG51" s="167"/>
      <c r="AH51" s="167"/>
      <c r="AI51" s="167"/>
      <c r="AJ51" s="167"/>
      <c r="AK51" s="167"/>
      <c r="AL51" s="167"/>
      <c r="AM51" s="167"/>
      <c r="AN51" s="167"/>
      <c r="AO51" s="167"/>
      <c r="AP51" s="167"/>
      <c r="AQ51" s="167"/>
      <c r="AR51" s="167"/>
      <c r="AS51" s="167"/>
    </row>
    <row r="52" spans="1:74" s="168" customFormat="1" x14ac:dyDescent="0.25">
      <c r="A52" s="166" t="s">
        <v>17</v>
      </c>
      <c r="B52" s="166" t="s">
        <v>210</v>
      </c>
      <c r="I52" s="167"/>
      <c r="J52" s="167"/>
      <c r="K52" s="167"/>
      <c r="L52" s="167"/>
      <c r="M52" s="167"/>
      <c r="N52" s="167"/>
      <c r="O52" s="167"/>
      <c r="P52" s="167"/>
      <c r="Q52" s="167"/>
      <c r="R52" s="167"/>
      <c r="S52" s="167"/>
      <c r="T52" s="167"/>
      <c r="U52" s="167"/>
      <c r="V52" s="167"/>
      <c r="W52" s="167"/>
      <c r="X52" s="167"/>
      <c r="Y52" s="167"/>
      <c r="Z52" s="167"/>
      <c r="AA52" s="167"/>
      <c r="AB52" s="167"/>
      <c r="AC52" s="167"/>
      <c r="AD52" s="167"/>
      <c r="AE52" s="167"/>
      <c r="AF52" s="167"/>
      <c r="AG52" s="167"/>
      <c r="AH52" s="167"/>
      <c r="AI52" s="167"/>
      <c r="AJ52" s="167"/>
      <c r="AK52" s="167"/>
      <c r="AL52" s="167"/>
      <c r="AM52" s="167"/>
      <c r="AN52" s="167"/>
      <c r="AO52" s="167"/>
      <c r="AP52" s="167"/>
      <c r="AQ52" s="167"/>
      <c r="AR52" s="167"/>
      <c r="AS52" s="167"/>
    </row>
    <row r="53" spans="1:74" s="142" customFormat="1" x14ac:dyDescent="0.25">
      <c r="A53" s="147" t="s">
        <v>178</v>
      </c>
      <c r="B53" s="148" t="s">
        <v>179</v>
      </c>
      <c r="C53" s="151" t="s">
        <v>211</v>
      </c>
      <c r="D53" s="152">
        <v>2.3650000000000002</v>
      </c>
      <c r="E53" s="153">
        <v>2.3650000000000002</v>
      </c>
      <c r="F53" s="153">
        <v>2.3650000000000002</v>
      </c>
      <c r="G53" s="153">
        <v>2.3650000000000002</v>
      </c>
      <c r="H53" s="153">
        <v>2.3650000000000002</v>
      </c>
      <c r="I53" s="153">
        <v>2.3650000000000002</v>
      </c>
      <c r="J53" s="153">
        <v>2.3650000000000002</v>
      </c>
      <c r="K53" s="153">
        <v>2.3650000000000002</v>
      </c>
      <c r="L53" s="153">
        <v>2.3650000000000002</v>
      </c>
      <c r="M53" s="153">
        <v>2.3650000000000002</v>
      </c>
      <c r="N53" s="153">
        <v>2.3650000000000002</v>
      </c>
      <c r="O53" s="153">
        <v>2.3650000000000002</v>
      </c>
      <c r="P53" s="153">
        <v>2.3650000000000002</v>
      </c>
      <c r="Q53" s="153">
        <v>2.3650000000000002</v>
      </c>
      <c r="R53" s="153">
        <v>2.3650000000000002</v>
      </c>
      <c r="S53" s="153">
        <v>2.3650000000000002</v>
      </c>
      <c r="T53" s="153">
        <v>2.3650000000000002</v>
      </c>
      <c r="U53" s="153">
        <v>2.3650000000000002</v>
      </c>
      <c r="V53" s="153">
        <v>2.3650000000000002</v>
      </c>
      <c r="W53" s="153">
        <v>2.3650000000000002</v>
      </c>
      <c r="X53" s="153">
        <v>2.3650000000000002</v>
      </c>
      <c r="Y53" s="153">
        <v>2.3650000000000002</v>
      </c>
      <c r="Z53" s="153">
        <v>2.3650000000000002</v>
      </c>
      <c r="AA53" s="153">
        <v>2.3650000000000002</v>
      </c>
      <c r="AB53" s="153">
        <v>2.3650000000000002</v>
      </c>
      <c r="AC53" s="153">
        <v>2.3650000000000002</v>
      </c>
      <c r="AD53" s="153">
        <v>2.3650000000000002</v>
      </c>
      <c r="AE53" s="153">
        <v>2.3650000000000002</v>
      </c>
      <c r="AF53" s="153">
        <v>2.3650000000000002</v>
      </c>
      <c r="AG53" s="153">
        <v>2.3650000000000002</v>
      </c>
      <c r="AH53" s="153">
        <v>2.3650000000000002</v>
      </c>
      <c r="AI53" s="153">
        <v>2.3650000000000002</v>
      </c>
      <c r="AJ53" s="153">
        <v>2.3650000000000002</v>
      </c>
      <c r="AK53" s="153">
        <v>2.3650000000000002</v>
      </c>
      <c r="AL53" s="153">
        <v>2.3650000000000002</v>
      </c>
      <c r="AM53" s="153">
        <v>2.3650000000000002</v>
      </c>
      <c r="AN53" s="153">
        <v>2.3650000000000002</v>
      </c>
      <c r="AO53" s="153">
        <v>2.3650000000000002</v>
      </c>
      <c r="AP53" s="153">
        <v>2.3650000000000002</v>
      </c>
      <c r="AQ53" s="153">
        <v>2.3650000000000002</v>
      </c>
      <c r="AR53" s="153">
        <v>2.3650000000000002</v>
      </c>
      <c r="AS53" s="149">
        <f t="shared" ref="AS53:BV53" si="37">AR53</f>
        <v>2.3650000000000002</v>
      </c>
      <c r="AT53" s="149">
        <f t="shared" si="37"/>
        <v>2.3650000000000002</v>
      </c>
      <c r="AU53" s="149">
        <f t="shared" si="37"/>
        <v>2.3650000000000002</v>
      </c>
      <c r="AV53" s="149">
        <f t="shared" si="37"/>
        <v>2.3650000000000002</v>
      </c>
      <c r="AW53" s="149">
        <f t="shared" si="37"/>
        <v>2.3650000000000002</v>
      </c>
      <c r="AX53" s="149">
        <f t="shared" si="37"/>
        <v>2.3650000000000002</v>
      </c>
      <c r="AY53" s="149">
        <f t="shared" si="37"/>
        <v>2.3650000000000002</v>
      </c>
      <c r="AZ53" s="149">
        <f t="shared" si="37"/>
        <v>2.3650000000000002</v>
      </c>
      <c r="BA53" s="149">
        <f t="shared" si="37"/>
        <v>2.3650000000000002</v>
      </c>
      <c r="BB53" s="149">
        <f t="shared" si="37"/>
        <v>2.3650000000000002</v>
      </c>
      <c r="BC53" s="149">
        <f t="shared" si="37"/>
        <v>2.3650000000000002</v>
      </c>
      <c r="BD53" s="149">
        <f t="shared" si="37"/>
        <v>2.3650000000000002</v>
      </c>
      <c r="BE53" s="149">
        <f t="shared" si="37"/>
        <v>2.3650000000000002</v>
      </c>
      <c r="BF53" s="149">
        <f t="shared" si="37"/>
        <v>2.3650000000000002</v>
      </c>
      <c r="BG53" s="149">
        <f t="shared" si="37"/>
        <v>2.3650000000000002</v>
      </c>
      <c r="BH53" s="149">
        <f t="shared" si="37"/>
        <v>2.3650000000000002</v>
      </c>
      <c r="BI53" s="149">
        <f t="shared" si="37"/>
        <v>2.3650000000000002</v>
      </c>
      <c r="BJ53" s="149">
        <f t="shared" si="37"/>
        <v>2.3650000000000002</v>
      </c>
      <c r="BK53" s="149">
        <f t="shared" si="37"/>
        <v>2.3650000000000002</v>
      </c>
      <c r="BL53" s="149">
        <f t="shared" si="37"/>
        <v>2.3650000000000002</v>
      </c>
      <c r="BM53" s="149">
        <f t="shared" si="37"/>
        <v>2.3650000000000002</v>
      </c>
      <c r="BN53" s="149">
        <f t="shared" si="37"/>
        <v>2.3650000000000002</v>
      </c>
      <c r="BO53" s="149">
        <f t="shared" si="37"/>
        <v>2.3650000000000002</v>
      </c>
      <c r="BP53" s="149">
        <f t="shared" si="37"/>
        <v>2.3650000000000002</v>
      </c>
      <c r="BQ53" s="149">
        <f t="shared" si="37"/>
        <v>2.3650000000000002</v>
      </c>
      <c r="BR53" s="149">
        <f t="shared" si="37"/>
        <v>2.3650000000000002</v>
      </c>
      <c r="BS53" s="149">
        <f t="shared" si="37"/>
        <v>2.3650000000000002</v>
      </c>
      <c r="BT53" s="149">
        <f t="shared" si="37"/>
        <v>2.3650000000000002</v>
      </c>
      <c r="BU53" s="149">
        <f t="shared" si="37"/>
        <v>2.3650000000000002</v>
      </c>
      <c r="BV53" s="149">
        <f t="shared" si="37"/>
        <v>2.3650000000000002</v>
      </c>
    </row>
    <row r="54" spans="1:74" s="142" customFormat="1" x14ac:dyDescent="0.25">
      <c r="A54" s="147" t="s">
        <v>180</v>
      </c>
      <c r="B54" s="148" t="s">
        <v>179</v>
      </c>
      <c r="C54" s="151" t="s">
        <v>211</v>
      </c>
      <c r="D54" s="152">
        <v>2.56</v>
      </c>
      <c r="E54" s="153">
        <v>2.56</v>
      </c>
      <c r="F54" s="153">
        <v>2.56</v>
      </c>
      <c r="G54" s="153">
        <v>2.56</v>
      </c>
      <c r="H54" s="153">
        <v>2.56</v>
      </c>
      <c r="I54" s="153">
        <v>2.56</v>
      </c>
      <c r="J54" s="153">
        <v>2.56</v>
      </c>
      <c r="K54" s="153">
        <v>2.56</v>
      </c>
      <c r="L54" s="153">
        <v>2.56</v>
      </c>
      <c r="M54" s="153">
        <v>2.56</v>
      </c>
      <c r="N54" s="153">
        <v>2.56</v>
      </c>
      <c r="O54" s="153">
        <v>2.56</v>
      </c>
      <c r="P54" s="153">
        <v>2.56</v>
      </c>
      <c r="Q54" s="153">
        <v>2.56</v>
      </c>
      <c r="R54" s="153">
        <v>2.56</v>
      </c>
      <c r="S54" s="153">
        <v>2.56</v>
      </c>
      <c r="T54" s="153">
        <v>2.56</v>
      </c>
      <c r="U54" s="153">
        <v>2.56</v>
      </c>
      <c r="V54" s="153">
        <v>2.56</v>
      </c>
      <c r="W54" s="153">
        <v>2.56</v>
      </c>
      <c r="X54" s="153">
        <v>2.56</v>
      </c>
      <c r="Y54" s="153">
        <v>2.56</v>
      </c>
      <c r="Z54" s="153">
        <v>2.56</v>
      </c>
      <c r="AA54" s="153">
        <v>2.56</v>
      </c>
      <c r="AB54" s="153">
        <v>2.56</v>
      </c>
      <c r="AC54" s="153">
        <v>2.56</v>
      </c>
      <c r="AD54" s="153">
        <v>2.56</v>
      </c>
      <c r="AE54" s="153">
        <v>2.56</v>
      </c>
      <c r="AF54" s="153">
        <v>2.56</v>
      </c>
      <c r="AG54" s="153">
        <v>2.56</v>
      </c>
      <c r="AH54" s="153">
        <v>2.56</v>
      </c>
      <c r="AI54" s="153">
        <v>2.56</v>
      </c>
      <c r="AJ54" s="153">
        <v>2.56</v>
      </c>
      <c r="AK54" s="153">
        <v>2.56</v>
      </c>
      <c r="AL54" s="153">
        <v>2.56</v>
      </c>
      <c r="AM54" s="153">
        <v>2.56</v>
      </c>
      <c r="AN54" s="153">
        <v>2.56</v>
      </c>
      <c r="AO54" s="153">
        <v>2.56</v>
      </c>
      <c r="AP54" s="153">
        <v>2.56</v>
      </c>
      <c r="AQ54" s="153">
        <v>2.56</v>
      </c>
      <c r="AR54" s="153">
        <v>2.56</v>
      </c>
      <c r="AS54" s="149">
        <f t="shared" ref="AS54:BV54" si="38">AR54</f>
        <v>2.56</v>
      </c>
      <c r="AT54" s="149">
        <f t="shared" si="38"/>
        <v>2.56</v>
      </c>
      <c r="AU54" s="149">
        <f t="shared" si="38"/>
        <v>2.56</v>
      </c>
      <c r="AV54" s="149">
        <f t="shared" si="38"/>
        <v>2.56</v>
      </c>
      <c r="AW54" s="149">
        <f t="shared" si="38"/>
        <v>2.56</v>
      </c>
      <c r="AX54" s="149">
        <f t="shared" si="38"/>
        <v>2.56</v>
      </c>
      <c r="AY54" s="149">
        <f t="shared" si="38"/>
        <v>2.56</v>
      </c>
      <c r="AZ54" s="149">
        <f t="shared" si="38"/>
        <v>2.56</v>
      </c>
      <c r="BA54" s="149">
        <f t="shared" si="38"/>
        <v>2.56</v>
      </c>
      <c r="BB54" s="149">
        <f t="shared" si="38"/>
        <v>2.56</v>
      </c>
      <c r="BC54" s="149">
        <f t="shared" si="38"/>
        <v>2.56</v>
      </c>
      <c r="BD54" s="149">
        <f t="shared" si="38"/>
        <v>2.56</v>
      </c>
      <c r="BE54" s="149">
        <f t="shared" si="38"/>
        <v>2.56</v>
      </c>
      <c r="BF54" s="149">
        <f t="shared" si="38"/>
        <v>2.56</v>
      </c>
      <c r="BG54" s="149">
        <f t="shared" si="38"/>
        <v>2.56</v>
      </c>
      <c r="BH54" s="149">
        <f t="shared" si="38"/>
        <v>2.56</v>
      </c>
      <c r="BI54" s="149">
        <f t="shared" si="38"/>
        <v>2.56</v>
      </c>
      <c r="BJ54" s="149">
        <f t="shared" si="38"/>
        <v>2.56</v>
      </c>
      <c r="BK54" s="149">
        <f t="shared" si="38"/>
        <v>2.56</v>
      </c>
      <c r="BL54" s="149">
        <f t="shared" si="38"/>
        <v>2.56</v>
      </c>
      <c r="BM54" s="149">
        <f t="shared" si="38"/>
        <v>2.56</v>
      </c>
      <c r="BN54" s="149">
        <f t="shared" si="38"/>
        <v>2.56</v>
      </c>
      <c r="BO54" s="149">
        <f t="shared" si="38"/>
        <v>2.56</v>
      </c>
      <c r="BP54" s="149">
        <f t="shared" si="38"/>
        <v>2.56</v>
      </c>
      <c r="BQ54" s="149">
        <f t="shared" si="38"/>
        <v>2.56</v>
      </c>
      <c r="BR54" s="149">
        <f t="shared" si="38"/>
        <v>2.56</v>
      </c>
      <c r="BS54" s="149">
        <f t="shared" si="38"/>
        <v>2.56</v>
      </c>
      <c r="BT54" s="149">
        <f t="shared" si="38"/>
        <v>2.56</v>
      </c>
      <c r="BU54" s="149">
        <f t="shared" si="38"/>
        <v>2.56</v>
      </c>
      <c r="BV54" s="149">
        <f t="shared" si="38"/>
        <v>2.56</v>
      </c>
    </row>
    <row r="55" spans="1:74" s="142" customFormat="1" x14ac:dyDescent="0.25">
      <c r="A55" s="141" t="s">
        <v>181</v>
      </c>
      <c r="B55" s="148" t="s">
        <v>179</v>
      </c>
      <c r="C55" s="151" t="s">
        <v>211</v>
      </c>
      <c r="D55" s="152">
        <v>2.4740000000000002</v>
      </c>
      <c r="E55" s="153">
        <v>2.4740000000000002</v>
      </c>
      <c r="F55" s="153">
        <v>2.4740000000000002</v>
      </c>
      <c r="G55" s="153">
        <v>2.4740000000000002</v>
      </c>
      <c r="H55" s="153">
        <v>2.4740000000000002</v>
      </c>
      <c r="I55" s="153">
        <v>2.4740000000000002</v>
      </c>
      <c r="J55" s="153">
        <v>2.4740000000000002</v>
      </c>
      <c r="K55" s="153">
        <v>2.4740000000000002</v>
      </c>
      <c r="L55" s="153">
        <v>2.4740000000000002</v>
      </c>
      <c r="M55" s="153">
        <v>2.4740000000000002</v>
      </c>
      <c r="N55" s="153">
        <v>2.4740000000000002</v>
      </c>
      <c r="O55" s="153">
        <v>2.4740000000000002</v>
      </c>
      <c r="P55" s="153">
        <v>2.4740000000000002</v>
      </c>
      <c r="Q55" s="153">
        <v>2.4740000000000002</v>
      </c>
      <c r="R55" s="153">
        <v>2.4740000000000002</v>
      </c>
      <c r="S55" s="153">
        <v>2.4740000000000002</v>
      </c>
      <c r="T55" s="153">
        <v>2.4740000000000002</v>
      </c>
      <c r="U55" s="153">
        <v>2.4740000000000002</v>
      </c>
      <c r="V55" s="153">
        <v>2.4740000000000002</v>
      </c>
      <c r="W55" s="153">
        <v>2.4740000000000002</v>
      </c>
      <c r="X55" s="153">
        <v>2.4740000000000002</v>
      </c>
      <c r="Y55" s="153">
        <v>2.4740000000000002</v>
      </c>
      <c r="Z55" s="153">
        <v>2.4740000000000002</v>
      </c>
      <c r="AA55" s="153">
        <v>2.4740000000000002</v>
      </c>
      <c r="AB55" s="153">
        <v>2.4740000000000002</v>
      </c>
      <c r="AC55" s="153">
        <v>2.4740000000000002</v>
      </c>
      <c r="AD55" s="153">
        <v>2.4740000000000002</v>
      </c>
      <c r="AE55" s="153">
        <v>2.4740000000000002</v>
      </c>
      <c r="AF55" s="153">
        <v>2.4740000000000002</v>
      </c>
      <c r="AG55" s="153">
        <v>2.4740000000000002</v>
      </c>
      <c r="AH55" s="153">
        <v>2.4740000000000002</v>
      </c>
      <c r="AI55" s="153">
        <v>2.4740000000000002</v>
      </c>
      <c r="AJ55" s="153">
        <v>2.4740000000000002</v>
      </c>
      <c r="AK55" s="153">
        <v>2.4740000000000002</v>
      </c>
      <c r="AL55" s="153">
        <v>2.4740000000000002</v>
      </c>
      <c r="AM55" s="153">
        <v>2.4740000000000002</v>
      </c>
      <c r="AN55" s="153">
        <v>2.4740000000000002</v>
      </c>
      <c r="AO55" s="153">
        <v>2.4740000000000002</v>
      </c>
      <c r="AP55" s="153">
        <v>2.4740000000000002</v>
      </c>
      <c r="AQ55" s="153">
        <v>2.4740000000000002</v>
      </c>
      <c r="AR55" s="153">
        <v>2.4740000000000002</v>
      </c>
      <c r="AS55" s="149">
        <f t="shared" ref="AS55:BV55" si="39">AR55</f>
        <v>2.4740000000000002</v>
      </c>
      <c r="AT55" s="149">
        <f t="shared" si="39"/>
        <v>2.4740000000000002</v>
      </c>
      <c r="AU55" s="149">
        <f t="shared" si="39"/>
        <v>2.4740000000000002</v>
      </c>
      <c r="AV55" s="149">
        <f t="shared" si="39"/>
        <v>2.4740000000000002</v>
      </c>
      <c r="AW55" s="149">
        <f t="shared" si="39"/>
        <v>2.4740000000000002</v>
      </c>
      <c r="AX55" s="149">
        <f t="shared" si="39"/>
        <v>2.4740000000000002</v>
      </c>
      <c r="AY55" s="149">
        <f t="shared" si="39"/>
        <v>2.4740000000000002</v>
      </c>
      <c r="AZ55" s="149">
        <f t="shared" si="39"/>
        <v>2.4740000000000002</v>
      </c>
      <c r="BA55" s="149">
        <f t="shared" si="39"/>
        <v>2.4740000000000002</v>
      </c>
      <c r="BB55" s="149">
        <f t="shared" si="39"/>
        <v>2.4740000000000002</v>
      </c>
      <c r="BC55" s="149">
        <f t="shared" si="39"/>
        <v>2.4740000000000002</v>
      </c>
      <c r="BD55" s="149">
        <f t="shared" si="39"/>
        <v>2.4740000000000002</v>
      </c>
      <c r="BE55" s="149">
        <f t="shared" si="39"/>
        <v>2.4740000000000002</v>
      </c>
      <c r="BF55" s="149">
        <f t="shared" si="39"/>
        <v>2.4740000000000002</v>
      </c>
      <c r="BG55" s="149">
        <f t="shared" si="39"/>
        <v>2.4740000000000002</v>
      </c>
      <c r="BH55" s="149">
        <f t="shared" si="39"/>
        <v>2.4740000000000002</v>
      </c>
      <c r="BI55" s="149">
        <f t="shared" si="39"/>
        <v>2.4740000000000002</v>
      </c>
      <c r="BJ55" s="149">
        <f t="shared" si="39"/>
        <v>2.4740000000000002</v>
      </c>
      <c r="BK55" s="149">
        <f t="shared" si="39"/>
        <v>2.4740000000000002</v>
      </c>
      <c r="BL55" s="149">
        <f t="shared" si="39"/>
        <v>2.4740000000000002</v>
      </c>
      <c r="BM55" s="149">
        <f t="shared" si="39"/>
        <v>2.4740000000000002</v>
      </c>
      <c r="BN55" s="149">
        <f t="shared" si="39"/>
        <v>2.4740000000000002</v>
      </c>
      <c r="BO55" s="149">
        <f t="shared" si="39"/>
        <v>2.4740000000000002</v>
      </c>
      <c r="BP55" s="149">
        <f t="shared" si="39"/>
        <v>2.4740000000000002</v>
      </c>
      <c r="BQ55" s="149">
        <f t="shared" si="39"/>
        <v>2.4740000000000002</v>
      </c>
      <c r="BR55" s="149">
        <f t="shared" si="39"/>
        <v>2.4740000000000002</v>
      </c>
      <c r="BS55" s="149">
        <f t="shared" si="39"/>
        <v>2.4740000000000002</v>
      </c>
      <c r="BT55" s="149">
        <f t="shared" si="39"/>
        <v>2.4740000000000002</v>
      </c>
      <c r="BU55" s="149">
        <f t="shared" si="39"/>
        <v>2.4740000000000002</v>
      </c>
      <c r="BV55" s="149">
        <f t="shared" si="39"/>
        <v>2.4740000000000002</v>
      </c>
    </row>
    <row r="56" spans="1:74" x14ac:dyDescent="0.25">
      <c r="A56" s="141" t="s">
        <v>183</v>
      </c>
      <c r="B56" s="148" t="s">
        <v>179</v>
      </c>
      <c r="C56" s="151" t="s">
        <v>212</v>
      </c>
      <c r="D56" s="152">
        <v>1.7470000000000001</v>
      </c>
      <c r="E56" s="153">
        <v>1.7470000000000001</v>
      </c>
      <c r="F56" s="153">
        <v>1.7470000000000001</v>
      </c>
      <c r="G56" s="153">
        <v>1.7470000000000001</v>
      </c>
      <c r="H56" s="153">
        <v>1.7470000000000001</v>
      </c>
      <c r="I56" s="153">
        <v>1.7470000000000001</v>
      </c>
      <c r="J56" s="153">
        <v>1.7470000000000001</v>
      </c>
      <c r="K56" s="153">
        <v>1.7470000000000001</v>
      </c>
      <c r="L56" s="153">
        <v>1.7470000000000001</v>
      </c>
      <c r="M56" s="153">
        <v>1.7470000000000001</v>
      </c>
      <c r="N56" s="153">
        <v>1.7470000000000001</v>
      </c>
      <c r="O56" s="153">
        <v>1.7470000000000001</v>
      </c>
      <c r="P56" s="153">
        <v>1.7470000000000001</v>
      </c>
      <c r="Q56" s="153">
        <v>1.7470000000000001</v>
      </c>
      <c r="R56" s="153">
        <v>1.7470000000000001</v>
      </c>
      <c r="S56" s="153">
        <v>1.7470000000000001</v>
      </c>
      <c r="T56" s="153">
        <v>1.7470000000000001</v>
      </c>
      <c r="U56" s="153">
        <v>1.7470000000000001</v>
      </c>
      <c r="V56" s="153">
        <v>1.7470000000000001</v>
      </c>
      <c r="W56" s="153">
        <v>1.7470000000000001</v>
      </c>
      <c r="X56" s="153">
        <v>1.7470000000000001</v>
      </c>
      <c r="Y56" s="153">
        <v>1.7470000000000001</v>
      </c>
      <c r="Z56" s="153">
        <v>1.7470000000000001</v>
      </c>
      <c r="AA56" s="153">
        <v>1.7470000000000001</v>
      </c>
      <c r="AB56" s="153">
        <v>1.7470000000000001</v>
      </c>
      <c r="AC56" s="153">
        <v>1.7470000000000001</v>
      </c>
      <c r="AD56" s="153">
        <v>1.7470000000000001</v>
      </c>
      <c r="AE56" s="153">
        <v>1.7470000000000001</v>
      </c>
      <c r="AF56" s="153">
        <v>1.7470000000000001</v>
      </c>
      <c r="AG56" s="153">
        <v>1.7470000000000001</v>
      </c>
      <c r="AH56" s="153">
        <v>1.7470000000000001</v>
      </c>
      <c r="AI56" s="153">
        <v>1.7470000000000001</v>
      </c>
      <c r="AJ56" s="153">
        <v>1.7470000000000001</v>
      </c>
      <c r="AK56" s="153">
        <v>1.7470000000000001</v>
      </c>
      <c r="AL56" s="153">
        <v>1.7470000000000001</v>
      </c>
      <c r="AM56" s="153">
        <v>1.7470000000000001</v>
      </c>
      <c r="AN56" s="153">
        <v>1.7470000000000001</v>
      </c>
      <c r="AO56" s="153">
        <v>1.7470000000000001</v>
      </c>
      <c r="AP56" s="153">
        <v>1.7470000000000001</v>
      </c>
      <c r="AQ56" s="153">
        <v>1.7470000000000001</v>
      </c>
      <c r="AR56" s="153">
        <v>1.7470000000000001</v>
      </c>
      <c r="AS56" s="149">
        <f t="shared" ref="AS56:BV56" si="40">AR56</f>
        <v>1.7470000000000001</v>
      </c>
      <c r="AT56" s="149">
        <f t="shared" si="40"/>
        <v>1.7470000000000001</v>
      </c>
      <c r="AU56" s="149">
        <f t="shared" si="40"/>
        <v>1.7470000000000001</v>
      </c>
      <c r="AV56" s="149">
        <f t="shared" si="40"/>
        <v>1.7470000000000001</v>
      </c>
      <c r="AW56" s="149">
        <f t="shared" si="40"/>
        <v>1.7470000000000001</v>
      </c>
      <c r="AX56" s="149">
        <f t="shared" si="40"/>
        <v>1.7470000000000001</v>
      </c>
      <c r="AY56" s="149">
        <f t="shared" si="40"/>
        <v>1.7470000000000001</v>
      </c>
      <c r="AZ56" s="149">
        <f t="shared" si="40"/>
        <v>1.7470000000000001</v>
      </c>
      <c r="BA56" s="149">
        <f t="shared" si="40"/>
        <v>1.7470000000000001</v>
      </c>
      <c r="BB56" s="149">
        <f t="shared" si="40"/>
        <v>1.7470000000000001</v>
      </c>
      <c r="BC56" s="149">
        <f t="shared" si="40"/>
        <v>1.7470000000000001</v>
      </c>
      <c r="BD56" s="149">
        <f t="shared" si="40"/>
        <v>1.7470000000000001</v>
      </c>
      <c r="BE56" s="149">
        <f t="shared" si="40"/>
        <v>1.7470000000000001</v>
      </c>
      <c r="BF56" s="149">
        <f t="shared" si="40"/>
        <v>1.7470000000000001</v>
      </c>
      <c r="BG56" s="149">
        <f t="shared" si="40"/>
        <v>1.7470000000000001</v>
      </c>
      <c r="BH56" s="149">
        <f t="shared" si="40"/>
        <v>1.7470000000000001</v>
      </c>
      <c r="BI56" s="149">
        <f t="shared" si="40"/>
        <v>1.7470000000000001</v>
      </c>
      <c r="BJ56" s="149">
        <f t="shared" si="40"/>
        <v>1.7470000000000001</v>
      </c>
      <c r="BK56" s="149">
        <f t="shared" si="40"/>
        <v>1.7470000000000001</v>
      </c>
      <c r="BL56" s="149">
        <f t="shared" si="40"/>
        <v>1.7470000000000001</v>
      </c>
      <c r="BM56" s="149">
        <f t="shared" si="40"/>
        <v>1.7470000000000001</v>
      </c>
      <c r="BN56" s="149">
        <f t="shared" si="40"/>
        <v>1.7470000000000001</v>
      </c>
      <c r="BO56" s="149">
        <f t="shared" si="40"/>
        <v>1.7470000000000001</v>
      </c>
      <c r="BP56" s="149">
        <f t="shared" si="40"/>
        <v>1.7470000000000001</v>
      </c>
      <c r="BQ56" s="149">
        <f t="shared" si="40"/>
        <v>1.7470000000000001</v>
      </c>
      <c r="BR56" s="149">
        <f t="shared" si="40"/>
        <v>1.7470000000000001</v>
      </c>
      <c r="BS56" s="149">
        <f t="shared" si="40"/>
        <v>1.7470000000000001</v>
      </c>
      <c r="BT56" s="149">
        <f t="shared" si="40"/>
        <v>1.7470000000000001</v>
      </c>
      <c r="BU56" s="149">
        <f t="shared" si="40"/>
        <v>1.7470000000000001</v>
      </c>
      <c r="BV56" s="149">
        <f t="shared" si="40"/>
        <v>1.7470000000000001</v>
      </c>
    </row>
    <row r="57" spans="1:74" x14ac:dyDescent="0.25">
      <c r="A57" s="147" t="s">
        <v>184</v>
      </c>
      <c r="B57" s="151" t="s">
        <v>185</v>
      </c>
      <c r="C57" s="151" t="s">
        <v>213</v>
      </c>
      <c r="D57" s="152">
        <v>2.1850000000000001</v>
      </c>
      <c r="E57" s="153">
        <v>2.1850000000000001</v>
      </c>
      <c r="F57" s="153">
        <v>2.1850000000000001</v>
      </c>
      <c r="G57" s="153">
        <v>2.1850000000000001</v>
      </c>
      <c r="H57" s="153">
        <v>2.1850000000000001</v>
      </c>
      <c r="I57" s="153">
        <v>2.1850000000000001</v>
      </c>
      <c r="J57" s="153">
        <v>2.1850000000000001</v>
      </c>
      <c r="K57" s="153">
        <v>2.1850000000000001</v>
      </c>
      <c r="L57" s="153">
        <v>2.1850000000000001</v>
      </c>
      <c r="M57" s="153">
        <v>2.1850000000000001</v>
      </c>
      <c r="N57" s="153">
        <v>2.1850000000000001</v>
      </c>
      <c r="O57" s="153">
        <v>2.1850000000000001</v>
      </c>
      <c r="P57" s="153">
        <v>2.1850000000000001</v>
      </c>
      <c r="Q57" s="153">
        <v>2.1850000000000001</v>
      </c>
      <c r="R57" s="153">
        <v>2.1850000000000001</v>
      </c>
      <c r="S57" s="153">
        <v>2.1850000000000001</v>
      </c>
      <c r="T57" s="153">
        <v>2.1850000000000001</v>
      </c>
      <c r="U57" s="153">
        <v>2.1850000000000001</v>
      </c>
      <c r="V57" s="153">
        <v>2.1850000000000001</v>
      </c>
      <c r="W57" s="153">
        <v>2.1850000000000001</v>
      </c>
      <c r="X57" s="153">
        <v>2.1850000000000001</v>
      </c>
      <c r="Y57" s="153">
        <v>2.1850000000000001</v>
      </c>
      <c r="Z57" s="153">
        <v>2.1850000000000001</v>
      </c>
      <c r="AA57" s="153">
        <v>2.1850000000000001</v>
      </c>
      <c r="AB57" s="153">
        <v>2.1850000000000001</v>
      </c>
      <c r="AC57" s="153">
        <v>2.1850000000000001</v>
      </c>
      <c r="AD57" s="153">
        <v>2.1850000000000001</v>
      </c>
      <c r="AE57" s="153">
        <v>2.1850000000000001</v>
      </c>
      <c r="AF57" s="153">
        <v>2.1850000000000001</v>
      </c>
      <c r="AG57" s="153">
        <v>2.1850000000000001</v>
      </c>
      <c r="AH57" s="153">
        <v>2.1850000000000001</v>
      </c>
      <c r="AI57" s="153">
        <v>2.1850000000000001</v>
      </c>
      <c r="AJ57" s="153">
        <v>2.1850000000000001</v>
      </c>
      <c r="AK57" s="153">
        <v>2.1850000000000001</v>
      </c>
      <c r="AL57" s="153">
        <v>2.1850000000000001</v>
      </c>
      <c r="AM57" s="153">
        <v>2.1850000000000001</v>
      </c>
      <c r="AN57" s="153">
        <v>2.1850000000000001</v>
      </c>
      <c r="AO57" s="153">
        <v>2.1850000000000001</v>
      </c>
      <c r="AP57" s="153">
        <v>2.1850000000000001</v>
      </c>
      <c r="AQ57" s="153">
        <v>2.1850000000000001</v>
      </c>
      <c r="AR57" s="153">
        <v>2.1850000000000001</v>
      </c>
      <c r="AS57" s="149">
        <f t="shared" ref="AS57:BV57" si="41">AR57</f>
        <v>2.1850000000000001</v>
      </c>
      <c r="AT57" s="149">
        <f t="shared" si="41"/>
        <v>2.1850000000000001</v>
      </c>
      <c r="AU57" s="149">
        <f t="shared" si="41"/>
        <v>2.1850000000000001</v>
      </c>
      <c r="AV57" s="149">
        <f t="shared" si="41"/>
        <v>2.1850000000000001</v>
      </c>
      <c r="AW57" s="149">
        <f t="shared" si="41"/>
        <v>2.1850000000000001</v>
      </c>
      <c r="AX57" s="149">
        <f t="shared" si="41"/>
        <v>2.1850000000000001</v>
      </c>
      <c r="AY57" s="149">
        <f t="shared" si="41"/>
        <v>2.1850000000000001</v>
      </c>
      <c r="AZ57" s="149">
        <f t="shared" si="41"/>
        <v>2.1850000000000001</v>
      </c>
      <c r="BA57" s="149">
        <f t="shared" si="41"/>
        <v>2.1850000000000001</v>
      </c>
      <c r="BB57" s="149">
        <f t="shared" si="41"/>
        <v>2.1850000000000001</v>
      </c>
      <c r="BC57" s="149">
        <f t="shared" si="41"/>
        <v>2.1850000000000001</v>
      </c>
      <c r="BD57" s="149">
        <f t="shared" si="41"/>
        <v>2.1850000000000001</v>
      </c>
      <c r="BE57" s="149">
        <f t="shared" si="41"/>
        <v>2.1850000000000001</v>
      </c>
      <c r="BF57" s="149">
        <f t="shared" si="41"/>
        <v>2.1850000000000001</v>
      </c>
      <c r="BG57" s="149">
        <f t="shared" si="41"/>
        <v>2.1850000000000001</v>
      </c>
      <c r="BH57" s="149">
        <f t="shared" si="41"/>
        <v>2.1850000000000001</v>
      </c>
      <c r="BI57" s="149">
        <f t="shared" si="41"/>
        <v>2.1850000000000001</v>
      </c>
      <c r="BJ57" s="149">
        <f t="shared" si="41"/>
        <v>2.1850000000000001</v>
      </c>
      <c r="BK57" s="149">
        <f t="shared" si="41"/>
        <v>2.1850000000000001</v>
      </c>
      <c r="BL57" s="149">
        <f t="shared" si="41"/>
        <v>2.1850000000000001</v>
      </c>
      <c r="BM57" s="149">
        <f t="shared" si="41"/>
        <v>2.1850000000000001</v>
      </c>
      <c r="BN57" s="149">
        <f t="shared" si="41"/>
        <v>2.1850000000000001</v>
      </c>
      <c r="BO57" s="149">
        <f t="shared" si="41"/>
        <v>2.1850000000000001</v>
      </c>
      <c r="BP57" s="149">
        <f t="shared" si="41"/>
        <v>2.1850000000000001</v>
      </c>
      <c r="BQ57" s="149">
        <f t="shared" si="41"/>
        <v>2.1850000000000001</v>
      </c>
      <c r="BR57" s="149">
        <f t="shared" si="41"/>
        <v>2.1850000000000001</v>
      </c>
      <c r="BS57" s="149">
        <f t="shared" si="41"/>
        <v>2.1850000000000001</v>
      </c>
      <c r="BT57" s="149">
        <f t="shared" si="41"/>
        <v>2.1850000000000001</v>
      </c>
      <c r="BU57" s="149">
        <f t="shared" si="41"/>
        <v>2.1850000000000001</v>
      </c>
      <c r="BV57" s="149">
        <f t="shared" si="41"/>
        <v>2.1850000000000001</v>
      </c>
    </row>
    <row r="58" spans="1:74" x14ac:dyDescent="0.25">
      <c r="A58" s="147" t="s">
        <v>186</v>
      </c>
      <c r="B58" s="151" t="s">
        <v>185</v>
      </c>
      <c r="C58" s="151" t="s">
        <v>214</v>
      </c>
      <c r="D58" s="152">
        <v>3.173</v>
      </c>
      <c r="E58" s="153">
        <v>3.173</v>
      </c>
      <c r="F58" s="153">
        <v>3.173</v>
      </c>
      <c r="G58" s="153">
        <v>3.173</v>
      </c>
      <c r="H58" s="153">
        <v>3.173</v>
      </c>
      <c r="I58" s="153">
        <v>3.173</v>
      </c>
      <c r="J58" s="153">
        <v>3.173</v>
      </c>
      <c r="K58" s="153">
        <v>3.173</v>
      </c>
      <c r="L58" s="153">
        <v>3.173</v>
      </c>
      <c r="M58" s="153">
        <v>3.173</v>
      </c>
      <c r="N58" s="153">
        <v>3.173</v>
      </c>
      <c r="O58" s="153">
        <v>3.173</v>
      </c>
      <c r="P58" s="153">
        <v>3.173</v>
      </c>
      <c r="Q58" s="153">
        <v>3.173</v>
      </c>
      <c r="R58" s="153">
        <v>3.173</v>
      </c>
      <c r="S58" s="153">
        <v>3.173</v>
      </c>
      <c r="T58" s="153">
        <v>3.173</v>
      </c>
      <c r="U58" s="153">
        <v>3.173</v>
      </c>
      <c r="V58" s="153">
        <v>3.173</v>
      </c>
      <c r="W58" s="153">
        <v>3.173</v>
      </c>
      <c r="X58" s="153">
        <v>3.173</v>
      </c>
      <c r="Y58" s="153">
        <v>3.173</v>
      </c>
      <c r="Z58" s="153">
        <v>3.173</v>
      </c>
      <c r="AA58" s="153">
        <v>3.173</v>
      </c>
      <c r="AB58" s="153">
        <v>3.173</v>
      </c>
      <c r="AC58" s="153">
        <v>3.173</v>
      </c>
      <c r="AD58" s="153">
        <v>3.173</v>
      </c>
      <c r="AE58" s="153">
        <v>3.173</v>
      </c>
      <c r="AF58" s="153">
        <v>3.173</v>
      </c>
      <c r="AG58" s="153">
        <v>3.173</v>
      </c>
      <c r="AH58" s="153">
        <v>3.173</v>
      </c>
      <c r="AI58" s="153">
        <v>3.173</v>
      </c>
      <c r="AJ58" s="153">
        <v>3.173</v>
      </c>
      <c r="AK58" s="153">
        <v>3.173</v>
      </c>
      <c r="AL58" s="153">
        <v>3.173</v>
      </c>
      <c r="AM58" s="153">
        <v>3.173</v>
      </c>
      <c r="AN58" s="153">
        <v>3.173</v>
      </c>
      <c r="AO58" s="153">
        <v>3.173</v>
      </c>
      <c r="AP58" s="153">
        <v>3.173</v>
      </c>
      <c r="AQ58" s="153">
        <v>3.173</v>
      </c>
      <c r="AR58" s="153">
        <v>3.173</v>
      </c>
      <c r="AS58" s="149">
        <f t="shared" ref="AS58:BV58" si="42">AR58</f>
        <v>3.173</v>
      </c>
      <c r="AT58" s="149">
        <f t="shared" si="42"/>
        <v>3.173</v>
      </c>
      <c r="AU58" s="149">
        <f t="shared" si="42"/>
        <v>3.173</v>
      </c>
      <c r="AV58" s="149">
        <f t="shared" si="42"/>
        <v>3.173</v>
      </c>
      <c r="AW58" s="149">
        <f t="shared" si="42"/>
        <v>3.173</v>
      </c>
      <c r="AX58" s="149">
        <f t="shared" si="42"/>
        <v>3.173</v>
      </c>
      <c r="AY58" s="149">
        <f t="shared" si="42"/>
        <v>3.173</v>
      </c>
      <c r="AZ58" s="149">
        <f t="shared" si="42"/>
        <v>3.173</v>
      </c>
      <c r="BA58" s="149">
        <f t="shared" si="42"/>
        <v>3.173</v>
      </c>
      <c r="BB58" s="149">
        <f t="shared" si="42"/>
        <v>3.173</v>
      </c>
      <c r="BC58" s="149">
        <f t="shared" si="42"/>
        <v>3.173</v>
      </c>
      <c r="BD58" s="149">
        <f t="shared" si="42"/>
        <v>3.173</v>
      </c>
      <c r="BE58" s="149">
        <f t="shared" si="42"/>
        <v>3.173</v>
      </c>
      <c r="BF58" s="149">
        <f t="shared" si="42"/>
        <v>3.173</v>
      </c>
      <c r="BG58" s="149">
        <f t="shared" si="42"/>
        <v>3.173</v>
      </c>
      <c r="BH58" s="149">
        <f t="shared" si="42"/>
        <v>3.173</v>
      </c>
      <c r="BI58" s="149">
        <f t="shared" si="42"/>
        <v>3.173</v>
      </c>
      <c r="BJ58" s="149">
        <f t="shared" si="42"/>
        <v>3.173</v>
      </c>
      <c r="BK58" s="149">
        <f t="shared" si="42"/>
        <v>3.173</v>
      </c>
      <c r="BL58" s="149">
        <f t="shared" si="42"/>
        <v>3.173</v>
      </c>
      <c r="BM58" s="149">
        <f t="shared" si="42"/>
        <v>3.173</v>
      </c>
      <c r="BN58" s="149">
        <f t="shared" si="42"/>
        <v>3.173</v>
      </c>
      <c r="BO58" s="149">
        <f t="shared" si="42"/>
        <v>3.173</v>
      </c>
      <c r="BP58" s="149">
        <f t="shared" si="42"/>
        <v>3.173</v>
      </c>
      <c r="BQ58" s="149">
        <f t="shared" si="42"/>
        <v>3.173</v>
      </c>
      <c r="BR58" s="149">
        <f t="shared" si="42"/>
        <v>3.173</v>
      </c>
      <c r="BS58" s="149">
        <f t="shared" si="42"/>
        <v>3.173</v>
      </c>
      <c r="BT58" s="149">
        <f t="shared" si="42"/>
        <v>3.173</v>
      </c>
      <c r="BU58" s="149">
        <f t="shared" si="42"/>
        <v>3.173</v>
      </c>
      <c r="BV58" s="149">
        <f t="shared" si="42"/>
        <v>3.173</v>
      </c>
    </row>
    <row r="59" spans="1:74" x14ac:dyDescent="0.25">
      <c r="A59" s="141" t="s">
        <v>187</v>
      </c>
      <c r="B59" s="142" t="s">
        <v>185</v>
      </c>
      <c r="C59" s="154" t="s">
        <v>188</v>
      </c>
      <c r="D59" s="156">
        <v>3.1402534235590034</v>
      </c>
      <c r="E59" s="156">
        <v>3.1437386342138516</v>
      </c>
      <c r="F59" s="156">
        <v>3.1472238448686998</v>
      </c>
      <c r="G59" s="156">
        <v>3.150709055523548</v>
      </c>
      <c r="H59" s="156">
        <v>3.1541942661783962</v>
      </c>
      <c r="I59" s="156">
        <v>3.1576794768332435</v>
      </c>
      <c r="J59" s="156">
        <v>3.1204037042470065</v>
      </c>
      <c r="K59" s="156">
        <v>3.1321149446037881</v>
      </c>
      <c r="L59" s="156">
        <v>3.1350900546239786</v>
      </c>
      <c r="M59" s="156">
        <v>3.1491198801740836</v>
      </c>
      <c r="N59" s="156">
        <v>3.0941218959767625</v>
      </c>
      <c r="O59" s="156">
        <v>3.1737047476854303</v>
      </c>
      <c r="P59" s="156">
        <v>3.2126469391861834</v>
      </c>
      <c r="Q59" s="156">
        <v>3.2329263353711477</v>
      </c>
      <c r="R59" s="156">
        <v>3.2144412599857337</v>
      </c>
      <c r="S59" s="156">
        <v>3.2194583636457068</v>
      </c>
      <c r="T59" s="156">
        <v>3.2229469291507677</v>
      </c>
      <c r="U59" s="156">
        <v>3.2223371008158832</v>
      </c>
      <c r="V59" s="156">
        <v>3.2236559217193155</v>
      </c>
      <c r="W59" s="156">
        <v>3.2224696295495097</v>
      </c>
      <c r="X59" s="156">
        <v>3.227378664697051</v>
      </c>
      <c r="Y59" s="156">
        <v>3.2197199278749782</v>
      </c>
      <c r="Z59" s="156">
        <v>3.21850046760302</v>
      </c>
      <c r="AA59" s="156">
        <v>3.2706829837165587</v>
      </c>
      <c r="AB59" s="156">
        <v>3.140036263626016</v>
      </c>
      <c r="AC59" s="156">
        <v>3.1568155724559741</v>
      </c>
      <c r="AD59" s="156">
        <v>3.1602042460950202</v>
      </c>
      <c r="AE59" s="156">
        <v>3.176878961224753</v>
      </c>
      <c r="AF59" s="156">
        <v>3.176878961224753</v>
      </c>
      <c r="AG59" s="156">
        <v>3.176878961224753</v>
      </c>
      <c r="AH59" s="156">
        <v>3.176878961224753</v>
      </c>
      <c r="AI59" s="156">
        <v>3.176878961224753</v>
      </c>
      <c r="AJ59" s="156">
        <v>3.176878961224753</v>
      </c>
      <c r="AK59" s="156">
        <v>3.176878961224753</v>
      </c>
      <c r="AL59" s="156">
        <v>3.176878961224753</v>
      </c>
      <c r="AM59" s="156">
        <v>3.176878961224753</v>
      </c>
      <c r="AN59" s="156">
        <v>3.176878961224753</v>
      </c>
      <c r="AO59" s="156">
        <v>3.176878961224753</v>
      </c>
      <c r="AP59" s="156">
        <v>3.176878961224753</v>
      </c>
      <c r="AQ59" s="156">
        <v>3.176878961224753</v>
      </c>
      <c r="AR59" s="156">
        <v>3.176878961224753</v>
      </c>
      <c r="AS59" s="149">
        <f t="shared" ref="AS59:BV59" si="43">AR59</f>
        <v>3.176878961224753</v>
      </c>
      <c r="AT59" s="149">
        <f t="shared" si="43"/>
        <v>3.176878961224753</v>
      </c>
      <c r="AU59" s="149">
        <f t="shared" si="43"/>
        <v>3.176878961224753</v>
      </c>
      <c r="AV59" s="149">
        <f t="shared" si="43"/>
        <v>3.176878961224753</v>
      </c>
      <c r="AW59" s="149">
        <f t="shared" si="43"/>
        <v>3.176878961224753</v>
      </c>
      <c r="AX59" s="149">
        <f t="shared" si="43"/>
        <v>3.176878961224753</v>
      </c>
      <c r="AY59" s="149">
        <f t="shared" si="43"/>
        <v>3.176878961224753</v>
      </c>
      <c r="AZ59" s="149">
        <f t="shared" si="43"/>
        <v>3.176878961224753</v>
      </c>
      <c r="BA59" s="149">
        <f t="shared" si="43"/>
        <v>3.176878961224753</v>
      </c>
      <c r="BB59" s="149">
        <f t="shared" si="43"/>
        <v>3.176878961224753</v>
      </c>
      <c r="BC59" s="149">
        <f t="shared" si="43"/>
        <v>3.176878961224753</v>
      </c>
      <c r="BD59" s="149">
        <f t="shared" si="43"/>
        <v>3.176878961224753</v>
      </c>
      <c r="BE59" s="149">
        <f t="shared" si="43"/>
        <v>3.176878961224753</v>
      </c>
      <c r="BF59" s="149">
        <f t="shared" si="43"/>
        <v>3.176878961224753</v>
      </c>
      <c r="BG59" s="149">
        <f t="shared" si="43"/>
        <v>3.176878961224753</v>
      </c>
      <c r="BH59" s="149">
        <f t="shared" si="43"/>
        <v>3.176878961224753</v>
      </c>
      <c r="BI59" s="149">
        <f t="shared" si="43"/>
        <v>3.176878961224753</v>
      </c>
      <c r="BJ59" s="149">
        <f t="shared" si="43"/>
        <v>3.176878961224753</v>
      </c>
      <c r="BK59" s="149">
        <f t="shared" si="43"/>
        <v>3.176878961224753</v>
      </c>
      <c r="BL59" s="149">
        <f t="shared" si="43"/>
        <v>3.176878961224753</v>
      </c>
      <c r="BM59" s="149">
        <f t="shared" si="43"/>
        <v>3.176878961224753</v>
      </c>
      <c r="BN59" s="149">
        <f t="shared" si="43"/>
        <v>3.176878961224753</v>
      </c>
      <c r="BO59" s="149">
        <f t="shared" si="43"/>
        <v>3.176878961224753</v>
      </c>
      <c r="BP59" s="149">
        <f t="shared" si="43"/>
        <v>3.176878961224753</v>
      </c>
      <c r="BQ59" s="149">
        <f t="shared" si="43"/>
        <v>3.176878961224753</v>
      </c>
      <c r="BR59" s="149">
        <f t="shared" si="43"/>
        <v>3.176878961224753</v>
      </c>
      <c r="BS59" s="149">
        <f t="shared" si="43"/>
        <v>3.176878961224753</v>
      </c>
      <c r="BT59" s="149">
        <f t="shared" si="43"/>
        <v>3.176878961224753</v>
      </c>
      <c r="BU59" s="149">
        <f t="shared" si="43"/>
        <v>3.176878961224753</v>
      </c>
      <c r="BV59" s="149">
        <f t="shared" si="43"/>
        <v>3.176878961224753</v>
      </c>
    </row>
    <row r="60" spans="1:74" x14ac:dyDescent="0.25">
      <c r="A60" s="147" t="s">
        <v>189</v>
      </c>
      <c r="B60" s="151" t="s">
        <v>190</v>
      </c>
      <c r="C60" s="151" t="s">
        <v>214</v>
      </c>
      <c r="D60" s="152">
        <v>0.68700000000000006</v>
      </c>
      <c r="E60" s="153">
        <v>0.68700000000000006</v>
      </c>
      <c r="F60" s="153">
        <v>0.68700000000000006</v>
      </c>
      <c r="G60" s="153">
        <v>0.68700000000000006</v>
      </c>
      <c r="H60" s="153">
        <v>0.68700000000000006</v>
      </c>
      <c r="I60" s="153">
        <v>0.68700000000000006</v>
      </c>
      <c r="J60" s="153">
        <v>0.68700000000000006</v>
      </c>
      <c r="K60" s="153">
        <v>0.68700000000000006</v>
      </c>
      <c r="L60" s="153">
        <v>0.68700000000000006</v>
      </c>
      <c r="M60" s="153">
        <v>0.68700000000000006</v>
      </c>
      <c r="N60" s="153">
        <v>0.68700000000000006</v>
      </c>
      <c r="O60" s="153">
        <v>0.68700000000000006</v>
      </c>
      <c r="P60" s="153">
        <v>0.68700000000000006</v>
      </c>
      <c r="Q60" s="153">
        <v>0.68700000000000006</v>
      </c>
      <c r="R60" s="153">
        <v>0.68700000000000006</v>
      </c>
      <c r="S60" s="153">
        <v>0.68700000000000006</v>
      </c>
      <c r="T60" s="153">
        <v>0.68700000000000006</v>
      </c>
      <c r="U60" s="153">
        <v>0.68700000000000006</v>
      </c>
      <c r="V60" s="153">
        <v>0.68700000000000006</v>
      </c>
      <c r="W60" s="153">
        <v>0.68700000000000006</v>
      </c>
      <c r="X60" s="153">
        <v>0.68700000000000006</v>
      </c>
      <c r="Y60" s="153">
        <v>0.68700000000000006</v>
      </c>
      <c r="Z60" s="153">
        <v>0.68700000000000006</v>
      </c>
      <c r="AA60" s="153">
        <v>0.68700000000000006</v>
      </c>
      <c r="AB60" s="153">
        <v>0.68700000000000006</v>
      </c>
      <c r="AC60" s="153">
        <v>0.68700000000000006</v>
      </c>
      <c r="AD60" s="153">
        <v>0.68700000000000006</v>
      </c>
      <c r="AE60" s="153">
        <v>0.68700000000000006</v>
      </c>
      <c r="AF60" s="153">
        <v>0.68700000000000006</v>
      </c>
      <c r="AG60" s="153">
        <v>0.68700000000000006</v>
      </c>
      <c r="AH60" s="153">
        <v>0.68700000000000006</v>
      </c>
      <c r="AI60" s="153">
        <v>0.68700000000000006</v>
      </c>
      <c r="AJ60" s="153">
        <v>0.68700000000000006</v>
      </c>
      <c r="AK60" s="153">
        <v>0.68700000000000006</v>
      </c>
      <c r="AL60" s="153">
        <v>0.68700000000000006</v>
      </c>
      <c r="AM60" s="153">
        <v>0.68700000000000006</v>
      </c>
      <c r="AN60" s="153">
        <v>0.68700000000000006</v>
      </c>
      <c r="AO60" s="153">
        <v>0.68700000000000006</v>
      </c>
      <c r="AP60" s="153">
        <v>0.68700000000000006</v>
      </c>
      <c r="AQ60" s="153">
        <v>0.68700000000000006</v>
      </c>
      <c r="AR60" s="153">
        <v>0.68700000000000006</v>
      </c>
      <c r="AS60" s="149">
        <f t="shared" ref="AS60:BV60" si="44">AR60</f>
        <v>0.68700000000000006</v>
      </c>
      <c r="AT60" s="149">
        <f t="shared" si="44"/>
        <v>0.68700000000000006</v>
      </c>
      <c r="AU60" s="149">
        <f t="shared" si="44"/>
        <v>0.68700000000000006</v>
      </c>
      <c r="AV60" s="149">
        <f t="shared" si="44"/>
        <v>0.68700000000000006</v>
      </c>
      <c r="AW60" s="149">
        <f t="shared" si="44"/>
        <v>0.68700000000000006</v>
      </c>
      <c r="AX60" s="149">
        <f t="shared" si="44"/>
        <v>0.68700000000000006</v>
      </c>
      <c r="AY60" s="149">
        <f t="shared" si="44"/>
        <v>0.68700000000000006</v>
      </c>
      <c r="AZ60" s="149">
        <f t="shared" si="44"/>
        <v>0.68700000000000006</v>
      </c>
      <c r="BA60" s="149">
        <f t="shared" si="44"/>
        <v>0.68700000000000006</v>
      </c>
      <c r="BB60" s="149">
        <f t="shared" si="44"/>
        <v>0.68700000000000006</v>
      </c>
      <c r="BC60" s="149">
        <f t="shared" si="44"/>
        <v>0.68700000000000006</v>
      </c>
      <c r="BD60" s="149">
        <f t="shared" si="44"/>
        <v>0.68700000000000006</v>
      </c>
      <c r="BE60" s="149">
        <f t="shared" si="44"/>
        <v>0.68700000000000006</v>
      </c>
      <c r="BF60" s="149">
        <f t="shared" si="44"/>
        <v>0.68700000000000006</v>
      </c>
      <c r="BG60" s="149">
        <f t="shared" si="44"/>
        <v>0.68700000000000006</v>
      </c>
      <c r="BH60" s="149">
        <f t="shared" si="44"/>
        <v>0.68700000000000006</v>
      </c>
      <c r="BI60" s="149">
        <f t="shared" si="44"/>
        <v>0.68700000000000006</v>
      </c>
      <c r="BJ60" s="149">
        <f t="shared" si="44"/>
        <v>0.68700000000000006</v>
      </c>
      <c r="BK60" s="149">
        <f t="shared" si="44"/>
        <v>0.68700000000000006</v>
      </c>
      <c r="BL60" s="149">
        <f t="shared" si="44"/>
        <v>0.68700000000000006</v>
      </c>
      <c r="BM60" s="149">
        <f t="shared" si="44"/>
        <v>0.68700000000000006</v>
      </c>
      <c r="BN60" s="149">
        <f t="shared" si="44"/>
        <v>0.68700000000000006</v>
      </c>
      <c r="BO60" s="149">
        <f t="shared" si="44"/>
        <v>0.68700000000000006</v>
      </c>
      <c r="BP60" s="149">
        <f t="shared" si="44"/>
        <v>0.68700000000000006</v>
      </c>
      <c r="BQ60" s="149">
        <f t="shared" si="44"/>
        <v>0.68700000000000006</v>
      </c>
      <c r="BR60" s="149">
        <f t="shared" si="44"/>
        <v>0.68700000000000006</v>
      </c>
      <c r="BS60" s="149">
        <f t="shared" si="44"/>
        <v>0.68700000000000006</v>
      </c>
      <c r="BT60" s="149">
        <f t="shared" si="44"/>
        <v>0.68700000000000006</v>
      </c>
      <c r="BU60" s="149">
        <f t="shared" si="44"/>
        <v>0.68700000000000006</v>
      </c>
      <c r="BV60" s="149">
        <f t="shared" si="44"/>
        <v>0.68700000000000006</v>
      </c>
    </row>
    <row r="61" spans="1:74" x14ac:dyDescent="0.25">
      <c r="A61" s="147" t="s">
        <v>12</v>
      </c>
      <c r="B61" s="148" t="s">
        <v>179</v>
      </c>
      <c r="C61" s="151" t="s">
        <v>215</v>
      </c>
      <c r="D61" s="152">
        <v>2.69</v>
      </c>
      <c r="E61" s="153">
        <v>2.69</v>
      </c>
      <c r="F61" s="153">
        <v>2.69</v>
      </c>
      <c r="G61" s="153">
        <v>2.69</v>
      </c>
      <c r="H61" s="153">
        <v>2.69</v>
      </c>
      <c r="I61" s="153">
        <v>2.69</v>
      </c>
      <c r="J61" s="153">
        <v>2.69</v>
      </c>
      <c r="K61" s="153">
        <v>2.69</v>
      </c>
      <c r="L61" s="153">
        <v>2.69</v>
      </c>
      <c r="M61" s="153">
        <v>2.69</v>
      </c>
      <c r="N61" s="153">
        <v>2.69</v>
      </c>
      <c r="O61" s="153">
        <v>2.69</v>
      </c>
      <c r="P61" s="153">
        <v>2.69</v>
      </c>
      <c r="Q61" s="153">
        <v>2.69</v>
      </c>
      <c r="R61" s="153">
        <v>2.69</v>
      </c>
      <c r="S61" s="153">
        <v>2.69</v>
      </c>
      <c r="T61" s="153">
        <v>2.69</v>
      </c>
      <c r="U61" s="153">
        <v>2.69</v>
      </c>
      <c r="V61" s="153">
        <v>2.69</v>
      </c>
      <c r="W61" s="153">
        <v>2.69</v>
      </c>
      <c r="X61" s="153">
        <v>2.69</v>
      </c>
      <c r="Y61" s="153">
        <v>2.69</v>
      </c>
      <c r="Z61" s="153">
        <v>2.69</v>
      </c>
      <c r="AA61" s="153">
        <v>2.69</v>
      </c>
      <c r="AB61" s="153">
        <v>2.69</v>
      </c>
      <c r="AC61" s="153">
        <v>2.69</v>
      </c>
      <c r="AD61" s="153">
        <v>2.69</v>
      </c>
      <c r="AE61" s="153">
        <v>2.69</v>
      </c>
      <c r="AF61" s="153">
        <v>2.69</v>
      </c>
      <c r="AG61" s="153">
        <v>2.69</v>
      </c>
      <c r="AH61" s="153">
        <v>2.69</v>
      </c>
      <c r="AI61" s="153">
        <v>2.69</v>
      </c>
      <c r="AJ61" s="153">
        <v>2.69</v>
      </c>
      <c r="AK61" s="153">
        <v>2.69</v>
      </c>
      <c r="AL61" s="153">
        <v>2.69</v>
      </c>
      <c r="AM61" s="153">
        <v>2.69</v>
      </c>
      <c r="AN61" s="153">
        <v>2.69</v>
      </c>
      <c r="AO61" s="153">
        <v>2.69</v>
      </c>
      <c r="AP61" s="153">
        <v>2.69</v>
      </c>
      <c r="AQ61" s="153">
        <v>2.69</v>
      </c>
      <c r="AR61" s="153">
        <v>2.69</v>
      </c>
      <c r="AS61" s="149">
        <f t="shared" ref="AS61:BV62" si="45">AR61</f>
        <v>2.69</v>
      </c>
      <c r="AT61" s="149">
        <f t="shared" si="45"/>
        <v>2.69</v>
      </c>
      <c r="AU61" s="149">
        <f t="shared" si="45"/>
        <v>2.69</v>
      </c>
      <c r="AV61" s="149">
        <f t="shared" si="45"/>
        <v>2.69</v>
      </c>
      <c r="AW61" s="149">
        <f t="shared" si="45"/>
        <v>2.69</v>
      </c>
      <c r="AX61" s="149">
        <f t="shared" si="45"/>
        <v>2.69</v>
      </c>
      <c r="AY61" s="149">
        <f t="shared" si="45"/>
        <v>2.69</v>
      </c>
      <c r="AZ61" s="149">
        <f t="shared" si="45"/>
        <v>2.69</v>
      </c>
      <c r="BA61" s="149">
        <f t="shared" si="45"/>
        <v>2.69</v>
      </c>
      <c r="BB61" s="149">
        <f t="shared" si="45"/>
        <v>2.69</v>
      </c>
      <c r="BC61" s="149">
        <f t="shared" si="45"/>
        <v>2.69</v>
      </c>
      <c r="BD61" s="149">
        <f t="shared" si="45"/>
        <v>2.69</v>
      </c>
      <c r="BE61" s="149">
        <f t="shared" si="45"/>
        <v>2.69</v>
      </c>
      <c r="BF61" s="149">
        <f t="shared" si="45"/>
        <v>2.69</v>
      </c>
      <c r="BG61" s="149">
        <f t="shared" si="45"/>
        <v>2.69</v>
      </c>
      <c r="BH61" s="149">
        <f t="shared" si="45"/>
        <v>2.69</v>
      </c>
      <c r="BI61" s="149">
        <f t="shared" si="45"/>
        <v>2.69</v>
      </c>
      <c r="BJ61" s="149">
        <f t="shared" si="45"/>
        <v>2.69</v>
      </c>
      <c r="BK61" s="149">
        <f t="shared" si="45"/>
        <v>2.69</v>
      </c>
      <c r="BL61" s="149">
        <f t="shared" si="45"/>
        <v>2.69</v>
      </c>
      <c r="BM61" s="149">
        <f t="shared" si="45"/>
        <v>2.69</v>
      </c>
      <c r="BN61" s="149">
        <f t="shared" si="45"/>
        <v>2.69</v>
      </c>
      <c r="BO61" s="149">
        <f t="shared" si="45"/>
        <v>2.69</v>
      </c>
      <c r="BP61" s="149">
        <f t="shared" si="45"/>
        <v>2.69</v>
      </c>
      <c r="BQ61" s="149">
        <f t="shared" si="45"/>
        <v>2.69</v>
      </c>
      <c r="BR61" s="149">
        <f t="shared" si="45"/>
        <v>2.69</v>
      </c>
      <c r="BS61" s="149">
        <f t="shared" si="45"/>
        <v>2.69</v>
      </c>
      <c r="BT61" s="149">
        <f t="shared" si="45"/>
        <v>2.69</v>
      </c>
      <c r="BU61" s="149">
        <f t="shared" si="45"/>
        <v>2.69</v>
      </c>
      <c r="BV61" s="149">
        <f t="shared" si="45"/>
        <v>2.69</v>
      </c>
    </row>
    <row r="62" spans="1:74" x14ac:dyDescent="0.25">
      <c r="A62" s="147" t="s">
        <v>2</v>
      </c>
      <c r="B62" s="148" t="s">
        <v>191</v>
      </c>
      <c r="D62" s="157"/>
      <c r="E62" s="157"/>
      <c r="F62" s="157"/>
      <c r="G62" s="157"/>
      <c r="H62" s="157"/>
      <c r="I62" s="157"/>
      <c r="J62" s="157"/>
      <c r="K62" s="157"/>
      <c r="L62" s="157"/>
      <c r="M62" s="157"/>
      <c r="N62" s="157"/>
      <c r="O62" s="157"/>
      <c r="P62" s="157"/>
      <c r="Q62" s="157"/>
      <c r="R62" s="157"/>
      <c r="S62" s="157"/>
      <c r="T62" s="157"/>
      <c r="U62" s="157"/>
      <c r="V62" s="157"/>
      <c r="W62" s="157"/>
      <c r="X62" s="157"/>
      <c r="Y62" s="157"/>
      <c r="Z62" s="157"/>
      <c r="AA62" s="157"/>
      <c r="AB62" s="157"/>
      <c r="AC62" s="157"/>
      <c r="AD62" s="157"/>
      <c r="AE62" s="157"/>
      <c r="AF62" s="157"/>
      <c r="AG62" s="157"/>
      <c r="AH62" s="157"/>
      <c r="AI62" s="157"/>
      <c r="AJ62" s="157"/>
      <c r="AK62" s="157"/>
      <c r="AL62" s="157"/>
      <c r="AM62" s="157"/>
      <c r="AN62" s="157"/>
      <c r="AO62" s="157"/>
      <c r="AP62" s="157"/>
      <c r="AQ62" s="157"/>
      <c r="AR62" s="157"/>
      <c r="AS62" s="149">
        <f t="shared" si="45"/>
        <v>0</v>
      </c>
      <c r="AT62" s="149">
        <f t="shared" si="45"/>
        <v>0</v>
      </c>
      <c r="AU62" s="149">
        <f t="shared" si="45"/>
        <v>0</v>
      </c>
      <c r="AV62" s="149">
        <f t="shared" si="45"/>
        <v>0</v>
      </c>
      <c r="AW62" s="149">
        <f t="shared" si="45"/>
        <v>0</v>
      </c>
      <c r="AX62" s="149">
        <f t="shared" si="45"/>
        <v>0</v>
      </c>
      <c r="AY62" s="149">
        <f t="shared" si="45"/>
        <v>0</v>
      </c>
      <c r="AZ62" s="149">
        <f t="shared" si="45"/>
        <v>0</v>
      </c>
      <c r="BA62" s="149">
        <f t="shared" si="45"/>
        <v>0</v>
      </c>
      <c r="BB62" s="149">
        <f t="shared" si="45"/>
        <v>0</v>
      </c>
      <c r="BC62" s="149">
        <f t="shared" si="45"/>
        <v>0</v>
      </c>
      <c r="BD62" s="149">
        <f t="shared" si="45"/>
        <v>0</v>
      </c>
      <c r="BE62" s="149">
        <f t="shared" si="45"/>
        <v>0</v>
      </c>
      <c r="BF62" s="149">
        <f t="shared" si="45"/>
        <v>0</v>
      </c>
      <c r="BG62" s="149">
        <f t="shared" si="45"/>
        <v>0</v>
      </c>
      <c r="BH62" s="149">
        <f t="shared" si="45"/>
        <v>0</v>
      </c>
      <c r="BI62" s="149">
        <f t="shared" si="45"/>
        <v>0</v>
      </c>
      <c r="BJ62" s="149">
        <f t="shared" si="45"/>
        <v>0</v>
      </c>
      <c r="BK62" s="149">
        <f t="shared" si="45"/>
        <v>0</v>
      </c>
      <c r="BL62" s="149">
        <f t="shared" si="45"/>
        <v>0</v>
      </c>
      <c r="BM62" s="149">
        <f t="shared" si="45"/>
        <v>0</v>
      </c>
      <c r="BN62" s="149">
        <f t="shared" si="45"/>
        <v>0</v>
      </c>
      <c r="BO62" s="149">
        <f t="shared" si="45"/>
        <v>0</v>
      </c>
      <c r="BP62" s="149">
        <f t="shared" si="45"/>
        <v>0</v>
      </c>
      <c r="BQ62" s="149">
        <f t="shared" si="45"/>
        <v>0</v>
      </c>
      <c r="BR62" s="149">
        <f t="shared" si="45"/>
        <v>0</v>
      </c>
      <c r="BS62" s="149">
        <f t="shared" si="45"/>
        <v>0</v>
      </c>
      <c r="BT62" s="149">
        <f t="shared" si="45"/>
        <v>0</v>
      </c>
      <c r="BU62" s="149">
        <f t="shared" si="45"/>
        <v>0</v>
      </c>
      <c r="BV62" s="149">
        <f t="shared" si="45"/>
        <v>0</v>
      </c>
    </row>
    <row r="63" spans="1:74" x14ac:dyDescent="0.25">
      <c r="A63" s="141" t="s">
        <v>192</v>
      </c>
      <c r="B63" s="148" t="s">
        <v>179</v>
      </c>
      <c r="C63" s="151" t="s">
        <v>211</v>
      </c>
      <c r="D63" s="152">
        <v>1.5089999999999999</v>
      </c>
      <c r="E63" s="153">
        <v>1.5089999999999999</v>
      </c>
      <c r="F63" s="153">
        <v>1.5089999999999999</v>
      </c>
      <c r="G63" s="153">
        <v>1.5089999999999999</v>
      </c>
      <c r="H63" s="153">
        <v>1.5089999999999999</v>
      </c>
      <c r="I63" s="153">
        <v>1.5089999999999999</v>
      </c>
      <c r="J63" s="153">
        <v>1.5089999999999999</v>
      </c>
      <c r="K63" s="153">
        <v>1.5089999999999999</v>
      </c>
      <c r="L63" s="153">
        <v>1.5089999999999999</v>
      </c>
      <c r="M63" s="153">
        <v>1.5089999999999999</v>
      </c>
      <c r="N63" s="153">
        <v>1.5089999999999999</v>
      </c>
      <c r="O63" s="153">
        <v>1.5089999999999999</v>
      </c>
      <c r="P63" s="153">
        <v>1.5089999999999999</v>
      </c>
      <c r="Q63" s="153">
        <v>1.5089999999999999</v>
      </c>
      <c r="R63" s="153">
        <v>1.5089999999999999</v>
      </c>
      <c r="S63" s="153">
        <v>1.5089999999999999</v>
      </c>
      <c r="T63" s="153">
        <v>1.5089999999999999</v>
      </c>
      <c r="U63" s="153">
        <v>1.5089999999999999</v>
      </c>
      <c r="V63" s="153">
        <v>1.5089999999999999</v>
      </c>
      <c r="W63" s="153">
        <v>1.5089999999999999</v>
      </c>
      <c r="X63" s="153">
        <v>1.5089999999999999</v>
      </c>
      <c r="Y63" s="153">
        <v>1.5089999999999999</v>
      </c>
      <c r="Z63" s="153">
        <v>1.5089999999999999</v>
      </c>
      <c r="AA63" s="153">
        <v>1.5089999999999999</v>
      </c>
      <c r="AB63" s="153">
        <v>1.5089999999999999</v>
      </c>
      <c r="AC63" s="153">
        <v>1.5089999999999999</v>
      </c>
      <c r="AD63" s="153">
        <v>1.5089999999999999</v>
      </c>
      <c r="AE63" s="153">
        <v>1.5089999999999999</v>
      </c>
      <c r="AF63" s="153">
        <v>1.5089999999999999</v>
      </c>
      <c r="AG63" s="153">
        <v>1.5089999999999999</v>
      </c>
      <c r="AH63" s="153">
        <v>1.5089999999999999</v>
      </c>
      <c r="AI63" s="153">
        <v>1.5089999999999999</v>
      </c>
      <c r="AJ63" s="153">
        <v>1.5089999999999999</v>
      </c>
      <c r="AK63" s="153">
        <v>1.5089999999999999</v>
      </c>
      <c r="AL63" s="153">
        <v>1.5089999999999999</v>
      </c>
      <c r="AM63" s="153">
        <v>1.5089999999999999</v>
      </c>
      <c r="AN63" s="153">
        <v>1.5089999999999999</v>
      </c>
      <c r="AO63" s="153">
        <v>1.5089999999999999</v>
      </c>
      <c r="AP63" s="153">
        <v>1.5089999999999999</v>
      </c>
      <c r="AQ63" s="153">
        <v>1.5089999999999999</v>
      </c>
      <c r="AR63" s="153">
        <v>1.5089999999999999</v>
      </c>
      <c r="AS63" s="149">
        <f t="shared" ref="AS63:BV63" si="46">AR63</f>
        <v>1.5089999999999999</v>
      </c>
      <c r="AT63" s="149">
        <f t="shared" si="46"/>
        <v>1.5089999999999999</v>
      </c>
      <c r="AU63" s="149">
        <f t="shared" si="46"/>
        <v>1.5089999999999999</v>
      </c>
      <c r="AV63" s="149">
        <f t="shared" si="46"/>
        <v>1.5089999999999999</v>
      </c>
      <c r="AW63" s="149">
        <f t="shared" si="46"/>
        <v>1.5089999999999999</v>
      </c>
      <c r="AX63" s="149">
        <f t="shared" si="46"/>
        <v>1.5089999999999999</v>
      </c>
      <c r="AY63" s="149">
        <f t="shared" si="46"/>
        <v>1.5089999999999999</v>
      </c>
      <c r="AZ63" s="149">
        <f t="shared" si="46"/>
        <v>1.5089999999999999</v>
      </c>
      <c r="BA63" s="149">
        <f t="shared" si="46"/>
        <v>1.5089999999999999</v>
      </c>
      <c r="BB63" s="149">
        <f t="shared" si="46"/>
        <v>1.5089999999999999</v>
      </c>
      <c r="BC63" s="149">
        <f t="shared" si="46"/>
        <v>1.5089999999999999</v>
      </c>
      <c r="BD63" s="149">
        <f t="shared" si="46"/>
        <v>1.5089999999999999</v>
      </c>
      <c r="BE63" s="149">
        <f t="shared" si="46"/>
        <v>1.5089999999999999</v>
      </c>
      <c r="BF63" s="149">
        <f t="shared" si="46"/>
        <v>1.5089999999999999</v>
      </c>
      <c r="BG63" s="149">
        <f t="shared" si="46"/>
        <v>1.5089999999999999</v>
      </c>
      <c r="BH63" s="149">
        <f t="shared" si="46"/>
        <v>1.5089999999999999</v>
      </c>
      <c r="BI63" s="149">
        <f t="shared" si="46"/>
        <v>1.5089999999999999</v>
      </c>
      <c r="BJ63" s="149">
        <f t="shared" si="46"/>
        <v>1.5089999999999999</v>
      </c>
      <c r="BK63" s="149">
        <f t="shared" si="46"/>
        <v>1.5089999999999999</v>
      </c>
      <c r="BL63" s="149">
        <f t="shared" si="46"/>
        <v>1.5089999999999999</v>
      </c>
      <c r="BM63" s="149">
        <f t="shared" si="46"/>
        <v>1.5089999999999999</v>
      </c>
      <c r="BN63" s="149">
        <f t="shared" si="46"/>
        <v>1.5089999999999999</v>
      </c>
      <c r="BO63" s="149">
        <f t="shared" si="46"/>
        <v>1.5089999999999999</v>
      </c>
      <c r="BP63" s="149">
        <f t="shared" si="46"/>
        <v>1.5089999999999999</v>
      </c>
      <c r="BQ63" s="149">
        <f t="shared" si="46"/>
        <v>1.5089999999999999</v>
      </c>
      <c r="BR63" s="149">
        <f t="shared" si="46"/>
        <v>1.5089999999999999</v>
      </c>
      <c r="BS63" s="149">
        <f t="shared" si="46"/>
        <v>1.5089999999999999</v>
      </c>
      <c r="BT63" s="149">
        <f t="shared" si="46"/>
        <v>1.5089999999999999</v>
      </c>
      <c r="BU63" s="149">
        <f t="shared" si="46"/>
        <v>1.5089999999999999</v>
      </c>
      <c r="BV63" s="149">
        <f t="shared" si="46"/>
        <v>1.5089999999999999</v>
      </c>
    </row>
    <row r="64" spans="1:74" x14ac:dyDescent="0.25">
      <c r="A64" s="141" t="s">
        <v>193</v>
      </c>
      <c r="B64" s="148" t="s">
        <v>190</v>
      </c>
      <c r="C64" s="162" t="s">
        <v>194</v>
      </c>
      <c r="D64" s="156">
        <v>1.8094491006981506</v>
      </c>
      <c r="E64" s="156">
        <v>1.8170652073168834</v>
      </c>
      <c r="F64" s="156">
        <v>1.8246813139356162</v>
      </c>
      <c r="G64" s="156">
        <v>1.832297420554349</v>
      </c>
      <c r="H64" s="156">
        <v>1.8399135271730818</v>
      </c>
      <c r="I64" s="156">
        <v>1.8475296337918148</v>
      </c>
      <c r="J64" s="156">
        <v>1.8059594115383604</v>
      </c>
      <c r="K64" s="156">
        <v>1.7840159855265627</v>
      </c>
      <c r="L64" s="156">
        <v>1.6814452104000452</v>
      </c>
      <c r="M64" s="156">
        <v>1.806534775631629</v>
      </c>
      <c r="N64" s="156">
        <v>1.687151236651262</v>
      </c>
      <c r="O64" s="156">
        <v>1.6489191618513557</v>
      </c>
      <c r="P64" s="156">
        <v>1.6631729764846441</v>
      </c>
      <c r="Q64" s="156">
        <v>1.6972370960472898</v>
      </c>
      <c r="R64" s="156">
        <v>1.7049834593259741</v>
      </c>
      <c r="S64" s="156">
        <v>1.7167249085470579</v>
      </c>
      <c r="T64" s="156">
        <v>1.7524360079447441</v>
      </c>
      <c r="U64" s="156">
        <v>1.7609636412246565</v>
      </c>
      <c r="V64" s="156">
        <v>1.7030148656367128</v>
      </c>
      <c r="W64" s="156">
        <v>1.7225359244387766</v>
      </c>
      <c r="X64" s="156">
        <v>1.8425807362701769</v>
      </c>
      <c r="Y64" s="156">
        <v>1.8370612962136779</v>
      </c>
      <c r="Z64" s="156">
        <v>1.7374945295387592</v>
      </c>
      <c r="AA64" s="156">
        <v>1.7616159945525847</v>
      </c>
      <c r="AB64" s="156">
        <v>1.7516108075071695</v>
      </c>
      <c r="AC64" s="156">
        <v>1.7742360750241712</v>
      </c>
      <c r="AD64" s="156">
        <v>1.8011747025306337</v>
      </c>
      <c r="AE64" s="156">
        <v>1.8244332082893515</v>
      </c>
      <c r="AF64" s="156">
        <v>1.8244332082893515</v>
      </c>
      <c r="AG64" s="156">
        <v>1.8244332082893515</v>
      </c>
      <c r="AH64" s="156">
        <v>1.8244332082893515</v>
      </c>
      <c r="AI64" s="156">
        <v>1.8244332082893515</v>
      </c>
      <c r="AJ64" s="156">
        <v>1.8244332082893515</v>
      </c>
      <c r="AK64" s="156">
        <v>1.8244332082893515</v>
      </c>
      <c r="AL64" s="156">
        <v>1.8244332082893515</v>
      </c>
      <c r="AM64" s="156">
        <v>1.8244332082893515</v>
      </c>
      <c r="AN64" s="156">
        <v>1.8244332082893515</v>
      </c>
      <c r="AO64" s="156">
        <v>1.8244332082893515</v>
      </c>
      <c r="AP64" s="156">
        <v>1.8244332082893515</v>
      </c>
      <c r="AQ64" s="156">
        <v>1.8244332082893515</v>
      </c>
      <c r="AR64" s="156">
        <v>1.8244332082893515</v>
      </c>
      <c r="AS64" s="149">
        <f t="shared" ref="AS64:BV64" si="47">AR64</f>
        <v>1.8244332082893515</v>
      </c>
      <c r="AT64" s="149">
        <f t="shared" si="47"/>
        <v>1.8244332082893515</v>
      </c>
      <c r="AU64" s="149">
        <f t="shared" si="47"/>
        <v>1.8244332082893515</v>
      </c>
      <c r="AV64" s="149">
        <f t="shared" si="47"/>
        <v>1.8244332082893515</v>
      </c>
      <c r="AW64" s="149">
        <f t="shared" si="47"/>
        <v>1.8244332082893515</v>
      </c>
      <c r="AX64" s="149">
        <f t="shared" si="47"/>
        <v>1.8244332082893515</v>
      </c>
      <c r="AY64" s="149">
        <f t="shared" si="47"/>
        <v>1.8244332082893515</v>
      </c>
      <c r="AZ64" s="149">
        <f t="shared" si="47"/>
        <v>1.8244332082893515</v>
      </c>
      <c r="BA64" s="149">
        <f t="shared" si="47"/>
        <v>1.8244332082893515</v>
      </c>
      <c r="BB64" s="149">
        <f t="shared" si="47"/>
        <v>1.8244332082893515</v>
      </c>
      <c r="BC64" s="149">
        <f t="shared" si="47"/>
        <v>1.8244332082893515</v>
      </c>
      <c r="BD64" s="149">
        <f t="shared" si="47"/>
        <v>1.8244332082893515</v>
      </c>
      <c r="BE64" s="149">
        <f t="shared" si="47"/>
        <v>1.8244332082893515</v>
      </c>
      <c r="BF64" s="149">
        <f t="shared" si="47"/>
        <v>1.8244332082893515</v>
      </c>
      <c r="BG64" s="149">
        <f t="shared" si="47"/>
        <v>1.8244332082893515</v>
      </c>
      <c r="BH64" s="149">
        <f t="shared" si="47"/>
        <v>1.8244332082893515</v>
      </c>
      <c r="BI64" s="149">
        <f t="shared" si="47"/>
        <v>1.8244332082893515</v>
      </c>
      <c r="BJ64" s="149">
        <f t="shared" si="47"/>
        <v>1.8244332082893515</v>
      </c>
      <c r="BK64" s="149">
        <f t="shared" si="47"/>
        <v>1.8244332082893515</v>
      </c>
      <c r="BL64" s="149">
        <f t="shared" si="47"/>
        <v>1.8244332082893515</v>
      </c>
      <c r="BM64" s="149">
        <f t="shared" si="47"/>
        <v>1.8244332082893515</v>
      </c>
      <c r="BN64" s="149">
        <f t="shared" si="47"/>
        <v>1.8244332082893515</v>
      </c>
      <c r="BO64" s="149">
        <f t="shared" si="47"/>
        <v>1.8244332082893515</v>
      </c>
      <c r="BP64" s="149">
        <f t="shared" si="47"/>
        <v>1.8244332082893515</v>
      </c>
      <c r="BQ64" s="149">
        <f t="shared" si="47"/>
        <v>1.8244332082893515</v>
      </c>
      <c r="BR64" s="149">
        <f t="shared" si="47"/>
        <v>1.8244332082893515</v>
      </c>
      <c r="BS64" s="149">
        <f t="shared" si="47"/>
        <v>1.8244332082893515</v>
      </c>
      <c r="BT64" s="149">
        <f t="shared" si="47"/>
        <v>1.8244332082893515</v>
      </c>
      <c r="BU64" s="149">
        <f t="shared" si="47"/>
        <v>1.8244332082893515</v>
      </c>
      <c r="BV64" s="149">
        <f t="shared" si="47"/>
        <v>1.8244332082893515</v>
      </c>
    </row>
    <row r="65" spans="1:74" x14ac:dyDescent="0.25">
      <c r="A65" s="141" t="s">
        <v>195</v>
      </c>
      <c r="B65" s="148" t="s">
        <v>179</v>
      </c>
      <c r="C65" s="151" t="s">
        <v>215</v>
      </c>
      <c r="D65" s="152">
        <v>2.3159999999999998</v>
      </c>
      <c r="E65" s="153">
        <v>2.3159999999999998</v>
      </c>
      <c r="F65" s="153">
        <v>2.3159999999999998</v>
      </c>
      <c r="G65" s="153">
        <v>2.3159999999999998</v>
      </c>
      <c r="H65" s="153">
        <v>2.3159999999999998</v>
      </c>
      <c r="I65" s="153">
        <v>2.3159999999999998</v>
      </c>
      <c r="J65" s="153">
        <v>2.3159999999999998</v>
      </c>
      <c r="K65" s="153">
        <v>2.3159999999999998</v>
      </c>
      <c r="L65" s="153">
        <v>2.3159999999999998</v>
      </c>
      <c r="M65" s="153">
        <v>2.3159999999999998</v>
      </c>
      <c r="N65" s="153">
        <v>2.3159999999999998</v>
      </c>
      <c r="O65" s="153">
        <v>2.3159999999999998</v>
      </c>
      <c r="P65" s="153">
        <v>2.3159999999999998</v>
      </c>
      <c r="Q65" s="153">
        <v>2.3159999999999998</v>
      </c>
      <c r="R65" s="153">
        <v>2.3159999999999998</v>
      </c>
      <c r="S65" s="153">
        <v>2.3159999999999998</v>
      </c>
      <c r="T65" s="153">
        <v>2.3159999999999998</v>
      </c>
      <c r="U65" s="153">
        <v>2.3159999999999998</v>
      </c>
      <c r="V65" s="153">
        <v>2.3159999999999998</v>
      </c>
      <c r="W65" s="153">
        <v>2.3159999999999998</v>
      </c>
      <c r="X65" s="153">
        <v>2.3159999999999998</v>
      </c>
      <c r="Y65" s="153">
        <v>2.3159999999999998</v>
      </c>
      <c r="Z65" s="153">
        <v>2.3159999999999998</v>
      </c>
      <c r="AA65" s="153">
        <v>2.3159999999999998</v>
      </c>
      <c r="AB65" s="153">
        <v>2.3159999999999998</v>
      </c>
      <c r="AC65" s="153">
        <v>2.3159999999999998</v>
      </c>
      <c r="AD65" s="153">
        <v>2.3159999999999998</v>
      </c>
      <c r="AE65" s="153">
        <v>2.3159999999999998</v>
      </c>
      <c r="AF65" s="153">
        <v>2.3159999999999998</v>
      </c>
      <c r="AG65" s="153">
        <v>2.3159999999999998</v>
      </c>
      <c r="AH65" s="153">
        <v>2.3159999999999998</v>
      </c>
      <c r="AI65" s="153">
        <v>2.3159999999999998</v>
      </c>
      <c r="AJ65" s="153">
        <v>2.3159999999999998</v>
      </c>
      <c r="AK65" s="153">
        <v>2.3159999999999998</v>
      </c>
      <c r="AL65" s="153">
        <v>2.3159999999999998</v>
      </c>
      <c r="AM65" s="153">
        <v>2.3159999999999998</v>
      </c>
      <c r="AN65" s="153">
        <v>2.3159999999999998</v>
      </c>
      <c r="AO65" s="153">
        <v>2.3159999999999998</v>
      </c>
      <c r="AP65" s="153">
        <v>2.3159999999999998</v>
      </c>
      <c r="AQ65" s="153">
        <v>2.3159999999999998</v>
      </c>
      <c r="AR65" s="153">
        <v>2.3159999999999998</v>
      </c>
      <c r="AS65" s="149">
        <f t="shared" ref="AS65:BV65" si="48">AR65</f>
        <v>2.3159999999999998</v>
      </c>
      <c r="AT65" s="149">
        <f t="shared" si="48"/>
        <v>2.3159999999999998</v>
      </c>
      <c r="AU65" s="149">
        <f t="shared" si="48"/>
        <v>2.3159999999999998</v>
      </c>
      <c r="AV65" s="149">
        <f t="shared" si="48"/>
        <v>2.3159999999999998</v>
      </c>
      <c r="AW65" s="149">
        <f t="shared" si="48"/>
        <v>2.3159999999999998</v>
      </c>
      <c r="AX65" s="149">
        <f t="shared" si="48"/>
        <v>2.3159999999999998</v>
      </c>
      <c r="AY65" s="149">
        <f t="shared" si="48"/>
        <v>2.3159999999999998</v>
      </c>
      <c r="AZ65" s="149">
        <f t="shared" si="48"/>
        <v>2.3159999999999998</v>
      </c>
      <c r="BA65" s="149">
        <f t="shared" si="48"/>
        <v>2.3159999999999998</v>
      </c>
      <c r="BB65" s="149">
        <f t="shared" si="48"/>
        <v>2.3159999999999998</v>
      </c>
      <c r="BC65" s="149">
        <f t="shared" si="48"/>
        <v>2.3159999999999998</v>
      </c>
      <c r="BD65" s="149">
        <f t="shared" si="48"/>
        <v>2.3159999999999998</v>
      </c>
      <c r="BE65" s="149">
        <f t="shared" si="48"/>
        <v>2.3159999999999998</v>
      </c>
      <c r="BF65" s="149">
        <f t="shared" si="48"/>
        <v>2.3159999999999998</v>
      </c>
      <c r="BG65" s="149">
        <f t="shared" si="48"/>
        <v>2.3159999999999998</v>
      </c>
      <c r="BH65" s="149">
        <f t="shared" si="48"/>
        <v>2.3159999999999998</v>
      </c>
      <c r="BI65" s="149">
        <f t="shared" si="48"/>
        <v>2.3159999999999998</v>
      </c>
      <c r="BJ65" s="149">
        <f t="shared" si="48"/>
        <v>2.3159999999999998</v>
      </c>
      <c r="BK65" s="149">
        <f t="shared" si="48"/>
        <v>2.3159999999999998</v>
      </c>
      <c r="BL65" s="149">
        <f t="shared" si="48"/>
        <v>2.3159999999999998</v>
      </c>
      <c r="BM65" s="149">
        <f t="shared" si="48"/>
        <v>2.3159999999999998</v>
      </c>
      <c r="BN65" s="149">
        <f t="shared" si="48"/>
        <v>2.3159999999999998</v>
      </c>
      <c r="BO65" s="149">
        <f t="shared" si="48"/>
        <v>2.3159999999999998</v>
      </c>
      <c r="BP65" s="149">
        <f t="shared" si="48"/>
        <v>2.3159999999999998</v>
      </c>
      <c r="BQ65" s="149">
        <f t="shared" si="48"/>
        <v>2.3159999999999998</v>
      </c>
      <c r="BR65" s="149">
        <f t="shared" si="48"/>
        <v>2.3159999999999998</v>
      </c>
      <c r="BS65" s="149">
        <f t="shared" si="48"/>
        <v>2.3159999999999998</v>
      </c>
      <c r="BT65" s="149">
        <f t="shared" si="48"/>
        <v>2.3159999999999998</v>
      </c>
      <c r="BU65" s="149">
        <f t="shared" si="48"/>
        <v>2.3159999999999998</v>
      </c>
      <c r="BV65" s="149">
        <f t="shared" si="48"/>
        <v>2.3159999999999998</v>
      </c>
    </row>
    <row r="66" spans="1:74" x14ac:dyDescent="0.25">
      <c r="A66" s="141" t="s">
        <v>251</v>
      </c>
      <c r="B66" s="148" t="s">
        <v>179</v>
      </c>
      <c r="C66" s="151" t="s">
        <v>215</v>
      </c>
      <c r="D66" s="152">
        <v>3.1560000000000001</v>
      </c>
      <c r="E66" s="153">
        <v>3.1560000000000001</v>
      </c>
      <c r="F66" s="153">
        <v>3.1560000000000001</v>
      </c>
      <c r="G66" s="153">
        <v>3.1560000000000001</v>
      </c>
      <c r="H66" s="153">
        <v>3.1560000000000001</v>
      </c>
      <c r="I66" s="153">
        <v>3.1560000000000001</v>
      </c>
      <c r="J66" s="153">
        <v>3.1560000000000001</v>
      </c>
      <c r="K66" s="153">
        <v>3.1560000000000001</v>
      </c>
      <c r="L66" s="153">
        <v>3.1560000000000001</v>
      </c>
      <c r="M66" s="153">
        <v>3.1560000000000001</v>
      </c>
      <c r="N66" s="153">
        <v>3.1560000000000001</v>
      </c>
      <c r="O66" s="153">
        <v>3.1560000000000001</v>
      </c>
      <c r="P66" s="153">
        <v>3.1560000000000001</v>
      </c>
      <c r="Q66" s="153">
        <v>3.1560000000000001</v>
      </c>
      <c r="R66" s="153">
        <v>3.1560000000000001</v>
      </c>
      <c r="S66" s="153">
        <v>3.1560000000000001</v>
      </c>
      <c r="T66" s="153">
        <v>3.1560000000000001</v>
      </c>
      <c r="U66" s="153">
        <v>3.1560000000000001</v>
      </c>
      <c r="V66" s="153">
        <v>3.1560000000000001</v>
      </c>
      <c r="W66" s="153">
        <v>3.1560000000000001</v>
      </c>
      <c r="X66" s="153">
        <v>3.1560000000000001</v>
      </c>
      <c r="Y66" s="153">
        <v>3.1560000000000001</v>
      </c>
      <c r="Z66" s="153">
        <v>3.1560000000000001</v>
      </c>
      <c r="AA66" s="153">
        <v>3.1560000000000001</v>
      </c>
      <c r="AB66" s="153">
        <v>3.1560000000000001</v>
      </c>
      <c r="AC66" s="153">
        <v>3.1560000000000001</v>
      </c>
      <c r="AD66" s="153">
        <v>3.1560000000000001</v>
      </c>
      <c r="AE66" s="153">
        <v>3.1560000000000001</v>
      </c>
      <c r="AF66" s="153">
        <v>3.1560000000000001</v>
      </c>
      <c r="AG66" s="153">
        <v>3.1560000000000001</v>
      </c>
      <c r="AH66" s="153">
        <v>3.1560000000000001</v>
      </c>
      <c r="AI66" s="153">
        <v>3.1560000000000001</v>
      </c>
      <c r="AJ66" s="153">
        <v>3.1560000000000001</v>
      </c>
      <c r="AK66" s="153">
        <v>3.1560000000000001</v>
      </c>
      <c r="AL66" s="153">
        <v>3.1560000000000001</v>
      </c>
      <c r="AM66" s="153">
        <v>3.1560000000000001</v>
      </c>
      <c r="AN66" s="153">
        <v>3.1560000000000001</v>
      </c>
      <c r="AO66" s="153">
        <v>3.1560000000000001</v>
      </c>
      <c r="AP66" s="153">
        <v>3.1560000000000001</v>
      </c>
      <c r="AQ66" s="153">
        <v>3.1560000000000001</v>
      </c>
      <c r="AR66" s="153">
        <v>3.1560000000000001</v>
      </c>
      <c r="AS66" s="149">
        <f t="shared" ref="AS66:BV66" si="49">AR66</f>
        <v>3.1560000000000001</v>
      </c>
      <c r="AT66" s="149">
        <f t="shared" si="49"/>
        <v>3.1560000000000001</v>
      </c>
      <c r="AU66" s="149">
        <f t="shared" si="49"/>
        <v>3.1560000000000001</v>
      </c>
      <c r="AV66" s="149">
        <f t="shared" si="49"/>
        <v>3.1560000000000001</v>
      </c>
      <c r="AW66" s="149">
        <f t="shared" si="49"/>
        <v>3.1560000000000001</v>
      </c>
      <c r="AX66" s="149">
        <f t="shared" si="49"/>
        <v>3.1560000000000001</v>
      </c>
      <c r="AY66" s="149">
        <f t="shared" si="49"/>
        <v>3.1560000000000001</v>
      </c>
      <c r="AZ66" s="149">
        <f t="shared" si="49"/>
        <v>3.1560000000000001</v>
      </c>
      <c r="BA66" s="149">
        <f t="shared" si="49"/>
        <v>3.1560000000000001</v>
      </c>
      <c r="BB66" s="149">
        <f t="shared" si="49"/>
        <v>3.1560000000000001</v>
      </c>
      <c r="BC66" s="149">
        <f t="shared" si="49"/>
        <v>3.1560000000000001</v>
      </c>
      <c r="BD66" s="149">
        <f t="shared" si="49"/>
        <v>3.1560000000000001</v>
      </c>
      <c r="BE66" s="149">
        <f t="shared" si="49"/>
        <v>3.1560000000000001</v>
      </c>
      <c r="BF66" s="149">
        <f t="shared" si="49"/>
        <v>3.1560000000000001</v>
      </c>
      <c r="BG66" s="149">
        <f t="shared" si="49"/>
        <v>3.1560000000000001</v>
      </c>
      <c r="BH66" s="149">
        <f t="shared" si="49"/>
        <v>3.1560000000000001</v>
      </c>
      <c r="BI66" s="149">
        <f t="shared" si="49"/>
        <v>3.1560000000000001</v>
      </c>
      <c r="BJ66" s="149">
        <f t="shared" si="49"/>
        <v>3.1560000000000001</v>
      </c>
      <c r="BK66" s="149">
        <f t="shared" si="49"/>
        <v>3.1560000000000001</v>
      </c>
      <c r="BL66" s="149">
        <f t="shared" si="49"/>
        <v>3.1560000000000001</v>
      </c>
      <c r="BM66" s="149">
        <f t="shared" si="49"/>
        <v>3.1560000000000001</v>
      </c>
      <c r="BN66" s="149">
        <f t="shared" si="49"/>
        <v>3.1560000000000001</v>
      </c>
      <c r="BO66" s="149">
        <f t="shared" si="49"/>
        <v>3.1560000000000001</v>
      </c>
      <c r="BP66" s="149">
        <f t="shared" si="49"/>
        <v>3.1560000000000001</v>
      </c>
      <c r="BQ66" s="149">
        <f t="shared" si="49"/>
        <v>3.1560000000000001</v>
      </c>
      <c r="BR66" s="149">
        <f t="shared" si="49"/>
        <v>3.1560000000000001</v>
      </c>
      <c r="BS66" s="149">
        <f t="shared" si="49"/>
        <v>3.1560000000000001</v>
      </c>
      <c r="BT66" s="149">
        <f t="shared" si="49"/>
        <v>3.1560000000000001</v>
      </c>
      <c r="BU66" s="149">
        <f t="shared" si="49"/>
        <v>3.1560000000000001</v>
      </c>
      <c r="BV66" s="149">
        <f t="shared" si="49"/>
        <v>3.1560000000000001</v>
      </c>
    </row>
    <row r="67" spans="1:74" x14ac:dyDescent="0.25">
      <c r="A67" s="141" t="s">
        <v>196</v>
      </c>
      <c r="B67" s="148" t="s">
        <v>179</v>
      </c>
      <c r="C67" s="151" t="s">
        <v>215</v>
      </c>
      <c r="D67" s="152">
        <v>2.56</v>
      </c>
      <c r="E67" s="153">
        <v>2.56</v>
      </c>
      <c r="F67" s="153">
        <v>2.56</v>
      </c>
      <c r="G67" s="153">
        <v>2.56</v>
      </c>
      <c r="H67" s="153">
        <v>2.56</v>
      </c>
      <c r="I67" s="153">
        <v>2.56</v>
      </c>
      <c r="J67" s="153">
        <v>2.56</v>
      </c>
      <c r="K67" s="153">
        <v>2.56</v>
      </c>
      <c r="L67" s="153">
        <v>2.56</v>
      </c>
      <c r="M67" s="153">
        <v>2.56</v>
      </c>
      <c r="N67" s="153">
        <v>2.56</v>
      </c>
      <c r="O67" s="153">
        <v>2.56</v>
      </c>
      <c r="P67" s="153">
        <v>2.56</v>
      </c>
      <c r="Q67" s="153">
        <v>2.56</v>
      </c>
      <c r="R67" s="153">
        <v>2.56</v>
      </c>
      <c r="S67" s="153">
        <v>2.56</v>
      </c>
      <c r="T67" s="153">
        <v>2.56</v>
      </c>
      <c r="U67" s="153">
        <v>2.56</v>
      </c>
      <c r="V67" s="153">
        <v>2.56</v>
      </c>
      <c r="W67" s="153">
        <v>2.56</v>
      </c>
      <c r="X67" s="153">
        <v>2.56</v>
      </c>
      <c r="Y67" s="153">
        <v>2.56</v>
      </c>
      <c r="Z67" s="153">
        <v>2.56</v>
      </c>
      <c r="AA67" s="153">
        <v>2.56</v>
      </c>
      <c r="AB67" s="153">
        <v>2.56</v>
      </c>
      <c r="AC67" s="153">
        <v>2.56</v>
      </c>
      <c r="AD67" s="153">
        <v>2.56</v>
      </c>
      <c r="AE67" s="153">
        <v>2.56</v>
      </c>
      <c r="AF67" s="153">
        <v>2.56</v>
      </c>
      <c r="AG67" s="153">
        <v>2.56</v>
      </c>
      <c r="AH67" s="153">
        <v>2.56</v>
      </c>
      <c r="AI67" s="153">
        <v>2.56</v>
      </c>
      <c r="AJ67" s="153">
        <v>2.56</v>
      </c>
      <c r="AK67" s="153">
        <v>2.56</v>
      </c>
      <c r="AL67" s="153">
        <v>2.56</v>
      </c>
      <c r="AM67" s="153">
        <v>2.56</v>
      </c>
      <c r="AN67" s="153">
        <v>2.56</v>
      </c>
      <c r="AO67" s="153">
        <v>2.56</v>
      </c>
      <c r="AP67" s="153">
        <v>2.56</v>
      </c>
      <c r="AQ67" s="153">
        <v>2.56</v>
      </c>
      <c r="AR67" s="153">
        <v>2.56</v>
      </c>
      <c r="AS67" s="149">
        <f t="shared" ref="AS67:BV67" si="50">AR67</f>
        <v>2.56</v>
      </c>
      <c r="AT67" s="149">
        <f t="shared" si="50"/>
        <v>2.56</v>
      </c>
      <c r="AU67" s="149">
        <f t="shared" si="50"/>
        <v>2.56</v>
      </c>
      <c r="AV67" s="149">
        <f t="shared" si="50"/>
        <v>2.56</v>
      </c>
      <c r="AW67" s="149">
        <f t="shared" si="50"/>
        <v>2.56</v>
      </c>
      <c r="AX67" s="149">
        <f t="shared" si="50"/>
        <v>2.56</v>
      </c>
      <c r="AY67" s="149">
        <f t="shared" si="50"/>
        <v>2.56</v>
      </c>
      <c r="AZ67" s="149">
        <f t="shared" si="50"/>
        <v>2.56</v>
      </c>
      <c r="BA67" s="149">
        <f t="shared" si="50"/>
        <v>2.56</v>
      </c>
      <c r="BB67" s="149">
        <f t="shared" si="50"/>
        <v>2.56</v>
      </c>
      <c r="BC67" s="149">
        <f t="shared" si="50"/>
        <v>2.56</v>
      </c>
      <c r="BD67" s="149">
        <f t="shared" si="50"/>
        <v>2.56</v>
      </c>
      <c r="BE67" s="149">
        <f t="shared" si="50"/>
        <v>2.56</v>
      </c>
      <c r="BF67" s="149">
        <f t="shared" si="50"/>
        <v>2.56</v>
      </c>
      <c r="BG67" s="149">
        <f t="shared" si="50"/>
        <v>2.56</v>
      </c>
      <c r="BH67" s="149">
        <f t="shared" si="50"/>
        <v>2.56</v>
      </c>
      <c r="BI67" s="149">
        <f t="shared" si="50"/>
        <v>2.56</v>
      </c>
      <c r="BJ67" s="149">
        <f t="shared" si="50"/>
        <v>2.56</v>
      </c>
      <c r="BK67" s="149">
        <f t="shared" si="50"/>
        <v>2.56</v>
      </c>
      <c r="BL67" s="149">
        <f t="shared" si="50"/>
        <v>2.56</v>
      </c>
      <c r="BM67" s="149">
        <f t="shared" si="50"/>
        <v>2.56</v>
      </c>
      <c r="BN67" s="149">
        <f t="shared" si="50"/>
        <v>2.56</v>
      </c>
      <c r="BO67" s="149">
        <f t="shared" si="50"/>
        <v>2.56</v>
      </c>
      <c r="BP67" s="149">
        <f t="shared" si="50"/>
        <v>2.56</v>
      </c>
      <c r="BQ67" s="149">
        <f t="shared" si="50"/>
        <v>2.56</v>
      </c>
      <c r="BR67" s="149">
        <f t="shared" si="50"/>
        <v>2.56</v>
      </c>
      <c r="BS67" s="149">
        <f t="shared" si="50"/>
        <v>2.56</v>
      </c>
      <c r="BT67" s="149">
        <f t="shared" si="50"/>
        <v>2.56</v>
      </c>
      <c r="BU67" s="149">
        <f t="shared" si="50"/>
        <v>2.56</v>
      </c>
      <c r="BV67" s="149">
        <f t="shared" si="50"/>
        <v>2.56</v>
      </c>
    </row>
    <row r="68" spans="1:74" x14ac:dyDescent="0.25">
      <c r="A68" s="147" t="s">
        <v>13</v>
      </c>
      <c r="B68" s="148" t="s">
        <v>179</v>
      </c>
      <c r="C68" s="151" t="s">
        <v>215</v>
      </c>
      <c r="D68" s="152">
        <v>2.7530000000000001</v>
      </c>
      <c r="E68" s="153">
        <v>2.7530000000000001</v>
      </c>
      <c r="F68" s="153">
        <v>2.7530000000000001</v>
      </c>
      <c r="G68" s="153">
        <v>2.7530000000000001</v>
      </c>
      <c r="H68" s="153">
        <v>2.7530000000000001</v>
      </c>
      <c r="I68" s="153">
        <v>2.7530000000000001</v>
      </c>
      <c r="J68" s="153">
        <v>2.7530000000000001</v>
      </c>
      <c r="K68" s="153">
        <v>2.7530000000000001</v>
      </c>
      <c r="L68" s="153">
        <v>2.7530000000000001</v>
      </c>
      <c r="M68" s="153">
        <v>2.7530000000000001</v>
      </c>
      <c r="N68" s="153">
        <v>2.7530000000000001</v>
      </c>
      <c r="O68" s="153">
        <v>2.7530000000000001</v>
      </c>
      <c r="P68" s="153">
        <v>2.7530000000000001</v>
      </c>
      <c r="Q68" s="153">
        <v>2.7530000000000001</v>
      </c>
      <c r="R68" s="153">
        <v>2.7530000000000001</v>
      </c>
      <c r="S68" s="153">
        <v>2.7530000000000001</v>
      </c>
      <c r="T68" s="153">
        <v>2.7530000000000001</v>
      </c>
      <c r="U68" s="153">
        <v>2.7530000000000001</v>
      </c>
      <c r="V68" s="153">
        <v>2.7530000000000001</v>
      </c>
      <c r="W68" s="153">
        <v>2.7530000000000001</v>
      </c>
      <c r="X68" s="153">
        <v>2.7530000000000001</v>
      </c>
      <c r="Y68" s="153">
        <v>2.7530000000000001</v>
      </c>
      <c r="Z68" s="153">
        <v>2.7530000000000001</v>
      </c>
      <c r="AA68" s="153">
        <v>2.7530000000000001</v>
      </c>
      <c r="AB68" s="153">
        <v>2.7530000000000001</v>
      </c>
      <c r="AC68" s="153">
        <v>2.7530000000000001</v>
      </c>
      <c r="AD68" s="153">
        <v>2.7530000000000001</v>
      </c>
      <c r="AE68" s="153">
        <v>2.7530000000000001</v>
      </c>
      <c r="AF68" s="153">
        <v>2.7530000000000001</v>
      </c>
      <c r="AG68" s="153">
        <v>2.7530000000000001</v>
      </c>
      <c r="AH68" s="153">
        <v>2.7530000000000001</v>
      </c>
      <c r="AI68" s="153">
        <v>2.7530000000000001</v>
      </c>
      <c r="AJ68" s="153">
        <v>2.7530000000000001</v>
      </c>
      <c r="AK68" s="153">
        <v>2.7530000000000001</v>
      </c>
      <c r="AL68" s="153">
        <v>2.7530000000000001</v>
      </c>
      <c r="AM68" s="153">
        <v>2.7530000000000001</v>
      </c>
      <c r="AN68" s="153">
        <v>2.7530000000000001</v>
      </c>
      <c r="AO68" s="153">
        <v>2.7530000000000001</v>
      </c>
      <c r="AP68" s="153">
        <v>2.7530000000000001</v>
      </c>
      <c r="AQ68" s="153">
        <v>2.7530000000000001</v>
      </c>
      <c r="AR68" s="153">
        <v>2.7530000000000001</v>
      </c>
      <c r="AS68" s="149">
        <f t="shared" ref="AS68:BV68" si="51">AR68</f>
        <v>2.7530000000000001</v>
      </c>
      <c r="AT68" s="149">
        <f t="shared" si="51"/>
        <v>2.7530000000000001</v>
      </c>
      <c r="AU68" s="149">
        <f t="shared" si="51"/>
        <v>2.7530000000000001</v>
      </c>
      <c r="AV68" s="149">
        <f t="shared" si="51"/>
        <v>2.7530000000000001</v>
      </c>
      <c r="AW68" s="149">
        <f t="shared" si="51"/>
        <v>2.7530000000000001</v>
      </c>
      <c r="AX68" s="149">
        <f t="shared" si="51"/>
        <v>2.7530000000000001</v>
      </c>
      <c r="AY68" s="149">
        <f t="shared" si="51"/>
        <v>2.7530000000000001</v>
      </c>
      <c r="AZ68" s="149">
        <f t="shared" si="51"/>
        <v>2.7530000000000001</v>
      </c>
      <c r="BA68" s="149">
        <f t="shared" si="51"/>
        <v>2.7530000000000001</v>
      </c>
      <c r="BB68" s="149">
        <f t="shared" si="51"/>
        <v>2.7530000000000001</v>
      </c>
      <c r="BC68" s="149">
        <f t="shared" si="51"/>
        <v>2.7530000000000001</v>
      </c>
      <c r="BD68" s="149">
        <f t="shared" si="51"/>
        <v>2.7530000000000001</v>
      </c>
      <c r="BE68" s="149">
        <f t="shared" si="51"/>
        <v>2.7530000000000001</v>
      </c>
      <c r="BF68" s="149">
        <f t="shared" si="51"/>
        <v>2.7530000000000001</v>
      </c>
      <c r="BG68" s="149">
        <f t="shared" si="51"/>
        <v>2.7530000000000001</v>
      </c>
      <c r="BH68" s="149">
        <f t="shared" si="51"/>
        <v>2.7530000000000001</v>
      </c>
      <c r="BI68" s="149">
        <f t="shared" si="51"/>
        <v>2.7530000000000001</v>
      </c>
      <c r="BJ68" s="149">
        <f t="shared" si="51"/>
        <v>2.7530000000000001</v>
      </c>
      <c r="BK68" s="149">
        <f t="shared" si="51"/>
        <v>2.7530000000000001</v>
      </c>
      <c r="BL68" s="149">
        <f t="shared" si="51"/>
        <v>2.7530000000000001</v>
      </c>
      <c r="BM68" s="149">
        <f t="shared" si="51"/>
        <v>2.7530000000000001</v>
      </c>
      <c r="BN68" s="149">
        <f t="shared" si="51"/>
        <v>2.7530000000000001</v>
      </c>
      <c r="BO68" s="149">
        <f t="shared" si="51"/>
        <v>2.7530000000000001</v>
      </c>
      <c r="BP68" s="149">
        <f t="shared" si="51"/>
        <v>2.7530000000000001</v>
      </c>
      <c r="BQ68" s="149">
        <f t="shared" si="51"/>
        <v>2.7530000000000001</v>
      </c>
      <c r="BR68" s="149">
        <f t="shared" si="51"/>
        <v>2.7530000000000001</v>
      </c>
      <c r="BS68" s="149">
        <f t="shared" si="51"/>
        <v>2.7530000000000001</v>
      </c>
      <c r="BT68" s="149">
        <f t="shared" si="51"/>
        <v>2.7530000000000001</v>
      </c>
      <c r="BU68" s="149">
        <f t="shared" si="51"/>
        <v>2.7530000000000001</v>
      </c>
      <c r="BV68" s="149">
        <f t="shared" si="51"/>
        <v>2.7530000000000001</v>
      </c>
    </row>
    <row r="69" spans="1:74" x14ac:dyDescent="0.25">
      <c r="A69" s="147" t="s">
        <v>199</v>
      </c>
      <c r="B69" s="148" t="s">
        <v>179</v>
      </c>
      <c r="C69" s="162" t="s">
        <v>200</v>
      </c>
      <c r="D69" s="156">
        <v>1.5149999999999999</v>
      </c>
      <c r="E69" s="156">
        <v>1.5149999999999999</v>
      </c>
      <c r="F69" s="156">
        <v>1.5149999999999999</v>
      </c>
      <c r="G69" s="156">
        <v>1.5149999999999999</v>
      </c>
      <c r="H69" s="156">
        <v>1.5149999999999999</v>
      </c>
      <c r="I69" s="156">
        <v>1.5149999999999999</v>
      </c>
      <c r="J69" s="156">
        <v>1.5149999999999999</v>
      </c>
      <c r="K69" s="156">
        <v>1.5149999999999999</v>
      </c>
      <c r="L69" s="156">
        <v>1.5149999999999999</v>
      </c>
      <c r="M69" s="156">
        <v>1.5149999999999999</v>
      </c>
      <c r="N69" s="156">
        <v>1.5149999999999999</v>
      </c>
      <c r="O69" s="156">
        <v>1.5149999999999999</v>
      </c>
      <c r="P69" s="156">
        <v>1.5149999999999999</v>
      </c>
      <c r="Q69" s="156">
        <v>1.5149999999999999</v>
      </c>
      <c r="R69" s="156">
        <v>1.5149999999999999</v>
      </c>
      <c r="S69" s="156">
        <v>1.5149999999999999</v>
      </c>
      <c r="T69" s="156">
        <v>1.5149999999999999</v>
      </c>
      <c r="U69" s="156">
        <v>1.5149999999999999</v>
      </c>
      <c r="V69" s="156">
        <v>1.5149999999999999</v>
      </c>
      <c r="W69" s="156">
        <v>1.5149999999999999</v>
      </c>
      <c r="X69" s="156">
        <v>1.5149999999999999</v>
      </c>
      <c r="Y69" s="156">
        <v>1.5149999999999999</v>
      </c>
      <c r="Z69" s="156">
        <v>1.5149999999999999</v>
      </c>
      <c r="AA69" s="156">
        <v>1.5149999999999999</v>
      </c>
      <c r="AB69" s="156">
        <v>1.5149999999999999</v>
      </c>
      <c r="AC69" s="156">
        <v>1.5149999999999999</v>
      </c>
      <c r="AD69" s="156">
        <v>1.5149999999999999</v>
      </c>
      <c r="AE69" s="156">
        <v>1.5149999999999999</v>
      </c>
      <c r="AF69" s="156">
        <v>1.5149999999999999</v>
      </c>
      <c r="AG69" s="156">
        <v>1.5149999999999999</v>
      </c>
      <c r="AH69" s="156">
        <v>1.5149999999999999</v>
      </c>
      <c r="AI69" s="156">
        <v>1.5149999999999999</v>
      </c>
      <c r="AJ69" s="156">
        <v>1.5149999999999999</v>
      </c>
      <c r="AK69" s="156">
        <v>1.5149999999999999</v>
      </c>
      <c r="AL69" s="156">
        <v>1.5149999999999999</v>
      </c>
      <c r="AM69" s="156">
        <v>1.5149999999999999</v>
      </c>
      <c r="AN69" s="156">
        <v>1.5149999999999999</v>
      </c>
      <c r="AO69" s="156">
        <v>1.5149999999999999</v>
      </c>
      <c r="AP69" s="156">
        <v>1.5149999999999999</v>
      </c>
      <c r="AQ69" s="156">
        <v>1.5149999999999999</v>
      </c>
      <c r="AR69" s="156">
        <v>1.5149999999999999</v>
      </c>
      <c r="AS69" s="149">
        <f t="shared" ref="AS69:BV69" si="52">AR69</f>
        <v>1.5149999999999999</v>
      </c>
      <c r="AT69" s="149">
        <f t="shared" si="52"/>
        <v>1.5149999999999999</v>
      </c>
      <c r="AU69" s="149">
        <f t="shared" si="52"/>
        <v>1.5149999999999999</v>
      </c>
      <c r="AV69" s="149">
        <f t="shared" si="52"/>
        <v>1.5149999999999999</v>
      </c>
      <c r="AW69" s="149">
        <f t="shared" si="52"/>
        <v>1.5149999999999999</v>
      </c>
      <c r="AX69" s="149">
        <f t="shared" si="52"/>
        <v>1.5149999999999999</v>
      </c>
      <c r="AY69" s="149">
        <f t="shared" si="52"/>
        <v>1.5149999999999999</v>
      </c>
      <c r="AZ69" s="149">
        <f t="shared" si="52"/>
        <v>1.5149999999999999</v>
      </c>
      <c r="BA69" s="149">
        <f t="shared" si="52"/>
        <v>1.5149999999999999</v>
      </c>
      <c r="BB69" s="149">
        <f t="shared" si="52"/>
        <v>1.5149999999999999</v>
      </c>
      <c r="BC69" s="149">
        <f t="shared" si="52"/>
        <v>1.5149999999999999</v>
      </c>
      <c r="BD69" s="149">
        <f t="shared" si="52"/>
        <v>1.5149999999999999</v>
      </c>
      <c r="BE69" s="149">
        <f t="shared" si="52"/>
        <v>1.5149999999999999</v>
      </c>
      <c r="BF69" s="149">
        <f t="shared" si="52"/>
        <v>1.5149999999999999</v>
      </c>
      <c r="BG69" s="149">
        <f t="shared" si="52"/>
        <v>1.5149999999999999</v>
      </c>
      <c r="BH69" s="149">
        <f t="shared" si="52"/>
        <v>1.5149999999999999</v>
      </c>
      <c r="BI69" s="149">
        <f t="shared" si="52"/>
        <v>1.5149999999999999</v>
      </c>
      <c r="BJ69" s="149">
        <f t="shared" si="52"/>
        <v>1.5149999999999999</v>
      </c>
      <c r="BK69" s="149">
        <f t="shared" si="52"/>
        <v>1.5149999999999999</v>
      </c>
      <c r="BL69" s="149">
        <f t="shared" si="52"/>
        <v>1.5149999999999999</v>
      </c>
      <c r="BM69" s="149">
        <f t="shared" si="52"/>
        <v>1.5149999999999999</v>
      </c>
      <c r="BN69" s="149">
        <f t="shared" si="52"/>
        <v>1.5149999999999999</v>
      </c>
      <c r="BO69" s="149">
        <f t="shared" si="52"/>
        <v>1.5149999999999999</v>
      </c>
      <c r="BP69" s="149">
        <f t="shared" si="52"/>
        <v>1.5149999999999999</v>
      </c>
      <c r="BQ69" s="149">
        <f t="shared" si="52"/>
        <v>1.5149999999999999</v>
      </c>
      <c r="BR69" s="149">
        <f t="shared" si="52"/>
        <v>1.5149999999999999</v>
      </c>
      <c r="BS69" s="149">
        <f t="shared" si="52"/>
        <v>1.5149999999999999</v>
      </c>
      <c r="BT69" s="149">
        <f t="shared" si="52"/>
        <v>1.5149999999999999</v>
      </c>
      <c r="BU69" s="149">
        <f t="shared" si="52"/>
        <v>1.5149999999999999</v>
      </c>
      <c r="BV69" s="149">
        <f t="shared" si="52"/>
        <v>1.5149999999999999</v>
      </c>
    </row>
    <row r="70" spans="1:74" x14ac:dyDescent="0.25">
      <c r="A70" s="147" t="s">
        <v>197</v>
      </c>
      <c r="B70" s="148" t="s">
        <v>179</v>
      </c>
      <c r="C70" s="154" t="s">
        <v>198</v>
      </c>
      <c r="D70" s="156">
        <v>2.7530000000000001</v>
      </c>
      <c r="E70" s="156">
        <v>2.7530000000000001</v>
      </c>
      <c r="F70" s="156">
        <v>2.7530000000000001</v>
      </c>
      <c r="G70" s="156">
        <v>2.7530000000000001</v>
      </c>
      <c r="H70" s="156">
        <v>2.7530000000000001</v>
      </c>
      <c r="I70" s="156">
        <v>2.7530000000000001</v>
      </c>
      <c r="J70" s="156">
        <v>2.7530000000000001</v>
      </c>
      <c r="K70" s="156">
        <v>2.7530000000000001</v>
      </c>
      <c r="L70" s="156">
        <v>2.7530000000000001</v>
      </c>
      <c r="M70" s="156">
        <v>2.7530000000000001</v>
      </c>
      <c r="N70" s="156">
        <v>2.7530000000000001</v>
      </c>
      <c r="O70" s="156">
        <v>2.7530000000000001</v>
      </c>
      <c r="P70" s="156">
        <v>2.7530000000000001</v>
      </c>
      <c r="Q70" s="156">
        <v>2.7530000000000001</v>
      </c>
      <c r="R70" s="156">
        <v>2.7530000000000001</v>
      </c>
      <c r="S70" s="156">
        <v>2.7530000000000001</v>
      </c>
      <c r="T70" s="156">
        <v>2.7530000000000001</v>
      </c>
      <c r="U70" s="156">
        <v>2.7530000000000001</v>
      </c>
      <c r="V70" s="156">
        <v>2.7530000000000001</v>
      </c>
      <c r="W70" s="156">
        <v>2.7530000000000001</v>
      </c>
      <c r="X70" s="156">
        <v>2.7530000000000001</v>
      </c>
      <c r="Y70" s="156">
        <v>2.7530000000000001</v>
      </c>
      <c r="Z70" s="156">
        <v>2.7530000000000001</v>
      </c>
      <c r="AA70" s="156">
        <v>2.7530000000000001</v>
      </c>
      <c r="AB70" s="156">
        <v>2.7530000000000001</v>
      </c>
      <c r="AC70" s="156">
        <v>2.7530000000000001</v>
      </c>
      <c r="AD70" s="156">
        <v>2.7530000000000001</v>
      </c>
      <c r="AE70" s="156">
        <v>2.7530000000000001</v>
      </c>
      <c r="AF70" s="156">
        <v>2.7530000000000001</v>
      </c>
      <c r="AG70" s="156">
        <v>2.7530000000000001</v>
      </c>
      <c r="AH70" s="156">
        <v>2.7530000000000001</v>
      </c>
      <c r="AI70" s="156">
        <v>2.7530000000000001</v>
      </c>
      <c r="AJ70" s="156">
        <v>2.7530000000000001</v>
      </c>
      <c r="AK70" s="156">
        <v>2.7530000000000001</v>
      </c>
      <c r="AL70" s="156">
        <v>2.7530000000000001</v>
      </c>
      <c r="AM70" s="156">
        <v>2.7530000000000001</v>
      </c>
      <c r="AN70" s="156">
        <v>2.7530000000000001</v>
      </c>
      <c r="AO70" s="156">
        <v>2.7530000000000001</v>
      </c>
      <c r="AP70" s="156">
        <v>2.7530000000000001</v>
      </c>
      <c r="AQ70" s="156">
        <v>2.7530000000000001</v>
      </c>
      <c r="AR70" s="156">
        <v>2.7530000000000001</v>
      </c>
      <c r="AS70" s="149">
        <f t="shared" ref="AS70:BV70" si="53">AR70</f>
        <v>2.7530000000000001</v>
      </c>
      <c r="AT70" s="149">
        <f t="shared" si="53"/>
        <v>2.7530000000000001</v>
      </c>
      <c r="AU70" s="149">
        <f t="shared" si="53"/>
        <v>2.7530000000000001</v>
      </c>
      <c r="AV70" s="149">
        <f t="shared" si="53"/>
        <v>2.7530000000000001</v>
      </c>
      <c r="AW70" s="149">
        <f t="shared" si="53"/>
        <v>2.7530000000000001</v>
      </c>
      <c r="AX70" s="149">
        <f t="shared" si="53"/>
        <v>2.7530000000000001</v>
      </c>
      <c r="AY70" s="149">
        <f t="shared" si="53"/>
        <v>2.7530000000000001</v>
      </c>
      <c r="AZ70" s="149">
        <f t="shared" si="53"/>
        <v>2.7530000000000001</v>
      </c>
      <c r="BA70" s="149">
        <f t="shared" si="53"/>
        <v>2.7530000000000001</v>
      </c>
      <c r="BB70" s="149">
        <f t="shared" si="53"/>
        <v>2.7530000000000001</v>
      </c>
      <c r="BC70" s="149">
        <f t="shared" si="53"/>
        <v>2.7530000000000001</v>
      </c>
      <c r="BD70" s="149">
        <f t="shared" si="53"/>
        <v>2.7530000000000001</v>
      </c>
      <c r="BE70" s="149">
        <f t="shared" si="53"/>
        <v>2.7530000000000001</v>
      </c>
      <c r="BF70" s="149">
        <f t="shared" si="53"/>
        <v>2.7530000000000001</v>
      </c>
      <c r="BG70" s="149">
        <f t="shared" si="53"/>
        <v>2.7530000000000001</v>
      </c>
      <c r="BH70" s="149">
        <f t="shared" si="53"/>
        <v>2.7530000000000001</v>
      </c>
      <c r="BI70" s="149">
        <f t="shared" si="53"/>
        <v>2.7530000000000001</v>
      </c>
      <c r="BJ70" s="149">
        <f t="shared" si="53"/>
        <v>2.7530000000000001</v>
      </c>
      <c r="BK70" s="149">
        <f t="shared" si="53"/>
        <v>2.7530000000000001</v>
      </c>
      <c r="BL70" s="149">
        <f t="shared" si="53"/>
        <v>2.7530000000000001</v>
      </c>
      <c r="BM70" s="149">
        <f t="shared" si="53"/>
        <v>2.7530000000000001</v>
      </c>
      <c r="BN70" s="149">
        <f t="shared" si="53"/>
        <v>2.7530000000000001</v>
      </c>
      <c r="BO70" s="149">
        <f t="shared" si="53"/>
        <v>2.7530000000000001</v>
      </c>
      <c r="BP70" s="149">
        <f t="shared" si="53"/>
        <v>2.7530000000000001</v>
      </c>
      <c r="BQ70" s="149">
        <f t="shared" si="53"/>
        <v>2.7530000000000001</v>
      </c>
      <c r="BR70" s="149">
        <f t="shared" si="53"/>
        <v>2.7530000000000001</v>
      </c>
      <c r="BS70" s="149">
        <f t="shared" si="53"/>
        <v>2.7530000000000001</v>
      </c>
      <c r="BT70" s="149">
        <f t="shared" si="53"/>
        <v>2.7530000000000001</v>
      </c>
      <c r="BU70" s="149">
        <f t="shared" si="53"/>
        <v>2.7530000000000001</v>
      </c>
      <c r="BV70" s="149">
        <f t="shared" si="53"/>
        <v>2.7530000000000001</v>
      </c>
    </row>
    <row r="71" spans="1:74" x14ac:dyDescent="0.25">
      <c r="A71" s="141" t="s">
        <v>14</v>
      </c>
      <c r="B71" s="148" t="s">
        <v>190</v>
      </c>
      <c r="C71" s="151" t="s">
        <v>216</v>
      </c>
      <c r="D71" s="165">
        <v>1.9223988009800077</v>
      </c>
      <c r="E71" s="165">
        <v>1.9223988009800077</v>
      </c>
      <c r="F71" s="165">
        <v>1.9223988009800077</v>
      </c>
      <c r="G71" s="165">
        <v>1.9223988009800077</v>
      </c>
      <c r="H71" s="165">
        <v>1.9223988009800077</v>
      </c>
      <c r="I71" s="152">
        <v>1.9223988009800077</v>
      </c>
      <c r="J71" s="152">
        <v>1.9230123734811109</v>
      </c>
      <c r="K71" s="152">
        <v>1.9232569386653304</v>
      </c>
      <c r="L71" s="152">
        <v>1.9232164549509314</v>
      </c>
      <c r="M71" s="152">
        <v>1.9234282539585417</v>
      </c>
      <c r="N71" s="152">
        <v>1.924554644585263</v>
      </c>
      <c r="O71" s="152">
        <v>1.9259654378916002</v>
      </c>
      <c r="P71" s="152">
        <v>1.9253243980632109</v>
      </c>
      <c r="Q71" s="152">
        <v>1.9247191708830438</v>
      </c>
      <c r="R71" s="152">
        <v>1.9237840329776548</v>
      </c>
      <c r="S71" s="152">
        <v>1.9232955378430103</v>
      </c>
      <c r="T71" s="152">
        <v>1.9227521702006549</v>
      </c>
      <c r="U71" s="152">
        <v>1.923132210142374</v>
      </c>
      <c r="V71" s="152">
        <v>1.9227220165715386</v>
      </c>
      <c r="W71" s="152">
        <v>1.9228415170419213</v>
      </c>
      <c r="X71" s="152">
        <v>1.9231770712641942</v>
      </c>
      <c r="Y71" s="152">
        <v>1.9235801832666188</v>
      </c>
      <c r="Z71" s="152">
        <v>1.9240102839935838</v>
      </c>
      <c r="AA71" s="152">
        <v>1.9240617340717405</v>
      </c>
      <c r="AB71" s="152">
        <v>1.9236760342202006</v>
      </c>
      <c r="AC71" s="152">
        <v>1.9236464331220269</v>
      </c>
      <c r="AD71" s="165">
        <v>1.9236464331220269</v>
      </c>
      <c r="AE71" s="165">
        <v>1.9236464331220269</v>
      </c>
      <c r="AF71" s="165">
        <v>1.9236464331220269</v>
      </c>
      <c r="AG71" s="165">
        <v>1.9236464331220269</v>
      </c>
      <c r="AH71" s="165">
        <v>1.9236464331220269</v>
      </c>
      <c r="AI71" s="165">
        <v>1.9236464331220269</v>
      </c>
      <c r="AJ71" s="165">
        <v>1.9236464331220269</v>
      </c>
      <c r="AK71" s="165">
        <v>1.9236464331220269</v>
      </c>
      <c r="AL71" s="165">
        <v>1.9236464331220269</v>
      </c>
      <c r="AM71" s="165">
        <v>1.9236464331220269</v>
      </c>
      <c r="AN71" s="165">
        <v>1.9236464331220269</v>
      </c>
      <c r="AO71" s="165">
        <v>1.9236464331220269</v>
      </c>
      <c r="AP71" s="165">
        <v>1.9236464331220269</v>
      </c>
      <c r="AQ71" s="165">
        <v>1.9236464331220269</v>
      </c>
      <c r="AR71" s="165">
        <v>1.9236464331220269</v>
      </c>
      <c r="AS71" s="149">
        <f t="shared" ref="AS71:BV71" si="54">AR71</f>
        <v>1.9236464331220269</v>
      </c>
      <c r="AT71" s="149">
        <f t="shared" si="54"/>
        <v>1.9236464331220269</v>
      </c>
      <c r="AU71" s="149">
        <f t="shared" si="54"/>
        <v>1.9236464331220269</v>
      </c>
      <c r="AV71" s="149">
        <f t="shared" si="54"/>
        <v>1.9236464331220269</v>
      </c>
      <c r="AW71" s="149">
        <f t="shared" si="54"/>
        <v>1.9236464331220269</v>
      </c>
      <c r="AX71" s="149">
        <f t="shared" si="54"/>
        <v>1.9236464331220269</v>
      </c>
      <c r="AY71" s="149">
        <f t="shared" si="54"/>
        <v>1.9236464331220269</v>
      </c>
      <c r="AZ71" s="149">
        <f t="shared" si="54"/>
        <v>1.9236464331220269</v>
      </c>
      <c r="BA71" s="149">
        <f t="shared" si="54"/>
        <v>1.9236464331220269</v>
      </c>
      <c r="BB71" s="149">
        <f t="shared" si="54"/>
        <v>1.9236464331220269</v>
      </c>
      <c r="BC71" s="149">
        <f t="shared" si="54"/>
        <v>1.9236464331220269</v>
      </c>
      <c r="BD71" s="149">
        <f t="shared" si="54"/>
        <v>1.9236464331220269</v>
      </c>
      <c r="BE71" s="149">
        <f t="shared" si="54"/>
        <v>1.9236464331220269</v>
      </c>
      <c r="BF71" s="149">
        <f t="shared" si="54"/>
        <v>1.9236464331220269</v>
      </c>
      <c r="BG71" s="149">
        <f t="shared" si="54"/>
        <v>1.9236464331220269</v>
      </c>
      <c r="BH71" s="149">
        <f t="shared" si="54"/>
        <v>1.9236464331220269</v>
      </c>
      <c r="BI71" s="149">
        <f t="shared" si="54"/>
        <v>1.9236464331220269</v>
      </c>
      <c r="BJ71" s="149">
        <f t="shared" si="54"/>
        <v>1.9236464331220269</v>
      </c>
      <c r="BK71" s="149">
        <f t="shared" si="54"/>
        <v>1.9236464331220269</v>
      </c>
      <c r="BL71" s="149">
        <f t="shared" si="54"/>
        <v>1.9236464331220269</v>
      </c>
      <c r="BM71" s="149">
        <f t="shared" si="54"/>
        <v>1.9236464331220269</v>
      </c>
      <c r="BN71" s="149">
        <f t="shared" si="54"/>
        <v>1.9236464331220269</v>
      </c>
      <c r="BO71" s="149">
        <f t="shared" si="54"/>
        <v>1.9236464331220269</v>
      </c>
      <c r="BP71" s="149">
        <f t="shared" si="54"/>
        <v>1.9236464331220269</v>
      </c>
      <c r="BQ71" s="149">
        <f t="shared" si="54"/>
        <v>1.9236464331220269</v>
      </c>
      <c r="BR71" s="149">
        <f t="shared" si="54"/>
        <v>1.9236464331220269</v>
      </c>
      <c r="BS71" s="149">
        <f t="shared" si="54"/>
        <v>1.9236464331220269</v>
      </c>
      <c r="BT71" s="149">
        <f t="shared" si="54"/>
        <v>1.9236464331220269</v>
      </c>
      <c r="BU71" s="149">
        <f t="shared" si="54"/>
        <v>1.9236464331220269</v>
      </c>
      <c r="BV71" s="149">
        <f t="shared" si="54"/>
        <v>1.9236464331220269</v>
      </c>
    </row>
    <row r="72" spans="1:74" x14ac:dyDescent="0.25">
      <c r="A72" s="141" t="s">
        <v>188</v>
      </c>
      <c r="B72" s="142" t="s">
        <v>185</v>
      </c>
      <c r="C72" s="163" t="s">
        <v>208</v>
      </c>
      <c r="D72" s="164">
        <v>3.1402534235590034</v>
      </c>
      <c r="E72" s="165">
        <v>3.1437386342138516</v>
      </c>
      <c r="F72" s="165">
        <v>3.1472238448686998</v>
      </c>
      <c r="G72" s="165">
        <v>3.150709055523548</v>
      </c>
      <c r="H72" s="165">
        <v>3.1541942661783962</v>
      </c>
      <c r="I72" s="164">
        <v>3.1576794768332435</v>
      </c>
      <c r="J72" s="164">
        <v>3.1204037042470065</v>
      </c>
      <c r="K72" s="164">
        <v>3.1321149446037881</v>
      </c>
      <c r="L72" s="164">
        <v>3.1350900546239786</v>
      </c>
      <c r="M72" s="164">
        <v>3.1491198801740836</v>
      </c>
      <c r="N72" s="164">
        <v>3.0941218959767625</v>
      </c>
      <c r="O72" s="164">
        <v>3.1737047476854303</v>
      </c>
      <c r="P72" s="164">
        <v>3.2126469391861834</v>
      </c>
      <c r="Q72" s="164">
        <v>3.2329263353711477</v>
      </c>
      <c r="R72" s="164">
        <v>3.2144412599857337</v>
      </c>
      <c r="S72" s="164">
        <v>3.2194583636457068</v>
      </c>
      <c r="T72" s="164">
        <v>3.2229469291507677</v>
      </c>
      <c r="U72" s="164">
        <v>3.2223371008158832</v>
      </c>
      <c r="V72" s="164">
        <v>3.2236559217193155</v>
      </c>
      <c r="W72" s="164">
        <v>3.2224696295495097</v>
      </c>
      <c r="X72" s="164">
        <v>3.227378664697051</v>
      </c>
      <c r="Y72" s="164">
        <v>3.2197199278749782</v>
      </c>
      <c r="Z72" s="164">
        <v>3.21850046760302</v>
      </c>
      <c r="AA72" s="164">
        <v>3.2706829837165587</v>
      </c>
      <c r="AB72" s="164">
        <v>3.140036263626016</v>
      </c>
      <c r="AC72" s="164">
        <v>3.1568155724559741</v>
      </c>
      <c r="AD72" s="164">
        <v>3.1602042460950202</v>
      </c>
      <c r="AE72" s="164">
        <v>3.176878961224753</v>
      </c>
      <c r="AF72" s="165">
        <v>3.176878961224753</v>
      </c>
      <c r="AG72" s="165">
        <v>3.176878961224753</v>
      </c>
      <c r="AH72" s="165">
        <v>3.176878961224753</v>
      </c>
      <c r="AI72" s="165">
        <v>3.176878961224753</v>
      </c>
      <c r="AJ72" s="165">
        <v>3.176878961224753</v>
      </c>
      <c r="AK72" s="165">
        <v>3.176878961224753</v>
      </c>
      <c r="AL72" s="165">
        <v>3.176878961224753</v>
      </c>
      <c r="AM72" s="165">
        <v>3.176878961224753</v>
      </c>
      <c r="AN72" s="165">
        <v>3.176878961224753</v>
      </c>
      <c r="AO72" s="165">
        <v>3.176878961224753</v>
      </c>
      <c r="AP72" s="165">
        <v>3.176878961224753</v>
      </c>
      <c r="AQ72" s="165">
        <v>3.176878961224753</v>
      </c>
      <c r="AR72" s="165">
        <v>3.176878961224753</v>
      </c>
      <c r="AS72" s="149">
        <f t="shared" ref="AS72:BV72" si="55">AR72</f>
        <v>3.176878961224753</v>
      </c>
      <c r="AT72" s="149">
        <f t="shared" si="55"/>
        <v>3.176878961224753</v>
      </c>
      <c r="AU72" s="149">
        <f t="shared" si="55"/>
        <v>3.176878961224753</v>
      </c>
      <c r="AV72" s="149">
        <f t="shared" si="55"/>
        <v>3.176878961224753</v>
      </c>
      <c r="AW72" s="149">
        <f t="shared" si="55"/>
        <v>3.176878961224753</v>
      </c>
      <c r="AX72" s="149">
        <f t="shared" si="55"/>
        <v>3.176878961224753</v>
      </c>
      <c r="AY72" s="149">
        <f t="shared" si="55"/>
        <v>3.176878961224753</v>
      </c>
      <c r="AZ72" s="149">
        <f t="shared" si="55"/>
        <v>3.176878961224753</v>
      </c>
      <c r="BA72" s="149">
        <f t="shared" si="55"/>
        <v>3.176878961224753</v>
      </c>
      <c r="BB72" s="149">
        <f t="shared" si="55"/>
        <v>3.176878961224753</v>
      </c>
      <c r="BC72" s="149">
        <f t="shared" si="55"/>
        <v>3.176878961224753</v>
      </c>
      <c r="BD72" s="149">
        <f t="shared" si="55"/>
        <v>3.176878961224753</v>
      </c>
      <c r="BE72" s="149">
        <f t="shared" si="55"/>
        <v>3.176878961224753</v>
      </c>
      <c r="BF72" s="149">
        <f t="shared" si="55"/>
        <v>3.176878961224753</v>
      </c>
      <c r="BG72" s="149">
        <f t="shared" si="55"/>
        <v>3.176878961224753</v>
      </c>
      <c r="BH72" s="149">
        <f t="shared" si="55"/>
        <v>3.176878961224753</v>
      </c>
      <c r="BI72" s="149">
        <f t="shared" si="55"/>
        <v>3.176878961224753</v>
      </c>
      <c r="BJ72" s="149">
        <f t="shared" si="55"/>
        <v>3.176878961224753</v>
      </c>
      <c r="BK72" s="149">
        <f t="shared" si="55"/>
        <v>3.176878961224753</v>
      </c>
      <c r="BL72" s="149">
        <f t="shared" si="55"/>
        <v>3.176878961224753</v>
      </c>
      <c r="BM72" s="149">
        <f t="shared" si="55"/>
        <v>3.176878961224753</v>
      </c>
      <c r="BN72" s="149">
        <f t="shared" si="55"/>
        <v>3.176878961224753</v>
      </c>
      <c r="BO72" s="149">
        <f t="shared" si="55"/>
        <v>3.176878961224753</v>
      </c>
      <c r="BP72" s="149">
        <f t="shared" si="55"/>
        <v>3.176878961224753</v>
      </c>
      <c r="BQ72" s="149">
        <f t="shared" si="55"/>
        <v>3.176878961224753</v>
      </c>
      <c r="BR72" s="149">
        <f t="shared" si="55"/>
        <v>3.176878961224753</v>
      </c>
      <c r="BS72" s="149">
        <f t="shared" si="55"/>
        <v>3.176878961224753</v>
      </c>
      <c r="BT72" s="149">
        <f t="shared" si="55"/>
        <v>3.176878961224753</v>
      </c>
      <c r="BU72" s="149">
        <f t="shared" si="55"/>
        <v>3.176878961224753</v>
      </c>
      <c r="BV72" s="149">
        <f t="shared" si="55"/>
        <v>3.176878961224753</v>
      </c>
    </row>
    <row r="73" spans="1:74" x14ac:dyDescent="0.25">
      <c r="A73" s="147" t="s">
        <v>200</v>
      </c>
      <c r="B73" s="148" t="s">
        <v>179</v>
      </c>
      <c r="C73" s="151" t="s">
        <v>212</v>
      </c>
      <c r="D73" s="152">
        <v>1.5149999999999999</v>
      </c>
      <c r="E73" s="153">
        <v>1.5149999999999999</v>
      </c>
      <c r="F73" s="153">
        <v>1.5149999999999999</v>
      </c>
      <c r="G73" s="153">
        <v>1.5149999999999999</v>
      </c>
      <c r="H73" s="153">
        <v>1.5149999999999999</v>
      </c>
      <c r="I73" s="153">
        <v>1.5149999999999999</v>
      </c>
      <c r="J73" s="153">
        <v>1.5149999999999999</v>
      </c>
      <c r="K73" s="153">
        <v>1.5149999999999999</v>
      </c>
      <c r="L73" s="153">
        <v>1.5149999999999999</v>
      </c>
      <c r="M73" s="153">
        <v>1.5149999999999999</v>
      </c>
      <c r="N73" s="153">
        <v>1.5149999999999999</v>
      </c>
      <c r="O73" s="153">
        <v>1.5149999999999999</v>
      </c>
      <c r="P73" s="153">
        <v>1.5149999999999999</v>
      </c>
      <c r="Q73" s="153">
        <v>1.5149999999999999</v>
      </c>
      <c r="R73" s="153">
        <v>1.5149999999999999</v>
      </c>
      <c r="S73" s="153">
        <v>1.5149999999999999</v>
      </c>
      <c r="T73" s="153">
        <v>1.5149999999999999</v>
      </c>
      <c r="U73" s="153">
        <v>1.5149999999999999</v>
      </c>
      <c r="V73" s="153">
        <v>1.5149999999999999</v>
      </c>
      <c r="W73" s="153">
        <v>1.5149999999999999</v>
      </c>
      <c r="X73" s="153">
        <v>1.5149999999999999</v>
      </c>
      <c r="Y73" s="153">
        <v>1.5149999999999999</v>
      </c>
      <c r="Z73" s="153">
        <v>1.5149999999999999</v>
      </c>
      <c r="AA73" s="153">
        <v>1.5149999999999999</v>
      </c>
      <c r="AB73" s="153">
        <v>1.5149999999999999</v>
      </c>
      <c r="AC73" s="153">
        <v>1.5149999999999999</v>
      </c>
      <c r="AD73" s="153">
        <v>1.5149999999999999</v>
      </c>
      <c r="AE73" s="153">
        <v>1.5149999999999999</v>
      </c>
      <c r="AF73" s="153">
        <v>1.5149999999999999</v>
      </c>
      <c r="AG73" s="153">
        <v>1.5149999999999999</v>
      </c>
      <c r="AH73" s="153">
        <v>1.5149999999999999</v>
      </c>
      <c r="AI73" s="153">
        <v>1.5149999999999999</v>
      </c>
      <c r="AJ73" s="153">
        <v>1.5149999999999999</v>
      </c>
      <c r="AK73" s="153">
        <v>1.5149999999999999</v>
      </c>
      <c r="AL73" s="153">
        <v>1.5149999999999999</v>
      </c>
      <c r="AM73" s="153">
        <v>1.5149999999999999</v>
      </c>
      <c r="AN73" s="153">
        <v>1.5149999999999999</v>
      </c>
      <c r="AO73" s="153">
        <v>1.5149999999999999</v>
      </c>
      <c r="AP73" s="153">
        <v>1.5149999999999999</v>
      </c>
      <c r="AQ73" s="153">
        <v>1.5149999999999999</v>
      </c>
      <c r="AR73" s="153">
        <v>1.5149999999999999</v>
      </c>
      <c r="AS73" s="149">
        <f t="shared" ref="AS73:BV73" si="56">AR73</f>
        <v>1.5149999999999999</v>
      </c>
      <c r="AT73" s="149">
        <f t="shared" si="56"/>
        <v>1.5149999999999999</v>
      </c>
      <c r="AU73" s="149">
        <f t="shared" si="56"/>
        <v>1.5149999999999999</v>
      </c>
      <c r="AV73" s="149">
        <f t="shared" si="56"/>
        <v>1.5149999999999999</v>
      </c>
      <c r="AW73" s="149">
        <f t="shared" si="56"/>
        <v>1.5149999999999999</v>
      </c>
      <c r="AX73" s="149">
        <f t="shared" si="56"/>
        <v>1.5149999999999999</v>
      </c>
      <c r="AY73" s="149">
        <f t="shared" si="56"/>
        <v>1.5149999999999999</v>
      </c>
      <c r="AZ73" s="149">
        <f t="shared" si="56"/>
        <v>1.5149999999999999</v>
      </c>
      <c r="BA73" s="149">
        <f t="shared" si="56"/>
        <v>1.5149999999999999</v>
      </c>
      <c r="BB73" s="149">
        <f t="shared" si="56"/>
        <v>1.5149999999999999</v>
      </c>
      <c r="BC73" s="149">
        <f t="shared" si="56"/>
        <v>1.5149999999999999</v>
      </c>
      <c r="BD73" s="149">
        <f t="shared" si="56"/>
        <v>1.5149999999999999</v>
      </c>
      <c r="BE73" s="149">
        <f t="shared" si="56"/>
        <v>1.5149999999999999</v>
      </c>
      <c r="BF73" s="149">
        <f t="shared" si="56"/>
        <v>1.5149999999999999</v>
      </c>
      <c r="BG73" s="149">
        <f t="shared" si="56"/>
        <v>1.5149999999999999</v>
      </c>
      <c r="BH73" s="149">
        <f t="shared" si="56"/>
        <v>1.5149999999999999</v>
      </c>
      <c r="BI73" s="149">
        <f t="shared" si="56"/>
        <v>1.5149999999999999</v>
      </c>
      <c r="BJ73" s="149">
        <f t="shared" si="56"/>
        <v>1.5149999999999999</v>
      </c>
      <c r="BK73" s="149">
        <f t="shared" si="56"/>
        <v>1.5149999999999999</v>
      </c>
      <c r="BL73" s="149">
        <f t="shared" si="56"/>
        <v>1.5149999999999999</v>
      </c>
      <c r="BM73" s="149">
        <f t="shared" si="56"/>
        <v>1.5149999999999999</v>
      </c>
      <c r="BN73" s="149">
        <f t="shared" si="56"/>
        <v>1.5149999999999999</v>
      </c>
      <c r="BO73" s="149">
        <f t="shared" si="56"/>
        <v>1.5149999999999999</v>
      </c>
      <c r="BP73" s="149">
        <f t="shared" si="56"/>
        <v>1.5149999999999999</v>
      </c>
      <c r="BQ73" s="149">
        <f t="shared" si="56"/>
        <v>1.5149999999999999</v>
      </c>
      <c r="BR73" s="149">
        <f t="shared" si="56"/>
        <v>1.5149999999999999</v>
      </c>
      <c r="BS73" s="149">
        <f t="shared" si="56"/>
        <v>1.5149999999999999</v>
      </c>
      <c r="BT73" s="149">
        <f t="shared" si="56"/>
        <v>1.5149999999999999</v>
      </c>
      <c r="BU73" s="149">
        <f t="shared" si="56"/>
        <v>1.5149999999999999</v>
      </c>
      <c r="BV73" s="149">
        <f t="shared" si="56"/>
        <v>1.5149999999999999</v>
      </c>
    </row>
    <row r="74" spans="1:74" x14ac:dyDescent="0.25">
      <c r="A74" s="141" t="s">
        <v>194</v>
      </c>
      <c r="B74" s="148" t="s">
        <v>190</v>
      </c>
      <c r="C74" s="163" t="s">
        <v>208</v>
      </c>
      <c r="D74" s="164">
        <v>1.8094491006981506</v>
      </c>
      <c r="E74" s="165">
        <v>1.8170652073168834</v>
      </c>
      <c r="F74" s="165">
        <v>1.8246813139356162</v>
      </c>
      <c r="G74" s="165">
        <v>1.832297420554349</v>
      </c>
      <c r="H74" s="165">
        <v>1.8399135271730818</v>
      </c>
      <c r="I74" s="164">
        <v>1.8475296337918148</v>
      </c>
      <c r="J74" s="164">
        <v>1.8059594115383604</v>
      </c>
      <c r="K74" s="164">
        <v>1.7840159855265627</v>
      </c>
      <c r="L74" s="164">
        <v>1.6814452104000452</v>
      </c>
      <c r="M74" s="164">
        <v>1.806534775631629</v>
      </c>
      <c r="N74" s="164">
        <v>1.687151236651262</v>
      </c>
      <c r="O74" s="164">
        <v>1.6489191618513557</v>
      </c>
      <c r="P74" s="164">
        <v>1.6631729764846441</v>
      </c>
      <c r="Q74" s="164">
        <v>1.6972370960472898</v>
      </c>
      <c r="R74" s="164">
        <v>1.7049834593259741</v>
      </c>
      <c r="S74" s="164">
        <v>1.7167249085470579</v>
      </c>
      <c r="T74" s="164">
        <v>1.7524360079447441</v>
      </c>
      <c r="U74" s="164">
        <v>1.7609636412246565</v>
      </c>
      <c r="V74" s="164">
        <v>1.7030148656367128</v>
      </c>
      <c r="W74" s="164">
        <v>1.7225359244387766</v>
      </c>
      <c r="X74" s="164">
        <v>1.8425807362701769</v>
      </c>
      <c r="Y74" s="164">
        <v>1.8370612962136779</v>
      </c>
      <c r="Z74" s="164">
        <v>1.7374945295387592</v>
      </c>
      <c r="AA74" s="164">
        <v>1.7616159945525847</v>
      </c>
      <c r="AB74" s="164">
        <v>1.7516108075071695</v>
      </c>
      <c r="AC74" s="164">
        <v>1.7742360750241712</v>
      </c>
      <c r="AD74" s="164">
        <v>1.8011747025306337</v>
      </c>
      <c r="AE74" s="164">
        <v>1.8244332082893515</v>
      </c>
      <c r="AF74" s="165">
        <v>1.8244332082893515</v>
      </c>
      <c r="AG74" s="165">
        <v>1.8244332082893515</v>
      </c>
      <c r="AH74" s="165">
        <v>1.8244332082893515</v>
      </c>
      <c r="AI74" s="165">
        <v>1.8244332082893515</v>
      </c>
      <c r="AJ74" s="165">
        <v>1.8244332082893515</v>
      </c>
      <c r="AK74" s="165">
        <v>1.8244332082893515</v>
      </c>
      <c r="AL74" s="165">
        <v>1.8244332082893515</v>
      </c>
      <c r="AM74" s="165">
        <v>1.8244332082893515</v>
      </c>
      <c r="AN74" s="165">
        <v>1.8244332082893515</v>
      </c>
      <c r="AO74" s="165">
        <v>1.8244332082893515</v>
      </c>
      <c r="AP74" s="165">
        <v>1.8244332082893515</v>
      </c>
      <c r="AQ74" s="165">
        <v>1.8244332082893515</v>
      </c>
      <c r="AR74" s="165">
        <v>1.8244332082893515</v>
      </c>
      <c r="AS74" s="149">
        <f t="shared" ref="AS74:BV74" si="57">AR74</f>
        <v>1.8244332082893515</v>
      </c>
      <c r="AT74" s="149">
        <f t="shared" si="57"/>
        <v>1.8244332082893515</v>
      </c>
      <c r="AU74" s="149">
        <f t="shared" si="57"/>
        <v>1.8244332082893515</v>
      </c>
      <c r="AV74" s="149">
        <f t="shared" si="57"/>
        <v>1.8244332082893515</v>
      </c>
      <c r="AW74" s="149">
        <f t="shared" si="57"/>
        <v>1.8244332082893515</v>
      </c>
      <c r="AX74" s="149">
        <f t="shared" si="57"/>
        <v>1.8244332082893515</v>
      </c>
      <c r="AY74" s="149">
        <f t="shared" si="57"/>
        <v>1.8244332082893515</v>
      </c>
      <c r="AZ74" s="149">
        <f t="shared" si="57"/>
        <v>1.8244332082893515</v>
      </c>
      <c r="BA74" s="149">
        <f t="shared" si="57"/>
        <v>1.8244332082893515</v>
      </c>
      <c r="BB74" s="149">
        <f t="shared" si="57"/>
        <v>1.8244332082893515</v>
      </c>
      <c r="BC74" s="149">
        <f t="shared" si="57"/>
        <v>1.8244332082893515</v>
      </c>
      <c r="BD74" s="149">
        <f t="shared" si="57"/>
        <v>1.8244332082893515</v>
      </c>
      <c r="BE74" s="149">
        <f t="shared" si="57"/>
        <v>1.8244332082893515</v>
      </c>
      <c r="BF74" s="149">
        <f t="shared" si="57"/>
        <v>1.8244332082893515</v>
      </c>
      <c r="BG74" s="149">
        <f t="shared" si="57"/>
        <v>1.8244332082893515</v>
      </c>
      <c r="BH74" s="149">
        <f t="shared" si="57"/>
        <v>1.8244332082893515</v>
      </c>
      <c r="BI74" s="149">
        <f t="shared" si="57"/>
        <v>1.8244332082893515</v>
      </c>
      <c r="BJ74" s="149">
        <f t="shared" si="57"/>
        <v>1.8244332082893515</v>
      </c>
      <c r="BK74" s="149">
        <f t="shared" si="57"/>
        <v>1.8244332082893515</v>
      </c>
      <c r="BL74" s="149">
        <f t="shared" si="57"/>
        <v>1.8244332082893515</v>
      </c>
      <c r="BM74" s="149">
        <f t="shared" si="57"/>
        <v>1.8244332082893515</v>
      </c>
      <c r="BN74" s="149">
        <f t="shared" si="57"/>
        <v>1.8244332082893515</v>
      </c>
      <c r="BO74" s="149">
        <f t="shared" si="57"/>
        <v>1.8244332082893515</v>
      </c>
      <c r="BP74" s="149">
        <f t="shared" si="57"/>
        <v>1.8244332082893515</v>
      </c>
      <c r="BQ74" s="149">
        <f t="shared" si="57"/>
        <v>1.8244332082893515</v>
      </c>
      <c r="BR74" s="149">
        <f t="shared" si="57"/>
        <v>1.8244332082893515</v>
      </c>
      <c r="BS74" s="149">
        <f t="shared" si="57"/>
        <v>1.8244332082893515</v>
      </c>
      <c r="BT74" s="149">
        <f t="shared" si="57"/>
        <v>1.8244332082893515</v>
      </c>
      <c r="BU74" s="149">
        <f t="shared" si="57"/>
        <v>1.8244332082893515</v>
      </c>
      <c r="BV74" s="149">
        <f t="shared" si="57"/>
        <v>1.8244332082893515</v>
      </c>
    </row>
    <row r="75" spans="1:74" x14ac:dyDescent="0.25">
      <c r="A75" s="147" t="s">
        <v>201</v>
      </c>
      <c r="B75" s="151" t="s">
        <v>185</v>
      </c>
      <c r="C75" s="151" t="s">
        <v>217</v>
      </c>
      <c r="D75" s="152">
        <v>1.191404011461318</v>
      </c>
      <c r="E75" s="153">
        <v>1.191404011461318</v>
      </c>
      <c r="F75" s="153">
        <v>1.191404011461318</v>
      </c>
      <c r="G75" s="153">
        <v>1.191404011461318</v>
      </c>
      <c r="H75" s="153">
        <v>1.191404011461318</v>
      </c>
      <c r="I75" s="153">
        <v>1.191404011461318</v>
      </c>
      <c r="J75" s="153">
        <v>1.191404011461318</v>
      </c>
      <c r="K75" s="153">
        <v>1.191404011461318</v>
      </c>
      <c r="L75" s="153">
        <v>1.191404011461318</v>
      </c>
      <c r="M75" s="153">
        <v>1.191404011461318</v>
      </c>
      <c r="N75" s="153">
        <v>1.191404011461318</v>
      </c>
      <c r="O75" s="153">
        <v>1.191404011461318</v>
      </c>
      <c r="P75" s="153">
        <v>1.191404011461318</v>
      </c>
      <c r="Q75" s="153">
        <v>1.191404011461318</v>
      </c>
      <c r="R75" s="153">
        <v>1.191404011461318</v>
      </c>
      <c r="S75" s="153">
        <v>1.191404011461318</v>
      </c>
      <c r="T75" s="153">
        <v>1.191404011461318</v>
      </c>
      <c r="U75" s="153">
        <v>1.191404011461318</v>
      </c>
      <c r="V75" s="153">
        <v>1.191404011461318</v>
      </c>
      <c r="W75" s="153">
        <v>1.191404011461318</v>
      </c>
      <c r="X75" s="153">
        <v>1.191404011461318</v>
      </c>
      <c r="Y75" s="153">
        <v>1.191404011461318</v>
      </c>
      <c r="Z75" s="153">
        <v>1.191404011461318</v>
      </c>
      <c r="AA75" s="153">
        <v>1.191404011461318</v>
      </c>
      <c r="AB75" s="153">
        <v>1.191404011461318</v>
      </c>
      <c r="AC75" s="153">
        <v>1.191404011461318</v>
      </c>
      <c r="AD75" s="153">
        <v>1.191404011461318</v>
      </c>
      <c r="AE75" s="153">
        <v>1.191404011461318</v>
      </c>
      <c r="AF75" s="153">
        <v>1.191404011461318</v>
      </c>
      <c r="AG75" s="153">
        <v>1.191404011461318</v>
      </c>
      <c r="AH75" s="153">
        <v>1.191404011461318</v>
      </c>
      <c r="AI75" s="153">
        <v>1.191404011461318</v>
      </c>
      <c r="AJ75" s="153">
        <v>1.191404011461318</v>
      </c>
      <c r="AK75" s="153">
        <v>1.191404011461318</v>
      </c>
      <c r="AL75" s="153">
        <v>1.191404011461318</v>
      </c>
      <c r="AM75" s="153">
        <v>1.191404011461318</v>
      </c>
      <c r="AN75" s="153">
        <v>1.191404011461318</v>
      </c>
      <c r="AO75" s="153">
        <v>1.191404011461318</v>
      </c>
      <c r="AP75" s="153">
        <v>1.191404011461318</v>
      </c>
      <c r="AQ75" s="153">
        <v>1.191404011461318</v>
      </c>
      <c r="AR75" s="153">
        <v>1.191404011461318</v>
      </c>
      <c r="AS75" s="149">
        <f t="shared" ref="AS75:BV76" si="58">AR75</f>
        <v>1.191404011461318</v>
      </c>
      <c r="AT75" s="149">
        <f t="shared" si="58"/>
        <v>1.191404011461318</v>
      </c>
      <c r="AU75" s="149">
        <f t="shared" si="58"/>
        <v>1.191404011461318</v>
      </c>
      <c r="AV75" s="149">
        <f t="shared" si="58"/>
        <v>1.191404011461318</v>
      </c>
      <c r="AW75" s="149">
        <f t="shared" si="58"/>
        <v>1.191404011461318</v>
      </c>
      <c r="AX75" s="149">
        <f t="shared" si="58"/>
        <v>1.191404011461318</v>
      </c>
      <c r="AY75" s="149">
        <f t="shared" si="58"/>
        <v>1.191404011461318</v>
      </c>
      <c r="AZ75" s="149">
        <f t="shared" si="58"/>
        <v>1.191404011461318</v>
      </c>
      <c r="BA75" s="149">
        <f t="shared" si="58"/>
        <v>1.191404011461318</v>
      </c>
      <c r="BB75" s="149">
        <f t="shared" si="58"/>
        <v>1.191404011461318</v>
      </c>
      <c r="BC75" s="149">
        <f t="shared" si="58"/>
        <v>1.191404011461318</v>
      </c>
      <c r="BD75" s="149">
        <f t="shared" si="58"/>
        <v>1.191404011461318</v>
      </c>
      <c r="BE75" s="149">
        <f t="shared" si="58"/>
        <v>1.191404011461318</v>
      </c>
      <c r="BF75" s="149">
        <f t="shared" si="58"/>
        <v>1.191404011461318</v>
      </c>
      <c r="BG75" s="149">
        <f t="shared" si="58"/>
        <v>1.191404011461318</v>
      </c>
      <c r="BH75" s="149">
        <f t="shared" si="58"/>
        <v>1.191404011461318</v>
      </c>
      <c r="BI75" s="149">
        <f t="shared" si="58"/>
        <v>1.191404011461318</v>
      </c>
      <c r="BJ75" s="149">
        <f t="shared" si="58"/>
        <v>1.191404011461318</v>
      </c>
      <c r="BK75" s="149">
        <f t="shared" si="58"/>
        <v>1.191404011461318</v>
      </c>
      <c r="BL75" s="149">
        <f t="shared" si="58"/>
        <v>1.191404011461318</v>
      </c>
      <c r="BM75" s="149">
        <f t="shared" si="58"/>
        <v>1.191404011461318</v>
      </c>
      <c r="BN75" s="149">
        <f t="shared" si="58"/>
        <v>1.191404011461318</v>
      </c>
      <c r="BO75" s="149">
        <f t="shared" si="58"/>
        <v>1.191404011461318</v>
      </c>
      <c r="BP75" s="149">
        <f t="shared" si="58"/>
        <v>1.191404011461318</v>
      </c>
      <c r="BQ75" s="149">
        <f t="shared" si="58"/>
        <v>1.191404011461318</v>
      </c>
      <c r="BR75" s="149">
        <f t="shared" si="58"/>
        <v>1.191404011461318</v>
      </c>
      <c r="BS75" s="149">
        <f t="shared" si="58"/>
        <v>1.191404011461318</v>
      </c>
      <c r="BT75" s="149">
        <f t="shared" si="58"/>
        <v>1.191404011461318</v>
      </c>
      <c r="BU75" s="149">
        <f t="shared" si="58"/>
        <v>1.191404011461318</v>
      </c>
      <c r="BV75" s="149">
        <f t="shared" si="58"/>
        <v>1.191404011461318</v>
      </c>
    </row>
    <row r="76" spans="1:74" x14ac:dyDescent="0.25">
      <c r="A76" s="147" t="s">
        <v>202</v>
      </c>
      <c r="B76" s="148" t="s">
        <v>34</v>
      </c>
      <c r="D76" s="157"/>
      <c r="E76" s="157"/>
      <c r="F76" s="157"/>
      <c r="G76" s="157"/>
      <c r="H76" s="157"/>
      <c r="I76" s="157"/>
      <c r="J76" s="157"/>
      <c r="K76" s="157"/>
      <c r="L76" s="157"/>
      <c r="M76" s="157"/>
      <c r="N76" s="157"/>
      <c r="O76" s="157"/>
      <c r="P76" s="157"/>
      <c r="Q76" s="157"/>
      <c r="R76" s="157"/>
      <c r="S76" s="157"/>
      <c r="T76" s="157"/>
      <c r="U76" s="157"/>
      <c r="V76" s="157"/>
      <c r="W76" s="157"/>
      <c r="X76" s="157"/>
      <c r="Y76" s="157"/>
      <c r="Z76" s="157"/>
      <c r="AA76" s="157"/>
      <c r="AB76" s="157"/>
      <c r="AC76" s="157"/>
      <c r="AD76" s="157"/>
      <c r="AE76" s="157"/>
      <c r="AF76" s="157"/>
      <c r="AG76" s="157"/>
      <c r="AH76" s="157"/>
      <c r="AI76" s="157"/>
      <c r="AJ76" s="157"/>
      <c r="AK76" s="157"/>
      <c r="AL76" s="157"/>
      <c r="AM76" s="157"/>
      <c r="AN76" s="157"/>
      <c r="AO76" s="157"/>
      <c r="AP76" s="157"/>
      <c r="AQ76" s="157"/>
      <c r="AR76" s="157"/>
      <c r="AS76" s="149">
        <f t="shared" si="58"/>
        <v>0</v>
      </c>
      <c r="AT76" s="149">
        <f t="shared" si="58"/>
        <v>0</v>
      </c>
      <c r="AU76" s="149">
        <f t="shared" si="58"/>
        <v>0</v>
      </c>
      <c r="AV76" s="149">
        <f t="shared" si="58"/>
        <v>0</v>
      </c>
      <c r="AW76" s="149">
        <f t="shared" si="58"/>
        <v>0</v>
      </c>
      <c r="AX76" s="149">
        <f t="shared" si="58"/>
        <v>0</v>
      </c>
      <c r="AY76" s="149">
        <f t="shared" si="58"/>
        <v>0</v>
      </c>
      <c r="AZ76" s="149">
        <f t="shared" si="58"/>
        <v>0</v>
      </c>
      <c r="BA76" s="149">
        <f t="shared" si="58"/>
        <v>0</v>
      </c>
      <c r="BB76" s="149">
        <f t="shared" si="58"/>
        <v>0</v>
      </c>
      <c r="BC76" s="149">
        <f t="shared" si="58"/>
        <v>0</v>
      </c>
      <c r="BD76" s="149">
        <f t="shared" si="58"/>
        <v>0</v>
      </c>
      <c r="BE76" s="149">
        <f t="shared" si="58"/>
        <v>0</v>
      </c>
      <c r="BF76" s="149">
        <f t="shared" si="58"/>
        <v>0</v>
      </c>
      <c r="BG76" s="149">
        <f t="shared" si="58"/>
        <v>0</v>
      </c>
      <c r="BH76" s="149">
        <f t="shared" si="58"/>
        <v>0</v>
      </c>
      <c r="BI76" s="149">
        <f t="shared" si="58"/>
        <v>0</v>
      </c>
      <c r="BJ76" s="149">
        <f t="shared" si="58"/>
        <v>0</v>
      </c>
      <c r="BK76" s="149">
        <f t="shared" si="58"/>
        <v>0</v>
      </c>
      <c r="BL76" s="149">
        <f t="shared" si="58"/>
        <v>0</v>
      </c>
      <c r="BM76" s="149">
        <f t="shared" si="58"/>
        <v>0</v>
      </c>
      <c r="BN76" s="149">
        <f t="shared" si="58"/>
        <v>0</v>
      </c>
      <c r="BO76" s="149">
        <f t="shared" si="58"/>
        <v>0</v>
      </c>
      <c r="BP76" s="149">
        <f t="shared" si="58"/>
        <v>0</v>
      </c>
      <c r="BQ76" s="149">
        <f t="shared" si="58"/>
        <v>0</v>
      </c>
      <c r="BR76" s="149">
        <f t="shared" si="58"/>
        <v>0</v>
      </c>
      <c r="BS76" s="149">
        <f t="shared" si="58"/>
        <v>0</v>
      </c>
      <c r="BT76" s="149">
        <f t="shared" si="58"/>
        <v>0</v>
      </c>
      <c r="BU76" s="149">
        <f t="shared" si="58"/>
        <v>0</v>
      </c>
      <c r="BV76" s="149">
        <f t="shared" si="58"/>
        <v>0</v>
      </c>
    </row>
    <row r="77" spans="1:74" x14ac:dyDescent="0.25">
      <c r="A77" s="147" t="s">
        <v>204</v>
      </c>
      <c r="B77" s="148" t="s">
        <v>190</v>
      </c>
      <c r="C77" s="162" t="s">
        <v>194</v>
      </c>
      <c r="D77" s="156">
        <v>1.8094491006981506</v>
      </c>
      <c r="E77" s="156">
        <v>1.8170652073168834</v>
      </c>
      <c r="F77" s="156">
        <v>1.8246813139356162</v>
      </c>
      <c r="G77" s="156">
        <v>1.832297420554349</v>
      </c>
      <c r="H77" s="156">
        <v>1.8399135271730818</v>
      </c>
      <c r="I77" s="156">
        <v>1.8475296337918148</v>
      </c>
      <c r="J77" s="156">
        <v>1.8059594115383604</v>
      </c>
      <c r="K77" s="156">
        <v>1.7840159855265627</v>
      </c>
      <c r="L77" s="156">
        <v>1.6814452104000452</v>
      </c>
      <c r="M77" s="156">
        <v>1.806534775631629</v>
      </c>
      <c r="N77" s="156">
        <v>1.687151236651262</v>
      </c>
      <c r="O77" s="156">
        <v>1.6489191618513557</v>
      </c>
      <c r="P77" s="156">
        <v>1.6631729764846441</v>
      </c>
      <c r="Q77" s="156">
        <v>1.6972370960472898</v>
      </c>
      <c r="R77" s="156">
        <v>1.7049834593259741</v>
      </c>
      <c r="S77" s="156">
        <v>1.7167249085470579</v>
      </c>
      <c r="T77" s="156">
        <v>1.7524360079447441</v>
      </c>
      <c r="U77" s="156">
        <v>1.7609636412246565</v>
      </c>
      <c r="V77" s="156">
        <v>1.7030148656367128</v>
      </c>
      <c r="W77" s="156">
        <v>1.7225359244387766</v>
      </c>
      <c r="X77" s="156">
        <v>1.8425807362701769</v>
      </c>
      <c r="Y77" s="156">
        <v>1.8370612962136779</v>
      </c>
      <c r="Z77" s="156">
        <v>1.7374945295387592</v>
      </c>
      <c r="AA77" s="156">
        <v>1.7616159945525847</v>
      </c>
      <c r="AB77" s="156">
        <v>1.7516108075071695</v>
      </c>
      <c r="AC77" s="156">
        <v>1.7742360750241712</v>
      </c>
      <c r="AD77" s="156">
        <v>1.8011747025306337</v>
      </c>
      <c r="AE77" s="156">
        <v>1.8244332082893515</v>
      </c>
      <c r="AF77" s="156">
        <v>1.8244332082893515</v>
      </c>
      <c r="AG77" s="156">
        <v>1.8244332082893515</v>
      </c>
      <c r="AH77" s="156">
        <v>1.8244332082893515</v>
      </c>
      <c r="AI77" s="156">
        <v>1.8244332082893515</v>
      </c>
      <c r="AJ77" s="156">
        <v>1.8244332082893515</v>
      </c>
      <c r="AK77" s="156">
        <v>1.8244332082893515</v>
      </c>
      <c r="AL77" s="156">
        <v>1.8244332082893515</v>
      </c>
      <c r="AM77" s="156">
        <v>1.8244332082893515</v>
      </c>
      <c r="AN77" s="156">
        <v>1.8244332082893515</v>
      </c>
      <c r="AO77" s="156">
        <v>1.8244332082893515</v>
      </c>
      <c r="AP77" s="156">
        <v>1.8244332082893515</v>
      </c>
      <c r="AQ77" s="156">
        <v>1.8244332082893515</v>
      </c>
      <c r="AR77" s="156">
        <v>1.8244332082893515</v>
      </c>
      <c r="AS77" s="149">
        <f>AR77</f>
        <v>1.8244332082893515</v>
      </c>
      <c r="AT77" s="149">
        <f t="shared" ref="AT77:BV77" si="59">AS77</f>
        <v>1.8244332082893515</v>
      </c>
      <c r="AU77" s="149">
        <f t="shared" si="59"/>
        <v>1.8244332082893515</v>
      </c>
      <c r="AV77" s="149">
        <f t="shared" si="59"/>
        <v>1.8244332082893515</v>
      </c>
      <c r="AW77" s="149">
        <f t="shared" si="59"/>
        <v>1.8244332082893515</v>
      </c>
      <c r="AX77" s="149">
        <f t="shared" si="59"/>
        <v>1.8244332082893515</v>
      </c>
      <c r="AY77" s="149">
        <f t="shared" si="59"/>
        <v>1.8244332082893515</v>
      </c>
      <c r="AZ77" s="149">
        <f t="shared" si="59"/>
        <v>1.8244332082893515</v>
      </c>
      <c r="BA77" s="149">
        <f t="shared" si="59"/>
        <v>1.8244332082893515</v>
      </c>
      <c r="BB77" s="149">
        <f t="shared" si="59"/>
        <v>1.8244332082893515</v>
      </c>
      <c r="BC77" s="149">
        <f t="shared" si="59"/>
        <v>1.8244332082893515</v>
      </c>
      <c r="BD77" s="149">
        <f t="shared" si="59"/>
        <v>1.8244332082893515</v>
      </c>
      <c r="BE77" s="149">
        <f t="shared" si="59"/>
        <v>1.8244332082893515</v>
      </c>
      <c r="BF77" s="149">
        <f t="shared" si="59"/>
        <v>1.8244332082893515</v>
      </c>
      <c r="BG77" s="149">
        <f t="shared" si="59"/>
        <v>1.8244332082893515</v>
      </c>
      <c r="BH77" s="149">
        <f t="shared" si="59"/>
        <v>1.8244332082893515</v>
      </c>
      <c r="BI77" s="149">
        <f t="shared" si="59"/>
        <v>1.8244332082893515</v>
      </c>
      <c r="BJ77" s="149">
        <f t="shared" si="59"/>
        <v>1.8244332082893515</v>
      </c>
      <c r="BK77" s="149">
        <f t="shared" si="59"/>
        <v>1.8244332082893515</v>
      </c>
      <c r="BL77" s="149">
        <f t="shared" si="59"/>
        <v>1.8244332082893515</v>
      </c>
      <c r="BM77" s="149">
        <f t="shared" si="59"/>
        <v>1.8244332082893515</v>
      </c>
      <c r="BN77" s="149">
        <f t="shared" si="59"/>
        <v>1.8244332082893515</v>
      </c>
      <c r="BO77" s="149">
        <f t="shared" si="59"/>
        <v>1.8244332082893515</v>
      </c>
      <c r="BP77" s="149">
        <f t="shared" si="59"/>
        <v>1.8244332082893515</v>
      </c>
      <c r="BQ77" s="149">
        <f t="shared" si="59"/>
        <v>1.8244332082893515</v>
      </c>
      <c r="BR77" s="149">
        <f t="shared" si="59"/>
        <v>1.8244332082893515</v>
      </c>
      <c r="BS77" s="149">
        <f t="shared" si="59"/>
        <v>1.8244332082893515</v>
      </c>
      <c r="BT77" s="149">
        <f t="shared" si="59"/>
        <v>1.8244332082893515</v>
      </c>
      <c r="BU77" s="149">
        <f t="shared" si="59"/>
        <v>1.8244332082893515</v>
      </c>
      <c r="BV77" s="149">
        <f t="shared" si="59"/>
        <v>1.8244332082893515</v>
      </c>
    </row>
    <row r="78" spans="1:74" x14ac:dyDescent="0.25">
      <c r="A78" s="147" t="s">
        <v>205</v>
      </c>
      <c r="B78" s="148" t="s">
        <v>206</v>
      </c>
      <c r="D78" s="157"/>
      <c r="E78" s="157"/>
      <c r="F78" s="157"/>
      <c r="G78" s="157"/>
      <c r="H78" s="157"/>
      <c r="I78" s="157"/>
      <c r="J78" s="157"/>
      <c r="K78" s="157"/>
      <c r="L78" s="157"/>
      <c r="M78" s="157"/>
      <c r="N78" s="157"/>
      <c r="O78" s="157"/>
      <c r="P78" s="157"/>
      <c r="Q78" s="157"/>
      <c r="R78" s="157"/>
      <c r="S78" s="157"/>
      <c r="T78" s="157"/>
      <c r="U78" s="157"/>
      <c r="V78" s="157"/>
      <c r="W78" s="157"/>
      <c r="X78" s="157"/>
      <c r="Y78" s="157"/>
      <c r="Z78" s="157"/>
      <c r="AA78" s="157"/>
      <c r="AB78" s="157"/>
      <c r="AC78" s="157"/>
      <c r="AD78" s="157"/>
      <c r="AE78" s="157"/>
      <c r="AF78" s="157"/>
      <c r="AG78" s="157"/>
      <c r="AH78" s="157"/>
      <c r="AI78" s="157"/>
      <c r="AJ78" s="157"/>
      <c r="AK78" s="157"/>
      <c r="AL78" s="157"/>
      <c r="AM78" s="157"/>
      <c r="AN78" s="157"/>
      <c r="AO78" s="157"/>
      <c r="AP78" s="157"/>
      <c r="AQ78" s="157"/>
      <c r="AR78" s="157"/>
      <c r="AS78" s="149">
        <f t="shared" ref="AS78:BV78" si="60">AR78</f>
        <v>0</v>
      </c>
      <c r="AT78" s="149">
        <f t="shared" si="60"/>
        <v>0</v>
      </c>
      <c r="AU78" s="149">
        <f t="shared" si="60"/>
        <v>0</v>
      </c>
      <c r="AV78" s="149">
        <f t="shared" si="60"/>
        <v>0</v>
      </c>
      <c r="AW78" s="149">
        <f t="shared" si="60"/>
        <v>0</v>
      </c>
      <c r="AX78" s="149">
        <f t="shared" si="60"/>
        <v>0</v>
      </c>
      <c r="AY78" s="149">
        <f t="shared" si="60"/>
        <v>0</v>
      </c>
      <c r="AZ78" s="149">
        <f t="shared" si="60"/>
        <v>0</v>
      </c>
      <c r="BA78" s="149">
        <f t="shared" si="60"/>
        <v>0</v>
      </c>
      <c r="BB78" s="149">
        <f t="shared" si="60"/>
        <v>0</v>
      </c>
      <c r="BC78" s="149">
        <f t="shared" si="60"/>
        <v>0</v>
      </c>
      <c r="BD78" s="149">
        <f t="shared" si="60"/>
        <v>0</v>
      </c>
      <c r="BE78" s="149">
        <f t="shared" si="60"/>
        <v>0</v>
      </c>
      <c r="BF78" s="149">
        <f t="shared" si="60"/>
        <v>0</v>
      </c>
      <c r="BG78" s="149">
        <f t="shared" si="60"/>
        <v>0</v>
      </c>
      <c r="BH78" s="149">
        <f t="shared" si="60"/>
        <v>0</v>
      </c>
      <c r="BI78" s="149">
        <f t="shared" si="60"/>
        <v>0</v>
      </c>
      <c r="BJ78" s="149">
        <f t="shared" si="60"/>
        <v>0</v>
      </c>
      <c r="BK78" s="149">
        <f t="shared" si="60"/>
        <v>0</v>
      </c>
      <c r="BL78" s="149">
        <f t="shared" si="60"/>
        <v>0</v>
      </c>
      <c r="BM78" s="149">
        <f t="shared" si="60"/>
        <v>0</v>
      </c>
      <c r="BN78" s="149">
        <f t="shared" si="60"/>
        <v>0</v>
      </c>
      <c r="BO78" s="149">
        <f t="shared" si="60"/>
        <v>0</v>
      </c>
      <c r="BP78" s="149">
        <f t="shared" si="60"/>
        <v>0</v>
      </c>
      <c r="BQ78" s="149">
        <f t="shared" si="60"/>
        <v>0</v>
      </c>
      <c r="BR78" s="149">
        <f t="shared" si="60"/>
        <v>0</v>
      </c>
      <c r="BS78" s="149">
        <f t="shared" si="60"/>
        <v>0</v>
      </c>
      <c r="BT78" s="149">
        <f t="shared" si="60"/>
        <v>0</v>
      </c>
      <c r="BU78" s="149">
        <f t="shared" si="60"/>
        <v>0</v>
      </c>
      <c r="BV78" s="149">
        <f t="shared" si="60"/>
        <v>0</v>
      </c>
    </row>
    <row r="79" spans="1:74" x14ac:dyDescent="0.25">
      <c r="A79" s="147" t="s">
        <v>207</v>
      </c>
      <c r="B79" s="151" t="s">
        <v>34</v>
      </c>
      <c r="C79" s="151" t="s">
        <v>218</v>
      </c>
      <c r="D79" s="152">
        <v>7.8799999999999995E-2</v>
      </c>
      <c r="E79" s="152">
        <v>7.8799999999999995E-2</v>
      </c>
      <c r="F79" s="152">
        <v>7.8799999999999995E-2</v>
      </c>
      <c r="G79" s="152">
        <v>7.8799999999999995E-2</v>
      </c>
      <c r="H79" s="152">
        <v>7.8799999999999995E-2</v>
      </c>
      <c r="I79" s="152">
        <v>7.7600000000000002E-2</v>
      </c>
      <c r="J79" s="152">
        <v>7.7600000000000002E-2</v>
      </c>
      <c r="K79" s="152">
        <v>7.7600000000000002E-2</v>
      </c>
      <c r="L79" s="152">
        <v>7.7600000000000002E-2</v>
      </c>
      <c r="M79" s="152">
        <v>7.7600000000000002E-2</v>
      </c>
      <c r="N79" s="152">
        <v>7.7600000000000002E-2</v>
      </c>
      <c r="O79" s="152">
        <v>7.8600000000000003E-2</v>
      </c>
      <c r="P79" s="152">
        <v>8.0600000000000005E-2</v>
      </c>
      <c r="Q79" s="152">
        <v>8.2600000000000007E-2</v>
      </c>
      <c r="R79" s="152">
        <v>8.1500000000000003E-2</v>
      </c>
      <c r="S79" s="152">
        <v>8.1199999999999994E-2</v>
      </c>
      <c r="T79" s="152">
        <v>8.3799999999999999E-2</v>
      </c>
      <c r="U79" s="152">
        <v>8.77E-2</v>
      </c>
      <c r="V79" s="152">
        <v>8.6300000000000002E-2</v>
      </c>
      <c r="W79" s="152">
        <v>7.9200000000000007E-2</v>
      </c>
      <c r="X79" s="152">
        <v>8.0100000000000005E-2</v>
      </c>
      <c r="Y79" s="152">
        <v>8.0100000000000005E-2</v>
      </c>
      <c r="Z79" s="152">
        <v>8.0100000000000005E-2</v>
      </c>
      <c r="AA79" s="152">
        <v>8.0100000000000005E-2</v>
      </c>
      <c r="AB79" s="152">
        <v>8.0100000000000005E-2</v>
      </c>
      <c r="AC79" s="152">
        <v>8.0100000000000005E-2</v>
      </c>
      <c r="AD79" s="169">
        <v>8.0100000000000005E-2</v>
      </c>
      <c r="AE79" s="169">
        <v>8.0100000000000005E-2</v>
      </c>
      <c r="AF79" s="169">
        <v>8.0100000000000005E-2</v>
      </c>
      <c r="AG79" s="169">
        <v>8.0100000000000005E-2</v>
      </c>
      <c r="AH79" s="169">
        <v>8.0100000000000005E-2</v>
      </c>
      <c r="AI79" s="169">
        <v>8.0100000000000005E-2</v>
      </c>
      <c r="AJ79" s="169">
        <v>8.0100000000000005E-2</v>
      </c>
      <c r="AK79" s="169">
        <v>8.0100000000000005E-2</v>
      </c>
      <c r="AL79" s="169">
        <v>8.0100000000000005E-2</v>
      </c>
      <c r="AM79" s="169">
        <v>8.0100000000000005E-2</v>
      </c>
      <c r="AN79" s="169">
        <v>8.0100000000000005E-2</v>
      </c>
      <c r="AO79" s="169">
        <v>8.0100000000000005E-2</v>
      </c>
      <c r="AP79" s="169">
        <v>8.0100000000000005E-2</v>
      </c>
      <c r="AQ79" s="169">
        <v>8.0100000000000005E-2</v>
      </c>
      <c r="AR79" s="169">
        <v>8.0100000000000005E-2</v>
      </c>
      <c r="AS79" s="149">
        <f>AR79</f>
        <v>8.0100000000000005E-2</v>
      </c>
      <c r="AT79" s="149">
        <f t="shared" ref="AT79:BV80" si="61">AS79</f>
        <v>8.0100000000000005E-2</v>
      </c>
      <c r="AU79" s="149">
        <f t="shared" si="61"/>
        <v>8.0100000000000005E-2</v>
      </c>
      <c r="AV79" s="149">
        <f t="shared" si="61"/>
        <v>8.0100000000000005E-2</v>
      </c>
      <c r="AW79" s="149">
        <f t="shared" si="61"/>
        <v>8.0100000000000005E-2</v>
      </c>
      <c r="AX79" s="149">
        <f t="shared" si="61"/>
        <v>8.0100000000000005E-2</v>
      </c>
      <c r="AY79" s="149">
        <f t="shared" si="61"/>
        <v>8.0100000000000005E-2</v>
      </c>
      <c r="AZ79" s="149">
        <f t="shared" si="61"/>
        <v>8.0100000000000005E-2</v>
      </c>
      <c r="BA79" s="149">
        <f t="shared" si="61"/>
        <v>8.0100000000000005E-2</v>
      </c>
      <c r="BB79" s="149">
        <f t="shared" si="61"/>
        <v>8.0100000000000005E-2</v>
      </c>
      <c r="BC79" s="149">
        <f t="shared" si="61"/>
        <v>8.0100000000000005E-2</v>
      </c>
      <c r="BD79" s="149">
        <f t="shared" si="61"/>
        <v>8.0100000000000005E-2</v>
      </c>
      <c r="BE79" s="149">
        <f t="shared" si="61"/>
        <v>8.0100000000000005E-2</v>
      </c>
      <c r="BF79" s="149">
        <f t="shared" si="61"/>
        <v>8.0100000000000005E-2</v>
      </c>
      <c r="BG79" s="149">
        <f t="shared" si="61"/>
        <v>8.0100000000000005E-2</v>
      </c>
      <c r="BH79" s="149">
        <f t="shared" si="61"/>
        <v>8.0100000000000005E-2</v>
      </c>
      <c r="BI79" s="149">
        <f t="shared" si="61"/>
        <v>8.0100000000000005E-2</v>
      </c>
      <c r="BJ79" s="149">
        <f t="shared" si="61"/>
        <v>8.0100000000000005E-2</v>
      </c>
      <c r="BK79" s="149">
        <f t="shared" si="61"/>
        <v>8.0100000000000005E-2</v>
      </c>
      <c r="BL79" s="149">
        <f t="shared" si="61"/>
        <v>8.0100000000000005E-2</v>
      </c>
      <c r="BM79" s="149">
        <f t="shared" si="61"/>
        <v>8.0100000000000005E-2</v>
      </c>
      <c r="BN79" s="149">
        <f t="shared" si="61"/>
        <v>8.0100000000000005E-2</v>
      </c>
      <c r="BO79" s="149">
        <f t="shared" si="61"/>
        <v>8.0100000000000005E-2</v>
      </c>
      <c r="BP79" s="149">
        <f t="shared" si="61"/>
        <v>8.0100000000000005E-2</v>
      </c>
      <c r="BQ79" s="149">
        <f t="shared" si="61"/>
        <v>8.0100000000000005E-2</v>
      </c>
      <c r="BR79" s="149">
        <f t="shared" si="61"/>
        <v>8.0100000000000005E-2</v>
      </c>
      <c r="BS79" s="149">
        <f t="shared" si="61"/>
        <v>8.0100000000000005E-2</v>
      </c>
      <c r="BT79" s="149">
        <f t="shared" si="61"/>
        <v>8.0100000000000005E-2</v>
      </c>
      <c r="BU79" s="149">
        <f t="shared" si="61"/>
        <v>8.0100000000000005E-2</v>
      </c>
      <c r="BV79" s="149">
        <f t="shared" si="61"/>
        <v>8.0100000000000005E-2</v>
      </c>
    </row>
    <row r="80" spans="1:74" x14ac:dyDescent="0.25">
      <c r="A80" s="147" t="s">
        <v>15</v>
      </c>
      <c r="B80" s="151" t="s">
        <v>185</v>
      </c>
      <c r="C80" s="151" t="s">
        <v>217</v>
      </c>
      <c r="D80" s="152">
        <v>1.4441260744985671</v>
      </c>
      <c r="E80" s="153">
        <v>1.4441260744985671</v>
      </c>
      <c r="F80" s="153">
        <v>1.4441260744985671</v>
      </c>
      <c r="G80" s="153">
        <v>1.4441260744985671</v>
      </c>
      <c r="H80" s="153">
        <v>1.4441260744985671</v>
      </c>
      <c r="I80" s="153">
        <v>1.4441260744985671</v>
      </c>
      <c r="J80" s="153">
        <v>1.4441260744985671</v>
      </c>
      <c r="K80" s="153">
        <v>1.4441260744985671</v>
      </c>
      <c r="L80" s="153">
        <v>1.4441260744985671</v>
      </c>
      <c r="M80" s="153">
        <v>1.4441260744985671</v>
      </c>
      <c r="N80" s="153">
        <v>1.4441260744985671</v>
      </c>
      <c r="O80" s="153">
        <v>1.4441260744985671</v>
      </c>
      <c r="P80" s="153">
        <v>1.4441260744985671</v>
      </c>
      <c r="Q80" s="153">
        <v>1.4441260744985671</v>
      </c>
      <c r="R80" s="153">
        <v>1.4441260744985671</v>
      </c>
      <c r="S80" s="153">
        <v>1.4441260744985671</v>
      </c>
      <c r="T80" s="153">
        <v>1.4441260744985671</v>
      </c>
      <c r="U80" s="153">
        <v>1.4441260744985671</v>
      </c>
      <c r="V80" s="153">
        <v>1.4441260744985671</v>
      </c>
      <c r="W80" s="153">
        <v>1.4441260744985671</v>
      </c>
      <c r="X80" s="153">
        <v>1.4441260744985671</v>
      </c>
      <c r="Y80" s="153">
        <v>1.4441260744985671</v>
      </c>
      <c r="Z80" s="153">
        <v>1.4441260744985671</v>
      </c>
      <c r="AA80" s="153">
        <v>1.4441260744985671</v>
      </c>
      <c r="AB80" s="153">
        <v>1.4441260744985671</v>
      </c>
      <c r="AC80" s="153">
        <v>1.4441260744985671</v>
      </c>
      <c r="AD80" s="153">
        <v>1.4441260744985671</v>
      </c>
      <c r="AE80" s="153">
        <v>1.4441260744985671</v>
      </c>
      <c r="AF80" s="153">
        <v>1.4441260744985671</v>
      </c>
      <c r="AG80" s="153">
        <v>1.4441260744985671</v>
      </c>
      <c r="AH80" s="153">
        <v>1.4441260744985671</v>
      </c>
      <c r="AI80" s="153">
        <v>1.4441260744985671</v>
      </c>
      <c r="AJ80" s="153">
        <v>1.4441260744985671</v>
      </c>
      <c r="AK80" s="153">
        <v>1.4441260744985671</v>
      </c>
      <c r="AL80" s="153">
        <v>1.4441260744985671</v>
      </c>
      <c r="AM80" s="153">
        <v>1.4441260744985671</v>
      </c>
      <c r="AN80" s="153">
        <v>1.4441260744985671</v>
      </c>
      <c r="AO80" s="153">
        <v>1.4441260744985671</v>
      </c>
      <c r="AP80" s="153">
        <v>1.4441260744985671</v>
      </c>
      <c r="AQ80" s="153">
        <v>1.4441260744985671</v>
      </c>
      <c r="AR80" s="153">
        <v>1.4441260744985671</v>
      </c>
      <c r="AS80" s="149">
        <f>AR80</f>
        <v>1.4441260744985671</v>
      </c>
      <c r="AT80" s="149">
        <f t="shared" si="61"/>
        <v>1.4441260744985671</v>
      </c>
      <c r="AU80" s="149">
        <f t="shared" si="61"/>
        <v>1.4441260744985671</v>
      </c>
      <c r="AV80" s="149">
        <f t="shared" si="61"/>
        <v>1.4441260744985671</v>
      </c>
      <c r="AW80" s="149">
        <f t="shared" si="61"/>
        <v>1.4441260744985671</v>
      </c>
      <c r="AX80" s="149">
        <f t="shared" si="61"/>
        <v>1.4441260744985671</v>
      </c>
      <c r="AY80" s="149">
        <f t="shared" si="61"/>
        <v>1.4441260744985671</v>
      </c>
      <c r="AZ80" s="149">
        <f t="shared" si="61"/>
        <v>1.4441260744985671</v>
      </c>
      <c r="BA80" s="149">
        <f t="shared" si="61"/>
        <v>1.4441260744985671</v>
      </c>
      <c r="BB80" s="149">
        <f t="shared" si="61"/>
        <v>1.4441260744985671</v>
      </c>
      <c r="BC80" s="149">
        <f t="shared" si="61"/>
        <v>1.4441260744985671</v>
      </c>
      <c r="BD80" s="149">
        <f t="shared" si="61"/>
        <v>1.4441260744985671</v>
      </c>
      <c r="BE80" s="149">
        <f t="shared" si="61"/>
        <v>1.4441260744985671</v>
      </c>
      <c r="BF80" s="149">
        <f t="shared" si="61"/>
        <v>1.4441260744985671</v>
      </c>
      <c r="BG80" s="149">
        <f t="shared" si="61"/>
        <v>1.4441260744985671</v>
      </c>
      <c r="BH80" s="149">
        <f t="shared" si="61"/>
        <v>1.4441260744985671</v>
      </c>
      <c r="BI80" s="149">
        <f t="shared" si="61"/>
        <v>1.4441260744985671</v>
      </c>
      <c r="BJ80" s="149">
        <f t="shared" si="61"/>
        <v>1.4441260744985671</v>
      </c>
      <c r="BK80" s="149">
        <f t="shared" si="61"/>
        <v>1.4441260744985671</v>
      </c>
      <c r="BL80" s="149">
        <f t="shared" si="61"/>
        <v>1.4441260744985671</v>
      </c>
      <c r="BM80" s="149">
        <f t="shared" si="61"/>
        <v>1.4441260744985671</v>
      </c>
      <c r="BN80" s="149">
        <f t="shared" si="61"/>
        <v>1.4441260744985671</v>
      </c>
      <c r="BO80" s="149">
        <f t="shared" si="61"/>
        <v>1.4441260744985671</v>
      </c>
      <c r="BP80" s="149">
        <f t="shared" si="61"/>
        <v>1.4441260744985671</v>
      </c>
      <c r="BQ80" s="149">
        <f t="shared" si="61"/>
        <v>1.4441260744985671</v>
      </c>
      <c r="BR80" s="149">
        <f t="shared" si="61"/>
        <v>1.4441260744985671</v>
      </c>
      <c r="BS80" s="149">
        <f t="shared" si="61"/>
        <v>1.4441260744985671</v>
      </c>
      <c r="BT80" s="149">
        <f t="shared" si="61"/>
        <v>1.4441260744985671</v>
      </c>
      <c r="BU80" s="149">
        <f t="shared" si="61"/>
        <v>1.4441260744985671</v>
      </c>
      <c r="BV80" s="149">
        <f t="shared" si="61"/>
        <v>1.4441260744985671</v>
      </c>
    </row>
    <row r="81" spans="1:74" x14ac:dyDescent="0.25">
      <c r="A81" s="147"/>
      <c r="D81" s="157"/>
      <c r="E81" s="157"/>
      <c r="F81" s="157"/>
      <c r="G81" s="157"/>
      <c r="H81" s="157"/>
      <c r="I81" s="157"/>
      <c r="J81" s="157"/>
      <c r="K81" s="157"/>
      <c r="L81" s="157"/>
      <c r="M81" s="157"/>
      <c r="N81" s="157"/>
      <c r="O81" s="157"/>
      <c r="P81" s="157"/>
      <c r="Q81" s="157"/>
      <c r="R81" s="157"/>
      <c r="S81" s="157"/>
      <c r="T81" s="157"/>
      <c r="U81" s="157"/>
      <c r="V81" s="157"/>
      <c r="W81" s="157"/>
      <c r="X81" s="157"/>
      <c r="Y81" s="157"/>
      <c r="Z81" s="157"/>
      <c r="AA81" s="157"/>
      <c r="AB81" s="157"/>
      <c r="AC81" s="157"/>
      <c r="AD81" s="157"/>
      <c r="AE81" s="157"/>
      <c r="AF81" s="157"/>
      <c r="AG81" s="157"/>
      <c r="AH81" s="157"/>
      <c r="AI81" s="157"/>
      <c r="AJ81" s="157"/>
      <c r="AK81" s="157"/>
      <c r="AL81" s="157"/>
      <c r="AM81" s="157"/>
      <c r="AN81" s="157"/>
      <c r="AO81" s="157"/>
      <c r="AP81" s="157"/>
      <c r="AQ81" s="157"/>
      <c r="AR81" s="157"/>
      <c r="AS81" s="157"/>
    </row>
    <row r="82" spans="1:74" x14ac:dyDescent="0.25">
      <c r="A82" s="147" t="s">
        <v>219</v>
      </c>
      <c r="B82" s="151" t="s">
        <v>185</v>
      </c>
      <c r="C82" s="142" t="s">
        <v>220</v>
      </c>
      <c r="D82" s="157">
        <v>0.54768899664715809</v>
      </c>
      <c r="E82" s="157">
        <v>0.54922252760055357</v>
      </c>
      <c r="F82" s="157">
        <v>0.54922252760055346</v>
      </c>
      <c r="G82" s="157">
        <v>0.54922252760055346</v>
      </c>
      <c r="H82" s="157">
        <v>0.54922252760055357</v>
      </c>
      <c r="I82" s="157">
        <v>0.54922252760055346</v>
      </c>
      <c r="J82" s="157">
        <v>0.54922252760055346</v>
      </c>
      <c r="K82" s="157">
        <v>0.54922252760055357</v>
      </c>
      <c r="L82" s="157">
        <v>0.54922252760055346</v>
      </c>
      <c r="M82" s="157">
        <v>0.54922252760055346</v>
      </c>
      <c r="N82" s="157">
        <v>0.55075605855394882</v>
      </c>
      <c r="O82" s="157">
        <v>0.54944254330715769</v>
      </c>
      <c r="P82" s="157">
        <v>0.54812902806036645</v>
      </c>
      <c r="Q82" s="157">
        <v>0.54734499148282201</v>
      </c>
      <c r="R82" s="157">
        <v>0.5474622010575434</v>
      </c>
      <c r="S82" s="157">
        <v>0.54713706937939321</v>
      </c>
      <c r="T82" s="157">
        <v>0.54715573284356112</v>
      </c>
      <c r="U82" s="157">
        <v>0.54707248548574849</v>
      </c>
      <c r="V82" s="157">
        <v>0.54570117277078567</v>
      </c>
      <c r="W82" s="157">
        <v>0.54588734787876247</v>
      </c>
      <c r="X82" s="157">
        <v>0.54808463255764983</v>
      </c>
      <c r="Y82" s="157">
        <v>0.54573805824875188</v>
      </c>
      <c r="Z82" s="157">
        <v>0.53989371505388584</v>
      </c>
      <c r="AA82" s="157">
        <v>0.54495497518923919</v>
      </c>
      <c r="AB82" s="157">
        <v>0.54394272316216863</v>
      </c>
      <c r="AC82" s="157">
        <v>0.54394272316216852</v>
      </c>
      <c r="AD82" s="157">
        <v>0.54394272316216852</v>
      </c>
      <c r="AE82" s="157">
        <v>0.54394272316216841</v>
      </c>
      <c r="AF82" s="157">
        <v>0.54394272316216841</v>
      </c>
      <c r="AG82" s="157">
        <v>0.54394272316216841</v>
      </c>
      <c r="AH82" s="157">
        <v>0.54394272316216841</v>
      </c>
      <c r="AI82" s="157">
        <v>0.54394272316216841</v>
      </c>
      <c r="AJ82" s="157">
        <v>0.54394272316216841</v>
      </c>
      <c r="AK82" s="157">
        <v>0.54394272316216841</v>
      </c>
      <c r="AL82" s="157">
        <v>0.54394272316216841</v>
      </c>
      <c r="AM82" s="157">
        <v>0.54394272316216841</v>
      </c>
      <c r="AN82" s="157">
        <v>0.54394272316216841</v>
      </c>
      <c r="AO82" s="157">
        <v>0.54394272316216841</v>
      </c>
      <c r="AP82" s="157">
        <v>0.54394272316216841</v>
      </c>
      <c r="AQ82" s="157">
        <v>0.54394272316216841</v>
      </c>
      <c r="AR82" s="157">
        <v>0.54394272316216841</v>
      </c>
      <c r="AS82" s="149">
        <f t="shared" ref="AS82:BV82" si="62">AR82</f>
        <v>0.54394272316216841</v>
      </c>
      <c r="AT82" s="149">
        <f t="shared" si="62"/>
        <v>0.54394272316216841</v>
      </c>
      <c r="AU82" s="149">
        <f t="shared" si="62"/>
        <v>0.54394272316216841</v>
      </c>
      <c r="AV82" s="149">
        <f t="shared" si="62"/>
        <v>0.54394272316216841</v>
      </c>
      <c r="AW82" s="149">
        <f t="shared" si="62"/>
        <v>0.54394272316216841</v>
      </c>
      <c r="AX82" s="149">
        <f t="shared" si="62"/>
        <v>0.54394272316216841</v>
      </c>
      <c r="AY82" s="149">
        <f t="shared" si="62"/>
        <v>0.54394272316216841</v>
      </c>
      <c r="AZ82" s="149">
        <f t="shared" si="62"/>
        <v>0.54394272316216841</v>
      </c>
      <c r="BA82" s="149">
        <f t="shared" si="62"/>
        <v>0.54394272316216841</v>
      </c>
      <c r="BB82" s="149">
        <f t="shared" si="62"/>
        <v>0.54394272316216841</v>
      </c>
      <c r="BC82" s="149">
        <f t="shared" si="62"/>
        <v>0.54394272316216841</v>
      </c>
      <c r="BD82" s="149">
        <f t="shared" si="62"/>
        <v>0.54394272316216841</v>
      </c>
      <c r="BE82" s="149">
        <f t="shared" si="62"/>
        <v>0.54394272316216841</v>
      </c>
      <c r="BF82" s="149">
        <f t="shared" si="62"/>
        <v>0.54394272316216841</v>
      </c>
      <c r="BG82" s="149">
        <f t="shared" si="62"/>
        <v>0.54394272316216841</v>
      </c>
      <c r="BH82" s="149">
        <f t="shared" si="62"/>
        <v>0.54394272316216841</v>
      </c>
      <c r="BI82" s="149">
        <f t="shared" si="62"/>
        <v>0.54394272316216841</v>
      </c>
      <c r="BJ82" s="149">
        <f t="shared" si="62"/>
        <v>0.54394272316216841</v>
      </c>
      <c r="BK82" s="149">
        <f t="shared" si="62"/>
        <v>0.54394272316216841</v>
      </c>
      <c r="BL82" s="149">
        <f t="shared" si="62"/>
        <v>0.54394272316216841</v>
      </c>
      <c r="BM82" s="149">
        <f t="shared" si="62"/>
        <v>0.54394272316216841</v>
      </c>
      <c r="BN82" s="149">
        <f t="shared" si="62"/>
        <v>0.54394272316216841</v>
      </c>
      <c r="BO82" s="149">
        <f t="shared" si="62"/>
        <v>0.54394272316216841</v>
      </c>
      <c r="BP82" s="149">
        <f t="shared" si="62"/>
        <v>0.54394272316216841</v>
      </c>
      <c r="BQ82" s="149">
        <f t="shared" si="62"/>
        <v>0.54394272316216841</v>
      </c>
      <c r="BR82" s="149">
        <f t="shared" si="62"/>
        <v>0.54394272316216841</v>
      </c>
      <c r="BS82" s="149">
        <f t="shared" si="62"/>
        <v>0.54394272316216841</v>
      </c>
      <c r="BT82" s="149">
        <f t="shared" si="62"/>
        <v>0.54394272316216841</v>
      </c>
      <c r="BU82" s="149">
        <f t="shared" si="62"/>
        <v>0.54394272316216841</v>
      </c>
      <c r="BV82" s="149">
        <f t="shared" si="62"/>
        <v>0.54394272316216841</v>
      </c>
    </row>
    <row r="83" spans="1:74" x14ac:dyDescent="0.25">
      <c r="A83" s="147" t="s">
        <v>221</v>
      </c>
      <c r="B83" s="151" t="s">
        <v>185</v>
      </c>
      <c r="C83" s="151" t="s">
        <v>220</v>
      </c>
      <c r="D83" s="157">
        <v>0.76666857206147487</v>
      </c>
      <c r="E83" s="157">
        <v>0.76810172134932031</v>
      </c>
      <c r="F83" s="157">
        <v>0.76814428623030351</v>
      </c>
      <c r="G83" s="157">
        <v>0.76972394472067129</v>
      </c>
      <c r="H83" s="157">
        <v>0.76964106727202386</v>
      </c>
      <c r="I83" s="157">
        <v>0.76872750872168494</v>
      </c>
      <c r="J83" s="157">
        <v>0.76354109206159182</v>
      </c>
      <c r="K83" s="157">
        <v>0.76549263825144231</v>
      </c>
      <c r="L83" s="157">
        <v>0.7647075580947913</v>
      </c>
      <c r="M83" s="157">
        <v>0.76491335958623619</v>
      </c>
      <c r="N83" s="157">
        <v>0.7554386290340338</v>
      </c>
      <c r="O83" s="157">
        <v>0.75725823171852347</v>
      </c>
      <c r="P83" s="157">
        <v>0.75868456602735768</v>
      </c>
      <c r="Q83" s="157">
        <v>0.75957129524095035</v>
      </c>
      <c r="R83" s="157">
        <v>0.76148489874265413</v>
      </c>
      <c r="S83" s="157">
        <v>0.76114714276043616</v>
      </c>
      <c r="T83" s="157">
        <v>0.75899773157548911</v>
      </c>
      <c r="U83" s="157">
        <v>0.75794906569388754</v>
      </c>
      <c r="V83" s="157">
        <v>0.7582052383169241</v>
      </c>
      <c r="W83" s="157">
        <v>0.75019068616454387</v>
      </c>
      <c r="X83" s="157">
        <v>0.75141158391442542</v>
      </c>
      <c r="Y83" s="157">
        <v>0.7531671193259839</v>
      </c>
      <c r="Z83" s="157">
        <v>0.75168541764712282</v>
      </c>
      <c r="AA83" s="157">
        <v>0.75011070466545648</v>
      </c>
      <c r="AB83" s="157">
        <v>0.75241562737674061</v>
      </c>
      <c r="AC83" s="157">
        <v>0.7533636141160398</v>
      </c>
      <c r="AD83" s="157">
        <v>0.75340700085653223</v>
      </c>
      <c r="AE83" s="157">
        <v>0.75352073941710829</v>
      </c>
      <c r="AF83" s="157">
        <v>0.75352073941710829</v>
      </c>
      <c r="AG83" s="157">
        <v>0.75352073941710829</v>
      </c>
      <c r="AH83" s="157">
        <v>0.75352073941710829</v>
      </c>
      <c r="AI83" s="157">
        <v>0.75352073941710829</v>
      </c>
      <c r="AJ83" s="157">
        <v>0.75352073941710829</v>
      </c>
      <c r="AK83" s="157">
        <v>0.75352073941710829</v>
      </c>
      <c r="AL83" s="157">
        <v>0.75352073941710829</v>
      </c>
      <c r="AM83" s="157">
        <v>0.75352073941710829</v>
      </c>
      <c r="AN83" s="157">
        <v>0.75352073941710829</v>
      </c>
      <c r="AO83" s="157">
        <v>0.75352073941710829</v>
      </c>
      <c r="AP83" s="157">
        <v>0.75352073941710829</v>
      </c>
      <c r="AQ83" s="157">
        <v>0.75352073941710829</v>
      </c>
      <c r="AR83" s="157">
        <v>0.75352073941710829</v>
      </c>
      <c r="AS83" s="149">
        <f t="shared" ref="AS83:BV83" si="63">AR83</f>
        <v>0.75352073941710829</v>
      </c>
      <c r="AT83" s="149">
        <f t="shared" si="63"/>
        <v>0.75352073941710829</v>
      </c>
      <c r="AU83" s="149">
        <f t="shared" si="63"/>
        <v>0.75352073941710829</v>
      </c>
      <c r="AV83" s="149">
        <f t="shared" si="63"/>
        <v>0.75352073941710829</v>
      </c>
      <c r="AW83" s="149">
        <f t="shared" si="63"/>
        <v>0.75352073941710829</v>
      </c>
      <c r="AX83" s="149">
        <f t="shared" si="63"/>
        <v>0.75352073941710829</v>
      </c>
      <c r="AY83" s="149">
        <f t="shared" si="63"/>
        <v>0.75352073941710829</v>
      </c>
      <c r="AZ83" s="149">
        <f t="shared" si="63"/>
        <v>0.75352073941710829</v>
      </c>
      <c r="BA83" s="149">
        <f t="shared" si="63"/>
        <v>0.75352073941710829</v>
      </c>
      <c r="BB83" s="149">
        <f t="shared" si="63"/>
        <v>0.75352073941710829</v>
      </c>
      <c r="BC83" s="149">
        <f t="shared" si="63"/>
        <v>0.75352073941710829</v>
      </c>
      <c r="BD83" s="149">
        <f t="shared" si="63"/>
        <v>0.75352073941710829</v>
      </c>
      <c r="BE83" s="149">
        <f t="shared" si="63"/>
        <v>0.75352073941710829</v>
      </c>
      <c r="BF83" s="149">
        <f t="shared" si="63"/>
        <v>0.75352073941710829</v>
      </c>
      <c r="BG83" s="149">
        <f t="shared" si="63"/>
        <v>0.75352073941710829</v>
      </c>
      <c r="BH83" s="149">
        <f t="shared" si="63"/>
        <v>0.75352073941710829</v>
      </c>
      <c r="BI83" s="149">
        <f t="shared" si="63"/>
        <v>0.75352073941710829</v>
      </c>
      <c r="BJ83" s="149">
        <f t="shared" si="63"/>
        <v>0.75352073941710829</v>
      </c>
      <c r="BK83" s="149">
        <f t="shared" si="63"/>
        <v>0.75352073941710829</v>
      </c>
      <c r="BL83" s="149">
        <f t="shared" si="63"/>
        <v>0.75352073941710829</v>
      </c>
      <c r="BM83" s="149">
        <f t="shared" si="63"/>
        <v>0.75352073941710829</v>
      </c>
      <c r="BN83" s="149">
        <f t="shared" si="63"/>
        <v>0.75352073941710829</v>
      </c>
      <c r="BO83" s="149">
        <f t="shared" si="63"/>
        <v>0.75352073941710829</v>
      </c>
      <c r="BP83" s="149">
        <f t="shared" si="63"/>
        <v>0.75352073941710829</v>
      </c>
      <c r="BQ83" s="149">
        <f t="shared" si="63"/>
        <v>0.75352073941710829</v>
      </c>
      <c r="BR83" s="149">
        <f t="shared" si="63"/>
        <v>0.75352073941710829</v>
      </c>
      <c r="BS83" s="149">
        <f t="shared" si="63"/>
        <v>0.75352073941710829</v>
      </c>
      <c r="BT83" s="149">
        <f t="shared" si="63"/>
        <v>0.75352073941710829</v>
      </c>
      <c r="BU83" s="149">
        <f t="shared" si="63"/>
        <v>0.75352073941710829</v>
      </c>
      <c r="BV83" s="149">
        <f t="shared" si="63"/>
        <v>0.75352073941710829</v>
      </c>
    </row>
    <row r="84" spans="1:74" x14ac:dyDescent="0.25">
      <c r="A84" s="147" t="s">
        <v>222</v>
      </c>
      <c r="B84" s="151" t="s">
        <v>185</v>
      </c>
      <c r="C84" s="142" t="s">
        <v>220</v>
      </c>
      <c r="D84" s="157">
        <v>1.7377643887459586</v>
      </c>
      <c r="E84" s="157">
        <v>1.7254816263414912</v>
      </c>
      <c r="F84" s="157">
        <v>1.7258726599216683</v>
      </c>
      <c r="G84" s="157">
        <v>1.6909506573141553</v>
      </c>
      <c r="H84" s="157">
        <v>1.6726809046685212</v>
      </c>
      <c r="I84" s="157">
        <v>1.6756217441178303</v>
      </c>
      <c r="J84" s="157">
        <v>1.693944860379367</v>
      </c>
      <c r="K84" s="157">
        <v>1.689286062288563</v>
      </c>
      <c r="L84" s="157">
        <v>1.7309735674961888</v>
      </c>
      <c r="M84" s="157">
        <v>1.6456631587621973</v>
      </c>
      <c r="N84" s="157">
        <v>1.6441702816406805</v>
      </c>
      <c r="O84" s="157">
        <v>1.6268046464677703</v>
      </c>
      <c r="P84" s="157">
        <v>1.632243398734575</v>
      </c>
      <c r="Q84" s="157">
        <v>1.6397967092162899</v>
      </c>
      <c r="R84" s="157">
        <v>1.6297608608615051</v>
      </c>
      <c r="S84" s="157">
        <v>1.6679918192657155</v>
      </c>
      <c r="T84" s="157">
        <v>1.6686665113198349</v>
      </c>
      <c r="U84" s="157">
        <v>1.653491235661732</v>
      </c>
      <c r="V84" s="157">
        <v>1.6566458088305003</v>
      </c>
      <c r="W84" s="157">
        <v>1.6583019455581571</v>
      </c>
      <c r="X84" s="157">
        <v>1.6696137306462833</v>
      </c>
      <c r="Y84" s="157">
        <v>1.7127045322776668</v>
      </c>
      <c r="Z84" s="157">
        <v>1.6906988830379528</v>
      </c>
      <c r="AA84" s="157">
        <v>1.6630211906269434</v>
      </c>
      <c r="AB84" s="157">
        <v>1.6594863534900823</v>
      </c>
      <c r="AC84" s="157">
        <v>1.6499087680986135</v>
      </c>
      <c r="AD84" s="157">
        <v>1.633060622999136</v>
      </c>
      <c r="AE84" s="157">
        <v>1.6428933351728314</v>
      </c>
      <c r="AF84" s="157">
        <v>1.6428933351728314</v>
      </c>
      <c r="AG84" s="157">
        <v>1.6428933351728314</v>
      </c>
      <c r="AH84" s="157">
        <v>1.6428933351728314</v>
      </c>
      <c r="AI84" s="157">
        <v>1.6428933351728314</v>
      </c>
      <c r="AJ84" s="157">
        <v>1.6428933351728314</v>
      </c>
      <c r="AK84" s="157">
        <v>1.6428933351728314</v>
      </c>
      <c r="AL84" s="157">
        <v>1.6428933351728314</v>
      </c>
      <c r="AM84" s="157">
        <v>1.6428933351728314</v>
      </c>
      <c r="AN84" s="157">
        <v>1.6428933351728314</v>
      </c>
      <c r="AO84" s="157">
        <v>1.6428933351728314</v>
      </c>
      <c r="AP84" s="157">
        <v>1.6428933351728314</v>
      </c>
      <c r="AQ84" s="157">
        <v>1.6428933351728314</v>
      </c>
      <c r="AR84" s="157">
        <v>1.6428933351728314</v>
      </c>
      <c r="AS84" s="149">
        <f t="shared" ref="AS84:BV84" si="64">AR84</f>
        <v>1.6428933351728314</v>
      </c>
      <c r="AT84" s="149">
        <f t="shared" si="64"/>
        <v>1.6428933351728314</v>
      </c>
      <c r="AU84" s="149">
        <f t="shared" si="64"/>
        <v>1.6428933351728314</v>
      </c>
      <c r="AV84" s="149">
        <f t="shared" si="64"/>
        <v>1.6428933351728314</v>
      </c>
      <c r="AW84" s="149">
        <f t="shared" si="64"/>
        <v>1.6428933351728314</v>
      </c>
      <c r="AX84" s="149">
        <f t="shared" si="64"/>
        <v>1.6428933351728314</v>
      </c>
      <c r="AY84" s="149">
        <f t="shared" si="64"/>
        <v>1.6428933351728314</v>
      </c>
      <c r="AZ84" s="149">
        <f t="shared" si="64"/>
        <v>1.6428933351728314</v>
      </c>
      <c r="BA84" s="149">
        <f t="shared" si="64"/>
        <v>1.6428933351728314</v>
      </c>
      <c r="BB84" s="149">
        <f t="shared" si="64"/>
        <v>1.6428933351728314</v>
      </c>
      <c r="BC84" s="149">
        <f t="shared" si="64"/>
        <v>1.6428933351728314</v>
      </c>
      <c r="BD84" s="149">
        <f t="shared" si="64"/>
        <v>1.6428933351728314</v>
      </c>
      <c r="BE84" s="149">
        <f t="shared" si="64"/>
        <v>1.6428933351728314</v>
      </c>
      <c r="BF84" s="149">
        <f t="shared" si="64"/>
        <v>1.6428933351728314</v>
      </c>
      <c r="BG84" s="149">
        <f t="shared" si="64"/>
        <v>1.6428933351728314</v>
      </c>
      <c r="BH84" s="149">
        <f t="shared" si="64"/>
        <v>1.6428933351728314</v>
      </c>
      <c r="BI84" s="149">
        <f t="shared" si="64"/>
        <v>1.6428933351728314</v>
      </c>
      <c r="BJ84" s="149">
        <f t="shared" si="64"/>
        <v>1.6428933351728314</v>
      </c>
      <c r="BK84" s="149">
        <f t="shared" si="64"/>
        <v>1.6428933351728314</v>
      </c>
      <c r="BL84" s="149">
        <f t="shared" si="64"/>
        <v>1.6428933351728314</v>
      </c>
      <c r="BM84" s="149">
        <f t="shared" si="64"/>
        <v>1.6428933351728314</v>
      </c>
      <c r="BN84" s="149">
        <f t="shared" si="64"/>
        <v>1.6428933351728314</v>
      </c>
      <c r="BO84" s="149">
        <f t="shared" si="64"/>
        <v>1.6428933351728314</v>
      </c>
      <c r="BP84" s="149">
        <f t="shared" si="64"/>
        <v>1.6428933351728314</v>
      </c>
      <c r="BQ84" s="149">
        <f t="shared" si="64"/>
        <v>1.6428933351728314</v>
      </c>
      <c r="BR84" s="149">
        <f t="shared" si="64"/>
        <v>1.6428933351728314</v>
      </c>
      <c r="BS84" s="149">
        <f t="shared" si="64"/>
        <v>1.6428933351728314</v>
      </c>
      <c r="BT84" s="149">
        <f t="shared" si="64"/>
        <v>1.6428933351728314</v>
      </c>
      <c r="BU84" s="149">
        <f t="shared" si="64"/>
        <v>1.6428933351728314</v>
      </c>
      <c r="BV84" s="149">
        <f t="shared" si="64"/>
        <v>1.6428933351728314</v>
      </c>
    </row>
    <row r="85" spans="1:74" x14ac:dyDescent="0.25">
      <c r="A85" s="147" t="s">
        <v>223</v>
      </c>
      <c r="B85" s="151" t="s">
        <v>185</v>
      </c>
      <c r="C85" s="142" t="s">
        <v>220</v>
      </c>
      <c r="D85" s="157">
        <v>0.78049830887063254</v>
      </c>
      <c r="E85" s="157">
        <v>0.77703778178966154</v>
      </c>
      <c r="F85" s="157">
        <v>0.75917783544636208</v>
      </c>
      <c r="G85" s="157">
        <v>0.70495386186366471</v>
      </c>
      <c r="H85" s="157">
        <v>0.68661371243585345</v>
      </c>
      <c r="I85" s="157">
        <v>0.70952702448578375</v>
      </c>
      <c r="J85" s="157">
        <v>0.65467695616658417</v>
      </c>
      <c r="K85" s="157">
        <v>0.65757565848779398</v>
      </c>
      <c r="L85" s="157">
        <v>0.65327135794779734</v>
      </c>
      <c r="M85" s="157">
        <v>0.65360071112956919</v>
      </c>
      <c r="N85" s="157">
        <v>0.65764601492401464</v>
      </c>
      <c r="O85" s="157">
        <v>0.64260513130992003</v>
      </c>
      <c r="P85" s="157">
        <v>0.64369817132734475</v>
      </c>
      <c r="Q85" s="157">
        <v>0.64784862515457897</v>
      </c>
      <c r="R85" s="157">
        <v>0.64842414613214805</v>
      </c>
      <c r="S85" s="157">
        <v>0.64620605528052111</v>
      </c>
      <c r="T85" s="157">
        <v>0.64039081768060291</v>
      </c>
      <c r="U85" s="157">
        <v>0.63154383003165704</v>
      </c>
      <c r="V85" s="157">
        <v>0.63941772068559588</v>
      </c>
      <c r="W85" s="157">
        <v>0.58418281828797192</v>
      </c>
      <c r="X85" s="157">
        <v>0.60147029091993909</v>
      </c>
      <c r="Y85" s="157">
        <v>0.64124581086213961</v>
      </c>
      <c r="Z85" s="157">
        <v>0.66586054219324986</v>
      </c>
      <c r="AA85" s="157">
        <v>0.68315473586347097</v>
      </c>
      <c r="AB85" s="157">
        <v>0.62315578936717997</v>
      </c>
      <c r="AC85" s="157">
        <v>0.64275267762981347</v>
      </c>
      <c r="AD85" s="157">
        <v>0.61317220938793693</v>
      </c>
      <c r="AE85" s="157">
        <v>0.60715425229474651</v>
      </c>
      <c r="AF85" s="157">
        <v>0.60715425229474651</v>
      </c>
      <c r="AG85" s="157">
        <v>0.60715425229474651</v>
      </c>
      <c r="AH85" s="157">
        <v>0.60715425229474651</v>
      </c>
      <c r="AI85" s="157">
        <v>0.60715425229474651</v>
      </c>
      <c r="AJ85" s="157">
        <v>0.60715425229474651</v>
      </c>
      <c r="AK85" s="157">
        <v>0.60715425229474651</v>
      </c>
      <c r="AL85" s="157">
        <v>0.60715425229474651</v>
      </c>
      <c r="AM85" s="157">
        <v>0.60715425229474651</v>
      </c>
      <c r="AN85" s="157">
        <v>0.60715425229474651</v>
      </c>
      <c r="AO85" s="157">
        <v>0.60715425229474651</v>
      </c>
      <c r="AP85" s="157">
        <v>0.60715425229474651</v>
      </c>
      <c r="AQ85" s="157">
        <v>0.60715425229474651</v>
      </c>
      <c r="AR85" s="157">
        <v>0.60715425229474651</v>
      </c>
      <c r="AS85" s="149">
        <f t="shared" ref="AS85:BV85" si="65">AR85</f>
        <v>0.60715425229474651</v>
      </c>
      <c r="AT85" s="149">
        <f t="shared" si="65"/>
        <v>0.60715425229474651</v>
      </c>
      <c r="AU85" s="149">
        <f t="shared" si="65"/>
        <v>0.60715425229474651</v>
      </c>
      <c r="AV85" s="149">
        <f t="shared" si="65"/>
        <v>0.60715425229474651</v>
      </c>
      <c r="AW85" s="149">
        <f t="shared" si="65"/>
        <v>0.60715425229474651</v>
      </c>
      <c r="AX85" s="149">
        <f t="shared" si="65"/>
        <v>0.60715425229474651</v>
      </c>
      <c r="AY85" s="149">
        <f t="shared" si="65"/>
        <v>0.60715425229474651</v>
      </c>
      <c r="AZ85" s="149">
        <f t="shared" si="65"/>
        <v>0.60715425229474651</v>
      </c>
      <c r="BA85" s="149">
        <f t="shared" si="65"/>
        <v>0.60715425229474651</v>
      </c>
      <c r="BB85" s="149">
        <f t="shared" si="65"/>
        <v>0.60715425229474651</v>
      </c>
      <c r="BC85" s="149">
        <f t="shared" si="65"/>
        <v>0.60715425229474651</v>
      </c>
      <c r="BD85" s="149">
        <f t="shared" si="65"/>
        <v>0.60715425229474651</v>
      </c>
      <c r="BE85" s="149">
        <f t="shared" si="65"/>
        <v>0.60715425229474651</v>
      </c>
      <c r="BF85" s="149">
        <f t="shared" si="65"/>
        <v>0.60715425229474651</v>
      </c>
      <c r="BG85" s="149">
        <f t="shared" si="65"/>
        <v>0.60715425229474651</v>
      </c>
      <c r="BH85" s="149">
        <f t="shared" si="65"/>
        <v>0.60715425229474651</v>
      </c>
      <c r="BI85" s="149">
        <f t="shared" si="65"/>
        <v>0.60715425229474651</v>
      </c>
      <c r="BJ85" s="149">
        <f t="shared" si="65"/>
        <v>0.60715425229474651</v>
      </c>
      <c r="BK85" s="149">
        <f t="shared" si="65"/>
        <v>0.60715425229474651</v>
      </c>
      <c r="BL85" s="149">
        <f t="shared" si="65"/>
        <v>0.60715425229474651</v>
      </c>
      <c r="BM85" s="149">
        <f t="shared" si="65"/>
        <v>0.60715425229474651</v>
      </c>
      <c r="BN85" s="149">
        <f t="shared" si="65"/>
        <v>0.60715425229474651</v>
      </c>
      <c r="BO85" s="149">
        <f t="shared" si="65"/>
        <v>0.60715425229474651</v>
      </c>
      <c r="BP85" s="149">
        <f t="shared" si="65"/>
        <v>0.60715425229474651</v>
      </c>
      <c r="BQ85" s="149">
        <f t="shared" si="65"/>
        <v>0.60715425229474651</v>
      </c>
      <c r="BR85" s="149">
        <f t="shared" si="65"/>
        <v>0.60715425229474651</v>
      </c>
      <c r="BS85" s="149">
        <f t="shared" si="65"/>
        <v>0.60715425229474651</v>
      </c>
      <c r="BT85" s="149">
        <f t="shared" si="65"/>
        <v>0.60715425229474651</v>
      </c>
      <c r="BU85" s="149">
        <f t="shared" si="65"/>
        <v>0.60715425229474651</v>
      </c>
      <c r="BV85" s="149">
        <f t="shared" si="65"/>
        <v>0.60715425229474651</v>
      </c>
    </row>
    <row r="86" spans="1:74" x14ac:dyDescent="0.25">
      <c r="A86" s="147" t="s">
        <v>224</v>
      </c>
      <c r="B86" s="151" t="s">
        <v>185</v>
      </c>
      <c r="C86" s="154" t="s">
        <v>174</v>
      </c>
      <c r="D86" s="156">
        <v>3.4301532757013375</v>
      </c>
      <c r="E86" s="156">
        <v>0</v>
      </c>
      <c r="F86" s="156">
        <v>0</v>
      </c>
      <c r="G86" s="156">
        <v>0</v>
      </c>
      <c r="H86" s="156">
        <v>0</v>
      </c>
      <c r="I86" s="156">
        <v>3.3770100578942186</v>
      </c>
      <c r="J86" s="156">
        <v>3.3829284233179062</v>
      </c>
      <c r="K86" s="156">
        <v>3.4024775113400563</v>
      </c>
      <c r="L86" s="156">
        <v>3.3912378949233739</v>
      </c>
      <c r="M86" s="156">
        <v>3.3928918170471074</v>
      </c>
      <c r="N86" s="156">
        <v>3.4380701052680274</v>
      </c>
      <c r="O86" s="156">
        <v>3.3891211835117758</v>
      </c>
      <c r="P86" s="156">
        <v>3.3644637016226699</v>
      </c>
      <c r="Q86" s="156">
        <v>3.3725744853924651</v>
      </c>
      <c r="R86" s="156">
        <v>3.364613767408394</v>
      </c>
      <c r="S86" s="156">
        <v>3.3403161112429882</v>
      </c>
      <c r="T86" s="156">
        <v>3.3088314951690712</v>
      </c>
      <c r="U86" s="156">
        <v>3.1990785147977454</v>
      </c>
      <c r="V86" s="156">
        <v>3.2194180924516398</v>
      </c>
      <c r="W86" s="156">
        <v>3.2101770133861862</v>
      </c>
      <c r="X86" s="156">
        <v>3.273646283624688</v>
      </c>
      <c r="Y86" s="156">
        <v>3.3182696332614054</v>
      </c>
      <c r="Z86" s="156">
        <v>3.3546643987024254</v>
      </c>
      <c r="AA86" s="156">
        <v>3.2963011167895782</v>
      </c>
      <c r="AB86" s="156">
        <v>3.3575797398008107</v>
      </c>
      <c r="AC86" s="156">
        <v>3.4333055893212263</v>
      </c>
      <c r="AD86" s="156">
        <v>3.3905606878669738</v>
      </c>
      <c r="AE86" s="156">
        <v>3.3912039479809688</v>
      </c>
      <c r="AF86" s="156">
        <v>3.3912039479809688</v>
      </c>
      <c r="AG86" s="156">
        <v>3.3912039479809688</v>
      </c>
      <c r="AH86" s="156">
        <v>3.3912039479809688</v>
      </c>
      <c r="AI86" s="156">
        <v>3.3912039479809688</v>
      </c>
      <c r="AJ86" s="156">
        <v>3.3912039479809688</v>
      </c>
      <c r="AK86" s="156">
        <v>3.3912039479809688</v>
      </c>
      <c r="AL86" s="156">
        <v>3.3912039479809688</v>
      </c>
      <c r="AM86" s="156">
        <v>3.3912039479809688</v>
      </c>
      <c r="AN86" s="156">
        <v>3.3912039479809688</v>
      </c>
      <c r="AO86" s="156">
        <v>3.3912039479809688</v>
      </c>
      <c r="AP86" s="156">
        <v>3.3912039479809688</v>
      </c>
      <c r="AQ86" s="156">
        <v>3.3912039479809688</v>
      </c>
      <c r="AR86" s="156">
        <v>3.3912039479809688</v>
      </c>
      <c r="AS86" s="149">
        <f t="shared" ref="AS86:BV86" si="66">AR86</f>
        <v>3.3912039479809688</v>
      </c>
      <c r="AT86" s="149">
        <f t="shared" si="66"/>
        <v>3.3912039479809688</v>
      </c>
      <c r="AU86" s="149">
        <f t="shared" si="66"/>
        <v>3.3912039479809688</v>
      </c>
      <c r="AV86" s="149">
        <f t="shared" si="66"/>
        <v>3.3912039479809688</v>
      </c>
      <c r="AW86" s="149">
        <f t="shared" si="66"/>
        <v>3.3912039479809688</v>
      </c>
      <c r="AX86" s="149">
        <f t="shared" si="66"/>
        <v>3.3912039479809688</v>
      </c>
      <c r="AY86" s="149">
        <f t="shared" si="66"/>
        <v>3.3912039479809688</v>
      </c>
      <c r="AZ86" s="149">
        <f t="shared" si="66"/>
        <v>3.3912039479809688</v>
      </c>
      <c r="BA86" s="149">
        <f t="shared" si="66"/>
        <v>3.3912039479809688</v>
      </c>
      <c r="BB86" s="149">
        <f t="shared" si="66"/>
        <v>3.3912039479809688</v>
      </c>
      <c r="BC86" s="149">
        <f t="shared" si="66"/>
        <v>3.3912039479809688</v>
      </c>
      <c r="BD86" s="149">
        <f t="shared" si="66"/>
        <v>3.3912039479809688</v>
      </c>
      <c r="BE86" s="149">
        <f t="shared" si="66"/>
        <v>3.3912039479809688</v>
      </c>
      <c r="BF86" s="149">
        <f t="shared" si="66"/>
        <v>3.3912039479809688</v>
      </c>
      <c r="BG86" s="149">
        <f t="shared" si="66"/>
        <v>3.3912039479809688</v>
      </c>
      <c r="BH86" s="149">
        <f t="shared" si="66"/>
        <v>3.3912039479809688</v>
      </c>
      <c r="BI86" s="149">
        <f t="shared" si="66"/>
        <v>3.3912039479809688</v>
      </c>
      <c r="BJ86" s="149">
        <f t="shared" si="66"/>
        <v>3.3912039479809688</v>
      </c>
      <c r="BK86" s="149">
        <f t="shared" si="66"/>
        <v>3.3912039479809688</v>
      </c>
      <c r="BL86" s="149">
        <f t="shared" si="66"/>
        <v>3.3912039479809688</v>
      </c>
      <c r="BM86" s="149">
        <f t="shared" si="66"/>
        <v>3.3912039479809688</v>
      </c>
      <c r="BN86" s="149">
        <f t="shared" si="66"/>
        <v>3.3912039479809688</v>
      </c>
      <c r="BO86" s="149">
        <f t="shared" si="66"/>
        <v>3.3912039479809688</v>
      </c>
      <c r="BP86" s="149">
        <f t="shared" si="66"/>
        <v>3.3912039479809688</v>
      </c>
      <c r="BQ86" s="149">
        <f t="shared" si="66"/>
        <v>3.3912039479809688</v>
      </c>
      <c r="BR86" s="149">
        <f t="shared" si="66"/>
        <v>3.3912039479809688</v>
      </c>
      <c r="BS86" s="149">
        <f t="shared" si="66"/>
        <v>3.3912039479809688</v>
      </c>
      <c r="BT86" s="149">
        <f t="shared" si="66"/>
        <v>3.3912039479809688</v>
      </c>
      <c r="BU86" s="149">
        <f t="shared" si="66"/>
        <v>3.3912039479809688</v>
      </c>
      <c r="BV86" s="149">
        <f t="shared" si="66"/>
        <v>3.3912039479809688</v>
      </c>
    </row>
    <row r="87" spans="1:74" x14ac:dyDescent="0.25">
      <c r="A87" s="147"/>
      <c r="D87" s="153"/>
      <c r="E87" s="153"/>
      <c r="F87" s="153"/>
      <c r="G87" s="153"/>
      <c r="H87" s="153"/>
      <c r="I87" s="153"/>
      <c r="J87" s="153"/>
      <c r="K87" s="153"/>
      <c r="L87" s="153"/>
      <c r="M87" s="153"/>
      <c r="N87" s="153"/>
      <c r="O87" s="153"/>
      <c r="P87" s="153"/>
      <c r="Q87" s="153"/>
      <c r="R87" s="153"/>
      <c r="S87" s="153"/>
      <c r="T87" s="153"/>
      <c r="U87" s="153"/>
      <c r="V87" s="153"/>
      <c r="W87" s="153"/>
      <c r="X87" s="153"/>
      <c r="Y87" s="153"/>
      <c r="Z87" s="153"/>
      <c r="AA87" s="153"/>
      <c r="AB87" s="153"/>
      <c r="AC87" s="153"/>
      <c r="AD87" s="153"/>
      <c r="AE87" s="153"/>
      <c r="AF87" s="153"/>
      <c r="AG87" s="153"/>
      <c r="AH87" s="153"/>
      <c r="AI87" s="153"/>
      <c r="AJ87" s="153"/>
      <c r="AK87" s="153"/>
      <c r="AL87" s="153"/>
      <c r="AM87" s="153"/>
      <c r="AN87" s="153"/>
      <c r="AO87" s="153"/>
      <c r="AP87" s="153"/>
      <c r="AQ87" s="153"/>
      <c r="AR87" s="153"/>
      <c r="AS87" s="153"/>
    </row>
    <row r="88" spans="1:74" x14ac:dyDescent="0.25">
      <c r="A88" s="141" t="s">
        <v>225</v>
      </c>
      <c r="B88" s="148" t="s">
        <v>190</v>
      </c>
      <c r="C88" s="163" t="s">
        <v>208</v>
      </c>
      <c r="D88" s="164">
        <v>1.8799302987508295</v>
      </c>
      <c r="E88" s="165">
        <v>1.878364266166163</v>
      </c>
      <c r="F88" s="165">
        <v>1.8767982335814966</v>
      </c>
      <c r="G88" s="165">
        <v>1.8752322009968301</v>
      </c>
      <c r="H88" s="165">
        <v>1.8736661684121636</v>
      </c>
      <c r="I88" s="164">
        <v>1.8721001358274969</v>
      </c>
      <c r="J88" s="164">
        <v>1.824709656255705</v>
      </c>
      <c r="K88" s="164">
        <v>1.8640314985146393</v>
      </c>
      <c r="L88" s="164">
        <v>1.8567139632242793</v>
      </c>
      <c r="M88" s="164">
        <v>1.8524600275908623</v>
      </c>
      <c r="N88" s="164">
        <v>1.8468974581798387</v>
      </c>
      <c r="O88" s="164">
        <v>1.8522443104632955</v>
      </c>
      <c r="P88" s="164">
        <v>1.8582132173148498</v>
      </c>
      <c r="Q88" s="164">
        <v>1.8575159684906515</v>
      </c>
      <c r="R88" s="164">
        <v>1.8630866662896992</v>
      </c>
      <c r="S88" s="164">
        <v>1.8775930885792231</v>
      </c>
      <c r="T88" s="164">
        <v>2.1683128810809209</v>
      </c>
      <c r="U88" s="164">
        <v>2.0423768210010356</v>
      </c>
      <c r="V88" s="164">
        <v>2.0376899836744071</v>
      </c>
      <c r="W88" s="164">
        <v>2.0550948063817702</v>
      </c>
      <c r="X88" s="164">
        <v>2.0604027943238985</v>
      </c>
      <c r="Y88" s="164">
        <v>2.0508335036444252</v>
      </c>
      <c r="Z88" s="164">
        <v>2.0512754718179975</v>
      </c>
      <c r="AA88" s="164">
        <v>2.0405360437037849</v>
      </c>
      <c r="AB88" s="164">
        <v>2.0942486494920378</v>
      </c>
      <c r="AC88" s="164">
        <v>2.0285152690028521</v>
      </c>
      <c r="AD88" s="164">
        <v>2.023393708804694</v>
      </c>
      <c r="AE88" s="165">
        <v>2.023393708804694</v>
      </c>
      <c r="AF88" s="165">
        <v>2.023393708804694</v>
      </c>
      <c r="AG88" s="165">
        <v>2.023393708804694</v>
      </c>
      <c r="AH88" s="165">
        <v>2.023393708804694</v>
      </c>
      <c r="AI88" s="165">
        <v>2.023393708804694</v>
      </c>
      <c r="AJ88" s="165">
        <v>2.023393708804694</v>
      </c>
      <c r="AK88" s="165">
        <v>2.023393708804694</v>
      </c>
      <c r="AL88" s="165">
        <v>2.023393708804694</v>
      </c>
      <c r="AM88" s="165">
        <v>2.023393708804694</v>
      </c>
      <c r="AN88" s="165">
        <v>2.023393708804694</v>
      </c>
      <c r="AO88" s="165">
        <v>2.023393708804694</v>
      </c>
      <c r="AP88" s="165">
        <v>2.023393708804694</v>
      </c>
      <c r="AQ88" s="165">
        <v>2.023393708804694</v>
      </c>
      <c r="AR88" s="165">
        <v>2.023393708804694</v>
      </c>
      <c r="AS88" s="149">
        <f t="shared" ref="AS88:BV88" si="67">AR88</f>
        <v>2.023393708804694</v>
      </c>
      <c r="AT88" s="149">
        <f t="shared" si="67"/>
        <v>2.023393708804694</v>
      </c>
      <c r="AU88" s="149">
        <f t="shared" si="67"/>
        <v>2.023393708804694</v>
      </c>
      <c r="AV88" s="149">
        <f t="shared" si="67"/>
        <v>2.023393708804694</v>
      </c>
      <c r="AW88" s="149">
        <f t="shared" si="67"/>
        <v>2.023393708804694</v>
      </c>
      <c r="AX88" s="149">
        <f t="shared" si="67"/>
        <v>2.023393708804694</v>
      </c>
      <c r="AY88" s="149">
        <f t="shared" si="67"/>
        <v>2.023393708804694</v>
      </c>
      <c r="AZ88" s="149">
        <f t="shared" si="67"/>
        <v>2.023393708804694</v>
      </c>
      <c r="BA88" s="149">
        <f t="shared" si="67"/>
        <v>2.023393708804694</v>
      </c>
      <c r="BB88" s="149">
        <f t="shared" si="67"/>
        <v>2.023393708804694</v>
      </c>
      <c r="BC88" s="149">
        <f t="shared" si="67"/>
        <v>2.023393708804694</v>
      </c>
      <c r="BD88" s="149">
        <f t="shared" si="67"/>
        <v>2.023393708804694</v>
      </c>
      <c r="BE88" s="149">
        <f t="shared" si="67"/>
        <v>2.023393708804694</v>
      </c>
      <c r="BF88" s="149">
        <f t="shared" si="67"/>
        <v>2.023393708804694</v>
      </c>
      <c r="BG88" s="149">
        <f t="shared" si="67"/>
        <v>2.023393708804694</v>
      </c>
      <c r="BH88" s="149">
        <f t="shared" si="67"/>
        <v>2.023393708804694</v>
      </c>
      <c r="BI88" s="149">
        <f t="shared" si="67"/>
        <v>2.023393708804694</v>
      </c>
      <c r="BJ88" s="149">
        <f t="shared" si="67"/>
        <v>2.023393708804694</v>
      </c>
      <c r="BK88" s="149">
        <f t="shared" si="67"/>
        <v>2.023393708804694</v>
      </c>
      <c r="BL88" s="149">
        <f t="shared" si="67"/>
        <v>2.023393708804694</v>
      </c>
      <c r="BM88" s="149">
        <f t="shared" si="67"/>
        <v>2.023393708804694</v>
      </c>
      <c r="BN88" s="149">
        <f t="shared" si="67"/>
        <v>2.023393708804694</v>
      </c>
      <c r="BO88" s="149">
        <f t="shared" si="67"/>
        <v>2.023393708804694</v>
      </c>
      <c r="BP88" s="149">
        <f t="shared" si="67"/>
        <v>2.023393708804694</v>
      </c>
      <c r="BQ88" s="149">
        <f t="shared" si="67"/>
        <v>2.023393708804694</v>
      </c>
      <c r="BR88" s="149">
        <f t="shared" si="67"/>
        <v>2.023393708804694</v>
      </c>
      <c r="BS88" s="149">
        <f t="shared" si="67"/>
        <v>2.023393708804694</v>
      </c>
      <c r="BT88" s="149">
        <f t="shared" si="67"/>
        <v>2.023393708804694</v>
      </c>
      <c r="BU88" s="149">
        <f t="shared" si="67"/>
        <v>2.023393708804694</v>
      </c>
      <c r="BV88" s="149">
        <f t="shared" si="67"/>
        <v>2.023393708804694</v>
      </c>
    </row>
    <row r="89" spans="1:74" x14ac:dyDescent="0.25">
      <c r="A89" s="141" t="s">
        <v>226</v>
      </c>
      <c r="B89" s="148" t="s">
        <v>190</v>
      </c>
      <c r="C89" s="151" t="s">
        <v>216</v>
      </c>
      <c r="D89" s="165">
        <v>2.3669985008991619</v>
      </c>
      <c r="E89" s="165">
        <v>2.3669985008991619</v>
      </c>
      <c r="F89" s="165">
        <v>2.3669985008991619</v>
      </c>
      <c r="G89" s="165">
        <v>2.3669985008991619</v>
      </c>
      <c r="H89" s="165">
        <v>2.3669985008991619</v>
      </c>
      <c r="I89" s="152">
        <v>2.3669985008991619</v>
      </c>
      <c r="J89" s="152">
        <v>2.3633673563685491</v>
      </c>
      <c r="K89" s="152">
        <v>2.3668713136058308</v>
      </c>
      <c r="L89" s="152">
        <v>2.3715257233460432</v>
      </c>
      <c r="M89" s="152">
        <v>2.3704482096306152</v>
      </c>
      <c r="N89" s="152">
        <v>2.3742972874051738</v>
      </c>
      <c r="O89" s="152">
        <v>2.3757262704011057</v>
      </c>
      <c r="P89" s="152">
        <v>2.3771421037413987</v>
      </c>
      <c r="Q89" s="152">
        <v>2.3754138171552888</v>
      </c>
      <c r="R89" s="152">
        <v>2.3678472108601114</v>
      </c>
      <c r="S89" s="152">
        <v>2.3618874071912028</v>
      </c>
      <c r="T89" s="152">
        <v>2.3657680006547888</v>
      </c>
      <c r="U89" s="152">
        <v>2.3664616856134448</v>
      </c>
      <c r="V89" s="152">
        <v>2.3636106337601834</v>
      </c>
      <c r="W89" s="152">
        <v>2.3606170864215601</v>
      </c>
      <c r="X89" s="152">
        <v>2.3594981782284914</v>
      </c>
      <c r="Y89" s="152">
        <v>2.3574427401076501</v>
      </c>
      <c r="Z89" s="152">
        <v>2.3587164384189263</v>
      </c>
      <c r="AA89" s="152">
        <v>2.3601175260654026</v>
      </c>
      <c r="AB89" s="152">
        <v>2.3594648117452048</v>
      </c>
      <c r="AC89" s="152">
        <v>2.3643007451678053</v>
      </c>
      <c r="AD89" s="165">
        <v>2.3643007451678053</v>
      </c>
      <c r="AE89" s="165">
        <v>2.3643007451678053</v>
      </c>
      <c r="AF89" s="165">
        <v>2.3643007451678053</v>
      </c>
      <c r="AG89" s="165">
        <v>2.3643007451678053</v>
      </c>
      <c r="AH89" s="165">
        <v>2.3643007451678053</v>
      </c>
      <c r="AI89" s="165">
        <v>2.3643007451678053</v>
      </c>
      <c r="AJ89" s="165">
        <v>2.3643007451678053</v>
      </c>
      <c r="AK89" s="165">
        <v>2.3643007451678053</v>
      </c>
      <c r="AL89" s="165">
        <v>2.3643007451678053</v>
      </c>
      <c r="AM89" s="165">
        <v>2.3643007451678053</v>
      </c>
      <c r="AN89" s="165">
        <v>2.3643007451678053</v>
      </c>
      <c r="AO89" s="165">
        <v>2.3643007451678053</v>
      </c>
      <c r="AP89" s="165">
        <v>2.3643007451678053</v>
      </c>
      <c r="AQ89" s="165">
        <v>2.3643007451678053</v>
      </c>
      <c r="AR89" s="165">
        <v>2.3643007451678053</v>
      </c>
      <c r="AS89" s="149">
        <f t="shared" ref="AS89:BV89" si="68">AR89</f>
        <v>2.3643007451678053</v>
      </c>
      <c r="AT89" s="149">
        <f t="shared" si="68"/>
        <v>2.3643007451678053</v>
      </c>
      <c r="AU89" s="149">
        <f t="shared" si="68"/>
        <v>2.3643007451678053</v>
      </c>
      <c r="AV89" s="149">
        <f t="shared" si="68"/>
        <v>2.3643007451678053</v>
      </c>
      <c r="AW89" s="149">
        <f t="shared" si="68"/>
        <v>2.3643007451678053</v>
      </c>
      <c r="AX89" s="149">
        <f t="shared" si="68"/>
        <v>2.3643007451678053</v>
      </c>
      <c r="AY89" s="149">
        <f t="shared" si="68"/>
        <v>2.3643007451678053</v>
      </c>
      <c r="AZ89" s="149">
        <f t="shared" si="68"/>
        <v>2.3643007451678053</v>
      </c>
      <c r="BA89" s="149">
        <f t="shared" si="68"/>
        <v>2.3643007451678053</v>
      </c>
      <c r="BB89" s="149">
        <f t="shared" si="68"/>
        <v>2.3643007451678053</v>
      </c>
      <c r="BC89" s="149">
        <f t="shared" si="68"/>
        <v>2.3643007451678053</v>
      </c>
      <c r="BD89" s="149">
        <f t="shared" si="68"/>
        <v>2.3643007451678053</v>
      </c>
      <c r="BE89" s="149">
        <f t="shared" si="68"/>
        <v>2.3643007451678053</v>
      </c>
      <c r="BF89" s="149">
        <f t="shared" si="68"/>
        <v>2.3643007451678053</v>
      </c>
      <c r="BG89" s="149">
        <f t="shared" si="68"/>
        <v>2.3643007451678053</v>
      </c>
      <c r="BH89" s="149">
        <f t="shared" si="68"/>
        <v>2.3643007451678053</v>
      </c>
      <c r="BI89" s="149">
        <f t="shared" si="68"/>
        <v>2.3643007451678053</v>
      </c>
      <c r="BJ89" s="149">
        <f t="shared" si="68"/>
        <v>2.3643007451678053</v>
      </c>
      <c r="BK89" s="149">
        <f t="shared" si="68"/>
        <v>2.3643007451678053</v>
      </c>
      <c r="BL89" s="149">
        <f t="shared" si="68"/>
        <v>2.3643007451678053</v>
      </c>
      <c r="BM89" s="149">
        <f t="shared" si="68"/>
        <v>2.3643007451678053</v>
      </c>
      <c r="BN89" s="149">
        <f t="shared" si="68"/>
        <v>2.3643007451678053</v>
      </c>
      <c r="BO89" s="149">
        <f t="shared" si="68"/>
        <v>2.3643007451678053</v>
      </c>
      <c r="BP89" s="149">
        <f t="shared" si="68"/>
        <v>2.3643007451678053</v>
      </c>
      <c r="BQ89" s="149">
        <f t="shared" si="68"/>
        <v>2.3643007451678053</v>
      </c>
      <c r="BR89" s="149">
        <f t="shared" si="68"/>
        <v>2.3643007451678053</v>
      </c>
      <c r="BS89" s="149">
        <f t="shared" si="68"/>
        <v>2.3643007451678053</v>
      </c>
      <c r="BT89" s="149">
        <f t="shared" si="68"/>
        <v>2.3643007451678053</v>
      </c>
      <c r="BU89" s="149">
        <f t="shared" si="68"/>
        <v>2.3643007451678053</v>
      </c>
      <c r="BV89" s="149">
        <f t="shared" si="68"/>
        <v>2.3643007451678053</v>
      </c>
    </row>
    <row r="90" spans="1:74" x14ac:dyDescent="0.25">
      <c r="A90" s="170" t="s">
        <v>227</v>
      </c>
      <c r="B90" s="148" t="s">
        <v>185</v>
      </c>
      <c r="C90" s="151" t="s">
        <v>220</v>
      </c>
      <c r="D90" s="165"/>
      <c r="E90" s="165"/>
      <c r="F90" s="165"/>
      <c r="G90" s="165"/>
      <c r="H90" s="165"/>
      <c r="I90" s="165"/>
      <c r="J90" s="165"/>
      <c r="K90" s="165"/>
      <c r="L90" s="165"/>
      <c r="M90" s="165"/>
      <c r="N90" s="165"/>
      <c r="O90" s="165"/>
      <c r="P90" s="165"/>
      <c r="Q90" s="165"/>
      <c r="R90" s="165"/>
      <c r="S90" s="165"/>
      <c r="T90" s="165"/>
      <c r="U90" s="165"/>
      <c r="V90" s="165"/>
      <c r="W90" s="165"/>
      <c r="X90" s="165"/>
      <c r="Y90" s="165"/>
      <c r="Z90" s="165"/>
      <c r="AA90" s="165"/>
      <c r="AB90" s="165"/>
      <c r="AC90" s="165"/>
      <c r="AD90" s="165"/>
      <c r="AE90" s="165"/>
      <c r="AF90" s="165"/>
      <c r="AG90" s="165"/>
      <c r="AH90" s="165"/>
      <c r="AI90" s="165"/>
      <c r="AJ90" s="165"/>
      <c r="AK90" s="165"/>
      <c r="AL90" s="165"/>
      <c r="AM90" s="165"/>
      <c r="AN90" s="165"/>
      <c r="AO90" s="165"/>
      <c r="AP90" s="165"/>
      <c r="AQ90" s="165"/>
      <c r="AR90" s="165"/>
      <c r="AS90" s="165"/>
    </row>
    <row r="91" spans="1:74" x14ac:dyDescent="0.25">
      <c r="A91" s="170" t="s">
        <v>228</v>
      </c>
      <c r="B91" s="148" t="s">
        <v>190</v>
      </c>
      <c r="C91" s="151" t="s">
        <v>220</v>
      </c>
      <c r="D91" s="165"/>
      <c r="E91" s="165"/>
      <c r="F91" s="165"/>
      <c r="G91" s="165"/>
      <c r="H91" s="165"/>
      <c r="I91" s="165"/>
      <c r="J91" s="165"/>
      <c r="K91" s="165"/>
      <c r="L91" s="165"/>
      <c r="M91" s="165"/>
      <c r="N91" s="165"/>
      <c r="O91" s="165"/>
      <c r="P91" s="165"/>
      <c r="Q91" s="165"/>
      <c r="R91" s="165"/>
      <c r="S91" s="165"/>
      <c r="T91" s="165"/>
      <c r="U91" s="165"/>
      <c r="V91" s="165"/>
      <c r="W91" s="165"/>
      <c r="X91" s="165"/>
      <c r="Y91" s="165"/>
      <c r="Z91" s="165"/>
      <c r="AA91" s="165"/>
      <c r="AB91" s="165"/>
      <c r="AC91" s="165"/>
      <c r="AD91" s="165"/>
      <c r="AE91" s="165"/>
      <c r="AF91" s="165"/>
      <c r="AG91" s="165"/>
      <c r="AH91" s="165"/>
      <c r="AI91" s="165"/>
      <c r="AJ91" s="165"/>
      <c r="AK91" s="165"/>
      <c r="AL91" s="165"/>
      <c r="AM91" s="165"/>
      <c r="AN91" s="165"/>
      <c r="AO91" s="165"/>
      <c r="AP91" s="165"/>
      <c r="AQ91" s="165"/>
      <c r="AR91" s="165"/>
      <c r="AS91" s="165"/>
    </row>
    <row r="92" spans="1:74" x14ac:dyDescent="0.25">
      <c r="D92" s="158"/>
      <c r="E92" s="158"/>
      <c r="F92" s="158"/>
      <c r="G92" s="158"/>
      <c r="H92" s="158"/>
      <c r="I92" s="158"/>
      <c r="J92" s="158"/>
      <c r="K92" s="158"/>
      <c r="L92" s="158"/>
      <c r="M92" s="158"/>
      <c r="N92" s="158"/>
      <c r="O92" s="158"/>
      <c r="P92" s="158"/>
      <c r="Q92" s="158"/>
      <c r="R92" s="158"/>
      <c r="S92" s="158"/>
      <c r="T92" s="158"/>
      <c r="U92" s="158"/>
      <c r="V92" s="158"/>
      <c r="W92" s="158"/>
      <c r="X92" s="158"/>
      <c r="Y92" s="158"/>
      <c r="Z92" s="158"/>
      <c r="AA92" s="158"/>
      <c r="AB92" s="158"/>
      <c r="AC92" s="158"/>
      <c r="AD92" s="158"/>
      <c r="AE92" s="158"/>
      <c r="AF92" s="158"/>
      <c r="AG92" s="158"/>
      <c r="AH92" s="158"/>
      <c r="AI92" s="158"/>
      <c r="AJ92" s="158"/>
      <c r="AK92" s="158"/>
      <c r="AL92" s="158"/>
      <c r="AM92" s="158"/>
      <c r="AN92" s="158"/>
      <c r="AO92" s="158"/>
      <c r="AP92" s="158"/>
      <c r="AQ92" s="158"/>
      <c r="AR92" s="158"/>
      <c r="AS92" s="158"/>
    </row>
    <row r="93" spans="1:74" s="168" customFormat="1" x14ac:dyDescent="0.25">
      <c r="A93" s="166" t="s">
        <v>55</v>
      </c>
      <c r="B93" s="167"/>
      <c r="I93" s="167"/>
      <c r="J93" s="167"/>
      <c r="K93" s="167"/>
      <c r="L93" s="167"/>
      <c r="M93" s="167"/>
      <c r="N93" s="167"/>
      <c r="O93" s="167"/>
      <c r="P93" s="167"/>
      <c r="Q93" s="167"/>
      <c r="R93" s="167"/>
      <c r="S93" s="167"/>
      <c r="T93" s="167"/>
      <c r="U93" s="167"/>
      <c r="V93" s="167"/>
      <c r="W93" s="167"/>
      <c r="X93" s="167"/>
      <c r="Y93" s="167"/>
      <c r="Z93" s="167"/>
      <c r="AA93" s="167"/>
      <c r="AB93" s="167"/>
      <c r="AC93" s="167"/>
      <c r="AD93" s="167"/>
      <c r="AE93" s="167"/>
      <c r="AF93" s="167"/>
      <c r="AG93" s="167"/>
      <c r="AH93" s="167"/>
      <c r="AI93" s="167"/>
      <c r="AJ93" s="167"/>
      <c r="AK93" s="167"/>
      <c r="AL93" s="167"/>
      <c r="AM93" s="167"/>
      <c r="AN93" s="167"/>
      <c r="AO93" s="167"/>
      <c r="AP93" s="167"/>
      <c r="AQ93" s="167"/>
      <c r="AR93" s="167"/>
      <c r="AS93" s="167"/>
    </row>
    <row r="94" spans="1:74" s="168" customFormat="1" x14ac:dyDescent="0.25">
      <c r="A94" s="166" t="s">
        <v>18</v>
      </c>
      <c r="B94" s="166" t="s">
        <v>229</v>
      </c>
      <c r="I94" s="167"/>
      <c r="J94" s="167"/>
      <c r="K94" s="167"/>
      <c r="L94" s="167"/>
      <c r="M94" s="167"/>
      <c r="N94" s="167"/>
      <c r="O94" s="167"/>
      <c r="P94" s="167"/>
      <c r="Q94" s="167"/>
      <c r="R94" s="167"/>
      <c r="S94" s="167"/>
      <c r="T94" s="167"/>
      <c r="U94" s="167"/>
      <c r="V94" s="167"/>
      <c r="W94" s="167"/>
      <c r="X94" s="167"/>
      <c r="Y94" s="167"/>
      <c r="Z94" s="167"/>
      <c r="AA94" s="167"/>
      <c r="AB94" s="167"/>
      <c r="AC94" s="167"/>
      <c r="AD94" s="167"/>
      <c r="AE94" s="167"/>
      <c r="AF94" s="167"/>
      <c r="AG94" s="167"/>
      <c r="AH94" s="167"/>
      <c r="AI94" s="167"/>
      <c r="AJ94" s="167"/>
      <c r="AK94" s="167"/>
      <c r="AL94" s="167"/>
      <c r="AM94" s="167"/>
      <c r="AN94" s="167"/>
      <c r="AO94" s="167"/>
      <c r="AP94" s="167"/>
      <c r="AQ94" s="167"/>
      <c r="AR94" s="167"/>
      <c r="AS94" s="167"/>
    </row>
    <row r="95" spans="1:74" s="142" customFormat="1" x14ac:dyDescent="0.25">
      <c r="A95" s="147" t="s">
        <v>178</v>
      </c>
      <c r="B95" s="148" t="s">
        <v>179</v>
      </c>
      <c r="C95" s="151" t="s">
        <v>211</v>
      </c>
      <c r="D95" s="171">
        <v>2.2000000000000001E-3</v>
      </c>
      <c r="E95" s="172">
        <v>2.2000000000000001E-3</v>
      </c>
      <c r="F95" s="172">
        <v>2.2000000000000001E-3</v>
      </c>
      <c r="G95" s="172">
        <v>2.2000000000000001E-3</v>
      </c>
      <c r="H95" s="172">
        <v>2.2000000000000001E-3</v>
      </c>
      <c r="I95" s="172">
        <v>2.2000000000000001E-3</v>
      </c>
      <c r="J95" s="172">
        <v>2.2000000000000001E-3</v>
      </c>
      <c r="K95" s="172">
        <v>2.2000000000000001E-3</v>
      </c>
      <c r="L95" s="172">
        <v>2.2000000000000001E-3</v>
      </c>
      <c r="M95" s="172">
        <v>2.2000000000000001E-3</v>
      </c>
      <c r="N95" s="172">
        <v>2.2000000000000001E-3</v>
      </c>
      <c r="O95" s="172">
        <v>2.2000000000000001E-3</v>
      </c>
      <c r="P95" s="172">
        <v>2.2000000000000001E-3</v>
      </c>
      <c r="Q95" s="172">
        <v>2.2000000000000001E-3</v>
      </c>
      <c r="R95" s="172">
        <v>2.2000000000000001E-3</v>
      </c>
      <c r="S95" s="172">
        <v>2.2000000000000001E-3</v>
      </c>
      <c r="T95" s="172">
        <v>2.2000000000000001E-3</v>
      </c>
      <c r="U95" s="172">
        <v>2.2000000000000001E-3</v>
      </c>
      <c r="V95" s="172">
        <v>2.2000000000000001E-3</v>
      </c>
      <c r="W95" s="172">
        <v>2.2000000000000001E-3</v>
      </c>
      <c r="X95" s="172">
        <v>2.2000000000000001E-3</v>
      </c>
      <c r="Y95" s="172">
        <v>2.2000000000000001E-3</v>
      </c>
      <c r="Z95" s="172">
        <v>2.2000000000000001E-3</v>
      </c>
      <c r="AA95" s="172">
        <v>2.2000000000000001E-3</v>
      </c>
      <c r="AB95" s="172">
        <v>2.2000000000000001E-3</v>
      </c>
      <c r="AC95" s="172">
        <v>2.2000000000000001E-3</v>
      </c>
      <c r="AD95" s="172">
        <v>2.2000000000000001E-3</v>
      </c>
      <c r="AE95" s="172">
        <v>2.2000000000000001E-3</v>
      </c>
      <c r="AF95" s="172">
        <v>2.2000000000000001E-3</v>
      </c>
      <c r="AG95" s="172">
        <v>2.2000000000000001E-3</v>
      </c>
      <c r="AH95" s="172">
        <v>2.2000000000000001E-3</v>
      </c>
      <c r="AI95" s="172">
        <v>2.2000000000000001E-3</v>
      </c>
      <c r="AJ95" s="172">
        <v>2.2000000000000001E-3</v>
      </c>
      <c r="AK95" s="172">
        <v>2.2000000000000001E-3</v>
      </c>
      <c r="AL95" s="172">
        <v>2.2000000000000001E-3</v>
      </c>
      <c r="AM95" s="172">
        <v>2.2000000000000001E-3</v>
      </c>
      <c r="AN95" s="172">
        <v>2.2000000000000001E-3</v>
      </c>
      <c r="AO95" s="172">
        <v>2.2000000000000001E-3</v>
      </c>
      <c r="AP95" s="172">
        <v>2.2000000000000001E-3</v>
      </c>
      <c r="AQ95" s="172">
        <v>2.2000000000000001E-3</v>
      </c>
      <c r="AR95" s="172">
        <v>2.2000000000000001E-3</v>
      </c>
      <c r="AS95" s="149">
        <f t="shared" ref="AS95:BV95" si="69">AR95</f>
        <v>2.2000000000000001E-3</v>
      </c>
      <c r="AT95" s="149">
        <f t="shared" si="69"/>
        <v>2.2000000000000001E-3</v>
      </c>
      <c r="AU95" s="149">
        <f t="shared" si="69"/>
        <v>2.2000000000000001E-3</v>
      </c>
      <c r="AV95" s="149">
        <f t="shared" si="69"/>
        <v>2.2000000000000001E-3</v>
      </c>
      <c r="AW95" s="149">
        <f t="shared" si="69"/>
        <v>2.2000000000000001E-3</v>
      </c>
      <c r="AX95" s="149">
        <f t="shared" si="69"/>
        <v>2.2000000000000001E-3</v>
      </c>
      <c r="AY95" s="149">
        <f t="shared" si="69"/>
        <v>2.2000000000000001E-3</v>
      </c>
      <c r="AZ95" s="149">
        <f t="shared" si="69"/>
        <v>2.2000000000000001E-3</v>
      </c>
      <c r="BA95" s="149">
        <f t="shared" si="69"/>
        <v>2.2000000000000001E-3</v>
      </c>
      <c r="BB95" s="149">
        <f t="shared" si="69"/>
        <v>2.2000000000000001E-3</v>
      </c>
      <c r="BC95" s="149">
        <f t="shared" si="69"/>
        <v>2.2000000000000001E-3</v>
      </c>
      <c r="BD95" s="149">
        <f t="shared" si="69"/>
        <v>2.2000000000000001E-3</v>
      </c>
      <c r="BE95" s="149">
        <f t="shared" si="69"/>
        <v>2.2000000000000001E-3</v>
      </c>
      <c r="BF95" s="149">
        <f t="shared" si="69"/>
        <v>2.2000000000000001E-3</v>
      </c>
      <c r="BG95" s="149">
        <f t="shared" si="69"/>
        <v>2.2000000000000001E-3</v>
      </c>
      <c r="BH95" s="149">
        <f t="shared" si="69"/>
        <v>2.2000000000000001E-3</v>
      </c>
      <c r="BI95" s="149">
        <f t="shared" si="69"/>
        <v>2.2000000000000001E-3</v>
      </c>
      <c r="BJ95" s="149">
        <f t="shared" si="69"/>
        <v>2.2000000000000001E-3</v>
      </c>
      <c r="BK95" s="149">
        <f t="shared" si="69"/>
        <v>2.2000000000000001E-3</v>
      </c>
      <c r="BL95" s="149">
        <f t="shared" si="69"/>
        <v>2.2000000000000001E-3</v>
      </c>
      <c r="BM95" s="149">
        <f t="shared" si="69"/>
        <v>2.2000000000000001E-3</v>
      </c>
      <c r="BN95" s="149">
        <f t="shared" si="69"/>
        <v>2.2000000000000001E-3</v>
      </c>
      <c r="BO95" s="149">
        <f t="shared" si="69"/>
        <v>2.2000000000000001E-3</v>
      </c>
      <c r="BP95" s="149">
        <f t="shared" si="69"/>
        <v>2.2000000000000001E-3</v>
      </c>
      <c r="BQ95" s="149">
        <f t="shared" si="69"/>
        <v>2.2000000000000001E-3</v>
      </c>
      <c r="BR95" s="149">
        <f t="shared" si="69"/>
        <v>2.2000000000000001E-3</v>
      </c>
      <c r="BS95" s="149">
        <f t="shared" si="69"/>
        <v>2.2000000000000001E-3</v>
      </c>
      <c r="BT95" s="149">
        <f t="shared" si="69"/>
        <v>2.2000000000000001E-3</v>
      </c>
      <c r="BU95" s="149">
        <f t="shared" si="69"/>
        <v>2.2000000000000001E-3</v>
      </c>
      <c r="BV95" s="149">
        <f t="shared" si="69"/>
        <v>2.2000000000000001E-3</v>
      </c>
    </row>
    <row r="96" spans="1:74" s="142" customFormat="1" x14ac:dyDescent="0.25">
      <c r="A96" s="147" t="s">
        <v>180</v>
      </c>
      <c r="B96" s="148" t="s">
        <v>179</v>
      </c>
      <c r="C96" s="151" t="s">
        <v>211</v>
      </c>
      <c r="D96" s="171">
        <v>2.9E-5</v>
      </c>
      <c r="E96" s="172">
        <v>2.9E-5</v>
      </c>
      <c r="F96" s="172">
        <v>2.9E-5</v>
      </c>
      <c r="G96" s="172">
        <v>2.9E-5</v>
      </c>
      <c r="H96" s="172">
        <v>2.9E-5</v>
      </c>
      <c r="I96" s="172">
        <v>2.9E-5</v>
      </c>
      <c r="J96" s="172">
        <v>2.9E-5</v>
      </c>
      <c r="K96" s="172">
        <v>2.9E-5</v>
      </c>
      <c r="L96" s="172">
        <v>2.9E-5</v>
      </c>
      <c r="M96" s="172">
        <v>2.9E-5</v>
      </c>
      <c r="N96" s="172">
        <v>2.9E-5</v>
      </c>
      <c r="O96" s="172">
        <v>2.9E-5</v>
      </c>
      <c r="P96" s="172">
        <v>2.9E-5</v>
      </c>
      <c r="Q96" s="172">
        <v>2.9E-5</v>
      </c>
      <c r="R96" s="172">
        <v>2.9E-5</v>
      </c>
      <c r="S96" s="172">
        <v>2.9E-5</v>
      </c>
      <c r="T96" s="172">
        <v>2.9E-5</v>
      </c>
      <c r="U96" s="172">
        <v>2.9E-5</v>
      </c>
      <c r="V96" s="172">
        <v>2.9E-5</v>
      </c>
      <c r="W96" s="172">
        <v>2.9E-5</v>
      </c>
      <c r="X96" s="172">
        <v>2.9E-5</v>
      </c>
      <c r="Y96" s="172">
        <v>2.9E-5</v>
      </c>
      <c r="Z96" s="172">
        <v>2.9E-5</v>
      </c>
      <c r="AA96" s="172">
        <v>2.9E-5</v>
      </c>
      <c r="AB96" s="172">
        <v>2.9E-5</v>
      </c>
      <c r="AC96" s="172">
        <v>2.9E-5</v>
      </c>
      <c r="AD96" s="172">
        <v>2.9E-5</v>
      </c>
      <c r="AE96" s="172">
        <v>2.9E-5</v>
      </c>
      <c r="AF96" s="172">
        <v>2.9E-5</v>
      </c>
      <c r="AG96" s="172">
        <v>2.9E-5</v>
      </c>
      <c r="AH96" s="172">
        <v>2.9E-5</v>
      </c>
      <c r="AI96" s="172">
        <v>2.9E-5</v>
      </c>
      <c r="AJ96" s="172">
        <v>2.9E-5</v>
      </c>
      <c r="AK96" s="172">
        <v>2.9E-5</v>
      </c>
      <c r="AL96" s="172">
        <v>2.9E-5</v>
      </c>
      <c r="AM96" s="172">
        <v>2.9E-5</v>
      </c>
      <c r="AN96" s="172">
        <v>2.9E-5</v>
      </c>
      <c r="AO96" s="172">
        <v>2.9E-5</v>
      </c>
      <c r="AP96" s="172">
        <v>2.9E-5</v>
      </c>
      <c r="AQ96" s="172">
        <v>2.9E-5</v>
      </c>
      <c r="AR96" s="172">
        <v>2.9E-5</v>
      </c>
      <c r="AS96" s="149">
        <f t="shared" ref="AS96:BV96" si="70">AR96</f>
        <v>2.9E-5</v>
      </c>
      <c r="AT96" s="149">
        <f t="shared" si="70"/>
        <v>2.9E-5</v>
      </c>
      <c r="AU96" s="149">
        <f t="shared" si="70"/>
        <v>2.9E-5</v>
      </c>
      <c r="AV96" s="149">
        <f t="shared" si="70"/>
        <v>2.9E-5</v>
      </c>
      <c r="AW96" s="149">
        <f t="shared" si="70"/>
        <v>2.9E-5</v>
      </c>
      <c r="AX96" s="149">
        <f t="shared" si="70"/>
        <v>2.9E-5</v>
      </c>
      <c r="AY96" s="149">
        <f t="shared" si="70"/>
        <v>2.9E-5</v>
      </c>
      <c r="AZ96" s="149">
        <f t="shared" si="70"/>
        <v>2.9E-5</v>
      </c>
      <c r="BA96" s="149">
        <f t="shared" si="70"/>
        <v>2.9E-5</v>
      </c>
      <c r="BB96" s="149">
        <f t="shared" si="70"/>
        <v>2.9E-5</v>
      </c>
      <c r="BC96" s="149">
        <f t="shared" si="70"/>
        <v>2.9E-5</v>
      </c>
      <c r="BD96" s="149">
        <f t="shared" si="70"/>
        <v>2.9E-5</v>
      </c>
      <c r="BE96" s="149">
        <f t="shared" si="70"/>
        <v>2.9E-5</v>
      </c>
      <c r="BF96" s="149">
        <f t="shared" si="70"/>
        <v>2.9E-5</v>
      </c>
      <c r="BG96" s="149">
        <f t="shared" si="70"/>
        <v>2.9E-5</v>
      </c>
      <c r="BH96" s="149">
        <f t="shared" si="70"/>
        <v>2.9E-5</v>
      </c>
      <c r="BI96" s="149">
        <f t="shared" si="70"/>
        <v>2.9E-5</v>
      </c>
      <c r="BJ96" s="149">
        <f t="shared" si="70"/>
        <v>2.9E-5</v>
      </c>
      <c r="BK96" s="149">
        <f t="shared" si="70"/>
        <v>2.9E-5</v>
      </c>
      <c r="BL96" s="149">
        <f t="shared" si="70"/>
        <v>2.9E-5</v>
      </c>
      <c r="BM96" s="149">
        <f t="shared" si="70"/>
        <v>2.9E-5</v>
      </c>
      <c r="BN96" s="149">
        <f t="shared" si="70"/>
        <v>2.9E-5</v>
      </c>
      <c r="BO96" s="149">
        <f t="shared" si="70"/>
        <v>2.9E-5</v>
      </c>
      <c r="BP96" s="149">
        <f t="shared" si="70"/>
        <v>2.9E-5</v>
      </c>
      <c r="BQ96" s="149">
        <f t="shared" si="70"/>
        <v>2.9E-5</v>
      </c>
      <c r="BR96" s="149">
        <f t="shared" si="70"/>
        <v>2.9E-5</v>
      </c>
      <c r="BS96" s="149">
        <f t="shared" si="70"/>
        <v>2.9E-5</v>
      </c>
      <c r="BT96" s="149">
        <f t="shared" si="70"/>
        <v>2.9E-5</v>
      </c>
      <c r="BU96" s="149">
        <f t="shared" si="70"/>
        <v>2.9E-5</v>
      </c>
      <c r="BV96" s="149">
        <f t="shared" si="70"/>
        <v>2.9E-5</v>
      </c>
    </row>
    <row r="97" spans="1:74" s="142" customFormat="1" x14ac:dyDescent="0.25">
      <c r="A97" s="141" t="s">
        <v>181</v>
      </c>
      <c r="B97" s="148" t="s">
        <v>179</v>
      </c>
      <c r="C97" s="154" t="s">
        <v>12</v>
      </c>
      <c r="D97" s="173">
        <v>1.3300000000000001E-4</v>
      </c>
      <c r="E97" s="173">
        <v>1.3300000000000001E-4</v>
      </c>
      <c r="F97" s="173">
        <v>1.3300000000000001E-4</v>
      </c>
      <c r="G97" s="173">
        <v>1.3300000000000001E-4</v>
      </c>
      <c r="H97" s="173">
        <v>1.3300000000000001E-4</v>
      </c>
      <c r="I97" s="173">
        <v>1.3300000000000001E-4</v>
      </c>
      <c r="J97" s="173">
        <v>1.3300000000000001E-4</v>
      </c>
      <c r="K97" s="173">
        <v>1.3300000000000001E-4</v>
      </c>
      <c r="L97" s="173">
        <v>1.3300000000000001E-4</v>
      </c>
      <c r="M97" s="173">
        <v>1.3300000000000001E-4</v>
      </c>
      <c r="N97" s="173">
        <v>1.3300000000000001E-4</v>
      </c>
      <c r="O97" s="173">
        <v>1.3300000000000001E-4</v>
      </c>
      <c r="P97" s="173">
        <v>1.3300000000000001E-4</v>
      </c>
      <c r="Q97" s="173">
        <v>1.3300000000000001E-4</v>
      </c>
      <c r="R97" s="173">
        <v>1.3300000000000001E-4</v>
      </c>
      <c r="S97" s="173">
        <v>1.3300000000000001E-4</v>
      </c>
      <c r="T97" s="173">
        <v>1.3300000000000001E-4</v>
      </c>
      <c r="U97" s="173">
        <v>1.3300000000000001E-4</v>
      </c>
      <c r="V97" s="173">
        <v>1.3300000000000001E-4</v>
      </c>
      <c r="W97" s="173">
        <v>1.3300000000000001E-4</v>
      </c>
      <c r="X97" s="173">
        <v>1.3300000000000001E-4</v>
      </c>
      <c r="Y97" s="173">
        <v>1.3300000000000001E-4</v>
      </c>
      <c r="Z97" s="173">
        <v>1.3300000000000001E-4</v>
      </c>
      <c r="AA97" s="173">
        <v>1.3300000000000001E-4</v>
      </c>
      <c r="AB97" s="173">
        <v>1.3300000000000001E-4</v>
      </c>
      <c r="AC97" s="173">
        <v>1.3300000000000001E-4</v>
      </c>
      <c r="AD97" s="173">
        <v>1.3300000000000001E-4</v>
      </c>
      <c r="AE97" s="173">
        <v>1.3300000000000001E-4</v>
      </c>
      <c r="AF97" s="173">
        <v>1.3300000000000001E-4</v>
      </c>
      <c r="AG97" s="173">
        <v>1.3300000000000001E-4</v>
      </c>
      <c r="AH97" s="173">
        <v>1.3300000000000001E-4</v>
      </c>
      <c r="AI97" s="173">
        <v>1.3300000000000001E-4</v>
      </c>
      <c r="AJ97" s="173">
        <v>1.3300000000000001E-4</v>
      </c>
      <c r="AK97" s="173">
        <v>1.3300000000000001E-4</v>
      </c>
      <c r="AL97" s="173">
        <v>1.3300000000000001E-4</v>
      </c>
      <c r="AM97" s="173">
        <v>1.3300000000000001E-4</v>
      </c>
      <c r="AN97" s="173">
        <v>1.3300000000000001E-4</v>
      </c>
      <c r="AO97" s="173">
        <v>1.3300000000000001E-4</v>
      </c>
      <c r="AP97" s="173">
        <v>1.3300000000000001E-4</v>
      </c>
      <c r="AQ97" s="173">
        <v>1.3300000000000001E-4</v>
      </c>
      <c r="AR97" s="173">
        <v>1.3300000000000001E-4</v>
      </c>
      <c r="AS97" s="149">
        <f t="shared" ref="AS97:BV97" si="71">AR97</f>
        <v>1.3300000000000001E-4</v>
      </c>
      <c r="AT97" s="149">
        <f t="shared" si="71"/>
        <v>1.3300000000000001E-4</v>
      </c>
      <c r="AU97" s="149">
        <f t="shared" si="71"/>
        <v>1.3300000000000001E-4</v>
      </c>
      <c r="AV97" s="149">
        <f t="shared" si="71"/>
        <v>1.3300000000000001E-4</v>
      </c>
      <c r="AW97" s="149">
        <f t="shared" si="71"/>
        <v>1.3300000000000001E-4</v>
      </c>
      <c r="AX97" s="149">
        <f t="shared" si="71"/>
        <v>1.3300000000000001E-4</v>
      </c>
      <c r="AY97" s="149">
        <f t="shared" si="71"/>
        <v>1.3300000000000001E-4</v>
      </c>
      <c r="AZ97" s="149">
        <f t="shared" si="71"/>
        <v>1.3300000000000001E-4</v>
      </c>
      <c r="BA97" s="149">
        <f t="shared" si="71"/>
        <v>1.3300000000000001E-4</v>
      </c>
      <c r="BB97" s="149">
        <f t="shared" si="71"/>
        <v>1.3300000000000001E-4</v>
      </c>
      <c r="BC97" s="149">
        <f t="shared" si="71"/>
        <v>1.3300000000000001E-4</v>
      </c>
      <c r="BD97" s="149">
        <f t="shared" si="71"/>
        <v>1.3300000000000001E-4</v>
      </c>
      <c r="BE97" s="149">
        <f t="shared" si="71"/>
        <v>1.3300000000000001E-4</v>
      </c>
      <c r="BF97" s="149">
        <f t="shared" si="71"/>
        <v>1.3300000000000001E-4</v>
      </c>
      <c r="BG97" s="149">
        <f t="shared" si="71"/>
        <v>1.3300000000000001E-4</v>
      </c>
      <c r="BH97" s="149">
        <f t="shared" si="71"/>
        <v>1.3300000000000001E-4</v>
      </c>
      <c r="BI97" s="149">
        <f t="shared" si="71"/>
        <v>1.3300000000000001E-4</v>
      </c>
      <c r="BJ97" s="149">
        <f t="shared" si="71"/>
        <v>1.3300000000000001E-4</v>
      </c>
      <c r="BK97" s="149">
        <f t="shared" si="71"/>
        <v>1.3300000000000001E-4</v>
      </c>
      <c r="BL97" s="149">
        <f t="shared" si="71"/>
        <v>1.3300000000000001E-4</v>
      </c>
      <c r="BM97" s="149">
        <f t="shared" si="71"/>
        <v>1.3300000000000001E-4</v>
      </c>
      <c r="BN97" s="149">
        <f t="shared" si="71"/>
        <v>1.3300000000000001E-4</v>
      </c>
      <c r="BO97" s="149">
        <f t="shared" si="71"/>
        <v>1.3300000000000001E-4</v>
      </c>
      <c r="BP97" s="149">
        <f t="shared" si="71"/>
        <v>1.3300000000000001E-4</v>
      </c>
      <c r="BQ97" s="149">
        <f t="shared" si="71"/>
        <v>1.3300000000000001E-4</v>
      </c>
      <c r="BR97" s="149">
        <f t="shared" si="71"/>
        <v>1.3300000000000001E-4</v>
      </c>
      <c r="BS97" s="149">
        <f t="shared" si="71"/>
        <v>1.3300000000000001E-4</v>
      </c>
      <c r="BT97" s="149">
        <f t="shared" si="71"/>
        <v>1.3300000000000001E-4</v>
      </c>
      <c r="BU97" s="149">
        <f t="shared" si="71"/>
        <v>1.3300000000000001E-4</v>
      </c>
      <c r="BV97" s="149">
        <f t="shared" si="71"/>
        <v>1.3300000000000001E-4</v>
      </c>
    </row>
    <row r="98" spans="1:74" x14ac:dyDescent="0.25">
      <c r="A98" s="141" t="s">
        <v>183</v>
      </c>
      <c r="B98" s="148" t="s">
        <v>179</v>
      </c>
      <c r="C98" s="151" t="s">
        <v>212</v>
      </c>
      <c r="D98" s="171">
        <v>2.4000000000000001E-5</v>
      </c>
      <c r="E98" s="174">
        <v>2.4000000000000001E-5</v>
      </c>
      <c r="F98" s="174">
        <v>2.4000000000000001E-5</v>
      </c>
      <c r="G98" s="174">
        <v>2.4000000000000001E-5</v>
      </c>
      <c r="H98" s="174">
        <v>2.4000000000000001E-5</v>
      </c>
      <c r="I98" s="174">
        <v>2.4000000000000001E-5</v>
      </c>
      <c r="J98" s="174">
        <v>2.4000000000000001E-5</v>
      </c>
      <c r="K98" s="174">
        <v>2.4000000000000001E-5</v>
      </c>
      <c r="L98" s="174">
        <v>2.4000000000000001E-5</v>
      </c>
      <c r="M98" s="174">
        <v>2.4000000000000001E-5</v>
      </c>
      <c r="N98" s="174">
        <v>2.4000000000000001E-5</v>
      </c>
      <c r="O98" s="174">
        <v>2.4000000000000001E-5</v>
      </c>
      <c r="P98" s="174">
        <v>2.4000000000000001E-5</v>
      </c>
      <c r="Q98" s="174">
        <v>2.4000000000000001E-5</v>
      </c>
      <c r="R98" s="174">
        <v>2.4000000000000001E-5</v>
      </c>
      <c r="S98" s="174">
        <v>2.4000000000000001E-5</v>
      </c>
      <c r="T98" s="174">
        <v>2.4000000000000001E-5</v>
      </c>
      <c r="U98" s="174">
        <v>2.4000000000000001E-5</v>
      </c>
      <c r="V98" s="174">
        <v>2.4000000000000001E-5</v>
      </c>
      <c r="W98" s="174">
        <v>2.4000000000000001E-5</v>
      </c>
      <c r="X98" s="174">
        <v>2.4000000000000001E-5</v>
      </c>
      <c r="Y98" s="174">
        <v>2.4000000000000001E-5</v>
      </c>
      <c r="Z98" s="174">
        <v>2.4000000000000001E-5</v>
      </c>
      <c r="AA98" s="174">
        <v>2.4000000000000001E-5</v>
      </c>
      <c r="AB98" s="174">
        <v>2.4000000000000001E-5</v>
      </c>
      <c r="AC98" s="174">
        <v>2.4000000000000001E-5</v>
      </c>
      <c r="AD98" s="174">
        <v>2.4000000000000001E-5</v>
      </c>
      <c r="AE98" s="174">
        <v>2.4000000000000001E-5</v>
      </c>
      <c r="AF98" s="174">
        <v>2.4000000000000001E-5</v>
      </c>
      <c r="AG98" s="174">
        <v>2.4000000000000001E-5</v>
      </c>
      <c r="AH98" s="174">
        <v>2.4000000000000001E-5</v>
      </c>
      <c r="AI98" s="174">
        <v>2.4000000000000001E-5</v>
      </c>
      <c r="AJ98" s="174">
        <v>2.4000000000000001E-5</v>
      </c>
      <c r="AK98" s="174">
        <v>2.4000000000000001E-5</v>
      </c>
      <c r="AL98" s="174">
        <v>2.4000000000000001E-5</v>
      </c>
      <c r="AM98" s="174">
        <v>2.4000000000000001E-5</v>
      </c>
      <c r="AN98" s="174">
        <v>2.4000000000000001E-5</v>
      </c>
      <c r="AO98" s="174">
        <v>2.4000000000000001E-5</v>
      </c>
      <c r="AP98" s="174">
        <v>2.4000000000000001E-5</v>
      </c>
      <c r="AQ98" s="174">
        <v>2.4000000000000001E-5</v>
      </c>
      <c r="AR98" s="174">
        <v>2.4000000000000001E-5</v>
      </c>
      <c r="AS98" s="149">
        <f t="shared" ref="AS98:BV98" si="72">AR98</f>
        <v>2.4000000000000001E-5</v>
      </c>
      <c r="AT98" s="149">
        <f t="shared" si="72"/>
        <v>2.4000000000000001E-5</v>
      </c>
      <c r="AU98" s="149">
        <f t="shared" si="72"/>
        <v>2.4000000000000001E-5</v>
      </c>
      <c r="AV98" s="149">
        <f t="shared" si="72"/>
        <v>2.4000000000000001E-5</v>
      </c>
      <c r="AW98" s="149">
        <f t="shared" si="72"/>
        <v>2.4000000000000001E-5</v>
      </c>
      <c r="AX98" s="149">
        <f t="shared" si="72"/>
        <v>2.4000000000000001E-5</v>
      </c>
      <c r="AY98" s="149">
        <f t="shared" si="72"/>
        <v>2.4000000000000001E-5</v>
      </c>
      <c r="AZ98" s="149">
        <f t="shared" si="72"/>
        <v>2.4000000000000001E-5</v>
      </c>
      <c r="BA98" s="149">
        <f t="shared" si="72"/>
        <v>2.4000000000000001E-5</v>
      </c>
      <c r="BB98" s="149">
        <f t="shared" si="72"/>
        <v>2.4000000000000001E-5</v>
      </c>
      <c r="BC98" s="149">
        <f t="shared" si="72"/>
        <v>2.4000000000000001E-5</v>
      </c>
      <c r="BD98" s="149">
        <f t="shared" si="72"/>
        <v>2.4000000000000001E-5</v>
      </c>
      <c r="BE98" s="149">
        <f t="shared" si="72"/>
        <v>2.4000000000000001E-5</v>
      </c>
      <c r="BF98" s="149">
        <f t="shared" si="72"/>
        <v>2.4000000000000001E-5</v>
      </c>
      <c r="BG98" s="149">
        <f t="shared" si="72"/>
        <v>2.4000000000000001E-5</v>
      </c>
      <c r="BH98" s="149">
        <f t="shared" si="72"/>
        <v>2.4000000000000001E-5</v>
      </c>
      <c r="BI98" s="149">
        <f t="shared" si="72"/>
        <v>2.4000000000000001E-5</v>
      </c>
      <c r="BJ98" s="149">
        <f t="shared" si="72"/>
        <v>2.4000000000000001E-5</v>
      </c>
      <c r="BK98" s="149">
        <f t="shared" si="72"/>
        <v>2.4000000000000001E-5</v>
      </c>
      <c r="BL98" s="149">
        <f t="shared" si="72"/>
        <v>2.4000000000000001E-5</v>
      </c>
      <c r="BM98" s="149">
        <f t="shared" si="72"/>
        <v>2.4000000000000001E-5</v>
      </c>
      <c r="BN98" s="149">
        <f t="shared" si="72"/>
        <v>2.4000000000000001E-5</v>
      </c>
      <c r="BO98" s="149">
        <f t="shared" si="72"/>
        <v>2.4000000000000001E-5</v>
      </c>
      <c r="BP98" s="149">
        <f t="shared" si="72"/>
        <v>2.4000000000000001E-5</v>
      </c>
      <c r="BQ98" s="149">
        <f t="shared" si="72"/>
        <v>2.4000000000000001E-5</v>
      </c>
      <c r="BR98" s="149">
        <f t="shared" si="72"/>
        <v>2.4000000000000001E-5</v>
      </c>
      <c r="BS98" s="149">
        <f t="shared" si="72"/>
        <v>2.4000000000000001E-5</v>
      </c>
      <c r="BT98" s="149">
        <f t="shared" si="72"/>
        <v>2.4000000000000001E-5</v>
      </c>
      <c r="BU98" s="149">
        <f t="shared" si="72"/>
        <v>2.4000000000000001E-5</v>
      </c>
      <c r="BV98" s="149">
        <f t="shared" si="72"/>
        <v>2.4000000000000001E-5</v>
      </c>
    </row>
    <row r="99" spans="1:74" x14ac:dyDescent="0.25">
      <c r="A99" s="147" t="s">
        <v>184</v>
      </c>
      <c r="B99" s="151" t="s">
        <v>185</v>
      </c>
      <c r="C99" s="151" t="s">
        <v>230</v>
      </c>
      <c r="D99" s="171">
        <v>3.0000000000000001E-5</v>
      </c>
      <c r="E99" s="174">
        <v>3.0000000000000001E-5</v>
      </c>
      <c r="F99" s="174">
        <v>3.0000000000000001E-5</v>
      </c>
      <c r="G99" s="174">
        <v>3.0000000000000001E-5</v>
      </c>
      <c r="H99" s="174">
        <v>3.0000000000000001E-5</v>
      </c>
      <c r="I99" s="174">
        <v>3.0000000000000001E-5</v>
      </c>
      <c r="J99" s="174">
        <v>3.0000000000000001E-5</v>
      </c>
      <c r="K99" s="174">
        <v>3.0000000000000001E-5</v>
      </c>
      <c r="L99" s="174">
        <v>3.0000000000000001E-5</v>
      </c>
      <c r="M99" s="174">
        <v>3.0000000000000001E-5</v>
      </c>
      <c r="N99" s="174">
        <v>3.0000000000000001E-5</v>
      </c>
      <c r="O99" s="174">
        <v>3.0000000000000001E-5</v>
      </c>
      <c r="P99" s="174">
        <v>3.0000000000000001E-5</v>
      </c>
      <c r="Q99" s="174">
        <v>3.0000000000000001E-5</v>
      </c>
      <c r="R99" s="174">
        <v>3.0000000000000001E-5</v>
      </c>
      <c r="S99" s="174">
        <v>3.0000000000000001E-5</v>
      </c>
      <c r="T99" s="174">
        <v>3.0000000000000001E-5</v>
      </c>
      <c r="U99" s="174">
        <v>3.0000000000000001E-5</v>
      </c>
      <c r="V99" s="174">
        <v>3.0000000000000001E-5</v>
      </c>
      <c r="W99" s="174">
        <v>3.0000000000000001E-5</v>
      </c>
      <c r="X99" s="174">
        <v>3.0000000000000001E-5</v>
      </c>
      <c r="Y99" s="174">
        <v>3.0000000000000001E-5</v>
      </c>
      <c r="Z99" s="174">
        <v>3.0000000000000001E-5</v>
      </c>
      <c r="AA99" s="174">
        <v>3.0000000000000001E-5</v>
      </c>
      <c r="AB99" s="174">
        <v>3.0000000000000001E-5</v>
      </c>
      <c r="AC99" s="174">
        <v>3.0000000000000001E-5</v>
      </c>
      <c r="AD99" s="174">
        <v>3.0000000000000001E-5</v>
      </c>
      <c r="AE99" s="174">
        <v>3.0000000000000001E-5</v>
      </c>
      <c r="AF99" s="174">
        <v>3.0000000000000001E-5</v>
      </c>
      <c r="AG99" s="174">
        <v>3.0000000000000001E-5</v>
      </c>
      <c r="AH99" s="174">
        <v>3.0000000000000001E-5</v>
      </c>
      <c r="AI99" s="174">
        <v>3.0000000000000001E-5</v>
      </c>
      <c r="AJ99" s="174">
        <v>3.0000000000000001E-5</v>
      </c>
      <c r="AK99" s="174">
        <v>3.0000000000000001E-5</v>
      </c>
      <c r="AL99" s="174">
        <v>3.0000000000000001E-5</v>
      </c>
      <c r="AM99" s="174">
        <v>3.0000000000000001E-5</v>
      </c>
      <c r="AN99" s="174">
        <v>3.0000000000000001E-5</v>
      </c>
      <c r="AO99" s="174">
        <v>3.0000000000000001E-5</v>
      </c>
      <c r="AP99" s="174">
        <v>3.0000000000000001E-5</v>
      </c>
      <c r="AQ99" s="174">
        <v>3.0000000000000001E-5</v>
      </c>
      <c r="AR99" s="174">
        <v>3.0000000000000001E-5</v>
      </c>
      <c r="AS99" s="149">
        <f t="shared" ref="AS99:BV99" si="73">AR99</f>
        <v>3.0000000000000001E-5</v>
      </c>
      <c r="AT99" s="149">
        <f t="shared" si="73"/>
        <v>3.0000000000000001E-5</v>
      </c>
      <c r="AU99" s="149">
        <f t="shared" si="73"/>
        <v>3.0000000000000001E-5</v>
      </c>
      <c r="AV99" s="149">
        <f t="shared" si="73"/>
        <v>3.0000000000000001E-5</v>
      </c>
      <c r="AW99" s="149">
        <f t="shared" si="73"/>
        <v>3.0000000000000001E-5</v>
      </c>
      <c r="AX99" s="149">
        <f t="shared" si="73"/>
        <v>3.0000000000000001E-5</v>
      </c>
      <c r="AY99" s="149">
        <f t="shared" si="73"/>
        <v>3.0000000000000001E-5</v>
      </c>
      <c r="AZ99" s="149">
        <f t="shared" si="73"/>
        <v>3.0000000000000001E-5</v>
      </c>
      <c r="BA99" s="149">
        <f t="shared" si="73"/>
        <v>3.0000000000000001E-5</v>
      </c>
      <c r="BB99" s="149">
        <f t="shared" si="73"/>
        <v>3.0000000000000001E-5</v>
      </c>
      <c r="BC99" s="149">
        <f t="shared" si="73"/>
        <v>3.0000000000000001E-5</v>
      </c>
      <c r="BD99" s="149">
        <f t="shared" si="73"/>
        <v>3.0000000000000001E-5</v>
      </c>
      <c r="BE99" s="149">
        <f t="shared" si="73"/>
        <v>3.0000000000000001E-5</v>
      </c>
      <c r="BF99" s="149">
        <f t="shared" si="73"/>
        <v>3.0000000000000001E-5</v>
      </c>
      <c r="BG99" s="149">
        <f t="shared" si="73"/>
        <v>3.0000000000000001E-5</v>
      </c>
      <c r="BH99" s="149">
        <f t="shared" si="73"/>
        <v>3.0000000000000001E-5</v>
      </c>
      <c r="BI99" s="149">
        <f t="shared" si="73"/>
        <v>3.0000000000000001E-5</v>
      </c>
      <c r="BJ99" s="149">
        <f t="shared" si="73"/>
        <v>3.0000000000000001E-5</v>
      </c>
      <c r="BK99" s="149">
        <f t="shared" si="73"/>
        <v>3.0000000000000001E-5</v>
      </c>
      <c r="BL99" s="149">
        <f t="shared" si="73"/>
        <v>3.0000000000000001E-5</v>
      </c>
      <c r="BM99" s="149">
        <f t="shared" si="73"/>
        <v>3.0000000000000001E-5</v>
      </c>
      <c r="BN99" s="149">
        <f t="shared" si="73"/>
        <v>3.0000000000000001E-5</v>
      </c>
      <c r="BO99" s="149">
        <f t="shared" si="73"/>
        <v>3.0000000000000001E-5</v>
      </c>
      <c r="BP99" s="149">
        <f t="shared" si="73"/>
        <v>3.0000000000000001E-5</v>
      </c>
      <c r="BQ99" s="149">
        <f t="shared" si="73"/>
        <v>3.0000000000000001E-5</v>
      </c>
      <c r="BR99" s="149">
        <f t="shared" si="73"/>
        <v>3.0000000000000001E-5</v>
      </c>
      <c r="BS99" s="149">
        <f t="shared" si="73"/>
        <v>3.0000000000000001E-5</v>
      </c>
      <c r="BT99" s="149">
        <f t="shared" si="73"/>
        <v>3.0000000000000001E-5</v>
      </c>
      <c r="BU99" s="149">
        <f t="shared" si="73"/>
        <v>3.0000000000000001E-5</v>
      </c>
      <c r="BV99" s="149">
        <f t="shared" si="73"/>
        <v>3.0000000000000001E-5</v>
      </c>
    </row>
    <row r="100" spans="1:74" x14ac:dyDescent="0.25">
      <c r="A100" s="147" t="s">
        <v>186</v>
      </c>
      <c r="B100" s="151" t="s">
        <v>185</v>
      </c>
      <c r="C100" s="151" t="s">
        <v>230</v>
      </c>
      <c r="D100" s="171">
        <v>3.0000000000000001E-5</v>
      </c>
      <c r="E100" s="174">
        <v>3.0000000000000001E-5</v>
      </c>
      <c r="F100" s="174">
        <v>3.0000000000000001E-5</v>
      </c>
      <c r="G100" s="174">
        <v>3.0000000000000001E-5</v>
      </c>
      <c r="H100" s="174">
        <v>3.0000000000000001E-5</v>
      </c>
      <c r="I100" s="174">
        <v>3.0000000000000001E-5</v>
      </c>
      <c r="J100" s="174">
        <v>3.0000000000000001E-5</v>
      </c>
      <c r="K100" s="174">
        <v>3.0000000000000001E-5</v>
      </c>
      <c r="L100" s="174">
        <v>3.0000000000000001E-5</v>
      </c>
      <c r="M100" s="174">
        <v>3.0000000000000001E-5</v>
      </c>
      <c r="N100" s="174">
        <v>3.0000000000000001E-5</v>
      </c>
      <c r="O100" s="174">
        <v>3.0000000000000001E-5</v>
      </c>
      <c r="P100" s="174">
        <v>3.0000000000000001E-5</v>
      </c>
      <c r="Q100" s="174">
        <v>3.0000000000000001E-5</v>
      </c>
      <c r="R100" s="174">
        <v>3.0000000000000001E-5</v>
      </c>
      <c r="S100" s="174">
        <v>3.0000000000000001E-5</v>
      </c>
      <c r="T100" s="174">
        <v>3.0000000000000001E-5</v>
      </c>
      <c r="U100" s="174">
        <v>3.0000000000000001E-5</v>
      </c>
      <c r="V100" s="174">
        <v>3.0000000000000001E-5</v>
      </c>
      <c r="W100" s="174">
        <v>3.0000000000000001E-5</v>
      </c>
      <c r="X100" s="174">
        <v>3.0000000000000001E-5</v>
      </c>
      <c r="Y100" s="174">
        <v>3.0000000000000001E-5</v>
      </c>
      <c r="Z100" s="174">
        <v>3.0000000000000001E-5</v>
      </c>
      <c r="AA100" s="174">
        <v>3.0000000000000001E-5</v>
      </c>
      <c r="AB100" s="174">
        <v>3.0000000000000001E-5</v>
      </c>
      <c r="AC100" s="174">
        <v>3.0000000000000001E-5</v>
      </c>
      <c r="AD100" s="174">
        <v>3.0000000000000001E-5</v>
      </c>
      <c r="AE100" s="174">
        <v>3.0000000000000001E-5</v>
      </c>
      <c r="AF100" s="174">
        <v>3.0000000000000001E-5</v>
      </c>
      <c r="AG100" s="174">
        <v>3.0000000000000001E-5</v>
      </c>
      <c r="AH100" s="174">
        <v>3.0000000000000001E-5</v>
      </c>
      <c r="AI100" s="174">
        <v>3.0000000000000001E-5</v>
      </c>
      <c r="AJ100" s="174">
        <v>3.0000000000000001E-5</v>
      </c>
      <c r="AK100" s="174">
        <v>3.0000000000000001E-5</v>
      </c>
      <c r="AL100" s="174">
        <v>3.0000000000000001E-5</v>
      </c>
      <c r="AM100" s="174">
        <v>3.0000000000000001E-5</v>
      </c>
      <c r="AN100" s="174">
        <v>3.0000000000000001E-5</v>
      </c>
      <c r="AO100" s="174">
        <v>3.0000000000000001E-5</v>
      </c>
      <c r="AP100" s="174">
        <v>3.0000000000000001E-5</v>
      </c>
      <c r="AQ100" s="174">
        <v>3.0000000000000001E-5</v>
      </c>
      <c r="AR100" s="174">
        <v>3.0000000000000001E-5</v>
      </c>
      <c r="AS100" s="149">
        <f t="shared" ref="AS100:BV100" si="74">AR100</f>
        <v>3.0000000000000001E-5</v>
      </c>
      <c r="AT100" s="149">
        <f t="shared" si="74"/>
        <v>3.0000000000000001E-5</v>
      </c>
      <c r="AU100" s="149">
        <f t="shared" si="74"/>
        <v>3.0000000000000001E-5</v>
      </c>
      <c r="AV100" s="149">
        <f t="shared" si="74"/>
        <v>3.0000000000000001E-5</v>
      </c>
      <c r="AW100" s="149">
        <f t="shared" si="74"/>
        <v>3.0000000000000001E-5</v>
      </c>
      <c r="AX100" s="149">
        <f t="shared" si="74"/>
        <v>3.0000000000000001E-5</v>
      </c>
      <c r="AY100" s="149">
        <f t="shared" si="74"/>
        <v>3.0000000000000001E-5</v>
      </c>
      <c r="AZ100" s="149">
        <f t="shared" si="74"/>
        <v>3.0000000000000001E-5</v>
      </c>
      <c r="BA100" s="149">
        <f t="shared" si="74"/>
        <v>3.0000000000000001E-5</v>
      </c>
      <c r="BB100" s="149">
        <f t="shared" si="74"/>
        <v>3.0000000000000001E-5</v>
      </c>
      <c r="BC100" s="149">
        <f t="shared" si="74"/>
        <v>3.0000000000000001E-5</v>
      </c>
      <c r="BD100" s="149">
        <f t="shared" si="74"/>
        <v>3.0000000000000001E-5</v>
      </c>
      <c r="BE100" s="149">
        <f t="shared" si="74"/>
        <v>3.0000000000000001E-5</v>
      </c>
      <c r="BF100" s="149">
        <f t="shared" si="74"/>
        <v>3.0000000000000001E-5</v>
      </c>
      <c r="BG100" s="149">
        <f t="shared" si="74"/>
        <v>3.0000000000000001E-5</v>
      </c>
      <c r="BH100" s="149">
        <f t="shared" si="74"/>
        <v>3.0000000000000001E-5</v>
      </c>
      <c r="BI100" s="149">
        <f t="shared" si="74"/>
        <v>3.0000000000000001E-5</v>
      </c>
      <c r="BJ100" s="149">
        <f t="shared" si="74"/>
        <v>3.0000000000000001E-5</v>
      </c>
      <c r="BK100" s="149">
        <f t="shared" si="74"/>
        <v>3.0000000000000001E-5</v>
      </c>
      <c r="BL100" s="149">
        <f t="shared" si="74"/>
        <v>3.0000000000000001E-5</v>
      </c>
      <c r="BM100" s="149">
        <f t="shared" si="74"/>
        <v>3.0000000000000001E-5</v>
      </c>
      <c r="BN100" s="149">
        <f t="shared" si="74"/>
        <v>3.0000000000000001E-5</v>
      </c>
      <c r="BO100" s="149">
        <f t="shared" si="74"/>
        <v>3.0000000000000001E-5</v>
      </c>
      <c r="BP100" s="149">
        <f t="shared" si="74"/>
        <v>3.0000000000000001E-5</v>
      </c>
      <c r="BQ100" s="149">
        <f t="shared" si="74"/>
        <v>3.0000000000000001E-5</v>
      </c>
      <c r="BR100" s="149">
        <f t="shared" si="74"/>
        <v>3.0000000000000001E-5</v>
      </c>
      <c r="BS100" s="149">
        <f t="shared" si="74"/>
        <v>3.0000000000000001E-5</v>
      </c>
      <c r="BT100" s="149">
        <f t="shared" si="74"/>
        <v>3.0000000000000001E-5</v>
      </c>
      <c r="BU100" s="149">
        <f t="shared" si="74"/>
        <v>3.0000000000000001E-5</v>
      </c>
      <c r="BV100" s="149">
        <f t="shared" si="74"/>
        <v>3.0000000000000001E-5</v>
      </c>
    </row>
    <row r="101" spans="1:74" x14ac:dyDescent="0.25">
      <c r="A101" s="141" t="s">
        <v>187</v>
      </c>
      <c r="B101" s="142" t="s">
        <v>185</v>
      </c>
      <c r="C101" s="154" t="s">
        <v>188</v>
      </c>
      <c r="D101" s="173">
        <v>1.0005836738097224E-4</v>
      </c>
      <c r="E101" s="173">
        <v>1.0005836738097224E-4</v>
      </c>
      <c r="F101" s="173">
        <v>1.0005836738097224E-4</v>
      </c>
      <c r="G101" s="173">
        <v>1.0005836738097224E-4</v>
      </c>
      <c r="H101" s="173">
        <v>1.0005836738097224E-4</v>
      </c>
      <c r="I101" s="173">
        <v>1.0005836738097224E-4</v>
      </c>
      <c r="J101" s="173">
        <v>1.0005836738097224E-4</v>
      </c>
      <c r="K101" s="173">
        <v>1.0005836738097224E-4</v>
      </c>
      <c r="L101" s="173">
        <v>1.0005836738097224E-4</v>
      </c>
      <c r="M101" s="173">
        <v>1.0005836738097224E-4</v>
      </c>
      <c r="N101" s="173">
        <v>1.0005836738097224E-4</v>
      </c>
      <c r="O101" s="173">
        <v>1.0005836738097224E-4</v>
      </c>
      <c r="P101" s="173">
        <v>1.0005836738097224E-4</v>
      </c>
      <c r="Q101" s="173">
        <v>1.0005836738097224E-4</v>
      </c>
      <c r="R101" s="173">
        <v>1.0005836738097224E-4</v>
      </c>
      <c r="S101" s="173">
        <v>1.0005836738097224E-4</v>
      </c>
      <c r="T101" s="173">
        <v>1.0005836738097224E-4</v>
      </c>
      <c r="U101" s="173">
        <v>1.0005836738097224E-4</v>
      </c>
      <c r="V101" s="173">
        <v>1.0005836738097224E-4</v>
      </c>
      <c r="W101" s="173">
        <v>1.0005836738097224E-4</v>
      </c>
      <c r="X101" s="173">
        <v>1.0005836738097224E-4</v>
      </c>
      <c r="Y101" s="173">
        <v>1.0005836738097224E-4</v>
      </c>
      <c r="Z101" s="173">
        <v>1.0005836738097224E-4</v>
      </c>
      <c r="AA101" s="173">
        <v>1.0005836738097224E-4</v>
      </c>
      <c r="AB101" s="173">
        <v>1.0005836738097224E-4</v>
      </c>
      <c r="AC101" s="173">
        <v>1.0005836738097224E-4</v>
      </c>
      <c r="AD101" s="173">
        <v>1.0005836738097224E-4</v>
      </c>
      <c r="AE101" s="173">
        <v>1.0005836738097224E-4</v>
      </c>
      <c r="AF101" s="173">
        <v>1.0005836738097224E-4</v>
      </c>
      <c r="AG101" s="173">
        <v>1.0005836738097224E-4</v>
      </c>
      <c r="AH101" s="173">
        <v>1.0005836738097224E-4</v>
      </c>
      <c r="AI101" s="173">
        <v>1.0005836738097224E-4</v>
      </c>
      <c r="AJ101" s="173">
        <v>1.0005836738097224E-4</v>
      </c>
      <c r="AK101" s="173">
        <v>1.0005836738097224E-4</v>
      </c>
      <c r="AL101" s="173">
        <v>1.0005836738097224E-4</v>
      </c>
      <c r="AM101" s="173">
        <v>1.0005836738097224E-4</v>
      </c>
      <c r="AN101" s="173">
        <v>1.0005836738097224E-4</v>
      </c>
      <c r="AO101" s="173">
        <v>1.0005836738097224E-4</v>
      </c>
      <c r="AP101" s="173">
        <v>1.0005836738097224E-4</v>
      </c>
      <c r="AQ101" s="173">
        <v>1.0005836738097224E-4</v>
      </c>
      <c r="AR101" s="173">
        <v>1.0005836738097224E-4</v>
      </c>
      <c r="AS101" s="149">
        <f t="shared" ref="AS101:BV101" si="75">AR101</f>
        <v>1.0005836738097224E-4</v>
      </c>
      <c r="AT101" s="149">
        <f t="shared" si="75"/>
        <v>1.0005836738097224E-4</v>
      </c>
      <c r="AU101" s="149">
        <f t="shared" si="75"/>
        <v>1.0005836738097224E-4</v>
      </c>
      <c r="AV101" s="149">
        <f t="shared" si="75"/>
        <v>1.0005836738097224E-4</v>
      </c>
      <c r="AW101" s="149">
        <f t="shared" si="75"/>
        <v>1.0005836738097224E-4</v>
      </c>
      <c r="AX101" s="149">
        <f t="shared" si="75"/>
        <v>1.0005836738097224E-4</v>
      </c>
      <c r="AY101" s="149">
        <f t="shared" si="75"/>
        <v>1.0005836738097224E-4</v>
      </c>
      <c r="AZ101" s="149">
        <f t="shared" si="75"/>
        <v>1.0005836738097224E-4</v>
      </c>
      <c r="BA101" s="149">
        <f t="shared" si="75"/>
        <v>1.0005836738097224E-4</v>
      </c>
      <c r="BB101" s="149">
        <f t="shared" si="75"/>
        <v>1.0005836738097224E-4</v>
      </c>
      <c r="BC101" s="149">
        <f t="shared" si="75"/>
        <v>1.0005836738097224E-4</v>
      </c>
      <c r="BD101" s="149">
        <f t="shared" si="75"/>
        <v>1.0005836738097224E-4</v>
      </c>
      <c r="BE101" s="149">
        <f t="shared" si="75"/>
        <v>1.0005836738097224E-4</v>
      </c>
      <c r="BF101" s="149">
        <f t="shared" si="75"/>
        <v>1.0005836738097224E-4</v>
      </c>
      <c r="BG101" s="149">
        <f t="shared" si="75"/>
        <v>1.0005836738097224E-4</v>
      </c>
      <c r="BH101" s="149">
        <f t="shared" si="75"/>
        <v>1.0005836738097224E-4</v>
      </c>
      <c r="BI101" s="149">
        <f t="shared" si="75"/>
        <v>1.0005836738097224E-4</v>
      </c>
      <c r="BJ101" s="149">
        <f t="shared" si="75"/>
        <v>1.0005836738097224E-4</v>
      </c>
      <c r="BK101" s="149">
        <f t="shared" si="75"/>
        <v>1.0005836738097224E-4</v>
      </c>
      <c r="BL101" s="149">
        <f t="shared" si="75"/>
        <v>1.0005836738097224E-4</v>
      </c>
      <c r="BM101" s="149">
        <f t="shared" si="75"/>
        <v>1.0005836738097224E-4</v>
      </c>
      <c r="BN101" s="149">
        <f t="shared" si="75"/>
        <v>1.0005836738097224E-4</v>
      </c>
      <c r="BO101" s="149">
        <f t="shared" si="75"/>
        <v>1.0005836738097224E-4</v>
      </c>
      <c r="BP101" s="149">
        <f t="shared" si="75"/>
        <v>1.0005836738097224E-4</v>
      </c>
      <c r="BQ101" s="149">
        <f t="shared" si="75"/>
        <v>1.0005836738097224E-4</v>
      </c>
      <c r="BR101" s="149">
        <f t="shared" si="75"/>
        <v>1.0005836738097224E-4</v>
      </c>
      <c r="BS101" s="149">
        <f t="shared" si="75"/>
        <v>1.0005836738097224E-4</v>
      </c>
      <c r="BT101" s="149">
        <f t="shared" si="75"/>
        <v>1.0005836738097224E-4</v>
      </c>
      <c r="BU101" s="149">
        <f t="shared" si="75"/>
        <v>1.0005836738097224E-4</v>
      </c>
      <c r="BV101" s="149">
        <f t="shared" si="75"/>
        <v>1.0005836738097224E-4</v>
      </c>
    </row>
    <row r="102" spans="1:74" x14ac:dyDescent="0.25">
      <c r="A102" s="147" t="s">
        <v>189</v>
      </c>
      <c r="B102" s="151" t="s">
        <v>190</v>
      </c>
      <c r="C102" s="151" t="s">
        <v>230</v>
      </c>
      <c r="D102" s="171">
        <v>4.0000000000000003E-5</v>
      </c>
      <c r="E102" s="174">
        <v>4.0000000000000003E-5</v>
      </c>
      <c r="F102" s="174">
        <v>4.0000000000000003E-5</v>
      </c>
      <c r="G102" s="174">
        <v>4.0000000000000003E-5</v>
      </c>
      <c r="H102" s="174">
        <v>4.0000000000000003E-5</v>
      </c>
      <c r="I102" s="174">
        <v>4.0000000000000003E-5</v>
      </c>
      <c r="J102" s="174">
        <v>4.0000000000000003E-5</v>
      </c>
      <c r="K102" s="174">
        <v>4.0000000000000003E-5</v>
      </c>
      <c r="L102" s="174">
        <v>4.0000000000000003E-5</v>
      </c>
      <c r="M102" s="174">
        <v>4.0000000000000003E-5</v>
      </c>
      <c r="N102" s="174">
        <v>4.0000000000000003E-5</v>
      </c>
      <c r="O102" s="174">
        <v>4.0000000000000003E-5</v>
      </c>
      <c r="P102" s="174">
        <v>4.0000000000000003E-5</v>
      </c>
      <c r="Q102" s="174">
        <v>4.0000000000000003E-5</v>
      </c>
      <c r="R102" s="174">
        <v>4.0000000000000003E-5</v>
      </c>
      <c r="S102" s="174">
        <v>4.0000000000000003E-5</v>
      </c>
      <c r="T102" s="174">
        <v>4.0000000000000003E-5</v>
      </c>
      <c r="U102" s="174">
        <v>4.0000000000000003E-5</v>
      </c>
      <c r="V102" s="174">
        <v>4.0000000000000003E-5</v>
      </c>
      <c r="W102" s="174">
        <v>4.0000000000000003E-5</v>
      </c>
      <c r="X102" s="174">
        <v>4.0000000000000003E-5</v>
      </c>
      <c r="Y102" s="174">
        <v>4.0000000000000003E-5</v>
      </c>
      <c r="Z102" s="174">
        <v>4.0000000000000003E-5</v>
      </c>
      <c r="AA102" s="174">
        <v>4.0000000000000003E-5</v>
      </c>
      <c r="AB102" s="174">
        <v>4.0000000000000003E-5</v>
      </c>
      <c r="AC102" s="174">
        <v>4.0000000000000003E-5</v>
      </c>
      <c r="AD102" s="174">
        <v>4.0000000000000003E-5</v>
      </c>
      <c r="AE102" s="174">
        <v>4.0000000000000003E-5</v>
      </c>
      <c r="AF102" s="174">
        <v>4.0000000000000003E-5</v>
      </c>
      <c r="AG102" s="174">
        <v>4.0000000000000003E-5</v>
      </c>
      <c r="AH102" s="174">
        <v>4.0000000000000003E-5</v>
      </c>
      <c r="AI102" s="174">
        <v>4.0000000000000003E-5</v>
      </c>
      <c r="AJ102" s="174">
        <v>4.0000000000000003E-5</v>
      </c>
      <c r="AK102" s="174">
        <v>4.0000000000000003E-5</v>
      </c>
      <c r="AL102" s="174">
        <v>4.0000000000000003E-5</v>
      </c>
      <c r="AM102" s="174">
        <v>4.0000000000000003E-5</v>
      </c>
      <c r="AN102" s="174">
        <v>4.0000000000000003E-5</v>
      </c>
      <c r="AO102" s="174">
        <v>4.0000000000000003E-5</v>
      </c>
      <c r="AP102" s="174">
        <v>4.0000000000000003E-5</v>
      </c>
      <c r="AQ102" s="174">
        <v>4.0000000000000003E-5</v>
      </c>
      <c r="AR102" s="174">
        <v>4.0000000000000003E-5</v>
      </c>
      <c r="AS102" s="149">
        <f t="shared" ref="AS102:BV102" si="76">AR102</f>
        <v>4.0000000000000003E-5</v>
      </c>
      <c r="AT102" s="149">
        <f t="shared" si="76"/>
        <v>4.0000000000000003E-5</v>
      </c>
      <c r="AU102" s="149">
        <f t="shared" si="76"/>
        <v>4.0000000000000003E-5</v>
      </c>
      <c r="AV102" s="149">
        <f t="shared" si="76"/>
        <v>4.0000000000000003E-5</v>
      </c>
      <c r="AW102" s="149">
        <f t="shared" si="76"/>
        <v>4.0000000000000003E-5</v>
      </c>
      <c r="AX102" s="149">
        <f t="shared" si="76"/>
        <v>4.0000000000000003E-5</v>
      </c>
      <c r="AY102" s="149">
        <f t="shared" si="76"/>
        <v>4.0000000000000003E-5</v>
      </c>
      <c r="AZ102" s="149">
        <f t="shared" si="76"/>
        <v>4.0000000000000003E-5</v>
      </c>
      <c r="BA102" s="149">
        <f t="shared" si="76"/>
        <v>4.0000000000000003E-5</v>
      </c>
      <c r="BB102" s="149">
        <f t="shared" si="76"/>
        <v>4.0000000000000003E-5</v>
      </c>
      <c r="BC102" s="149">
        <f t="shared" si="76"/>
        <v>4.0000000000000003E-5</v>
      </c>
      <c r="BD102" s="149">
        <f t="shared" si="76"/>
        <v>4.0000000000000003E-5</v>
      </c>
      <c r="BE102" s="149">
        <f t="shared" si="76"/>
        <v>4.0000000000000003E-5</v>
      </c>
      <c r="BF102" s="149">
        <f t="shared" si="76"/>
        <v>4.0000000000000003E-5</v>
      </c>
      <c r="BG102" s="149">
        <f t="shared" si="76"/>
        <v>4.0000000000000003E-5</v>
      </c>
      <c r="BH102" s="149">
        <f t="shared" si="76"/>
        <v>4.0000000000000003E-5</v>
      </c>
      <c r="BI102" s="149">
        <f t="shared" si="76"/>
        <v>4.0000000000000003E-5</v>
      </c>
      <c r="BJ102" s="149">
        <f t="shared" si="76"/>
        <v>4.0000000000000003E-5</v>
      </c>
      <c r="BK102" s="149">
        <f t="shared" si="76"/>
        <v>4.0000000000000003E-5</v>
      </c>
      <c r="BL102" s="149">
        <f t="shared" si="76"/>
        <v>4.0000000000000003E-5</v>
      </c>
      <c r="BM102" s="149">
        <f t="shared" si="76"/>
        <v>4.0000000000000003E-5</v>
      </c>
      <c r="BN102" s="149">
        <f t="shared" si="76"/>
        <v>4.0000000000000003E-5</v>
      </c>
      <c r="BO102" s="149">
        <f t="shared" si="76"/>
        <v>4.0000000000000003E-5</v>
      </c>
      <c r="BP102" s="149">
        <f t="shared" si="76"/>
        <v>4.0000000000000003E-5</v>
      </c>
      <c r="BQ102" s="149">
        <f t="shared" si="76"/>
        <v>4.0000000000000003E-5</v>
      </c>
      <c r="BR102" s="149">
        <f t="shared" si="76"/>
        <v>4.0000000000000003E-5</v>
      </c>
      <c r="BS102" s="149">
        <f t="shared" si="76"/>
        <v>4.0000000000000003E-5</v>
      </c>
      <c r="BT102" s="149">
        <f t="shared" si="76"/>
        <v>4.0000000000000003E-5</v>
      </c>
      <c r="BU102" s="149">
        <f t="shared" si="76"/>
        <v>4.0000000000000003E-5</v>
      </c>
      <c r="BV102" s="149">
        <f t="shared" si="76"/>
        <v>4.0000000000000003E-5</v>
      </c>
    </row>
    <row r="103" spans="1:74" x14ac:dyDescent="0.25">
      <c r="A103" s="147" t="s">
        <v>12</v>
      </c>
      <c r="B103" s="148" t="s">
        <v>179</v>
      </c>
      <c r="C103" s="151" t="s">
        <v>215</v>
      </c>
      <c r="D103" s="171">
        <v>1.3300000000000001E-4</v>
      </c>
      <c r="E103" s="174">
        <v>1.3300000000000001E-4</v>
      </c>
      <c r="F103" s="174">
        <v>1.3300000000000001E-4</v>
      </c>
      <c r="G103" s="174">
        <v>1.3300000000000001E-4</v>
      </c>
      <c r="H103" s="174">
        <v>1.3300000000000001E-4</v>
      </c>
      <c r="I103" s="174">
        <v>1.3300000000000001E-4</v>
      </c>
      <c r="J103" s="174">
        <v>1.3300000000000001E-4</v>
      </c>
      <c r="K103" s="174">
        <v>1.3300000000000001E-4</v>
      </c>
      <c r="L103" s="174">
        <v>1.3300000000000001E-4</v>
      </c>
      <c r="M103" s="174">
        <v>1.3300000000000001E-4</v>
      </c>
      <c r="N103" s="174">
        <v>1.3300000000000001E-4</v>
      </c>
      <c r="O103" s="174">
        <v>1.3300000000000001E-4</v>
      </c>
      <c r="P103" s="174">
        <v>1.3300000000000001E-4</v>
      </c>
      <c r="Q103" s="174">
        <v>1.3300000000000001E-4</v>
      </c>
      <c r="R103" s="174">
        <v>1.3300000000000001E-4</v>
      </c>
      <c r="S103" s="174">
        <v>1.3300000000000001E-4</v>
      </c>
      <c r="T103" s="174">
        <v>1.3300000000000001E-4</v>
      </c>
      <c r="U103" s="174">
        <v>1.3300000000000001E-4</v>
      </c>
      <c r="V103" s="174">
        <v>1.3300000000000001E-4</v>
      </c>
      <c r="W103" s="174">
        <v>1.3300000000000001E-4</v>
      </c>
      <c r="X103" s="174">
        <v>1.3300000000000001E-4</v>
      </c>
      <c r="Y103" s="174">
        <v>1.3300000000000001E-4</v>
      </c>
      <c r="Z103" s="174">
        <v>1.3300000000000001E-4</v>
      </c>
      <c r="AA103" s="174">
        <v>1.3300000000000001E-4</v>
      </c>
      <c r="AB103" s="174">
        <v>1.3300000000000001E-4</v>
      </c>
      <c r="AC103" s="174">
        <v>1.3300000000000001E-4</v>
      </c>
      <c r="AD103" s="174">
        <v>1.3300000000000001E-4</v>
      </c>
      <c r="AE103" s="174">
        <v>1.3300000000000001E-4</v>
      </c>
      <c r="AF103" s="174">
        <v>1.3300000000000001E-4</v>
      </c>
      <c r="AG103" s="174">
        <v>1.3300000000000001E-4</v>
      </c>
      <c r="AH103" s="174">
        <v>1.3300000000000001E-4</v>
      </c>
      <c r="AI103" s="174">
        <v>1.3300000000000001E-4</v>
      </c>
      <c r="AJ103" s="174">
        <v>1.3300000000000001E-4</v>
      </c>
      <c r="AK103" s="174">
        <v>1.3300000000000001E-4</v>
      </c>
      <c r="AL103" s="174">
        <v>1.3300000000000001E-4</v>
      </c>
      <c r="AM103" s="174">
        <v>1.3300000000000001E-4</v>
      </c>
      <c r="AN103" s="174">
        <v>1.3300000000000001E-4</v>
      </c>
      <c r="AO103" s="174">
        <v>1.3300000000000001E-4</v>
      </c>
      <c r="AP103" s="174">
        <v>1.3300000000000001E-4</v>
      </c>
      <c r="AQ103" s="174">
        <v>1.3300000000000001E-4</v>
      </c>
      <c r="AR103" s="174">
        <v>1.3300000000000001E-4</v>
      </c>
      <c r="AS103" s="149">
        <f t="shared" ref="AS103:BV104" si="77">AR103</f>
        <v>1.3300000000000001E-4</v>
      </c>
      <c r="AT103" s="149">
        <f t="shared" si="77"/>
        <v>1.3300000000000001E-4</v>
      </c>
      <c r="AU103" s="149">
        <f t="shared" si="77"/>
        <v>1.3300000000000001E-4</v>
      </c>
      <c r="AV103" s="149">
        <f t="shared" si="77"/>
        <v>1.3300000000000001E-4</v>
      </c>
      <c r="AW103" s="149">
        <f t="shared" si="77"/>
        <v>1.3300000000000001E-4</v>
      </c>
      <c r="AX103" s="149">
        <f t="shared" si="77"/>
        <v>1.3300000000000001E-4</v>
      </c>
      <c r="AY103" s="149">
        <f t="shared" si="77"/>
        <v>1.3300000000000001E-4</v>
      </c>
      <c r="AZ103" s="149">
        <f t="shared" si="77"/>
        <v>1.3300000000000001E-4</v>
      </c>
      <c r="BA103" s="149">
        <f t="shared" si="77"/>
        <v>1.3300000000000001E-4</v>
      </c>
      <c r="BB103" s="149">
        <f t="shared" si="77"/>
        <v>1.3300000000000001E-4</v>
      </c>
      <c r="BC103" s="149">
        <f t="shared" si="77"/>
        <v>1.3300000000000001E-4</v>
      </c>
      <c r="BD103" s="149">
        <f t="shared" si="77"/>
        <v>1.3300000000000001E-4</v>
      </c>
      <c r="BE103" s="149">
        <f t="shared" si="77"/>
        <v>1.3300000000000001E-4</v>
      </c>
      <c r="BF103" s="149">
        <f t="shared" si="77"/>
        <v>1.3300000000000001E-4</v>
      </c>
      <c r="BG103" s="149">
        <f t="shared" si="77"/>
        <v>1.3300000000000001E-4</v>
      </c>
      <c r="BH103" s="149">
        <f t="shared" si="77"/>
        <v>1.3300000000000001E-4</v>
      </c>
      <c r="BI103" s="149">
        <f t="shared" si="77"/>
        <v>1.3300000000000001E-4</v>
      </c>
      <c r="BJ103" s="149">
        <f t="shared" si="77"/>
        <v>1.3300000000000001E-4</v>
      </c>
      <c r="BK103" s="149">
        <f t="shared" si="77"/>
        <v>1.3300000000000001E-4</v>
      </c>
      <c r="BL103" s="149">
        <f t="shared" si="77"/>
        <v>1.3300000000000001E-4</v>
      </c>
      <c r="BM103" s="149">
        <f t="shared" si="77"/>
        <v>1.3300000000000001E-4</v>
      </c>
      <c r="BN103" s="149">
        <f t="shared" si="77"/>
        <v>1.3300000000000001E-4</v>
      </c>
      <c r="BO103" s="149">
        <f t="shared" si="77"/>
        <v>1.3300000000000001E-4</v>
      </c>
      <c r="BP103" s="149">
        <f t="shared" si="77"/>
        <v>1.3300000000000001E-4</v>
      </c>
      <c r="BQ103" s="149">
        <f t="shared" si="77"/>
        <v>1.3300000000000001E-4</v>
      </c>
      <c r="BR103" s="149">
        <f t="shared" si="77"/>
        <v>1.3300000000000001E-4</v>
      </c>
      <c r="BS103" s="149">
        <f t="shared" si="77"/>
        <v>1.3300000000000001E-4</v>
      </c>
      <c r="BT103" s="149">
        <f t="shared" si="77"/>
        <v>1.3300000000000001E-4</v>
      </c>
      <c r="BU103" s="149">
        <f t="shared" si="77"/>
        <v>1.3300000000000001E-4</v>
      </c>
      <c r="BV103" s="149">
        <f t="shared" si="77"/>
        <v>1.3300000000000001E-4</v>
      </c>
    </row>
    <row r="104" spans="1:74" x14ac:dyDescent="0.25">
      <c r="A104" s="147" t="s">
        <v>2</v>
      </c>
      <c r="B104" s="148" t="s">
        <v>191</v>
      </c>
      <c r="D104" s="174"/>
      <c r="E104" s="174"/>
      <c r="F104" s="174"/>
      <c r="G104" s="174"/>
      <c r="H104" s="174"/>
      <c r="I104" s="174"/>
      <c r="J104" s="174"/>
      <c r="K104" s="174"/>
      <c r="L104" s="174"/>
      <c r="M104" s="174"/>
      <c r="N104" s="174"/>
      <c r="O104" s="174"/>
      <c r="P104" s="174"/>
      <c r="Q104" s="174"/>
      <c r="R104" s="174"/>
      <c r="S104" s="174"/>
      <c r="T104" s="174"/>
      <c r="U104" s="174"/>
      <c r="V104" s="174"/>
      <c r="W104" s="174"/>
      <c r="X104" s="174"/>
      <c r="Y104" s="174"/>
      <c r="Z104" s="174"/>
      <c r="AA104" s="174"/>
      <c r="AB104" s="174"/>
      <c r="AC104" s="174"/>
      <c r="AD104" s="174"/>
      <c r="AE104" s="174"/>
      <c r="AF104" s="174"/>
      <c r="AG104" s="174"/>
      <c r="AH104" s="174"/>
      <c r="AI104" s="174"/>
      <c r="AJ104" s="174"/>
      <c r="AK104" s="174"/>
      <c r="AL104" s="174"/>
      <c r="AM104" s="174"/>
      <c r="AN104" s="174"/>
      <c r="AO104" s="174"/>
      <c r="AP104" s="174"/>
      <c r="AQ104" s="174"/>
      <c r="AR104" s="174"/>
      <c r="AS104" s="149">
        <f t="shared" si="77"/>
        <v>0</v>
      </c>
      <c r="AT104" s="149">
        <f t="shared" si="77"/>
        <v>0</v>
      </c>
      <c r="AU104" s="149">
        <f t="shared" si="77"/>
        <v>0</v>
      </c>
      <c r="AV104" s="149">
        <f t="shared" si="77"/>
        <v>0</v>
      </c>
      <c r="AW104" s="149">
        <f t="shared" si="77"/>
        <v>0</v>
      </c>
      <c r="AX104" s="149">
        <f t="shared" si="77"/>
        <v>0</v>
      </c>
      <c r="AY104" s="149">
        <f t="shared" si="77"/>
        <v>0</v>
      </c>
      <c r="AZ104" s="149">
        <f t="shared" si="77"/>
        <v>0</v>
      </c>
      <c r="BA104" s="149">
        <f t="shared" si="77"/>
        <v>0</v>
      </c>
      <c r="BB104" s="149">
        <f t="shared" si="77"/>
        <v>0</v>
      </c>
      <c r="BC104" s="149">
        <f t="shared" si="77"/>
        <v>0</v>
      </c>
      <c r="BD104" s="149">
        <f t="shared" si="77"/>
        <v>0</v>
      </c>
      <c r="BE104" s="149">
        <f t="shared" si="77"/>
        <v>0</v>
      </c>
      <c r="BF104" s="149">
        <f t="shared" si="77"/>
        <v>0</v>
      </c>
      <c r="BG104" s="149">
        <f t="shared" si="77"/>
        <v>0</v>
      </c>
      <c r="BH104" s="149">
        <f t="shared" si="77"/>
        <v>0</v>
      </c>
      <c r="BI104" s="149">
        <f t="shared" si="77"/>
        <v>0</v>
      </c>
      <c r="BJ104" s="149">
        <f t="shared" si="77"/>
        <v>0</v>
      </c>
      <c r="BK104" s="149">
        <f t="shared" si="77"/>
        <v>0</v>
      </c>
      <c r="BL104" s="149">
        <f t="shared" si="77"/>
        <v>0</v>
      </c>
      <c r="BM104" s="149">
        <f t="shared" si="77"/>
        <v>0</v>
      </c>
      <c r="BN104" s="149">
        <f t="shared" si="77"/>
        <v>0</v>
      </c>
      <c r="BO104" s="149">
        <f t="shared" si="77"/>
        <v>0</v>
      </c>
      <c r="BP104" s="149">
        <f t="shared" si="77"/>
        <v>0</v>
      </c>
      <c r="BQ104" s="149">
        <f t="shared" si="77"/>
        <v>0</v>
      </c>
      <c r="BR104" s="149">
        <f t="shared" si="77"/>
        <v>0</v>
      </c>
      <c r="BS104" s="149">
        <f t="shared" si="77"/>
        <v>0</v>
      </c>
      <c r="BT104" s="149">
        <f t="shared" si="77"/>
        <v>0</v>
      </c>
      <c r="BU104" s="149">
        <f t="shared" si="77"/>
        <v>0</v>
      </c>
      <c r="BV104" s="149">
        <f t="shared" si="77"/>
        <v>0</v>
      </c>
    </row>
    <row r="105" spans="1:74" x14ac:dyDescent="0.25">
      <c r="A105" s="141" t="s">
        <v>192</v>
      </c>
      <c r="B105" s="148" t="s">
        <v>179</v>
      </c>
      <c r="C105" s="154" t="s">
        <v>195</v>
      </c>
      <c r="D105" s="173">
        <v>1E-4</v>
      </c>
      <c r="E105" s="173">
        <v>1E-4</v>
      </c>
      <c r="F105" s="173">
        <v>1E-4</v>
      </c>
      <c r="G105" s="173">
        <v>1E-4</v>
      </c>
      <c r="H105" s="173">
        <v>1E-4</v>
      </c>
      <c r="I105" s="173">
        <v>1E-4</v>
      </c>
      <c r="J105" s="173">
        <v>1E-4</v>
      </c>
      <c r="K105" s="173">
        <v>1E-4</v>
      </c>
      <c r="L105" s="173">
        <v>1E-4</v>
      </c>
      <c r="M105" s="173">
        <v>1E-4</v>
      </c>
      <c r="N105" s="173">
        <v>1E-4</v>
      </c>
      <c r="O105" s="173">
        <v>1E-4</v>
      </c>
      <c r="P105" s="173">
        <v>1E-4</v>
      </c>
      <c r="Q105" s="173">
        <v>1E-4</v>
      </c>
      <c r="R105" s="173">
        <v>1E-4</v>
      </c>
      <c r="S105" s="173">
        <v>1E-4</v>
      </c>
      <c r="T105" s="173">
        <v>1E-4</v>
      </c>
      <c r="U105" s="173">
        <v>1E-4</v>
      </c>
      <c r="V105" s="173">
        <v>1E-4</v>
      </c>
      <c r="W105" s="173">
        <v>1E-4</v>
      </c>
      <c r="X105" s="173">
        <v>1E-4</v>
      </c>
      <c r="Y105" s="173">
        <v>1E-4</v>
      </c>
      <c r="Z105" s="173">
        <v>1E-4</v>
      </c>
      <c r="AA105" s="173">
        <v>1E-4</v>
      </c>
      <c r="AB105" s="173">
        <v>1E-4</v>
      </c>
      <c r="AC105" s="173">
        <v>1E-4</v>
      </c>
      <c r="AD105" s="173">
        <v>1E-4</v>
      </c>
      <c r="AE105" s="173">
        <v>1E-4</v>
      </c>
      <c r="AF105" s="173">
        <v>1E-4</v>
      </c>
      <c r="AG105" s="173">
        <v>1E-4</v>
      </c>
      <c r="AH105" s="173">
        <v>1E-4</v>
      </c>
      <c r="AI105" s="173">
        <v>1E-4</v>
      </c>
      <c r="AJ105" s="173">
        <v>1E-4</v>
      </c>
      <c r="AK105" s="173">
        <v>1E-4</v>
      </c>
      <c r="AL105" s="173">
        <v>1E-4</v>
      </c>
      <c r="AM105" s="173">
        <v>1E-4</v>
      </c>
      <c r="AN105" s="173">
        <v>1E-4</v>
      </c>
      <c r="AO105" s="173">
        <v>1E-4</v>
      </c>
      <c r="AP105" s="173">
        <v>1E-4</v>
      </c>
      <c r="AQ105" s="173">
        <v>1E-4</v>
      </c>
      <c r="AR105" s="173">
        <v>1E-4</v>
      </c>
      <c r="AS105" s="149">
        <f t="shared" ref="AS105:BV105" si="78">AR105</f>
        <v>1E-4</v>
      </c>
      <c r="AT105" s="149">
        <f t="shared" si="78"/>
        <v>1E-4</v>
      </c>
      <c r="AU105" s="149">
        <f t="shared" si="78"/>
        <v>1E-4</v>
      </c>
      <c r="AV105" s="149">
        <f t="shared" si="78"/>
        <v>1E-4</v>
      </c>
      <c r="AW105" s="149">
        <f t="shared" si="78"/>
        <v>1E-4</v>
      </c>
      <c r="AX105" s="149">
        <f t="shared" si="78"/>
        <v>1E-4</v>
      </c>
      <c r="AY105" s="149">
        <f t="shared" si="78"/>
        <v>1E-4</v>
      </c>
      <c r="AZ105" s="149">
        <f t="shared" si="78"/>
        <v>1E-4</v>
      </c>
      <c r="BA105" s="149">
        <f t="shared" si="78"/>
        <v>1E-4</v>
      </c>
      <c r="BB105" s="149">
        <f t="shared" si="78"/>
        <v>1E-4</v>
      </c>
      <c r="BC105" s="149">
        <f t="shared" si="78"/>
        <v>1E-4</v>
      </c>
      <c r="BD105" s="149">
        <f t="shared" si="78"/>
        <v>1E-4</v>
      </c>
      <c r="BE105" s="149">
        <f t="shared" si="78"/>
        <v>1E-4</v>
      </c>
      <c r="BF105" s="149">
        <f t="shared" si="78"/>
        <v>1E-4</v>
      </c>
      <c r="BG105" s="149">
        <f t="shared" si="78"/>
        <v>1E-4</v>
      </c>
      <c r="BH105" s="149">
        <f t="shared" si="78"/>
        <v>1E-4</v>
      </c>
      <c r="BI105" s="149">
        <f t="shared" si="78"/>
        <v>1E-4</v>
      </c>
      <c r="BJ105" s="149">
        <f t="shared" si="78"/>
        <v>1E-4</v>
      </c>
      <c r="BK105" s="149">
        <f t="shared" si="78"/>
        <v>1E-4</v>
      </c>
      <c r="BL105" s="149">
        <f t="shared" si="78"/>
        <v>1E-4</v>
      </c>
      <c r="BM105" s="149">
        <f t="shared" si="78"/>
        <v>1E-4</v>
      </c>
      <c r="BN105" s="149">
        <f t="shared" si="78"/>
        <v>1E-4</v>
      </c>
      <c r="BO105" s="149">
        <f t="shared" si="78"/>
        <v>1E-4</v>
      </c>
      <c r="BP105" s="149">
        <f t="shared" si="78"/>
        <v>1E-4</v>
      </c>
      <c r="BQ105" s="149">
        <f t="shared" si="78"/>
        <v>1E-4</v>
      </c>
      <c r="BR105" s="149">
        <f t="shared" si="78"/>
        <v>1E-4</v>
      </c>
      <c r="BS105" s="149">
        <f t="shared" si="78"/>
        <v>1E-4</v>
      </c>
      <c r="BT105" s="149">
        <f t="shared" si="78"/>
        <v>1E-4</v>
      </c>
      <c r="BU105" s="149">
        <f t="shared" si="78"/>
        <v>1E-4</v>
      </c>
      <c r="BV105" s="149">
        <f t="shared" si="78"/>
        <v>1E-4</v>
      </c>
    </row>
    <row r="106" spans="1:74" x14ac:dyDescent="0.25">
      <c r="A106" s="141" t="s">
        <v>193</v>
      </c>
      <c r="B106" s="148" t="s">
        <v>190</v>
      </c>
      <c r="C106" s="162" t="s">
        <v>194</v>
      </c>
      <c r="D106" s="173">
        <v>3.26E-5</v>
      </c>
      <c r="E106" s="173">
        <v>3.2780000000000001E-5</v>
      </c>
      <c r="F106" s="173">
        <v>3.2960000000000003E-5</v>
      </c>
      <c r="G106" s="173">
        <v>3.3140000000000005E-5</v>
      </c>
      <c r="H106" s="173">
        <v>3.3320000000000006E-5</v>
      </c>
      <c r="I106" s="173">
        <v>3.3500000000000008E-5</v>
      </c>
      <c r="J106" s="173">
        <v>3.3559999999999997E-5</v>
      </c>
      <c r="K106" s="173">
        <v>3.362E-5</v>
      </c>
      <c r="L106" s="173">
        <v>3.3680000000000003E-5</v>
      </c>
      <c r="M106" s="173">
        <v>3.3739999999999999E-5</v>
      </c>
      <c r="N106" s="173">
        <v>3.3800000000000002E-5</v>
      </c>
      <c r="O106" s="173">
        <v>3.3439999999999998E-5</v>
      </c>
      <c r="P106" s="173">
        <v>3.3079999999999995E-5</v>
      </c>
      <c r="Q106" s="173">
        <v>3.2719999999999992E-5</v>
      </c>
      <c r="R106" s="173">
        <v>3.2359999999999988E-5</v>
      </c>
      <c r="S106" s="173">
        <v>3.1999999999999985E-5</v>
      </c>
      <c r="T106" s="173">
        <v>3.1999999999999999E-5</v>
      </c>
      <c r="U106" s="173">
        <v>3.2199999999999997E-5</v>
      </c>
      <c r="V106" s="173">
        <v>3.1600000000000002E-5</v>
      </c>
      <c r="W106" s="173">
        <v>3.1999999999999999E-5</v>
      </c>
      <c r="X106" s="173">
        <v>3.2100000000000001E-5</v>
      </c>
      <c r="Y106" s="173">
        <v>3.26E-5</v>
      </c>
      <c r="Z106" s="173">
        <v>3.0499999999999999E-5</v>
      </c>
      <c r="AA106" s="173">
        <v>3.1000000000000001E-5</v>
      </c>
      <c r="AB106" s="173">
        <v>3.1000000000000001E-5</v>
      </c>
      <c r="AC106" s="173">
        <v>3.1000000000000001E-5</v>
      </c>
      <c r="AD106" s="173">
        <v>3.1000000000000001E-5</v>
      </c>
      <c r="AE106" s="173">
        <v>3.1000000000000001E-5</v>
      </c>
      <c r="AF106" s="173">
        <v>3.1000000000000001E-5</v>
      </c>
      <c r="AG106" s="173">
        <v>3.1000000000000001E-5</v>
      </c>
      <c r="AH106" s="173">
        <v>3.1000000000000001E-5</v>
      </c>
      <c r="AI106" s="173">
        <v>3.1000000000000001E-5</v>
      </c>
      <c r="AJ106" s="173">
        <v>3.1000000000000001E-5</v>
      </c>
      <c r="AK106" s="173">
        <v>3.1000000000000001E-5</v>
      </c>
      <c r="AL106" s="173">
        <v>3.1000000000000001E-5</v>
      </c>
      <c r="AM106" s="173">
        <v>3.1000000000000001E-5</v>
      </c>
      <c r="AN106" s="173">
        <v>3.1000000000000001E-5</v>
      </c>
      <c r="AO106" s="173">
        <v>3.1000000000000001E-5</v>
      </c>
      <c r="AP106" s="173">
        <v>3.1000000000000001E-5</v>
      </c>
      <c r="AQ106" s="173">
        <v>3.1000000000000001E-5</v>
      </c>
      <c r="AR106" s="173">
        <v>3.1000000000000001E-5</v>
      </c>
      <c r="AS106" s="149">
        <f t="shared" ref="AS106:BV106" si="79">AR106</f>
        <v>3.1000000000000001E-5</v>
      </c>
      <c r="AT106" s="149">
        <f t="shared" si="79"/>
        <v>3.1000000000000001E-5</v>
      </c>
      <c r="AU106" s="149">
        <f t="shared" si="79"/>
        <v>3.1000000000000001E-5</v>
      </c>
      <c r="AV106" s="149">
        <f t="shared" si="79"/>
        <v>3.1000000000000001E-5</v>
      </c>
      <c r="AW106" s="149">
        <f t="shared" si="79"/>
        <v>3.1000000000000001E-5</v>
      </c>
      <c r="AX106" s="149">
        <f t="shared" si="79"/>
        <v>3.1000000000000001E-5</v>
      </c>
      <c r="AY106" s="149">
        <f t="shared" si="79"/>
        <v>3.1000000000000001E-5</v>
      </c>
      <c r="AZ106" s="149">
        <f t="shared" si="79"/>
        <v>3.1000000000000001E-5</v>
      </c>
      <c r="BA106" s="149">
        <f t="shared" si="79"/>
        <v>3.1000000000000001E-5</v>
      </c>
      <c r="BB106" s="149">
        <f t="shared" si="79"/>
        <v>3.1000000000000001E-5</v>
      </c>
      <c r="BC106" s="149">
        <f t="shared" si="79"/>
        <v>3.1000000000000001E-5</v>
      </c>
      <c r="BD106" s="149">
        <f t="shared" si="79"/>
        <v>3.1000000000000001E-5</v>
      </c>
      <c r="BE106" s="149">
        <f t="shared" si="79"/>
        <v>3.1000000000000001E-5</v>
      </c>
      <c r="BF106" s="149">
        <f t="shared" si="79"/>
        <v>3.1000000000000001E-5</v>
      </c>
      <c r="BG106" s="149">
        <f t="shared" si="79"/>
        <v>3.1000000000000001E-5</v>
      </c>
      <c r="BH106" s="149">
        <f t="shared" si="79"/>
        <v>3.1000000000000001E-5</v>
      </c>
      <c r="BI106" s="149">
        <f t="shared" si="79"/>
        <v>3.1000000000000001E-5</v>
      </c>
      <c r="BJ106" s="149">
        <f t="shared" si="79"/>
        <v>3.1000000000000001E-5</v>
      </c>
      <c r="BK106" s="149">
        <f t="shared" si="79"/>
        <v>3.1000000000000001E-5</v>
      </c>
      <c r="BL106" s="149">
        <f t="shared" si="79"/>
        <v>3.1000000000000001E-5</v>
      </c>
      <c r="BM106" s="149">
        <f t="shared" si="79"/>
        <v>3.1000000000000001E-5</v>
      </c>
      <c r="BN106" s="149">
        <f t="shared" si="79"/>
        <v>3.1000000000000001E-5</v>
      </c>
      <c r="BO106" s="149">
        <f t="shared" si="79"/>
        <v>3.1000000000000001E-5</v>
      </c>
      <c r="BP106" s="149">
        <f t="shared" si="79"/>
        <v>3.1000000000000001E-5</v>
      </c>
      <c r="BQ106" s="149">
        <f t="shared" si="79"/>
        <v>3.1000000000000001E-5</v>
      </c>
      <c r="BR106" s="149">
        <f t="shared" si="79"/>
        <v>3.1000000000000001E-5</v>
      </c>
      <c r="BS106" s="149">
        <f t="shared" si="79"/>
        <v>3.1000000000000001E-5</v>
      </c>
      <c r="BT106" s="149">
        <f t="shared" si="79"/>
        <v>3.1000000000000001E-5</v>
      </c>
      <c r="BU106" s="149">
        <f t="shared" si="79"/>
        <v>3.1000000000000001E-5</v>
      </c>
      <c r="BV106" s="149">
        <f t="shared" si="79"/>
        <v>3.1000000000000001E-5</v>
      </c>
    </row>
    <row r="107" spans="1:74" x14ac:dyDescent="0.25">
      <c r="A107" s="141" t="s">
        <v>195</v>
      </c>
      <c r="B107" s="148" t="s">
        <v>179</v>
      </c>
      <c r="C107" s="151" t="s">
        <v>215</v>
      </c>
      <c r="D107" s="171">
        <v>1E-4</v>
      </c>
      <c r="E107" s="174">
        <v>1E-4</v>
      </c>
      <c r="F107" s="174">
        <v>1E-4</v>
      </c>
      <c r="G107" s="174">
        <v>1E-4</v>
      </c>
      <c r="H107" s="174">
        <v>1E-4</v>
      </c>
      <c r="I107" s="174">
        <v>1E-4</v>
      </c>
      <c r="J107" s="174">
        <v>1E-4</v>
      </c>
      <c r="K107" s="174">
        <v>1E-4</v>
      </c>
      <c r="L107" s="174">
        <v>1E-4</v>
      </c>
      <c r="M107" s="174">
        <v>1E-4</v>
      </c>
      <c r="N107" s="174">
        <v>1E-4</v>
      </c>
      <c r="O107" s="174">
        <v>1E-4</v>
      </c>
      <c r="P107" s="174">
        <v>1E-4</v>
      </c>
      <c r="Q107" s="174">
        <v>1E-4</v>
      </c>
      <c r="R107" s="174">
        <v>1E-4</v>
      </c>
      <c r="S107" s="174">
        <v>1E-4</v>
      </c>
      <c r="T107" s="174">
        <v>1E-4</v>
      </c>
      <c r="U107" s="174">
        <v>1E-4</v>
      </c>
      <c r="V107" s="174">
        <v>1E-4</v>
      </c>
      <c r="W107" s="174">
        <v>1E-4</v>
      </c>
      <c r="X107" s="174">
        <v>1E-4</v>
      </c>
      <c r="Y107" s="174">
        <v>1E-4</v>
      </c>
      <c r="Z107" s="174">
        <v>1E-4</v>
      </c>
      <c r="AA107" s="174">
        <v>1E-4</v>
      </c>
      <c r="AB107" s="174">
        <v>1E-4</v>
      </c>
      <c r="AC107" s="174">
        <v>1E-4</v>
      </c>
      <c r="AD107" s="174">
        <v>1E-4</v>
      </c>
      <c r="AE107" s="174">
        <v>1E-4</v>
      </c>
      <c r="AF107" s="174">
        <v>1E-4</v>
      </c>
      <c r="AG107" s="174">
        <v>1E-4</v>
      </c>
      <c r="AH107" s="174">
        <v>1E-4</v>
      </c>
      <c r="AI107" s="174">
        <v>1E-4</v>
      </c>
      <c r="AJ107" s="174">
        <v>1E-4</v>
      </c>
      <c r="AK107" s="174">
        <v>1E-4</v>
      </c>
      <c r="AL107" s="174">
        <v>1E-4</v>
      </c>
      <c r="AM107" s="174">
        <v>1E-4</v>
      </c>
      <c r="AN107" s="174">
        <v>1E-4</v>
      </c>
      <c r="AO107" s="174">
        <v>1E-4</v>
      </c>
      <c r="AP107" s="174">
        <v>1E-4</v>
      </c>
      <c r="AQ107" s="174">
        <v>1E-4</v>
      </c>
      <c r="AR107" s="174">
        <v>1E-4</v>
      </c>
      <c r="AS107" s="149">
        <f t="shared" ref="AS107:BV107" si="80">AR107</f>
        <v>1E-4</v>
      </c>
      <c r="AT107" s="149">
        <f t="shared" si="80"/>
        <v>1E-4</v>
      </c>
      <c r="AU107" s="149">
        <f t="shared" si="80"/>
        <v>1E-4</v>
      </c>
      <c r="AV107" s="149">
        <f t="shared" si="80"/>
        <v>1E-4</v>
      </c>
      <c r="AW107" s="149">
        <f t="shared" si="80"/>
        <v>1E-4</v>
      </c>
      <c r="AX107" s="149">
        <f t="shared" si="80"/>
        <v>1E-4</v>
      </c>
      <c r="AY107" s="149">
        <f t="shared" si="80"/>
        <v>1E-4</v>
      </c>
      <c r="AZ107" s="149">
        <f t="shared" si="80"/>
        <v>1E-4</v>
      </c>
      <c r="BA107" s="149">
        <f t="shared" si="80"/>
        <v>1E-4</v>
      </c>
      <c r="BB107" s="149">
        <f t="shared" si="80"/>
        <v>1E-4</v>
      </c>
      <c r="BC107" s="149">
        <f t="shared" si="80"/>
        <v>1E-4</v>
      </c>
      <c r="BD107" s="149">
        <f t="shared" si="80"/>
        <v>1E-4</v>
      </c>
      <c r="BE107" s="149">
        <f t="shared" si="80"/>
        <v>1E-4</v>
      </c>
      <c r="BF107" s="149">
        <f t="shared" si="80"/>
        <v>1E-4</v>
      </c>
      <c r="BG107" s="149">
        <f t="shared" si="80"/>
        <v>1E-4</v>
      </c>
      <c r="BH107" s="149">
        <f t="shared" si="80"/>
        <v>1E-4</v>
      </c>
      <c r="BI107" s="149">
        <f t="shared" si="80"/>
        <v>1E-4</v>
      </c>
      <c r="BJ107" s="149">
        <f t="shared" si="80"/>
        <v>1E-4</v>
      </c>
      <c r="BK107" s="149">
        <f t="shared" si="80"/>
        <v>1E-4</v>
      </c>
      <c r="BL107" s="149">
        <f t="shared" si="80"/>
        <v>1E-4</v>
      </c>
      <c r="BM107" s="149">
        <f t="shared" si="80"/>
        <v>1E-4</v>
      </c>
      <c r="BN107" s="149">
        <f t="shared" si="80"/>
        <v>1E-4</v>
      </c>
      <c r="BO107" s="149">
        <f t="shared" si="80"/>
        <v>1E-4</v>
      </c>
      <c r="BP107" s="149">
        <f t="shared" si="80"/>
        <v>1E-4</v>
      </c>
      <c r="BQ107" s="149">
        <f t="shared" si="80"/>
        <v>1E-4</v>
      </c>
      <c r="BR107" s="149">
        <f t="shared" si="80"/>
        <v>1E-4</v>
      </c>
      <c r="BS107" s="149">
        <f t="shared" si="80"/>
        <v>1E-4</v>
      </c>
      <c r="BT107" s="149">
        <f t="shared" si="80"/>
        <v>1E-4</v>
      </c>
      <c r="BU107" s="149">
        <f t="shared" si="80"/>
        <v>1E-4</v>
      </c>
      <c r="BV107" s="149">
        <f t="shared" si="80"/>
        <v>1E-4</v>
      </c>
    </row>
    <row r="108" spans="1:74" x14ac:dyDescent="0.25">
      <c r="A108" s="141" t="s">
        <v>251</v>
      </c>
      <c r="B108" s="142" t="s">
        <v>179</v>
      </c>
      <c r="C108" s="151" t="s">
        <v>215</v>
      </c>
      <c r="D108" s="171">
        <v>1.2E-4</v>
      </c>
      <c r="E108" s="174">
        <v>1.2E-4</v>
      </c>
      <c r="F108" s="174">
        <v>1.2E-4</v>
      </c>
      <c r="G108" s="174">
        <v>1.2E-4</v>
      </c>
      <c r="H108" s="174">
        <v>1.2E-4</v>
      </c>
      <c r="I108" s="174">
        <v>1.2E-4</v>
      </c>
      <c r="J108" s="174">
        <v>1.2E-4</v>
      </c>
      <c r="K108" s="174">
        <v>1.2E-4</v>
      </c>
      <c r="L108" s="174">
        <v>1.2E-4</v>
      </c>
      <c r="M108" s="174">
        <v>1.2E-4</v>
      </c>
      <c r="N108" s="174">
        <v>1.2E-4</v>
      </c>
      <c r="O108" s="174">
        <v>1.2E-4</v>
      </c>
      <c r="P108" s="174">
        <v>1.2E-4</v>
      </c>
      <c r="Q108" s="174">
        <v>1.2E-4</v>
      </c>
      <c r="R108" s="174">
        <v>1.2E-4</v>
      </c>
      <c r="S108" s="174">
        <v>1.2E-4</v>
      </c>
      <c r="T108" s="174">
        <v>1.2E-4</v>
      </c>
      <c r="U108" s="174">
        <v>1.2E-4</v>
      </c>
      <c r="V108" s="174">
        <v>1.2E-4</v>
      </c>
      <c r="W108" s="174">
        <v>1.2E-4</v>
      </c>
      <c r="X108" s="174">
        <v>1.2E-4</v>
      </c>
      <c r="Y108" s="174">
        <v>1.2E-4</v>
      </c>
      <c r="Z108" s="174">
        <v>1.2E-4</v>
      </c>
      <c r="AA108" s="174">
        <v>1.2E-4</v>
      </c>
      <c r="AB108" s="174">
        <v>1.2E-4</v>
      </c>
      <c r="AC108" s="174">
        <v>1.2E-4</v>
      </c>
      <c r="AD108" s="174">
        <v>1.2E-4</v>
      </c>
      <c r="AE108" s="174">
        <v>1.2E-4</v>
      </c>
      <c r="AF108" s="174">
        <v>1.2E-4</v>
      </c>
      <c r="AG108" s="174">
        <v>1.2E-4</v>
      </c>
      <c r="AH108" s="174">
        <v>1.2E-4</v>
      </c>
      <c r="AI108" s="174">
        <v>1.2E-4</v>
      </c>
      <c r="AJ108" s="174">
        <v>1.2E-4</v>
      </c>
      <c r="AK108" s="174">
        <v>1.2E-4</v>
      </c>
      <c r="AL108" s="174">
        <v>1.2E-4</v>
      </c>
      <c r="AM108" s="174">
        <v>1.2E-4</v>
      </c>
      <c r="AN108" s="174">
        <v>1.2E-4</v>
      </c>
      <c r="AO108" s="174">
        <v>1.2E-4</v>
      </c>
      <c r="AP108" s="174">
        <v>1.2E-4</v>
      </c>
      <c r="AQ108" s="174">
        <v>1.2E-4</v>
      </c>
      <c r="AR108" s="174">
        <v>1.2E-4</v>
      </c>
      <c r="AS108" s="149">
        <f t="shared" ref="AS108:BV108" si="81">AR108</f>
        <v>1.2E-4</v>
      </c>
      <c r="AT108" s="149">
        <f t="shared" si="81"/>
        <v>1.2E-4</v>
      </c>
      <c r="AU108" s="149">
        <f t="shared" si="81"/>
        <v>1.2E-4</v>
      </c>
      <c r="AV108" s="149">
        <f t="shared" si="81"/>
        <v>1.2E-4</v>
      </c>
      <c r="AW108" s="149">
        <f t="shared" si="81"/>
        <v>1.2E-4</v>
      </c>
      <c r="AX108" s="149">
        <f t="shared" si="81"/>
        <v>1.2E-4</v>
      </c>
      <c r="AY108" s="149">
        <f t="shared" si="81"/>
        <v>1.2E-4</v>
      </c>
      <c r="AZ108" s="149">
        <f t="shared" si="81"/>
        <v>1.2E-4</v>
      </c>
      <c r="BA108" s="149">
        <f t="shared" si="81"/>
        <v>1.2E-4</v>
      </c>
      <c r="BB108" s="149">
        <f t="shared" si="81"/>
        <v>1.2E-4</v>
      </c>
      <c r="BC108" s="149">
        <f t="shared" si="81"/>
        <v>1.2E-4</v>
      </c>
      <c r="BD108" s="149">
        <f t="shared" si="81"/>
        <v>1.2E-4</v>
      </c>
      <c r="BE108" s="149">
        <f t="shared" si="81"/>
        <v>1.2E-4</v>
      </c>
      <c r="BF108" s="149">
        <f t="shared" si="81"/>
        <v>1.2E-4</v>
      </c>
      <c r="BG108" s="149">
        <f t="shared" si="81"/>
        <v>1.2E-4</v>
      </c>
      <c r="BH108" s="149">
        <f t="shared" si="81"/>
        <v>1.2E-4</v>
      </c>
      <c r="BI108" s="149">
        <f t="shared" si="81"/>
        <v>1.2E-4</v>
      </c>
      <c r="BJ108" s="149">
        <f t="shared" si="81"/>
        <v>1.2E-4</v>
      </c>
      <c r="BK108" s="149">
        <f t="shared" si="81"/>
        <v>1.2E-4</v>
      </c>
      <c r="BL108" s="149">
        <f t="shared" si="81"/>
        <v>1.2E-4</v>
      </c>
      <c r="BM108" s="149">
        <f t="shared" si="81"/>
        <v>1.2E-4</v>
      </c>
      <c r="BN108" s="149">
        <f t="shared" si="81"/>
        <v>1.2E-4</v>
      </c>
      <c r="BO108" s="149">
        <f t="shared" si="81"/>
        <v>1.2E-4</v>
      </c>
      <c r="BP108" s="149">
        <f t="shared" si="81"/>
        <v>1.2E-4</v>
      </c>
      <c r="BQ108" s="149">
        <f t="shared" si="81"/>
        <v>1.2E-4</v>
      </c>
      <c r="BR108" s="149">
        <f t="shared" si="81"/>
        <v>1.2E-4</v>
      </c>
      <c r="BS108" s="149">
        <f t="shared" si="81"/>
        <v>1.2E-4</v>
      </c>
      <c r="BT108" s="149">
        <f t="shared" si="81"/>
        <v>1.2E-4</v>
      </c>
      <c r="BU108" s="149">
        <f t="shared" si="81"/>
        <v>1.2E-4</v>
      </c>
      <c r="BV108" s="149">
        <f t="shared" si="81"/>
        <v>1.2E-4</v>
      </c>
    </row>
    <row r="109" spans="1:74" x14ac:dyDescent="0.25">
      <c r="A109" s="141" t="s">
        <v>196</v>
      </c>
      <c r="B109" s="142" t="s">
        <v>179</v>
      </c>
      <c r="C109" s="151" t="s">
        <v>215</v>
      </c>
      <c r="D109" s="171">
        <v>6.0000000000000002E-6</v>
      </c>
      <c r="E109" s="174">
        <v>6.0000000000000002E-6</v>
      </c>
      <c r="F109" s="174">
        <v>6.0000000000000002E-6</v>
      </c>
      <c r="G109" s="174">
        <v>6.0000000000000002E-6</v>
      </c>
      <c r="H109" s="174">
        <v>6.0000000000000002E-6</v>
      </c>
      <c r="I109" s="174">
        <v>6.0000000000000002E-6</v>
      </c>
      <c r="J109" s="174">
        <v>6.0000000000000002E-6</v>
      </c>
      <c r="K109" s="174">
        <v>6.0000000000000002E-6</v>
      </c>
      <c r="L109" s="174">
        <v>6.0000000000000002E-6</v>
      </c>
      <c r="M109" s="174">
        <v>6.0000000000000002E-6</v>
      </c>
      <c r="N109" s="174">
        <v>6.0000000000000002E-6</v>
      </c>
      <c r="O109" s="174">
        <v>6.0000000000000002E-6</v>
      </c>
      <c r="P109" s="174">
        <v>6.0000000000000002E-6</v>
      </c>
      <c r="Q109" s="174">
        <v>6.0000000000000002E-6</v>
      </c>
      <c r="R109" s="174">
        <v>6.0000000000000002E-6</v>
      </c>
      <c r="S109" s="174">
        <v>6.0000000000000002E-6</v>
      </c>
      <c r="T109" s="174">
        <v>6.0000000000000002E-6</v>
      </c>
      <c r="U109" s="174">
        <v>6.0000000000000002E-6</v>
      </c>
      <c r="V109" s="174">
        <v>6.0000000000000002E-6</v>
      </c>
      <c r="W109" s="174">
        <v>6.0000000000000002E-6</v>
      </c>
      <c r="X109" s="174">
        <v>6.0000000000000002E-6</v>
      </c>
      <c r="Y109" s="174">
        <v>6.0000000000000002E-6</v>
      </c>
      <c r="Z109" s="174">
        <v>6.0000000000000002E-6</v>
      </c>
      <c r="AA109" s="174">
        <v>6.0000000000000002E-6</v>
      </c>
      <c r="AB109" s="174">
        <v>6.0000000000000002E-6</v>
      </c>
      <c r="AC109" s="174">
        <v>6.0000000000000002E-6</v>
      </c>
      <c r="AD109" s="174">
        <v>6.0000000000000002E-6</v>
      </c>
      <c r="AE109" s="174">
        <v>6.0000000000000002E-6</v>
      </c>
      <c r="AF109" s="174">
        <v>6.0000000000000002E-6</v>
      </c>
      <c r="AG109" s="174">
        <v>6.0000000000000002E-6</v>
      </c>
      <c r="AH109" s="174">
        <v>6.0000000000000002E-6</v>
      </c>
      <c r="AI109" s="174">
        <v>6.0000000000000002E-6</v>
      </c>
      <c r="AJ109" s="174">
        <v>6.0000000000000002E-6</v>
      </c>
      <c r="AK109" s="174">
        <v>6.0000000000000002E-6</v>
      </c>
      <c r="AL109" s="174">
        <v>6.0000000000000002E-6</v>
      </c>
      <c r="AM109" s="174">
        <v>6.0000000000000002E-6</v>
      </c>
      <c r="AN109" s="174">
        <v>6.0000000000000002E-6</v>
      </c>
      <c r="AO109" s="174">
        <v>6.0000000000000002E-6</v>
      </c>
      <c r="AP109" s="174">
        <v>6.0000000000000002E-6</v>
      </c>
      <c r="AQ109" s="174">
        <v>6.0000000000000002E-6</v>
      </c>
      <c r="AR109" s="174">
        <v>6.0000000000000002E-6</v>
      </c>
      <c r="AS109" s="149">
        <f t="shared" ref="AS109:BV109" si="82">AR109</f>
        <v>6.0000000000000002E-6</v>
      </c>
      <c r="AT109" s="149">
        <f t="shared" si="82"/>
        <v>6.0000000000000002E-6</v>
      </c>
      <c r="AU109" s="149">
        <f t="shared" si="82"/>
        <v>6.0000000000000002E-6</v>
      </c>
      <c r="AV109" s="149">
        <f t="shared" si="82"/>
        <v>6.0000000000000002E-6</v>
      </c>
      <c r="AW109" s="149">
        <f t="shared" si="82"/>
        <v>6.0000000000000002E-6</v>
      </c>
      <c r="AX109" s="149">
        <f t="shared" si="82"/>
        <v>6.0000000000000002E-6</v>
      </c>
      <c r="AY109" s="149">
        <f t="shared" si="82"/>
        <v>6.0000000000000002E-6</v>
      </c>
      <c r="AZ109" s="149">
        <f t="shared" si="82"/>
        <v>6.0000000000000002E-6</v>
      </c>
      <c r="BA109" s="149">
        <f t="shared" si="82"/>
        <v>6.0000000000000002E-6</v>
      </c>
      <c r="BB109" s="149">
        <f t="shared" si="82"/>
        <v>6.0000000000000002E-6</v>
      </c>
      <c r="BC109" s="149">
        <f t="shared" si="82"/>
        <v>6.0000000000000002E-6</v>
      </c>
      <c r="BD109" s="149">
        <f t="shared" si="82"/>
        <v>6.0000000000000002E-6</v>
      </c>
      <c r="BE109" s="149">
        <f t="shared" si="82"/>
        <v>6.0000000000000002E-6</v>
      </c>
      <c r="BF109" s="149">
        <f t="shared" si="82"/>
        <v>6.0000000000000002E-6</v>
      </c>
      <c r="BG109" s="149">
        <f t="shared" si="82"/>
        <v>6.0000000000000002E-6</v>
      </c>
      <c r="BH109" s="149">
        <f t="shared" si="82"/>
        <v>6.0000000000000002E-6</v>
      </c>
      <c r="BI109" s="149">
        <f t="shared" si="82"/>
        <v>6.0000000000000002E-6</v>
      </c>
      <c r="BJ109" s="149">
        <f t="shared" si="82"/>
        <v>6.0000000000000002E-6</v>
      </c>
      <c r="BK109" s="149">
        <f t="shared" si="82"/>
        <v>6.0000000000000002E-6</v>
      </c>
      <c r="BL109" s="149">
        <f t="shared" si="82"/>
        <v>6.0000000000000002E-6</v>
      </c>
      <c r="BM109" s="149">
        <f t="shared" si="82"/>
        <v>6.0000000000000002E-6</v>
      </c>
      <c r="BN109" s="149">
        <f t="shared" si="82"/>
        <v>6.0000000000000002E-6</v>
      </c>
      <c r="BO109" s="149">
        <f t="shared" si="82"/>
        <v>6.0000000000000002E-6</v>
      </c>
      <c r="BP109" s="149">
        <f t="shared" si="82"/>
        <v>6.0000000000000002E-6</v>
      </c>
      <c r="BQ109" s="149">
        <f t="shared" si="82"/>
        <v>6.0000000000000002E-6</v>
      </c>
      <c r="BR109" s="149">
        <f t="shared" si="82"/>
        <v>6.0000000000000002E-6</v>
      </c>
      <c r="BS109" s="149">
        <f t="shared" si="82"/>
        <v>6.0000000000000002E-6</v>
      </c>
      <c r="BT109" s="149">
        <f t="shared" si="82"/>
        <v>6.0000000000000002E-6</v>
      </c>
      <c r="BU109" s="149">
        <f t="shared" si="82"/>
        <v>6.0000000000000002E-6</v>
      </c>
      <c r="BV109" s="149">
        <f t="shared" si="82"/>
        <v>6.0000000000000002E-6</v>
      </c>
    </row>
    <row r="110" spans="1:74" x14ac:dyDescent="0.25">
      <c r="A110" s="147" t="s">
        <v>13</v>
      </c>
      <c r="B110" s="151" t="s">
        <v>179</v>
      </c>
      <c r="C110" s="151" t="s">
        <v>215</v>
      </c>
      <c r="D110" s="171">
        <v>6.0000000000000002E-6</v>
      </c>
      <c r="E110" s="174">
        <v>6.0000000000000002E-6</v>
      </c>
      <c r="F110" s="174">
        <v>6.0000000000000002E-6</v>
      </c>
      <c r="G110" s="174">
        <v>6.0000000000000002E-6</v>
      </c>
      <c r="H110" s="174">
        <v>6.0000000000000002E-6</v>
      </c>
      <c r="I110" s="174">
        <v>6.0000000000000002E-6</v>
      </c>
      <c r="J110" s="174">
        <v>6.0000000000000002E-6</v>
      </c>
      <c r="K110" s="174">
        <v>6.0000000000000002E-6</v>
      </c>
      <c r="L110" s="174">
        <v>6.0000000000000002E-6</v>
      </c>
      <c r="M110" s="174">
        <v>6.0000000000000002E-6</v>
      </c>
      <c r="N110" s="174">
        <v>6.0000000000000002E-6</v>
      </c>
      <c r="O110" s="174">
        <v>6.0000000000000002E-6</v>
      </c>
      <c r="P110" s="174">
        <v>6.0000000000000002E-6</v>
      </c>
      <c r="Q110" s="174">
        <v>6.0000000000000002E-6</v>
      </c>
      <c r="R110" s="174">
        <v>6.0000000000000002E-6</v>
      </c>
      <c r="S110" s="174">
        <v>6.0000000000000002E-6</v>
      </c>
      <c r="T110" s="174">
        <v>6.0000000000000002E-6</v>
      </c>
      <c r="U110" s="174">
        <v>6.0000000000000002E-6</v>
      </c>
      <c r="V110" s="174">
        <v>6.0000000000000002E-6</v>
      </c>
      <c r="W110" s="174">
        <v>6.0000000000000002E-6</v>
      </c>
      <c r="X110" s="174">
        <v>6.0000000000000002E-6</v>
      </c>
      <c r="Y110" s="174">
        <v>6.0000000000000002E-6</v>
      </c>
      <c r="Z110" s="174">
        <v>6.0000000000000002E-6</v>
      </c>
      <c r="AA110" s="174">
        <v>6.0000000000000002E-6</v>
      </c>
      <c r="AB110" s="174">
        <v>6.0000000000000002E-6</v>
      </c>
      <c r="AC110" s="174">
        <v>6.0000000000000002E-6</v>
      </c>
      <c r="AD110" s="174">
        <v>6.0000000000000002E-6</v>
      </c>
      <c r="AE110" s="174">
        <v>6.0000000000000002E-6</v>
      </c>
      <c r="AF110" s="174">
        <v>6.0000000000000002E-6</v>
      </c>
      <c r="AG110" s="174">
        <v>6.0000000000000002E-6</v>
      </c>
      <c r="AH110" s="174">
        <v>6.0000000000000002E-6</v>
      </c>
      <c r="AI110" s="174">
        <v>6.0000000000000002E-6</v>
      </c>
      <c r="AJ110" s="174">
        <v>6.0000000000000002E-6</v>
      </c>
      <c r="AK110" s="174">
        <v>6.0000000000000002E-6</v>
      </c>
      <c r="AL110" s="174">
        <v>6.0000000000000002E-6</v>
      </c>
      <c r="AM110" s="174">
        <v>6.0000000000000002E-6</v>
      </c>
      <c r="AN110" s="174">
        <v>6.0000000000000002E-6</v>
      </c>
      <c r="AO110" s="174">
        <v>6.0000000000000002E-6</v>
      </c>
      <c r="AP110" s="174">
        <v>6.0000000000000002E-6</v>
      </c>
      <c r="AQ110" s="174">
        <v>6.0000000000000002E-6</v>
      </c>
      <c r="AR110" s="174">
        <v>6.0000000000000002E-6</v>
      </c>
      <c r="AS110" s="149">
        <f t="shared" ref="AS110:BV110" si="83">AR110</f>
        <v>6.0000000000000002E-6</v>
      </c>
      <c r="AT110" s="149">
        <f t="shared" si="83"/>
        <v>6.0000000000000002E-6</v>
      </c>
      <c r="AU110" s="149">
        <f t="shared" si="83"/>
        <v>6.0000000000000002E-6</v>
      </c>
      <c r="AV110" s="149">
        <f t="shared" si="83"/>
        <v>6.0000000000000002E-6</v>
      </c>
      <c r="AW110" s="149">
        <f t="shared" si="83"/>
        <v>6.0000000000000002E-6</v>
      </c>
      <c r="AX110" s="149">
        <f t="shared" si="83"/>
        <v>6.0000000000000002E-6</v>
      </c>
      <c r="AY110" s="149">
        <f t="shared" si="83"/>
        <v>6.0000000000000002E-6</v>
      </c>
      <c r="AZ110" s="149">
        <f t="shared" si="83"/>
        <v>6.0000000000000002E-6</v>
      </c>
      <c r="BA110" s="149">
        <f t="shared" si="83"/>
        <v>6.0000000000000002E-6</v>
      </c>
      <c r="BB110" s="149">
        <f t="shared" si="83"/>
        <v>6.0000000000000002E-6</v>
      </c>
      <c r="BC110" s="149">
        <f t="shared" si="83"/>
        <v>6.0000000000000002E-6</v>
      </c>
      <c r="BD110" s="149">
        <f t="shared" si="83"/>
        <v>6.0000000000000002E-6</v>
      </c>
      <c r="BE110" s="149">
        <f t="shared" si="83"/>
        <v>6.0000000000000002E-6</v>
      </c>
      <c r="BF110" s="149">
        <f t="shared" si="83"/>
        <v>6.0000000000000002E-6</v>
      </c>
      <c r="BG110" s="149">
        <f t="shared" si="83"/>
        <v>6.0000000000000002E-6</v>
      </c>
      <c r="BH110" s="149">
        <f t="shared" si="83"/>
        <v>6.0000000000000002E-6</v>
      </c>
      <c r="BI110" s="149">
        <f t="shared" si="83"/>
        <v>6.0000000000000002E-6</v>
      </c>
      <c r="BJ110" s="149">
        <f t="shared" si="83"/>
        <v>6.0000000000000002E-6</v>
      </c>
      <c r="BK110" s="149">
        <f t="shared" si="83"/>
        <v>6.0000000000000002E-6</v>
      </c>
      <c r="BL110" s="149">
        <f t="shared" si="83"/>
        <v>6.0000000000000002E-6</v>
      </c>
      <c r="BM110" s="149">
        <f t="shared" si="83"/>
        <v>6.0000000000000002E-6</v>
      </c>
      <c r="BN110" s="149">
        <f t="shared" si="83"/>
        <v>6.0000000000000002E-6</v>
      </c>
      <c r="BO110" s="149">
        <f t="shared" si="83"/>
        <v>6.0000000000000002E-6</v>
      </c>
      <c r="BP110" s="149">
        <f t="shared" si="83"/>
        <v>6.0000000000000002E-6</v>
      </c>
      <c r="BQ110" s="149">
        <f t="shared" si="83"/>
        <v>6.0000000000000002E-6</v>
      </c>
      <c r="BR110" s="149">
        <f t="shared" si="83"/>
        <v>6.0000000000000002E-6</v>
      </c>
      <c r="BS110" s="149">
        <f t="shared" si="83"/>
        <v>6.0000000000000002E-6</v>
      </c>
      <c r="BT110" s="149">
        <f t="shared" si="83"/>
        <v>6.0000000000000002E-6</v>
      </c>
      <c r="BU110" s="149">
        <f t="shared" si="83"/>
        <v>6.0000000000000002E-6</v>
      </c>
      <c r="BV110" s="149">
        <f t="shared" si="83"/>
        <v>6.0000000000000002E-6</v>
      </c>
    </row>
    <row r="111" spans="1:74" x14ac:dyDescent="0.25">
      <c r="A111" s="147" t="s">
        <v>199</v>
      </c>
      <c r="B111" s="151" t="s">
        <v>179</v>
      </c>
      <c r="C111" s="162" t="s">
        <v>200</v>
      </c>
      <c r="D111" s="173">
        <v>2.4000000000000001E-5</v>
      </c>
      <c r="E111" s="173">
        <v>2.4000000000000001E-5</v>
      </c>
      <c r="F111" s="173">
        <v>2.4000000000000001E-5</v>
      </c>
      <c r="G111" s="173">
        <v>2.4000000000000001E-5</v>
      </c>
      <c r="H111" s="173">
        <v>2.4000000000000001E-5</v>
      </c>
      <c r="I111" s="173">
        <v>2.4000000000000001E-5</v>
      </c>
      <c r="J111" s="173">
        <v>2.4000000000000001E-5</v>
      </c>
      <c r="K111" s="173">
        <v>2.4000000000000001E-5</v>
      </c>
      <c r="L111" s="173">
        <v>2.4000000000000001E-5</v>
      </c>
      <c r="M111" s="173">
        <v>2.4000000000000001E-5</v>
      </c>
      <c r="N111" s="173">
        <v>2.4000000000000001E-5</v>
      </c>
      <c r="O111" s="173">
        <v>2.4000000000000001E-5</v>
      </c>
      <c r="P111" s="173">
        <v>2.4000000000000001E-5</v>
      </c>
      <c r="Q111" s="173">
        <v>2.4000000000000001E-5</v>
      </c>
      <c r="R111" s="173">
        <v>2.4000000000000001E-5</v>
      </c>
      <c r="S111" s="173">
        <v>2.4000000000000001E-5</v>
      </c>
      <c r="T111" s="173">
        <v>2.4000000000000001E-5</v>
      </c>
      <c r="U111" s="173">
        <v>2.4000000000000001E-5</v>
      </c>
      <c r="V111" s="173">
        <v>2.4000000000000001E-5</v>
      </c>
      <c r="W111" s="173">
        <v>2.4000000000000001E-5</v>
      </c>
      <c r="X111" s="173">
        <v>2.4000000000000001E-5</v>
      </c>
      <c r="Y111" s="173">
        <v>2.4000000000000001E-5</v>
      </c>
      <c r="Z111" s="173">
        <v>2.4000000000000001E-5</v>
      </c>
      <c r="AA111" s="173">
        <v>2.4000000000000001E-5</v>
      </c>
      <c r="AB111" s="173">
        <v>2.4000000000000001E-5</v>
      </c>
      <c r="AC111" s="173">
        <v>2.4000000000000001E-5</v>
      </c>
      <c r="AD111" s="173">
        <v>2.4000000000000001E-5</v>
      </c>
      <c r="AE111" s="173">
        <v>2.4000000000000001E-5</v>
      </c>
      <c r="AF111" s="173">
        <v>2.4000000000000001E-5</v>
      </c>
      <c r="AG111" s="173">
        <v>2.4000000000000001E-5</v>
      </c>
      <c r="AH111" s="173">
        <v>2.4000000000000001E-5</v>
      </c>
      <c r="AI111" s="173">
        <v>2.4000000000000001E-5</v>
      </c>
      <c r="AJ111" s="173">
        <v>2.4000000000000001E-5</v>
      </c>
      <c r="AK111" s="173">
        <v>2.4000000000000001E-5</v>
      </c>
      <c r="AL111" s="173">
        <v>2.4000000000000001E-5</v>
      </c>
      <c r="AM111" s="173">
        <v>2.4000000000000001E-5</v>
      </c>
      <c r="AN111" s="173">
        <v>2.4000000000000001E-5</v>
      </c>
      <c r="AO111" s="173">
        <v>2.4000000000000001E-5</v>
      </c>
      <c r="AP111" s="173">
        <v>2.4000000000000001E-5</v>
      </c>
      <c r="AQ111" s="173">
        <v>2.4000000000000001E-5</v>
      </c>
      <c r="AR111" s="173">
        <v>2.4000000000000001E-5</v>
      </c>
      <c r="AS111" s="149">
        <f t="shared" ref="AS111:BV111" si="84">AR111</f>
        <v>2.4000000000000001E-5</v>
      </c>
      <c r="AT111" s="149">
        <f t="shared" si="84"/>
        <v>2.4000000000000001E-5</v>
      </c>
      <c r="AU111" s="149">
        <f t="shared" si="84"/>
        <v>2.4000000000000001E-5</v>
      </c>
      <c r="AV111" s="149">
        <f t="shared" si="84"/>
        <v>2.4000000000000001E-5</v>
      </c>
      <c r="AW111" s="149">
        <f t="shared" si="84"/>
        <v>2.4000000000000001E-5</v>
      </c>
      <c r="AX111" s="149">
        <f t="shared" si="84"/>
        <v>2.4000000000000001E-5</v>
      </c>
      <c r="AY111" s="149">
        <f t="shared" si="84"/>
        <v>2.4000000000000001E-5</v>
      </c>
      <c r="AZ111" s="149">
        <f t="shared" si="84"/>
        <v>2.4000000000000001E-5</v>
      </c>
      <c r="BA111" s="149">
        <f t="shared" si="84"/>
        <v>2.4000000000000001E-5</v>
      </c>
      <c r="BB111" s="149">
        <f t="shared" si="84"/>
        <v>2.4000000000000001E-5</v>
      </c>
      <c r="BC111" s="149">
        <f t="shared" si="84"/>
        <v>2.4000000000000001E-5</v>
      </c>
      <c r="BD111" s="149">
        <f t="shared" si="84"/>
        <v>2.4000000000000001E-5</v>
      </c>
      <c r="BE111" s="149">
        <f t="shared" si="84"/>
        <v>2.4000000000000001E-5</v>
      </c>
      <c r="BF111" s="149">
        <f t="shared" si="84"/>
        <v>2.4000000000000001E-5</v>
      </c>
      <c r="BG111" s="149">
        <f t="shared" si="84"/>
        <v>2.4000000000000001E-5</v>
      </c>
      <c r="BH111" s="149">
        <f t="shared" si="84"/>
        <v>2.4000000000000001E-5</v>
      </c>
      <c r="BI111" s="149">
        <f t="shared" si="84"/>
        <v>2.4000000000000001E-5</v>
      </c>
      <c r="BJ111" s="149">
        <f t="shared" si="84"/>
        <v>2.4000000000000001E-5</v>
      </c>
      <c r="BK111" s="149">
        <f t="shared" si="84"/>
        <v>2.4000000000000001E-5</v>
      </c>
      <c r="BL111" s="149">
        <f t="shared" si="84"/>
        <v>2.4000000000000001E-5</v>
      </c>
      <c r="BM111" s="149">
        <f t="shared" si="84"/>
        <v>2.4000000000000001E-5</v>
      </c>
      <c r="BN111" s="149">
        <f t="shared" si="84"/>
        <v>2.4000000000000001E-5</v>
      </c>
      <c r="BO111" s="149">
        <f t="shared" si="84"/>
        <v>2.4000000000000001E-5</v>
      </c>
      <c r="BP111" s="149">
        <f t="shared" si="84"/>
        <v>2.4000000000000001E-5</v>
      </c>
      <c r="BQ111" s="149">
        <f t="shared" si="84"/>
        <v>2.4000000000000001E-5</v>
      </c>
      <c r="BR111" s="149">
        <f t="shared" si="84"/>
        <v>2.4000000000000001E-5</v>
      </c>
      <c r="BS111" s="149">
        <f t="shared" si="84"/>
        <v>2.4000000000000001E-5</v>
      </c>
      <c r="BT111" s="149">
        <f t="shared" si="84"/>
        <v>2.4000000000000001E-5</v>
      </c>
      <c r="BU111" s="149">
        <f t="shared" si="84"/>
        <v>2.4000000000000001E-5</v>
      </c>
      <c r="BV111" s="149">
        <f t="shared" si="84"/>
        <v>2.4000000000000001E-5</v>
      </c>
    </row>
    <row r="112" spans="1:74" x14ac:dyDescent="0.25">
      <c r="A112" s="147" t="s">
        <v>197</v>
      </c>
      <c r="B112" s="151" t="s">
        <v>179</v>
      </c>
      <c r="C112" s="154" t="s">
        <v>198</v>
      </c>
      <c r="D112" s="173">
        <v>6.0000000000000002E-6</v>
      </c>
      <c r="E112" s="173">
        <v>6.0000000000000002E-6</v>
      </c>
      <c r="F112" s="173">
        <v>6.0000000000000002E-6</v>
      </c>
      <c r="G112" s="173">
        <v>6.0000000000000002E-6</v>
      </c>
      <c r="H112" s="173">
        <v>6.0000000000000002E-6</v>
      </c>
      <c r="I112" s="173">
        <v>6.0000000000000002E-6</v>
      </c>
      <c r="J112" s="173">
        <v>6.0000000000000002E-6</v>
      </c>
      <c r="K112" s="173">
        <v>6.0000000000000002E-6</v>
      </c>
      <c r="L112" s="173">
        <v>6.0000000000000002E-6</v>
      </c>
      <c r="M112" s="173">
        <v>6.0000000000000002E-6</v>
      </c>
      <c r="N112" s="173">
        <v>6.0000000000000002E-6</v>
      </c>
      <c r="O112" s="173">
        <v>6.0000000000000002E-6</v>
      </c>
      <c r="P112" s="173">
        <v>6.0000000000000002E-6</v>
      </c>
      <c r="Q112" s="173">
        <v>6.0000000000000002E-6</v>
      </c>
      <c r="R112" s="173">
        <v>6.0000000000000002E-6</v>
      </c>
      <c r="S112" s="173">
        <v>6.0000000000000002E-6</v>
      </c>
      <c r="T112" s="173">
        <v>6.0000000000000002E-6</v>
      </c>
      <c r="U112" s="173">
        <v>6.0000000000000002E-6</v>
      </c>
      <c r="V112" s="173">
        <v>6.0000000000000002E-6</v>
      </c>
      <c r="W112" s="173">
        <v>6.0000000000000002E-6</v>
      </c>
      <c r="X112" s="173">
        <v>6.0000000000000002E-6</v>
      </c>
      <c r="Y112" s="173">
        <v>6.0000000000000002E-6</v>
      </c>
      <c r="Z112" s="173">
        <v>6.0000000000000002E-6</v>
      </c>
      <c r="AA112" s="173">
        <v>6.0000000000000002E-6</v>
      </c>
      <c r="AB112" s="173">
        <v>6.0000000000000002E-6</v>
      </c>
      <c r="AC112" s="173">
        <v>6.0000000000000002E-6</v>
      </c>
      <c r="AD112" s="173">
        <v>6.0000000000000002E-6</v>
      </c>
      <c r="AE112" s="173">
        <v>6.0000000000000002E-6</v>
      </c>
      <c r="AF112" s="173">
        <v>6.0000000000000002E-6</v>
      </c>
      <c r="AG112" s="173">
        <v>6.0000000000000002E-6</v>
      </c>
      <c r="AH112" s="173">
        <v>6.0000000000000002E-6</v>
      </c>
      <c r="AI112" s="173">
        <v>6.0000000000000002E-6</v>
      </c>
      <c r="AJ112" s="173">
        <v>6.0000000000000002E-6</v>
      </c>
      <c r="AK112" s="173">
        <v>6.0000000000000002E-6</v>
      </c>
      <c r="AL112" s="173">
        <v>6.0000000000000002E-6</v>
      </c>
      <c r="AM112" s="173">
        <v>6.0000000000000002E-6</v>
      </c>
      <c r="AN112" s="173">
        <v>6.0000000000000002E-6</v>
      </c>
      <c r="AO112" s="173">
        <v>6.0000000000000002E-6</v>
      </c>
      <c r="AP112" s="173">
        <v>6.0000000000000002E-6</v>
      </c>
      <c r="AQ112" s="173">
        <v>6.0000000000000002E-6</v>
      </c>
      <c r="AR112" s="173">
        <v>6.0000000000000002E-6</v>
      </c>
      <c r="AS112" s="149">
        <f t="shared" ref="AS112:BV112" si="85">AR112</f>
        <v>6.0000000000000002E-6</v>
      </c>
      <c r="AT112" s="149">
        <f t="shared" si="85"/>
        <v>6.0000000000000002E-6</v>
      </c>
      <c r="AU112" s="149">
        <f t="shared" si="85"/>
        <v>6.0000000000000002E-6</v>
      </c>
      <c r="AV112" s="149">
        <f t="shared" si="85"/>
        <v>6.0000000000000002E-6</v>
      </c>
      <c r="AW112" s="149">
        <f t="shared" si="85"/>
        <v>6.0000000000000002E-6</v>
      </c>
      <c r="AX112" s="149">
        <f t="shared" si="85"/>
        <v>6.0000000000000002E-6</v>
      </c>
      <c r="AY112" s="149">
        <f t="shared" si="85"/>
        <v>6.0000000000000002E-6</v>
      </c>
      <c r="AZ112" s="149">
        <f t="shared" si="85"/>
        <v>6.0000000000000002E-6</v>
      </c>
      <c r="BA112" s="149">
        <f t="shared" si="85"/>
        <v>6.0000000000000002E-6</v>
      </c>
      <c r="BB112" s="149">
        <f t="shared" si="85"/>
        <v>6.0000000000000002E-6</v>
      </c>
      <c r="BC112" s="149">
        <f t="shared" si="85"/>
        <v>6.0000000000000002E-6</v>
      </c>
      <c r="BD112" s="149">
        <f t="shared" si="85"/>
        <v>6.0000000000000002E-6</v>
      </c>
      <c r="BE112" s="149">
        <f t="shared" si="85"/>
        <v>6.0000000000000002E-6</v>
      </c>
      <c r="BF112" s="149">
        <f t="shared" si="85"/>
        <v>6.0000000000000002E-6</v>
      </c>
      <c r="BG112" s="149">
        <f t="shared" si="85"/>
        <v>6.0000000000000002E-6</v>
      </c>
      <c r="BH112" s="149">
        <f t="shared" si="85"/>
        <v>6.0000000000000002E-6</v>
      </c>
      <c r="BI112" s="149">
        <f t="shared" si="85"/>
        <v>6.0000000000000002E-6</v>
      </c>
      <c r="BJ112" s="149">
        <f t="shared" si="85"/>
        <v>6.0000000000000002E-6</v>
      </c>
      <c r="BK112" s="149">
        <f t="shared" si="85"/>
        <v>6.0000000000000002E-6</v>
      </c>
      <c r="BL112" s="149">
        <f t="shared" si="85"/>
        <v>6.0000000000000002E-6</v>
      </c>
      <c r="BM112" s="149">
        <f t="shared" si="85"/>
        <v>6.0000000000000002E-6</v>
      </c>
      <c r="BN112" s="149">
        <f t="shared" si="85"/>
        <v>6.0000000000000002E-6</v>
      </c>
      <c r="BO112" s="149">
        <f t="shared" si="85"/>
        <v>6.0000000000000002E-6</v>
      </c>
      <c r="BP112" s="149">
        <f t="shared" si="85"/>
        <v>6.0000000000000002E-6</v>
      </c>
      <c r="BQ112" s="149">
        <f t="shared" si="85"/>
        <v>6.0000000000000002E-6</v>
      </c>
      <c r="BR112" s="149">
        <f t="shared" si="85"/>
        <v>6.0000000000000002E-6</v>
      </c>
      <c r="BS112" s="149">
        <f t="shared" si="85"/>
        <v>6.0000000000000002E-6</v>
      </c>
      <c r="BT112" s="149">
        <f t="shared" si="85"/>
        <v>6.0000000000000002E-6</v>
      </c>
      <c r="BU112" s="149">
        <f t="shared" si="85"/>
        <v>6.0000000000000002E-6</v>
      </c>
      <c r="BV112" s="149">
        <f t="shared" si="85"/>
        <v>6.0000000000000002E-6</v>
      </c>
    </row>
    <row r="113" spans="1:74" x14ac:dyDescent="0.25">
      <c r="A113" s="141" t="s">
        <v>14</v>
      </c>
      <c r="B113" s="148" t="s">
        <v>190</v>
      </c>
      <c r="C113" s="151" t="s">
        <v>231</v>
      </c>
      <c r="D113" s="171">
        <v>3.6999999999999998E-5</v>
      </c>
      <c r="E113" s="174">
        <v>3.6999999999999998E-5</v>
      </c>
      <c r="F113" s="174">
        <v>3.6999999999999998E-5</v>
      </c>
      <c r="G113" s="174">
        <v>3.6999999999999998E-5</v>
      </c>
      <c r="H113" s="174">
        <v>3.6999999999999998E-5</v>
      </c>
      <c r="I113" s="174">
        <v>3.6999999999999998E-5</v>
      </c>
      <c r="J113" s="174">
        <v>3.6999999999999998E-5</v>
      </c>
      <c r="K113" s="174">
        <v>3.6999999999999998E-5</v>
      </c>
      <c r="L113" s="174">
        <v>3.6999999999999998E-5</v>
      </c>
      <c r="M113" s="174">
        <v>3.6999999999999998E-5</v>
      </c>
      <c r="N113" s="174">
        <v>3.6999999999999998E-5</v>
      </c>
      <c r="O113" s="174">
        <v>3.6999999999999998E-5</v>
      </c>
      <c r="P113" s="174">
        <v>3.6999999999999998E-5</v>
      </c>
      <c r="Q113" s="174">
        <v>3.6999999999999998E-5</v>
      </c>
      <c r="R113" s="174">
        <v>3.6999999999999998E-5</v>
      </c>
      <c r="S113" s="174">
        <v>3.6999999999999998E-5</v>
      </c>
      <c r="T113" s="174">
        <v>3.6999999999999998E-5</v>
      </c>
      <c r="U113" s="174">
        <v>3.6999999999999998E-5</v>
      </c>
      <c r="V113" s="174">
        <v>3.6999999999999998E-5</v>
      </c>
      <c r="W113" s="174">
        <v>3.6999999999999998E-5</v>
      </c>
      <c r="X113" s="174">
        <v>3.6999999999999998E-5</v>
      </c>
      <c r="Y113" s="174">
        <v>3.6999999999999998E-5</v>
      </c>
      <c r="Z113" s="174">
        <v>3.6999999999999998E-5</v>
      </c>
      <c r="AA113" s="174">
        <v>3.6999999999999998E-5</v>
      </c>
      <c r="AB113" s="174">
        <v>3.6999999999999998E-5</v>
      </c>
      <c r="AC113" s="174">
        <v>3.6999999999999998E-5</v>
      </c>
      <c r="AD113" s="174">
        <v>3.6999999999999998E-5</v>
      </c>
      <c r="AE113" s="174">
        <v>3.6999999999999998E-5</v>
      </c>
      <c r="AF113" s="174">
        <v>3.6999999999999998E-5</v>
      </c>
      <c r="AG113" s="174">
        <v>3.6999999999999998E-5</v>
      </c>
      <c r="AH113" s="174">
        <v>3.6999999999999998E-5</v>
      </c>
      <c r="AI113" s="174">
        <v>3.6999999999999998E-5</v>
      </c>
      <c r="AJ113" s="174">
        <v>3.6999999999999998E-5</v>
      </c>
      <c r="AK113" s="174">
        <v>3.6999999999999998E-5</v>
      </c>
      <c r="AL113" s="174">
        <v>3.6999999999999998E-5</v>
      </c>
      <c r="AM113" s="174">
        <v>3.6999999999999998E-5</v>
      </c>
      <c r="AN113" s="174">
        <v>3.6999999999999998E-5</v>
      </c>
      <c r="AO113" s="174">
        <v>3.6999999999999998E-5</v>
      </c>
      <c r="AP113" s="174">
        <v>3.6999999999999998E-5</v>
      </c>
      <c r="AQ113" s="174">
        <v>3.6999999999999998E-5</v>
      </c>
      <c r="AR113" s="174">
        <v>3.6999999999999998E-5</v>
      </c>
      <c r="AS113" s="149">
        <f t="shared" ref="AS113:BV113" si="86">AR113</f>
        <v>3.6999999999999998E-5</v>
      </c>
      <c r="AT113" s="149">
        <f t="shared" si="86"/>
        <v>3.6999999999999998E-5</v>
      </c>
      <c r="AU113" s="149">
        <f t="shared" si="86"/>
        <v>3.6999999999999998E-5</v>
      </c>
      <c r="AV113" s="149">
        <f t="shared" si="86"/>
        <v>3.6999999999999998E-5</v>
      </c>
      <c r="AW113" s="149">
        <f t="shared" si="86"/>
        <v>3.6999999999999998E-5</v>
      </c>
      <c r="AX113" s="149">
        <f t="shared" si="86"/>
        <v>3.6999999999999998E-5</v>
      </c>
      <c r="AY113" s="149">
        <f t="shared" si="86"/>
        <v>3.6999999999999998E-5</v>
      </c>
      <c r="AZ113" s="149">
        <f t="shared" si="86"/>
        <v>3.6999999999999998E-5</v>
      </c>
      <c r="BA113" s="149">
        <f t="shared" si="86"/>
        <v>3.6999999999999998E-5</v>
      </c>
      <c r="BB113" s="149">
        <f t="shared" si="86"/>
        <v>3.6999999999999998E-5</v>
      </c>
      <c r="BC113" s="149">
        <f t="shared" si="86"/>
        <v>3.6999999999999998E-5</v>
      </c>
      <c r="BD113" s="149">
        <f t="shared" si="86"/>
        <v>3.6999999999999998E-5</v>
      </c>
      <c r="BE113" s="149">
        <f t="shared" si="86"/>
        <v>3.6999999999999998E-5</v>
      </c>
      <c r="BF113" s="149">
        <f t="shared" si="86"/>
        <v>3.6999999999999998E-5</v>
      </c>
      <c r="BG113" s="149">
        <f t="shared" si="86"/>
        <v>3.6999999999999998E-5</v>
      </c>
      <c r="BH113" s="149">
        <f t="shared" si="86"/>
        <v>3.6999999999999998E-5</v>
      </c>
      <c r="BI113" s="149">
        <f t="shared" si="86"/>
        <v>3.6999999999999998E-5</v>
      </c>
      <c r="BJ113" s="149">
        <f t="shared" si="86"/>
        <v>3.6999999999999998E-5</v>
      </c>
      <c r="BK113" s="149">
        <f t="shared" si="86"/>
        <v>3.6999999999999998E-5</v>
      </c>
      <c r="BL113" s="149">
        <f t="shared" si="86"/>
        <v>3.6999999999999998E-5</v>
      </c>
      <c r="BM113" s="149">
        <f t="shared" si="86"/>
        <v>3.6999999999999998E-5</v>
      </c>
      <c r="BN113" s="149">
        <f t="shared" si="86"/>
        <v>3.6999999999999998E-5</v>
      </c>
      <c r="BO113" s="149">
        <f t="shared" si="86"/>
        <v>3.6999999999999998E-5</v>
      </c>
      <c r="BP113" s="149">
        <f t="shared" si="86"/>
        <v>3.6999999999999998E-5</v>
      </c>
      <c r="BQ113" s="149">
        <f t="shared" si="86"/>
        <v>3.6999999999999998E-5</v>
      </c>
      <c r="BR113" s="149">
        <f t="shared" si="86"/>
        <v>3.6999999999999998E-5</v>
      </c>
      <c r="BS113" s="149">
        <f t="shared" si="86"/>
        <v>3.6999999999999998E-5</v>
      </c>
      <c r="BT113" s="149">
        <f t="shared" si="86"/>
        <v>3.6999999999999998E-5</v>
      </c>
      <c r="BU113" s="149">
        <f t="shared" si="86"/>
        <v>3.6999999999999998E-5</v>
      </c>
      <c r="BV113" s="149">
        <f t="shared" si="86"/>
        <v>3.6999999999999998E-5</v>
      </c>
    </row>
    <row r="114" spans="1:74" x14ac:dyDescent="0.25">
      <c r="A114" s="141" t="s">
        <v>188</v>
      </c>
      <c r="B114" s="142" t="s">
        <v>185</v>
      </c>
      <c r="C114" s="151" t="s">
        <v>215</v>
      </c>
      <c r="D114" s="171">
        <v>1.0005836738097224E-4</v>
      </c>
      <c r="E114" s="174">
        <v>1.0005836738097224E-4</v>
      </c>
      <c r="F114" s="174">
        <v>1.0005836738097224E-4</v>
      </c>
      <c r="G114" s="174">
        <v>1.0005836738097224E-4</v>
      </c>
      <c r="H114" s="174">
        <v>1.0005836738097224E-4</v>
      </c>
      <c r="I114" s="174">
        <v>1.0005836738097224E-4</v>
      </c>
      <c r="J114" s="174">
        <v>1.0005836738097224E-4</v>
      </c>
      <c r="K114" s="174">
        <v>1.0005836738097224E-4</v>
      </c>
      <c r="L114" s="174">
        <v>1.0005836738097224E-4</v>
      </c>
      <c r="M114" s="174">
        <v>1.0005836738097224E-4</v>
      </c>
      <c r="N114" s="174">
        <v>1.0005836738097224E-4</v>
      </c>
      <c r="O114" s="174">
        <v>1.0005836738097224E-4</v>
      </c>
      <c r="P114" s="174">
        <v>1.0005836738097224E-4</v>
      </c>
      <c r="Q114" s="174">
        <v>1.0005836738097224E-4</v>
      </c>
      <c r="R114" s="174">
        <v>1.0005836738097224E-4</v>
      </c>
      <c r="S114" s="174">
        <v>1.0005836738097224E-4</v>
      </c>
      <c r="T114" s="174">
        <v>1.0005836738097224E-4</v>
      </c>
      <c r="U114" s="174">
        <v>1.0005836738097224E-4</v>
      </c>
      <c r="V114" s="174">
        <v>1.0005836738097224E-4</v>
      </c>
      <c r="W114" s="174">
        <v>1.0005836738097224E-4</v>
      </c>
      <c r="X114" s="174">
        <v>1.0005836738097224E-4</v>
      </c>
      <c r="Y114" s="174">
        <v>1.0005836738097224E-4</v>
      </c>
      <c r="Z114" s="174">
        <v>1.0005836738097224E-4</v>
      </c>
      <c r="AA114" s="174">
        <v>1.0005836738097224E-4</v>
      </c>
      <c r="AB114" s="174">
        <v>1.0005836738097224E-4</v>
      </c>
      <c r="AC114" s="174">
        <v>1.0005836738097224E-4</v>
      </c>
      <c r="AD114" s="174">
        <v>1.0005836738097224E-4</v>
      </c>
      <c r="AE114" s="174">
        <v>1.0005836738097224E-4</v>
      </c>
      <c r="AF114" s="174">
        <v>1.0005836738097224E-4</v>
      </c>
      <c r="AG114" s="174">
        <v>1.0005836738097224E-4</v>
      </c>
      <c r="AH114" s="174">
        <v>1.0005836738097224E-4</v>
      </c>
      <c r="AI114" s="174">
        <v>1.0005836738097224E-4</v>
      </c>
      <c r="AJ114" s="174">
        <v>1.0005836738097224E-4</v>
      </c>
      <c r="AK114" s="174">
        <v>1.0005836738097224E-4</v>
      </c>
      <c r="AL114" s="174">
        <v>1.0005836738097224E-4</v>
      </c>
      <c r="AM114" s="174">
        <v>1.0005836738097224E-4</v>
      </c>
      <c r="AN114" s="174">
        <v>1.0005836738097224E-4</v>
      </c>
      <c r="AO114" s="174">
        <v>1.0005836738097224E-4</v>
      </c>
      <c r="AP114" s="174">
        <v>1.0005836738097224E-4</v>
      </c>
      <c r="AQ114" s="174">
        <v>1.0005836738097224E-4</v>
      </c>
      <c r="AR114" s="174">
        <v>1.0005836738097224E-4</v>
      </c>
      <c r="AS114" s="149">
        <f t="shared" ref="AS114:BV114" si="87">AR114</f>
        <v>1.0005836738097224E-4</v>
      </c>
      <c r="AT114" s="149">
        <f t="shared" si="87"/>
        <v>1.0005836738097224E-4</v>
      </c>
      <c r="AU114" s="149">
        <f t="shared" si="87"/>
        <v>1.0005836738097224E-4</v>
      </c>
      <c r="AV114" s="149">
        <f t="shared" si="87"/>
        <v>1.0005836738097224E-4</v>
      </c>
      <c r="AW114" s="149">
        <f t="shared" si="87"/>
        <v>1.0005836738097224E-4</v>
      </c>
      <c r="AX114" s="149">
        <f t="shared" si="87"/>
        <v>1.0005836738097224E-4</v>
      </c>
      <c r="AY114" s="149">
        <f t="shared" si="87"/>
        <v>1.0005836738097224E-4</v>
      </c>
      <c r="AZ114" s="149">
        <f t="shared" si="87"/>
        <v>1.0005836738097224E-4</v>
      </c>
      <c r="BA114" s="149">
        <f t="shared" si="87"/>
        <v>1.0005836738097224E-4</v>
      </c>
      <c r="BB114" s="149">
        <f t="shared" si="87"/>
        <v>1.0005836738097224E-4</v>
      </c>
      <c r="BC114" s="149">
        <f t="shared" si="87"/>
        <v>1.0005836738097224E-4</v>
      </c>
      <c r="BD114" s="149">
        <f t="shared" si="87"/>
        <v>1.0005836738097224E-4</v>
      </c>
      <c r="BE114" s="149">
        <f t="shared" si="87"/>
        <v>1.0005836738097224E-4</v>
      </c>
      <c r="BF114" s="149">
        <f t="shared" si="87"/>
        <v>1.0005836738097224E-4</v>
      </c>
      <c r="BG114" s="149">
        <f t="shared" si="87"/>
        <v>1.0005836738097224E-4</v>
      </c>
      <c r="BH114" s="149">
        <f t="shared" si="87"/>
        <v>1.0005836738097224E-4</v>
      </c>
      <c r="BI114" s="149">
        <f t="shared" si="87"/>
        <v>1.0005836738097224E-4</v>
      </c>
      <c r="BJ114" s="149">
        <f t="shared" si="87"/>
        <v>1.0005836738097224E-4</v>
      </c>
      <c r="BK114" s="149">
        <f t="shared" si="87"/>
        <v>1.0005836738097224E-4</v>
      </c>
      <c r="BL114" s="149">
        <f t="shared" si="87"/>
        <v>1.0005836738097224E-4</v>
      </c>
      <c r="BM114" s="149">
        <f t="shared" si="87"/>
        <v>1.0005836738097224E-4</v>
      </c>
      <c r="BN114" s="149">
        <f t="shared" si="87"/>
        <v>1.0005836738097224E-4</v>
      </c>
      <c r="BO114" s="149">
        <f t="shared" si="87"/>
        <v>1.0005836738097224E-4</v>
      </c>
      <c r="BP114" s="149">
        <f t="shared" si="87"/>
        <v>1.0005836738097224E-4</v>
      </c>
      <c r="BQ114" s="149">
        <f t="shared" si="87"/>
        <v>1.0005836738097224E-4</v>
      </c>
      <c r="BR114" s="149">
        <f t="shared" si="87"/>
        <v>1.0005836738097224E-4</v>
      </c>
      <c r="BS114" s="149">
        <f t="shared" si="87"/>
        <v>1.0005836738097224E-4</v>
      </c>
      <c r="BT114" s="149">
        <f t="shared" si="87"/>
        <v>1.0005836738097224E-4</v>
      </c>
      <c r="BU114" s="149">
        <f t="shared" si="87"/>
        <v>1.0005836738097224E-4</v>
      </c>
      <c r="BV114" s="149">
        <f t="shared" si="87"/>
        <v>1.0005836738097224E-4</v>
      </c>
    </row>
    <row r="115" spans="1:74" x14ac:dyDescent="0.25">
      <c r="A115" s="147" t="s">
        <v>200</v>
      </c>
      <c r="B115" s="151" t="s">
        <v>179</v>
      </c>
      <c r="C115" s="151" t="s">
        <v>212</v>
      </c>
      <c r="D115" s="171">
        <v>2.4000000000000001E-5</v>
      </c>
      <c r="E115" s="174">
        <v>2.4000000000000001E-5</v>
      </c>
      <c r="F115" s="174">
        <v>2.4000000000000001E-5</v>
      </c>
      <c r="G115" s="174">
        <v>2.4000000000000001E-5</v>
      </c>
      <c r="H115" s="174">
        <v>2.4000000000000001E-5</v>
      </c>
      <c r="I115" s="174">
        <v>2.4000000000000001E-5</v>
      </c>
      <c r="J115" s="174">
        <v>2.4000000000000001E-5</v>
      </c>
      <c r="K115" s="174">
        <v>2.4000000000000001E-5</v>
      </c>
      <c r="L115" s="174">
        <v>2.4000000000000001E-5</v>
      </c>
      <c r="M115" s="174">
        <v>2.4000000000000001E-5</v>
      </c>
      <c r="N115" s="174">
        <v>2.4000000000000001E-5</v>
      </c>
      <c r="O115" s="174">
        <v>2.4000000000000001E-5</v>
      </c>
      <c r="P115" s="174">
        <v>2.4000000000000001E-5</v>
      </c>
      <c r="Q115" s="174">
        <v>2.4000000000000001E-5</v>
      </c>
      <c r="R115" s="174">
        <v>2.4000000000000001E-5</v>
      </c>
      <c r="S115" s="174">
        <v>2.4000000000000001E-5</v>
      </c>
      <c r="T115" s="174">
        <v>2.4000000000000001E-5</v>
      </c>
      <c r="U115" s="174">
        <v>2.4000000000000001E-5</v>
      </c>
      <c r="V115" s="174">
        <v>2.4000000000000001E-5</v>
      </c>
      <c r="W115" s="174">
        <v>2.4000000000000001E-5</v>
      </c>
      <c r="X115" s="174">
        <v>2.4000000000000001E-5</v>
      </c>
      <c r="Y115" s="174">
        <v>2.4000000000000001E-5</v>
      </c>
      <c r="Z115" s="174">
        <v>2.4000000000000001E-5</v>
      </c>
      <c r="AA115" s="174">
        <v>2.4000000000000001E-5</v>
      </c>
      <c r="AB115" s="174">
        <v>2.4000000000000001E-5</v>
      </c>
      <c r="AC115" s="174">
        <v>2.4000000000000001E-5</v>
      </c>
      <c r="AD115" s="174">
        <v>2.4000000000000001E-5</v>
      </c>
      <c r="AE115" s="174">
        <v>2.4000000000000001E-5</v>
      </c>
      <c r="AF115" s="174">
        <v>2.4000000000000001E-5</v>
      </c>
      <c r="AG115" s="174">
        <v>2.4000000000000001E-5</v>
      </c>
      <c r="AH115" s="174">
        <v>2.4000000000000001E-5</v>
      </c>
      <c r="AI115" s="174">
        <v>2.4000000000000001E-5</v>
      </c>
      <c r="AJ115" s="174">
        <v>2.4000000000000001E-5</v>
      </c>
      <c r="AK115" s="174">
        <v>2.4000000000000001E-5</v>
      </c>
      <c r="AL115" s="174">
        <v>2.4000000000000001E-5</v>
      </c>
      <c r="AM115" s="174">
        <v>2.4000000000000001E-5</v>
      </c>
      <c r="AN115" s="174">
        <v>2.4000000000000001E-5</v>
      </c>
      <c r="AO115" s="174">
        <v>2.4000000000000001E-5</v>
      </c>
      <c r="AP115" s="174">
        <v>2.4000000000000001E-5</v>
      </c>
      <c r="AQ115" s="174">
        <v>2.4000000000000001E-5</v>
      </c>
      <c r="AR115" s="174">
        <v>2.4000000000000001E-5</v>
      </c>
      <c r="AS115" s="149">
        <f t="shared" ref="AS115:BV115" si="88">AR115</f>
        <v>2.4000000000000001E-5</v>
      </c>
      <c r="AT115" s="149">
        <f t="shared" si="88"/>
        <v>2.4000000000000001E-5</v>
      </c>
      <c r="AU115" s="149">
        <f t="shared" si="88"/>
        <v>2.4000000000000001E-5</v>
      </c>
      <c r="AV115" s="149">
        <f t="shared" si="88"/>
        <v>2.4000000000000001E-5</v>
      </c>
      <c r="AW115" s="149">
        <f t="shared" si="88"/>
        <v>2.4000000000000001E-5</v>
      </c>
      <c r="AX115" s="149">
        <f t="shared" si="88"/>
        <v>2.4000000000000001E-5</v>
      </c>
      <c r="AY115" s="149">
        <f t="shared" si="88"/>
        <v>2.4000000000000001E-5</v>
      </c>
      <c r="AZ115" s="149">
        <f t="shared" si="88"/>
        <v>2.4000000000000001E-5</v>
      </c>
      <c r="BA115" s="149">
        <f t="shared" si="88"/>
        <v>2.4000000000000001E-5</v>
      </c>
      <c r="BB115" s="149">
        <f t="shared" si="88"/>
        <v>2.4000000000000001E-5</v>
      </c>
      <c r="BC115" s="149">
        <f t="shared" si="88"/>
        <v>2.4000000000000001E-5</v>
      </c>
      <c r="BD115" s="149">
        <f t="shared" si="88"/>
        <v>2.4000000000000001E-5</v>
      </c>
      <c r="BE115" s="149">
        <f t="shared" si="88"/>
        <v>2.4000000000000001E-5</v>
      </c>
      <c r="BF115" s="149">
        <f t="shared" si="88"/>
        <v>2.4000000000000001E-5</v>
      </c>
      <c r="BG115" s="149">
        <f t="shared" si="88"/>
        <v>2.4000000000000001E-5</v>
      </c>
      <c r="BH115" s="149">
        <f t="shared" si="88"/>
        <v>2.4000000000000001E-5</v>
      </c>
      <c r="BI115" s="149">
        <f t="shared" si="88"/>
        <v>2.4000000000000001E-5</v>
      </c>
      <c r="BJ115" s="149">
        <f t="shared" si="88"/>
        <v>2.4000000000000001E-5</v>
      </c>
      <c r="BK115" s="149">
        <f t="shared" si="88"/>
        <v>2.4000000000000001E-5</v>
      </c>
      <c r="BL115" s="149">
        <f t="shared" si="88"/>
        <v>2.4000000000000001E-5</v>
      </c>
      <c r="BM115" s="149">
        <f t="shared" si="88"/>
        <v>2.4000000000000001E-5</v>
      </c>
      <c r="BN115" s="149">
        <f t="shared" si="88"/>
        <v>2.4000000000000001E-5</v>
      </c>
      <c r="BO115" s="149">
        <f t="shared" si="88"/>
        <v>2.4000000000000001E-5</v>
      </c>
      <c r="BP115" s="149">
        <f t="shared" si="88"/>
        <v>2.4000000000000001E-5</v>
      </c>
      <c r="BQ115" s="149">
        <f t="shared" si="88"/>
        <v>2.4000000000000001E-5</v>
      </c>
      <c r="BR115" s="149">
        <f t="shared" si="88"/>
        <v>2.4000000000000001E-5</v>
      </c>
      <c r="BS115" s="149">
        <f t="shared" si="88"/>
        <v>2.4000000000000001E-5</v>
      </c>
      <c r="BT115" s="149">
        <f t="shared" si="88"/>
        <v>2.4000000000000001E-5</v>
      </c>
      <c r="BU115" s="149">
        <f t="shared" si="88"/>
        <v>2.4000000000000001E-5</v>
      </c>
      <c r="BV115" s="149">
        <f t="shared" si="88"/>
        <v>2.4000000000000001E-5</v>
      </c>
    </row>
    <row r="116" spans="1:74" x14ac:dyDescent="0.25">
      <c r="A116" s="141" t="s">
        <v>194</v>
      </c>
      <c r="B116" s="148" t="s">
        <v>190</v>
      </c>
      <c r="C116" s="151" t="s">
        <v>232</v>
      </c>
      <c r="D116" s="171">
        <v>3.26E-5</v>
      </c>
      <c r="E116" s="171">
        <v>3.2780000000000001E-5</v>
      </c>
      <c r="F116" s="171">
        <v>3.2960000000000003E-5</v>
      </c>
      <c r="G116" s="171">
        <v>3.3140000000000005E-5</v>
      </c>
      <c r="H116" s="171">
        <v>3.3320000000000006E-5</v>
      </c>
      <c r="I116" s="171">
        <v>3.3500000000000008E-5</v>
      </c>
      <c r="J116" s="171">
        <v>3.3559999999999997E-5</v>
      </c>
      <c r="K116" s="171">
        <v>3.362E-5</v>
      </c>
      <c r="L116" s="171">
        <v>3.3680000000000003E-5</v>
      </c>
      <c r="M116" s="171">
        <v>3.3739999999999999E-5</v>
      </c>
      <c r="N116" s="171">
        <v>3.3800000000000002E-5</v>
      </c>
      <c r="O116" s="171">
        <v>3.3439999999999998E-5</v>
      </c>
      <c r="P116" s="171">
        <v>3.3079999999999995E-5</v>
      </c>
      <c r="Q116" s="171">
        <v>3.2719999999999992E-5</v>
      </c>
      <c r="R116" s="171">
        <v>3.2359999999999988E-5</v>
      </c>
      <c r="S116" s="171">
        <v>3.1999999999999985E-5</v>
      </c>
      <c r="T116" s="171">
        <v>3.1999999999999999E-5</v>
      </c>
      <c r="U116" s="171">
        <v>3.2199999999999997E-5</v>
      </c>
      <c r="V116" s="171">
        <v>3.1600000000000002E-5</v>
      </c>
      <c r="W116" s="171">
        <v>3.1999999999999999E-5</v>
      </c>
      <c r="X116" s="171">
        <v>3.2100000000000001E-5</v>
      </c>
      <c r="Y116" s="171">
        <v>3.26E-5</v>
      </c>
      <c r="Z116" s="171">
        <v>3.0499999999999999E-5</v>
      </c>
      <c r="AA116" s="171">
        <v>3.1000000000000001E-5</v>
      </c>
      <c r="AB116" s="171">
        <v>3.1000000000000001E-5</v>
      </c>
      <c r="AC116" s="171">
        <v>3.1000000000000001E-5</v>
      </c>
      <c r="AD116" s="172">
        <v>3.1000000000000001E-5</v>
      </c>
      <c r="AE116" s="172">
        <v>3.1000000000000001E-5</v>
      </c>
      <c r="AF116" s="172">
        <v>3.1000000000000001E-5</v>
      </c>
      <c r="AG116" s="172">
        <v>3.1000000000000001E-5</v>
      </c>
      <c r="AH116" s="172">
        <v>3.1000000000000001E-5</v>
      </c>
      <c r="AI116" s="172">
        <v>3.1000000000000001E-5</v>
      </c>
      <c r="AJ116" s="172">
        <v>3.1000000000000001E-5</v>
      </c>
      <c r="AK116" s="172">
        <v>3.1000000000000001E-5</v>
      </c>
      <c r="AL116" s="172">
        <v>3.1000000000000001E-5</v>
      </c>
      <c r="AM116" s="172">
        <v>3.1000000000000001E-5</v>
      </c>
      <c r="AN116" s="172">
        <v>3.1000000000000001E-5</v>
      </c>
      <c r="AO116" s="172">
        <v>3.1000000000000001E-5</v>
      </c>
      <c r="AP116" s="172">
        <v>3.1000000000000001E-5</v>
      </c>
      <c r="AQ116" s="172">
        <v>3.1000000000000001E-5</v>
      </c>
      <c r="AR116" s="172">
        <v>3.1000000000000001E-5</v>
      </c>
      <c r="AS116" s="149">
        <f t="shared" ref="AS116:BV116" si="89">AR116</f>
        <v>3.1000000000000001E-5</v>
      </c>
      <c r="AT116" s="149">
        <f t="shared" si="89"/>
        <v>3.1000000000000001E-5</v>
      </c>
      <c r="AU116" s="149">
        <f t="shared" si="89"/>
        <v>3.1000000000000001E-5</v>
      </c>
      <c r="AV116" s="149">
        <f t="shared" si="89"/>
        <v>3.1000000000000001E-5</v>
      </c>
      <c r="AW116" s="149">
        <f t="shared" si="89"/>
        <v>3.1000000000000001E-5</v>
      </c>
      <c r="AX116" s="149">
        <f t="shared" si="89"/>
        <v>3.1000000000000001E-5</v>
      </c>
      <c r="AY116" s="149">
        <f t="shared" si="89"/>
        <v>3.1000000000000001E-5</v>
      </c>
      <c r="AZ116" s="149">
        <f t="shared" si="89"/>
        <v>3.1000000000000001E-5</v>
      </c>
      <c r="BA116" s="149">
        <f t="shared" si="89"/>
        <v>3.1000000000000001E-5</v>
      </c>
      <c r="BB116" s="149">
        <f t="shared" si="89"/>
        <v>3.1000000000000001E-5</v>
      </c>
      <c r="BC116" s="149">
        <f t="shared" si="89"/>
        <v>3.1000000000000001E-5</v>
      </c>
      <c r="BD116" s="149">
        <f t="shared" si="89"/>
        <v>3.1000000000000001E-5</v>
      </c>
      <c r="BE116" s="149">
        <f t="shared" si="89"/>
        <v>3.1000000000000001E-5</v>
      </c>
      <c r="BF116" s="149">
        <f t="shared" si="89"/>
        <v>3.1000000000000001E-5</v>
      </c>
      <c r="BG116" s="149">
        <f t="shared" si="89"/>
        <v>3.1000000000000001E-5</v>
      </c>
      <c r="BH116" s="149">
        <f t="shared" si="89"/>
        <v>3.1000000000000001E-5</v>
      </c>
      <c r="BI116" s="149">
        <f t="shared" si="89"/>
        <v>3.1000000000000001E-5</v>
      </c>
      <c r="BJ116" s="149">
        <f t="shared" si="89"/>
        <v>3.1000000000000001E-5</v>
      </c>
      <c r="BK116" s="149">
        <f t="shared" si="89"/>
        <v>3.1000000000000001E-5</v>
      </c>
      <c r="BL116" s="149">
        <f t="shared" si="89"/>
        <v>3.1000000000000001E-5</v>
      </c>
      <c r="BM116" s="149">
        <f t="shared" si="89"/>
        <v>3.1000000000000001E-5</v>
      </c>
      <c r="BN116" s="149">
        <f t="shared" si="89"/>
        <v>3.1000000000000001E-5</v>
      </c>
      <c r="BO116" s="149">
        <f t="shared" si="89"/>
        <v>3.1000000000000001E-5</v>
      </c>
      <c r="BP116" s="149">
        <f t="shared" si="89"/>
        <v>3.1000000000000001E-5</v>
      </c>
      <c r="BQ116" s="149">
        <f t="shared" si="89"/>
        <v>3.1000000000000001E-5</v>
      </c>
      <c r="BR116" s="149">
        <f t="shared" si="89"/>
        <v>3.1000000000000001E-5</v>
      </c>
      <c r="BS116" s="149">
        <f t="shared" si="89"/>
        <v>3.1000000000000001E-5</v>
      </c>
      <c r="BT116" s="149">
        <f t="shared" si="89"/>
        <v>3.1000000000000001E-5</v>
      </c>
      <c r="BU116" s="149">
        <f t="shared" si="89"/>
        <v>3.1000000000000001E-5</v>
      </c>
      <c r="BV116" s="149">
        <f t="shared" si="89"/>
        <v>3.1000000000000001E-5</v>
      </c>
    </row>
    <row r="117" spans="1:74" x14ac:dyDescent="0.25">
      <c r="A117" s="147" t="s">
        <v>201</v>
      </c>
      <c r="B117" s="151" t="s">
        <v>185</v>
      </c>
      <c r="C117" s="151" t="s">
        <v>217</v>
      </c>
      <c r="D117" s="171">
        <v>2.6743075453677172E-5</v>
      </c>
      <c r="E117" s="174">
        <v>2.6743075453677172E-5</v>
      </c>
      <c r="F117" s="174">
        <v>2.6743075453677172E-5</v>
      </c>
      <c r="G117" s="174">
        <v>2.6743075453677172E-5</v>
      </c>
      <c r="H117" s="174">
        <v>2.6743075453677172E-5</v>
      </c>
      <c r="I117" s="174">
        <v>2.6743075453677172E-5</v>
      </c>
      <c r="J117" s="174">
        <v>2.6743075453677172E-5</v>
      </c>
      <c r="K117" s="174">
        <v>2.6743075453677172E-5</v>
      </c>
      <c r="L117" s="174">
        <v>2.6743075453677172E-5</v>
      </c>
      <c r="M117" s="174">
        <v>2.6743075453677172E-5</v>
      </c>
      <c r="N117" s="174">
        <v>2.6743075453677172E-5</v>
      </c>
      <c r="O117" s="174">
        <v>2.6743075453677172E-5</v>
      </c>
      <c r="P117" s="174">
        <v>2.6743075453677172E-5</v>
      </c>
      <c r="Q117" s="174">
        <v>2.6743075453677172E-5</v>
      </c>
      <c r="R117" s="174">
        <v>2.6743075453677172E-5</v>
      </c>
      <c r="S117" s="174">
        <v>2.6743075453677172E-5</v>
      </c>
      <c r="T117" s="174">
        <v>2.6743075453677172E-5</v>
      </c>
      <c r="U117" s="174">
        <v>2.6743075453677172E-5</v>
      </c>
      <c r="V117" s="174">
        <v>2.6743075453677172E-5</v>
      </c>
      <c r="W117" s="174">
        <v>2.6743075453677172E-5</v>
      </c>
      <c r="X117" s="174">
        <v>2.6743075453677172E-5</v>
      </c>
      <c r="Y117" s="174">
        <v>2.6743075453677172E-5</v>
      </c>
      <c r="Z117" s="174">
        <v>2.6743075453677172E-5</v>
      </c>
      <c r="AA117" s="174">
        <v>2.6743075453677172E-5</v>
      </c>
      <c r="AB117" s="174">
        <v>2.6743075453677172E-5</v>
      </c>
      <c r="AC117" s="174">
        <v>2.6743075453677172E-5</v>
      </c>
      <c r="AD117" s="174">
        <v>2.6743075453677172E-5</v>
      </c>
      <c r="AE117" s="174">
        <v>2.6743075453677172E-5</v>
      </c>
      <c r="AF117" s="174">
        <v>2.6743075453677172E-5</v>
      </c>
      <c r="AG117" s="174">
        <v>2.6743075453677172E-5</v>
      </c>
      <c r="AH117" s="174">
        <v>2.6743075453677172E-5</v>
      </c>
      <c r="AI117" s="174">
        <v>2.6743075453677172E-5</v>
      </c>
      <c r="AJ117" s="174">
        <v>2.6743075453677172E-5</v>
      </c>
      <c r="AK117" s="174">
        <v>2.6743075453677172E-5</v>
      </c>
      <c r="AL117" s="174">
        <v>2.6743075453677172E-5</v>
      </c>
      <c r="AM117" s="174">
        <v>2.6743075453677172E-5</v>
      </c>
      <c r="AN117" s="174">
        <v>2.6743075453677172E-5</v>
      </c>
      <c r="AO117" s="174">
        <v>2.6743075453677172E-5</v>
      </c>
      <c r="AP117" s="174">
        <v>2.6743075453677172E-5</v>
      </c>
      <c r="AQ117" s="174">
        <v>2.6743075453677172E-5</v>
      </c>
      <c r="AR117" s="174">
        <v>2.6743075453677172E-5</v>
      </c>
      <c r="AS117" s="149">
        <f t="shared" ref="AS117:BV118" si="90">AR117</f>
        <v>2.6743075453677172E-5</v>
      </c>
      <c r="AT117" s="149">
        <f t="shared" si="90"/>
        <v>2.6743075453677172E-5</v>
      </c>
      <c r="AU117" s="149">
        <f t="shared" si="90"/>
        <v>2.6743075453677172E-5</v>
      </c>
      <c r="AV117" s="149">
        <f t="shared" si="90"/>
        <v>2.6743075453677172E-5</v>
      </c>
      <c r="AW117" s="149">
        <f t="shared" si="90"/>
        <v>2.6743075453677172E-5</v>
      </c>
      <c r="AX117" s="149">
        <f t="shared" si="90"/>
        <v>2.6743075453677172E-5</v>
      </c>
      <c r="AY117" s="149">
        <f t="shared" si="90"/>
        <v>2.6743075453677172E-5</v>
      </c>
      <c r="AZ117" s="149">
        <f t="shared" si="90"/>
        <v>2.6743075453677172E-5</v>
      </c>
      <c r="BA117" s="149">
        <f t="shared" si="90"/>
        <v>2.6743075453677172E-5</v>
      </c>
      <c r="BB117" s="149">
        <f t="shared" si="90"/>
        <v>2.6743075453677172E-5</v>
      </c>
      <c r="BC117" s="149">
        <f t="shared" si="90"/>
        <v>2.6743075453677172E-5</v>
      </c>
      <c r="BD117" s="149">
        <f t="shared" si="90"/>
        <v>2.6743075453677172E-5</v>
      </c>
      <c r="BE117" s="149">
        <f t="shared" si="90"/>
        <v>2.6743075453677172E-5</v>
      </c>
      <c r="BF117" s="149">
        <f t="shared" si="90"/>
        <v>2.6743075453677172E-5</v>
      </c>
      <c r="BG117" s="149">
        <f t="shared" si="90"/>
        <v>2.6743075453677172E-5</v>
      </c>
      <c r="BH117" s="149">
        <f t="shared" si="90"/>
        <v>2.6743075453677172E-5</v>
      </c>
      <c r="BI117" s="149">
        <f t="shared" si="90"/>
        <v>2.6743075453677172E-5</v>
      </c>
      <c r="BJ117" s="149">
        <f t="shared" si="90"/>
        <v>2.6743075453677172E-5</v>
      </c>
      <c r="BK117" s="149">
        <f t="shared" si="90"/>
        <v>2.6743075453677172E-5</v>
      </c>
      <c r="BL117" s="149">
        <f t="shared" si="90"/>
        <v>2.6743075453677172E-5</v>
      </c>
      <c r="BM117" s="149">
        <f t="shared" si="90"/>
        <v>2.6743075453677172E-5</v>
      </c>
      <c r="BN117" s="149">
        <f t="shared" si="90"/>
        <v>2.6743075453677172E-5</v>
      </c>
      <c r="BO117" s="149">
        <f t="shared" si="90"/>
        <v>2.6743075453677172E-5</v>
      </c>
      <c r="BP117" s="149">
        <f t="shared" si="90"/>
        <v>2.6743075453677172E-5</v>
      </c>
      <c r="BQ117" s="149">
        <f t="shared" si="90"/>
        <v>2.6743075453677172E-5</v>
      </c>
      <c r="BR117" s="149">
        <f t="shared" si="90"/>
        <v>2.6743075453677172E-5</v>
      </c>
      <c r="BS117" s="149">
        <f t="shared" si="90"/>
        <v>2.6743075453677172E-5</v>
      </c>
      <c r="BT117" s="149">
        <f t="shared" si="90"/>
        <v>2.6743075453677172E-5</v>
      </c>
      <c r="BU117" s="149">
        <f t="shared" si="90"/>
        <v>2.6743075453677172E-5</v>
      </c>
      <c r="BV117" s="149">
        <f t="shared" si="90"/>
        <v>2.6743075453677172E-5</v>
      </c>
    </row>
    <row r="118" spans="1:74" x14ac:dyDescent="0.25">
      <c r="A118" s="147" t="s">
        <v>202</v>
      </c>
      <c r="B118" s="151" t="s">
        <v>34</v>
      </c>
      <c r="D118" s="174"/>
      <c r="E118" s="174"/>
      <c r="F118" s="174"/>
      <c r="G118" s="174"/>
      <c r="H118" s="174"/>
      <c r="I118" s="174"/>
      <c r="J118" s="174"/>
      <c r="K118" s="174"/>
      <c r="L118" s="174"/>
      <c r="M118" s="174"/>
      <c r="N118" s="174"/>
      <c r="O118" s="174"/>
      <c r="P118" s="174"/>
      <c r="Q118" s="174"/>
      <c r="R118" s="174"/>
      <c r="S118" s="174"/>
      <c r="T118" s="174"/>
      <c r="U118" s="174"/>
      <c r="V118" s="174"/>
      <c r="W118" s="174"/>
      <c r="X118" s="174"/>
      <c r="Y118" s="174"/>
      <c r="Z118" s="174"/>
      <c r="AA118" s="174"/>
      <c r="AB118" s="174"/>
      <c r="AC118" s="174"/>
      <c r="AD118" s="174"/>
      <c r="AE118" s="174"/>
      <c r="AF118" s="174"/>
      <c r="AG118" s="174"/>
      <c r="AH118" s="174"/>
      <c r="AI118" s="174"/>
      <c r="AJ118" s="174"/>
      <c r="AK118" s="174"/>
      <c r="AL118" s="174"/>
      <c r="AM118" s="174"/>
      <c r="AN118" s="174"/>
      <c r="AO118" s="174"/>
      <c r="AP118" s="174"/>
      <c r="AQ118" s="174"/>
      <c r="AR118" s="174"/>
      <c r="AS118" s="149">
        <f t="shared" si="90"/>
        <v>0</v>
      </c>
      <c r="AT118" s="149">
        <f t="shared" si="90"/>
        <v>0</v>
      </c>
      <c r="AU118" s="149">
        <f t="shared" si="90"/>
        <v>0</v>
      </c>
      <c r="AV118" s="149">
        <f t="shared" si="90"/>
        <v>0</v>
      </c>
      <c r="AW118" s="149">
        <f t="shared" si="90"/>
        <v>0</v>
      </c>
      <c r="AX118" s="149">
        <f t="shared" si="90"/>
        <v>0</v>
      </c>
      <c r="AY118" s="149">
        <f t="shared" si="90"/>
        <v>0</v>
      </c>
      <c r="AZ118" s="149">
        <f t="shared" si="90"/>
        <v>0</v>
      </c>
      <c r="BA118" s="149">
        <f t="shared" si="90"/>
        <v>0</v>
      </c>
      <c r="BB118" s="149">
        <f t="shared" si="90"/>
        <v>0</v>
      </c>
      <c r="BC118" s="149">
        <f t="shared" si="90"/>
        <v>0</v>
      </c>
      <c r="BD118" s="149">
        <f t="shared" si="90"/>
        <v>0</v>
      </c>
      <c r="BE118" s="149">
        <f t="shared" si="90"/>
        <v>0</v>
      </c>
      <c r="BF118" s="149">
        <f t="shared" si="90"/>
        <v>0</v>
      </c>
      <c r="BG118" s="149">
        <f t="shared" si="90"/>
        <v>0</v>
      </c>
      <c r="BH118" s="149">
        <f t="shared" si="90"/>
        <v>0</v>
      </c>
      <c r="BI118" s="149">
        <f t="shared" si="90"/>
        <v>0</v>
      </c>
      <c r="BJ118" s="149">
        <f t="shared" si="90"/>
        <v>0</v>
      </c>
      <c r="BK118" s="149">
        <f t="shared" si="90"/>
        <v>0</v>
      </c>
      <c r="BL118" s="149">
        <f t="shared" si="90"/>
        <v>0</v>
      </c>
      <c r="BM118" s="149">
        <f t="shared" si="90"/>
        <v>0</v>
      </c>
      <c r="BN118" s="149">
        <f t="shared" si="90"/>
        <v>0</v>
      </c>
      <c r="BO118" s="149">
        <f t="shared" si="90"/>
        <v>0</v>
      </c>
      <c r="BP118" s="149">
        <f t="shared" si="90"/>
        <v>0</v>
      </c>
      <c r="BQ118" s="149">
        <f t="shared" si="90"/>
        <v>0</v>
      </c>
      <c r="BR118" s="149">
        <f t="shared" si="90"/>
        <v>0</v>
      </c>
      <c r="BS118" s="149">
        <f t="shared" si="90"/>
        <v>0</v>
      </c>
      <c r="BT118" s="149">
        <f t="shared" si="90"/>
        <v>0</v>
      </c>
      <c r="BU118" s="149">
        <f t="shared" si="90"/>
        <v>0</v>
      </c>
      <c r="BV118" s="149">
        <f t="shared" si="90"/>
        <v>0</v>
      </c>
    </row>
    <row r="119" spans="1:74" x14ac:dyDescent="0.25">
      <c r="A119" s="147" t="s">
        <v>204</v>
      </c>
      <c r="B119" s="148" t="s">
        <v>190</v>
      </c>
      <c r="C119" s="162" t="s">
        <v>194</v>
      </c>
      <c r="D119" s="173">
        <v>3.26E-5</v>
      </c>
      <c r="E119" s="173">
        <v>3.2780000000000001E-5</v>
      </c>
      <c r="F119" s="173">
        <v>3.2960000000000003E-5</v>
      </c>
      <c r="G119" s="173">
        <v>3.3140000000000005E-5</v>
      </c>
      <c r="H119" s="173">
        <v>3.3320000000000006E-5</v>
      </c>
      <c r="I119" s="173">
        <v>3.3500000000000008E-5</v>
      </c>
      <c r="J119" s="173">
        <v>3.3559999999999997E-5</v>
      </c>
      <c r="K119" s="173">
        <v>3.362E-5</v>
      </c>
      <c r="L119" s="173">
        <v>3.3680000000000003E-5</v>
      </c>
      <c r="M119" s="173">
        <v>3.3739999999999999E-5</v>
      </c>
      <c r="N119" s="173">
        <v>3.3800000000000002E-5</v>
      </c>
      <c r="O119" s="173">
        <v>3.3439999999999998E-5</v>
      </c>
      <c r="P119" s="173">
        <v>3.3079999999999995E-5</v>
      </c>
      <c r="Q119" s="173">
        <v>3.2719999999999992E-5</v>
      </c>
      <c r="R119" s="173">
        <v>3.2359999999999988E-5</v>
      </c>
      <c r="S119" s="173">
        <v>3.1999999999999985E-5</v>
      </c>
      <c r="T119" s="173">
        <v>3.1999999999999999E-5</v>
      </c>
      <c r="U119" s="173">
        <v>3.2199999999999997E-5</v>
      </c>
      <c r="V119" s="173">
        <v>3.1600000000000002E-5</v>
      </c>
      <c r="W119" s="173">
        <v>3.1999999999999999E-5</v>
      </c>
      <c r="X119" s="173">
        <v>3.2100000000000001E-5</v>
      </c>
      <c r="Y119" s="173">
        <v>3.26E-5</v>
      </c>
      <c r="Z119" s="173">
        <v>3.0499999999999999E-5</v>
      </c>
      <c r="AA119" s="173">
        <v>3.1000000000000001E-5</v>
      </c>
      <c r="AB119" s="173">
        <v>3.1000000000000001E-5</v>
      </c>
      <c r="AC119" s="173">
        <v>3.1000000000000001E-5</v>
      </c>
      <c r="AD119" s="173">
        <v>3.1000000000000001E-5</v>
      </c>
      <c r="AE119" s="173">
        <v>3.1000000000000001E-5</v>
      </c>
      <c r="AF119" s="173">
        <v>3.1000000000000001E-5</v>
      </c>
      <c r="AG119" s="173">
        <v>3.1000000000000001E-5</v>
      </c>
      <c r="AH119" s="173">
        <v>3.1000000000000001E-5</v>
      </c>
      <c r="AI119" s="173">
        <v>3.1000000000000001E-5</v>
      </c>
      <c r="AJ119" s="173">
        <v>3.1000000000000001E-5</v>
      </c>
      <c r="AK119" s="173">
        <v>3.1000000000000001E-5</v>
      </c>
      <c r="AL119" s="173">
        <v>3.1000000000000001E-5</v>
      </c>
      <c r="AM119" s="173">
        <v>3.1000000000000001E-5</v>
      </c>
      <c r="AN119" s="173">
        <v>3.1000000000000001E-5</v>
      </c>
      <c r="AO119" s="173">
        <v>3.1000000000000001E-5</v>
      </c>
      <c r="AP119" s="173">
        <v>3.1000000000000001E-5</v>
      </c>
      <c r="AQ119" s="173">
        <v>3.1000000000000001E-5</v>
      </c>
      <c r="AR119" s="173">
        <v>3.1000000000000001E-5</v>
      </c>
      <c r="AS119" s="149">
        <f t="shared" ref="AS119:BV120" si="91">AR119</f>
        <v>3.1000000000000001E-5</v>
      </c>
      <c r="AT119" s="149">
        <f t="shared" si="91"/>
        <v>3.1000000000000001E-5</v>
      </c>
      <c r="AU119" s="149">
        <f t="shared" si="91"/>
        <v>3.1000000000000001E-5</v>
      </c>
      <c r="AV119" s="149">
        <f t="shared" si="91"/>
        <v>3.1000000000000001E-5</v>
      </c>
      <c r="AW119" s="149">
        <f t="shared" si="91"/>
        <v>3.1000000000000001E-5</v>
      </c>
      <c r="AX119" s="149">
        <f t="shared" si="91"/>
        <v>3.1000000000000001E-5</v>
      </c>
      <c r="AY119" s="149">
        <f t="shared" si="91"/>
        <v>3.1000000000000001E-5</v>
      </c>
      <c r="AZ119" s="149">
        <f t="shared" si="91"/>
        <v>3.1000000000000001E-5</v>
      </c>
      <c r="BA119" s="149">
        <f t="shared" si="91"/>
        <v>3.1000000000000001E-5</v>
      </c>
      <c r="BB119" s="149">
        <f t="shared" si="91"/>
        <v>3.1000000000000001E-5</v>
      </c>
      <c r="BC119" s="149">
        <f t="shared" si="91"/>
        <v>3.1000000000000001E-5</v>
      </c>
      <c r="BD119" s="149">
        <f t="shared" si="91"/>
        <v>3.1000000000000001E-5</v>
      </c>
      <c r="BE119" s="149">
        <f t="shared" si="91"/>
        <v>3.1000000000000001E-5</v>
      </c>
      <c r="BF119" s="149">
        <f t="shared" si="91"/>
        <v>3.1000000000000001E-5</v>
      </c>
      <c r="BG119" s="149">
        <f t="shared" si="91"/>
        <v>3.1000000000000001E-5</v>
      </c>
      <c r="BH119" s="149">
        <f t="shared" si="91"/>
        <v>3.1000000000000001E-5</v>
      </c>
      <c r="BI119" s="149">
        <f t="shared" si="91"/>
        <v>3.1000000000000001E-5</v>
      </c>
      <c r="BJ119" s="149">
        <f t="shared" si="91"/>
        <v>3.1000000000000001E-5</v>
      </c>
      <c r="BK119" s="149">
        <f t="shared" si="91"/>
        <v>3.1000000000000001E-5</v>
      </c>
      <c r="BL119" s="149">
        <f t="shared" si="91"/>
        <v>3.1000000000000001E-5</v>
      </c>
      <c r="BM119" s="149">
        <f t="shared" si="91"/>
        <v>3.1000000000000001E-5</v>
      </c>
      <c r="BN119" s="149">
        <f t="shared" si="91"/>
        <v>3.1000000000000001E-5</v>
      </c>
      <c r="BO119" s="149">
        <f t="shared" si="91"/>
        <v>3.1000000000000001E-5</v>
      </c>
      <c r="BP119" s="149">
        <f t="shared" si="91"/>
        <v>3.1000000000000001E-5</v>
      </c>
      <c r="BQ119" s="149">
        <f t="shared" si="91"/>
        <v>3.1000000000000001E-5</v>
      </c>
      <c r="BR119" s="149">
        <f t="shared" si="91"/>
        <v>3.1000000000000001E-5</v>
      </c>
      <c r="BS119" s="149">
        <f t="shared" si="91"/>
        <v>3.1000000000000001E-5</v>
      </c>
      <c r="BT119" s="149">
        <f t="shared" si="91"/>
        <v>3.1000000000000001E-5</v>
      </c>
      <c r="BU119" s="149">
        <f t="shared" si="91"/>
        <v>3.1000000000000001E-5</v>
      </c>
      <c r="BV119" s="149">
        <f t="shared" si="91"/>
        <v>3.1000000000000001E-5</v>
      </c>
    </row>
    <row r="120" spans="1:74" x14ac:dyDescent="0.25">
      <c r="A120" s="147" t="s">
        <v>205</v>
      </c>
      <c r="B120" s="148" t="s">
        <v>206</v>
      </c>
      <c r="C120" s="162"/>
      <c r="D120" s="173"/>
      <c r="E120" s="173"/>
      <c r="F120" s="173"/>
      <c r="G120" s="173"/>
      <c r="H120" s="173"/>
      <c r="I120" s="173"/>
      <c r="J120" s="173"/>
      <c r="K120" s="173"/>
      <c r="L120" s="173"/>
      <c r="M120" s="173"/>
      <c r="N120" s="173"/>
      <c r="O120" s="173"/>
      <c r="P120" s="173"/>
      <c r="Q120" s="173"/>
      <c r="R120" s="173"/>
      <c r="S120" s="173"/>
      <c r="T120" s="173"/>
      <c r="U120" s="173"/>
      <c r="V120" s="173"/>
      <c r="W120" s="173"/>
      <c r="X120" s="173"/>
      <c r="Y120" s="173"/>
      <c r="Z120" s="173"/>
      <c r="AA120" s="173"/>
      <c r="AB120" s="173"/>
      <c r="AC120" s="173"/>
      <c r="AD120" s="173"/>
      <c r="AE120" s="173"/>
      <c r="AF120" s="173"/>
      <c r="AG120" s="173"/>
      <c r="AH120" s="173"/>
      <c r="AI120" s="173"/>
      <c r="AJ120" s="173"/>
      <c r="AK120" s="173"/>
      <c r="AL120" s="173"/>
      <c r="AM120" s="173"/>
      <c r="AN120" s="173"/>
      <c r="AO120" s="173"/>
      <c r="AP120" s="173"/>
      <c r="AQ120" s="173"/>
      <c r="AR120" s="173"/>
      <c r="AS120" s="149">
        <f t="shared" si="91"/>
        <v>0</v>
      </c>
      <c r="AT120" s="149">
        <f t="shared" si="91"/>
        <v>0</v>
      </c>
      <c r="AU120" s="149">
        <f t="shared" si="91"/>
        <v>0</v>
      </c>
      <c r="AV120" s="149">
        <f t="shared" si="91"/>
        <v>0</v>
      </c>
      <c r="AW120" s="149">
        <f t="shared" si="91"/>
        <v>0</v>
      </c>
      <c r="AX120" s="149">
        <f t="shared" si="91"/>
        <v>0</v>
      </c>
      <c r="AY120" s="149">
        <f t="shared" si="91"/>
        <v>0</v>
      </c>
      <c r="AZ120" s="149">
        <f t="shared" si="91"/>
        <v>0</v>
      </c>
      <c r="BA120" s="149">
        <f t="shared" si="91"/>
        <v>0</v>
      </c>
      <c r="BB120" s="149">
        <f t="shared" si="91"/>
        <v>0</v>
      </c>
      <c r="BC120" s="149">
        <f t="shared" si="91"/>
        <v>0</v>
      </c>
      <c r="BD120" s="149">
        <f t="shared" si="91"/>
        <v>0</v>
      </c>
      <c r="BE120" s="149">
        <f t="shared" si="91"/>
        <v>0</v>
      </c>
      <c r="BF120" s="149">
        <f t="shared" si="91"/>
        <v>0</v>
      </c>
      <c r="BG120" s="149">
        <f t="shared" si="91"/>
        <v>0</v>
      </c>
      <c r="BH120" s="149">
        <f t="shared" si="91"/>
        <v>0</v>
      </c>
      <c r="BI120" s="149">
        <f t="shared" si="91"/>
        <v>0</v>
      </c>
      <c r="BJ120" s="149">
        <f t="shared" si="91"/>
        <v>0</v>
      </c>
      <c r="BK120" s="149">
        <f t="shared" si="91"/>
        <v>0</v>
      </c>
      <c r="BL120" s="149">
        <f t="shared" si="91"/>
        <v>0</v>
      </c>
      <c r="BM120" s="149">
        <f t="shared" si="91"/>
        <v>0</v>
      </c>
      <c r="BN120" s="149">
        <f t="shared" si="91"/>
        <v>0</v>
      </c>
      <c r="BO120" s="149">
        <f t="shared" si="91"/>
        <v>0</v>
      </c>
      <c r="BP120" s="149">
        <f t="shared" si="91"/>
        <v>0</v>
      </c>
      <c r="BQ120" s="149">
        <f t="shared" si="91"/>
        <v>0</v>
      </c>
      <c r="BR120" s="149">
        <f t="shared" si="91"/>
        <v>0</v>
      </c>
      <c r="BS120" s="149">
        <f t="shared" si="91"/>
        <v>0</v>
      </c>
      <c r="BT120" s="149">
        <f t="shared" si="91"/>
        <v>0</v>
      </c>
      <c r="BU120" s="149">
        <f t="shared" si="91"/>
        <v>0</v>
      </c>
      <c r="BV120" s="149">
        <f t="shared" si="91"/>
        <v>0</v>
      </c>
    </row>
    <row r="121" spans="1:74" x14ac:dyDescent="0.25">
      <c r="A121" s="147" t="s">
        <v>207</v>
      </c>
      <c r="B121" s="151" t="s">
        <v>34</v>
      </c>
      <c r="C121" s="151" t="s">
        <v>218</v>
      </c>
      <c r="D121" s="171">
        <v>3.0000000000000001E-5</v>
      </c>
      <c r="E121" s="174">
        <v>3.0000000000000001E-5</v>
      </c>
      <c r="F121" s="174">
        <v>3.0000000000000001E-5</v>
      </c>
      <c r="G121" s="174">
        <v>3.0000000000000001E-5</v>
      </c>
      <c r="H121" s="174">
        <v>3.0000000000000001E-5</v>
      </c>
      <c r="I121" s="174">
        <v>3.0000000000000001E-5</v>
      </c>
      <c r="J121" s="174">
        <v>3.0000000000000001E-5</v>
      </c>
      <c r="K121" s="174">
        <v>3.0000000000000001E-5</v>
      </c>
      <c r="L121" s="174">
        <v>3.0000000000000001E-5</v>
      </c>
      <c r="M121" s="174">
        <v>3.0000000000000001E-5</v>
      </c>
      <c r="N121" s="174">
        <v>3.0000000000000001E-5</v>
      </c>
      <c r="O121" s="174">
        <v>3.0000000000000001E-5</v>
      </c>
      <c r="P121" s="174">
        <v>3.0000000000000001E-5</v>
      </c>
      <c r="Q121" s="174">
        <v>3.0000000000000001E-5</v>
      </c>
      <c r="R121" s="174">
        <v>3.0000000000000001E-5</v>
      </c>
      <c r="S121" s="174">
        <v>3.0000000000000001E-5</v>
      </c>
      <c r="T121" s="174">
        <v>3.0000000000000001E-5</v>
      </c>
      <c r="U121" s="174">
        <v>3.0000000000000001E-5</v>
      </c>
      <c r="V121" s="174">
        <v>3.0000000000000001E-5</v>
      </c>
      <c r="W121" s="174">
        <v>3.0000000000000001E-5</v>
      </c>
      <c r="X121" s="174">
        <v>3.0000000000000001E-5</v>
      </c>
      <c r="Y121" s="174">
        <v>3.0000000000000001E-5</v>
      </c>
      <c r="Z121" s="174">
        <v>3.0000000000000001E-5</v>
      </c>
      <c r="AA121" s="174">
        <v>3.0000000000000001E-5</v>
      </c>
      <c r="AB121" s="174">
        <v>3.0000000000000001E-5</v>
      </c>
      <c r="AC121" s="174">
        <v>3.0000000000000001E-5</v>
      </c>
      <c r="AD121" s="174">
        <v>3.0000000000000001E-5</v>
      </c>
      <c r="AE121" s="174">
        <v>3.0000000000000001E-5</v>
      </c>
      <c r="AF121" s="174">
        <v>3.0000000000000001E-5</v>
      </c>
      <c r="AG121" s="174">
        <v>3.0000000000000001E-5</v>
      </c>
      <c r="AH121" s="174">
        <v>3.0000000000000001E-5</v>
      </c>
      <c r="AI121" s="174">
        <v>3.0000000000000001E-5</v>
      </c>
      <c r="AJ121" s="174">
        <v>3.0000000000000001E-5</v>
      </c>
      <c r="AK121" s="174">
        <v>3.0000000000000001E-5</v>
      </c>
      <c r="AL121" s="174">
        <v>3.0000000000000001E-5</v>
      </c>
      <c r="AM121" s="174">
        <v>3.0000000000000001E-5</v>
      </c>
      <c r="AN121" s="174">
        <v>3.0000000000000001E-5</v>
      </c>
      <c r="AO121" s="174">
        <v>3.0000000000000001E-5</v>
      </c>
      <c r="AP121" s="174">
        <v>3.0000000000000001E-5</v>
      </c>
      <c r="AQ121" s="174">
        <v>3.0000000000000001E-5</v>
      </c>
      <c r="AR121" s="174">
        <v>3.0000000000000001E-5</v>
      </c>
      <c r="AS121" s="149">
        <f t="shared" ref="AS121:BV122" si="92">AR121</f>
        <v>3.0000000000000001E-5</v>
      </c>
      <c r="AT121" s="149">
        <f t="shared" si="92"/>
        <v>3.0000000000000001E-5</v>
      </c>
      <c r="AU121" s="149">
        <f t="shared" si="92"/>
        <v>3.0000000000000001E-5</v>
      </c>
      <c r="AV121" s="149">
        <f t="shared" si="92"/>
        <v>3.0000000000000001E-5</v>
      </c>
      <c r="AW121" s="149">
        <f t="shared" si="92"/>
        <v>3.0000000000000001E-5</v>
      </c>
      <c r="AX121" s="149">
        <f t="shared" si="92"/>
        <v>3.0000000000000001E-5</v>
      </c>
      <c r="AY121" s="149">
        <f t="shared" si="92"/>
        <v>3.0000000000000001E-5</v>
      </c>
      <c r="AZ121" s="149">
        <f t="shared" si="92"/>
        <v>3.0000000000000001E-5</v>
      </c>
      <c r="BA121" s="149">
        <f t="shared" si="92"/>
        <v>3.0000000000000001E-5</v>
      </c>
      <c r="BB121" s="149">
        <f t="shared" si="92"/>
        <v>3.0000000000000001E-5</v>
      </c>
      <c r="BC121" s="149">
        <f t="shared" si="92"/>
        <v>3.0000000000000001E-5</v>
      </c>
      <c r="BD121" s="149">
        <f t="shared" si="92"/>
        <v>3.0000000000000001E-5</v>
      </c>
      <c r="BE121" s="149">
        <f t="shared" si="92"/>
        <v>3.0000000000000001E-5</v>
      </c>
      <c r="BF121" s="149">
        <f t="shared" si="92"/>
        <v>3.0000000000000001E-5</v>
      </c>
      <c r="BG121" s="149">
        <f t="shared" si="92"/>
        <v>3.0000000000000001E-5</v>
      </c>
      <c r="BH121" s="149">
        <f t="shared" si="92"/>
        <v>3.0000000000000001E-5</v>
      </c>
      <c r="BI121" s="149">
        <f t="shared" si="92"/>
        <v>3.0000000000000001E-5</v>
      </c>
      <c r="BJ121" s="149">
        <f t="shared" si="92"/>
        <v>3.0000000000000001E-5</v>
      </c>
      <c r="BK121" s="149">
        <f t="shared" si="92"/>
        <v>3.0000000000000001E-5</v>
      </c>
      <c r="BL121" s="149">
        <f t="shared" si="92"/>
        <v>3.0000000000000001E-5</v>
      </c>
      <c r="BM121" s="149">
        <f t="shared" si="92"/>
        <v>3.0000000000000001E-5</v>
      </c>
      <c r="BN121" s="149">
        <f t="shared" si="92"/>
        <v>3.0000000000000001E-5</v>
      </c>
      <c r="BO121" s="149">
        <f t="shared" si="92"/>
        <v>3.0000000000000001E-5</v>
      </c>
      <c r="BP121" s="149">
        <f t="shared" si="92"/>
        <v>3.0000000000000001E-5</v>
      </c>
      <c r="BQ121" s="149">
        <f t="shared" si="92"/>
        <v>3.0000000000000001E-5</v>
      </c>
      <c r="BR121" s="149">
        <f t="shared" si="92"/>
        <v>3.0000000000000001E-5</v>
      </c>
      <c r="BS121" s="149">
        <f t="shared" si="92"/>
        <v>3.0000000000000001E-5</v>
      </c>
      <c r="BT121" s="149">
        <f t="shared" si="92"/>
        <v>3.0000000000000001E-5</v>
      </c>
      <c r="BU121" s="149">
        <f t="shared" si="92"/>
        <v>3.0000000000000001E-5</v>
      </c>
      <c r="BV121" s="149">
        <f t="shared" si="92"/>
        <v>3.0000000000000001E-5</v>
      </c>
    </row>
    <row r="122" spans="1:74" x14ac:dyDescent="0.25">
      <c r="A122" s="147" t="s">
        <v>15</v>
      </c>
      <c r="B122" s="151" t="s">
        <v>185</v>
      </c>
      <c r="C122" s="151" t="s">
        <v>217</v>
      </c>
      <c r="D122" s="171">
        <v>1.5472779369627503E-4</v>
      </c>
      <c r="E122" s="174">
        <v>1.5472779369627503E-4</v>
      </c>
      <c r="F122" s="174">
        <v>1.5472779369627503E-4</v>
      </c>
      <c r="G122" s="174">
        <v>1.5472779369627503E-4</v>
      </c>
      <c r="H122" s="174">
        <v>1.5472779369627503E-4</v>
      </c>
      <c r="I122" s="174">
        <v>1.5472779369627503E-4</v>
      </c>
      <c r="J122" s="174">
        <v>1.5472779369627503E-4</v>
      </c>
      <c r="K122" s="174">
        <v>1.5472779369627503E-4</v>
      </c>
      <c r="L122" s="174">
        <v>1.5472779369627503E-4</v>
      </c>
      <c r="M122" s="174">
        <v>1.5472779369627503E-4</v>
      </c>
      <c r="N122" s="174">
        <v>1.5472779369627503E-4</v>
      </c>
      <c r="O122" s="174">
        <v>1.5472779369627503E-4</v>
      </c>
      <c r="P122" s="174">
        <v>1.5472779369627503E-4</v>
      </c>
      <c r="Q122" s="174">
        <v>1.5472779369627503E-4</v>
      </c>
      <c r="R122" s="174">
        <v>1.5472779369627503E-4</v>
      </c>
      <c r="S122" s="174">
        <v>1.5472779369627503E-4</v>
      </c>
      <c r="T122" s="174">
        <v>1.5472779369627503E-4</v>
      </c>
      <c r="U122" s="174">
        <v>1.5472779369627503E-4</v>
      </c>
      <c r="V122" s="174">
        <v>1.5472779369627503E-4</v>
      </c>
      <c r="W122" s="174">
        <v>1.5472779369627503E-4</v>
      </c>
      <c r="X122" s="174">
        <v>1.5472779369627503E-4</v>
      </c>
      <c r="Y122" s="174">
        <v>1.5472779369627503E-4</v>
      </c>
      <c r="Z122" s="174">
        <v>1.5472779369627503E-4</v>
      </c>
      <c r="AA122" s="174">
        <v>1.5472779369627503E-4</v>
      </c>
      <c r="AB122" s="174">
        <v>1.5472779369627503E-4</v>
      </c>
      <c r="AC122" s="174">
        <v>1.5472779369627503E-4</v>
      </c>
      <c r="AD122" s="174">
        <v>1.5472779369627503E-4</v>
      </c>
      <c r="AE122" s="174">
        <v>1.5472779369627503E-4</v>
      </c>
      <c r="AF122" s="174">
        <v>1.5472779369627503E-4</v>
      </c>
      <c r="AG122" s="174">
        <v>1.5472779369627503E-4</v>
      </c>
      <c r="AH122" s="174">
        <v>1.5472779369627503E-4</v>
      </c>
      <c r="AI122" s="174">
        <v>1.5472779369627503E-4</v>
      </c>
      <c r="AJ122" s="174">
        <v>1.5472779369627503E-4</v>
      </c>
      <c r="AK122" s="174">
        <v>1.5472779369627503E-4</v>
      </c>
      <c r="AL122" s="174">
        <v>1.5472779369627503E-4</v>
      </c>
      <c r="AM122" s="174">
        <v>1.5472779369627503E-4</v>
      </c>
      <c r="AN122" s="174">
        <v>1.5472779369627503E-4</v>
      </c>
      <c r="AO122" s="174">
        <v>1.5472779369627503E-4</v>
      </c>
      <c r="AP122" s="174">
        <v>1.5472779369627503E-4</v>
      </c>
      <c r="AQ122" s="174">
        <v>1.5472779369627503E-4</v>
      </c>
      <c r="AR122" s="174">
        <v>1.5472779369627503E-4</v>
      </c>
      <c r="AS122" s="149">
        <f>AR122</f>
        <v>1.5472779369627503E-4</v>
      </c>
      <c r="AT122" s="149">
        <f t="shared" si="92"/>
        <v>1.5472779369627503E-4</v>
      </c>
      <c r="AU122" s="149">
        <f t="shared" si="92"/>
        <v>1.5472779369627503E-4</v>
      </c>
      <c r="AV122" s="149">
        <f t="shared" si="92"/>
        <v>1.5472779369627503E-4</v>
      </c>
      <c r="AW122" s="149">
        <f t="shared" si="92"/>
        <v>1.5472779369627503E-4</v>
      </c>
      <c r="AX122" s="149">
        <f t="shared" si="92"/>
        <v>1.5472779369627503E-4</v>
      </c>
      <c r="AY122" s="149">
        <f t="shared" si="92"/>
        <v>1.5472779369627503E-4</v>
      </c>
      <c r="AZ122" s="149">
        <f t="shared" si="92"/>
        <v>1.5472779369627503E-4</v>
      </c>
      <c r="BA122" s="149">
        <f t="shared" si="92"/>
        <v>1.5472779369627503E-4</v>
      </c>
      <c r="BB122" s="149">
        <f t="shared" si="92"/>
        <v>1.5472779369627503E-4</v>
      </c>
      <c r="BC122" s="149">
        <f t="shared" si="92"/>
        <v>1.5472779369627503E-4</v>
      </c>
      <c r="BD122" s="149">
        <f t="shared" si="92"/>
        <v>1.5472779369627503E-4</v>
      </c>
      <c r="BE122" s="149">
        <f t="shared" si="92"/>
        <v>1.5472779369627503E-4</v>
      </c>
      <c r="BF122" s="149">
        <f t="shared" si="92"/>
        <v>1.5472779369627503E-4</v>
      </c>
      <c r="BG122" s="149">
        <f t="shared" si="92"/>
        <v>1.5472779369627503E-4</v>
      </c>
      <c r="BH122" s="149">
        <f t="shared" si="92"/>
        <v>1.5472779369627503E-4</v>
      </c>
      <c r="BI122" s="149">
        <f t="shared" si="92"/>
        <v>1.5472779369627503E-4</v>
      </c>
      <c r="BJ122" s="149">
        <f t="shared" si="92"/>
        <v>1.5472779369627503E-4</v>
      </c>
      <c r="BK122" s="149">
        <f t="shared" si="92"/>
        <v>1.5472779369627503E-4</v>
      </c>
      <c r="BL122" s="149">
        <f t="shared" si="92"/>
        <v>1.5472779369627503E-4</v>
      </c>
      <c r="BM122" s="149">
        <f t="shared" si="92"/>
        <v>1.5472779369627503E-4</v>
      </c>
      <c r="BN122" s="149">
        <f t="shared" si="92"/>
        <v>1.5472779369627503E-4</v>
      </c>
      <c r="BO122" s="149">
        <f t="shared" si="92"/>
        <v>1.5472779369627503E-4</v>
      </c>
      <c r="BP122" s="149">
        <f t="shared" si="92"/>
        <v>1.5472779369627503E-4</v>
      </c>
      <c r="BQ122" s="149">
        <f t="shared" si="92"/>
        <v>1.5472779369627503E-4</v>
      </c>
      <c r="BR122" s="149">
        <f t="shared" si="92"/>
        <v>1.5472779369627503E-4</v>
      </c>
      <c r="BS122" s="149">
        <f t="shared" si="92"/>
        <v>1.5472779369627503E-4</v>
      </c>
      <c r="BT122" s="149">
        <f t="shared" si="92"/>
        <v>1.5472779369627503E-4</v>
      </c>
      <c r="BU122" s="149">
        <f t="shared" si="92"/>
        <v>1.5472779369627503E-4</v>
      </c>
      <c r="BV122" s="149">
        <f t="shared" si="92"/>
        <v>1.5472779369627503E-4</v>
      </c>
    </row>
    <row r="125" spans="1:74" s="168" customFormat="1" x14ac:dyDescent="0.25">
      <c r="A125" s="166" t="s">
        <v>55</v>
      </c>
      <c r="B125" s="167"/>
      <c r="E125" s="175"/>
      <c r="F125" s="175"/>
      <c r="G125" s="175"/>
      <c r="H125" s="175"/>
      <c r="I125" s="167"/>
      <c r="J125" s="167"/>
      <c r="K125" s="167"/>
      <c r="L125" s="167"/>
      <c r="M125" s="167"/>
      <c r="N125" s="167"/>
      <c r="O125" s="167"/>
      <c r="P125" s="167"/>
      <c r="Q125" s="167"/>
      <c r="R125" s="167"/>
      <c r="S125" s="167"/>
      <c r="T125" s="167"/>
      <c r="U125" s="167"/>
      <c r="V125" s="167"/>
      <c r="W125" s="167"/>
      <c r="X125" s="167"/>
      <c r="Y125" s="167"/>
      <c r="Z125" s="167"/>
      <c r="AA125" s="167"/>
      <c r="AB125" s="167"/>
      <c r="AC125" s="167"/>
      <c r="AD125" s="167"/>
      <c r="AE125" s="167"/>
      <c r="AF125" s="167"/>
      <c r="AG125" s="167"/>
      <c r="AH125" s="167"/>
      <c r="AI125" s="167"/>
      <c r="AJ125" s="167"/>
      <c r="AK125" s="167"/>
      <c r="AL125" s="167"/>
      <c r="AM125" s="167"/>
      <c r="AN125" s="167"/>
      <c r="AO125" s="167"/>
      <c r="AP125" s="167"/>
      <c r="AQ125" s="167"/>
      <c r="AR125" s="167"/>
      <c r="AS125" s="167"/>
    </row>
    <row r="126" spans="1:74" s="168" customFormat="1" x14ac:dyDescent="0.25">
      <c r="A126" s="166" t="s">
        <v>19</v>
      </c>
      <c r="B126" s="166" t="s">
        <v>233</v>
      </c>
      <c r="E126" s="175"/>
      <c r="F126" s="175"/>
      <c r="G126" s="175"/>
      <c r="H126" s="175"/>
      <c r="I126" s="167"/>
      <c r="J126" s="167"/>
      <c r="K126" s="167"/>
      <c r="L126" s="167"/>
      <c r="M126" s="167"/>
      <c r="N126" s="167"/>
      <c r="O126" s="167"/>
      <c r="P126" s="167"/>
      <c r="Q126" s="167"/>
      <c r="R126" s="167"/>
      <c r="S126" s="167"/>
      <c r="T126" s="167"/>
      <c r="U126" s="167"/>
      <c r="V126" s="167"/>
      <c r="W126" s="167"/>
      <c r="X126" s="167"/>
      <c r="Y126" s="167"/>
      <c r="Z126" s="167"/>
      <c r="AA126" s="167"/>
      <c r="AB126" s="167"/>
      <c r="AC126" s="167"/>
      <c r="AD126" s="167"/>
      <c r="AE126" s="167"/>
      <c r="AF126" s="167"/>
      <c r="AG126" s="167"/>
      <c r="AH126" s="167"/>
      <c r="AI126" s="167"/>
      <c r="AJ126" s="167"/>
      <c r="AK126" s="167"/>
      <c r="AL126" s="167"/>
      <c r="AM126" s="167"/>
      <c r="AN126" s="167"/>
      <c r="AO126" s="167"/>
      <c r="AP126" s="167"/>
      <c r="AQ126" s="167"/>
      <c r="AR126" s="167"/>
      <c r="AS126" s="167"/>
    </row>
    <row r="127" spans="1:74" s="142" customFormat="1" x14ac:dyDescent="0.25">
      <c r="A127" s="147" t="s">
        <v>178</v>
      </c>
      <c r="B127" s="151" t="s">
        <v>179</v>
      </c>
      <c r="C127" s="151" t="s">
        <v>211</v>
      </c>
      <c r="D127" s="171">
        <v>2.3000000000000001E-4</v>
      </c>
      <c r="E127" s="172">
        <v>2.3000000000000001E-4</v>
      </c>
      <c r="F127" s="172">
        <v>2.3000000000000001E-4</v>
      </c>
      <c r="G127" s="172">
        <v>2.3000000000000001E-4</v>
      </c>
      <c r="H127" s="172">
        <v>2.3000000000000001E-4</v>
      </c>
      <c r="I127" s="172">
        <v>2.3000000000000001E-4</v>
      </c>
      <c r="J127" s="172">
        <v>2.3000000000000001E-4</v>
      </c>
      <c r="K127" s="172">
        <v>2.3000000000000001E-4</v>
      </c>
      <c r="L127" s="172">
        <v>2.3000000000000001E-4</v>
      </c>
      <c r="M127" s="172">
        <v>2.3000000000000001E-4</v>
      </c>
      <c r="N127" s="172">
        <v>2.3000000000000001E-4</v>
      </c>
      <c r="O127" s="172">
        <v>2.3000000000000001E-4</v>
      </c>
      <c r="P127" s="172">
        <v>2.3000000000000001E-4</v>
      </c>
      <c r="Q127" s="172">
        <v>2.3000000000000001E-4</v>
      </c>
      <c r="R127" s="172">
        <v>2.3000000000000001E-4</v>
      </c>
      <c r="S127" s="172">
        <v>2.3000000000000001E-4</v>
      </c>
      <c r="T127" s="172">
        <v>2.3000000000000001E-4</v>
      </c>
      <c r="U127" s="172">
        <v>2.3000000000000001E-4</v>
      </c>
      <c r="V127" s="172">
        <v>2.3000000000000001E-4</v>
      </c>
      <c r="W127" s="172">
        <v>2.3000000000000001E-4</v>
      </c>
      <c r="X127" s="172">
        <v>2.3000000000000001E-4</v>
      </c>
      <c r="Y127" s="172">
        <v>2.3000000000000001E-4</v>
      </c>
      <c r="Z127" s="172">
        <v>2.3000000000000001E-4</v>
      </c>
      <c r="AA127" s="172">
        <v>2.3000000000000001E-4</v>
      </c>
      <c r="AB127" s="172">
        <v>2.3000000000000001E-4</v>
      </c>
      <c r="AC127" s="172">
        <v>2.3000000000000001E-4</v>
      </c>
      <c r="AD127" s="172">
        <v>2.3000000000000001E-4</v>
      </c>
      <c r="AE127" s="172">
        <v>2.3000000000000001E-4</v>
      </c>
      <c r="AF127" s="172">
        <v>2.3000000000000001E-4</v>
      </c>
      <c r="AG127" s="172">
        <v>2.3000000000000001E-4</v>
      </c>
      <c r="AH127" s="172">
        <v>2.3000000000000001E-4</v>
      </c>
      <c r="AI127" s="172">
        <v>2.3000000000000001E-4</v>
      </c>
      <c r="AJ127" s="172">
        <v>2.3000000000000001E-4</v>
      </c>
      <c r="AK127" s="172">
        <v>2.3000000000000001E-4</v>
      </c>
      <c r="AL127" s="172">
        <v>2.3000000000000001E-4</v>
      </c>
      <c r="AM127" s="172">
        <v>2.3000000000000001E-4</v>
      </c>
      <c r="AN127" s="172">
        <v>2.3000000000000001E-4</v>
      </c>
      <c r="AO127" s="172">
        <v>2.3000000000000001E-4</v>
      </c>
      <c r="AP127" s="172">
        <v>2.3000000000000001E-4</v>
      </c>
      <c r="AQ127" s="172">
        <v>2.3000000000000001E-4</v>
      </c>
      <c r="AR127" s="172">
        <v>2.3000000000000001E-4</v>
      </c>
      <c r="AS127" s="149">
        <f t="shared" ref="AS127:BV127" si="93">AR127</f>
        <v>2.3000000000000001E-4</v>
      </c>
      <c r="AT127" s="149">
        <f t="shared" si="93"/>
        <v>2.3000000000000001E-4</v>
      </c>
      <c r="AU127" s="149">
        <f t="shared" si="93"/>
        <v>2.3000000000000001E-4</v>
      </c>
      <c r="AV127" s="149">
        <f t="shared" si="93"/>
        <v>2.3000000000000001E-4</v>
      </c>
      <c r="AW127" s="149">
        <f t="shared" si="93"/>
        <v>2.3000000000000001E-4</v>
      </c>
      <c r="AX127" s="149">
        <f t="shared" si="93"/>
        <v>2.3000000000000001E-4</v>
      </c>
      <c r="AY127" s="149">
        <f t="shared" si="93"/>
        <v>2.3000000000000001E-4</v>
      </c>
      <c r="AZ127" s="149">
        <f t="shared" si="93"/>
        <v>2.3000000000000001E-4</v>
      </c>
      <c r="BA127" s="149">
        <f t="shared" si="93"/>
        <v>2.3000000000000001E-4</v>
      </c>
      <c r="BB127" s="149">
        <f t="shared" si="93"/>
        <v>2.3000000000000001E-4</v>
      </c>
      <c r="BC127" s="149">
        <f t="shared" si="93"/>
        <v>2.3000000000000001E-4</v>
      </c>
      <c r="BD127" s="149">
        <f t="shared" si="93"/>
        <v>2.3000000000000001E-4</v>
      </c>
      <c r="BE127" s="149">
        <f t="shared" si="93"/>
        <v>2.3000000000000001E-4</v>
      </c>
      <c r="BF127" s="149">
        <f t="shared" si="93"/>
        <v>2.3000000000000001E-4</v>
      </c>
      <c r="BG127" s="149">
        <f t="shared" si="93"/>
        <v>2.3000000000000001E-4</v>
      </c>
      <c r="BH127" s="149">
        <f t="shared" si="93"/>
        <v>2.3000000000000001E-4</v>
      </c>
      <c r="BI127" s="149">
        <f t="shared" si="93"/>
        <v>2.3000000000000001E-4</v>
      </c>
      <c r="BJ127" s="149">
        <f t="shared" si="93"/>
        <v>2.3000000000000001E-4</v>
      </c>
      <c r="BK127" s="149">
        <f t="shared" si="93"/>
        <v>2.3000000000000001E-4</v>
      </c>
      <c r="BL127" s="149">
        <f t="shared" si="93"/>
        <v>2.3000000000000001E-4</v>
      </c>
      <c r="BM127" s="149">
        <f t="shared" si="93"/>
        <v>2.3000000000000001E-4</v>
      </c>
      <c r="BN127" s="149">
        <f t="shared" si="93"/>
        <v>2.3000000000000001E-4</v>
      </c>
      <c r="BO127" s="149">
        <f t="shared" si="93"/>
        <v>2.3000000000000001E-4</v>
      </c>
      <c r="BP127" s="149">
        <f t="shared" si="93"/>
        <v>2.3000000000000001E-4</v>
      </c>
      <c r="BQ127" s="149">
        <f t="shared" si="93"/>
        <v>2.3000000000000001E-4</v>
      </c>
      <c r="BR127" s="149">
        <f t="shared" si="93"/>
        <v>2.3000000000000001E-4</v>
      </c>
      <c r="BS127" s="149">
        <f t="shared" si="93"/>
        <v>2.3000000000000001E-4</v>
      </c>
      <c r="BT127" s="149">
        <f t="shared" si="93"/>
        <v>2.3000000000000001E-4</v>
      </c>
      <c r="BU127" s="149">
        <f t="shared" si="93"/>
        <v>2.3000000000000001E-4</v>
      </c>
      <c r="BV127" s="149">
        <f t="shared" si="93"/>
        <v>2.3000000000000001E-4</v>
      </c>
    </row>
    <row r="128" spans="1:74" s="142" customFormat="1" x14ac:dyDescent="0.25">
      <c r="A128" s="147" t="s">
        <v>180</v>
      </c>
      <c r="B128" s="151" t="s">
        <v>179</v>
      </c>
      <c r="C128" s="151" t="s">
        <v>211</v>
      </c>
      <c r="D128" s="171">
        <v>7.1000000000000005E-5</v>
      </c>
      <c r="E128" s="172">
        <v>7.1000000000000005E-5</v>
      </c>
      <c r="F128" s="172">
        <v>7.1000000000000005E-5</v>
      </c>
      <c r="G128" s="172">
        <v>7.1000000000000005E-5</v>
      </c>
      <c r="H128" s="172">
        <v>7.1000000000000005E-5</v>
      </c>
      <c r="I128" s="172">
        <v>7.1000000000000005E-5</v>
      </c>
      <c r="J128" s="172">
        <v>7.1000000000000005E-5</v>
      </c>
      <c r="K128" s="172">
        <v>7.1000000000000005E-5</v>
      </c>
      <c r="L128" s="172">
        <v>7.1000000000000005E-5</v>
      </c>
      <c r="M128" s="172">
        <v>7.1000000000000005E-5</v>
      </c>
      <c r="N128" s="172">
        <v>7.1000000000000005E-5</v>
      </c>
      <c r="O128" s="172">
        <v>7.1000000000000005E-5</v>
      </c>
      <c r="P128" s="172">
        <v>7.1000000000000005E-5</v>
      </c>
      <c r="Q128" s="172">
        <v>7.1000000000000005E-5</v>
      </c>
      <c r="R128" s="172">
        <v>7.1000000000000005E-5</v>
      </c>
      <c r="S128" s="172">
        <v>7.1000000000000005E-5</v>
      </c>
      <c r="T128" s="172">
        <v>7.1000000000000005E-5</v>
      </c>
      <c r="U128" s="172">
        <v>7.1000000000000005E-5</v>
      </c>
      <c r="V128" s="172">
        <v>7.1000000000000005E-5</v>
      </c>
      <c r="W128" s="172">
        <v>7.1000000000000005E-5</v>
      </c>
      <c r="X128" s="172">
        <v>7.1000000000000005E-5</v>
      </c>
      <c r="Y128" s="172">
        <v>7.1000000000000005E-5</v>
      </c>
      <c r="Z128" s="172">
        <v>7.1000000000000005E-5</v>
      </c>
      <c r="AA128" s="172">
        <v>7.1000000000000005E-5</v>
      </c>
      <c r="AB128" s="172">
        <v>7.1000000000000005E-5</v>
      </c>
      <c r="AC128" s="172">
        <v>7.1000000000000005E-5</v>
      </c>
      <c r="AD128" s="172">
        <v>7.1000000000000005E-5</v>
      </c>
      <c r="AE128" s="172">
        <v>7.1000000000000005E-5</v>
      </c>
      <c r="AF128" s="172">
        <v>7.1000000000000005E-5</v>
      </c>
      <c r="AG128" s="172">
        <v>7.1000000000000005E-5</v>
      </c>
      <c r="AH128" s="172">
        <v>7.1000000000000005E-5</v>
      </c>
      <c r="AI128" s="172">
        <v>7.1000000000000005E-5</v>
      </c>
      <c r="AJ128" s="172">
        <v>7.1000000000000005E-5</v>
      </c>
      <c r="AK128" s="172">
        <v>7.1000000000000005E-5</v>
      </c>
      <c r="AL128" s="172">
        <v>7.1000000000000005E-5</v>
      </c>
      <c r="AM128" s="172">
        <v>7.1000000000000005E-5</v>
      </c>
      <c r="AN128" s="172">
        <v>7.1000000000000005E-5</v>
      </c>
      <c r="AO128" s="172">
        <v>7.1000000000000005E-5</v>
      </c>
      <c r="AP128" s="172">
        <v>7.1000000000000005E-5</v>
      </c>
      <c r="AQ128" s="172">
        <v>7.1000000000000005E-5</v>
      </c>
      <c r="AR128" s="172">
        <v>7.1000000000000005E-5</v>
      </c>
      <c r="AS128" s="149">
        <f t="shared" ref="AS128:BV128" si="94">AR128</f>
        <v>7.1000000000000005E-5</v>
      </c>
      <c r="AT128" s="149">
        <f t="shared" si="94"/>
        <v>7.1000000000000005E-5</v>
      </c>
      <c r="AU128" s="149">
        <f t="shared" si="94"/>
        <v>7.1000000000000005E-5</v>
      </c>
      <c r="AV128" s="149">
        <f t="shared" si="94"/>
        <v>7.1000000000000005E-5</v>
      </c>
      <c r="AW128" s="149">
        <f t="shared" si="94"/>
        <v>7.1000000000000005E-5</v>
      </c>
      <c r="AX128" s="149">
        <f t="shared" si="94"/>
        <v>7.1000000000000005E-5</v>
      </c>
      <c r="AY128" s="149">
        <f t="shared" si="94"/>
        <v>7.1000000000000005E-5</v>
      </c>
      <c r="AZ128" s="149">
        <f t="shared" si="94"/>
        <v>7.1000000000000005E-5</v>
      </c>
      <c r="BA128" s="149">
        <f t="shared" si="94"/>
        <v>7.1000000000000005E-5</v>
      </c>
      <c r="BB128" s="149">
        <f t="shared" si="94"/>
        <v>7.1000000000000005E-5</v>
      </c>
      <c r="BC128" s="149">
        <f t="shared" si="94"/>
        <v>7.1000000000000005E-5</v>
      </c>
      <c r="BD128" s="149">
        <f t="shared" si="94"/>
        <v>7.1000000000000005E-5</v>
      </c>
      <c r="BE128" s="149">
        <f t="shared" si="94"/>
        <v>7.1000000000000005E-5</v>
      </c>
      <c r="BF128" s="149">
        <f t="shared" si="94"/>
        <v>7.1000000000000005E-5</v>
      </c>
      <c r="BG128" s="149">
        <f t="shared" si="94"/>
        <v>7.1000000000000005E-5</v>
      </c>
      <c r="BH128" s="149">
        <f t="shared" si="94"/>
        <v>7.1000000000000005E-5</v>
      </c>
      <c r="BI128" s="149">
        <f t="shared" si="94"/>
        <v>7.1000000000000005E-5</v>
      </c>
      <c r="BJ128" s="149">
        <f t="shared" si="94"/>
        <v>7.1000000000000005E-5</v>
      </c>
      <c r="BK128" s="149">
        <f t="shared" si="94"/>
        <v>7.1000000000000005E-5</v>
      </c>
      <c r="BL128" s="149">
        <f t="shared" si="94"/>
        <v>7.1000000000000005E-5</v>
      </c>
      <c r="BM128" s="149">
        <f t="shared" si="94"/>
        <v>7.1000000000000005E-5</v>
      </c>
      <c r="BN128" s="149">
        <f t="shared" si="94"/>
        <v>7.1000000000000005E-5</v>
      </c>
      <c r="BO128" s="149">
        <f t="shared" si="94"/>
        <v>7.1000000000000005E-5</v>
      </c>
      <c r="BP128" s="149">
        <f t="shared" si="94"/>
        <v>7.1000000000000005E-5</v>
      </c>
      <c r="BQ128" s="149">
        <f t="shared" si="94"/>
        <v>7.1000000000000005E-5</v>
      </c>
      <c r="BR128" s="149">
        <f t="shared" si="94"/>
        <v>7.1000000000000005E-5</v>
      </c>
      <c r="BS128" s="149">
        <f t="shared" si="94"/>
        <v>7.1000000000000005E-5</v>
      </c>
      <c r="BT128" s="149">
        <f t="shared" si="94"/>
        <v>7.1000000000000005E-5</v>
      </c>
      <c r="BU128" s="149">
        <f t="shared" si="94"/>
        <v>7.1000000000000005E-5</v>
      </c>
      <c r="BV128" s="149">
        <f t="shared" si="94"/>
        <v>7.1000000000000005E-5</v>
      </c>
    </row>
    <row r="129" spans="1:74" s="142" customFormat="1" x14ac:dyDescent="0.25">
      <c r="A129" s="141" t="s">
        <v>181</v>
      </c>
      <c r="B129" s="142" t="s">
        <v>179</v>
      </c>
      <c r="C129" s="154" t="s">
        <v>12</v>
      </c>
      <c r="D129" s="173">
        <v>4.0000000000000002E-4</v>
      </c>
      <c r="E129" s="173">
        <v>4.0000000000000002E-4</v>
      </c>
      <c r="F129" s="173">
        <v>4.0000000000000002E-4</v>
      </c>
      <c r="G129" s="173">
        <v>4.0000000000000002E-4</v>
      </c>
      <c r="H129" s="173">
        <v>4.0000000000000002E-4</v>
      </c>
      <c r="I129" s="173">
        <v>4.0000000000000002E-4</v>
      </c>
      <c r="J129" s="173">
        <v>4.0000000000000002E-4</v>
      </c>
      <c r="K129" s="173">
        <v>4.0000000000000002E-4</v>
      </c>
      <c r="L129" s="173">
        <v>4.0000000000000002E-4</v>
      </c>
      <c r="M129" s="173">
        <v>4.0000000000000002E-4</v>
      </c>
      <c r="N129" s="173">
        <v>4.0000000000000002E-4</v>
      </c>
      <c r="O129" s="173">
        <v>4.0000000000000002E-4</v>
      </c>
      <c r="P129" s="173">
        <v>4.0000000000000002E-4</v>
      </c>
      <c r="Q129" s="173">
        <v>4.0000000000000002E-4</v>
      </c>
      <c r="R129" s="173">
        <v>4.0000000000000002E-4</v>
      </c>
      <c r="S129" s="173">
        <v>4.0000000000000002E-4</v>
      </c>
      <c r="T129" s="173">
        <v>4.0000000000000002E-4</v>
      </c>
      <c r="U129" s="173">
        <v>4.0000000000000002E-4</v>
      </c>
      <c r="V129" s="173">
        <v>4.0000000000000002E-4</v>
      </c>
      <c r="W129" s="173">
        <v>4.0000000000000002E-4</v>
      </c>
      <c r="X129" s="173">
        <v>4.0000000000000002E-4</v>
      </c>
      <c r="Y129" s="173">
        <v>4.0000000000000002E-4</v>
      </c>
      <c r="Z129" s="173">
        <v>4.0000000000000002E-4</v>
      </c>
      <c r="AA129" s="173">
        <v>4.0000000000000002E-4</v>
      </c>
      <c r="AB129" s="173">
        <v>4.0000000000000002E-4</v>
      </c>
      <c r="AC129" s="173">
        <v>4.0000000000000002E-4</v>
      </c>
      <c r="AD129" s="173">
        <v>4.0000000000000002E-4</v>
      </c>
      <c r="AE129" s="173">
        <v>4.0000000000000002E-4</v>
      </c>
      <c r="AF129" s="173">
        <v>4.0000000000000002E-4</v>
      </c>
      <c r="AG129" s="173">
        <v>4.0000000000000002E-4</v>
      </c>
      <c r="AH129" s="173">
        <v>4.0000000000000002E-4</v>
      </c>
      <c r="AI129" s="173">
        <v>4.0000000000000002E-4</v>
      </c>
      <c r="AJ129" s="173">
        <v>4.0000000000000002E-4</v>
      </c>
      <c r="AK129" s="173">
        <v>4.0000000000000002E-4</v>
      </c>
      <c r="AL129" s="173">
        <v>4.0000000000000002E-4</v>
      </c>
      <c r="AM129" s="173">
        <v>4.0000000000000002E-4</v>
      </c>
      <c r="AN129" s="173">
        <v>4.0000000000000002E-4</v>
      </c>
      <c r="AO129" s="173">
        <v>4.0000000000000002E-4</v>
      </c>
      <c r="AP129" s="173">
        <v>4.0000000000000002E-4</v>
      </c>
      <c r="AQ129" s="173">
        <v>4.0000000000000002E-4</v>
      </c>
      <c r="AR129" s="173">
        <v>4.0000000000000002E-4</v>
      </c>
      <c r="AS129" s="149">
        <f t="shared" ref="AS129:BV129" si="95">AR129</f>
        <v>4.0000000000000002E-4</v>
      </c>
      <c r="AT129" s="149">
        <f t="shared" si="95"/>
        <v>4.0000000000000002E-4</v>
      </c>
      <c r="AU129" s="149">
        <f t="shared" si="95"/>
        <v>4.0000000000000002E-4</v>
      </c>
      <c r="AV129" s="149">
        <f t="shared" si="95"/>
        <v>4.0000000000000002E-4</v>
      </c>
      <c r="AW129" s="149">
        <f t="shared" si="95"/>
        <v>4.0000000000000002E-4</v>
      </c>
      <c r="AX129" s="149">
        <f t="shared" si="95"/>
        <v>4.0000000000000002E-4</v>
      </c>
      <c r="AY129" s="149">
        <f t="shared" si="95"/>
        <v>4.0000000000000002E-4</v>
      </c>
      <c r="AZ129" s="149">
        <f t="shared" si="95"/>
        <v>4.0000000000000002E-4</v>
      </c>
      <c r="BA129" s="149">
        <f t="shared" si="95"/>
        <v>4.0000000000000002E-4</v>
      </c>
      <c r="BB129" s="149">
        <f t="shared" si="95"/>
        <v>4.0000000000000002E-4</v>
      </c>
      <c r="BC129" s="149">
        <f t="shared" si="95"/>
        <v>4.0000000000000002E-4</v>
      </c>
      <c r="BD129" s="149">
        <f t="shared" si="95"/>
        <v>4.0000000000000002E-4</v>
      </c>
      <c r="BE129" s="149">
        <f t="shared" si="95"/>
        <v>4.0000000000000002E-4</v>
      </c>
      <c r="BF129" s="149">
        <f t="shared" si="95"/>
        <v>4.0000000000000002E-4</v>
      </c>
      <c r="BG129" s="149">
        <f t="shared" si="95"/>
        <v>4.0000000000000002E-4</v>
      </c>
      <c r="BH129" s="149">
        <f t="shared" si="95"/>
        <v>4.0000000000000002E-4</v>
      </c>
      <c r="BI129" s="149">
        <f t="shared" si="95"/>
        <v>4.0000000000000002E-4</v>
      </c>
      <c r="BJ129" s="149">
        <f t="shared" si="95"/>
        <v>4.0000000000000002E-4</v>
      </c>
      <c r="BK129" s="149">
        <f t="shared" si="95"/>
        <v>4.0000000000000002E-4</v>
      </c>
      <c r="BL129" s="149">
        <f t="shared" si="95"/>
        <v>4.0000000000000002E-4</v>
      </c>
      <c r="BM129" s="149">
        <f t="shared" si="95"/>
        <v>4.0000000000000002E-4</v>
      </c>
      <c r="BN129" s="149">
        <f t="shared" si="95"/>
        <v>4.0000000000000002E-4</v>
      </c>
      <c r="BO129" s="149">
        <f t="shared" si="95"/>
        <v>4.0000000000000002E-4</v>
      </c>
      <c r="BP129" s="149">
        <f t="shared" si="95"/>
        <v>4.0000000000000002E-4</v>
      </c>
      <c r="BQ129" s="149">
        <f t="shared" si="95"/>
        <v>4.0000000000000002E-4</v>
      </c>
      <c r="BR129" s="149">
        <f t="shared" si="95"/>
        <v>4.0000000000000002E-4</v>
      </c>
      <c r="BS129" s="149">
        <f t="shared" si="95"/>
        <v>4.0000000000000002E-4</v>
      </c>
      <c r="BT129" s="149">
        <f t="shared" si="95"/>
        <v>4.0000000000000002E-4</v>
      </c>
      <c r="BU129" s="149">
        <f t="shared" si="95"/>
        <v>4.0000000000000002E-4</v>
      </c>
      <c r="BV129" s="149">
        <f t="shared" si="95"/>
        <v>4.0000000000000002E-4</v>
      </c>
    </row>
    <row r="130" spans="1:74" x14ac:dyDescent="0.25">
      <c r="A130" s="141" t="s">
        <v>183</v>
      </c>
      <c r="B130" s="142" t="s">
        <v>179</v>
      </c>
      <c r="C130" s="151" t="s">
        <v>212</v>
      </c>
      <c r="D130" s="171">
        <v>1.08E-4</v>
      </c>
      <c r="E130" s="174">
        <v>1.08E-4</v>
      </c>
      <c r="F130" s="174">
        <v>1.08E-4</v>
      </c>
      <c r="G130" s="174">
        <v>1.08E-4</v>
      </c>
      <c r="H130" s="174">
        <v>1.08E-4</v>
      </c>
      <c r="I130" s="174">
        <v>1.08E-4</v>
      </c>
      <c r="J130" s="174">
        <v>1.08E-4</v>
      </c>
      <c r="K130" s="174">
        <v>1.08E-4</v>
      </c>
      <c r="L130" s="174">
        <v>1.08E-4</v>
      </c>
      <c r="M130" s="174">
        <v>1.08E-4</v>
      </c>
      <c r="N130" s="174">
        <v>1.08E-4</v>
      </c>
      <c r="O130" s="174">
        <v>1.08E-4</v>
      </c>
      <c r="P130" s="174">
        <v>1.08E-4</v>
      </c>
      <c r="Q130" s="174">
        <v>1.08E-4</v>
      </c>
      <c r="R130" s="174">
        <v>1.08E-4</v>
      </c>
      <c r="S130" s="174">
        <v>1.08E-4</v>
      </c>
      <c r="T130" s="174">
        <v>1.08E-4</v>
      </c>
      <c r="U130" s="174">
        <v>1.08E-4</v>
      </c>
      <c r="V130" s="174">
        <v>1.08E-4</v>
      </c>
      <c r="W130" s="174">
        <v>1.08E-4</v>
      </c>
      <c r="X130" s="174">
        <v>1.08E-4</v>
      </c>
      <c r="Y130" s="174">
        <v>1.08E-4</v>
      </c>
      <c r="Z130" s="174">
        <v>1.08E-4</v>
      </c>
      <c r="AA130" s="174">
        <v>1.08E-4</v>
      </c>
      <c r="AB130" s="174">
        <v>1.08E-4</v>
      </c>
      <c r="AC130" s="174">
        <v>1.08E-4</v>
      </c>
      <c r="AD130" s="174">
        <v>1.08E-4</v>
      </c>
      <c r="AE130" s="174">
        <v>1.08E-4</v>
      </c>
      <c r="AF130" s="174">
        <v>1.08E-4</v>
      </c>
      <c r="AG130" s="174">
        <v>1.08E-4</v>
      </c>
      <c r="AH130" s="174">
        <v>1.08E-4</v>
      </c>
      <c r="AI130" s="174">
        <v>1.08E-4</v>
      </c>
      <c r="AJ130" s="174">
        <v>1.08E-4</v>
      </c>
      <c r="AK130" s="174">
        <v>1.08E-4</v>
      </c>
      <c r="AL130" s="174">
        <v>1.08E-4</v>
      </c>
      <c r="AM130" s="174">
        <v>1.08E-4</v>
      </c>
      <c r="AN130" s="174">
        <v>1.08E-4</v>
      </c>
      <c r="AO130" s="174">
        <v>1.08E-4</v>
      </c>
      <c r="AP130" s="174">
        <v>1.08E-4</v>
      </c>
      <c r="AQ130" s="174">
        <v>1.08E-4</v>
      </c>
      <c r="AR130" s="174">
        <v>1.08E-4</v>
      </c>
      <c r="AS130" s="149">
        <f t="shared" ref="AS130:BV130" si="96">AR130</f>
        <v>1.08E-4</v>
      </c>
      <c r="AT130" s="149">
        <f t="shared" si="96"/>
        <v>1.08E-4</v>
      </c>
      <c r="AU130" s="149">
        <f t="shared" si="96"/>
        <v>1.08E-4</v>
      </c>
      <c r="AV130" s="149">
        <f t="shared" si="96"/>
        <v>1.08E-4</v>
      </c>
      <c r="AW130" s="149">
        <f t="shared" si="96"/>
        <v>1.08E-4</v>
      </c>
      <c r="AX130" s="149">
        <f t="shared" si="96"/>
        <v>1.08E-4</v>
      </c>
      <c r="AY130" s="149">
        <f t="shared" si="96"/>
        <v>1.08E-4</v>
      </c>
      <c r="AZ130" s="149">
        <f t="shared" si="96"/>
        <v>1.08E-4</v>
      </c>
      <c r="BA130" s="149">
        <f t="shared" si="96"/>
        <v>1.08E-4</v>
      </c>
      <c r="BB130" s="149">
        <f t="shared" si="96"/>
        <v>1.08E-4</v>
      </c>
      <c r="BC130" s="149">
        <f t="shared" si="96"/>
        <v>1.08E-4</v>
      </c>
      <c r="BD130" s="149">
        <f t="shared" si="96"/>
        <v>1.08E-4</v>
      </c>
      <c r="BE130" s="149">
        <f t="shared" si="96"/>
        <v>1.08E-4</v>
      </c>
      <c r="BF130" s="149">
        <f t="shared" si="96"/>
        <v>1.08E-4</v>
      </c>
      <c r="BG130" s="149">
        <f t="shared" si="96"/>
        <v>1.08E-4</v>
      </c>
      <c r="BH130" s="149">
        <f t="shared" si="96"/>
        <v>1.08E-4</v>
      </c>
      <c r="BI130" s="149">
        <f t="shared" si="96"/>
        <v>1.08E-4</v>
      </c>
      <c r="BJ130" s="149">
        <f t="shared" si="96"/>
        <v>1.08E-4</v>
      </c>
      <c r="BK130" s="149">
        <f t="shared" si="96"/>
        <v>1.08E-4</v>
      </c>
      <c r="BL130" s="149">
        <f t="shared" si="96"/>
        <v>1.08E-4</v>
      </c>
      <c r="BM130" s="149">
        <f t="shared" si="96"/>
        <v>1.08E-4</v>
      </c>
      <c r="BN130" s="149">
        <f t="shared" si="96"/>
        <v>1.08E-4</v>
      </c>
      <c r="BO130" s="149">
        <f t="shared" si="96"/>
        <v>1.08E-4</v>
      </c>
      <c r="BP130" s="149">
        <f t="shared" si="96"/>
        <v>1.08E-4</v>
      </c>
      <c r="BQ130" s="149">
        <f t="shared" si="96"/>
        <v>1.08E-4</v>
      </c>
      <c r="BR130" s="149">
        <f t="shared" si="96"/>
        <v>1.08E-4</v>
      </c>
      <c r="BS130" s="149">
        <f t="shared" si="96"/>
        <v>1.08E-4</v>
      </c>
      <c r="BT130" s="149">
        <f t="shared" si="96"/>
        <v>1.08E-4</v>
      </c>
      <c r="BU130" s="149">
        <f t="shared" si="96"/>
        <v>1.08E-4</v>
      </c>
      <c r="BV130" s="149">
        <f t="shared" si="96"/>
        <v>1.08E-4</v>
      </c>
    </row>
    <row r="131" spans="1:74" x14ac:dyDescent="0.25">
      <c r="A131" s="147" t="s">
        <v>184</v>
      </c>
      <c r="B131" s="151" t="s">
        <v>185</v>
      </c>
      <c r="C131" s="151" t="s">
        <v>230</v>
      </c>
      <c r="D131" s="171">
        <v>2.0000000000000002E-5</v>
      </c>
      <c r="E131" s="174">
        <v>2.0000000000000002E-5</v>
      </c>
      <c r="F131" s="174">
        <v>2.0000000000000002E-5</v>
      </c>
      <c r="G131" s="174">
        <v>2.0000000000000002E-5</v>
      </c>
      <c r="H131" s="174">
        <v>2.0000000000000002E-5</v>
      </c>
      <c r="I131" s="174">
        <v>2.0000000000000002E-5</v>
      </c>
      <c r="J131" s="174">
        <v>2.0000000000000002E-5</v>
      </c>
      <c r="K131" s="174">
        <v>2.0000000000000002E-5</v>
      </c>
      <c r="L131" s="174">
        <v>2.0000000000000002E-5</v>
      </c>
      <c r="M131" s="174">
        <v>2.0000000000000002E-5</v>
      </c>
      <c r="N131" s="174">
        <v>2.0000000000000002E-5</v>
      </c>
      <c r="O131" s="174">
        <v>2.0000000000000002E-5</v>
      </c>
      <c r="P131" s="174">
        <v>2.0000000000000002E-5</v>
      </c>
      <c r="Q131" s="174">
        <v>2.0000000000000002E-5</v>
      </c>
      <c r="R131" s="174">
        <v>2.0000000000000002E-5</v>
      </c>
      <c r="S131" s="174">
        <v>2.0000000000000002E-5</v>
      </c>
      <c r="T131" s="174">
        <v>2.0000000000000002E-5</v>
      </c>
      <c r="U131" s="174">
        <v>2.0000000000000002E-5</v>
      </c>
      <c r="V131" s="174">
        <v>2.0000000000000002E-5</v>
      </c>
      <c r="W131" s="174">
        <v>2.0000000000000002E-5</v>
      </c>
      <c r="X131" s="174">
        <v>2.0000000000000002E-5</v>
      </c>
      <c r="Y131" s="174">
        <v>2.0000000000000002E-5</v>
      </c>
      <c r="Z131" s="174">
        <v>2.0000000000000002E-5</v>
      </c>
      <c r="AA131" s="174">
        <v>2.0000000000000002E-5</v>
      </c>
      <c r="AB131" s="174">
        <v>2.0000000000000002E-5</v>
      </c>
      <c r="AC131" s="174">
        <v>2.0000000000000002E-5</v>
      </c>
      <c r="AD131" s="174">
        <v>2.0000000000000002E-5</v>
      </c>
      <c r="AE131" s="174">
        <v>2.0000000000000002E-5</v>
      </c>
      <c r="AF131" s="174">
        <v>2.0000000000000002E-5</v>
      </c>
      <c r="AG131" s="174">
        <v>2.0000000000000002E-5</v>
      </c>
      <c r="AH131" s="174">
        <v>2.0000000000000002E-5</v>
      </c>
      <c r="AI131" s="174">
        <v>2.0000000000000002E-5</v>
      </c>
      <c r="AJ131" s="174">
        <v>2.0000000000000002E-5</v>
      </c>
      <c r="AK131" s="174">
        <v>2.0000000000000002E-5</v>
      </c>
      <c r="AL131" s="174">
        <v>2.0000000000000002E-5</v>
      </c>
      <c r="AM131" s="174">
        <v>2.0000000000000002E-5</v>
      </c>
      <c r="AN131" s="174">
        <v>2.0000000000000002E-5</v>
      </c>
      <c r="AO131" s="174">
        <v>2.0000000000000002E-5</v>
      </c>
      <c r="AP131" s="174">
        <v>2.0000000000000002E-5</v>
      </c>
      <c r="AQ131" s="174">
        <v>2.0000000000000002E-5</v>
      </c>
      <c r="AR131" s="174">
        <v>2.0000000000000002E-5</v>
      </c>
      <c r="AS131" s="149">
        <f t="shared" ref="AS131:BV131" si="97">AR131</f>
        <v>2.0000000000000002E-5</v>
      </c>
      <c r="AT131" s="149">
        <f t="shared" si="97"/>
        <v>2.0000000000000002E-5</v>
      </c>
      <c r="AU131" s="149">
        <f t="shared" si="97"/>
        <v>2.0000000000000002E-5</v>
      </c>
      <c r="AV131" s="149">
        <f t="shared" si="97"/>
        <v>2.0000000000000002E-5</v>
      </c>
      <c r="AW131" s="149">
        <f t="shared" si="97"/>
        <v>2.0000000000000002E-5</v>
      </c>
      <c r="AX131" s="149">
        <f t="shared" si="97"/>
        <v>2.0000000000000002E-5</v>
      </c>
      <c r="AY131" s="149">
        <f t="shared" si="97"/>
        <v>2.0000000000000002E-5</v>
      </c>
      <c r="AZ131" s="149">
        <f t="shared" si="97"/>
        <v>2.0000000000000002E-5</v>
      </c>
      <c r="BA131" s="149">
        <f t="shared" si="97"/>
        <v>2.0000000000000002E-5</v>
      </c>
      <c r="BB131" s="149">
        <f t="shared" si="97"/>
        <v>2.0000000000000002E-5</v>
      </c>
      <c r="BC131" s="149">
        <f t="shared" si="97"/>
        <v>2.0000000000000002E-5</v>
      </c>
      <c r="BD131" s="149">
        <f t="shared" si="97"/>
        <v>2.0000000000000002E-5</v>
      </c>
      <c r="BE131" s="149">
        <f t="shared" si="97"/>
        <v>2.0000000000000002E-5</v>
      </c>
      <c r="BF131" s="149">
        <f t="shared" si="97"/>
        <v>2.0000000000000002E-5</v>
      </c>
      <c r="BG131" s="149">
        <f t="shared" si="97"/>
        <v>2.0000000000000002E-5</v>
      </c>
      <c r="BH131" s="149">
        <f t="shared" si="97"/>
        <v>2.0000000000000002E-5</v>
      </c>
      <c r="BI131" s="149">
        <f t="shared" si="97"/>
        <v>2.0000000000000002E-5</v>
      </c>
      <c r="BJ131" s="149">
        <f t="shared" si="97"/>
        <v>2.0000000000000002E-5</v>
      </c>
      <c r="BK131" s="149">
        <f t="shared" si="97"/>
        <v>2.0000000000000002E-5</v>
      </c>
      <c r="BL131" s="149">
        <f t="shared" si="97"/>
        <v>2.0000000000000002E-5</v>
      </c>
      <c r="BM131" s="149">
        <f t="shared" si="97"/>
        <v>2.0000000000000002E-5</v>
      </c>
      <c r="BN131" s="149">
        <f t="shared" si="97"/>
        <v>2.0000000000000002E-5</v>
      </c>
      <c r="BO131" s="149">
        <f t="shared" si="97"/>
        <v>2.0000000000000002E-5</v>
      </c>
      <c r="BP131" s="149">
        <f t="shared" si="97"/>
        <v>2.0000000000000002E-5</v>
      </c>
      <c r="BQ131" s="149">
        <f t="shared" si="97"/>
        <v>2.0000000000000002E-5</v>
      </c>
      <c r="BR131" s="149">
        <f t="shared" si="97"/>
        <v>2.0000000000000002E-5</v>
      </c>
      <c r="BS131" s="149">
        <f t="shared" si="97"/>
        <v>2.0000000000000002E-5</v>
      </c>
      <c r="BT131" s="149">
        <f t="shared" si="97"/>
        <v>2.0000000000000002E-5</v>
      </c>
      <c r="BU131" s="149">
        <f t="shared" si="97"/>
        <v>2.0000000000000002E-5</v>
      </c>
      <c r="BV131" s="149">
        <f t="shared" si="97"/>
        <v>2.0000000000000002E-5</v>
      </c>
    </row>
    <row r="132" spans="1:74" x14ac:dyDescent="0.25">
      <c r="A132" s="147" t="s">
        <v>186</v>
      </c>
      <c r="B132" s="151" t="s">
        <v>185</v>
      </c>
      <c r="C132" s="151" t="s">
        <v>230</v>
      </c>
      <c r="D132" s="171">
        <v>2.0000000000000002E-5</v>
      </c>
      <c r="E132" s="174">
        <v>2.0000000000000002E-5</v>
      </c>
      <c r="F132" s="174">
        <v>2.0000000000000002E-5</v>
      </c>
      <c r="G132" s="174">
        <v>2.0000000000000002E-5</v>
      </c>
      <c r="H132" s="174">
        <v>2.0000000000000002E-5</v>
      </c>
      <c r="I132" s="174">
        <v>2.0000000000000002E-5</v>
      </c>
      <c r="J132" s="174">
        <v>2.0000000000000002E-5</v>
      </c>
      <c r="K132" s="174">
        <v>2.0000000000000002E-5</v>
      </c>
      <c r="L132" s="174">
        <v>2.0000000000000002E-5</v>
      </c>
      <c r="M132" s="174">
        <v>2.0000000000000002E-5</v>
      </c>
      <c r="N132" s="174">
        <v>2.0000000000000002E-5</v>
      </c>
      <c r="O132" s="174">
        <v>2.0000000000000002E-5</v>
      </c>
      <c r="P132" s="174">
        <v>2.0000000000000002E-5</v>
      </c>
      <c r="Q132" s="174">
        <v>2.0000000000000002E-5</v>
      </c>
      <c r="R132" s="174">
        <v>2.0000000000000002E-5</v>
      </c>
      <c r="S132" s="174">
        <v>2.0000000000000002E-5</v>
      </c>
      <c r="T132" s="174">
        <v>2.0000000000000002E-5</v>
      </c>
      <c r="U132" s="174">
        <v>2.0000000000000002E-5</v>
      </c>
      <c r="V132" s="174">
        <v>2.0000000000000002E-5</v>
      </c>
      <c r="W132" s="174">
        <v>2.0000000000000002E-5</v>
      </c>
      <c r="X132" s="174">
        <v>2.0000000000000002E-5</v>
      </c>
      <c r="Y132" s="174">
        <v>2.0000000000000002E-5</v>
      </c>
      <c r="Z132" s="174">
        <v>2.0000000000000002E-5</v>
      </c>
      <c r="AA132" s="174">
        <v>2.0000000000000002E-5</v>
      </c>
      <c r="AB132" s="174">
        <v>2.0000000000000002E-5</v>
      </c>
      <c r="AC132" s="174">
        <v>2.0000000000000002E-5</v>
      </c>
      <c r="AD132" s="174">
        <v>2.0000000000000002E-5</v>
      </c>
      <c r="AE132" s="174">
        <v>2.0000000000000002E-5</v>
      </c>
      <c r="AF132" s="174">
        <v>2.0000000000000002E-5</v>
      </c>
      <c r="AG132" s="174">
        <v>2.0000000000000002E-5</v>
      </c>
      <c r="AH132" s="174">
        <v>2.0000000000000002E-5</v>
      </c>
      <c r="AI132" s="174">
        <v>2.0000000000000002E-5</v>
      </c>
      <c r="AJ132" s="174">
        <v>2.0000000000000002E-5</v>
      </c>
      <c r="AK132" s="174">
        <v>2.0000000000000002E-5</v>
      </c>
      <c r="AL132" s="174">
        <v>2.0000000000000002E-5</v>
      </c>
      <c r="AM132" s="174">
        <v>2.0000000000000002E-5</v>
      </c>
      <c r="AN132" s="174">
        <v>2.0000000000000002E-5</v>
      </c>
      <c r="AO132" s="174">
        <v>2.0000000000000002E-5</v>
      </c>
      <c r="AP132" s="174">
        <v>2.0000000000000002E-5</v>
      </c>
      <c r="AQ132" s="174">
        <v>2.0000000000000002E-5</v>
      </c>
      <c r="AR132" s="174">
        <v>2.0000000000000002E-5</v>
      </c>
      <c r="AS132" s="149">
        <f t="shared" ref="AS132:BV132" si="98">AR132</f>
        <v>2.0000000000000002E-5</v>
      </c>
      <c r="AT132" s="149">
        <f t="shared" si="98"/>
        <v>2.0000000000000002E-5</v>
      </c>
      <c r="AU132" s="149">
        <f t="shared" si="98"/>
        <v>2.0000000000000002E-5</v>
      </c>
      <c r="AV132" s="149">
        <f t="shared" si="98"/>
        <v>2.0000000000000002E-5</v>
      </c>
      <c r="AW132" s="149">
        <f t="shared" si="98"/>
        <v>2.0000000000000002E-5</v>
      </c>
      <c r="AX132" s="149">
        <f t="shared" si="98"/>
        <v>2.0000000000000002E-5</v>
      </c>
      <c r="AY132" s="149">
        <f t="shared" si="98"/>
        <v>2.0000000000000002E-5</v>
      </c>
      <c r="AZ132" s="149">
        <f t="shared" si="98"/>
        <v>2.0000000000000002E-5</v>
      </c>
      <c r="BA132" s="149">
        <f t="shared" si="98"/>
        <v>2.0000000000000002E-5</v>
      </c>
      <c r="BB132" s="149">
        <f t="shared" si="98"/>
        <v>2.0000000000000002E-5</v>
      </c>
      <c r="BC132" s="149">
        <f t="shared" si="98"/>
        <v>2.0000000000000002E-5</v>
      </c>
      <c r="BD132" s="149">
        <f t="shared" si="98"/>
        <v>2.0000000000000002E-5</v>
      </c>
      <c r="BE132" s="149">
        <f t="shared" si="98"/>
        <v>2.0000000000000002E-5</v>
      </c>
      <c r="BF132" s="149">
        <f t="shared" si="98"/>
        <v>2.0000000000000002E-5</v>
      </c>
      <c r="BG132" s="149">
        <f t="shared" si="98"/>
        <v>2.0000000000000002E-5</v>
      </c>
      <c r="BH132" s="149">
        <f t="shared" si="98"/>
        <v>2.0000000000000002E-5</v>
      </c>
      <c r="BI132" s="149">
        <f t="shared" si="98"/>
        <v>2.0000000000000002E-5</v>
      </c>
      <c r="BJ132" s="149">
        <f t="shared" si="98"/>
        <v>2.0000000000000002E-5</v>
      </c>
      <c r="BK132" s="149">
        <f t="shared" si="98"/>
        <v>2.0000000000000002E-5</v>
      </c>
      <c r="BL132" s="149">
        <f t="shared" si="98"/>
        <v>2.0000000000000002E-5</v>
      </c>
      <c r="BM132" s="149">
        <f t="shared" si="98"/>
        <v>2.0000000000000002E-5</v>
      </c>
      <c r="BN132" s="149">
        <f t="shared" si="98"/>
        <v>2.0000000000000002E-5</v>
      </c>
      <c r="BO132" s="149">
        <f t="shared" si="98"/>
        <v>2.0000000000000002E-5</v>
      </c>
      <c r="BP132" s="149">
        <f t="shared" si="98"/>
        <v>2.0000000000000002E-5</v>
      </c>
      <c r="BQ132" s="149">
        <f t="shared" si="98"/>
        <v>2.0000000000000002E-5</v>
      </c>
      <c r="BR132" s="149">
        <f t="shared" si="98"/>
        <v>2.0000000000000002E-5</v>
      </c>
      <c r="BS132" s="149">
        <f t="shared" si="98"/>
        <v>2.0000000000000002E-5</v>
      </c>
      <c r="BT132" s="149">
        <f t="shared" si="98"/>
        <v>2.0000000000000002E-5</v>
      </c>
      <c r="BU132" s="149">
        <f t="shared" si="98"/>
        <v>2.0000000000000002E-5</v>
      </c>
      <c r="BV132" s="149">
        <f t="shared" si="98"/>
        <v>2.0000000000000002E-5</v>
      </c>
    </row>
    <row r="133" spans="1:74" x14ac:dyDescent="0.25">
      <c r="A133" s="141" t="s">
        <v>187</v>
      </c>
      <c r="B133" s="142" t="s">
        <v>185</v>
      </c>
      <c r="C133" s="154" t="s">
        <v>188</v>
      </c>
      <c r="D133" s="173">
        <v>2.0511965313099309E-5</v>
      </c>
      <c r="E133" s="173">
        <v>2.0678729258734262E-5</v>
      </c>
      <c r="F133" s="173">
        <v>2.0845493204369216E-5</v>
      </c>
      <c r="G133" s="173">
        <v>2.1012257150004169E-5</v>
      </c>
      <c r="H133" s="173">
        <v>2.1262403068456599E-5</v>
      </c>
      <c r="I133" s="173">
        <v>2.1262403068456599E-5</v>
      </c>
      <c r="J133" s="173">
        <v>2.1179021095639119E-5</v>
      </c>
      <c r="K133" s="173">
        <v>2.1512548986909033E-5</v>
      </c>
      <c r="L133" s="173">
        <v>2.2513132660718751E-5</v>
      </c>
      <c r="M133" s="173">
        <v>2.2596514633536231E-5</v>
      </c>
      <c r="N133" s="173">
        <v>2.3013424497623618E-5</v>
      </c>
      <c r="O133" s="173">
        <v>2.2930042524806138E-5</v>
      </c>
      <c r="P133" s="173">
        <v>2.2930042524806138E-5</v>
      </c>
      <c r="Q133" s="173">
        <v>2.2930042524806138E-5</v>
      </c>
      <c r="R133" s="173">
        <v>2.2930042524806138E-5</v>
      </c>
      <c r="S133" s="173">
        <v>2.2930042524806138E-5</v>
      </c>
      <c r="T133" s="173">
        <v>2.2930042524806138E-5</v>
      </c>
      <c r="U133" s="173">
        <v>2.2930042524806138E-5</v>
      </c>
      <c r="V133" s="173">
        <v>2.2930042524806138E-5</v>
      </c>
      <c r="W133" s="173">
        <v>2.2930042524806138E-5</v>
      </c>
      <c r="X133" s="173">
        <v>2.2930042524806138E-5</v>
      </c>
      <c r="Y133" s="173">
        <v>2.2930042524806138E-5</v>
      </c>
      <c r="Z133" s="173">
        <v>2.2930042524806138E-5</v>
      </c>
      <c r="AA133" s="173">
        <v>2.2930042524806138E-5</v>
      </c>
      <c r="AB133" s="173">
        <v>2.2930042524806138E-5</v>
      </c>
      <c r="AC133" s="173">
        <v>2.2930042524806138E-5</v>
      </c>
      <c r="AD133" s="173">
        <v>2.2930042524806138E-5</v>
      </c>
      <c r="AE133" s="173">
        <v>2.2930042524806138E-5</v>
      </c>
      <c r="AF133" s="173">
        <v>2.2930042524806138E-5</v>
      </c>
      <c r="AG133" s="173">
        <v>2.2930042524806138E-5</v>
      </c>
      <c r="AH133" s="173">
        <v>2.2930042524806138E-5</v>
      </c>
      <c r="AI133" s="173">
        <v>2.2930042524806138E-5</v>
      </c>
      <c r="AJ133" s="173">
        <v>2.2930042524806138E-5</v>
      </c>
      <c r="AK133" s="173">
        <v>2.2930042524806138E-5</v>
      </c>
      <c r="AL133" s="173">
        <v>2.2930042524806138E-5</v>
      </c>
      <c r="AM133" s="173">
        <v>2.2930042524806138E-5</v>
      </c>
      <c r="AN133" s="173">
        <v>2.2930042524806138E-5</v>
      </c>
      <c r="AO133" s="173">
        <v>2.2930042524806138E-5</v>
      </c>
      <c r="AP133" s="173">
        <v>2.2930042524806138E-5</v>
      </c>
      <c r="AQ133" s="173">
        <v>2.2930042524806138E-5</v>
      </c>
      <c r="AR133" s="173">
        <v>2.2930042524806138E-5</v>
      </c>
      <c r="AS133" s="149">
        <f t="shared" ref="AS133:BV133" si="99">AR133</f>
        <v>2.2930042524806138E-5</v>
      </c>
      <c r="AT133" s="149">
        <f t="shared" si="99"/>
        <v>2.2930042524806138E-5</v>
      </c>
      <c r="AU133" s="149">
        <f t="shared" si="99"/>
        <v>2.2930042524806138E-5</v>
      </c>
      <c r="AV133" s="149">
        <f t="shared" si="99"/>
        <v>2.2930042524806138E-5</v>
      </c>
      <c r="AW133" s="149">
        <f t="shared" si="99"/>
        <v>2.2930042524806138E-5</v>
      </c>
      <c r="AX133" s="149">
        <f t="shared" si="99"/>
        <v>2.2930042524806138E-5</v>
      </c>
      <c r="AY133" s="149">
        <f t="shared" si="99"/>
        <v>2.2930042524806138E-5</v>
      </c>
      <c r="AZ133" s="149">
        <f t="shared" si="99"/>
        <v>2.2930042524806138E-5</v>
      </c>
      <c r="BA133" s="149">
        <f t="shared" si="99"/>
        <v>2.2930042524806138E-5</v>
      </c>
      <c r="BB133" s="149">
        <f t="shared" si="99"/>
        <v>2.2930042524806138E-5</v>
      </c>
      <c r="BC133" s="149">
        <f t="shared" si="99"/>
        <v>2.2930042524806138E-5</v>
      </c>
      <c r="BD133" s="149">
        <f t="shared" si="99"/>
        <v>2.2930042524806138E-5</v>
      </c>
      <c r="BE133" s="149">
        <f t="shared" si="99"/>
        <v>2.2930042524806138E-5</v>
      </c>
      <c r="BF133" s="149">
        <f t="shared" si="99"/>
        <v>2.2930042524806138E-5</v>
      </c>
      <c r="BG133" s="149">
        <f t="shared" si="99"/>
        <v>2.2930042524806138E-5</v>
      </c>
      <c r="BH133" s="149">
        <f t="shared" si="99"/>
        <v>2.2930042524806138E-5</v>
      </c>
      <c r="BI133" s="149">
        <f t="shared" si="99"/>
        <v>2.2930042524806138E-5</v>
      </c>
      <c r="BJ133" s="149">
        <f t="shared" si="99"/>
        <v>2.2930042524806138E-5</v>
      </c>
      <c r="BK133" s="149">
        <f t="shared" si="99"/>
        <v>2.2930042524806138E-5</v>
      </c>
      <c r="BL133" s="149">
        <f t="shared" si="99"/>
        <v>2.2930042524806138E-5</v>
      </c>
      <c r="BM133" s="149">
        <f t="shared" si="99"/>
        <v>2.2930042524806138E-5</v>
      </c>
      <c r="BN133" s="149">
        <f t="shared" si="99"/>
        <v>2.2930042524806138E-5</v>
      </c>
      <c r="BO133" s="149">
        <f t="shared" si="99"/>
        <v>2.2930042524806138E-5</v>
      </c>
      <c r="BP133" s="149">
        <f t="shared" si="99"/>
        <v>2.2930042524806138E-5</v>
      </c>
      <c r="BQ133" s="149">
        <f t="shared" si="99"/>
        <v>2.2930042524806138E-5</v>
      </c>
      <c r="BR133" s="149">
        <f t="shared" si="99"/>
        <v>2.2930042524806138E-5</v>
      </c>
      <c r="BS133" s="149">
        <f t="shared" si="99"/>
        <v>2.2930042524806138E-5</v>
      </c>
      <c r="BT133" s="149">
        <f t="shared" si="99"/>
        <v>2.2930042524806138E-5</v>
      </c>
      <c r="BU133" s="149">
        <f t="shared" si="99"/>
        <v>2.2930042524806138E-5</v>
      </c>
      <c r="BV133" s="149">
        <f t="shared" si="99"/>
        <v>2.2930042524806138E-5</v>
      </c>
    </row>
    <row r="134" spans="1:74" x14ac:dyDescent="0.25">
      <c r="A134" s="147" t="s">
        <v>189</v>
      </c>
      <c r="B134" s="151" t="s">
        <v>190</v>
      </c>
      <c r="C134" s="151" t="s">
        <v>230</v>
      </c>
      <c r="D134" s="171">
        <v>4.0000000000000003E-5</v>
      </c>
      <c r="E134" s="174">
        <v>4.0000000000000003E-5</v>
      </c>
      <c r="F134" s="174">
        <v>4.0000000000000003E-5</v>
      </c>
      <c r="G134" s="174">
        <v>4.0000000000000003E-5</v>
      </c>
      <c r="H134" s="174">
        <v>4.0000000000000003E-5</v>
      </c>
      <c r="I134" s="174">
        <v>4.0000000000000003E-5</v>
      </c>
      <c r="J134" s="174">
        <v>4.0000000000000003E-5</v>
      </c>
      <c r="K134" s="174">
        <v>4.0000000000000003E-5</v>
      </c>
      <c r="L134" s="174">
        <v>4.0000000000000003E-5</v>
      </c>
      <c r="M134" s="174">
        <v>4.0000000000000003E-5</v>
      </c>
      <c r="N134" s="174">
        <v>4.0000000000000003E-5</v>
      </c>
      <c r="O134" s="174">
        <v>4.0000000000000003E-5</v>
      </c>
      <c r="P134" s="174">
        <v>4.0000000000000003E-5</v>
      </c>
      <c r="Q134" s="174">
        <v>4.0000000000000003E-5</v>
      </c>
      <c r="R134" s="174">
        <v>4.0000000000000003E-5</v>
      </c>
      <c r="S134" s="174">
        <v>4.0000000000000003E-5</v>
      </c>
      <c r="T134" s="174">
        <v>4.0000000000000003E-5</v>
      </c>
      <c r="U134" s="174">
        <v>4.0000000000000003E-5</v>
      </c>
      <c r="V134" s="174">
        <v>4.0000000000000003E-5</v>
      </c>
      <c r="W134" s="174">
        <v>4.0000000000000003E-5</v>
      </c>
      <c r="X134" s="174">
        <v>4.0000000000000003E-5</v>
      </c>
      <c r="Y134" s="174">
        <v>4.0000000000000003E-5</v>
      </c>
      <c r="Z134" s="174">
        <v>4.0000000000000003E-5</v>
      </c>
      <c r="AA134" s="174">
        <v>4.0000000000000003E-5</v>
      </c>
      <c r="AB134" s="174">
        <v>4.0000000000000003E-5</v>
      </c>
      <c r="AC134" s="174">
        <v>4.0000000000000003E-5</v>
      </c>
      <c r="AD134" s="174">
        <v>4.0000000000000003E-5</v>
      </c>
      <c r="AE134" s="174">
        <v>4.0000000000000003E-5</v>
      </c>
      <c r="AF134" s="174">
        <v>4.0000000000000003E-5</v>
      </c>
      <c r="AG134" s="174">
        <v>4.0000000000000003E-5</v>
      </c>
      <c r="AH134" s="174">
        <v>4.0000000000000003E-5</v>
      </c>
      <c r="AI134" s="174">
        <v>4.0000000000000003E-5</v>
      </c>
      <c r="AJ134" s="174">
        <v>4.0000000000000003E-5</v>
      </c>
      <c r="AK134" s="174">
        <v>4.0000000000000003E-5</v>
      </c>
      <c r="AL134" s="174">
        <v>4.0000000000000003E-5</v>
      </c>
      <c r="AM134" s="174">
        <v>4.0000000000000003E-5</v>
      </c>
      <c r="AN134" s="174">
        <v>4.0000000000000003E-5</v>
      </c>
      <c r="AO134" s="174">
        <v>4.0000000000000003E-5</v>
      </c>
      <c r="AP134" s="174">
        <v>4.0000000000000003E-5</v>
      </c>
      <c r="AQ134" s="174">
        <v>4.0000000000000003E-5</v>
      </c>
      <c r="AR134" s="174">
        <v>4.0000000000000003E-5</v>
      </c>
      <c r="AS134" s="149">
        <f t="shared" ref="AS134:BV134" si="100">AR134</f>
        <v>4.0000000000000003E-5</v>
      </c>
      <c r="AT134" s="149">
        <f t="shared" si="100"/>
        <v>4.0000000000000003E-5</v>
      </c>
      <c r="AU134" s="149">
        <f t="shared" si="100"/>
        <v>4.0000000000000003E-5</v>
      </c>
      <c r="AV134" s="149">
        <f t="shared" si="100"/>
        <v>4.0000000000000003E-5</v>
      </c>
      <c r="AW134" s="149">
        <f t="shared" si="100"/>
        <v>4.0000000000000003E-5</v>
      </c>
      <c r="AX134" s="149">
        <f t="shared" si="100"/>
        <v>4.0000000000000003E-5</v>
      </c>
      <c r="AY134" s="149">
        <f t="shared" si="100"/>
        <v>4.0000000000000003E-5</v>
      </c>
      <c r="AZ134" s="149">
        <f t="shared" si="100"/>
        <v>4.0000000000000003E-5</v>
      </c>
      <c r="BA134" s="149">
        <f t="shared" si="100"/>
        <v>4.0000000000000003E-5</v>
      </c>
      <c r="BB134" s="149">
        <f t="shared" si="100"/>
        <v>4.0000000000000003E-5</v>
      </c>
      <c r="BC134" s="149">
        <f t="shared" si="100"/>
        <v>4.0000000000000003E-5</v>
      </c>
      <c r="BD134" s="149">
        <f t="shared" si="100"/>
        <v>4.0000000000000003E-5</v>
      </c>
      <c r="BE134" s="149">
        <f t="shared" si="100"/>
        <v>4.0000000000000003E-5</v>
      </c>
      <c r="BF134" s="149">
        <f t="shared" si="100"/>
        <v>4.0000000000000003E-5</v>
      </c>
      <c r="BG134" s="149">
        <f t="shared" si="100"/>
        <v>4.0000000000000003E-5</v>
      </c>
      <c r="BH134" s="149">
        <f t="shared" si="100"/>
        <v>4.0000000000000003E-5</v>
      </c>
      <c r="BI134" s="149">
        <f t="shared" si="100"/>
        <v>4.0000000000000003E-5</v>
      </c>
      <c r="BJ134" s="149">
        <f t="shared" si="100"/>
        <v>4.0000000000000003E-5</v>
      </c>
      <c r="BK134" s="149">
        <f t="shared" si="100"/>
        <v>4.0000000000000003E-5</v>
      </c>
      <c r="BL134" s="149">
        <f t="shared" si="100"/>
        <v>4.0000000000000003E-5</v>
      </c>
      <c r="BM134" s="149">
        <f t="shared" si="100"/>
        <v>4.0000000000000003E-5</v>
      </c>
      <c r="BN134" s="149">
        <f t="shared" si="100"/>
        <v>4.0000000000000003E-5</v>
      </c>
      <c r="BO134" s="149">
        <f t="shared" si="100"/>
        <v>4.0000000000000003E-5</v>
      </c>
      <c r="BP134" s="149">
        <f t="shared" si="100"/>
        <v>4.0000000000000003E-5</v>
      </c>
      <c r="BQ134" s="149">
        <f t="shared" si="100"/>
        <v>4.0000000000000003E-5</v>
      </c>
      <c r="BR134" s="149">
        <f t="shared" si="100"/>
        <v>4.0000000000000003E-5</v>
      </c>
      <c r="BS134" s="149">
        <f t="shared" si="100"/>
        <v>4.0000000000000003E-5</v>
      </c>
      <c r="BT134" s="149">
        <f t="shared" si="100"/>
        <v>4.0000000000000003E-5</v>
      </c>
      <c r="BU134" s="149">
        <f t="shared" si="100"/>
        <v>4.0000000000000003E-5</v>
      </c>
      <c r="BV134" s="149">
        <f t="shared" si="100"/>
        <v>4.0000000000000003E-5</v>
      </c>
    </row>
    <row r="135" spans="1:74" x14ac:dyDescent="0.25">
      <c r="A135" s="147" t="s">
        <v>12</v>
      </c>
      <c r="B135" s="151" t="s">
        <v>179</v>
      </c>
      <c r="C135" s="151" t="s">
        <v>215</v>
      </c>
      <c r="D135" s="171">
        <v>4.0000000000000002E-4</v>
      </c>
      <c r="E135" s="174">
        <v>4.0000000000000002E-4</v>
      </c>
      <c r="F135" s="174">
        <v>4.0000000000000002E-4</v>
      </c>
      <c r="G135" s="174">
        <v>4.0000000000000002E-4</v>
      </c>
      <c r="H135" s="174">
        <v>4.0000000000000002E-4</v>
      </c>
      <c r="I135" s="174">
        <v>4.0000000000000002E-4</v>
      </c>
      <c r="J135" s="174">
        <v>4.0000000000000002E-4</v>
      </c>
      <c r="K135" s="174">
        <v>4.0000000000000002E-4</v>
      </c>
      <c r="L135" s="174">
        <v>4.0000000000000002E-4</v>
      </c>
      <c r="M135" s="174">
        <v>4.0000000000000002E-4</v>
      </c>
      <c r="N135" s="174">
        <v>4.0000000000000002E-4</v>
      </c>
      <c r="O135" s="174">
        <v>4.0000000000000002E-4</v>
      </c>
      <c r="P135" s="174">
        <v>4.0000000000000002E-4</v>
      </c>
      <c r="Q135" s="174">
        <v>4.0000000000000002E-4</v>
      </c>
      <c r="R135" s="174">
        <v>4.0000000000000002E-4</v>
      </c>
      <c r="S135" s="174">
        <v>4.0000000000000002E-4</v>
      </c>
      <c r="T135" s="174">
        <v>4.0000000000000002E-4</v>
      </c>
      <c r="U135" s="174">
        <v>4.0000000000000002E-4</v>
      </c>
      <c r="V135" s="174">
        <v>4.0000000000000002E-4</v>
      </c>
      <c r="W135" s="174">
        <v>4.0000000000000002E-4</v>
      </c>
      <c r="X135" s="174">
        <v>4.0000000000000002E-4</v>
      </c>
      <c r="Y135" s="174">
        <v>4.0000000000000002E-4</v>
      </c>
      <c r="Z135" s="174">
        <v>4.0000000000000002E-4</v>
      </c>
      <c r="AA135" s="174">
        <v>4.0000000000000002E-4</v>
      </c>
      <c r="AB135" s="174">
        <v>4.0000000000000002E-4</v>
      </c>
      <c r="AC135" s="174">
        <v>4.0000000000000002E-4</v>
      </c>
      <c r="AD135" s="174">
        <v>4.0000000000000002E-4</v>
      </c>
      <c r="AE135" s="174">
        <v>4.0000000000000002E-4</v>
      </c>
      <c r="AF135" s="174">
        <v>4.0000000000000002E-4</v>
      </c>
      <c r="AG135" s="174">
        <v>4.0000000000000002E-4</v>
      </c>
      <c r="AH135" s="174">
        <v>4.0000000000000002E-4</v>
      </c>
      <c r="AI135" s="174">
        <v>4.0000000000000002E-4</v>
      </c>
      <c r="AJ135" s="174">
        <v>4.0000000000000002E-4</v>
      </c>
      <c r="AK135" s="174">
        <v>4.0000000000000002E-4</v>
      </c>
      <c r="AL135" s="174">
        <v>4.0000000000000002E-4</v>
      </c>
      <c r="AM135" s="174">
        <v>4.0000000000000002E-4</v>
      </c>
      <c r="AN135" s="174">
        <v>4.0000000000000002E-4</v>
      </c>
      <c r="AO135" s="174">
        <v>4.0000000000000002E-4</v>
      </c>
      <c r="AP135" s="174">
        <v>4.0000000000000002E-4</v>
      </c>
      <c r="AQ135" s="174">
        <v>4.0000000000000002E-4</v>
      </c>
      <c r="AR135" s="174">
        <v>4.0000000000000002E-4</v>
      </c>
      <c r="AS135" s="149">
        <f t="shared" ref="AS135:BV135" si="101">AR135</f>
        <v>4.0000000000000002E-4</v>
      </c>
      <c r="AT135" s="149">
        <f t="shared" si="101"/>
        <v>4.0000000000000002E-4</v>
      </c>
      <c r="AU135" s="149">
        <f t="shared" si="101"/>
        <v>4.0000000000000002E-4</v>
      </c>
      <c r="AV135" s="149">
        <f t="shared" si="101"/>
        <v>4.0000000000000002E-4</v>
      </c>
      <c r="AW135" s="149">
        <f t="shared" si="101"/>
        <v>4.0000000000000002E-4</v>
      </c>
      <c r="AX135" s="149">
        <f t="shared" si="101"/>
        <v>4.0000000000000002E-4</v>
      </c>
      <c r="AY135" s="149">
        <f t="shared" si="101"/>
        <v>4.0000000000000002E-4</v>
      </c>
      <c r="AZ135" s="149">
        <f t="shared" si="101"/>
        <v>4.0000000000000002E-4</v>
      </c>
      <c r="BA135" s="149">
        <f t="shared" si="101"/>
        <v>4.0000000000000002E-4</v>
      </c>
      <c r="BB135" s="149">
        <f t="shared" si="101"/>
        <v>4.0000000000000002E-4</v>
      </c>
      <c r="BC135" s="149">
        <f t="shared" si="101"/>
        <v>4.0000000000000002E-4</v>
      </c>
      <c r="BD135" s="149">
        <f t="shared" si="101"/>
        <v>4.0000000000000002E-4</v>
      </c>
      <c r="BE135" s="149">
        <f t="shared" si="101"/>
        <v>4.0000000000000002E-4</v>
      </c>
      <c r="BF135" s="149">
        <f t="shared" si="101"/>
        <v>4.0000000000000002E-4</v>
      </c>
      <c r="BG135" s="149">
        <f t="shared" si="101"/>
        <v>4.0000000000000002E-4</v>
      </c>
      <c r="BH135" s="149">
        <f t="shared" si="101"/>
        <v>4.0000000000000002E-4</v>
      </c>
      <c r="BI135" s="149">
        <f t="shared" si="101"/>
        <v>4.0000000000000002E-4</v>
      </c>
      <c r="BJ135" s="149">
        <f t="shared" si="101"/>
        <v>4.0000000000000002E-4</v>
      </c>
      <c r="BK135" s="149">
        <f t="shared" si="101"/>
        <v>4.0000000000000002E-4</v>
      </c>
      <c r="BL135" s="149">
        <f t="shared" si="101"/>
        <v>4.0000000000000002E-4</v>
      </c>
      <c r="BM135" s="149">
        <f t="shared" si="101"/>
        <v>4.0000000000000002E-4</v>
      </c>
      <c r="BN135" s="149">
        <f t="shared" si="101"/>
        <v>4.0000000000000002E-4</v>
      </c>
      <c r="BO135" s="149">
        <f t="shared" si="101"/>
        <v>4.0000000000000002E-4</v>
      </c>
      <c r="BP135" s="149">
        <f t="shared" si="101"/>
        <v>4.0000000000000002E-4</v>
      </c>
      <c r="BQ135" s="149">
        <f t="shared" si="101"/>
        <v>4.0000000000000002E-4</v>
      </c>
      <c r="BR135" s="149">
        <f t="shared" si="101"/>
        <v>4.0000000000000002E-4</v>
      </c>
      <c r="BS135" s="149">
        <f t="shared" si="101"/>
        <v>4.0000000000000002E-4</v>
      </c>
      <c r="BT135" s="149">
        <f t="shared" si="101"/>
        <v>4.0000000000000002E-4</v>
      </c>
      <c r="BU135" s="149">
        <f t="shared" si="101"/>
        <v>4.0000000000000002E-4</v>
      </c>
      <c r="BV135" s="149">
        <f t="shared" si="101"/>
        <v>4.0000000000000002E-4</v>
      </c>
    </row>
    <row r="136" spans="1:74" x14ac:dyDescent="0.25">
      <c r="A136" s="147" t="s">
        <v>2</v>
      </c>
      <c r="B136" s="151" t="s">
        <v>191</v>
      </c>
      <c r="D136" s="174"/>
      <c r="E136" s="174"/>
      <c r="F136" s="174"/>
      <c r="G136" s="174"/>
      <c r="H136" s="174"/>
      <c r="I136" s="174"/>
      <c r="J136" s="174"/>
      <c r="K136" s="174"/>
      <c r="L136" s="174"/>
      <c r="M136" s="174"/>
      <c r="N136" s="174"/>
      <c r="O136" s="174"/>
      <c r="P136" s="174"/>
      <c r="Q136" s="174"/>
      <c r="R136" s="174"/>
      <c r="S136" s="174"/>
      <c r="T136" s="174"/>
      <c r="U136" s="174"/>
      <c r="V136" s="174"/>
      <c r="W136" s="174"/>
      <c r="X136" s="174"/>
      <c r="Y136" s="174"/>
      <c r="Z136" s="174"/>
      <c r="AA136" s="174"/>
      <c r="AB136" s="174"/>
      <c r="AC136" s="174"/>
      <c r="AD136" s="174"/>
      <c r="AE136" s="174"/>
      <c r="AF136" s="174"/>
      <c r="AG136" s="174"/>
      <c r="AH136" s="174"/>
      <c r="AI136" s="174"/>
      <c r="AJ136" s="174"/>
      <c r="AK136" s="174"/>
      <c r="AL136" s="174"/>
      <c r="AM136" s="174"/>
      <c r="AN136" s="174"/>
      <c r="AO136" s="174"/>
      <c r="AP136" s="174"/>
      <c r="AQ136" s="174"/>
      <c r="AR136" s="174"/>
      <c r="AS136" s="149">
        <f t="shared" ref="AS136:BV136" si="102">AR136</f>
        <v>0</v>
      </c>
      <c r="AT136" s="149">
        <f t="shared" si="102"/>
        <v>0</v>
      </c>
      <c r="AU136" s="149">
        <f t="shared" si="102"/>
        <v>0</v>
      </c>
      <c r="AV136" s="149">
        <f t="shared" si="102"/>
        <v>0</v>
      </c>
      <c r="AW136" s="149">
        <f t="shared" si="102"/>
        <v>0</v>
      </c>
      <c r="AX136" s="149">
        <f t="shared" si="102"/>
        <v>0</v>
      </c>
      <c r="AY136" s="149">
        <f t="shared" si="102"/>
        <v>0</v>
      </c>
      <c r="AZ136" s="149">
        <f t="shared" si="102"/>
        <v>0</v>
      </c>
      <c r="BA136" s="149">
        <f t="shared" si="102"/>
        <v>0</v>
      </c>
      <c r="BB136" s="149">
        <f t="shared" si="102"/>
        <v>0</v>
      </c>
      <c r="BC136" s="149">
        <f t="shared" si="102"/>
        <v>0</v>
      </c>
      <c r="BD136" s="149">
        <f t="shared" si="102"/>
        <v>0</v>
      </c>
      <c r="BE136" s="149">
        <f t="shared" si="102"/>
        <v>0</v>
      </c>
      <c r="BF136" s="149">
        <f t="shared" si="102"/>
        <v>0</v>
      </c>
      <c r="BG136" s="149">
        <f t="shared" si="102"/>
        <v>0</v>
      </c>
      <c r="BH136" s="149">
        <f t="shared" si="102"/>
        <v>0</v>
      </c>
      <c r="BI136" s="149">
        <f t="shared" si="102"/>
        <v>0</v>
      </c>
      <c r="BJ136" s="149">
        <f t="shared" si="102"/>
        <v>0</v>
      </c>
      <c r="BK136" s="149">
        <f t="shared" si="102"/>
        <v>0</v>
      </c>
      <c r="BL136" s="149">
        <f t="shared" si="102"/>
        <v>0</v>
      </c>
      <c r="BM136" s="149">
        <f t="shared" si="102"/>
        <v>0</v>
      </c>
      <c r="BN136" s="149">
        <f t="shared" si="102"/>
        <v>0</v>
      </c>
      <c r="BO136" s="149">
        <f t="shared" si="102"/>
        <v>0</v>
      </c>
      <c r="BP136" s="149">
        <f t="shared" si="102"/>
        <v>0</v>
      </c>
      <c r="BQ136" s="149">
        <f t="shared" si="102"/>
        <v>0</v>
      </c>
      <c r="BR136" s="149">
        <f t="shared" si="102"/>
        <v>0</v>
      </c>
      <c r="BS136" s="149">
        <f t="shared" si="102"/>
        <v>0</v>
      </c>
      <c r="BT136" s="149">
        <f t="shared" si="102"/>
        <v>0</v>
      </c>
      <c r="BU136" s="149">
        <f t="shared" si="102"/>
        <v>0</v>
      </c>
      <c r="BV136" s="149">
        <f t="shared" si="102"/>
        <v>0</v>
      </c>
    </row>
    <row r="137" spans="1:74" x14ac:dyDescent="0.25">
      <c r="A137" s="141" t="s">
        <v>192</v>
      </c>
      <c r="B137" s="148" t="s">
        <v>179</v>
      </c>
      <c r="C137" s="154" t="s">
        <v>195</v>
      </c>
      <c r="D137" s="173">
        <v>2.0000000000000002E-5</v>
      </c>
      <c r="E137" s="173">
        <v>2.0000000000000002E-5</v>
      </c>
      <c r="F137" s="173">
        <v>2.0000000000000002E-5</v>
      </c>
      <c r="G137" s="173">
        <v>2.0000000000000002E-5</v>
      </c>
      <c r="H137" s="173">
        <v>2.0000000000000002E-5</v>
      </c>
      <c r="I137" s="173">
        <v>2.0000000000000002E-5</v>
      </c>
      <c r="J137" s="173">
        <v>2.0000000000000002E-5</v>
      </c>
      <c r="K137" s="173">
        <v>2.0000000000000002E-5</v>
      </c>
      <c r="L137" s="173">
        <v>2.0000000000000002E-5</v>
      </c>
      <c r="M137" s="173">
        <v>2.0000000000000002E-5</v>
      </c>
      <c r="N137" s="173">
        <v>2.0000000000000002E-5</v>
      </c>
      <c r="O137" s="173">
        <v>2.0000000000000002E-5</v>
      </c>
      <c r="P137" s="173">
        <v>2.0000000000000002E-5</v>
      </c>
      <c r="Q137" s="173">
        <v>2.0000000000000002E-5</v>
      </c>
      <c r="R137" s="173">
        <v>2.0000000000000002E-5</v>
      </c>
      <c r="S137" s="173">
        <v>2.0000000000000002E-5</v>
      </c>
      <c r="T137" s="173">
        <v>2.0000000000000002E-5</v>
      </c>
      <c r="U137" s="173">
        <v>2.0000000000000002E-5</v>
      </c>
      <c r="V137" s="173">
        <v>2.0000000000000002E-5</v>
      </c>
      <c r="W137" s="173">
        <v>2.0000000000000002E-5</v>
      </c>
      <c r="X137" s="173">
        <v>2.0000000000000002E-5</v>
      </c>
      <c r="Y137" s="173">
        <v>2.0000000000000002E-5</v>
      </c>
      <c r="Z137" s="173">
        <v>2.0000000000000002E-5</v>
      </c>
      <c r="AA137" s="173">
        <v>2.0000000000000002E-5</v>
      </c>
      <c r="AB137" s="173">
        <v>2.0000000000000002E-5</v>
      </c>
      <c r="AC137" s="173">
        <v>2.0000000000000002E-5</v>
      </c>
      <c r="AD137" s="173">
        <v>2.0000000000000002E-5</v>
      </c>
      <c r="AE137" s="173">
        <v>2.0000000000000002E-5</v>
      </c>
      <c r="AF137" s="173">
        <v>2.0000000000000002E-5</v>
      </c>
      <c r="AG137" s="173">
        <v>2.0000000000000002E-5</v>
      </c>
      <c r="AH137" s="173">
        <v>2.0000000000000002E-5</v>
      </c>
      <c r="AI137" s="173">
        <v>2.0000000000000002E-5</v>
      </c>
      <c r="AJ137" s="173">
        <v>2.0000000000000002E-5</v>
      </c>
      <c r="AK137" s="173">
        <v>2.0000000000000002E-5</v>
      </c>
      <c r="AL137" s="173">
        <v>2.0000000000000002E-5</v>
      </c>
      <c r="AM137" s="173">
        <v>2.0000000000000002E-5</v>
      </c>
      <c r="AN137" s="173">
        <v>2.0000000000000002E-5</v>
      </c>
      <c r="AO137" s="173">
        <v>2.0000000000000002E-5</v>
      </c>
      <c r="AP137" s="173">
        <v>2.0000000000000002E-5</v>
      </c>
      <c r="AQ137" s="173">
        <v>2.0000000000000002E-5</v>
      </c>
      <c r="AR137" s="173">
        <v>2.0000000000000002E-5</v>
      </c>
      <c r="AS137" s="149">
        <f t="shared" ref="AS137:BV137" si="103">AR137</f>
        <v>2.0000000000000002E-5</v>
      </c>
      <c r="AT137" s="149">
        <f t="shared" si="103"/>
        <v>2.0000000000000002E-5</v>
      </c>
      <c r="AU137" s="149">
        <f t="shared" si="103"/>
        <v>2.0000000000000002E-5</v>
      </c>
      <c r="AV137" s="149">
        <f t="shared" si="103"/>
        <v>2.0000000000000002E-5</v>
      </c>
      <c r="AW137" s="149">
        <f t="shared" si="103"/>
        <v>2.0000000000000002E-5</v>
      </c>
      <c r="AX137" s="149">
        <f t="shared" si="103"/>
        <v>2.0000000000000002E-5</v>
      </c>
      <c r="AY137" s="149">
        <f t="shared" si="103"/>
        <v>2.0000000000000002E-5</v>
      </c>
      <c r="AZ137" s="149">
        <f t="shared" si="103"/>
        <v>2.0000000000000002E-5</v>
      </c>
      <c r="BA137" s="149">
        <f t="shared" si="103"/>
        <v>2.0000000000000002E-5</v>
      </c>
      <c r="BB137" s="149">
        <f t="shared" si="103"/>
        <v>2.0000000000000002E-5</v>
      </c>
      <c r="BC137" s="149">
        <f t="shared" si="103"/>
        <v>2.0000000000000002E-5</v>
      </c>
      <c r="BD137" s="149">
        <f t="shared" si="103"/>
        <v>2.0000000000000002E-5</v>
      </c>
      <c r="BE137" s="149">
        <f t="shared" si="103"/>
        <v>2.0000000000000002E-5</v>
      </c>
      <c r="BF137" s="149">
        <f t="shared" si="103"/>
        <v>2.0000000000000002E-5</v>
      </c>
      <c r="BG137" s="149">
        <f t="shared" si="103"/>
        <v>2.0000000000000002E-5</v>
      </c>
      <c r="BH137" s="149">
        <f t="shared" si="103"/>
        <v>2.0000000000000002E-5</v>
      </c>
      <c r="BI137" s="149">
        <f t="shared" si="103"/>
        <v>2.0000000000000002E-5</v>
      </c>
      <c r="BJ137" s="149">
        <f t="shared" si="103"/>
        <v>2.0000000000000002E-5</v>
      </c>
      <c r="BK137" s="149">
        <f t="shared" si="103"/>
        <v>2.0000000000000002E-5</v>
      </c>
      <c r="BL137" s="149">
        <f t="shared" si="103"/>
        <v>2.0000000000000002E-5</v>
      </c>
      <c r="BM137" s="149">
        <f t="shared" si="103"/>
        <v>2.0000000000000002E-5</v>
      </c>
      <c r="BN137" s="149">
        <f t="shared" si="103"/>
        <v>2.0000000000000002E-5</v>
      </c>
      <c r="BO137" s="149">
        <f t="shared" si="103"/>
        <v>2.0000000000000002E-5</v>
      </c>
      <c r="BP137" s="149">
        <f t="shared" si="103"/>
        <v>2.0000000000000002E-5</v>
      </c>
      <c r="BQ137" s="149">
        <f t="shared" si="103"/>
        <v>2.0000000000000002E-5</v>
      </c>
      <c r="BR137" s="149">
        <f t="shared" si="103"/>
        <v>2.0000000000000002E-5</v>
      </c>
      <c r="BS137" s="149">
        <f t="shared" si="103"/>
        <v>2.0000000000000002E-5</v>
      </c>
      <c r="BT137" s="149">
        <f t="shared" si="103"/>
        <v>2.0000000000000002E-5</v>
      </c>
      <c r="BU137" s="149">
        <f t="shared" si="103"/>
        <v>2.0000000000000002E-5</v>
      </c>
      <c r="BV137" s="149">
        <f t="shared" si="103"/>
        <v>2.0000000000000002E-5</v>
      </c>
    </row>
    <row r="138" spans="1:74" x14ac:dyDescent="0.25">
      <c r="A138" s="141" t="s">
        <v>193</v>
      </c>
      <c r="B138" s="148" t="s">
        <v>190</v>
      </c>
      <c r="C138" s="162" t="s">
        <v>194</v>
      </c>
      <c r="D138" s="173">
        <v>2E-8</v>
      </c>
      <c r="E138" s="173">
        <v>2E-8</v>
      </c>
      <c r="F138" s="173">
        <v>2E-8</v>
      </c>
      <c r="G138" s="173">
        <v>2E-8</v>
      </c>
      <c r="H138" s="173">
        <v>2E-8</v>
      </c>
      <c r="I138" s="173">
        <v>2E-8</v>
      </c>
      <c r="J138" s="173">
        <v>2E-8</v>
      </c>
      <c r="K138" s="173">
        <v>2E-8</v>
      </c>
      <c r="L138" s="173">
        <v>2E-8</v>
      </c>
      <c r="M138" s="173">
        <v>2E-8</v>
      </c>
      <c r="N138" s="173">
        <v>2E-8</v>
      </c>
      <c r="O138" s="173">
        <v>2E-8</v>
      </c>
      <c r="P138" s="173">
        <v>2E-8</v>
      </c>
      <c r="Q138" s="173">
        <v>2E-8</v>
      </c>
      <c r="R138" s="173">
        <v>2E-8</v>
      </c>
      <c r="S138" s="173">
        <v>2E-8</v>
      </c>
      <c r="T138" s="173">
        <v>2E-8</v>
      </c>
      <c r="U138" s="173">
        <v>2E-8</v>
      </c>
      <c r="V138" s="173">
        <v>2E-8</v>
      </c>
      <c r="W138" s="173">
        <v>2E-8</v>
      </c>
      <c r="X138" s="173">
        <v>2E-8</v>
      </c>
      <c r="Y138" s="173">
        <v>2E-8</v>
      </c>
      <c r="Z138" s="173">
        <v>2E-8</v>
      </c>
      <c r="AA138" s="173">
        <v>2E-8</v>
      </c>
      <c r="AB138" s="173">
        <v>2E-8</v>
      </c>
      <c r="AC138" s="173">
        <v>2E-8</v>
      </c>
      <c r="AD138" s="173">
        <v>2E-8</v>
      </c>
      <c r="AE138" s="173">
        <v>2E-8</v>
      </c>
      <c r="AF138" s="173">
        <v>2E-8</v>
      </c>
      <c r="AG138" s="173">
        <v>2E-8</v>
      </c>
      <c r="AH138" s="173">
        <v>2E-8</v>
      </c>
      <c r="AI138" s="173">
        <v>2E-8</v>
      </c>
      <c r="AJ138" s="173">
        <v>2E-8</v>
      </c>
      <c r="AK138" s="173">
        <v>2E-8</v>
      </c>
      <c r="AL138" s="173">
        <v>2E-8</v>
      </c>
      <c r="AM138" s="173">
        <v>2E-8</v>
      </c>
      <c r="AN138" s="173">
        <v>2E-8</v>
      </c>
      <c r="AO138" s="173">
        <v>2E-8</v>
      </c>
      <c r="AP138" s="173">
        <v>2E-8</v>
      </c>
      <c r="AQ138" s="173">
        <v>2E-8</v>
      </c>
      <c r="AR138" s="173">
        <v>2E-8</v>
      </c>
      <c r="AS138" s="149">
        <f t="shared" ref="AS138:BV138" si="104">AR138</f>
        <v>2E-8</v>
      </c>
      <c r="AT138" s="149">
        <f t="shared" si="104"/>
        <v>2E-8</v>
      </c>
      <c r="AU138" s="149">
        <f t="shared" si="104"/>
        <v>2E-8</v>
      </c>
      <c r="AV138" s="149">
        <f t="shared" si="104"/>
        <v>2E-8</v>
      </c>
      <c r="AW138" s="149">
        <f t="shared" si="104"/>
        <v>2E-8</v>
      </c>
      <c r="AX138" s="149">
        <f t="shared" si="104"/>
        <v>2E-8</v>
      </c>
      <c r="AY138" s="149">
        <f t="shared" si="104"/>
        <v>2E-8</v>
      </c>
      <c r="AZ138" s="149">
        <f t="shared" si="104"/>
        <v>2E-8</v>
      </c>
      <c r="BA138" s="149">
        <f t="shared" si="104"/>
        <v>2E-8</v>
      </c>
      <c r="BB138" s="149">
        <f t="shared" si="104"/>
        <v>2E-8</v>
      </c>
      <c r="BC138" s="149">
        <f t="shared" si="104"/>
        <v>2E-8</v>
      </c>
      <c r="BD138" s="149">
        <f t="shared" si="104"/>
        <v>2E-8</v>
      </c>
      <c r="BE138" s="149">
        <f t="shared" si="104"/>
        <v>2E-8</v>
      </c>
      <c r="BF138" s="149">
        <f t="shared" si="104"/>
        <v>2E-8</v>
      </c>
      <c r="BG138" s="149">
        <f t="shared" si="104"/>
        <v>2E-8</v>
      </c>
      <c r="BH138" s="149">
        <f t="shared" si="104"/>
        <v>2E-8</v>
      </c>
      <c r="BI138" s="149">
        <f t="shared" si="104"/>
        <v>2E-8</v>
      </c>
      <c r="BJ138" s="149">
        <f t="shared" si="104"/>
        <v>2E-8</v>
      </c>
      <c r="BK138" s="149">
        <f t="shared" si="104"/>
        <v>2E-8</v>
      </c>
      <c r="BL138" s="149">
        <f t="shared" si="104"/>
        <v>2E-8</v>
      </c>
      <c r="BM138" s="149">
        <f t="shared" si="104"/>
        <v>2E-8</v>
      </c>
      <c r="BN138" s="149">
        <f t="shared" si="104"/>
        <v>2E-8</v>
      </c>
      <c r="BO138" s="149">
        <f t="shared" si="104"/>
        <v>2E-8</v>
      </c>
      <c r="BP138" s="149">
        <f t="shared" si="104"/>
        <v>2E-8</v>
      </c>
      <c r="BQ138" s="149">
        <f t="shared" si="104"/>
        <v>2E-8</v>
      </c>
      <c r="BR138" s="149">
        <f t="shared" si="104"/>
        <v>2E-8</v>
      </c>
      <c r="BS138" s="149">
        <f t="shared" si="104"/>
        <v>2E-8</v>
      </c>
      <c r="BT138" s="149">
        <f t="shared" si="104"/>
        <v>2E-8</v>
      </c>
      <c r="BU138" s="149">
        <f t="shared" si="104"/>
        <v>2E-8</v>
      </c>
      <c r="BV138" s="149">
        <f t="shared" si="104"/>
        <v>2E-8</v>
      </c>
    </row>
    <row r="139" spans="1:74" x14ac:dyDescent="0.25">
      <c r="A139" s="141" t="s">
        <v>195</v>
      </c>
      <c r="B139" s="148" t="s">
        <v>179</v>
      </c>
      <c r="C139" s="151" t="s">
        <v>215</v>
      </c>
      <c r="D139" s="171">
        <v>2.0000000000000002E-5</v>
      </c>
      <c r="E139" s="174">
        <v>2.0000000000000002E-5</v>
      </c>
      <c r="F139" s="174">
        <v>2.0000000000000002E-5</v>
      </c>
      <c r="G139" s="174">
        <v>2.0000000000000002E-5</v>
      </c>
      <c r="H139" s="174">
        <v>2.0000000000000002E-5</v>
      </c>
      <c r="I139" s="174">
        <v>2.0000000000000002E-5</v>
      </c>
      <c r="J139" s="174">
        <v>2.0000000000000002E-5</v>
      </c>
      <c r="K139" s="174">
        <v>2.0000000000000002E-5</v>
      </c>
      <c r="L139" s="174">
        <v>2.0000000000000002E-5</v>
      </c>
      <c r="M139" s="174">
        <v>2.0000000000000002E-5</v>
      </c>
      <c r="N139" s="174">
        <v>2.0000000000000002E-5</v>
      </c>
      <c r="O139" s="174">
        <v>2.0000000000000002E-5</v>
      </c>
      <c r="P139" s="174">
        <v>2.0000000000000002E-5</v>
      </c>
      <c r="Q139" s="174">
        <v>2.0000000000000002E-5</v>
      </c>
      <c r="R139" s="174">
        <v>2.0000000000000002E-5</v>
      </c>
      <c r="S139" s="174">
        <v>2.0000000000000002E-5</v>
      </c>
      <c r="T139" s="174">
        <v>2.0000000000000002E-5</v>
      </c>
      <c r="U139" s="174">
        <v>2.0000000000000002E-5</v>
      </c>
      <c r="V139" s="174">
        <v>2.0000000000000002E-5</v>
      </c>
      <c r="W139" s="174">
        <v>2.0000000000000002E-5</v>
      </c>
      <c r="X139" s="174">
        <v>2.0000000000000002E-5</v>
      </c>
      <c r="Y139" s="174">
        <v>2.0000000000000002E-5</v>
      </c>
      <c r="Z139" s="174">
        <v>2.0000000000000002E-5</v>
      </c>
      <c r="AA139" s="174">
        <v>2.0000000000000002E-5</v>
      </c>
      <c r="AB139" s="174">
        <v>2.0000000000000002E-5</v>
      </c>
      <c r="AC139" s="174">
        <v>2.0000000000000002E-5</v>
      </c>
      <c r="AD139" s="174">
        <v>2.0000000000000002E-5</v>
      </c>
      <c r="AE139" s="174">
        <v>2.0000000000000002E-5</v>
      </c>
      <c r="AF139" s="174">
        <v>2.0000000000000002E-5</v>
      </c>
      <c r="AG139" s="174">
        <v>2.0000000000000002E-5</v>
      </c>
      <c r="AH139" s="174">
        <v>2.0000000000000002E-5</v>
      </c>
      <c r="AI139" s="174">
        <v>2.0000000000000002E-5</v>
      </c>
      <c r="AJ139" s="174">
        <v>2.0000000000000002E-5</v>
      </c>
      <c r="AK139" s="174">
        <v>2.0000000000000002E-5</v>
      </c>
      <c r="AL139" s="174">
        <v>2.0000000000000002E-5</v>
      </c>
      <c r="AM139" s="174">
        <v>2.0000000000000002E-5</v>
      </c>
      <c r="AN139" s="174">
        <v>2.0000000000000002E-5</v>
      </c>
      <c r="AO139" s="174">
        <v>2.0000000000000002E-5</v>
      </c>
      <c r="AP139" s="174">
        <v>2.0000000000000002E-5</v>
      </c>
      <c r="AQ139" s="174">
        <v>2.0000000000000002E-5</v>
      </c>
      <c r="AR139" s="174">
        <v>2.0000000000000002E-5</v>
      </c>
      <c r="AS139" s="149">
        <f t="shared" ref="AS139:BV139" si="105">AR139</f>
        <v>2.0000000000000002E-5</v>
      </c>
      <c r="AT139" s="149">
        <f t="shared" si="105"/>
        <v>2.0000000000000002E-5</v>
      </c>
      <c r="AU139" s="149">
        <f t="shared" si="105"/>
        <v>2.0000000000000002E-5</v>
      </c>
      <c r="AV139" s="149">
        <f t="shared" si="105"/>
        <v>2.0000000000000002E-5</v>
      </c>
      <c r="AW139" s="149">
        <f t="shared" si="105"/>
        <v>2.0000000000000002E-5</v>
      </c>
      <c r="AX139" s="149">
        <f t="shared" si="105"/>
        <v>2.0000000000000002E-5</v>
      </c>
      <c r="AY139" s="149">
        <f t="shared" si="105"/>
        <v>2.0000000000000002E-5</v>
      </c>
      <c r="AZ139" s="149">
        <f t="shared" si="105"/>
        <v>2.0000000000000002E-5</v>
      </c>
      <c r="BA139" s="149">
        <f t="shared" si="105"/>
        <v>2.0000000000000002E-5</v>
      </c>
      <c r="BB139" s="149">
        <f t="shared" si="105"/>
        <v>2.0000000000000002E-5</v>
      </c>
      <c r="BC139" s="149">
        <f t="shared" si="105"/>
        <v>2.0000000000000002E-5</v>
      </c>
      <c r="BD139" s="149">
        <f t="shared" si="105"/>
        <v>2.0000000000000002E-5</v>
      </c>
      <c r="BE139" s="149">
        <f t="shared" si="105"/>
        <v>2.0000000000000002E-5</v>
      </c>
      <c r="BF139" s="149">
        <f t="shared" si="105"/>
        <v>2.0000000000000002E-5</v>
      </c>
      <c r="BG139" s="149">
        <f t="shared" si="105"/>
        <v>2.0000000000000002E-5</v>
      </c>
      <c r="BH139" s="149">
        <f t="shared" si="105"/>
        <v>2.0000000000000002E-5</v>
      </c>
      <c r="BI139" s="149">
        <f t="shared" si="105"/>
        <v>2.0000000000000002E-5</v>
      </c>
      <c r="BJ139" s="149">
        <f t="shared" si="105"/>
        <v>2.0000000000000002E-5</v>
      </c>
      <c r="BK139" s="149">
        <f t="shared" si="105"/>
        <v>2.0000000000000002E-5</v>
      </c>
      <c r="BL139" s="149">
        <f t="shared" si="105"/>
        <v>2.0000000000000002E-5</v>
      </c>
      <c r="BM139" s="149">
        <f t="shared" si="105"/>
        <v>2.0000000000000002E-5</v>
      </c>
      <c r="BN139" s="149">
        <f t="shared" si="105"/>
        <v>2.0000000000000002E-5</v>
      </c>
      <c r="BO139" s="149">
        <f t="shared" si="105"/>
        <v>2.0000000000000002E-5</v>
      </c>
      <c r="BP139" s="149">
        <f t="shared" si="105"/>
        <v>2.0000000000000002E-5</v>
      </c>
      <c r="BQ139" s="149">
        <f t="shared" si="105"/>
        <v>2.0000000000000002E-5</v>
      </c>
      <c r="BR139" s="149">
        <f t="shared" si="105"/>
        <v>2.0000000000000002E-5</v>
      </c>
      <c r="BS139" s="149">
        <f t="shared" si="105"/>
        <v>2.0000000000000002E-5</v>
      </c>
      <c r="BT139" s="149">
        <f t="shared" si="105"/>
        <v>2.0000000000000002E-5</v>
      </c>
      <c r="BU139" s="149">
        <f t="shared" si="105"/>
        <v>2.0000000000000002E-5</v>
      </c>
      <c r="BV139" s="149">
        <f t="shared" si="105"/>
        <v>2.0000000000000002E-5</v>
      </c>
    </row>
    <row r="140" spans="1:74" x14ac:dyDescent="0.25">
      <c r="A140" s="141" t="s">
        <v>251</v>
      </c>
      <c r="B140" s="142" t="s">
        <v>179</v>
      </c>
      <c r="C140" s="151" t="s">
        <v>215</v>
      </c>
      <c r="D140" s="171">
        <v>6.3999999999999997E-5</v>
      </c>
      <c r="E140" s="174">
        <v>6.3999999999999997E-5</v>
      </c>
      <c r="F140" s="174">
        <v>6.3999999999999997E-5</v>
      </c>
      <c r="G140" s="174">
        <v>6.3999999999999997E-5</v>
      </c>
      <c r="H140" s="174">
        <v>6.3999999999999997E-5</v>
      </c>
      <c r="I140" s="174">
        <v>6.3999999999999997E-5</v>
      </c>
      <c r="J140" s="174">
        <v>6.3999999999999997E-5</v>
      </c>
      <c r="K140" s="174">
        <v>6.3999999999999997E-5</v>
      </c>
      <c r="L140" s="174">
        <v>6.3999999999999997E-5</v>
      </c>
      <c r="M140" s="174">
        <v>6.3999999999999997E-5</v>
      </c>
      <c r="N140" s="174">
        <v>6.3999999999999997E-5</v>
      </c>
      <c r="O140" s="174">
        <v>6.3999999999999997E-5</v>
      </c>
      <c r="P140" s="174">
        <v>6.3999999999999997E-5</v>
      </c>
      <c r="Q140" s="174">
        <v>6.3999999999999997E-5</v>
      </c>
      <c r="R140" s="174">
        <v>6.3999999999999997E-5</v>
      </c>
      <c r="S140" s="174">
        <v>6.3999999999999997E-5</v>
      </c>
      <c r="T140" s="174">
        <v>6.3999999999999997E-5</v>
      </c>
      <c r="U140" s="174">
        <v>6.3999999999999997E-5</v>
      </c>
      <c r="V140" s="174">
        <v>6.3999999999999997E-5</v>
      </c>
      <c r="W140" s="174">
        <v>6.3999999999999997E-5</v>
      </c>
      <c r="X140" s="174">
        <v>6.3999999999999997E-5</v>
      </c>
      <c r="Y140" s="174">
        <v>6.3999999999999997E-5</v>
      </c>
      <c r="Z140" s="174">
        <v>6.3999999999999997E-5</v>
      </c>
      <c r="AA140" s="174">
        <v>6.3999999999999997E-5</v>
      </c>
      <c r="AB140" s="174">
        <v>6.3999999999999997E-5</v>
      </c>
      <c r="AC140" s="174">
        <v>6.3999999999999997E-5</v>
      </c>
      <c r="AD140" s="174">
        <v>6.3999999999999997E-5</v>
      </c>
      <c r="AE140" s="174">
        <v>6.3999999999999997E-5</v>
      </c>
      <c r="AF140" s="174">
        <v>6.3999999999999997E-5</v>
      </c>
      <c r="AG140" s="174">
        <v>6.3999999999999997E-5</v>
      </c>
      <c r="AH140" s="174">
        <v>6.3999999999999997E-5</v>
      </c>
      <c r="AI140" s="174">
        <v>6.3999999999999997E-5</v>
      </c>
      <c r="AJ140" s="174">
        <v>6.3999999999999997E-5</v>
      </c>
      <c r="AK140" s="174">
        <v>6.3999999999999997E-5</v>
      </c>
      <c r="AL140" s="174">
        <v>6.3999999999999997E-5</v>
      </c>
      <c r="AM140" s="174">
        <v>6.3999999999999997E-5</v>
      </c>
      <c r="AN140" s="174">
        <v>6.3999999999999997E-5</v>
      </c>
      <c r="AO140" s="174">
        <v>6.3999999999999997E-5</v>
      </c>
      <c r="AP140" s="174">
        <v>6.3999999999999997E-5</v>
      </c>
      <c r="AQ140" s="174">
        <v>6.3999999999999997E-5</v>
      </c>
      <c r="AR140" s="174">
        <v>6.3999999999999997E-5</v>
      </c>
      <c r="AS140" s="149">
        <f t="shared" ref="AS140:BV140" si="106">AR140</f>
        <v>6.3999999999999997E-5</v>
      </c>
      <c r="AT140" s="149">
        <f t="shared" si="106"/>
        <v>6.3999999999999997E-5</v>
      </c>
      <c r="AU140" s="149">
        <f t="shared" si="106"/>
        <v>6.3999999999999997E-5</v>
      </c>
      <c r="AV140" s="149">
        <f t="shared" si="106"/>
        <v>6.3999999999999997E-5</v>
      </c>
      <c r="AW140" s="149">
        <f t="shared" si="106"/>
        <v>6.3999999999999997E-5</v>
      </c>
      <c r="AX140" s="149">
        <f t="shared" si="106"/>
        <v>6.3999999999999997E-5</v>
      </c>
      <c r="AY140" s="149">
        <f t="shared" si="106"/>
        <v>6.3999999999999997E-5</v>
      </c>
      <c r="AZ140" s="149">
        <f t="shared" si="106"/>
        <v>6.3999999999999997E-5</v>
      </c>
      <c r="BA140" s="149">
        <f t="shared" si="106"/>
        <v>6.3999999999999997E-5</v>
      </c>
      <c r="BB140" s="149">
        <f t="shared" si="106"/>
        <v>6.3999999999999997E-5</v>
      </c>
      <c r="BC140" s="149">
        <f t="shared" si="106"/>
        <v>6.3999999999999997E-5</v>
      </c>
      <c r="BD140" s="149">
        <f t="shared" si="106"/>
        <v>6.3999999999999997E-5</v>
      </c>
      <c r="BE140" s="149">
        <f t="shared" si="106"/>
        <v>6.3999999999999997E-5</v>
      </c>
      <c r="BF140" s="149">
        <f t="shared" si="106"/>
        <v>6.3999999999999997E-5</v>
      </c>
      <c r="BG140" s="149">
        <f t="shared" si="106"/>
        <v>6.3999999999999997E-5</v>
      </c>
      <c r="BH140" s="149">
        <f t="shared" si="106"/>
        <v>6.3999999999999997E-5</v>
      </c>
      <c r="BI140" s="149">
        <f t="shared" si="106"/>
        <v>6.3999999999999997E-5</v>
      </c>
      <c r="BJ140" s="149">
        <f t="shared" si="106"/>
        <v>6.3999999999999997E-5</v>
      </c>
      <c r="BK140" s="149">
        <f t="shared" si="106"/>
        <v>6.3999999999999997E-5</v>
      </c>
      <c r="BL140" s="149">
        <f t="shared" si="106"/>
        <v>6.3999999999999997E-5</v>
      </c>
      <c r="BM140" s="149">
        <f t="shared" si="106"/>
        <v>6.3999999999999997E-5</v>
      </c>
      <c r="BN140" s="149">
        <f t="shared" si="106"/>
        <v>6.3999999999999997E-5</v>
      </c>
      <c r="BO140" s="149">
        <f t="shared" si="106"/>
        <v>6.3999999999999997E-5</v>
      </c>
      <c r="BP140" s="149">
        <f t="shared" si="106"/>
        <v>6.3999999999999997E-5</v>
      </c>
      <c r="BQ140" s="149">
        <f t="shared" si="106"/>
        <v>6.3999999999999997E-5</v>
      </c>
      <c r="BR140" s="149">
        <f t="shared" si="106"/>
        <v>6.3999999999999997E-5</v>
      </c>
      <c r="BS140" s="149">
        <f t="shared" si="106"/>
        <v>6.3999999999999997E-5</v>
      </c>
      <c r="BT140" s="149">
        <f t="shared" si="106"/>
        <v>6.3999999999999997E-5</v>
      </c>
      <c r="BU140" s="149">
        <f t="shared" si="106"/>
        <v>6.3999999999999997E-5</v>
      </c>
      <c r="BV140" s="149">
        <f t="shared" si="106"/>
        <v>6.3999999999999997E-5</v>
      </c>
    </row>
    <row r="141" spans="1:74" x14ac:dyDescent="0.25">
      <c r="A141" s="141" t="s">
        <v>196</v>
      </c>
      <c r="B141" s="142" t="s">
        <v>179</v>
      </c>
      <c r="C141" s="151" t="s">
        <v>215</v>
      </c>
      <c r="D141" s="171">
        <v>3.1000000000000001E-5</v>
      </c>
      <c r="E141" s="174">
        <v>3.1000000000000001E-5</v>
      </c>
      <c r="F141" s="174">
        <v>3.1000000000000001E-5</v>
      </c>
      <c r="G141" s="174">
        <v>3.1000000000000001E-5</v>
      </c>
      <c r="H141" s="174">
        <v>3.1000000000000001E-5</v>
      </c>
      <c r="I141" s="174">
        <v>3.1000000000000001E-5</v>
      </c>
      <c r="J141" s="174">
        <v>3.1000000000000001E-5</v>
      </c>
      <c r="K141" s="174">
        <v>3.1000000000000001E-5</v>
      </c>
      <c r="L141" s="174">
        <v>3.1000000000000001E-5</v>
      </c>
      <c r="M141" s="174">
        <v>3.1000000000000001E-5</v>
      </c>
      <c r="N141" s="174">
        <v>3.1000000000000001E-5</v>
      </c>
      <c r="O141" s="174">
        <v>3.1000000000000001E-5</v>
      </c>
      <c r="P141" s="174">
        <v>3.1000000000000001E-5</v>
      </c>
      <c r="Q141" s="174">
        <v>3.1000000000000001E-5</v>
      </c>
      <c r="R141" s="174">
        <v>3.1000000000000001E-5</v>
      </c>
      <c r="S141" s="174">
        <v>3.1000000000000001E-5</v>
      </c>
      <c r="T141" s="174">
        <v>3.1000000000000001E-5</v>
      </c>
      <c r="U141" s="174">
        <v>3.1000000000000001E-5</v>
      </c>
      <c r="V141" s="174">
        <v>3.1000000000000001E-5</v>
      </c>
      <c r="W141" s="174">
        <v>3.1000000000000001E-5</v>
      </c>
      <c r="X141" s="174">
        <v>3.1000000000000001E-5</v>
      </c>
      <c r="Y141" s="174">
        <v>3.1000000000000001E-5</v>
      </c>
      <c r="Z141" s="174">
        <v>3.1000000000000001E-5</v>
      </c>
      <c r="AA141" s="174">
        <v>3.1000000000000001E-5</v>
      </c>
      <c r="AB141" s="174">
        <v>3.1000000000000001E-5</v>
      </c>
      <c r="AC141" s="174">
        <v>3.1000000000000001E-5</v>
      </c>
      <c r="AD141" s="174">
        <v>3.1000000000000001E-5</v>
      </c>
      <c r="AE141" s="174">
        <v>3.1000000000000001E-5</v>
      </c>
      <c r="AF141" s="174">
        <v>3.1000000000000001E-5</v>
      </c>
      <c r="AG141" s="174">
        <v>3.1000000000000001E-5</v>
      </c>
      <c r="AH141" s="174">
        <v>3.1000000000000001E-5</v>
      </c>
      <c r="AI141" s="174">
        <v>3.1000000000000001E-5</v>
      </c>
      <c r="AJ141" s="174">
        <v>3.1000000000000001E-5</v>
      </c>
      <c r="AK141" s="174">
        <v>3.1000000000000001E-5</v>
      </c>
      <c r="AL141" s="174">
        <v>3.1000000000000001E-5</v>
      </c>
      <c r="AM141" s="174">
        <v>3.1000000000000001E-5</v>
      </c>
      <c r="AN141" s="174">
        <v>3.1000000000000001E-5</v>
      </c>
      <c r="AO141" s="174">
        <v>3.1000000000000001E-5</v>
      </c>
      <c r="AP141" s="174">
        <v>3.1000000000000001E-5</v>
      </c>
      <c r="AQ141" s="174">
        <v>3.1000000000000001E-5</v>
      </c>
      <c r="AR141" s="174">
        <v>3.1000000000000001E-5</v>
      </c>
      <c r="AS141" s="149">
        <f t="shared" ref="AS141:BV141" si="107">AR141</f>
        <v>3.1000000000000001E-5</v>
      </c>
      <c r="AT141" s="149">
        <f t="shared" si="107"/>
        <v>3.1000000000000001E-5</v>
      </c>
      <c r="AU141" s="149">
        <f t="shared" si="107"/>
        <v>3.1000000000000001E-5</v>
      </c>
      <c r="AV141" s="149">
        <f t="shared" si="107"/>
        <v>3.1000000000000001E-5</v>
      </c>
      <c r="AW141" s="149">
        <f t="shared" si="107"/>
        <v>3.1000000000000001E-5</v>
      </c>
      <c r="AX141" s="149">
        <f t="shared" si="107"/>
        <v>3.1000000000000001E-5</v>
      </c>
      <c r="AY141" s="149">
        <f t="shared" si="107"/>
        <v>3.1000000000000001E-5</v>
      </c>
      <c r="AZ141" s="149">
        <f t="shared" si="107"/>
        <v>3.1000000000000001E-5</v>
      </c>
      <c r="BA141" s="149">
        <f t="shared" si="107"/>
        <v>3.1000000000000001E-5</v>
      </c>
      <c r="BB141" s="149">
        <f t="shared" si="107"/>
        <v>3.1000000000000001E-5</v>
      </c>
      <c r="BC141" s="149">
        <f t="shared" si="107"/>
        <v>3.1000000000000001E-5</v>
      </c>
      <c r="BD141" s="149">
        <f t="shared" si="107"/>
        <v>3.1000000000000001E-5</v>
      </c>
      <c r="BE141" s="149">
        <f t="shared" si="107"/>
        <v>3.1000000000000001E-5</v>
      </c>
      <c r="BF141" s="149">
        <f t="shared" si="107"/>
        <v>3.1000000000000001E-5</v>
      </c>
      <c r="BG141" s="149">
        <f t="shared" si="107"/>
        <v>3.1000000000000001E-5</v>
      </c>
      <c r="BH141" s="149">
        <f t="shared" si="107"/>
        <v>3.1000000000000001E-5</v>
      </c>
      <c r="BI141" s="149">
        <f t="shared" si="107"/>
        <v>3.1000000000000001E-5</v>
      </c>
      <c r="BJ141" s="149">
        <f t="shared" si="107"/>
        <v>3.1000000000000001E-5</v>
      </c>
      <c r="BK141" s="149">
        <f t="shared" si="107"/>
        <v>3.1000000000000001E-5</v>
      </c>
      <c r="BL141" s="149">
        <f t="shared" si="107"/>
        <v>3.1000000000000001E-5</v>
      </c>
      <c r="BM141" s="149">
        <f t="shared" si="107"/>
        <v>3.1000000000000001E-5</v>
      </c>
      <c r="BN141" s="149">
        <f t="shared" si="107"/>
        <v>3.1000000000000001E-5</v>
      </c>
      <c r="BO141" s="149">
        <f t="shared" si="107"/>
        <v>3.1000000000000001E-5</v>
      </c>
      <c r="BP141" s="149">
        <f t="shared" si="107"/>
        <v>3.1000000000000001E-5</v>
      </c>
      <c r="BQ141" s="149">
        <f t="shared" si="107"/>
        <v>3.1000000000000001E-5</v>
      </c>
      <c r="BR141" s="149">
        <f t="shared" si="107"/>
        <v>3.1000000000000001E-5</v>
      </c>
      <c r="BS141" s="149">
        <f t="shared" si="107"/>
        <v>3.1000000000000001E-5</v>
      </c>
      <c r="BT141" s="149">
        <f t="shared" si="107"/>
        <v>3.1000000000000001E-5</v>
      </c>
      <c r="BU141" s="149">
        <f t="shared" si="107"/>
        <v>3.1000000000000001E-5</v>
      </c>
      <c r="BV141" s="149">
        <f t="shared" si="107"/>
        <v>3.1000000000000001E-5</v>
      </c>
    </row>
    <row r="142" spans="1:74" x14ac:dyDescent="0.25">
      <c r="A142" s="147" t="s">
        <v>13</v>
      </c>
      <c r="B142" s="151" t="s">
        <v>179</v>
      </c>
      <c r="C142" s="151" t="s">
        <v>215</v>
      </c>
      <c r="D142" s="171">
        <v>3.1000000000000001E-5</v>
      </c>
      <c r="E142" s="174">
        <v>3.1000000000000001E-5</v>
      </c>
      <c r="F142" s="174">
        <v>3.1000000000000001E-5</v>
      </c>
      <c r="G142" s="174">
        <v>3.1000000000000001E-5</v>
      </c>
      <c r="H142" s="174">
        <v>3.1000000000000001E-5</v>
      </c>
      <c r="I142" s="174">
        <v>3.1000000000000001E-5</v>
      </c>
      <c r="J142" s="174">
        <v>3.1000000000000001E-5</v>
      </c>
      <c r="K142" s="174">
        <v>3.1000000000000001E-5</v>
      </c>
      <c r="L142" s="174">
        <v>3.1000000000000001E-5</v>
      </c>
      <c r="M142" s="174">
        <v>3.1000000000000001E-5</v>
      </c>
      <c r="N142" s="174">
        <v>3.1000000000000001E-5</v>
      </c>
      <c r="O142" s="174">
        <v>3.1000000000000001E-5</v>
      </c>
      <c r="P142" s="174">
        <v>3.1000000000000001E-5</v>
      </c>
      <c r="Q142" s="174">
        <v>3.1000000000000001E-5</v>
      </c>
      <c r="R142" s="174">
        <v>3.1000000000000001E-5</v>
      </c>
      <c r="S142" s="174">
        <v>3.1000000000000001E-5</v>
      </c>
      <c r="T142" s="174">
        <v>3.1000000000000001E-5</v>
      </c>
      <c r="U142" s="174">
        <v>3.1000000000000001E-5</v>
      </c>
      <c r="V142" s="174">
        <v>3.1000000000000001E-5</v>
      </c>
      <c r="W142" s="174">
        <v>3.1000000000000001E-5</v>
      </c>
      <c r="X142" s="174">
        <v>3.1000000000000001E-5</v>
      </c>
      <c r="Y142" s="174">
        <v>3.1000000000000001E-5</v>
      </c>
      <c r="Z142" s="174">
        <v>3.1000000000000001E-5</v>
      </c>
      <c r="AA142" s="174">
        <v>3.1000000000000001E-5</v>
      </c>
      <c r="AB142" s="174">
        <v>3.1000000000000001E-5</v>
      </c>
      <c r="AC142" s="174">
        <v>3.1000000000000001E-5</v>
      </c>
      <c r="AD142" s="174">
        <v>3.1000000000000001E-5</v>
      </c>
      <c r="AE142" s="174">
        <v>3.1000000000000001E-5</v>
      </c>
      <c r="AF142" s="174">
        <v>3.1000000000000001E-5</v>
      </c>
      <c r="AG142" s="174">
        <v>3.1000000000000001E-5</v>
      </c>
      <c r="AH142" s="174">
        <v>3.1000000000000001E-5</v>
      </c>
      <c r="AI142" s="174">
        <v>3.1000000000000001E-5</v>
      </c>
      <c r="AJ142" s="174">
        <v>3.1000000000000001E-5</v>
      </c>
      <c r="AK142" s="174">
        <v>3.1000000000000001E-5</v>
      </c>
      <c r="AL142" s="174">
        <v>3.1000000000000001E-5</v>
      </c>
      <c r="AM142" s="174">
        <v>3.1000000000000001E-5</v>
      </c>
      <c r="AN142" s="174">
        <v>3.1000000000000001E-5</v>
      </c>
      <c r="AO142" s="174">
        <v>3.1000000000000001E-5</v>
      </c>
      <c r="AP142" s="174">
        <v>3.1000000000000001E-5</v>
      </c>
      <c r="AQ142" s="174">
        <v>3.1000000000000001E-5</v>
      </c>
      <c r="AR142" s="174">
        <v>3.1000000000000001E-5</v>
      </c>
      <c r="AS142" s="149">
        <f t="shared" ref="AS142:BV142" si="108">AR142</f>
        <v>3.1000000000000001E-5</v>
      </c>
      <c r="AT142" s="149">
        <f t="shared" si="108"/>
        <v>3.1000000000000001E-5</v>
      </c>
      <c r="AU142" s="149">
        <f t="shared" si="108"/>
        <v>3.1000000000000001E-5</v>
      </c>
      <c r="AV142" s="149">
        <f t="shared" si="108"/>
        <v>3.1000000000000001E-5</v>
      </c>
      <c r="AW142" s="149">
        <f t="shared" si="108"/>
        <v>3.1000000000000001E-5</v>
      </c>
      <c r="AX142" s="149">
        <f t="shared" si="108"/>
        <v>3.1000000000000001E-5</v>
      </c>
      <c r="AY142" s="149">
        <f t="shared" si="108"/>
        <v>3.1000000000000001E-5</v>
      </c>
      <c r="AZ142" s="149">
        <f t="shared" si="108"/>
        <v>3.1000000000000001E-5</v>
      </c>
      <c r="BA142" s="149">
        <f t="shared" si="108"/>
        <v>3.1000000000000001E-5</v>
      </c>
      <c r="BB142" s="149">
        <f t="shared" si="108"/>
        <v>3.1000000000000001E-5</v>
      </c>
      <c r="BC142" s="149">
        <f t="shared" si="108"/>
        <v>3.1000000000000001E-5</v>
      </c>
      <c r="BD142" s="149">
        <f t="shared" si="108"/>
        <v>3.1000000000000001E-5</v>
      </c>
      <c r="BE142" s="149">
        <f t="shared" si="108"/>
        <v>3.1000000000000001E-5</v>
      </c>
      <c r="BF142" s="149">
        <f t="shared" si="108"/>
        <v>3.1000000000000001E-5</v>
      </c>
      <c r="BG142" s="149">
        <f t="shared" si="108"/>
        <v>3.1000000000000001E-5</v>
      </c>
      <c r="BH142" s="149">
        <f t="shared" si="108"/>
        <v>3.1000000000000001E-5</v>
      </c>
      <c r="BI142" s="149">
        <f t="shared" si="108"/>
        <v>3.1000000000000001E-5</v>
      </c>
      <c r="BJ142" s="149">
        <f t="shared" si="108"/>
        <v>3.1000000000000001E-5</v>
      </c>
      <c r="BK142" s="149">
        <f t="shared" si="108"/>
        <v>3.1000000000000001E-5</v>
      </c>
      <c r="BL142" s="149">
        <f t="shared" si="108"/>
        <v>3.1000000000000001E-5</v>
      </c>
      <c r="BM142" s="149">
        <f t="shared" si="108"/>
        <v>3.1000000000000001E-5</v>
      </c>
      <c r="BN142" s="149">
        <f t="shared" si="108"/>
        <v>3.1000000000000001E-5</v>
      </c>
      <c r="BO142" s="149">
        <f t="shared" si="108"/>
        <v>3.1000000000000001E-5</v>
      </c>
      <c r="BP142" s="149">
        <f t="shared" si="108"/>
        <v>3.1000000000000001E-5</v>
      </c>
      <c r="BQ142" s="149">
        <f t="shared" si="108"/>
        <v>3.1000000000000001E-5</v>
      </c>
      <c r="BR142" s="149">
        <f t="shared" si="108"/>
        <v>3.1000000000000001E-5</v>
      </c>
      <c r="BS142" s="149">
        <f t="shared" si="108"/>
        <v>3.1000000000000001E-5</v>
      </c>
      <c r="BT142" s="149">
        <f t="shared" si="108"/>
        <v>3.1000000000000001E-5</v>
      </c>
      <c r="BU142" s="149">
        <f t="shared" si="108"/>
        <v>3.1000000000000001E-5</v>
      </c>
      <c r="BV142" s="149">
        <f t="shared" si="108"/>
        <v>3.1000000000000001E-5</v>
      </c>
    </row>
    <row r="143" spans="1:74" x14ac:dyDescent="0.25">
      <c r="A143" s="147" t="s">
        <v>199</v>
      </c>
      <c r="B143" s="151" t="s">
        <v>179</v>
      </c>
      <c r="C143" s="162" t="s">
        <v>200</v>
      </c>
      <c r="D143" s="173">
        <v>1.08E-4</v>
      </c>
      <c r="E143" s="173">
        <v>1.08E-4</v>
      </c>
      <c r="F143" s="173">
        <v>1.08E-4</v>
      </c>
      <c r="G143" s="173">
        <v>1.08E-4</v>
      </c>
      <c r="H143" s="173">
        <v>1.08E-4</v>
      </c>
      <c r="I143" s="173">
        <v>1.08E-4</v>
      </c>
      <c r="J143" s="173">
        <v>1.08E-4</v>
      </c>
      <c r="K143" s="173">
        <v>1.08E-4</v>
      </c>
      <c r="L143" s="173">
        <v>1.08E-4</v>
      </c>
      <c r="M143" s="173">
        <v>1.08E-4</v>
      </c>
      <c r="N143" s="173">
        <v>1.08E-4</v>
      </c>
      <c r="O143" s="173">
        <v>1.08E-4</v>
      </c>
      <c r="P143" s="173">
        <v>1.08E-4</v>
      </c>
      <c r="Q143" s="173">
        <v>1.08E-4</v>
      </c>
      <c r="R143" s="173">
        <v>1.08E-4</v>
      </c>
      <c r="S143" s="173">
        <v>1.08E-4</v>
      </c>
      <c r="T143" s="173">
        <v>1.08E-4</v>
      </c>
      <c r="U143" s="173">
        <v>1.08E-4</v>
      </c>
      <c r="V143" s="173">
        <v>1.08E-4</v>
      </c>
      <c r="W143" s="173">
        <v>1.08E-4</v>
      </c>
      <c r="X143" s="173">
        <v>1.08E-4</v>
      </c>
      <c r="Y143" s="173">
        <v>1.08E-4</v>
      </c>
      <c r="Z143" s="173">
        <v>1.08E-4</v>
      </c>
      <c r="AA143" s="173">
        <v>1.08E-4</v>
      </c>
      <c r="AB143" s="173">
        <v>1.08E-4</v>
      </c>
      <c r="AC143" s="173">
        <v>1.08E-4</v>
      </c>
      <c r="AD143" s="173">
        <v>1.08E-4</v>
      </c>
      <c r="AE143" s="173">
        <v>1.08E-4</v>
      </c>
      <c r="AF143" s="173">
        <v>1.08E-4</v>
      </c>
      <c r="AG143" s="173">
        <v>1.08E-4</v>
      </c>
      <c r="AH143" s="173">
        <v>1.08E-4</v>
      </c>
      <c r="AI143" s="173">
        <v>1.08E-4</v>
      </c>
      <c r="AJ143" s="173">
        <v>1.08E-4</v>
      </c>
      <c r="AK143" s="173">
        <v>1.08E-4</v>
      </c>
      <c r="AL143" s="173">
        <v>1.08E-4</v>
      </c>
      <c r="AM143" s="173">
        <v>1.08E-4</v>
      </c>
      <c r="AN143" s="173">
        <v>1.08E-4</v>
      </c>
      <c r="AO143" s="173">
        <v>1.08E-4</v>
      </c>
      <c r="AP143" s="173">
        <v>1.08E-4</v>
      </c>
      <c r="AQ143" s="173">
        <v>1.08E-4</v>
      </c>
      <c r="AR143" s="173">
        <v>1.08E-4</v>
      </c>
      <c r="AS143" s="149">
        <f t="shared" ref="AS143:BV143" si="109">AR143</f>
        <v>1.08E-4</v>
      </c>
      <c r="AT143" s="149">
        <f t="shared" si="109"/>
        <v>1.08E-4</v>
      </c>
      <c r="AU143" s="149">
        <f t="shared" si="109"/>
        <v>1.08E-4</v>
      </c>
      <c r="AV143" s="149">
        <f t="shared" si="109"/>
        <v>1.08E-4</v>
      </c>
      <c r="AW143" s="149">
        <f t="shared" si="109"/>
        <v>1.08E-4</v>
      </c>
      <c r="AX143" s="149">
        <f t="shared" si="109"/>
        <v>1.08E-4</v>
      </c>
      <c r="AY143" s="149">
        <f t="shared" si="109"/>
        <v>1.08E-4</v>
      </c>
      <c r="AZ143" s="149">
        <f t="shared" si="109"/>
        <v>1.08E-4</v>
      </c>
      <c r="BA143" s="149">
        <f t="shared" si="109"/>
        <v>1.08E-4</v>
      </c>
      <c r="BB143" s="149">
        <f t="shared" si="109"/>
        <v>1.08E-4</v>
      </c>
      <c r="BC143" s="149">
        <f t="shared" si="109"/>
        <v>1.08E-4</v>
      </c>
      <c r="BD143" s="149">
        <f t="shared" si="109"/>
        <v>1.08E-4</v>
      </c>
      <c r="BE143" s="149">
        <f t="shared" si="109"/>
        <v>1.08E-4</v>
      </c>
      <c r="BF143" s="149">
        <f t="shared" si="109"/>
        <v>1.08E-4</v>
      </c>
      <c r="BG143" s="149">
        <f t="shared" si="109"/>
        <v>1.08E-4</v>
      </c>
      <c r="BH143" s="149">
        <f t="shared" si="109"/>
        <v>1.08E-4</v>
      </c>
      <c r="BI143" s="149">
        <f t="shared" si="109"/>
        <v>1.08E-4</v>
      </c>
      <c r="BJ143" s="149">
        <f t="shared" si="109"/>
        <v>1.08E-4</v>
      </c>
      <c r="BK143" s="149">
        <f t="shared" si="109"/>
        <v>1.08E-4</v>
      </c>
      <c r="BL143" s="149">
        <f t="shared" si="109"/>
        <v>1.08E-4</v>
      </c>
      <c r="BM143" s="149">
        <f t="shared" si="109"/>
        <v>1.08E-4</v>
      </c>
      <c r="BN143" s="149">
        <f t="shared" si="109"/>
        <v>1.08E-4</v>
      </c>
      <c r="BO143" s="149">
        <f t="shared" si="109"/>
        <v>1.08E-4</v>
      </c>
      <c r="BP143" s="149">
        <f t="shared" si="109"/>
        <v>1.08E-4</v>
      </c>
      <c r="BQ143" s="149">
        <f t="shared" si="109"/>
        <v>1.08E-4</v>
      </c>
      <c r="BR143" s="149">
        <f t="shared" si="109"/>
        <v>1.08E-4</v>
      </c>
      <c r="BS143" s="149">
        <f t="shared" si="109"/>
        <v>1.08E-4</v>
      </c>
      <c r="BT143" s="149">
        <f t="shared" si="109"/>
        <v>1.08E-4</v>
      </c>
      <c r="BU143" s="149">
        <f t="shared" si="109"/>
        <v>1.08E-4</v>
      </c>
      <c r="BV143" s="149">
        <f t="shared" si="109"/>
        <v>1.08E-4</v>
      </c>
    </row>
    <row r="144" spans="1:74" x14ac:dyDescent="0.25">
      <c r="A144" s="147" t="s">
        <v>197</v>
      </c>
      <c r="B144" s="151" t="s">
        <v>179</v>
      </c>
      <c r="C144" s="154" t="s">
        <v>198</v>
      </c>
      <c r="D144" s="173">
        <v>3.1000000000000001E-5</v>
      </c>
      <c r="E144" s="173">
        <v>3.1000000000000001E-5</v>
      </c>
      <c r="F144" s="173">
        <v>3.1000000000000001E-5</v>
      </c>
      <c r="G144" s="173">
        <v>3.1000000000000001E-5</v>
      </c>
      <c r="H144" s="173">
        <v>3.1000000000000001E-5</v>
      </c>
      <c r="I144" s="173">
        <v>3.1000000000000001E-5</v>
      </c>
      <c r="J144" s="173">
        <v>3.1000000000000001E-5</v>
      </c>
      <c r="K144" s="173">
        <v>3.1000000000000001E-5</v>
      </c>
      <c r="L144" s="173">
        <v>3.1000000000000001E-5</v>
      </c>
      <c r="M144" s="173">
        <v>3.1000000000000001E-5</v>
      </c>
      <c r="N144" s="173">
        <v>3.1000000000000001E-5</v>
      </c>
      <c r="O144" s="173">
        <v>3.1000000000000001E-5</v>
      </c>
      <c r="P144" s="173">
        <v>3.1000000000000001E-5</v>
      </c>
      <c r="Q144" s="173">
        <v>3.1000000000000001E-5</v>
      </c>
      <c r="R144" s="173">
        <v>3.1000000000000001E-5</v>
      </c>
      <c r="S144" s="173">
        <v>3.1000000000000001E-5</v>
      </c>
      <c r="T144" s="173">
        <v>3.1000000000000001E-5</v>
      </c>
      <c r="U144" s="173">
        <v>3.1000000000000001E-5</v>
      </c>
      <c r="V144" s="173">
        <v>3.1000000000000001E-5</v>
      </c>
      <c r="W144" s="173">
        <v>3.1000000000000001E-5</v>
      </c>
      <c r="X144" s="173">
        <v>3.1000000000000001E-5</v>
      </c>
      <c r="Y144" s="173">
        <v>3.1000000000000001E-5</v>
      </c>
      <c r="Z144" s="173">
        <v>3.1000000000000001E-5</v>
      </c>
      <c r="AA144" s="173">
        <v>3.1000000000000001E-5</v>
      </c>
      <c r="AB144" s="173">
        <v>3.1000000000000001E-5</v>
      </c>
      <c r="AC144" s="173">
        <v>3.1000000000000001E-5</v>
      </c>
      <c r="AD144" s="173">
        <v>3.1000000000000001E-5</v>
      </c>
      <c r="AE144" s="173">
        <v>3.1000000000000001E-5</v>
      </c>
      <c r="AF144" s="173">
        <v>3.1000000000000001E-5</v>
      </c>
      <c r="AG144" s="173">
        <v>3.1000000000000001E-5</v>
      </c>
      <c r="AH144" s="173">
        <v>3.1000000000000001E-5</v>
      </c>
      <c r="AI144" s="173">
        <v>3.1000000000000001E-5</v>
      </c>
      <c r="AJ144" s="173">
        <v>3.1000000000000001E-5</v>
      </c>
      <c r="AK144" s="173">
        <v>3.1000000000000001E-5</v>
      </c>
      <c r="AL144" s="173">
        <v>3.1000000000000001E-5</v>
      </c>
      <c r="AM144" s="173">
        <v>3.1000000000000001E-5</v>
      </c>
      <c r="AN144" s="173">
        <v>3.1000000000000001E-5</v>
      </c>
      <c r="AO144" s="173">
        <v>3.1000000000000001E-5</v>
      </c>
      <c r="AP144" s="173">
        <v>3.1000000000000001E-5</v>
      </c>
      <c r="AQ144" s="173">
        <v>3.1000000000000001E-5</v>
      </c>
      <c r="AR144" s="173">
        <v>3.1000000000000001E-5</v>
      </c>
      <c r="AS144" s="149">
        <f t="shared" ref="AS144:BV144" si="110">AR144</f>
        <v>3.1000000000000001E-5</v>
      </c>
      <c r="AT144" s="149">
        <f t="shared" si="110"/>
        <v>3.1000000000000001E-5</v>
      </c>
      <c r="AU144" s="149">
        <f t="shared" si="110"/>
        <v>3.1000000000000001E-5</v>
      </c>
      <c r="AV144" s="149">
        <f t="shared" si="110"/>
        <v>3.1000000000000001E-5</v>
      </c>
      <c r="AW144" s="149">
        <f t="shared" si="110"/>
        <v>3.1000000000000001E-5</v>
      </c>
      <c r="AX144" s="149">
        <f t="shared" si="110"/>
        <v>3.1000000000000001E-5</v>
      </c>
      <c r="AY144" s="149">
        <f t="shared" si="110"/>
        <v>3.1000000000000001E-5</v>
      </c>
      <c r="AZ144" s="149">
        <f t="shared" si="110"/>
        <v>3.1000000000000001E-5</v>
      </c>
      <c r="BA144" s="149">
        <f t="shared" si="110"/>
        <v>3.1000000000000001E-5</v>
      </c>
      <c r="BB144" s="149">
        <f t="shared" si="110"/>
        <v>3.1000000000000001E-5</v>
      </c>
      <c r="BC144" s="149">
        <f t="shared" si="110"/>
        <v>3.1000000000000001E-5</v>
      </c>
      <c r="BD144" s="149">
        <f t="shared" si="110"/>
        <v>3.1000000000000001E-5</v>
      </c>
      <c r="BE144" s="149">
        <f t="shared" si="110"/>
        <v>3.1000000000000001E-5</v>
      </c>
      <c r="BF144" s="149">
        <f t="shared" si="110"/>
        <v>3.1000000000000001E-5</v>
      </c>
      <c r="BG144" s="149">
        <f t="shared" si="110"/>
        <v>3.1000000000000001E-5</v>
      </c>
      <c r="BH144" s="149">
        <f t="shared" si="110"/>
        <v>3.1000000000000001E-5</v>
      </c>
      <c r="BI144" s="149">
        <f t="shared" si="110"/>
        <v>3.1000000000000001E-5</v>
      </c>
      <c r="BJ144" s="149">
        <f t="shared" si="110"/>
        <v>3.1000000000000001E-5</v>
      </c>
      <c r="BK144" s="149">
        <f t="shared" si="110"/>
        <v>3.1000000000000001E-5</v>
      </c>
      <c r="BL144" s="149">
        <f t="shared" si="110"/>
        <v>3.1000000000000001E-5</v>
      </c>
      <c r="BM144" s="149">
        <f t="shared" si="110"/>
        <v>3.1000000000000001E-5</v>
      </c>
      <c r="BN144" s="149">
        <f t="shared" si="110"/>
        <v>3.1000000000000001E-5</v>
      </c>
      <c r="BO144" s="149">
        <f t="shared" si="110"/>
        <v>3.1000000000000001E-5</v>
      </c>
      <c r="BP144" s="149">
        <f t="shared" si="110"/>
        <v>3.1000000000000001E-5</v>
      </c>
      <c r="BQ144" s="149">
        <f t="shared" si="110"/>
        <v>3.1000000000000001E-5</v>
      </c>
      <c r="BR144" s="149">
        <f t="shared" si="110"/>
        <v>3.1000000000000001E-5</v>
      </c>
      <c r="BS144" s="149">
        <f t="shared" si="110"/>
        <v>3.1000000000000001E-5</v>
      </c>
      <c r="BT144" s="149">
        <f t="shared" si="110"/>
        <v>3.1000000000000001E-5</v>
      </c>
      <c r="BU144" s="149">
        <f t="shared" si="110"/>
        <v>3.1000000000000001E-5</v>
      </c>
      <c r="BV144" s="149">
        <f t="shared" si="110"/>
        <v>3.1000000000000001E-5</v>
      </c>
    </row>
    <row r="145" spans="1:74" x14ac:dyDescent="0.25">
      <c r="A145" s="141" t="s">
        <v>14</v>
      </c>
      <c r="B145" s="148" t="s">
        <v>190</v>
      </c>
      <c r="C145" s="151" t="s">
        <v>231</v>
      </c>
      <c r="D145" s="171">
        <v>3.3000000000000003E-5</v>
      </c>
      <c r="E145" s="174">
        <v>3.3000000000000003E-5</v>
      </c>
      <c r="F145" s="174">
        <v>3.3000000000000003E-5</v>
      </c>
      <c r="G145" s="174">
        <v>3.3000000000000003E-5</v>
      </c>
      <c r="H145" s="174">
        <v>3.3000000000000003E-5</v>
      </c>
      <c r="I145" s="174">
        <v>3.3000000000000003E-5</v>
      </c>
      <c r="J145" s="174">
        <v>3.3000000000000003E-5</v>
      </c>
      <c r="K145" s="174">
        <v>3.3000000000000003E-5</v>
      </c>
      <c r="L145" s="174">
        <v>3.3000000000000003E-5</v>
      </c>
      <c r="M145" s="174">
        <v>3.3000000000000003E-5</v>
      </c>
      <c r="N145" s="174">
        <v>3.3000000000000003E-5</v>
      </c>
      <c r="O145" s="174">
        <v>3.3000000000000003E-5</v>
      </c>
      <c r="P145" s="174">
        <v>3.3000000000000003E-5</v>
      </c>
      <c r="Q145" s="174">
        <v>3.3000000000000003E-5</v>
      </c>
      <c r="R145" s="174">
        <v>3.3000000000000003E-5</v>
      </c>
      <c r="S145" s="174">
        <v>3.3000000000000003E-5</v>
      </c>
      <c r="T145" s="174">
        <v>3.3000000000000003E-5</v>
      </c>
      <c r="U145" s="174">
        <v>3.3000000000000003E-5</v>
      </c>
      <c r="V145" s="174">
        <v>3.3000000000000003E-5</v>
      </c>
      <c r="W145" s="174">
        <v>3.3000000000000003E-5</v>
      </c>
      <c r="X145" s="174">
        <v>3.3000000000000003E-5</v>
      </c>
      <c r="Y145" s="174">
        <v>3.3000000000000003E-5</v>
      </c>
      <c r="Z145" s="174">
        <v>3.3000000000000003E-5</v>
      </c>
      <c r="AA145" s="174">
        <v>3.3000000000000003E-5</v>
      </c>
      <c r="AB145" s="174">
        <v>3.3000000000000003E-5</v>
      </c>
      <c r="AC145" s="174">
        <v>3.3000000000000003E-5</v>
      </c>
      <c r="AD145" s="174">
        <v>3.3000000000000003E-5</v>
      </c>
      <c r="AE145" s="174">
        <v>3.3000000000000003E-5</v>
      </c>
      <c r="AF145" s="174">
        <v>3.3000000000000003E-5</v>
      </c>
      <c r="AG145" s="174">
        <v>3.3000000000000003E-5</v>
      </c>
      <c r="AH145" s="174">
        <v>3.3000000000000003E-5</v>
      </c>
      <c r="AI145" s="174">
        <v>3.3000000000000003E-5</v>
      </c>
      <c r="AJ145" s="174">
        <v>3.3000000000000003E-5</v>
      </c>
      <c r="AK145" s="174">
        <v>3.3000000000000003E-5</v>
      </c>
      <c r="AL145" s="174">
        <v>3.3000000000000003E-5</v>
      </c>
      <c r="AM145" s="174">
        <v>3.3000000000000003E-5</v>
      </c>
      <c r="AN145" s="174">
        <v>3.3000000000000003E-5</v>
      </c>
      <c r="AO145" s="174">
        <v>3.3000000000000003E-5</v>
      </c>
      <c r="AP145" s="174">
        <v>3.3000000000000003E-5</v>
      </c>
      <c r="AQ145" s="174">
        <v>3.3000000000000003E-5</v>
      </c>
      <c r="AR145" s="174">
        <v>3.3000000000000003E-5</v>
      </c>
      <c r="AS145" s="149">
        <f t="shared" ref="AS145:BV145" si="111">AR145</f>
        <v>3.3000000000000003E-5</v>
      </c>
      <c r="AT145" s="149">
        <f t="shared" si="111"/>
        <v>3.3000000000000003E-5</v>
      </c>
      <c r="AU145" s="149">
        <f t="shared" si="111"/>
        <v>3.3000000000000003E-5</v>
      </c>
      <c r="AV145" s="149">
        <f t="shared" si="111"/>
        <v>3.3000000000000003E-5</v>
      </c>
      <c r="AW145" s="149">
        <f t="shared" si="111"/>
        <v>3.3000000000000003E-5</v>
      </c>
      <c r="AX145" s="149">
        <f t="shared" si="111"/>
        <v>3.3000000000000003E-5</v>
      </c>
      <c r="AY145" s="149">
        <f t="shared" si="111"/>
        <v>3.3000000000000003E-5</v>
      </c>
      <c r="AZ145" s="149">
        <f t="shared" si="111"/>
        <v>3.3000000000000003E-5</v>
      </c>
      <c r="BA145" s="149">
        <f t="shared" si="111"/>
        <v>3.3000000000000003E-5</v>
      </c>
      <c r="BB145" s="149">
        <f t="shared" si="111"/>
        <v>3.3000000000000003E-5</v>
      </c>
      <c r="BC145" s="149">
        <f t="shared" si="111"/>
        <v>3.3000000000000003E-5</v>
      </c>
      <c r="BD145" s="149">
        <f t="shared" si="111"/>
        <v>3.3000000000000003E-5</v>
      </c>
      <c r="BE145" s="149">
        <f t="shared" si="111"/>
        <v>3.3000000000000003E-5</v>
      </c>
      <c r="BF145" s="149">
        <f t="shared" si="111"/>
        <v>3.3000000000000003E-5</v>
      </c>
      <c r="BG145" s="149">
        <f t="shared" si="111"/>
        <v>3.3000000000000003E-5</v>
      </c>
      <c r="BH145" s="149">
        <f t="shared" si="111"/>
        <v>3.3000000000000003E-5</v>
      </c>
      <c r="BI145" s="149">
        <f t="shared" si="111"/>
        <v>3.3000000000000003E-5</v>
      </c>
      <c r="BJ145" s="149">
        <f t="shared" si="111"/>
        <v>3.3000000000000003E-5</v>
      </c>
      <c r="BK145" s="149">
        <f t="shared" si="111"/>
        <v>3.3000000000000003E-5</v>
      </c>
      <c r="BL145" s="149">
        <f t="shared" si="111"/>
        <v>3.3000000000000003E-5</v>
      </c>
      <c r="BM145" s="149">
        <f t="shared" si="111"/>
        <v>3.3000000000000003E-5</v>
      </c>
      <c r="BN145" s="149">
        <f t="shared" si="111"/>
        <v>3.3000000000000003E-5</v>
      </c>
      <c r="BO145" s="149">
        <f t="shared" si="111"/>
        <v>3.3000000000000003E-5</v>
      </c>
      <c r="BP145" s="149">
        <f t="shared" si="111"/>
        <v>3.3000000000000003E-5</v>
      </c>
      <c r="BQ145" s="149">
        <f t="shared" si="111"/>
        <v>3.3000000000000003E-5</v>
      </c>
      <c r="BR145" s="149">
        <f t="shared" si="111"/>
        <v>3.3000000000000003E-5</v>
      </c>
      <c r="BS145" s="149">
        <f t="shared" si="111"/>
        <v>3.3000000000000003E-5</v>
      </c>
      <c r="BT145" s="149">
        <f t="shared" si="111"/>
        <v>3.3000000000000003E-5</v>
      </c>
      <c r="BU145" s="149">
        <f t="shared" si="111"/>
        <v>3.3000000000000003E-5</v>
      </c>
      <c r="BV145" s="149">
        <f t="shared" si="111"/>
        <v>3.3000000000000003E-5</v>
      </c>
    </row>
    <row r="146" spans="1:74" x14ac:dyDescent="0.25">
      <c r="A146" s="141" t="s">
        <v>188</v>
      </c>
      <c r="B146" s="142" t="s">
        <v>185</v>
      </c>
      <c r="C146" s="151" t="s">
        <v>234</v>
      </c>
      <c r="D146" s="171">
        <v>2.0511965313099309E-5</v>
      </c>
      <c r="E146" s="171">
        <v>2.0678729258734262E-5</v>
      </c>
      <c r="F146" s="171">
        <v>2.0845493204369216E-5</v>
      </c>
      <c r="G146" s="171">
        <v>2.1012257150004169E-5</v>
      </c>
      <c r="H146" s="171">
        <v>2.1262403068456599E-5</v>
      </c>
      <c r="I146" s="171">
        <v>2.1262403068456599E-5</v>
      </c>
      <c r="J146" s="171">
        <v>2.1179021095639119E-5</v>
      </c>
      <c r="K146" s="171">
        <v>2.1512548986909033E-5</v>
      </c>
      <c r="L146" s="171">
        <v>2.2513132660718751E-5</v>
      </c>
      <c r="M146" s="171">
        <v>2.2596514633536231E-5</v>
      </c>
      <c r="N146" s="171">
        <v>2.3013424497623618E-5</v>
      </c>
      <c r="O146" s="171">
        <v>2.2930042524806138E-5</v>
      </c>
      <c r="P146" s="174">
        <v>2.2930042524806138E-5</v>
      </c>
      <c r="Q146" s="174">
        <v>2.2930042524806138E-5</v>
      </c>
      <c r="R146" s="174">
        <v>2.2930042524806138E-5</v>
      </c>
      <c r="S146" s="174">
        <v>2.2930042524806138E-5</v>
      </c>
      <c r="T146" s="174">
        <v>2.2930042524806138E-5</v>
      </c>
      <c r="U146" s="174">
        <v>2.2930042524806138E-5</v>
      </c>
      <c r="V146" s="174">
        <v>2.2930042524806138E-5</v>
      </c>
      <c r="W146" s="174">
        <v>2.2930042524806138E-5</v>
      </c>
      <c r="X146" s="174">
        <v>2.2930042524806138E-5</v>
      </c>
      <c r="Y146" s="174">
        <v>2.2930042524806138E-5</v>
      </c>
      <c r="Z146" s="174">
        <v>2.2930042524806138E-5</v>
      </c>
      <c r="AA146" s="174">
        <v>2.2930042524806138E-5</v>
      </c>
      <c r="AB146" s="174">
        <v>2.2930042524806138E-5</v>
      </c>
      <c r="AC146" s="174">
        <v>2.2930042524806138E-5</v>
      </c>
      <c r="AD146" s="174">
        <v>2.2930042524806138E-5</v>
      </c>
      <c r="AE146" s="174">
        <v>2.2930042524806138E-5</v>
      </c>
      <c r="AF146" s="174">
        <v>2.2930042524806138E-5</v>
      </c>
      <c r="AG146" s="174">
        <v>2.2930042524806138E-5</v>
      </c>
      <c r="AH146" s="174">
        <v>2.2930042524806138E-5</v>
      </c>
      <c r="AI146" s="174">
        <v>2.2930042524806138E-5</v>
      </c>
      <c r="AJ146" s="174">
        <v>2.2930042524806138E-5</v>
      </c>
      <c r="AK146" s="174">
        <v>2.2930042524806138E-5</v>
      </c>
      <c r="AL146" s="174">
        <v>2.2930042524806138E-5</v>
      </c>
      <c r="AM146" s="174">
        <v>2.2930042524806138E-5</v>
      </c>
      <c r="AN146" s="174">
        <v>2.2930042524806138E-5</v>
      </c>
      <c r="AO146" s="174">
        <v>2.2930042524806138E-5</v>
      </c>
      <c r="AP146" s="174">
        <v>2.2930042524806138E-5</v>
      </c>
      <c r="AQ146" s="174">
        <v>2.2930042524806138E-5</v>
      </c>
      <c r="AR146" s="174">
        <v>2.2930042524806138E-5</v>
      </c>
      <c r="AS146" s="149">
        <f t="shared" ref="AS146:BV146" si="112">AR146</f>
        <v>2.2930042524806138E-5</v>
      </c>
      <c r="AT146" s="149">
        <f t="shared" si="112"/>
        <v>2.2930042524806138E-5</v>
      </c>
      <c r="AU146" s="149">
        <f t="shared" si="112"/>
        <v>2.2930042524806138E-5</v>
      </c>
      <c r="AV146" s="149">
        <f t="shared" si="112"/>
        <v>2.2930042524806138E-5</v>
      </c>
      <c r="AW146" s="149">
        <f t="shared" si="112"/>
        <v>2.2930042524806138E-5</v>
      </c>
      <c r="AX146" s="149">
        <f t="shared" si="112"/>
        <v>2.2930042524806138E-5</v>
      </c>
      <c r="AY146" s="149">
        <f t="shared" si="112"/>
        <v>2.2930042524806138E-5</v>
      </c>
      <c r="AZ146" s="149">
        <f t="shared" si="112"/>
        <v>2.2930042524806138E-5</v>
      </c>
      <c r="BA146" s="149">
        <f t="shared" si="112"/>
        <v>2.2930042524806138E-5</v>
      </c>
      <c r="BB146" s="149">
        <f t="shared" si="112"/>
        <v>2.2930042524806138E-5</v>
      </c>
      <c r="BC146" s="149">
        <f t="shared" si="112"/>
        <v>2.2930042524806138E-5</v>
      </c>
      <c r="BD146" s="149">
        <f t="shared" si="112"/>
        <v>2.2930042524806138E-5</v>
      </c>
      <c r="BE146" s="149">
        <f t="shared" si="112"/>
        <v>2.2930042524806138E-5</v>
      </c>
      <c r="BF146" s="149">
        <f t="shared" si="112"/>
        <v>2.2930042524806138E-5</v>
      </c>
      <c r="BG146" s="149">
        <f t="shared" si="112"/>
        <v>2.2930042524806138E-5</v>
      </c>
      <c r="BH146" s="149">
        <f t="shared" si="112"/>
        <v>2.2930042524806138E-5</v>
      </c>
      <c r="BI146" s="149">
        <f t="shared" si="112"/>
        <v>2.2930042524806138E-5</v>
      </c>
      <c r="BJ146" s="149">
        <f t="shared" si="112"/>
        <v>2.2930042524806138E-5</v>
      </c>
      <c r="BK146" s="149">
        <f t="shared" si="112"/>
        <v>2.2930042524806138E-5</v>
      </c>
      <c r="BL146" s="149">
        <f t="shared" si="112"/>
        <v>2.2930042524806138E-5</v>
      </c>
      <c r="BM146" s="149">
        <f t="shared" si="112"/>
        <v>2.2930042524806138E-5</v>
      </c>
      <c r="BN146" s="149">
        <f t="shared" si="112"/>
        <v>2.2930042524806138E-5</v>
      </c>
      <c r="BO146" s="149">
        <f t="shared" si="112"/>
        <v>2.2930042524806138E-5</v>
      </c>
      <c r="BP146" s="149">
        <f t="shared" si="112"/>
        <v>2.2930042524806138E-5</v>
      </c>
      <c r="BQ146" s="149">
        <f t="shared" si="112"/>
        <v>2.2930042524806138E-5</v>
      </c>
      <c r="BR146" s="149">
        <f t="shared" si="112"/>
        <v>2.2930042524806138E-5</v>
      </c>
      <c r="BS146" s="149">
        <f t="shared" si="112"/>
        <v>2.2930042524806138E-5</v>
      </c>
      <c r="BT146" s="149">
        <f t="shared" si="112"/>
        <v>2.2930042524806138E-5</v>
      </c>
      <c r="BU146" s="149">
        <f t="shared" si="112"/>
        <v>2.2930042524806138E-5</v>
      </c>
      <c r="BV146" s="149">
        <f t="shared" si="112"/>
        <v>2.2930042524806138E-5</v>
      </c>
    </row>
    <row r="147" spans="1:74" x14ac:dyDescent="0.25">
      <c r="A147" s="147" t="s">
        <v>200</v>
      </c>
      <c r="B147" s="151" t="s">
        <v>179</v>
      </c>
      <c r="C147" s="151" t="s">
        <v>212</v>
      </c>
      <c r="D147" s="171">
        <v>1.08E-4</v>
      </c>
      <c r="E147" s="174">
        <v>1.08E-4</v>
      </c>
      <c r="F147" s="174">
        <v>1.08E-4</v>
      </c>
      <c r="G147" s="174">
        <v>1.08E-4</v>
      </c>
      <c r="H147" s="174">
        <v>1.08E-4</v>
      </c>
      <c r="I147" s="174">
        <v>1.08E-4</v>
      </c>
      <c r="J147" s="174">
        <v>1.08E-4</v>
      </c>
      <c r="K147" s="174">
        <v>1.08E-4</v>
      </c>
      <c r="L147" s="174">
        <v>1.08E-4</v>
      </c>
      <c r="M147" s="174">
        <v>1.08E-4</v>
      </c>
      <c r="N147" s="174">
        <v>1.08E-4</v>
      </c>
      <c r="O147" s="174">
        <v>1.08E-4</v>
      </c>
      <c r="P147" s="174">
        <v>1.08E-4</v>
      </c>
      <c r="Q147" s="174">
        <v>1.08E-4</v>
      </c>
      <c r="R147" s="174">
        <v>1.08E-4</v>
      </c>
      <c r="S147" s="174">
        <v>1.08E-4</v>
      </c>
      <c r="T147" s="174">
        <v>1.08E-4</v>
      </c>
      <c r="U147" s="174">
        <v>1.08E-4</v>
      </c>
      <c r="V147" s="174">
        <v>1.08E-4</v>
      </c>
      <c r="W147" s="174">
        <v>1.08E-4</v>
      </c>
      <c r="X147" s="174">
        <v>1.08E-4</v>
      </c>
      <c r="Y147" s="174">
        <v>1.08E-4</v>
      </c>
      <c r="Z147" s="174">
        <v>1.08E-4</v>
      </c>
      <c r="AA147" s="174">
        <v>1.08E-4</v>
      </c>
      <c r="AB147" s="174">
        <v>1.08E-4</v>
      </c>
      <c r="AC147" s="174">
        <v>1.08E-4</v>
      </c>
      <c r="AD147" s="174">
        <v>1.08E-4</v>
      </c>
      <c r="AE147" s="174">
        <v>1.08E-4</v>
      </c>
      <c r="AF147" s="174">
        <v>1.08E-4</v>
      </c>
      <c r="AG147" s="174">
        <v>1.08E-4</v>
      </c>
      <c r="AH147" s="174">
        <v>1.08E-4</v>
      </c>
      <c r="AI147" s="174">
        <v>1.08E-4</v>
      </c>
      <c r="AJ147" s="174">
        <v>1.08E-4</v>
      </c>
      <c r="AK147" s="174">
        <v>1.08E-4</v>
      </c>
      <c r="AL147" s="174">
        <v>1.08E-4</v>
      </c>
      <c r="AM147" s="174">
        <v>1.08E-4</v>
      </c>
      <c r="AN147" s="174">
        <v>1.08E-4</v>
      </c>
      <c r="AO147" s="174">
        <v>1.08E-4</v>
      </c>
      <c r="AP147" s="174">
        <v>1.08E-4</v>
      </c>
      <c r="AQ147" s="174">
        <v>1.08E-4</v>
      </c>
      <c r="AR147" s="174">
        <v>1.08E-4</v>
      </c>
      <c r="AS147" s="149">
        <f t="shared" ref="AS147:BV147" si="113">AR147</f>
        <v>1.08E-4</v>
      </c>
      <c r="AT147" s="149">
        <f t="shared" si="113"/>
        <v>1.08E-4</v>
      </c>
      <c r="AU147" s="149">
        <f t="shared" si="113"/>
        <v>1.08E-4</v>
      </c>
      <c r="AV147" s="149">
        <f t="shared" si="113"/>
        <v>1.08E-4</v>
      </c>
      <c r="AW147" s="149">
        <f t="shared" si="113"/>
        <v>1.08E-4</v>
      </c>
      <c r="AX147" s="149">
        <f t="shared" si="113"/>
        <v>1.08E-4</v>
      </c>
      <c r="AY147" s="149">
        <f t="shared" si="113"/>
        <v>1.08E-4</v>
      </c>
      <c r="AZ147" s="149">
        <f t="shared" si="113"/>
        <v>1.08E-4</v>
      </c>
      <c r="BA147" s="149">
        <f t="shared" si="113"/>
        <v>1.08E-4</v>
      </c>
      <c r="BB147" s="149">
        <f t="shared" si="113"/>
        <v>1.08E-4</v>
      </c>
      <c r="BC147" s="149">
        <f t="shared" si="113"/>
        <v>1.08E-4</v>
      </c>
      <c r="BD147" s="149">
        <f t="shared" si="113"/>
        <v>1.08E-4</v>
      </c>
      <c r="BE147" s="149">
        <f t="shared" si="113"/>
        <v>1.08E-4</v>
      </c>
      <c r="BF147" s="149">
        <f t="shared" si="113"/>
        <v>1.08E-4</v>
      </c>
      <c r="BG147" s="149">
        <f t="shared" si="113"/>
        <v>1.08E-4</v>
      </c>
      <c r="BH147" s="149">
        <f t="shared" si="113"/>
        <v>1.08E-4</v>
      </c>
      <c r="BI147" s="149">
        <f t="shared" si="113"/>
        <v>1.08E-4</v>
      </c>
      <c r="BJ147" s="149">
        <f t="shared" si="113"/>
        <v>1.08E-4</v>
      </c>
      <c r="BK147" s="149">
        <f t="shared" si="113"/>
        <v>1.08E-4</v>
      </c>
      <c r="BL147" s="149">
        <f t="shared" si="113"/>
        <v>1.08E-4</v>
      </c>
      <c r="BM147" s="149">
        <f t="shared" si="113"/>
        <v>1.08E-4</v>
      </c>
      <c r="BN147" s="149">
        <f t="shared" si="113"/>
        <v>1.08E-4</v>
      </c>
      <c r="BO147" s="149">
        <f t="shared" si="113"/>
        <v>1.08E-4</v>
      </c>
      <c r="BP147" s="149">
        <f t="shared" si="113"/>
        <v>1.08E-4</v>
      </c>
      <c r="BQ147" s="149">
        <f t="shared" si="113"/>
        <v>1.08E-4</v>
      </c>
      <c r="BR147" s="149">
        <f t="shared" si="113"/>
        <v>1.08E-4</v>
      </c>
      <c r="BS147" s="149">
        <f t="shared" si="113"/>
        <v>1.08E-4</v>
      </c>
      <c r="BT147" s="149">
        <f t="shared" si="113"/>
        <v>1.08E-4</v>
      </c>
      <c r="BU147" s="149">
        <f t="shared" si="113"/>
        <v>1.08E-4</v>
      </c>
      <c r="BV147" s="149">
        <f t="shared" si="113"/>
        <v>1.08E-4</v>
      </c>
    </row>
    <row r="148" spans="1:74" x14ac:dyDescent="0.25">
      <c r="A148" s="141" t="s">
        <v>194</v>
      </c>
      <c r="B148" s="148" t="s">
        <v>190</v>
      </c>
      <c r="C148" s="176" t="s">
        <v>204</v>
      </c>
      <c r="D148" s="173">
        <v>2E-8</v>
      </c>
      <c r="E148" s="173">
        <v>2E-8</v>
      </c>
      <c r="F148" s="173">
        <v>2E-8</v>
      </c>
      <c r="G148" s="173">
        <v>2E-8</v>
      </c>
      <c r="H148" s="173">
        <v>2E-8</v>
      </c>
      <c r="I148" s="173">
        <v>2E-8</v>
      </c>
      <c r="J148" s="173">
        <v>2E-8</v>
      </c>
      <c r="K148" s="173">
        <v>2E-8</v>
      </c>
      <c r="L148" s="173">
        <v>2E-8</v>
      </c>
      <c r="M148" s="173">
        <v>2E-8</v>
      </c>
      <c r="N148" s="173">
        <v>2E-8</v>
      </c>
      <c r="O148" s="173">
        <v>2E-8</v>
      </c>
      <c r="P148" s="173">
        <v>2E-8</v>
      </c>
      <c r="Q148" s="173">
        <v>2E-8</v>
      </c>
      <c r="R148" s="173">
        <v>2E-8</v>
      </c>
      <c r="S148" s="173">
        <v>2E-8</v>
      </c>
      <c r="T148" s="173">
        <v>2E-8</v>
      </c>
      <c r="U148" s="173">
        <v>2E-8</v>
      </c>
      <c r="V148" s="173">
        <v>2E-8</v>
      </c>
      <c r="W148" s="173">
        <v>2E-8</v>
      </c>
      <c r="X148" s="173">
        <v>2E-8</v>
      </c>
      <c r="Y148" s="173">
        <v>2E-8</v>
      </c>
      <c r="Z148" s="173">
        <v>2E-8</v>
      </c>
      <c r="AA148" s="173">
        <v>2E-8</v>
      </c>
      <c r="AB148" s="173">
        <v>2E-8</v>
      </c>
      <c r="AC148" s="173">
        <v>2E-8</v>
      </c>
      <c r="AD148" s="173">
        <v>2E-8</v>
      </c>
      <c r="AE148" s="173">
        <v>2E-8</v>
      </c>
      <c r="AF148" s="173">
        <v>2E-8</v>
      </c>
      <c r="AG148" s="173">
        <v>2E-8</v>
      </c>
      <c r="AH148" s="173">
        <v>2E-8</v>
      </c>
      <c r="AI148" s="173">
        <v>2E-8</v>
      </c>
      <c r="AJ148" s="173">
        <v>2E-8</v>
      </c>
      <c r="AK148" s="173">
        <v>2E-8</v>
      </c>
      <c r="AL148" s="173">
        <v>2E-8</v>
      </c>
      <c r="AM148" s="173">
        <v>2E-8</v>
      </c>
      <c r="AN148" s="173">
        <v>2E-8</v>
      </c>
      <c r="AO148" s="173">
        <v>2E-8</v>
      </c>
      <c r="AP148" s="173">
        <v>2E-8</v>
      </c>
      <c r="AQ148" s="173">
        <v>2E-8</v>
      </c>
      <c r="AR148" s="173">
        <v>2E-8</v>
      </c>
      <c r="AS148" s="149">
        <f t="shared" ref="AS148:BV148" si="114">AR148</f>
        <v>2E-8</v>
      </c>
      <c r="AT148" s="149">
        <f t="shared" si="114"/>
        <v>2E-8</v>
      </c>
      <c r="AU148" s="149">
        <f t="shared" si="114"/>
        <v>2E-8</v>
      </c>
      <c r="AV148" s="149">
        <f t="shared" si="114"/>
        <v>2E-8</v>
      </c>
      <c r="AW148" s="149">
        <f t="shared" si="114"/>
        <v>2E-8</v>
      </c>
      <c r="AX148" s="149">
        <f t="shared" si="114"/>
        <v>2E-8</v>
      </c>
      <c r="AY148" s="149">
        <f t="shared" si="114"/>
        <v>2E-8</v>
      </c>
      <c r="AZ148" s="149">
        <f t="shared" si="114"/>
        <v>2E-8</v>
      </c>
      <c r="BA148" s="149">
        <f t="shared" si="114"/>
        <v>2E-8</v>
      </c>
      <c r="BB148" s="149">
        <f t="shared" si="114"/>
        <v>2E-8</v>
      </c>
      <c r="BC148" s="149">
        <f t="shared" si="114"/>
        <v>2E-8</v>
      </c>
      <c r="BD148" s="149">
        <f t="shared" si="114"/>
        <v>2E-8</v>
      </c>
      <c r="BE148" s="149">
        <f t="shared" si="114"/>
        <v>2E-8</v>
      </c>
      <c r="BF148" s="149">
        <f t="shared" si="114"/>
        <v>2E-8</v>
      </c>
      <c r="BG148" s="149">
        <f t="shared" si="114"/>
        <v>2E-8</v>
      </c>
      <c r="BH148" s="149">
        <f t="shared" si="114"/>
        <v>2E-8</v>
      </c>
      <c r="BI148" s="149">
        <f t="shared" si="114"/>
        <v>2E-8</v>
      </c>
      <c r="BJ148" s="149">
        <f t="shared" si="114"/>
        <v>2E-8</v>
      </c>
      <c r="BK148" s="149">
        <f t="shared" si="114"/>
        <v>2E-8</v>
      </c>
      <c r="BL148" s="149">
        <f t="shared" si="114"/>
        <v>2E-8</v>
      </c>
      <c r="BM148" s="149">
        <f t="shared" si="114"/>
        <v>2E-8</v>
      </c>
      <c r="BN148" s="149">
        <f t="shared" si="114"/>
        <v>2E-8</v>
      </c>
      <c r="BO148" s="149">
        <f t="shared" si="114"/>
        <v>2E-8</v>
      </c>
      <c r="BP148" s="149">
        <f t="shared" si="114"/>
        <v>2E-8</v>
      </c>
      <c r="BQ148" s="149">
        <f t="shared" si="114"/>
        <v>2E-8</v>
      </c>
      <c r="BR148" s="149">
        <f t="shared" si="114"/>
        <v>2E-8</v>
      </c>
      <c r="BS148" s="149">
        <f t="shared" si="114"/>
        <v>2E-8</v>
      </c>
      <c r="BT148" s="149">
        <f t="shared" si="114"/>
        <v>2E-8</v>
      </c>
      <c r="BU148" s="149">
        <f t="shared" si="114"/>
        <v>2E-8</v>
      </c>
      <c r="BV148" s="149">
        <f t="shared" si="114"/>
        <v>2E-8</v>
      </c>
    </row>
    <row r="149" spans="1:74" x14ac:dyDescent="0.25">
      <c r="A149" s="147" t="s">
        <v>201</v>
      </c>
      <c r="B149" s="151" t="s">
        <v>185</v>
      </c>
      <c r="C149" s="151" t="s">
        <v>217</v>
      </c>
      <c r="D149" s="171">
        <v>2.6743075453677172E-5</v>
      </c>
      <c r="E149" s="174">
        <v>2.6743075453677172E-5</v>
      </c>
      <c r="F149" s="174">
        <v>2.6743075453677172E-5</v>
      </c>
      <c r="G149" s="174">
        <v>2.6743075453677172E-5</v>
      </c>
      <c r="H149" s="174">
        <v>2.6743075453677172E-5</v>
      </c>
      <c r="I149" s="174">
        <v>2.6743075453677172E-5</v>
      </c>
      <c r="J149" s="174">
        <v>2.6743075453677172E-5</v>
      </c>
      <c r="K149" s="174">
        <v>2.6743075453677172E-5</v>
      </c>
      <c r="L149" s="174">
        <v>2.6743075453677172E-5</v>
      </c>
      <c r="M149" s="174">
        <v>2.6743075453677172E-5</v>
      </c>
      <c r="N149" s="174">
        <v>2.6743075453677172E-5</v>
      </c>
      <c r="O149" s="174">
        <v>2.6743075453677172E-5</v>
      </c>
      <c r="P149" s="174">
        <v>2.6743075453677172E-5</v>
      </c>
      <c r="Q149" s="174">
        <v>2.6743075453677172E-5</v>
      </c>
      <c r="R149" s="174">
        <v>2.6743075453677172E-5</v>
      </c>
      <c r="S149" s="174">
        <v>2.6743075453677172E-5</v>
      </c>
      <c r="T149" s="174">
        <v>2.6743075453677172E-5</v>
      </c>
      <c r="U149" s="174">
        <v>2.6743075453677172E-5</v>
      </c>
      <c r="V149" s="174">
        <v>2.6743075453677172E-5</v>
      </c>
      <c r="W149" s="174">
        <v>2.6743075453677172E-5</v>
      </c>
      <c r="X149" s="174">
        <v>2.6743075453677172E-5</v>
      </c>
      <c r="Y149" s="174">
        <v>2.6743075453677172E-5</v>
      </c>
      <c r="Z149" s="174">
        <v>2.6743075453677172E-5</v>
      </c>
      <c r="AA149" s="174">
        <v>2.6743075453677172E-5</v>
      </c>
      <c r="AB149" s="174">
        <v>2.6743075453677172E-5</v>
      </c>
      <c r="AC149" s="174">
        <v>2.6743075453677172E-5</v>
      </c>
      <c r="AD149" s="174">
        <v>2.6743075453677172E-5</v>
      </c>
      <c r="AE149" s="174">
        <v>2.6743075453677172E-5</v>
      </c>
      <c r="AF149" s="174">
        <v>2.6743075453677172E-5</v>
      </c>
      <c r="AG149" s="174">
        <v>2.6743075453677172E-5</v>
      </c>
      <c r="AH149" s="174">
        <v>2.6743075453677172E-5</v>
      </c>
      <c r="AI149" s="174">
        <v>2.6743075453677172E-5</v>
      </c>
      <c r="AJ149" s="174">
        <v>2.6743075453677172E-5</v>
      </c>
      <c r="AK149" s="174">
        <v>2.6743075453677172E-5</v>
      </c>
      <c r="AL149" s="174">
        <v>2.6743075453677172E-5</v>
      </c>
      <c r="AM149" s="174">
        <v>2.6743075453677172E-5</v>
      </c>
      <c r="AN149" s="174">
        <v>2.6743075453677172E-5</v>
      </c>
      <c r="AO149" s="174">
        <v>2.6743075453677172E-5</v>
      </c>
      <c r="AP149" s="174">
        <v>2.6743075453677172E-5</v>
      </c>
      <c r="AQ149" s="174">
        <v>2.6743075453677172E-5</v>
      </c>
      <c r="AR149" s="174">
        <v>2.6743075453677172E-5</v>
      </c>
      <c r="AS149" s="149">
        <f t="shared" ref="AS149:BV149" si="115">AR149</f>
        <v>2.6743075453677172E-5</v>
      </c>
      <c r="AT149" s="149">
        <f t="shared" si="115"/>
        <v>2.6743075453677172E-5</v>
      </c>
      <c r="AU149" s="149">
        <f t="shared" si="115"/>
        <v>2.6743075453677172E-5</v>
      </c>
      <c r="AV149" s="149">
        <f t="shared" si="115"/>
        <v>2.6743075453677172E-5</v>
      </c>
      <c r="AW149" s="149">
        <f t="shared" si="115"/>
        <v>2.6743075453677172E-5</v>
      </c>
      <c r="AX149" s="149">
        <f t="shared" si="115"/>
        <v>2.6743075453677172E-5</v>
      </c>
      <c r="AY149" s="149">
        <f t="shared" si="115"/>
        <v>2.6743075453677172E-5</v>
      </c>
      <c r="AZ149" s="149">
        <f t="shared" si="115"/>
        <v>2.6743075453677172E-5</v>
      </c>
      <c r="BA149" s="149">
        <f t="shared" si="115"/>
        <v>2.6743075453677172E-5</v>
      </c>
      <c r="BB149" s="149">
        <f t="shared" si="115"/>
        <v>2.6743075453677172E-5</v>
      </c>
      <c r="BC149" s="149">
        <f t="shared" si="115"/>
        <v>2.6743075453677172E-5</v>
      </c>
      <c r="BD149" s="149">
        <f t="shared" si="115"/>
        <v>2.6743075453677172E-5</v>
      </c>
      <c r="BE149" s="149">
        <f t="shared" si="115"/>
        <v>2.6743075453677172E-5</v>
      </c>
      <c r="BF149" s="149">
        <f t="shared" si="115"/>
        <v>2.6743075453677172E-5</v>
      </c>
      <c r="BG149" s="149">
        <f t="shared" si="115"/>
        <v>2.6743075453677172E-5</v>
      </c>
      <c r="BH149" s="149">
        <f t="shared" si="115"/>
        <v>2.6743075453677172E-5</v>
      </c>
      <c r="BI149" s="149">
        <f t="shared" si="115"/>
        <v>2.6743075453677172E-5</v>
      </c>
      <c r="BJ149" s="149">
        <f t="shared" si="115"/>
        <v>2.6743075453677172E-5</v>
      </c>
      <c r="BK149" s="149">
        <f t="shared" si="115"/>
        <v>2.6743075453677172E-5</v>
      </c>
      <c r="BL149" s="149">
        <f t="shared" si="115"/>
        <v>2.6743075453677172E-5</v>
      </c>
      <c r="BM149" s="149">
        <f t="shared" si="115"/>
        <v>2.6743075453677172E-5</v>
      </c>
      <c r="BN149" s="149">
        <f t="shared" si="115"/>
        <v>2.6743075453677172E-5</v>
      </c>
      <c r="BO149" s="149">
        <f t="shared" si="115"/>
        <v>2.6743075453677172E-5</v>
      </c>
      <c r="BP149" s="149">
        <f t="shared" si="115"/>
        <v>2.6743075453677172E-5</v>
      </c>
      <c r="BQ149" s="149">
        <f t="shared" si="115"/>
        <v>2.6743075453677172E-5</v>
      </c>
      <c r="BR149" s="149">
        <f t="shared" si="115"/>
        <v>2.6743075453677172E-5</v>
      </c>
      <c r="BS149" s="149">
        <f t="shared" si="115"/>
        <v>2.6743075453677172E-5</v>
      </c>
      <c r="BT149" s="149">
        <f t="shared" si="115"/>
        <v>2.6743075453677172E-5</v>
      </c>
      <c r="BU149" s="149">
        <f t="shared" si="115"/>
        <v>2.6743075453677172E-5</v>
      </c>
      <c r="BV149" s="149">
        <f t="shared" si="115"/>
        <v>2.6743075453677172E-5</v>
      </c>
    </row>
    <row r="150" spans="1:74" x14ac:dyDescent="0.25">
      <c r="A150" s="147" t="s">
        <v>202</v>
      </c>
      <c r="B150" s="151" t="s">
        <v>34</v>
      </c>
      <c r="D150" s="174"/>
      <c r="E150" s="174"/>
      <c r="F150" s="174"/>
      <c r="G150" s="174"/>
      <c r="H150" s="174"/>
      <c r="I150" s="174"/>
      <c r="J150" s="174"/>
      <c r="K150" s="174"/>
      <c r="L150" s="174"/>
      <c r="M150" s="174"/>
      <c r="N150" s="174"/>
      <c r="O150" s="174"/>
      <c r="P150" s="174"/>
      <c r="Q150" s="174"/>
      <c r="R150" s="174"/>
      <c r="S150" s="174"/>
      <c r="T150" s="174"/>
      <c r="U150" s="174"/>
      <c r="V150" s="174"/>
      <c r="W150" s="174"/>
      <c r="X150" s="174"/>
      <c r="Y150" s="174"/>
      <c r="Z150" s="174"/>
      <c r="AA150" s="174"/>
      <c r="AB150" s="174"/>
      <c r="AC150" s="174"/>
      <c r="AD150" s="174"/>
      <c r="AE150" s="174"/>
      <c r="AF150" s="174"/>
      <c r="AG150" s="174"/>
      <c r="AH150" s="174"/>
      <c r="AI150" s="174"/>
      <c r="AJ150" s="174"/>
      <c r="AK150" s="174"/>
      <c r="AL150" s="174"/>
      <c r="AM150" s="174"/>
      <c r="AN150" s="174"/>
      <c r="AO150" s="174"/>
      <c r="AP150" s="174"/>
      <c r="AQ150" s="174"/>
      <c r="AR150" s="174"/>
      <c r="AS150" s="149">
        <f t="shared" ref="AS150:BV150" si="116">AR150</f>
        <v>0</v>
      </c>
      <c r="AT150" s="149">
        <f t="shared" si="116"/>
        <v>0</v>
      </c>
      <c r="AU150" s="149">
        <f t="shared" si="116"/>
        <v>0</v>
      </c>
      <c r="AV150" s="149">
        <f t="shared" si="116"/>
        <v>0</v>
      </c>
      <c r="AW150" s="149">
        <f t="shared" si="116"/>
        <v>0</v>
      </c>
      <c r="AX150" s="149">
        <f t="shared" si="116"/>
        <v>0</v>
      </c>
      <c r="AY150" s="149">
        <f t="shared" si="116"/>
        <v>0</v>
      </c>
      <c r="AZ150" s="149">
        <f t="shared" si="116"/>
        <v>0</v>
      </c>
      <c r="BA150" s="149">
        <f t="shared" si="116"/>
        <v>0</v>
      </c>
      <c r="BB150" s="149">
        <f t="shared" si="116"/>
        <v>0</v>
      </c>
      <c r="BC150" s="149">
        <f t="shared" si="116"/>
        <v>0</v>
      </c>
      <c r="BD150" s="149">
        <f t="shared" si="116"/>
        <v>0</v>
      </c>
      <c r="BE150" s="149">
        <f t="shared" si="116"/>
        <v>0</v>
      </c>
      <c r="BF150" s="149">
        <f t="shared" si="116"/>
        <v>0</v>
      </c>
      <c r="BG150" s="149">
        <f t="shared" si="116"/>
        <v>0</v>
      </c>
      <c r="BH150" s="149">
        <f t="shared" si="116"/>
        <v>0</v>
      </c>
      <c r="BI150" s="149">
        <f t="shared" si="116"/>
        <v>0</v>
      </c>
      <c r="BJ150" s="149">
        <f t="shared" si="116"/>
        <v>0</v>
      </c>
      <c r="BK150" s="149">
        <f t="shared" si="116"/>
        <v>0</v>
      </c>
      <c r="BL150" s="149">
        <f t="shared" si="116"/>
        <v>0</v>
      </c>
      <c r="BM150" s="149">
        <f t="shared" si="116"/>
        <v>0</v>
      </c>
      <c r="BN150" s="149">
        <f t="shared" si="116"/>
        <v>0</v>
      </c>
      <c r="BO150" s="149">
        <f t="shared" si="116"/>
        <v>0</v>
      </c>
      <c r="BP150" s="149">
        <f t="shared" si="116"/>
        <v>0</v>
      </c>
      <c r="BQ150" s="149">
        <f t="shared" si="116"/>
        <v>0</v>
      </c>
      <c r="BR150" s="149">
        <f t="shared" si="116"/>
        <v>0</v>
      </c>
      <c r="BS150" s="149">
        <f t="shared" si="116"/>
        <v>0</v>
      </c>
      <c r="BT150" s="149">
        <f t="shared" si="116"/>
        <v>0</v>
      </c>
      <c r="BU150" s="149">
        <f t="shared" si="116"/>
        <v>0</v>
      </c>
      <c r="BV150" s="149">
        <f t="shared" si="116"/>
        <v>0</v>
      </c>
    </row>
    <row r="151" spans="1:74" x14ac:dyDescent="0.25">
      <c r="A151" s="147" t="s">
        <v>204</v>
      </c>
      <c r="B151" s="148" t="s">
        <v>190</v>
      </c>
      <c r="C151" s="151" t="s">
        <v>215</v>
      </c>
      <c r="D151" s="171">
        <v>2E-8</v>
      </c>
      <c r="E151" s="174">
        <v>2E-8</v>
      </c>
      <c r="F151" s="174">
        <v>2E-8</v>
      </c>
      <c r="G151" s="174">
        <v>2E-8</v>
      </c>
      <c r="H151" s="174">
        <v>2E-8</v>
      </c>
      <c r="I151" s="174">
        <v>2E-8</v>
      </c>
      <c r="J151" s="174">
        <v>2E-8</v>
      </c>
      <c r="K151" s="174">
        <v>2E-8</v>
      </c>
      <c r="L151" s="174">
        <v>2E-8</v>
      </c>
      <c r="M151" s="174">
        <v>2E-8</v>
      </c>
      <c r="N151" s="174">
        <v>2E-8</v>
      </c>
      <c r="O151" s="174">
        <v>2E-8</v>
      </c>
      <c r="P151" s="174">
        <v>2E-8</v>
      </c>
      <c r="Q151" s="174">
        <v>2E-8</v>
      </c>
      <c r="R151" s="174">
        <v>2E-8</v>
      </c>
      <c r="S151" s="174">
        <v>2E-8</v>
      </c>
      <c r="T151" s="174">
        <v>2E-8</v>
      </c>
      <c r="U151" s="174">
        <v>2E-8</v>
      </c>
      <c r="V151" s="174">
        <v>2E-8</v>
      </c>
      <c r="W151" s="174">
        <v>2E-8</v>
      </c>
      <c r="X151" s="174">
        <v>2E-8</v>
      </c>
      <c r="Y151" s="174">
        <v>2E-8</v>
      </c>
      <c r="Z151" s="174">
        <v>2E-8</v>
      </c>
      <c r="AA151" s="174">
        <v>2E-8</v>
      </c>
      <c r="AB151" s="174">
        <v>2E-8</v>
      </c>
      <c r="AC151" s="174">
        <v>2E-8</v>
      </c>
      <c r="AD151" s="174">
        <v>2E-8</v>
      </c>
      <c r="AE151" s="174">
        <v>2E-8</v>
      </c>
      <c r="AF151" s="174">
        <v>2E-8</v>
      </c>
      <c r="AG151" s="174">
        <v>2E-8</v>
      </c>
      <c r="AH151" s="174">
        <v>2E-8</v>
      </c>
      <c r="AI151" s="174">
        <v>2E-8</v>
      </c>
      <c r="AJ151" s="174">
        <v>2E-8</v>
      </c>
      <c r="AK151" s="174">
        <v>2E-8</v>
      </c>
      <c r="AL151" s="174">
        <v>2E-8</v>
      </c>
      <c r="AM151" s="174">
        <v>2E-8</v>
      </c>
      <c r="AN151" s="174">
        <v>2E-8</v>
      </c>
      <c r="AO151" s="174">
        <v>2E-8</v>
      </c>
      <c r="AP151" s="174">
        <v>2E-8</v>
      </c>
      <c r="AQ151" s="174">
        <v>2E-8</v>
      </c>
      <c r="AR151" s="174">
        <v>2E-8</v>
      </c>
      <c r="AS151" s="149">
        <f>AR151</f>
        <v>2E-8</v>
      </c>
      <c r="AT151" s="149">
        <f t="shared" ref="AT151:BV151" si="117">AS151</f>
        <v>2E-8</v>
      </c>
      <c r="AU151" s="149">
        <f t="shared" si="117"/>
        <v>2E-8</v>
      </c>
      <c r="AV151" s="149">
        <f t="shared" si="117"/>
        <v>2E-8</v>
      </c>
      <c r="AW151" s="149">
        <f t="shared" si="117"/>
        <v>2E-8</v>
      </c>
      <c r="AX151" s="149">
        <f t="shared" si="117"/>
        <v>2E-8</v>
      </c>
      <c r="AY151" s="149">
        <f t="shared" si="117"/>
        <v>2E-8</v>
      </c>
      <c r="AZ151" s="149">
        <f t="shared" si="117"/>
        <v>2E-8</v>
      </c>
      <c r="BA151" s="149">
        <f t="shared" si="117"/>
        <v>2E-8</v>
      </c>
      <c r="BB151" s="149">
        <f t="shared" si="117"/>
        <v>2E-8</v>
      </c>
      <c r="BC151" s="149">
        <f t="shared" si="117"/>
        <v>2E-8</v>
      </c>
      <c r="BD151" s="149">
        <f t="shared" si="117"/>
        <v>2E-8</v>
      </c>
      <c r="BE151" s="149">
        <f t="shared" si="117"/>
        <v>2E-8</v>
      </c>
      <c r="BF151" s="149">
        <f t="shared" si="117"/>
        <v>2E-8</v>
      </c>
      <c r="BG151" s="149">
        <f t="shared" si="117"/>
        <v>2E-8</v>
      </c>
      <c r="BH151" s="149">
        <f t="shared" si="117"/>
        <v>2E-8</v>
      </c>
      <c r="BI151" s="149">
        <f t="shared" si="117"/>
        <v>2E-8</v>
      </c>
      <c r="BJ151" s="149">
        <f t="shared" si="117"/>
        <v>2E-8</v>
      </c>
      <c r="BK151" s="149">
        <f t="shared" si="117"/>
        <v>2E-8</v>
      </c>
      <c r="BL151" s="149">
        <f t="shared" si="117"/>
        <v>2E-8</v>
      </c>
      <c r="BM151" s="149">
        <f t="shared" si="117"/>
        <v>2E-8</v>
      </c>
      <c r="BN151" s="149">
        <f t="shared" si="117"/>
        <v>2E-8</v>
      </c>
      <c r="BO151" s="149">
        <f t="shared" si="117"/>
        <v>2E-8</v>
      </c>
      <c r="BP151" s="149">
        <f t="shared" si="117"/>
        <v>2E-8</v>
      </c>
      <c r="BQ151" s="149">
        <f t="shared" si="117"/>
        <v>2E-8</v>
      </c>
      <c r="BR151" s="149">
        <f t="shared" si="117"/>
        <v>2E-8</v>
      </c>
      <c r="BS151" s="149">
        <f t="shared" si="117"/>
        <v>2E-8</v>
      </c>
      <c r="BT151" s="149">
        <f t="shared" si="117"/>
        <v>2E-8</v>
      </c>
      <c r="BU151" s="149">
        <f t="shared" si="117"/>
        <v>2E-8</v>
      </c>
      <c r="BV151" s="149">
        <f t="shared" si="117"/>
        <v>2E-8</v>
      </c>
    </row>
    <row r="152" spans="1:74" x14ac:dyDescent="0.25">
      <c r="A152" s="147" t="s">
        <v>205</v>
      </c>
      <c r="B152" s="148" t="s">
        <v>206</v>
      </c>
      <c r="D152" s="174"/>
      <c r="E152" s="174"/>
      <c r="F152" s="174"/>
      <c r="G152" s="174"/>
      <c r="H152" s="174"/>
      <c r="I152" s="174"/>
      <c r="J152" s="174"/>
      <c r="K152" s="174"/>
      <c r="L152" s="174"/>
      <c r="M152" s="174"/>
      <c r="N152" s="174"/>
      <c r="O152" s="174"/>
      <c r="P152" s="174"/>
      <c r="Q152" s="174"/>
      <c r="R152" s="174"/>
      <c r="S152" s="174"/>
      <c r="T152" s="174"/>
      <c r="U152" s="174"/>
      <c r="V152" s="174"/>
      <c r="W152" s="174"/>
      <c r="X152" s="174"/>
      <c r="Y152" s="174"/>
      <c r="Z152" s="174"/>
      <c r="AA152" s="174"/>
      <c r="AB152" s="174"/>
      <c r="AC152" s="174"/>
      <c r="AD152" s="174"/>
      <c r="AE152" s="174"/>
      <c r="AF152" s="174"/>
      <c r="AG152" s="174"/>
      <c r="AH152" s="174"/>
      <c r="AI152" s="174"/>
      <c r="AJ152" s="174"/>
      <c r="AK152" s="174"/>
      <c r="AL152" s="174"/>
      <c r="AM152" s="174"/>
      <c r="AN152" s="174"/>
      <c r="AO152" s="174"/>
      <c r="AP152" s="174"/>
      <c r="AQ152" s="174"/>
      <c r="AR152" s="174"/>
      <c r="AS152" s="149">
        <f t="shared" ref="AS152:BV152" si="118">AR152</f>
        <v>0</v>
      </c>
      <c r="AT152" s="149">
        <f t="shared" si="118"/>
        <v>0</v>
      </c>
      <c r="AU152" s="149">
        <f t="shared" si="118"/>
        <v>0</v>
      </c>
      <c r="AV152" s="149">
        <f t="shared" si="118"/>
        <v>0</v>
      </c>
      <c r="AW152" s="149">
        <f t="shared" si="118"/>
        <v>0</v>
      </c>
      <c r="AX152" s="149">
        <f t="shared" si="118"/>
        <v>0</v>
      </c>
      <c r="AY152" s="149">
        <f t="shared" si="118"/>
        <v>0</v>
      </c>
      <c r="AZ152" s="149">
        <f t="shared" si="118"/>
        <v>0</v>
      </c>
      <c r="BA152" s="149">
        <f t="shared" si="118"/>
        <v>0</v>
      </c>
      <c r="BB152" s="149">
        <f t="shared" si="118"/>
        <v>0</v>
      </c>
      <c r="BC152" s="149">
        <f t="shared" si="118"/>
        <v>0</v>
      </c>
      <c r="BD152" s="149">
        <f t="shared" si="118"/>
        <v>0</v>
      </c>
      <c r="BE152" s="149">
        <f t="shared" si="118"/>
        <v>0</v>
      </c>
      <c r="BF152" s="149">
        <f t="shared" si="118"/>
        <v>0</v>
      </c>
      <c r="BG152" s="149">
        <f t="shared" si="118"/>
        <v>0</v>
      </c>
      <c r="BH152" s="149">
        <f t="shared" si="118"/>
        <v>0</v>
      </c>
      <c r="BI152" s="149">
        <f t="shared" si="118"/>
        <v>0</v>
      </c>
      <c r="BJ152" s="149">
        <f t="shared" si="118"/>
        <v>0</v>
      </c>
      <c r="BK152" s="149">
        <f t="shared" si="118"/>
        <v>0</v>
      </c>
      <c r="BL152" s="149">
        <f t="shared" si="118"/>
        <v>0</v>
      </c>
      <c r="BM152" s="149">
        <f t="shared" si="118"/>
        <v>0</v>
      </c>
      <c r="BN152" s="149">
        <f t="shared" si="118"/>
        <v>0</v>
      </c>
      <c r="BO152" s="149">
        <f t="shared" si="118"/>
        <v>0</v>
      </c>
      <c r="BP152" s="149">
        <f t="shared" si="118"/>
        <v>0</v>
      </c>
      <c r="BQ152" s="149">
        <f t="shared" si="118"/>
        <v>0</v>
      </c>
      <c r="BR152" s="149">
        <f t="shared" si="118"/>
        <v>0</v>
      </c>
      <c r="BS152" s="149">
        <f t="shared" si="118"/>
        <v>0</v>
      </c>
      <c r="BT152" s="149">
        <f t="shared" si="118"/>
        <v>0</v>
      </c>
      <c r="BU152" s="149">
        <f t="shared" si="118"/>
        <v>0</v>
      </c>
      <c r="BV152" s="149">
        <f t="shared" si="118"/>
        <v>0</v>
      </c>
    </row>
    <row r="153" spans="1:74" x14ac:dyDescent="0.25">
      <c r="A153" s="147" t="s">
        <v>207</v>
      </c>
      <c r="B153" s="151" t="s">
        <v>34</v>
      </c>
      <c r="C153" s="151" t="s">
        <v>218</v>
      </c>
      <c r="D153" s="171">
        <v>3.9999999999999998E-6</v>
      </c>
      <c r="E153" s="174">
        <v>3.9999999999999998E-6</v>
      </c>
      <c r="F153" s="174">
        <v>3.9999999999999998E-6</v>
      </c>
      <c r="G153" s="174">
        <v>3.9999999999999998E-6</v>
      </c>
      <c r="H153" s="174">
        <v>3.9999999999999998E-6</v>
      </c>
      <c r="I153" s="174">
        <v>3.9999999999999998E-6</v>
      </c>
      <c r="J153" s="174">
        <v>3.9999999999999998E-6</v>
      </c>
      <c r="K153" s="174">
        <v>3.9999999999999998E-6</v>
      </c>
      <c r="L153" s="174">
        <v>3.9999999999999998E-6</v>
      </c>
      <c r="M153" s="174">
        <v>3.9999999999999998E-6</v>
      </c>
      <c r="N153" s="174">
        <v>3.9999999999999998E-6</v>
      </c>
      <c r="O153" s="174">
        <v>3.9999999999999998E-6</v>
      </c>
      <c r="P153" s="174">
        <v>3.9999999999999998E-6</v>
      </c>
      <c r="Q153" s="174">
        <v>3.9999999999999998E-6</v>
      </c>
      <c r="R153" s="174">
        <v>3.9999999999999998E-6</v>
      </c>
      <c r="S153" s="174">
        <v>3.9999999999999998E-6</v>
      </c>
      <c r="T153" s="174">
        <v>3.9999999999999998E-6</v>
      </c>
      <c r="U153" s="174">
        <v>3.9999999999999998E-6</v>
      </c>
      <c r="V153" s="174">
        <v>3.9999999999999998E-6</v>
      </c>
      <c r="W153" s="174">
        <v>3.9999999999999998E-6</v>
      </c>
      <c r="X153" s="174">
        <v>3.9999999999999998E-6</v>
      </c>
      <c r="Y153" s="174">
        <v>3.9999999999999998E-6</v>
      </c>
      <c r="Z153" s="174">
        <v>3.9999999999999998E-6</v>
      </c>
      <c r="AA153" s="174">
        <v>3.9999999999999998E-6</v>
      </c>
      <c r="AB153" s="174">
        <v>3.9999999999999998E-6</v>
      </c>
      <c r="AC153" s="174">
        <v>3.9999999999999998E-6</v>
      </c>
      <c r="AD153" s="174">
        <v>3.9999999999999998E-6</v>
      </c>
      <c r="AE153" s="174">
        <v>3.9999999999999998E-6</v>
      </c>
      <c r="AF153" s="174">
        <v>3.9999999999999998E-6</v>
      </c>
      <c r="AG153" s="174">
        <v>3.9999999999999998E-6</v>
      </c>
      <c r="AH153" s="174">
        <v>3.9999999999999998E-6</v>
      </c>
      <c r="AI153" s="174">
        <v>3.9999999999999998E-6</v>
      </c>
      <c r="AJ153" s="174">
        <v>3.9999999999999998E-6</v>
      </c>
      <c r="AK153" s="174">
        <v>3.9999999999999998E-6</v>
      </c>
      <c r="AL153" s="174">
        <v>3.9999999999999998E-6</v>
      </c>
      <c r="AM153" s="174">
        <v>3.9999999999999998E-6</v>
      </c>
      <c r="AN153" s="174">
        <v>3.9999999999999998E-6</v>
      </c>
      <c r="AO153" s="174">
        <v>3.9999999999999998E-6</v>
      </c>
      <c r="AP153" s="174">
        <v>3.9999999999999998E-6</v>
      </c>
      <c r="AQ153" s="174">
        <v>3.9999999999999998E-6</v>
      </c>
      <c r="AR153" s="174">
        <v>3.9999999999999998E-6</v>
      </c>
      <c r="AS153" s="149">
        <f>AR153</f>
        <v>3.9999999999999998E-6</v>
      </c>
      <c r="AT153" s="149">
        <f t="shared" ref="AT153:BV153" si="119">AS153</f>
        <v>3.9999999999999998E-6</v>
      </c>
      <c r="AU153" s="149">
        <f t="shared" si="119"/>
        <v>3.9999999999999998E-6</v>
      </c>
      <c r="AV153" s="149">
        <f t="shared" si="119"/>
        <v>3.9999999999999998E-6</v>
      </c>
      <c r="AW153" s="149">
        <f t="shared" si="119"/>
        <v>3.9999999999999998E-6</v>
      </c>
      <c r="AX153" s="149">
        <f t="shared" si="119"/>
        <v>3.9999999999999998E-6</v>
      </c>
      <c r="AY153" s="149">
        <f t="shared" si="119"/>
        <v>3.9999999999999998E-6</v>
      </c>
      <c r="AZ153" s="149">
        <f t="shared" si="119"/>
        <v>3.9999999999999998E-6</v>
      </c>
      <c r="BA153" s="149">
        <f t="shared" si="119"/>
        <v>3.9999999999999998E-6</v>
      </c>
      <c r="BB153" s="149">
        <f t="shared" si="119"/>
        <v>3.9999999999999998E-6</v>
      </c>
      <c r="BC153" s="149">
        <f t="shared" si="119"/>
        <v>3.9999999999999998E-6</v>
      </c>
      <c r="BD153" s="149">
        <f t="shared" si="119"/>
        <v>3.9999999999999998E-6</v>
      </c>
      <c r="BE153" s="149">
        <f t="shared" si="119"/>
        <v>3.9999999999999998E-6</v>
      </c>
      <c r="BF153" s="149">
        <f t="shared" si="119"/>
        <v>3.9999999999999998E-6</v>
      </c>
      <c r="BG153" s="149">
        <f t="shared" si="119"/>
        <v>3.9999999999999998E-6</v>
      </c>
      <c r="BH153" s="149">
        <f t="shared" si="119"/>
        <v>3.9999999999999998E-6</v>
      </c>
      <c r="BI153" s="149">
        <f t="shared" si="119"/>
        <v>3.9999999999999998E-6</v>
      </c>
      <c r="BJ153" s="149">
        <f t="shared" si="119"/>
        <v>3.9999999999999998E-6</v>
      </c>
      <c r="BK153" s="149">
        <f t="shared" si="119"/>
        <v>3.9999999999999998E-6</v>
      </c>
      <c r="BL153" s="149">
        <f t="shared" si="119"/>
        <v>3.9999999999999998E-6</v>
      </c>
      <c r="BM153" s="149">
        <f t="shared" si="119"/>
        <v>3.9999999999999998E-6</v>
      </c>
      <c r="BN153" s="149">
        <f t="shared" si="119"/>
        <v>3.9999999999999998E-6</v>
      </c>
      <c r="BO153" s="149">
        <f t="shared" si="119"/>
        <v>3.9999999999999998E-6</v>
      </c>
      <c r="BP153" s="149">
        <f t="shared" si="119"/>
        <v>3.9999999999999998E-6</v>
      </c>
      <c r="BQ153" s="149">
        <f t="shared" si="119"/>
        <v>3.9999999999999998E-6</v>
      </c>
      <c r="BR153" s="149">
        <f t="shared" si="119"/>
        <v>3.9999999999999998E-6</v>
      </c>
      <c r="BS153" s="149">
        <f t="shared" si="119"/>
        <v>3.9999999999999998E-6</v>
      </c>
      <c r="BT153" s="149">
        <f t="shared" si="119"/>
        <v>3.9999999999999998E-6</v>
      </c>
      <c r="BU153" s="149">
        <f t="shared" si="119"/>
        <v>3.9999999999999998E-6</v>
      </c>
      <c r="BV153" s="149">
        <f t="shared" si="119"/>
        <v>3.9999999999999998E-6</v>
      </c>
    </row>
    <row r="154" spans="1:74" x14ac:dyDescent="0.25">
      <c r="A154" s="147" t="s">
        <v>15</v>
      </c>
      <c r="B154" s="151" t="s">
        <v>185</v>
      </c>
      <c r="C154" s="151" t="s">
        <v>217</v>
      </c>
      <c r="D154" s="171">
        <v>1.0315186246418338E-4</v>
      </c>
      <c r="E154" s="174">
        <v>1.0315186246418338E-4</v>
      </c>
      <c r="F154" s="174">
        <v>1.0315186246418338E-4</v>
      </c>
      <c r="G154" s="174">
        <v>1.0315186246418338E-4</v>
      </c>
      <c r="H154" s="174">
        <v>1.0315186246418338E-4</v>
      </c>
      <c r="I154" s="174">
        <v>1.0315186246418338E-4</v>
      </c>
      <c r="J154" s="174">
        <v>1.0315186246418338E-4</v>
      </c>
      <c r="K154" s="174">
        <v>1.0315186246418338E-4</v>
      </c>
      <c r="L154" s="174">
        <v>1.0315186246418338E-4</v>
      </c>
      <c r="M154" s="174">
        <v>1.0315186246418338E-4</v>
      </c>
      <c r="N154" s="174">
        <v>1.0315186246418338E-4</v>
      </c>
      <c r="O154" s="174">
        <v>1.0315186246418338E-4</v>
      </c>
      <c r="P154" s="174">
        <v>1.0315186246418338E-4</v>
      </c>
      <c r="Q154" s="174">
        <v>1.0315186246418338E-4</v>
      </c>
      <c r="R154" s="174">
        <v>1.0315186246418338E-4</v>
      </c>
      <c r="S154" s="174">
        <v>1.0315186246418338E-4</v>
      </c>
      <c r="T154" s="174">
        <v>1.0315186246418338E-4</v>
      </c>
      <c r="U154" s="174">
        <v>1.0315186246418338E-4</v>
      </c>
      <c r="V154" s="174">
        <v>1.0315186246418338E-4</v>
      </c>
      <c r="W154" s="174">
        <v>1.0315186246418338E-4</v>
      </c>
      <c r="X154" s="174">
        <v>1.0315186246418338E-4</v>
      </c>
      <c r="Y154" s="174">
        <v>1.0315186246418338E-4</v>
      </c>
      <c r="Z154" s="174">
        <v>1.0315186246418338E-4</v>
      </c>
      <c r="AA154" s="174">
        <v>1.0315186246418338E-4</v>
      </c>
      <c r="AB154" s="174">
        <v>1.0315186246418338E-4</v>
      </c>
      <c r="AC154" s="174">
        <v>1.0315186246418338E-4</v>
      </c>
      <c r="AD154" s="174">
        <v>1.0315186246418338E-4</v>
      </c>
      <c r="AE154" s="174">
        <v>1.0315186246418338E-4</v>
      </c>
      <c r="AF154" s="174">
        <v>1.0315186246418338E-4</v>
      </c>
      <c r="AG154" s="174">
        <v>1.0315186246418338E-4</v>
      </c>
      <c r="AH154" s="174">
        <v>1.0315186246418338E-4</v>
      </c>
      <c r="AI154" s="174">
        <v>1.0315186246418338E-4</v>
      </c>
      <c r="AJ154" s="174">
        <v>1.0315186246418338E-4</v>
      </c>
      <c r="AK154" s="174">
        <v>1.0315186246418338E-4</v>
      </c>
      <c r="AL154" s="174">
        <v>1.0315186246418338E-4</v>
      </c>
      <c r="AM154" s="174">
        <v>1.0315186246418338E-4</v>
      </c>
      <c r="AN154" s="174">
        <v>1.0315186246418338E-4</v>
      </c>
      <c r="AO154" s="174">
        <v>1.0315186246418338E-4</v>
      </c>
      <c r="AP154" s="174">
        <v>1.0315186246418338E-4</v>
      </c>
      <c r="AQ154" s="174">
        <v>1.0315186246418338E-4</v>
      </c>
      <c r="AR154" s="174">
        <v>1.0315186246418338E-4</v>
      </c>
      <c r="AS154" s="149">
        <f>AR154</f>
        <v>1.0315186246418338E-4</v>
      </c>
      <c r="AT154" s="149">
        <f t="shared" ref="AT154:BV154" si="120">AS154</f>
        <v>1.0315186246418338E-4</v>
      </c>
      <c r="AU154" s="149">
        <f t="shared" si="120"/>
        <v>1.0315186246418338E-4</v>
      </c>
      <c r="AV154" s="149">
        <f t="shared" si="120"/>
        <v>1.0315186246418338E-4</v>
      </c>
      <c r="AW154" s="149">
        <f t="shared" si="120"/>
        <v>1.0315186246418338E-4</v>
      </c>
      <c r="AX154" s="149">
        <f t="shared" si="120"/>
        <v>1.0315186246418338E-4</v>
      </c>
      <c r="AY154" s="149">
        <f t="shared" si="120"/>
        <v>1.0315186246418338E-4</v>
      </c>
      <c r="AZ154" s="149">
        <f t="shared" si="120"/>
        <v>1.0315186246418338E-4</v>
      </c>
      <c r="BA154" s="149">
        <f t="shared" si="120"/>
        <v>1.0315186246418338E-4</v>
      </c>
      <c r="BB154" s="149">
        <f t="shared" si="120"/>
        <v>1.0315186246418338E-4</v>
      </c>
      <c r="BC154" s="149">
        <f t="shared" si="120"/>
        <v>1.0315186246418338E-4</v>
      </c>
      <c r="BD154" s="149">
        <f t="shared" si="120"/>
        <v>1.0315186246418338E-4</v>
      </c>
      <c r="BE154" s="149">
        <f t="shared" si="120"/>
        <v>1.0315186246418338E-4</v>
      </c>
      <c r="BF154" s="149">
        <f t="shared" si="120"/>
        <v>1.0315186246418338E-4</v>
      </c>
      <c r="BG154" s="149">
        <f t="shared" si="120"/>
        <v>1.0315186246418338E-4</v>
      </c>
      <c r="BH154" s="149">
        <f t="shared" si="120"/>
        <v>1.0315186246418338E-4</v>
      </c>
      <c r="BI154" s="149">
        <f t="shared" si="120"/>
        <v>1.0315186246418338E-4</v>
      </c>
      <c r="BJ154" s="149">
        <f t="shared" si="120"/>
        <v>1.0315186246418338E-4</v>
      </c>
      <c r="BK154" s="149">
        <f t="shared" si="120"/>
        <v>1.0315186246418338E-4</v>
      </c>
      <c r="BL154" s="149">
        <f t="shared" si="120"/>
        <v>1.0315186246418338E-4</v>
      </c>
      <c r="BM154" s="149">
        <f t="shared" si="120"/>
        <v>1.0315186246418338E-4</v>
      </c>
      <c r="BN154" s="149">
        <f t="shared" si="120"/>
        <v>1.0315186246418338E-4</v>
      </c>
      <c r="BO154" s="149">
        <f t="shared" si="120"/>
        <v>1.0315186246418338E-4</v>
      </c>
      <c r="BP154" s="149">
        <f t="shared" si="120"/>
        <v>1.0315186246418338E-4</v>
      </c>
      <c r="BQ154" s="149">
        <f t="shared" si="120"/>
        <v>1.0315186246418338E-4</v>
      </c>
      <c r="BR154" s="149">
        <f t="shared" si="120"/>
        <v>1.0315186246418338E-4</v>
      </c>
      <c r="BS154" s="149">
        <f t="shared" si="120"/>
        <v>1.0315186246418338E-4</v>
      </c>
      <c r="BT154" s="149">
        <f t="shared" si="120"/>
        <v>1.0315186246418338E-4</v>
      </c>
      <c r="BU154" s="149">
        <f t="shared" si="120"/>
        <v>1.0315186246418338E-4</v>
      </c>
      <c r="BV154" s="149">
        <f t="shared" si="120"/>
        <v>1.0315186246418338E-4</v>
      </c>
    </row>
    <row r="155" spans="1:74" x14ac:dyDescent="0.25">
      <c r="A155" s="147"/>
      <c r="D155" s="158"/>
      <c r="E155" s="177"/>
      <c r="F155" s="177"/>
      <c r="G155" s="177"/>
      <c r="H155" s="177"/>
      <c r="I155" s="158"/>
      <c r="J155" s="158"/>
      <c r="K155" s="158"/>
      <c r="L155" s="158"/>
      <c r="M155" s="158"/>
      <c r="N155" s="158"/>
      <c r="O155" s="158"/>
      <c r="P155" s="158"/>
      <c r="Q155" s="158"/>
      <c r="R155" s="158"/>
      <c r="S155" s="158"/>
      <c r="T155" s="158"/>
      <c r="U155" s="158"/>
      <c r="V155" s="158"/>
      <c r="W155" s="158"/>
      <c r="X155" s="158"/>
      <c r="Y155" s="158"/>
      <c r="Z155" s="158"/>
      <c r="AA155" s="158"/>
      <c r="AB155" s="158"/>
      <c r="AC155" s="158"/>
      <c r="AD155" s="158"/>
      <c r="AE155" s="158"/>
      <c r="AF155" s="158"/>
      <c r="AG155" s="158"/>
      <c r="AH155" s="158"/>
      <c r="AI155" s="158"/>
      <c r="AJ155" s="158"/>
      <c r="AK155" s="158"/>
      <c r="AL155" s="158"/>
      <c r="AM155" s="158"/>
      <c r="AN155" s="158"/>
      <c r="AO155" s="158"/>
      <c r="AP155" s="158"/>
      <c r="AQ155" s="158"/>
      <c r="AR155" s="158"/>
      <c r="AS155" s="158"/>
    </row>
    <row r="156" spans="1:74" x14ac:dyDescent="0.25">
      <c r="A156" s="147" t="s">
        <v>235</v>
      </c>
      <c r="B156" s="151" t="s">
        <v>185</v>
      </c>
      <c r="C156" s="178" t="s">
        <v>236</v>
      </c>
      <c r="D156" s="171">
        <v>2.9999999999999997E-4</v>
      </c>
      <c r="E156" s="174">
        <v>2.9999999999999997E-4</v>
      </c>
      <c r="F156" s="174">
        <v>2.9999999999999997E-4</v>
      </c>
      <c r="G156" s="174">
        <v>2.9999999999999997E-4</v>
      </c>
      <c r="H156" s="174">
        <v>2.9999999999999997E-4</v>
      </c>
      <c r="I156" s="174">
        <v>2.9999999999999997E-4</v>
      </c>
      <c r="J156" s="174">
        <v>2.9999999999999997E-4</v>
      </c>
      <c r="K156" s="174">
        <v>2.9999999999999997E-4</v>
      </c>
      <c r="L156" s="174">
        <v>2.9999999999999997E-4</v>
      </c>
      <c r="M156" s="174">
        <v>2.9999999999999997E-4</v>
      </c>
      <c r="N156" s="174">
        <v>2.9999999999999997E-4</v>
      </c>
      <c r="O156" s="174">
        <v>2.9999999999999997E-4</v>
      </c>
      <c r="P156" s="174">
        <v>2.9999999999999997E-4</v>
      </c>
      <c r="Q156" s="174">
        <v>2.9999999999999997E-4</v>
      </c>
      <c r="R156" s="174">
        <v>2.9999999999999997E-4</v>
      </c>
      <c r="S156" s="174">
        <v>2.9999999999999997E-4</v>
      </c>
      <c r="T156" s="174">
        <v>2.9999999999999997E-4</v>
      </c>
      <c r="U156" s="174">
        <v>2.9999999999999997E-4</v>
      </c>
      <c r="V156" s="174">
        <v>2.9999999999999997E-4</v>
      </c>
      <c r="W156" s="174">
        <v>2.9999999999999997E-4</v>
      </c>
      <c r="X156" s="174">
        <v>2.9999999999999997E-4</v>
      </c>
      <c r="Y156" s="174">
        <v>2.9999999999999997E-4</v>
      </c>
      <c r="Z156" s="174">
        <v>2.9999999999999997E-4</v>
      </c>
      <c r="AA156" s="174">
        <v>2.9999999999999997E-4</v>
      </c>
      <c r="AB156" s="174">
        <v>2.9999999999999997E-4</v>
      </c>
      <c r="AC156" s="174">
        <v>2.9999999999999997E-4</v>
      </c>
      <c r="AD156" s="174">
        <v>2.9999999999999997E-4</v>
      </c>
      <c r="AE156" s="174">
        <v>2.9999999999999997E-4</v>
      </c>
      <c r="AF156" s="174">
        <v>2.9999999999999997E-4</v>
      </c>
      <c r="AG156" s="174">
        <v>2.9999999999999997E-4</v>
      </c>
      <c r="AH156" s="174">
        <v>2.9999999999999997E-4</v>
      </c>
      <c r="AI156" s="174">
        <v>2.9999999999999997E-4</v>
      </c>
      <c r="AJ156" s="174">
        <v>2.9999999999999997E-4</v>
      </c>
      <c r="AK156" s="174">
        <v>2.9999999999999997E-4</v>
      </c>
      <c r="AL156" s="174">
        <v>2.9999999999999997E-4</v>
      </c>
      <c r="AM156" s="174">
        <v>2.9999999999999997E-4</v>
      </c>
      <c r="AN156" s="174">
        <v>2.9999999999999997E-4</v>
      </c>
      <c r="AO156" s="174">
        <v>2.9999999999999997E-4</v>
      </c>
      <c r="AP156" s="174">
        <v>2.9999999999999997E-4</v>
      </c>
      <c r="AQ156" s="174">
        <v>2.9999999999999997E-4</v>
      </c>
      <c r="AR156" s="174">
        <v>2.9999999999999997E-4</v>
      </c>
      <c r="AS156" s="149">
        <f t="shared" ref="AS156:BV156" si="121">AR156</f>
        <v>2.9999999999999997E-4</v>
      </c>
      <c r="AT156" s="149">
        <f t="shared" si="121"/>
        <v>2.9999999999999997E-4</v>
      </c>
      <c r="AU156" s="149">
        <f t="shared" si="121"/>
        <v>2.9999999999999997E-4</v>
      </c>
      <c r="AV156" s="149">
        <f t="shared" si="121"/>
        <v>2.9999999999999997E-4</v>
      </c>
      <c r="AW156" s="149">
        <f t="shared" si="121"/>
        <v>2.9999999999999997E-4</v>
      </c>
      <c r="AX156" s="149">
        <f t="shared" si="121"/>
        <v>2.9999999999999997E-4</v>
      </c>
      <c r="AY156" s="149">
        <f t="shared" si="121"/>
        <v>2.9999999999999997E-4</v>
      </c>
      <c r="AZ156" s="149">
        <f t="shared" si="121"/>
        <v>2.9999999999999997E-4</v>
      </c>
      <c r="BA156" s="149">
        <f t="shared" si="121"/>
        <v>2.9999999999999997E-4</v>
      </c>
      <c r="BB156" s="149">
        <f t="shared" si="121"/>
        <v>2.9999999999999997E-4</v>
      </c>
      <c r="BC156" s="149">
        <f t="shared" si="121"/>
        <v>2.9999999999999997E-4</v>
      </c>
      <c r="BD156" s="149">
        <f t="shared" si="121"/>
        <v>2.9999999999999997E-4</v>
      </c>
      <c r="BE156" s="149">
        <f t="shared" si="121"/>
        <v>2.9999999999999997E-4</v>
      </c>
      <c r="BF156" s="149">
        <f t="shared" si="121"/>
        <v>2.9999999999999997E-4</v>
      </c>
      <c r="BG156" s="149">
        <f t="shared" si="121"/>
        <v>2.9999999999999997E-4</v>
      </c>
      <c r="BH156" s="149">
        <f t="shared" si="121"/>
        <v>2.9999999999999997E-4</v>
      </c>
      <c r="BI156" s="149">
        <f t="shared" si="121"/>
        <v>2.9999999999999997E-4</v>
      </c>
      <c r="BJ156" s="149">
        <f t="shared" si="121"/>
        <v>2.9999999999999997E-4</v>
      </c>
      <c r="BK156" s="149">
        <f t="shared" si="121"/>
        <v>2.9999999999999997E-4</v>
      </c>
      <c r="BL156" s="149">
        <f t="shared" si="121"/>
        <v>2.9999999999999997E-4</v>
      </c>
      <c r="BM156" s="149">
        <f t="shared" si="121"/>
        <v>2.9999999999999997E-4</v>
      </c>
      <c r="BN156" s="149">
        <f t="shared" si="121"/>
        <v>2.9999999999999997E-4</v>
      </c>
      <c r="BO156" s="149">
        <f t="shared" si="121"/>
        <v>2.9999999999999997E-4</v>
      </c>
      <c r="BP156" s="149">
        <f t="shared" si="121"/>
        <v>2.9999999999999997E-4</v>
      </c>
      <c r="BQ156" s="149">
        <f t="shared" si="121"/>
        <v>2.9999999999999997E-4</v>
      </c>
      <c r="BR156" s="149">
        <f t="shared" si="121"/>
        <v>2.9999999999999997E-4</v>
      </c>
      <c r="BS156" s="149">
        <f t="shared" si="121"/>
        <v>2.9999999999999997E-4</v>
      </c>
      <c r="BT156" s="149">
        <f t="shared" si="121"/>
        <v>2.9999999999999997E-4</v>
      </c>
      <c r="BU156" s="149">
        <f t="shared" si="121"/>
        <v>2.9999999999999997E-4</v>
      </c>
      <c r="BV156" s="149">
        <f t="shared" si="121"/>
        <v>2.9999999999999997E-4</v>
      </c>
    </row>
    <row r="157" spans="1:74" x14ac:dyDescent="0.25">
      <c r="A157" s="147" t="s">
        <v>237</v>
      </c>
      <c r="B157" s="151" t="s">
        <v>185</v>
      </c>
      <c r="C157" s="178" t="s">
        <v>220</v>
      </c>
      <c r="D157" s="177">
        <v>3.3837166407430699E-3</v>
      </c>
      <c r="E157" s="177">
        <v>3.7388637393200165E-3</v>
      </c>
      <c r="F157" s="177">
        <v>3.6468009412292E-3</v>
      </c>
      <c r="G157" s="177">
        <v>3.70831669200545E-3</v>
      </c>
      <c r="H157" s="177">
        <v>3.3901958847743618E-3</v>
      </c>
      <c r="I157" s="177">
        <v>3.2687115567790808E-3</v>
      </c>
      <c r="J157" s="177">
        <v>3.4338612516957088E-3</v>
      </c>
      <c r="K157" s="177">
        <v>3.4113237914625183E-3</v>
      </c>
      <c r="L157" s="177">
        <v>3.5700168650310928E-3</v>
      </c>
      <c r="M157" s="177">
        <v>3.740345835224312E-3</v>
      </c>
      <c r="N157" s="177">
        <v>3.640152448708983E-3</v>
      </c>
      <c r="O157" s="177">
        <v>3.6706491412559056E-3</v>
      </c>
      <c r="P157" s="177">
        <v>3.5730521380010955E-3</v>
      </c>
      <c r="Q157" s="177">
        <v>3.6161594036402444E-3</v>
      </c>
      <c r="R157" s="177">
        <v>3.1889527829166492E-3</v>
      </c>
      <c r="S157" s="177">
        <v>3.4336930543372832E-3</v>
      </c>
      <c r="T157" s="177">
        <v>3.2886860044852016E-3</v>
      </c>
      <c r="U157" s="177">
        <v>3.232453728162409E-3</v>
      </c>
      <c r="V157" s="177">
        <v>3.50553339484584E-3</v>
      </c>
      <c r="W157" s="177">
        <v>3.3936814725106716E-3</v>
      </c>
      <c r="X157" s="177">
        <v>4.1212389144696443E-3</v>
      </c>
      <c r="Y157" s="177">
        <v>3.8022588109376944E-3</v>
      </c>
      <c r="Z157" s="177">
        <v>4.0356200851624857E-3</v>
      </c>
      <c r="AA157" s="177">
        <v>3.7749011865572022E-3</v>
      </c>
      <c r="AB157" s="177">
        <v>3.9323463276169819E-3</v>
      </c>
      <c r="AC157" s="177">
        <v>4.1972544691443537E-3</v>
      </c>
      <c r="AD157" s="177">
        <v>3.7820264871543819E-3</v>
      </c>
      <c r="AE157" s="177">
        <v>3.7083690307596743E-3</v>
      </c>
      <c r="AF157" s="177">
        <v>3.7083690307596743E-3</v>
      </c>
      <c r="AG157" s="177">
        <v>3.7083690307596743E-3</v>
      </c>
      <c r="AH157" s="177">
        <v>3.7083690307596743E-3</v>
      </c>
      <c r="AI157" s="177">
        <v>3.7083690307596743E-3</v>
      </c>
      <c r="AJ157" s="177">
        <v>3.7083690307596743E-3</v>
      </c>
      <c r="AK157" s="177">
        <v>3.7083690307596743E-3</v>
      </c>
      <c r="AL157" s="177">
        <v>3.7083690307596743E-3</v>
      </c>
      <c r="AM157" s="177">
        <v>3.7083690307596743E-3</v>
      </c>
      <c r="AN157" s="177">
        <v>3.7083690307596743E-3</v>
      </c>
      <c r="AO157" s="177">
        <v>3.7083690307596743E-3</v>
      </c>
      <c r="AP157" s="177">
        <v>3.7083690307596743E-3</v>
      </c>
      <c r="AQ157" s="177">
        <v>3.7083690307596743E-3</v>
      </c>
      <c r="AR157" s="177">
        <v>3.7083690307596743E-3</v>
      </c>
      <c r="AS157" s="149">
        <f t="shared" ref="AS157:BV157" si="122">AR157</f>
        <v>3.7083690307596743E-3</v>
      </c>
      <c r="AT157" s="149">
        <f t="shared" si="122"/>
        <v>3.7083690307596743E-3</v>
      </c>
      <c r="AU157" s="149">
        <f t="shared" si="122"/>
        <v>3.7083690307596743E-3</v>
      </c>
      <c r="AV157" s="149">
        <f t="shared" si="122"/>
        <v>3.7083690307596743E-3</v>
      </c>
      <c r="AW157" s="149">
        <f t="shared" si="122"/>
        <v>3.7083690307596743E-3</v>
      </c>
      <c r="AX157" s="149">
        <f t="shared" si="122"/>
        <v>3.7083690307596743E-3</v>
      </c>
      <c r="AY157" s="149">
        <f t="shared" si="122"/>
        <v>3.7083690307596743E-3</v>
      </c>
      <c r="AZ157" s="149">
        <f t="shared" si="122"/>
        <v>3.7083690307596743E-3</v>
      </c>
      <c r="BA157" s="149">
        <f t="shared" si="122"/>
        <v>3.7083690307596743E-3</v>
      </c>
      <c r="BB157" s="149">
        <f t="shared" si="122"/>
        <v>3.7083690307596743E-3</v>
      </c>
      <c r="BC157" s="149">
        <f t="shared" si="122"/>
        <v>3.7083690307596743E-3</v>
      </c>
      <c r="BD157" s="149">
        <f t="shared" si="122"/>
        <v>3.7083690307596743E-3</v>
      </c>
      <c r="BE157" s="149">
        <f t="shared" si="122"/>
        <v>3.7083690307596743E-3</v>
      </c>
      <c r="BF157" s="149">
        <f t="shared" si="122"/>
        <v>3.7083690307596743E-3</v>
      </c>
      <c r="BG157" s="149">
        <f t="shared" si="122"/>
        <v>3.7083690307596743E-3</v>
      </c>
      <c r="BH157" s="149">
        <f t="shared" si="122"/>
        <v>3.7083690307596743E-3</v>
      </c>
      <c r="BI157" s="149">
        <f t="shared" si="122"/>
        <v>3.7083690307596743E-3</v>
      </c>
      <c r="BJ157" s="149">
        <f t="shared" si="122"/>
        <v>3.7083690307596743E-3</v>
      </c>
      <c r="BK157" s="149">
        <f t="shared" si="122"/>
        <v>3.7083690307596743E-3</v>
      </c>
      <c r="BL157" s="149">
        <f t="shared" si="122"/>
        <v>3.7083690307596743E-3</v>
      </c>
      <c r="BM157" s="149">
        <f t="shared" si="122"/>
        <v>3.7083690307596743E-3</v>
      </c>
      <c r="BN157" s="149">
        <f t="shared" si="122"/>
        <v>3.7083690307596743E-3</v>
      </c>
      <c r="BO157" s="149">
        <f t="shared" si="122"/>
        <v>3.7083690307596743E-3</v>
      </c>
      <c r="BP157" s="149">
        <f t="shared" si="122"/>
        <v>3.7083690307596743E-3</v>
      </c>
      <c r="BQ157" s="149">
        <f t="shared" si="122"/>
        <v>3.7083690307596743E-3</v>
      </c>
      <c r="BR157" s="149">
        <f t="shared" si="122"/>
        <v>3.7083690307596743E-3</v>
      </c>
      <c r="BS157" s="149">
        <f t="shared" si="122"/>
        <v>3.7083690307596743E-3</v>
      </c>
      <c r="BT157" s="149">
        <f t="shared" si="122"/>
        <v>3.7083690307596743E-3</v>
      </c>
      <c r="BU157" s="149">
        <f t="shared" si="122"/>
        <v>3.7083690307596743E-3</v>
      </c>
      <c r="BV157" s="149">
        <f t="shared" si="122"/>
        <v>3.7083690307596743E-3</v>
      </c>
    </row>
    <row r="158" spans="1:74" x14ac:dyDescent="0.25">
      <c r="D158" s="158"/>
      <c r="E158" s="158"/>
      <c r="F158" s="158"/>
      <c r="G158" s="158"/>
      <c r="H158" s="158"/>
      <c r="I158" s="158"/>
      <c r="J158" s="158"/>
      <c r="K158" s="158"/>
      <c r="L158" s="158"/>
      <c r="M158" s="158"/>
      <c r="N158" s="158"/>
      <c r="O158" s="158"/>
      <c r="P158" s="158"/>
      <c r="Q158" s="158"/>
      <c r="R158" s="158"/>
      <c r="S158" s="158"/>
      <c r="T158" s="158"/>
      <c r="U158" s="158"/>
      <c r="V158" s="158"/>
      <c r="W158" s="158"/>
      <c r="X158" s="158"/>
      <c r="Y158" s="158"/>
      <c r="Z158" s="158"/>
      <c r="AA158" s="158"/>
      <c r="AB158" s="158"/>
      <c r="AC158" s="158"/>
      <c r="AD158" s="158"/>
      <c r="AE158" s="158"/>
      <c r="AF158" s="158"/>
      <c r="AG158" s="158"/>
      <c r="AH158" s="158"/>
      <c r="AI158" s="158"/>
      <c r="AJ158" s="158"/>
      <c r="AK158" s="158"/>
      <c r="AL158" s="158"/>
      <c r="AM158" s="158"/>
      <c r="AN158" s="158"/>
      <c r="AO158" s="158"/>
      <c r="AP158" s="158"/>
      <c r="AQ158" s="158"/>
      <c r="AR158" s="158"/>
      <c r="AS158" s="158"/>
    </row>
    <row r="159" spans="1:74" x14ac:dyDescent="0.25">
      <c r="A159" s="141"/>
      <c r="B159" s="142"/>
      <c r="C159" s="142"/>
      <c r="D159" s="158"/>
      <c r="E159" s="158"/>
      <c r="F159" s="158"/>
      <c r="G159" s="158"/>
      <c r="H159" s="158"/>
      <c r="I159" s="158"/>
      <c r="J159" s="158"/>
      <c r="K159" s="158"/>
      <c r="L159" s="158"/>
      <c r="M159" s="158"/>
      <c r="N159" s="158"/>
      <c r="O159" s="158"/>
      <c r="P159" s="158"/>
      <c r="Q159" s="158"/>
      <c r="R159" s="158"/>
      <c r="S159" s="158"/>
      <c r="T159" s="158"/>
      <c r="U159" s="158"/>
      <c r="V159" s="158"/>
      <c r="W159" s="158"/>
      <c r="X159" s="158"/>
      <c r="Y159" s="158"/>
      <c r="Z159" s="158"/>
      <c r="AA159" s="158"/>
      <c r="AB159" s="158"/>
      <c r="AC159" s="158"/>
      <c r="AD159" s="158"/>
      <c r="AE159" s="158"/>
      <c r="AF159" s="158"/>
      <c r="AG159" s="158"/>
      <c r="AH159" s="158"/>
      <c r="AI159" s="158"/>
      <c r="AJ159" s="158"/>
      <c r="AK159" s="158"/>
      <c r="AL159" s="158"/>
      <c r="AM159" s="158"/>
      <c r="AN159" s="158"/>
      <c r="AO159" s="158"/>
      <c r="AP159" s="158"/>
      <c r="AQ159" s="158"/>
      <c r="AR159" s="158"/>
      <c r="AS159" s="158"/>
    </row>
    <row r="160" spans="1:74" s="168" customFormat="1" x14ac:dyDescent="0.25">
      <c r="A160" s="166" t="s">
        <v>55</v>
      </c>
      <c r="B160" s="167"/>
      <c r="E160" s="175"/>
      <c r="F160" s="175"/>
      <c r="G160" s="175"/>
      <c r="H160" s="175"/>
      <c r="I160" s="167"/>
      <c r="J160" s="167"/>
      <c r="K160" s="167"/>
      <c r="L160" s="167"/>
      <c r="M160" s="167"/>
      <c r="N160" s="167"/>
      <c r="O160" s="167"/>
      <c r="P160" s="167"/>
      <c r="Q160" s="167"/>
      <c r="R160" s="167"/>
      <c r="S160" s="167"/>
      <c r="T160" s="167"/>
      <c r="U160" s="167"/>
      <c r="V160" s="167"/>
      <c r="W160" s="167"/>
      <c r="X160" s="167"/>
      <c r="Y160" s="167"/>
      <c r="Z160" s="167"/>
      <c r="AA160" s="167"/>
      <c r="AB160" s="167"/>
      <c r="AC160" s="167"/>
      <c r="AD160" s="167"/>
      <c r="AE160" s="167"/>
      <c r="AF160" s="167"/>
      <c r="AG160" s="167"/>
      <c r="AH160" s="167"/>
      <c r="AI160" s="167"/>
      <c r="AJ160" s="167"/>
      <c r="AK160" s="167"/>
      <c r="AL160" s="167"/>
      <c r="AM160" s="167"/>
      <c r="AN160" s="167"/>
      <c r="AO160" s="167"/>
      <c r="AP160" s="167"/>
      <c r="AQ160" s="167"/>
      <c r="AR160" s="167"/>
      <c r="AS160" s="167"/>
    </row>
    <row r="161" spans="1:74" s="168" customFormat="1" x14ac:dyDescent="0.25">
      <c r="A161" s="166" t="s">
        <v>238</v>
      </c>
      <c r="B161" s="166" t="s">
        <v>239</v>
      </c>
      <c r="E161" s="175"/>
      <c r="F161" s="175"/>
      <c r="G161" s="175"/>
      <c r="H161" s="175"/>
      <c r="I161" s="167"/>
      <c r="J161" s="167"/>
      <c r="K161" s="167"/>
      <c r="L161" s="167"/>
      <c r="M161" s="167"/>
      <c r="N161" s="167"/>
      <c r="O161" s="167"/>
      <c r="P161" s="167"/>
      <c r="Q161" s="167"/>
      <c r="R161" s="167"/>
      <c r="S161" s="167"/>
      <c r="T161" s="167"/>
      <c r="U161" s="167"/>
      <c r="V161" s="167"/>
      <c r="W161" s="167"/>
      <c r="X161" s="167"/>
      <c r="Y161" s="167"/>
      <c r="Z161" s="167"/>
      <c r="AA161" s="167"/>
      <c r="AB161" s="167"/>
      <c r="AC161" s="167"/>
      <c r="AD161" s="167"/>
      <c r="AE161" s="167"/>
      <c r="AF161" s="167"/>
      <c r="AG161" s="167"/>
      <c r="AH161" s="167"/>
      <c r="AI161" s="167"/>
      <c r="AJ161" s="167"/>
      <c r="AK161" s="167"/>
      <c r="AL161" s="167"/>
      <c r="AM161" s="167"/>
      <c r="AN161" s="167"/>
      <c r="AO161" s="167"/>
      <c r="AP161" s="167"/>
      <c r="AQ161" s="167"/>
      <c r="AR161" s="167"/>
      <c r="AS161" s="167"/>
    </row>
    <row r="162" spans="1:74" x14ac:dyDescent="0.25">
      <c r="A162" s="147" t="s">
        <v>222</v>
      </c>
      <c r="B162" s="151" t="s">
        <v>185</v>
      </c>
      <c r="C162" s="151" t="s">
        <v>240</v>
      </c>
      <c r="D162" s="179">
        <v>4.8381311277270598</v>
      </c>
      <c r="E162" s="179">
        <v>4.4040794774593852</v>
      </c>
      <c r="F162" s="179">
        <v>3.9968080609103755</v>
      </c>
      <c r="G162" s="179">
        <v>3.2257166769727865</v>
      </c>
      <c r="H162" s="179">
        <v>3.0580437081408616</v>
      </c>
      <c r="I162" s="179">
        <v>2.90448121088661</v>
      </c>
      <c r="J162" s="179">
        <v>2.8396862867835053</v>
      </c>
      <c r="K162" s="179">
        <v>2.7312282596045727</v>
      </c>
      <c r="L162" s="179">
        <v>2.8094927893474053</v>
      </c>
      <c r="M162" s="179">
        <v>2.226677542052049</v>
      </c>
      <c r="N162" s="179">
        <v>2.0867078081834869</v>
      </c>
      <c r="O162" s="179">
        <v>1.5531382673236922</v>
      </c>
      <c r="P162" s="179">
        <v>1.2700533322687966</v>
      </c>
      <c r="Q162" s="179">
        <v>1.2464577779396675</v>
      </c>
      <c r="R162" s="179">
        <v>1.3549882084466831</v>
      </c>
      <c r="S162" s="179">
        <v>1.3197562004966024</v>
      </c>
      <c r="T162" s="179">
        <v>0.97531805477581734</v>
      </c>
      <c r="U162" s="179">
        <v>0.81849840715069322</v>
      </c>
      <c r="V162" s="179">
        <v>0.82915846702591356</v>
      </c>
      <c r="W162" s="179">
        <v>0.8249024482023245</v>
      </c>
      <c r="X162" s="179">
        <v>0.62333288771434703</v>
      </c>
      <c r="Y162" s="179">
        <v>0.56355077227403927</v>
      </c>
      <c r="Z162" s="179">
        <v>0.63140576070948784</v>
      </c>
      <c r="AA162" s="179">
        <v>0.53707018678200635</v>
      </c>
      <c r="AB162" s="179">
        <v>0.37479269650785529</v>
      </c>
      <c r="AC162" s="179">
        <v>0.33097668147863296</v>
      </c>
      <c r="AD162" s="179">
        <v>0.2337151079114263</v>
      </c>
      <c r="AE162" s="179">
        <v>0.22685032604894206</v>
      </c>
      <c r="AF162" s="179">
        <v>0.22685032604894206</v>
      </c>
      <c r="AG162" s="179">
        <v>0.22685032604894206</v>
      </c>
      <c r="AH162" s="179">
        <v>0.22685032604894206</v>
      </c>
      <c r="AI162" s="179">
        <v>0.22685032604894206</v>
      </c>
      <c r="AJ162" s="179">
        <v>0.22685032604894206</v>
      </c>
      <c r="AK162" s="179">
        <v>0.22685032604894206</v>
      </c>
      <c r="AL162" s="179">
        <v>0.22685032604894206</v>
      </c>
      <c r="AM162" s="179">
        <v>0.22685032604894206</v>
      </c>
      <c r="AN162" s="179">
        <v>0.22685032604894206</v>
      </c>
      <c r="AO162" s="179">
        <v>0.22685032604894206</v>
      </c>
      <c r="AP162" s="179">
        <v>0.22685032604894206</v>
      </c>
      <c r="AQ162" s="179">
        <v>0.22685032604894206</v>
      </c>
      <c r="AR162" s="179">
        <v>0.22685032604894206</v>
      </c>
      <c r="AS162" s="149">
        <f>AR162</f>
        <v>0.22685032604894206</v>
      </c>
      <c r="AT162" s="149">
        <f t="shared" ref="AT162:BV162" si="123">AS162</f>
        <v>0.22685032604894206</v>
      </c>
      <c r="AU162" s="149">
        <f t="shared" si="123"/>
        <v>0.22685032604894206</v>
      </c>
      <c r="AV162" s="149">
        <f t="shared" si="123"/>
        <v>0.22685032604894206</v>
      </c>
      <c r="AW162" s="149">
        <f t="shared" si="123"/>
        <v>0.22685032604894206</v>
      </c>
      <c r="AX162" s="149">
        <f t="shared" si="123"/>
        <v>0.22685032604894206</v>
      </c>
      <c r="AY162" s="149">
        <f t="shared" si="123"/>
        <v>0.22685032604894206</v>
      </c>
      <c r="AZ162" s="149">
        <f t="shared" si="123"/>
        <v>0.22685032604894206</v>
      </c>
      <c r="BA162" s="149">
        <f t="shared" si="123"/>
        <v>0.22685032604894206</v>
      </c>
      <c r="BB162" s="149">
        <f t="shared" si="123"/>
        <v>0.22685032604894206</v>
      </c>
      <c r="BC162" s="149">
        <f t="shared" si="123"/>
        <v>0.22685032604894206</v>
      </c>
      <c r="BD162" s="149">
        <f t="shared" si="123"/>
        <v>0.22685032604894206</v>
      </c>
      <c r="BE162" s="149">
        <f t="shared" si="123"/>
        <v>0.22685032604894206</v>
      </c>
      <c r="BF162" s="149">
        <f t="shared" si="123"/>
        <v>0.22685032604894206</v>
      </c>
      <c r="BG162" s="149">
        <f t="shared" si="123"/>
        <v>0.22685032604894206</v>
      </c>
      <c r="BH162" s="149">
        <f t="shared" si="123"/>
        <v>0.22685032604894206</v>
      </c>
      <c r="BI162" s="149">
        <f t="shared" si="123"/>
        <v>0.22685032604894206</v>
      </c>
      <c r="BJ162" s="149">
        <f t="shared" si="123"/>
        <v>0.22685032604894206</v>
      </c>
      <c r="BK162" s="149">
        <f t="shared" si="123"/>
        <v>0.22685032604894206</v>
      </c>
      <c r="BL162" s="149">
        <f t="shared" si="123"/>
        <v>0.22685032604894206</v>
      </c>
      <c r="BM162" s="149">
        <f t="shared" si="123"/>
        <v>0.22685032604894206</v>
      </c>
      <c r="BN162" s="149">
        <f t="shared" si="123"/>
        <v>0.22685032604894206</v>
      </c>
      <c r="BO162" s="149">
        <f t="shared" si="123"/>
        <v>0.22685032604894206</v>
      </c>
      <c r="BP162" s="149">
        <f t="shared" si="123"/>
        <v>0.22685032604894206</v>
      </c>
      <c r="BQ162" s="149">
        <f t="shared" si="123"/>
        <v>0.22685032604894206</v>
      </c>
      <c r="BR162" s="149">
        <f t="shared" si="123"/>
        <v>0.22685032604894206</v>
      </c>
      <c r="BS162" s="149">
        <f t="shared" si="123"/>
        <v>0.22685032604894206</v>
      </c>
      <c r="BT162" s="149">
        <f t="shared" si="123"/>
        <v>0.22685032604894206</v>
      </c>
      <c r="BU162" s="149">
        <f t="shared" si="123"/>
        <v>0.22685032604894206</v>
      </c>
      <c r="BV162" s="149">
        <f t="shared" si="123"/>
        <v>0.22685032604894206</v>
      </c>
    </row>
    <row r="163" spans="1:74" x14ac:dyDescent="0.25">
      <c r="A163" s="147" t="s">
        <v>241</v>
      </c>
      <c r="B163" s="151" t="s">
        <v>185</v>
      </c>
      <c r="C163" s="151" t="s">
        <v>242</v>
      </c>
      <c r="D163" s="179">
        <v>117.1164154245937</v>
      </c>
      <c r="E163" s="179">
        <v>96.404575958335499</v>
      </c>
      <c r="F163" s="179">
        <v>88.923870317665617</v>
      </c>
      <c r="G163" s="179">
        <v>91.768115775315636</v>
      </c>
      <c r="H163" s="179">
        <v>75.393198051133723</v>
      </c>
      <c r="I163" s="179">
        <v>41.835023844115014</v>
      </c>
      <c r="J163" s="179">
        <v>28.964157310531341</v>
      </c>
      <c r="K163" s="179">
        <v>27.647744605443975</v>
      </c>
      <c r="L163" s="179">
        <v>27.284683459688846</v>
      </c>
      <c r="M163" s="179">
        <v>29.372577448757596</v>
      </c>
      <c r="N163" s="179">
        <v>41.502974546536386</v>
      </c>
      <c r="O163" s="179">
        <v>34.650335186707508</v>
      </c>
      <c r="P163" s="179">
        <v>40.012857059913692</v>
      </c>
      <c r="Q163" s="179">
        <v>47.388111301649289</v>
      </c>
      <c r="R163" s="179">
        <v>41.733123544414404</v>
      </c>
      <c r="S163" s="179">
        <v>27.397465449429976</v>
      </c>
      <c r="T163" s="179">
        <v>29.752842540512873</v>
      </c>
      <c r="U163" s="179">
        <v>43.264644001030831</v>
      </c>
      <c r="V163" s="179">
        <v>43.264644001030831</v>
      </c>
      <c r="W163" s="179">
        <v>43.264644001030831</v>
      </c>
      <c r="X163" s="179">
        <v>43.264644001030831</v>
      </c>
      <c r="Y163" s="179">
        <v>43.264644001030831</v>
      </c>
      <c r="Z163" s="179">
        <v>43.264644001030831</v>
      </c>
      <c r="AA163" s="179">
        <v>43.264644001030831</v>
      </c>
      <c r="AB163" s="179">
        <v>43.264644001030831</v>
      </c>
      <c r="AC163" s="179">
        <v>43.264644001030831</v>
      </c>
      <c r="AD163" s="179">
        <v>43.264644001030831</v>
      </c>
      <c r="AE163" s="179">
        <v>43.264644001030831</v>
      </c>
      <c r="AF163" s="179">
        <v>43.264644001030831</v>
      </c>
      <c r="AG163" s="179">
        <v>43.264644001030831</v>
      </c>
      <c r="AH163" s="179">
        <v>43.264644001030831</v>
      </c>
      <c r="AI163" s="179">
        <v>43.264644001030831</v>
      </c>
      <c r="AJ163" s="179">
        <v>43.264644001030831</v>
      </c>
      <c r="AK163" s="179">
        <v>43.264644001030831</v>
      </c>
      <c r="AL163" s="179">
        <v>43.264644001030831</v>
      </c>
      <c r="AM163" s="179">
        <v>43.264644001030831</v>
      </c>
      <c r="AN163" s="179">
        <v>43.264644001030831</v>
      </c>
      <c r="AO163" s="179">
        <v>43.264644001030831</v>
      </c>
      <c r="AP163" s="179">
        <v>43.264644001030831</v>
      </c>
      <c r="AQ163" s="179">
        <v>43.264644001030831</v>
      </c>
      <c r="AR163" s="179">
        <v>43.264644001030831</v>
      </c>
      <c r="AS163" s="149">
        <f>AR163</f>
        <v>43.264644001030831</v>
      </c>
      <c r="AT163" s="149">
        <f t="shared" ref="AT163:BV163" si="124">AS163</f>
        <v>43.264644001030831</v>
      </c>
      <c r="AU163" s="149">
        <f t="shared" si="124"/>
        <v>43.264644001030831</v>
      </c>
      <c r="AV163" s="149">
        <f t="shared" si="124"/>
        <v>43.264644001030831</v>
      </c>
      <c r="AW163" s="149">
        <f t="shared" si="124"/>
        <v>43.264644001030831</v>
      </c>
      <c r="AX163" s="149">
        <f t="shared" si="124"/>
        <v>43.264644001030831</v>
      </c>
      <c r="AY163" s="149">
        <f t="shared" si="124"/>
        <v>43.264644001030831</v>
      </c>
      <c r="AZ163" s="149">
        <f t="shared" si="124"/>
        <v>43.264644001030831</v>
      </c>
      <c r="BA163" s="149">
        <f t="shared" si="124"/>
        <v>43.264644001030831</v>
      </c>
      <c r="BB163" s="149">
        <f t="shared" si="124"/>
        <v>43.264644001030831</v>
      </c>
      <c r="BC163" s="149">
        <f t="shared" si="124"/>
        <v>43.264644001030831</v>
      </c>
      <c r="BD163" s="149">
        <f t="shared" si="124"/>
        <v>43.264644001030831</v>
      </c>
      <c r="BE163" s="149">
        <f t="shared" si="124"/>
        <v>43.264644001030831</v>
      </c>
      <c r="BF163" s="149">
        <f t="shared" si="124"/>
        <v>43.264644001030831</v>
      </c>
      <c r="BG163" s="149">
        <f t="shared" si="124"/>
        <v>43.264644001030831</v>
      </c>
      <c r="BH163" s="149">
        <f t="shared" si="124"/>
        <v>43.264644001030831</v>
      </c>
      <c r="BI163" s="149">
        <f t="shared" si="124"/>
        <v>43.264644001030831</v>
      </c>
      <c r="BJ163" s="149">
        <f t="shared" si="124"/>
        <v>43.264644001030831</v>
      </c>
      <c r="BK163" s="149">
        <f t="shared" si="124"/>
        <v>43.264644001030831</v>
      </c>
      <c r="BL163" s="149">
        <f t="shared" si="124"/>
        <v>43.264644001030831</v>
      </c>
      <c r="BM163" s="149">
        <f t="shared" si="124"/>
        <v>43.264644001030831</v>
      </c>
      <c r="BN163" s="149">
        <f t="shared" si="124"/>
        <v>43.264644001030831</v>
      </c>
      <c r="BO163" s="149">
        <f t="shared" si="124"/>
        <v>43.264644001030831</v>
      </c>
      <c r="BP163" s="149">
        <f t="shared" si="124"/>
        <v>43.264644001030831</v>
      </c>
      <c r="BQ163" s="149">
        <f t="shared" si="124"/>
        <v>43.264644001030831</v>
      </c>
      <c r="BR163" s="149">
        <f t="shared" si="124"/>
        <v>43.264644001030831</v>
      </c>
      <c r="BS163" s="149">
        <f t="shared" si="124"/>
        <v>43.264644001030831</v>
      </c>
      <c r="BT163" s="149">
        <f t="shared" si="124"/>
        <v>43.264644001030831</v>
      </c>
      <c r="BU163" s="149">
        <f t="shared" si="124"/>
        <v>43.264644001030831</v>
      </c>
      <c r="BV163" s="149">
        <f t="shared" si="124"/>
        <v>43.264644001030831</v>
      </c>
    </row>
    <row r="166" spans="1:74" s="182" customFormat="1" x14ac:dyDescent="0.25">
      <c r="A166" s="180" t="s">
        <v>243</v>
      </c>
      <c r="B166" s="181"/>
      <c r="I166" s="181"/>
      <c r="J166" s="181"/>
      <c r="K166" s="181"/>
      <c r="L166" s="181"/>
      <c r="M166" s="181"/>
      <c r="N166" s="181"/>
      <c r="O166" s="181"/>
      <c r="P166" s="181"/>
      <c r="Q166" s="181"/>
      <c r="R166" s="181"/>
      <c r="S166" s="181"/>
      <c r="T166" s="181"/>
      <c r="U166" s="181"/>
      <c r="V166" s="181"/>
      <c r="W166" s="181"/>
      <c r="X166" s="181"/>
      <c r="Y166" s="181"/>
      <c r="Z166" s="181"/>
      <c r="AA166" s="181"/>
      <c r="AB166" s="181"/>
      <c r="AC166" s="181"/>
      <c r="AD166" s="181"/>
      <c r="AE166" s="181"/>
      <c r="AF166" s="181"/>
      <c r="AG166" s="181"/>
      <c r="AH166" s="181"/>
      <c r="AI166" s="181"/>
      <c r="AJ166" s="181"/>
      <c r="AK166" s="181"/>
      <c r="AL166" s="181"/>
      <c r="AM166" s="181"/>
      <c r="AN166" s="181"/>
      <c r="AO166" s="181"/>
      <c r="AP166" s="181"/>
      <c r="AQ166" s="181"/>
      <c r="AR166" s="181"/>
      <c r="AS166" s="181"/>
    </row>
    <row r="167" spans="1:74" s="182" customFormat="1" x14ac:dyDescent="0.25">
      <c r="A167" s="180"/>
      <c r="B167" s="180" t="s">
        <v>174</v>
      </c>
      <c r="I167" s="181"/>
      <c r="J167" s="181"/>
      <c r="K167" s="181"/>
      <c r="L167" s="181"/>
      <c r="M167" s="181"/>
      <c r="N167" s="181"/>
      <c r="O167" s="181"/>
      <c r="P167" s="181"/>
      <c r="Q167" s="181"/>
      <c r="R167" s="181"/>
      <c r="S167" s="181"/>
      <c r="T167" s="181"/>
      <c r="U167" s="181"/>
      <c r="V167" s="181"/>
      <c r="W167" s="181"/>
      <c r="X167" s="181"/>
      <c r="Y167" s="181"/>
      <c r="Z167" s="181"/>
      <c r="AA167" s="181"/>
      <c r="AB167" s="181"/>
      <c r="AC167" s="181"/>
      <c r="AD167" s="181"/>
      <c r="AE167" s="181"/>
      <c r="AF167" s="181"/>
      <c r="AG167" s="181"/>
      <c r="AH167" s="181"/>
      <c r="AI167" s="181"/>
      <c r="AJ167" s="181"/>
      <c r="AK167" s="181"/>
      <c r="AL167" s="181"/>
      <c r="AM167" s="181"/>
      <c r="AN167" s="181"/>
      <c r="AO167" s="181"/>
      <c r="AP167" s="181"/>
      <c r="AQ167" s="181"/>
      <c r="AR167" s="181"/>
      <c r="AS167" s="181"/>
    </row>
    <row r="168" spans="1:74" x14ac:dyDescent="0.25">
      <c r="A168" s="147" t="s">
        <v>178</v>
      </c>
      <c r="C168" s="142"/>
      <c r="D168" s="157">
        <v>7.0544696618805011E-2</v>
      </c>
      <c r="E168" s="157">
        <v>7.0544696618805011E-2</v>
      </c>
      <c r="F168" s="157">
        <v>7.0544696618805011E-2</v>
      </c>
      <c r="G168" s="157">
        <v>7.0544696618805011E-2</v>
      </c>
      <c r="H168" s="157">
        <v>7.0544696618805011E-2</v>
      </c>
      <c r="I168" s="157">
        <v>7.0544696618805011E-2</v>
      </c>
      <c r="J168" s="157">
        <v>7.0537157107231921E-2</v>
      </c>
      <c r="K168" s="157">
        <v>7.0555937582650094E-2</v>
      </c>
      <c r="L168" s="157">
        <v>7.0530945844771667E-2</v>
      </c>
      <c r="M168" s="157">
        <v>7.057697160883282E-2</v>
      </c>
      <c r="N168" s="157">
        <v>7.0545992115637321E-2</v>
      </c>
      <c r="O168" s="157">
        <v>7.0550041585805384E-2</v>
      </c>
      <c r="P168" s="157">
        <v>7.0561400980109545E-2</v>
      </c>
      <c r="Q168" s="157">
        <v>7.0548143486469483E-2</v>
      </c>
      <c r="R168" s="157">
        <v>7.0564663951120168E-2</v>
      </c>
      <c r="S168" s="157">
        <v>7.05814701897019E-2</v>
      </c>
      <c r="T168" s="157">
        <v>7.0550506756756767E-2</v>
      </c>
      <c r="U168" s="157">
        <v>7.0551232166018163E-2</v>
      </c>
      <c r="V168" s="157">
        <v>7.055714285714286E-2</v>
      </c>
      <c r="W168" s="157">
        <v>7.057723292469352E-2</v>
      </c>
      <c r="X168" s="157">
        <v>7.0564102564102574E-2</v>
      </c>
      <c r="Y168" s="157">
        <v>7.056854838709678E-2</v>
      </c>
      <c r="Z168" s="157">
        <v>7.0520381036774479E-2</v>
      </c>
      <c r="AA168" s="157">
        <v>7.0577925270403144E-2</v>
      </c>
      <c r="AB168" s="157">
        <v>7.0575370464997456E-2</v>
      </c>
      <c r="AC168" s="157">
        <v>7.0559178204555609E-2</v>
      </c>
      <c r="AD168" s="157">
        <v>7.057102641836295E-2</v>
      </c>
      <c r="AE168" s="157">
        <v>7.0547754034016572E-2</v>
      </c>
      <c r="AF168" s="157">
        <v>7.0547754034016572E-2</v>
      </c>
      <c r="AG168" s="157">
        <v>7.0547754034016572E-2</v>
      </c>
      <c r="AH168" s="157">
        <v>7.0547754034016572E-2</v>
      </c>
      <c r="AI168" s="157">
        <v>7.0547754034016572E-2</v>
      </c>
      <c r="AJ168" s="157">
        <v>7.0547754034016572E-2</v>
      </c>
      <c r="AK168" s="157">
        <v>7.0547754034016572E-2</v>
      </c>
      <c r="AL168" s="157">
        <v>7.0547754034016572E-2</v>
      </c>
      <c r="AM168" s="157">
        <v>7.0547754034016572E-2</v>
      </c>
      <c r="AN168" s="157">
        <v>7.0547754034016572E-2</v>
      </c>
      <c r="AO168" s="157">
        <v>7.0547754034016572E-2</v>
      </c>
      <c r="AP168" s="157">
        <v>7.0547754034016572E-2</v>
      </c>
      <c r="AQ168" s="157">
        <v>7.0547754034016572E-2</v>
      </c>
      <c r="AR168" s="157">
        <v>7.0547754034016572E-2</v>
      </c>
      <c r="AS168" s="149">
        <f t="shared" ref="AS168:BV168" si="125">AR168</f>
        <v>7.0547754034016572E-2</v>
      </c>
      <c r="AT168" s="149">
        <f t="shared" si="125"/>
        <v>7.0547754034016572E-2</v>
      </c>
      <c r="AU168" s="149">
        <f t="shared" si="125"/>
        <v>7.0547754034016572E-2</v>
      </c>
      <c r="AV168" s="149">
        <f t="shared" si="125"/>
        <v>7.0547754034016572E-2</v>
      </c>
      <c r="AW168" s="149">
        <f t="shared" si="125"/>
        <v>7.0547754034016572E-2</v>
      </c>
      <c r="AX168" s="149">
        <f t="shared" si="125"/>
        <v>7.0547754034016572E-2</v>
      </c>
      <c r="AY168" s="149">
        <f t="shared" si="125"/>
        <v>7.0547754034016572E-2</v>
      </c>
      <c r="AZ168" s="149">
        <f t="shared" si="125"/>
        <v>7.0547754034016572E-2</v>
      </c>
      <c r="BA168" s="149">
        <f t="shared" si="125"/>
        <v>7.0547754034016572E-2</v>
      </c>
      <c r="BB168" s="149">
        <f t="shared" si="125"/>
        <v>7.0547754034016572E-2</v>
      </c>
      <c r="BC168" s="149">
        <f t="shared" si="125"/>
        <v>7.0547754034016572E-2</v>
      </c>
      <c r="BD168" s="149">
        <f t="shared" si="125"/>
        <v>7.0547754034016572E-2</v>
      </c>
      <c r="BE168" s="149">
        <f t="shared" si="125"/>
        <v>7.0547754034016572E-2</v>
      </c>
      <c r="BF168" s="149">
        <f t="shared" si="125"/>
        <v>7.0547754034016572E-2</v>
      </c>
      <c r="BG168" s="149">
        <f t="shared" si="125"/>
        <v>7.0547754034016572E-2</v>
      </c>
      <c r="BH168" s="149">
        <f t="shared" si="125"/>
        <v>7.0547754034016572E-2</v>
      </c>
      <c r="BI168" s="149">
        <f t="shared" si="125"/>
        <v>7.0547754034016572E-2</v>
      </c>
      <c r="BJ168" s="149">
        <f t="shared" si="125"/>
        <v>7.0547754034016572E-2</v>
      </c>
      <c r="BK168" s="149">
        <f t="shared" si="125"/>
        <v>7.0547754034016572E-2</v>
      </c>
      <c r="BL168" s="149">
        <f t="shared" si="125"/>
        <v>7.0547754034016572E-2</v>
      </c>
      <c r="BM168" s="149">
        <f t="shared" si="125"/>
        <v>7.0547754034016572E-2</v>
      </c>
      <c r="BN168" s="149">
        <f t="shared" si="125"/>
        <v>7.0547754034016572E-2</v>
      </c>
      <c r="BO168" s="149">
        <f t="shared" si="125"/>
        <v>7.0547754034016572E-2</v>
      </c>
      <c r="BP168" s="149">
        <f t="shared" si="125"/>
        <v>7.0547754034016572E-2</v>
      </c>
      <c r="BQ168" s="149">
        <f t="shared" si="125"/>
        <v>7.0547754034016572E-2</v>
      </c>
      <c r="BR168" s="149">
        <f t="shared" si="125"/>
        <v>7.0547754034016572E-2</v>
      </c>
      <c r="BS168" s="149">
        <f t="shared" si="125"/>
        <v>7.0547754034016572E-2</v>
      </c>
      <c r="BT168" s="149">
        <f t="shared" si="125"/>
        <v>7.0547754034016572E-2</v>
      </c>
      <c r="BU168" s="149">
        <f t="shared" si="125"/>
        <v>7.0547754034016572E-2</v>
      </c>
      <c r="BV168" s="149">
        <f t="shared" si="125"/>
        <v>7.0547754034016572E-2</v>
      </c>
    </row>
    <row r="169" spans="1:74" x14ac:dyDescent="0.25">
      <c r="A169" s="147" t="s">
        <v>180</v>
      </c>
      <c r="C169" s="142"/>
      <c r="D169" s="157">
        <v>7.0387526137350068E-2</v>
      </c>
      <c r="E169" s="157">
        <v>7.0387526137350068E-2</v>
      </c>
      <c r="F169" s="157">
        <v>7.0387526137350068E-2</v>
      </c>
      <c r="G169" s="157">
        <v>7.0387526137350068E-2</v>
      </c>
      <c r="H169" s="157">
        <v>7.0387526137350068E-2</v>
      </c>
      <c r="I169" s="157">
        <v>7.0387526137350068E-2</v>
      </c>
      <c r="J169" s="157">
        <v>7.0387700990050844E-2</v>
      </c>
      <c r="K169" s="157">
        <v>7.0387561033420254E-2</v>
      </c>
      <c r="L169" s="157">
        <v>7.0387595754499307E-2</v>
      </c>
      <c r="M169" s="157">
        <v>7.0388109000825774E-2</v>
      </c>
      <c r="N169" s="157">
        <v>7.0387861677160102E-2</v>
      </c>
      <c r="O169" s="157">
        <v>7.038766164708854E-2</v>
      </c>
      <c r="P169" s="157">
        <v>6.8449106435268872E-2</v>
      </c>
      <c r="Q169" s="157">
        <v>6.8449074802353335E-2</v>
      </c>
      <c r="R169" s="157">
        <v>6.8449231891022991E-2</v>
      </c>
      <c r="S169" s="157">
        <v>6.844885998589674E-2</v>
      </c>
      <c r="T169" s="157">
        <v>6.8449089228254351E-2</v>
      </c>
      <c r="U169" s="157">
        <v>6.8448909129256275E-2</v>
      </c>
      <c r="V169" s="157">
        <v>6.844912385752186E-2</v>
      </c>
      <c r="W169" s="157">
        <v>6.844907291205557E-2</v>
      </c>
      <c r="X169" s="157">
        <v>6.8448873072360611E-2</v>
      </c>
      <c r="Y169" s="157">
        <v>6.8448760759375782E-2</v>
      </c>
      <c r="Z169" s="157">
        <v>6.8449310384507897E-2</v>
      </c>
      <c r="AA169" s="157">
        <v>6.84489029436392E-2</v>
      </c>
      <c r="AB169" s="157">
        <v>6.8449049551762967E-2</v>
      </c>
      <c r="AC169" s="157">
        <v>6.8448884545662614E-2</v>
      </c>
      <c r="AD169" s="157">
        <v>6.8448862506745436E-2</v>
      </c>
      <c r="AE169" s="157">
        <v>6.8448992662138136E-2</v>
      </c>
      <c r="AF169" s="157">
        <v>6.8448992662138136E-2</v>
      </c>
      <c r="AG169" s="157">
        <v>6.8448992662138136E-2</v>
      </c>
      <c r="AH169" s="157">
        <v>6.8448992662138136E-2</v>
      </c>
      <c r="AI169" s="157">
        <v>6.8448992662138136E-2</v>
      </c>
      <c r="AJ169" s="157">
        <v>6.8448992662138136E-2</v>
      </c>
      <c r="AK169" s="157">
        <v>6.8448992662138136E-2</v>
      </c>
      <c r="AL169" s="157">
        <v>6.8448992662138136E-2</v>
      </c>
      <c r="AM169" s="157">
        <v>6.8448992662138136E-2</v>
      </c>
      <c r="AN169" s="157">
        <v>6.8448992662138136E-2</v>
      </c>
      <c r="AO169" s="157">
        <v>6.8448992662138136E-2</v>
      </c>
      <c r="AP169" s="157">
        <v>6.8448992662138136E-2</v>
      </c>
      <c r="AQ169" s="157">
        <v>6.8448992662138136E-2</v>
      </c>
      <c r="AR169" s="157">
        <v>6.8448992662138136E-2</v>
      </c>
      <c r="AS169" s="149">
        <f t="shared" ref="AS169:BV169" si="126">AR169</f>
        <v>6.8448992662138136E-2</v>
      </c>
      <c r="AT169" s="149">
        <f t="shared" si="126"/>
        <v>6.8448992662138136E-2</v>
      </c>
      <c r="AU169" s="149">
        <f t="shared" si="126"/>
        <v>6.8448992662138136E-2</v>
      </c>
      <c r="AV169" s="149">
        <f t="shared" si="126"/>
        <v>6.8448992662138136E-2</v>
      </c>
      <c r="AW169" s="149">
        <f t="shared" si="126"/>
        <v>6.8448992662138136E-2</v>
      </c>
      <c r="AX169" s="149">
        <f t="shared" si="126"/>
        <v>6.8448992662138136E-2</v>
      </c>
      <c r="AY169" s="149">
        <f t="shared" si="126"/>
        <v>6.8448992662138136E-2</v>
      </c>
      <c r="AZ169" s="149">
        <f t="shared" si="126"/>
        <v>6.8448992662138136E-2</v>
      </c>
      <c r="BA169" s="149">
        <f t="shared" si="126"/>
        <v>6.8448992662138136E-2</v>
      </c>
      <c r="BB169" s="149">
        <f t="shared" si="126"/>
        <v>6.8448992662138136E-2</v>
      </c>
      <c r="BC169" s="149">
        <f t="shared" si="126"/>
        <v>6.8448992662138136E-2</v>
      </c>
      <c r="BD169" s="149">
        <f t="shared" si="126"/>
        <v>6.8448992662138136E-2</v>
      </c>
      <c r="BE169" s="149">
        <f t="shared" si="126"/>
        <v>6.8448992662138136E-2</v>
      </c>
      <c r="BF169" s="149">
        <f t="shared" si="126"/>
        <v>6.8448992662138136E-2</v>
      </c>
      <c r="BG169" s="149">
        <f t="shared" si="126"/>
        <v>6.8448992662138136E-2</v>
      </c>
      <c r="BH169" s="149">
        <f t="shared" si="126"/>
        <v>6.8448992662138136E-2</v>
      </c>
      <c r="BI169" s="149">
        <f t="shared" si="126"/>
        <v>6.8448992662138136E-2</v>
      </c>
      <c r="BJ169" s="149">
        <f t="shared" si="126"/>
        <v>6.8448992662138136E-2</v>
      </c>
      <c r="BK169" s="149">
        <f t="shared" si="126"/>
        <v>6.8448992662138136E-2</v>
      </c>
      <c r="BL169" s="149">
        <f t="shared" si="126"/>
        <v>6.8448992662138136E-2</v>
      </c>
      <c r="BM169" s="149">
        <f t="shared" si="126"/>
        <v>6.8448992662138136E-2</v>
      </c>
      <c r="BN169" s="149">
        <f t="shared" si="126"/>
        <v>6.8448992662138136E-2</v>
      </c>
      <c r="BO169" s="149">
        <f t="shared" si="126"/>
        <v>6.8448992662138136E-2</v>
      </c>
      <c r="BP169" s="149">
        <f t="shared" si="126"/>
        <v>6.8448992662138136E-2</v>
      </c>
      <c r="BQ169" s="149">
        <f t="shared" si="126"/>
        <v>6.8448992662138136E-2</v>
      </c>
      <c r="BR169" s="149">
        <f t="shared" si="126"/>
        <v>6.8448992662138136E-2</v>
      </c>
      <c r="BS169" s="149">
        <f t="shared" si="126"/>
        <v>6.8448992662138136E-2</v>
      </c>
      <c r="BT169" s="149">
        <f t="shared" si="126"/>
        <v>6.8448992662138136E-2</v>
      </c>
      <c r="BU169" s="149">
        <f t="shared" si="126"/>
        <v>6.8448992662138136E-2</v>
      </c>
      <c r="BV169" s="149">
        <f t="shared" si="126"/>
        <v>6.8448992662138136E-2</v>
      </c>
    </row>
    <row r="170" spans="1:74" x14ac:dyDescent="0.25">
      <c r="A170" s="141" t="s">
        <v>181</v>
      </c>
      <c r="B170" s="142"/>
      <c r="C170" s="142"/>
      <c r="D170" s="157">
        <v>7.4244372161799493E-2</v>
      </c>
      <c r="E170" s="157">
        <v>7.4244372161799493E-2</v>
      </c>
      <c r="F170" s="157">
        <v>7.4244372161799493E-2</v>
      </c>
      <c r="G170" s="157">
        <v>7.4244372161799493E-2</v>
      </c>
      <c r="H170" s="157">
        <v>7.4244372161799493E-2</v>
      </c>
      <c r="I170" s="157">
        <v>7.4244372161799493E-2</v>
      </c>
      <c r="J170" s="157">
        <v>7.4244372161799493E-2</v>
      </c>
      <c r="K170" s="157">
        <v>7.4244372161799493E-2</v>
      </c>
      <c r="L170" s="157">
        <v>7.4244372161799493E-2</v>
      </c>
      <c r="M170" s="157">
        <v>7.4244372161799493E-2</v>
      </c>
      <c r="N170" s="157">
        <v>7.4244372161799493E-2</v>
      </c>
      <c r="O170" s="157">
        <v>7.4244372161799493E-2</v>
      </c>
      <c r="P170" s="157">
        <v>7.4244372161799493E-2</v>
      </c>
      <c r="Q170" s="157">
        <v>7.4244372161799493E-2</v>
      </c>
      <c r="R170" s="157">
        <v>7.4244372161799493E-2</v>
      </c>
      <c r="S170" s="157">
        <v>7.4244372161799493E-2</v>
      </c>
      <c r="T170" s="157">
        <v>7.4244372161799493E-2</v>
      </c>
      <c r="U170" s="157">
        <v>7.4244372161799493E-2</v>
      </c>
      <c r="V170" s="157">
        <v>7.4244372161799493E-2</v>
      </c>
      <c r="W170" s="157">
        <v>7.4244372161799493E-2</v>
      </c>
      <c r="X170" s="157">
        <v>7.4244372161799493E-2</v>
      </c>
      <c r="Y170" s="157">
        <v>7.4244372161799493E-2</v>
      </c>
      <c r="Z170" s="157">
        <v>7.4244372161799493E-2</v>
      </c>
      <c r="AA170" s="157">
        <v>7.4244372161799493E-2</v>
      </c>
      <c r="AB170" s="157">
        <v>7.4244372161799493E-2</v>
      </c>
      <c r="AC170" s="157">
        <v>7.4244372161799493E-2</v>
      </c>
      <c r="AD170" s="157">
        <v>7.4244372161799493E-2</v>
      </c>
      <c r="AE170" s="157">
        <v>7.4244372161799493E-2</v>
      </c>
      <c r="AF170" s="157">
        <v>7.4244372161799493E-2</v>
      </c>
      <c r="AG170" s="157">
        <v>7.4244372161799493E-2</v>
      </c>
      <c r="AH170" s="157">
        <v>7.4244372161799493E-2</v>
      </c>
      <c r="AI170" s="157">
        <v>7.4244372161799493E-2</v>
      </c>
      <c r="AJ170" s="157">
        <v>7.4244372161799493E-2</v>
      </c>
      <c r="AK170" s="157">
        <v>7.4244372161799493E-2</v>
      </c>
      <c r="AL170" s="157">
        <v>7.4244372161799493E-2</v>
      </c>
      <c r="AM170" s="157">
        <v>7.4244372161799493E-2</v>
      </c>
      <c r="AN170" s="157">
        <v>7.4244372161799493E-2</v>
      </c>
      <c r="AO170" s="157">
        <v>7.4244372161799493E-2</v>
      </c>
      <c r="AP170" s="157">
        <v>7.4244372161799493E-2</v>
      </c>
      <c r="AQ170" s="157">
        <v>7.4244372161799493E-2</v>
      </c>
      <c r="AR170" s="157">
        <v>7.4244372161799493E-2</v>
      </c>
      <c r="AS170" s="149">
        <f t="shared" ref="AS170:BV170" si="127">AR170</f>
        <v>7.4244372161799493E-2</v>
      </c>
      <c r="AT170" s="149">
        <f t="shared" si="127"/>
        <v>7.4244372161799493E-2</v>
      </c>
      <c r="AU170" s="149">
        <f t="shared" si="127"/>
        <v>7.4244372161799493E-2</v>
      </c>
      <c r="AV170" s="149">
        <f t="shared" si="127"/>
        <v>7.4244372161799493E-2</v>
      </c>
      <c r="AW170" s="149">
        <f t="shared" si="127"/>
        <v>7.4244372161799493E-2</v>
      </c>
      <c r="AX170" s="149">
        <f t="shared" si="127"/>
        <v>7.4244372161799493E-2</v>
      </c>
      <c r="AY170" s="149">
        <f t="shared" si="127"/>
        <v>7.4244372161799493E-2</v>
      </c>
      <c r="AZ170" s="149">
        <f t="shared" si="127"/>
        <v>7.4244372161799493E-2</v>
      </c>
      <c r="BA170" s="149">
        <f t="shared" si="127"/>
        <v>7.4244372161799493E-2</v>
      </c>
      <c r="BB170" s="149">
        <f t="shared" si="127"/>
        <v>7.4244372161799493E-2</v>
      </c>
      <c r="BC170" s="149">
        <f t="shared" si="127"/>
        <v>7.4244372161799493E-2</v>
      </c>
      <c r="BD170" s="149">
        <f t="shared" si="127"/>
        <v>7.4244372161799493E-2</v>
      </c>
      <c r="BE170" s="149">
        <f t="shared" si="127"/>
        <v>7.4244372161799493E-2</v>
      </c>
      <c r="BF170" s="149">
        <f t="shared" si="127"/>
        <v>7.4244372161799493E-2</v>
      </c>
      <c r="BG170" s="149">
        <f t="shared" si="127"/>
        <v>7.4244372161799493E-2</v>
      </c>
      <c r="BH170" s="149">
        <f t="shared" si="127"/>
        <v>7.4244372161799493E-2</v>
      </c>
      <c r="BI170" s="149">
        <f t="shared" si="127"/>
        <v>7.4244372161799493E-2</v>
      </c>
      <c r="BJ170" s="149">
        <f t="shared" si="127"/>
        <v>7.4244372161799493E-2</v>
      </c>
      <c r="BK170" s="149">
        <f t="shared" si="127"/>
        <v>7.4244372161799493E-2</v>
      </c>
      <c r="BL170" s="149">
        <f t="shared" si="127"/>
        <v>7.4244372161799493E-2</v>
      </c>
      <c r="BM170" s="149">
        <f t="shared" si="127"/>
        <v>7.4244372161799493E-2</v>
      </c>
      <c r="BN170" s="149">
        <f t="shared" si="127"/>
        <v>7.4244372161799493E-2</v>
      </c>
      <c r="BO170" s="149">
        <f t="shared" si="127"/>
        <v>7.4244372161799493E-2</v>
      </c>
      <c r="BP170" s="149">
        <f t="shared" si="127"/>
        <v>7.4244372161799493E-2</v>
      </c>
      <c r="BQ170" s="149">
        <f t="shared" si="127"/>
        <v>7.4244372161799493E-2</v>
      </c>
      <c r="BR170" s="149">
        <f t="shared" si="127"/>
        <v>7.4244372161799493E-2</v>
      </c>
      <c r="BS170" s="149">
        <f t="shared" si="127"/>
        <v>7.4244372161799493E-2</v>
      </c>
      <c r="BT170" s="149">
        <f t="shared" si="127"/>
        <v>7.4244372161799493E-2</v>
      </c>
      <c r="BU170" s="149">
        <f t="shared" si="127"/>
        <v>7.4244372161799493E-2</v>
      </c>
      <c r="BV170" s="149">
        <f t="shared" si="127"/>
        <v>7.4244372161799493E-2</v>
      </c>
    </row>
    <row r="171" spans="1:74" x14ac:dyDescent="0.25">
      <c r="A171" s="141" t="s">
        <v>183</v>
      </c>
      <c r="B171" s="142"/>
      <c r="C171" s="142"/>
      <c r="D171" s="157">
        <v>6.1427408122131752E-2</v>
      </c>
      <c r="E171" s="157">
        <v>6.1427408122131752E-2</v>
      </c>
      <c r="F171" s="157">
        <v>6.1427408122131752E-2</v>
      </c>
      <c r="G171" s="157">
        <v>6.1427408122131752E-2</v>
      </c>
      <c r="H171" s="157">
        <v>6.1427408122131752E-2</v>
      </c>
      <c r="I171" s="157">
        <v>6.1427408122131752E-2</v>
      </c>
      <c r="J171" s="157">
        <v>6.1427408122131752E-2</v>
      </c>
      <c r="K171" s="157">
        <v>6.1427408122131752E-2</v>
      </c>
      <c r="L171" s="157">
        <v>6.1427408122131752E-2</v>
      </c>
      <c r="M171" s="157">
        <v>6.1427408122131752E-2</v>
      </c>
      <c r="N171" s="157">
        <v>6.1427408122131752E-2</v>
      </c>
      <c r="O171" s="157">
        <v>6.1427408122131752E-2</v>
      </c>
      <c r="P171" s="157">
        <v>6.1427408122131752E-2</v>
      </c>
      <c r="Q171" s="157">
        <v>6.1427408122131752E-2</v>
      </c>
      <c r="R171" s="157">
        <v>6.1427408122131752E-2</v>
      </c>
      <c r="S171" s="157">
        <v>6.1427408122131752E-2</v>
      </c>
      <c r="T171" s="157">
        <v>6.1427408122131752E-2</v>
      </c>
      <c r="U171" s="157">
        <v>6.1427408122131752E-2</v>
      </c>
      <c r="V171" s="157">
        <v>6.1427408122131752E-2</v>
      </c>
      <c r="W171" s="157">
        <v>6.1427408122131752E-2</v>
      </c>
      <c r="X171" s="157">
        <v>6.1427408122131752E-2</v>
      </c>
      <c r="Y171" s="157">
        <v>6.1427408122131752E-2</v>
      </c>
      <c r="Z171" s="157">
        <v>6.1427736540965582E-2</v>
      </c>
      <c r="AA171" s="157">
        <v>6.1427736540965582E-2</v>
      </c>
      <c r="AB171" s="157">
        <v>6.1427736540965582E-2</v>
      </c>
      <c r="AC171" s="157">
        <v>6.1427736540965582E-2</v>
      </c>
      <c r="AD171" s="157">
        <v>6.1426351412625008E-2</v>
      </c>
      <c r="AE171" s="157">
        <v>6.1426351412625008E-2</v>
      </c>
      <c r="AF171" s="157">
        <v>6.1426351412625008E-2</v>
      </c>
      <c r="AG171" s="157">
        <v>6.1426351412625008E-2</v>
      </c>
      <c r="AH171" s="157">
        <v>6.1426351412625008E-2</v>
      </c>
      <c r="AI171" s="157">
        <v>6.1426351412625008E-2</v>
      </c>
      <c r="AJ171" s="157">
        <v>6.1426351412625008E-2</v>
      </c>
      <c r="AK171" s="157">
        <v>6.1426351412625008E-2</v>
      </c>
      <c r="AL171" s="157">
        <v>6.1426351412625008E-2</v>
      </c>
      <c r="AM171" s="157">
        <v>6.1426351412625008E-2</v>
      </c>
      <c r="AN171" s="157">
        <v>6.1426351412625008E-2</v>
      </c>
      <c r="AO171" s="157">
        <v>6.1426351412625008E-2</v>
      </c>
      <c r="AP171" s="157">
        <v>6.1426351412625008E-2</v>
      </c>
      <c r="AQ171" s="157">
        <v>6.1426351412625008E-2</v>
      </c>
      <c r="AR171" s="157">
        <v>6.1426351412625008E-2</v>
      </c>
      <c r="AS171" s="149">
        <f t="shared" ref="AS171:BV171" si="128">AR171</f>
        <v>6.1426351412625008E-2</v>
      </c>
      <c r="AT171" s="149">
        <f t="shared" si="128"/>
        <v>6.1426351412625008E-2</v>
      </c>
      <c r="AU171" s="149">
        <f t="shared" si="128"/>
        <v>6.1426351412625008E-2</v>
      </c>
      <c r="AV171" s="149">
        <f t="shared" si="128"/>
        <v>6.1426351412625008E-2</v>
      </c>
      <c r="AW171" s="149">
        <f t="shared" si="128"/>
        <v>6.1426351412625008E-2</v>
      </c>
      <c r="AX171" s="149">
        <f t="shared" si="128"/>
        <v>6.1426351412625008E-2</v>
      </c>
      <c r="AY171" s="149">
        <f t="shared" si="128"/>
        <v>6.1426351412625008E-2</v>
      </c>
      <c r="AZ171" s="149">
        <f t="shared" si="128"/>
        <v>6.1426351412625008E-2</v>
      </c>
      <c r="BA171" s="149">
        <f t="shared" si="128"/>
        <v>6.1426351412625008E-2</v>
      </c>
      <c r="BB171" s="149">
        <f t="shared" si="128"/>
        <v>6.1426351412625008E-2</v>
      </c>
      <c r="BC171" s="149">
        <f t="shared" si="128"/>
        <v>6.1426351412625008E-2</v>
      </c>
      <c r="BD171" s="149">
        <f t="shared" si="128"/>
        <v>6.1426351412625008E-2</v>
      </c>
      <c r="BE171" s="149">
        <f t="shared" si="128"/>
        <v>6.1426351412625008E-2</v>
      </c>
      <c r="BF171" s="149">
        <f t="shared" si="128"/>
        <v>6.1426351412625008E-2</v>
      </c>
      <c r="BG171" s="149">
        <f t="shared" si="128"/>
        <v>6.1426351412625008E-2</v>
      </c>
      <c r="BH171" s="149">
        <f t="shared" si="128"/>
        <v>6.1426351412625008E-2</v>
      </c>
      <c r="BI171" s="149">
        <f t="shared" si="128"/>
        <v>6.1426351412625008E-2</v>
      </c>
      <c r="BJ171" s="149">
        <f t="shared" si="128"/>
        <v>6.1426351412625008E-2</v>
      </c>
      <c r="BK171" s="149">
        <f t="shared" si="128"/>
        <v>6.1426351412625008E-2</v>
      </c>
      <c r="BL171" s="149">
        <f t="shared" si="128"/>
        <v>6.1426351412625008E-2</v>
      </c>
      <c r="BM171" s="149">
        <f t="shared" si="128"/>
        <v>6.1426351412625008E-2</v>
      </c>
      <c r="BN171" s="149">
        <f t="shared" si="128"/>
        <v>6.1426351412625008E-2</v>
      </c>
      <c r="BO171" s="149">
        <f t="shared" si="128"/>
        <v>6.1426351412625008E-2</v>
      </c>
      <c r="BP171" s="149">
        <f t="shared" si="128"/>
        <v>6.1426351412625008E-2</v>
      </c>
      <c r="BQ171" s="149">
        <f t="shared" si="128"/>
        <v>6.1426351412625008E-2</v>
      </c>
      <c r="BR171" s="149">
        <f t="shared" si="128"/>
        <v>6.1426351412625008E-2</v>
      </c>
      <c r="BS171" s="149">
        <f t="shared" si="128"/>
        <v>6.1426351412625008E-2</v>
      </c>
      <c r="BT171" s="149">
        <f t="shared" si="128"/>
        <v>6.1426351412625008E-2</v>
      </c>
      <c r="BU171" s="149">
        <f t="shared" si="128"/>
        <v>6.1426351412625008E-2</v>
      </c>
      <c r="BV171" s="149">
        <f t="shared" si="128"/>
        <v>6.1426351412625008E-2</v>
      </c>
    </row>
    <row r="172" spans="1:74" x14ac:dyDescent="0.25">
      <c r="A172" s="147" t="s">
        <v>184</v>
      </c>
      <c r="C172" s="142"/>
      <c r="D172" s="157">
        <v>7.9069682467386798E-2</v>
      </c>
      <c r="E172" s="157">
        <v>7.8954055882881014E-2</v>
      </c>
      <c r="F172" s="157">
        <v>7.8838766974825669E-2</v>
      </c>
      <c r="G172" s="157">
        <v>7.8723814266149647E-2</v>
      </c>
      <c r="H172" s="157">
        <v>7.8609196288383962E-2</v>
      </c>
      <c r="I172" s="157">
        <v>7.8494911581599283E-2</v>
      </c>
      <c r="J172" s="157">
        <v>8.0484517100192679E-2</v>
      </c>
      <c r="K172" s="157">
        <v>8.1432885829493096E-2</v>
      </c>
      <c r="L172" s="157">
        <v>7.8202985489173565E-2</v>
      </c>
      <c r="M172" s="157">
        <v>7.9327181926145018E-2</v>
      </c>
      <c r="N172" s="157">
        <v>8.0091975639588225E-2</v>
      </c>
      <c r="O172" s="157">
        <v>7.9958948753608206E-2</v>
      </c>
      <c r="P172" s="157">
        <v>8.0127601178990121E-2</v>
      </c>
      <c r="Q172" s="157">
        <v>8.1989862470665781E-2</v>
      </c>
      <c r="R172" s="157">
        <v>8.2650362961002519E-2</v>
      </c>
      <c r="S172" s="157">
        <v>8.3828873070901838E-2</v>
      </c>
      <c r="T172" s="157">
        <v>8.4163103508091114E-2</v>
      </c>
      <c r="U172" s="157">
        <v>8.5582184843443168E-2</v>
      </c>
      <c r="V172" s="157">
        <v>8.4548441907527708E-2</v>
      </c>
      <c r="W172" s="157">
        <v>8.1551085528052555E-2</v>
      </c>
      <c r="X172" s="157">
        <v>8.1571494077919054E-2</v>
      </c>
      <c r="Y172" s="157">
        <v>8.3496895533151316E-2</v>
      </c>
      <c r="Z172" s="157">
        <v>8.1958094040299578E-2</v>
      </c>
      <c r="AA172" s="157">
        <v>8.0877278405640629E-2</v>
      </c>
      <c r="AB172" s="157">
        <v>8.0993584032994795E-2</v>
      </c>
      <c r="AC172" s="157">
        <v>8.0767021208888012E-2</v>
      </c>
      <c r="AD172" s="157">
        <v>8.0439232589319384E-2</v>
      </c>
      <c r="AE172" s="157">
        <v>8.1579674842975874E-2</v>
      </c>
      <c r="AF172" s="157">
        <v>8.1579674842975874E-2</v>
      </c>
      <c r="AG172" s="157">
        <v>8.1579674842975874E-2</v>
      </c>
      <c r="AH172" s="157">
        <v>8.1579674842975874E-2</v>
      </c>
      <c r="AI172" s="157">
        <v>8.1579674842975874E-2</v>
      </c>
      <c r="AJ172" s="157">
        <v>8.1579674842975874E-2</v>
      </c>
      <c r="AK172" s="157">
        <v>8.1579674842975874E-2</v>
      </c>
      <c r="AL172" s="157">
        <v>8.1579674842975874E-2</v>
      </c>
      <c r="AM172" s="157">
        <v>8.1579674842975874E-2</v>
      </c>
      <c r="AN172" s="157">
        <v>8.1579674842975874E-2</v>
      </c>
      <c r="AO172" s="157">
        <v>8.1579674842975874E-2</v>
      </c>
      <c r="AP172" s="157">
        <v>8.1579674842975874E-2</v>
      </c>
      <c r="AQ172" s="157">
        <v>8.1579674842975874E-2</v>
      </c>
      <c r="AR172" s="157">
        <v>8.1579674842975874E-2</v>
      </c>
      <c r="AS172" s="149">
        <f t="shared" ref="AS172:BV172" si="129">AR172</f>
        <v>8.1579674842975874E-2</v>
      </c>
      <c r="AT172" s="149">
        <f t="shared" si="129"/>
        <v>8.1579674842975874E-2</v>
      </c>
      <c r="AU172" s="149">
        <f t="shared" si="129"/>
        <v>8.1579674842975874E-2</v>
      </c>
      <c r="AV172" s="149">
        <f t="shared" si="129"/>
        <v>8.1579674842975874E-2</v>
      </c>
      <c r="AW172" s="149">
        <f t="shared" si="129"/>
        <v>8.1579674842975874E-2</v>
      </c>
      <c r="AX172" s="149">
        <f t="shared" si="129"/>
        <v>8.1579674842975874E-2</v>
      </c>
      <c r="AY172" s="149">
        <f t="shared" si="129"/>
        <v>8.1579674842975874E-2</v>
      </c>
      <c r="AZ172" s="149">
        <f t="shared" si="129"/>
        <v>8.1579674842975874E-2</v>
      </c>
      <c r="BA172" s="149">
        <f t="shared" si="129"/>
        <v>8.1579674842975874E-2</v>
      </c>
      <c r="BB172" s="149">
        <f t="shared" si="129"/>
        <v>8.1579674842975874E-2</v>
      </c>
      <c r="BC172" s="149">
        <f t="shared" si="129"/>
        <v>8.1579674842975874E-2</v>
      </c>
      <c r="BD172" s="149">
        <f t="shared" si="129"/>
        <v>8.1579674842975874E-2</v>
      </c>
      <c r="BE172" s="149">
        <f t="shared" si="129"/>
        <v>8.1579674842975874E-2</v>
      </c>
      <c r="BF172" s="149">
        <f t="shared" si="129"/>
        <v>8.1579674842975874E-2</v>
      </c>
      <c r="BG172" s="149">
        <f t="shared" si="129"/>
        <v>8.1579674842975874E-2</v>
      </c>
      <c r="BH172" s="149">
        <f t="shared" si="129"/>
        <v>8.1579674842975874E-2</v>
      </c>
      <c r="BI172" s="149">
        <f t="shared" si="129"/>
        <v>8.1579674842975874E-2</v>
      </c>
      <c r="BJ172" s="149">
        <f t="shared" si="129"/>
        <v>8.1579674842975874E-2</v>
      </c>
      <c r="BK172" s="149">
        <f t="shared" si="129"/>
        <v>8.1579674842975874E-2</v>
      </c>
      <c r="BL172" s="149">
        <f t="shared" si="129"/>
        <v>8.1579674842975874E-2</v>
      </c>
      <c r="BM172" s="149">
        <f t="shared" si="129"/>
        <v>8.1579674842975874E-2</v>
      </c>
      <c r="BN172" s="149">
        <f t="shared" si="129"/>
        <v>8.1579674842975874E-2</v>
      </c>
      <c r="BO172" s="149">
        <f t="shared" si="129"/>
        <v>8.1579674842975874E-2</v>
      </c>
      <c r="BP172" s="149">
        <f t="shared" si="129"/>
        <v>8.1579674842975874E-2</v>
      </c>
      <c r="BQ172" s="149">
        <f t="shared" si="129"/>
        <v>8.1579674842975874E-2</v>
      </c>
      <c r="BR172" s="149">
        <f t="shared" si="129"/>
        <v>8.1579674842975874E-2</v>
      </c>
      <c r="BS172" s="149">
        <f t="shared" si="129"/>
        <v>8.1579674842975874E-2</v>
      </c>
      <c r="BT172" s="149">
        <f t="shared" si="129"/>
        <v>8.1579674842975874E-2</v>
      </c>
      <c r="BU172" s="149">
        <f t="shared" si="129"/>
        <v>8.1579674842975874E-2</v>
      </c>
      <c r="BV172" s="149">
        <f t="shared" si="129"/>
        <v>8.1579674842975874E-2</v>
      </c>
    </row>
    <row r="173" spans="1:74" x14ac:dyDescent="0.25">
      <c r="A173" s="147" t="s">
        <v>186</v>
      </c>
      <c r="C173" s="142"/>
      <c r="D173" s="157">
        <v>0.11005896687927426</v>
      </c>
      <c r="E173" s="157">
        <v>0.11005896707370726</v>
      </c>
      <c r="F173" s="157">
        <v>0.11005896726814027</v>
      </c>
      <c r="G173" s="157">
        <v>0.11005896746257328</v>
      </c>
      <c r="H173" s="157">
        <v>0.11005896765700629</v>
      </c>
      <c r="I173" s="157">
        <v>0.1100589678514393</v>
      </c>
      <c r="J173" s="157">
        <v>0.11005896670553743</v>
      </c>
      <c r="K173" s="157">
        <v>0.11005896676044352</v>
      </c>
      <c r="L173" s="157">
        <v>0.1100589665637436</v>
      </c>
      <c r="M173" s="157">
        <v>0.11005896589385057</v>
      </c>
      <c r="N173" s="157">
        <v>0.11005896543936709</v>
      </c>
      <c r="O173" s="157">
        <v>0.11005896652585481</v>
      </c>
      <c r="P173" s="157">
        <v>0.11005896629550976</v>
      </c>
      <c r="Q173" s="157">
        <v>0.11005896655734179</v>
      </c>
      <c r="R173" s="157">
        <v>0.1100589667316114</v>
      </c>
      <c r="S173" s="157">
        <v>0.11005896611747185</v>
      </c>
      <c r="T173" s="157">
        <v>0.1100589786035286</v>
      </c>
      <c r="U173" s="157">
        <v>0.11005898048751428</v>
      </c>
      <c r="V173" s="157">
        <v>0.11005897316757957</v>
      </c>
      <c r="W173" s="157">
        <v>0.11005895843000511</v>
      </c>
      <c r="X173" s="157">
        <v>0.11005898524737921</v>
      </c>
      <c r="Y173" s="157">
        <v>0.11005897874386295</v>
      </c>
      <c r="Z173" s="157">
        <v>0.11005896989140068</v>
      </c>
      <c r="AA173" s="157">
        <v>0.1100589468098807</v>
      </c>
      <c r="AB173" s="157">
        <v>0.11005895716733316</v>
      </c>
      <c r="AC173" s="157">
        <v>0.11005896964909377</v>
      </c>
      <c r="AD173" s="157">
        <v>0.110058948582673</v>
      </c>
      <c r="AE173" s="157">
        <v>0.11005897557611631</v>
      </c>
      <c r="AF173" s="157">
        <v>0.11005897557611631</v>
      </c>
      <c r="AG173" s="157">
        <v>0.11005897557611631</v>
      </c>
      <c r="AH173" s="157">
        <v>0.11005897557611631</v>
      </c>
      <c r="AI173" s="157">
        <v>0.11005897557611631</v>
      </c>
      <c r="AJ173" s="157">
        <v>0.11005897557611631</v>
      </c>
      <c r="AK173" s="157">
        <v>0.11005897557611631</v>
      </c>
      <c r="AL173" s="157">
        <v>0.11005897557611631</v>
      </c>
      <c r="AM173" s="157">
        <v>0.11005897557611631</v>
      </c>
      <c r="AN173" s="157">
        <v>0.11005897557611631</v>
      </c>
      <c r="AO173" s="157">
        <v>0.11005897557611631</v>
      </c>
      <c r="AP173" s="157">
        <v>0.11005897557611631</v>
      </c>
      <c r="AQ173" s="157">
        <v>0.11005897557611631</v>
      </c>
      <c r="AR173" s="157">
        <v>0.11005897557611631</v>
      </c>
      <c r="AS173" s="149">
        <f t="shared" ref="AS173:BV173" si="130">AR173</f>
        <v>0.11005897557611631</v>
      </c>
      <c r="AT173" s="149">
        <f t="shared" si="130"/>
        <v>0.11005897557611631</v>
      </c>
      <c r="AU173" s="149">
        <f t="shared" si="130"/>
        <v>0.11005897557611631</v>
      </c>
      <c r="AV173" s="149">
        <f t="shared" si="130"/>
        <v>0.11005897557611631</v>
      </c>
      <c r="AW173" s="149">
        <f t="shared" si="130"/>
        <v>0.11005897557611631</v>
      </c>
      <c r="AX173" s="149">
        <f t="shared" si="130"/>
        <v>0.11005897557611631</v>
      </c>
      <c r="AY173" s="149">
        <f t="shared" si="130"/>
        <v>0.11005897557611631</v>
      </c>
      <c r="AZ173" s="149">
        <f t="shared" si="130"/>
        <v>0.11005897557611631</v>
      </c>
      <c r="BA173" s="149">
        <f t="shared" si="130"/>
        <v>0.11005897557611631</v>
      </c>
      <c r="BB173" s="149">
        <f t="shared" si="130"/>
        <v>0.11005897557611631</v>
      </c>
      <c r="BC173" s="149">
        <f t="shared" si="130"/>
        <v>0.11005897557611631</v>
      </c>
      <c r="BD173" s="149">
        <f t="shared" si="130"/>
        <v>0.11005897557611631</v>
      </c>
      <c r="BE173" s="149">
        <f t="shared" si="130"/>
        <v>0.11005897557611631</v>
      </c>
      <c r="BF173" s="149">
        <f t="shared" si="130"/>
        <v>0.11005897557611631</v>
      </c>
      <c r="BG173" s="149">
        <f t="shared" si="130"/>
        <v>0.11005897557611631</v>
      </c>
      <c r="BH173" s="149">
        <f t="shared" si="130"/>
        <v>0.11005897557611631</v>
      </c>
      <c r="BI173" s="149">
        <f t="shared" si="130"/>
        <v>0.11005897557611631</v>
      </c>
      <c r="BJ173" s="149">
        <f t="shared" si="130"/>
        <v>0.11005897557611631</v>
      </c>
      <c r="BK173" s="149">
        <f t="shared" si="130"/>
        <v>0.11005897557611631</v>
      </c>
      <c r="BL173" s="149">
        <f t="shared" si="130"/>
        <v>0.11005897557611631</v>
      </c>
      <c r="BM173" s="149">
        <f t="shared" si="130"/>
        <v>0.11005897557611631</v>
      </c>
      <c r="BN173" s="149">
        <f t="shared" si="130"/>
        <v>0.11005897557611631</v>
      </c>
      <c r="BO173" s="149">
        <f t="shared" si="130"/>
        <v>0.11005897557611631</v>
      </c>
      <c r="BP173" s="149">
        <f t="shared" si="130"/>
        <v>0.11005897557611631</v>
      </c>
      <c r="BQ173" s="149">
        <f t="shared" si="130"/>
        <v>0.11005897557611631</v>
      </c>
      <c r="BR173" s="149">
        <f t="shared" si="130"/>
        <v>0.11005897557611631</v>
      </c>
      <c r="BS173" s="149">
        <f t="shared" si="130"/>
        <v>0.11005897557611631</v>
      </c>
      <c r="BT173" s="149">
        <f t="shared" si="130"/>
        <v>0.11005897557611631</v>
      </c>
      <c r="BU173" s="149">
        <f t="shared" si="130"/>
        <v>0.11005897557611631</v>
      </c>
      <c r="BV173" s="149">
        <f t="shared" si="130"/>
        <v>0.11005897557611631</v>
      </c>
    </row>
    <row r="174" spans="1:74" x14ac:dyDescent="0.25">
      <c r="A174" s="141" t="s">
        <v>187</v>
      </c>
      <c r="B174" s="142"/>
      <c r="C174" s="142"/>
      <c r="D174" s="157">
        <v>8.4669648012979798E-2</v>
      </c>
      <c r="E174" s="157">
        <v>8.4763618733123366E-2</v>
      </c>
      <c r="F174" s="157">
        <v>8.4857589453490215E-2</v>
      </c>
      <c r="G174" s="157">
        <v>8.4951560174080371E-2</v>
      </c>
      <c r="H174" s="157">
        <v>8.5045530894893806E-2</v>
      </c>
      <c r="I174" s="157">
        <v>8.5139501615930535E-2</v>
      </c>
      <c r="J174" s="157">
        <v>8.4134444555794233E-2</v>
      </c>
      <c r="K174" s="157">
        <v>8.4450211712153056E-2</v>
      </c>
      <c r="L174" s="157">
        <v>8.0962821708620361E-2</v>
      </c>
      <c r="M174" s="157">
        <v>8.1483050770451718E-2</v>
      </c>
      <c r="N174" s="157">
        <v>8.0059986510225084E-2</v>
      </c>
      <c r="O174" s="157">
        <v>8.2119182170518515E-2</v>
      </c>
      <c r="P174" s="157">
        <v>8.3126805820462626E-2</v>
      </c>
      <c r="Q174" s="157">
        <v>8.3651533025754732E-2</v>
      </c>
      <c r="R174" s="157">
        <v>8.3173233808404343E-2</v>
      </c>
      <c r="S174" s="157">
        <v>8.3303051192369498E-2</v>
      </c>
      <c r="T174" s="157">
        <v>8.3393330223555259E-2</v>
      </c>
      <c r="U174" s="157">
        <v>8.3377563905847649E-2</v>
      </c>
      <c r="V174" s="157">
        <v>8.3411679359558191E-2</v>
      </c>
      <c r="W174" s="157">
        <v>8.3380981828234321E-2</v>
      </c>
      <c r="X174" s="157">
        <v>8.3508013586894372E-2</v>
      </c>
      <c r="Y174" s="157">
        <v>8.3309824540335656E-2</v>
      </c>
      <c r="Z174" s="157">
        <v>8.3278284216720927E-2</v>
      </c>
      <c r="AA174" s="157">
        <v>8.4628461014660719E-2</v>
      </c>
      <c r="AB174" s="157">
        <v>8.124285509656981E-2</v>
      </c>
      <c r="AC174" s="157">
        <v>8.1676976297178072E-2</v>
      </c>
      <c r="AD174" s="157">
        <v>8.1764678751483758E-2</v>
      </c>
      <c r="AE174" s="157">
        <v>8.2196107424975309E-2</v>
      </c>
      <c r="AF174" s="157">
        <v>8.2196107424975309E-2</v>
      </c>
      <c r="AG174" s="157">
        <v>8.2196107424975309E-2</v>
      </c>
      <c r="AH174" s="157">
        <v>8.2196107424975309E-2</v>
      </c>
      <c r="AI174" s="157">
        <v>8.2196107424975309E-2</v>
      </c>
      <c r="AJ174" s="157">
        <v>8.2196107424975309E-2</v>
      </c>
      <c r="AK174" s="157">
        <v>8.2196107424975309E-2</v>
      </c>
      <c r="AL174" s="157">
        <v>8.2196107424975309E-2</v>
      </c>
      <c r="AM174" s="157">
        <v>8.2196107424975309E-2</v>
      </c>
      <c r="AN174" s="157">
        <v>8.2196107424975309E-2</v>
      </c>
      <c r="AO174" s="157">
        <v>8.2196107424975309E-2</v>
      </c>
      <c r="AP174" s="157">
        <v>8.2196107424975309E-2</v>
      </c>
      <c r="AQ174" s="157">
        <v>8.2196107424975309E-2</v>
      </c>
      <c r="AR174" s="157">
        <v>8.2196107424975309E-2</v>
      </c>
      <c r="AS174" s="149">
        <f t="shared" ref="AS174:BV174" si="131">AR174</f>
        <v>8.2196107424975309E-2</v>
      </c>
      <c r="AT174" s="149">
        <f t="shared" si="131"/>
        <v>8.2196107424975309E-2</v>
      </c>
      <c r="AU174" s="149">
        <f t="shared" si="131"/>
        <v>8.2196107424975309E-2</v>
      </c>
      <c r="AV174" s="149">
        <f t="shared" si="131"/>
        <v>8.2196107424975309E-2</v>
      </c>
      <c r="AW174" s="149">
        <f t="shared" si="131"/>
        <v>8.2196107424975309E-2</v>
      </c>
      <c r="AX174" s="149">
        <f t="shared" si="131"/>
        <v>8.2196107424975309E-2</v>
      </c>
      <c r="AY174" s="149">
        <f t="shared" si="131"/>
        <v>8.2196107424975309E-2</v>
      </c>
      <c r="AZ174" s="149">
        <f t="shared" si="131"/>
        <v>8.2196107424975309E-2</v>
      </c>
      <c r="BA174" s="149">
        <f t="shared" si="131"/>
        <v>8.2196107424975309E-2</v>
      </c>
      <c r="BB174" s="149">
        <f t="shared" si="131"/>
        <v>8.2196107424975309E-2</v>
      </c>
      <c r="BC174" s="149">
        <f t="shared" si="131"/>
        <v>8.2196107424975309E-2</v>
      </c>
      <c r="BD174" s="149">
        <f t="shared" si="131"/>
        <v>8.2196107424975309E-2</v>
      </c>
      <c r="BE174" s="149">
        <f t="shared" si="131"/>
        <v>8.2196107424975309E-2</v>
      </c>
      <c r="BF174" s="149">
        <f t="shared" si="131"/>
        <v>8.2196107424975309E-2</v>
      </c>
      <c r="BG174" s="149">
        <f t="shared" si="131"/>
        <v>8.2196107424975309E-2</v>
      </c>
      <c r="BH174" s="149">
        <f t="shared" si="131"/>
        <v>8.2196107424975309E-2</v>
      </c>
      <c r="BI174" s="149">
        <f t="shared" si="131"/>
        <v>8.2196107424975309E-2</v>
      </c>
      <c r="BJ174" s="149">
        <f t="shared" si="131"/>
        <v>8.2196107424975309E-2</v>
      </c>
      <c r="BK174" s="149">
        <f t="shared" si="131"/>
        <v>8.2196107424975309E-2</v>
      </c>
      <c r="BL174" s="149">
        <f t="shared" si="131"/>
        <v>8.2196107424975309E-2</v>
      </c>
      <c r="BM174" s="149">
        <f t="shared" si="131"/>
        <v>8.2196107424975309E-2</v>
      </c>
      <c r="BN174" s="149">
        <f t="shared" si="131"/>
        <v>8.2196107424975309E-2</v>
      </c>
      <c r="BO174" s="149">
        <f t="shared" si="131"/>
        <v>8.2196107424975309E-2</v>
      </c>
      <c r="BP174" s="149">
        <f t="shared" si="131"/>
        <v>8.2196107424975309E-2</v>
      </c>
      <c r="BQ174" s="149">
        <f t="shared" si="131"/>
        <v>8.2196107424975309E-2</v>
      </c>
      <c r="BR174" s="149">
        <f t="shared" si="131"/>
        <v>8.2196107424975309E-2</v>
      </c>
      <c r="BS174" s="149">
        <f t="shared" si="131"/>
        <v>8.2196107424975309E-2</v>
      </c>
      <c r="BT174" s="149">
        <f t="shared" si="131"/>
        <v>8.2196107424975309E-2</v>
      </c>
      <c r="BU174" s="149">
        <f t="shared" si="131"/>
        <v>8.2196107424975309E-2</v>
      </c>
      <c r="BV174" s="149">
        <f t="shared" si="131"/>
        <v>8.2196107424975309E-2</v>
      </c>
    </row>
    <row r="175" spans="1:74" x14ac:dyDescent="0.25">
      <c r="A175" s="147" t="s">
        <v>189</v>
      </c>
      <c r="C175" s="142"/>
      <c r="D175" s="157">
        <v>3.6915636754433108E-2</v>
      </c>
      <c r="E175" s="157">
        <v>3.6915636689798026E-2</v>
      </c>
      <c r="F175" s="157">
        <v>3.6915636625162951E-2</v>
      </c>
      <c r="G175" s="157">
        <v>3.6915636560527876E-2</v>
      </c>
      <c r="H175" s="157">
        <v>3.6915636495892801E-2</v>
      </c>
      <c r="I175" s="157">
        <v>3.6915636431257712E-2</v>
      </c>
      <c r="J175" s="157">
        <v>3.6915636358937777E-2</v>
      </c>
      <c r="K175" s="157">
        <v>3.6915636670680117E-2</v>
      </c>
      <c r="L175" s="157">
        <v>3.5893417523108817E-2</v>
      </c>
      <c r="M175" s="157">
        <v>3.5893416553719325E-2</v>
      </c>
      <c r="N175" s="157">
        <v>3.5893417007309844E-2</v>
      </c>
      <c r="O175" s="157">
        <v>3.5893417352737059E-2</v>
      </c>
      <c r="P175" s="157">
        <v>3.5893417543440012E-2</v>
      </c>
      <c r="Q175" s="157">
        <v>3.5893416415481647E-2</v>
      </c>
      <c r="R175" s="157">
        <v>3.5893416826550666E-2</v>
      </c>
      <c r="S175" s="157">
        <v>3.5893416417395518E-2</v>
      </c>
      <c r="T175" s="157">
        <v>3.5893419913036281E-2</v>
      </c>
      <c r="U175" s="157">
        <v>3.5893407906881634E-2</v>
      </c>
      <c r="V175" s="157">
        <v>3.5893424274743173E-2</v>
      </c>
      <c r="W175" s="157">
        <v>3.5893431794472561E-2</v>
      </c>
      <c r="X175" s="157">
        <v>3.5893418614582853E-2</v>
      </c>
      <c r="Y175" s="157">
        <v>3.5893419555865204E-2</v>
      </c>
      <c r="Z175" s="157">
        <v>3.5893421571805299E-2</v>
      </c>
      <c r="AA175" s="157">
        <v>3.5893408401858437E-2</v>
      </c>
      <c r="AB175" s="157">
        <v>3.5893414267523037E-2</v>
      </c>
      <c r="AC175" s="157">
        <v>3.5893400998692281E-2</v>
      </c>
      <c r="AD175" s="157">
        <v>3.5893429673934947E-2</v>
      </c>
      <c r="AE175" s="157">
        <v>3.5893399475731148E-2</v>
      </c>
      <c r="AF175" s="157">
        <v>3.5893399475731148E-2</v>
      </c>
      <c r="AG175" s="157">
        <v>3.5893399475731148E-2</v>
      </c>
      <c r="AH175" s="157">
        <v>3.5893399475731148E-2</v>
      </c>
      <c r="AI175" s="157">
        <v>3.5893399475731148E-2</v>
      </c>
      <c r="AJ175" s="157">
        <v>3.5893399475731148E-2</v>
      </c>
      <c r="AK175" s="157">
        <v>3.5893399475731148E-2</v>
      </c>
      <c r="AL175" s="157">
        <v>3.5893399475731148E-2</v>
      </c>
      <c r="AM175" s="157">
        <v>3.5893399475731148E-2</v>
      </c>
      <c r="AN175" s="157">
        <v>3.5893399475731148E-2</v>
      </c>
      <c r="AO175" s="157">
        <v>3.5893399475731148E-2</v>
      </c>
      <c r="AP175" s="157">
        <v>3.5893399475731148E-2</v>
      </c>
      <c r="AQ175" s="157">
        <v>3.5893399475731148E-2</v>
      </c>
      <c r="AR175" s="157">
        <v>3.5893399475731148E-2</v>
      </c>
      <c r="AS175" s="149">
        <f t="shared" ref="AS175:BV175" si="132">AR175</f>
        <v>3.5893399475731148E-2</v>
      </c>
      <c r="AT175" s="149">
        <f t="shared" si="132"/>
        <v>3.5893399475731148E-2</v>
      </c>
      <c r="AU175" s="149">
        <f t="shared" si="132"/>
        <v>3.5893399475731148E-2</v>
      </c>
      <c r="AV175" s="149">
        <f t="shared" si="132"/>
        <v>3.5893399475731148E-2</v>
      </c>
      <c r="AW175" s="149">
        <f t="shared" si="132"/>
        <v>3.5893399475731148E-2</v>
      </c>
      <c r="AX175" s="149">
        <f t="shared" si="132"/>
        <v>3.5893399475731148E-2</v>
      </c>
      <c r="AY175" s="149">
        <f t="shared" si="132"/>
        <v>3.5893399475731148E-2</v>
      </c>
      <c r="AZ175" s="149">
        <f t="shared" si="132"/>
        <v>3.5893399475731148E-2</v>
      </c>
      <c r="BA175" s="149">
        <f t="shared" si="132"/>
        <v>3.5893399475731148E-2</v>
      </c>
      <c r="BB175" s="149">
        <f t="shared" si="132"/>
        <v>3.5893399475731148E-2</v>
      </c>
      <c r="BC175" s="149">
        <f t="shared" si="132"/>
        <v>3.5893399475731148E-2</v>
      </c>
      <c r="BD175" s="149">
        <f t="shared" si="132"/>
        <v>3.5893399475731148E-2</v>
      </c>
      <c r="BE175" s="149">
        <f t="shared" si="132"/>
        <v>3.5893399475731148E-2</v>
      </c>
      <c r="BF175" s="149">
        <f t="shared" si="132"/>
        <v>3.5893399475731148E-2</v>
      </c>
      <c r="BG175" s="149">
        <f t="shared" si="132"/>
        <v>3.5893399475731148E-2</v>
      </c>
      <c r="BH175" s="149">
        <f t="shared" si="132"/>
        <v>3.5893399475731148E-2</v>
      </c>
      <c r="BI175" s="149">
        <f t="shared" si="132"/>
        <v>3.5893399475731148E-2</v>
      </c>
      <c r="BJ175" s="149">
        <f t="shared" si="132"/>
        <v>3.5893399475731148E-2</v>
      </c>
      <c r="BK175" s="149">
        <f t="shared" si="132"/>
        <v>3.5893399475731148E-2</v>
      </c>
      <c r="BL175" s="149">
        <f t="shared" si="132"/>
        <v>3.5893399475731148E-2</v>
      </c>
      <c r="BM175" s="149">
        <f t="shared" si="132"/>
        <v>3.5893399475731148E-2</v>
      </c>
      <c r="BN175" s="149">
        <f t="shared" si="132"/>
        <v>3.5893399475731148E-2</v>
      </c>
      <c r="BO175" s="149">
        <f t="shared" si="132"/>
        <v>3.5893399475731148E-2</v>
      </c>
      <c r="BP175" s="149">
        <f t="shared" si="132"/>
        <v>3.5893399475731148E-2</v>
      </c>
      <c r="BQ175" s="149">
        <f t="shared" si="132"/>
        <v>3.5893399475731148E-2</v>
      </c>
      <c r="BR175" s="149">
        <f t="shared" si="132"/>
        <v>3.5893399475731148E-2</v>
      </c>
      <c r="BS175" s="149">
        <f t="shared" si="132"/>
        <v>3.5893399475731148E-2</v>
      </c>
      <c r="BT175" s="149">
        <f t="shared" si="132"/>
        <v>3.5893399475731148E-2</v>
      </c>
      <c r="BU175" s="149">
        <f t="shared" si="132"/>
        <v>3.5893399475731148E-2</v>
      </c>
      <c r="BV175" s="149">
        <f t="shared" si="132"/>
        <v>3.5893399475731148E-2</v>
      </c>
    </row>
    <row r="176" spans="1:74" x14ac:dyDescent="0.25">
      <c r="A176" s="147" t="s">
        <v>12</v>
      </c>
      <c r="C176" s="142"/>
      <c r="D176" s="157">
        <v>6.9545029789487622E-2</v>
      </c>
      <c r="E176" s="157">
        <v>6.9545029789487622E-2</v>
      </c>
      <c r="F176" s="157">
        <v>6.9545029789487622E-2</v>
      </c>
      <c r="G176" s="157">
        <v>6.9545029789487622E-2</v>
      </c>
      <c r="H176" s="157">
        <v>6.9545029789487622E-2</v>
      </c>
      <c r="I176" s="157">
        <v>6.9545029789487622E-2</v>
      </c>
      <c r="J176" s="157">
        <v>6.9545081669367514E-2</v>
      </c>
      <c r="K176" s="157">
        <v>6.9544982086588686E-2</v>
      </c>
      <c r="L176" s="157">
        <v>6.9544935999769186E-2</v>
      </c>
      <c r="M176" s="157">
        <v>6.9544906229613165E-2</v>
      </c>
      <c r="N176" s="157">
        <v>6.9545118551339213E-2</v>
      </c>
      <c r="O176" s="157">
        <v>6.9544866769800692E-2</v>
      </c>
      <c r="P176" s="157">
        <v>7.0235068234452872E-2</v>
      </c>
      <c r="Q176" s="157">
        <v>7.0234951432833093E-2</v>
      </c>
      <c r="R176" s="157">
        <v>7.0234989879409349E-2</v>
      </c>
      <c r="S176" s="157">
        <v>7.0235121730838804E-2</v>
      </c>
      <c r="T176" s="157">
        <v>7.0234982052601258E-2</v>
      </c>
      <c r="U176" s="157">
        <v>7.0234959052084836E-2</v>
      </c>
      <c r="V176" s="157">
        <v>7.0235095524537938E-2</v>
      </c>
      <c r="W176" s="157">
        <v>7.0235033370456126E-2</v>
      </c>
      <c r="X176" s="157">
        <v>7.0235084381457882E-2</v>
      </c>
      <c r="Y176" s="157">
        <v>7.0234914482216443E-2</v>
      </c>
      <c r="Z176" s="157">
        <v>7.0234891798950996E-2</v>
      </c>
      <c r="AA176" s="157">
        <v>7.0235055820346906E-2</v>
      </c>
      <c r="AB176" s="157">
        <v>7.0234888528053971E-2</v>
      </c>
      <c r="AC176" s="157">
        <v>7.0235109017354053E-2</v>
      </c>
      <c r="AD176" s="157">
        <v>7.0235041146056221E-2</v>
      </c>
      <c r="AE176" s="157">
        <v>7.0235021184098384E-2</v>
      </c>
      <c r="AF176" s="157">
        <v>7.0235021184098384E-2</v>
      </c>
      <c r="AG176" s="157">
        <v>7.0235021184098384E-2</v>
      </c>
      <c r="AH176" s="157">
        <v>7.0235021184098384E-2</v>
      </c>
      <c r="AI176" s="157">
        <v>7.0235021184098384E-2</v>
      </c>
      <c r="AJ176" s="157">
        <v>7.0235021184098384E-2</v>
      </c>
      <c r="AK176" s="157">
        <v>7.0235021184098384E-2</v>
      </c>
      <c r="AL176" s="157">
        <v>7.0235021184098384E-2</v>
      </c>
      <c r="AM176" s="157">
        <v>7.0235021184098384E-2</v>
      </c>
      <c r="AN176" s="157">
        <v>7.0235021184098384E-2</v>
      </c>
      <c r="AO176" s="157">
        <v>7.0235021184098384E-2</v>
      </c>
      <c r="AP176" s="157">
        <v>7.0235021184098384E-2</v>
      </c>
      <c r="AQ176" s="157">
        <v>7.0235021184098384E-2</v>
      </c>
      <c r="AR176" s="157">
        <v>7.0235021184098384E-2</v>
      </c>
      <c r="AS176" s="149">
        <f t="shared" ref="AS176:BV176" si="133">AR176</f>
        <v>7.0235021184098384E-2</v>
      </c>
      <c r="AT176" s="149">
        <f t="shared" si="133"/>
        <v>7.0235021184098384E-2</v>
      </c>
      <c r="AU176" s="149">
        <f t="shared" si="133"/>
        <v>7.0235021184098384E-2</v>
      </c>
      <c r="AV176" s="149">
        <f t="shared" si="133"/>
        <v>7.0235021184098384E-2</v>
      </c>
      <c r="AW176" s="149">
        <f t="shared" si="133"/>
        <v>7.0235021184098384E-2</v>
      </c>
      <c r="AX176" s="149">
        <f t="shared" si="133"/>
        <v>7.0235021184098384E-2</v>
      </c>
      <c r="AY176" s="149">
        <f t="shared" si="133"/>
        <v>7.0235021184098384E-2</v>
      </c>
      <c r="AZ176" s="149">
        <f t="shared" si="133"/>
        <v>7.0235021184098384E-2</v>
      </c>
      <c r="BA176" s="149">
        <f t="shared" si="133"/>
        <v>7.0235021184098384E-2</v>
      </c>
      <c r="BB176" s="149">
        <f t="shared" si="133"/>
        <v>7.0235021184098384E-2</v>
      </c>
      <c r="BC176" s="149">
        <f t="shared" si="133"/>
        <v>7.0235021184098384E-2</v>
      </c>
      <c r="BD176" s="149">
        <f t="shared" si="133"/>
        <v>7.0235021184098384E-2</v>
      </c>
      <c r="BE176" s="149">
        <f t="shared" si="133"/>
        <v>7.0235021184098384E-2</v>
      </c>
      <c r="BF176" s="149">
        <f t="shared" si="133"/>
        <v>7.0235021184098384E-2</v>
      </c>
      <c r="BG176" s="149">
        <f t="shared" si="133"/>
        <v>7.0235021184098384E-2</v>
      </c>
      <c r="BH176" s="149">
        <f t="shared" si="133"/>
        <v>7.0235021184098384E-2</v>
      </c>
      <c r="BI176" s="149">
        <f t="shared" si="133"/>
        <v>7.0235021184098384E-2</v>
      </c>
      <c r="BJ176" s="149">
        <f t="shared" si="133"/>
        <v>7.0235021184098384E-2</v>
      </c>
      <c r="BK176" s="149">
        <f t="shared" si="133"/>
        <v>7.0235021184098384E-2</v>
      </c>
      <c r="BL176" s="149">
        <f t="shared" si="133"/>
        <v>7.0235021184098384E-2</v>
      </c>
      <c r="BM176" s="149">
        <f t="shared" si="133"/>
        <v>7.0235021184098384E-2</v>
      </c>
      <c r="BN176" s="149">
        <f t="shared" si="133"/>
        <v>7.0235021184098384E-2</v>
      </c>
      <c r="BO176" s="149">
        <f t="shared" si="133"/>
        <v>7.0235021184098384E-2</v>
      </c>
      <c r="BP176" s="149">
        <f t="shared" si="133"/>
        <v>7.0235021184098384E-2</v>
      </c>
      <c r="BQ176" s="149">
        <f t="shared" si="133"/>
        <v>7.0235021184098384E-2</v>
      </c>
      <c r="BR176" s="149">
        <f t="shared" si="133"/>
        <v>7.0235021184098384E-2</v>
      </c>
      <c r="BS176" s="149">
        <f t="shared" si="133"/>
        <v>7.0235021184098384E-2</v>
      </c>
      <c r="BT176" s="149">
        <f t="shared" si="133"/>
        <v>7.0235021184098384E-2</v>
      </c>
      <c r="BU176" s="149">
        <f t="shared" si="133"/>
        <v>7.0235021184098384E-2</v>
      </c>
      <c r="BV176" s="149">
        <f t="shared" si="133"/>
        <v>7.0235021184098384E-2</v>
      </c>
    </row>
    <row r="177" spans="1:74" x14ac:dyDescent="0.25">
      <c r="A177" s="147" t="s">
        <v>2</v>
      </c>
      <c r="C177" s="142"/>
      <c r="D177" s="157"/>
      <c r="E177" s="157"/>
      <c r="F177" s="157"/>
      <c r="G177" s="157"/>
      <c r="H177" s="157"/>
      <c r="I177" s="157"/>
      <c r="J177" s="157"/>
      <c r="K177" s="157"/>
      <c r="L177" s="157"/>
      <c r="M177" s="157"/>
      <c r="N177" s="157"/>
      <c r="O177" s="157"/>
      <c r="P177" s="157"/>
      <c r="Q177" s="157"/>
      <c r="R177" s="157"/>
      <c r="S177" s="157"/>
      <c r="T177" s="157"/>
      <c r="U177" s="157"/>
      <c r="V177" s="157"/>
      <c r="W177" s="157"/>
      <c r="X177" s="157"/>
      <c r="Y177" s="157"/>
      <c r="Z177" s="157"/>
      <c r="AA177" s="157"/>
      <c r="AB177" s="157"/>
      <c r="AC177" s="157"/>
      <c r="AD177" s="157"/>
      <c r="AE177" s="157"/>
      <c r="AF177" s="157"/>
      <c r="AG177" s="157"/>
      <c r="AH177" s="157"/>
      <c r="AI177" s="157"/>
      <c r="AJ177" s="157"/>
      <c r="AK177" s="157"/>
      <c r="AL177" s="157"/>
      <c r="AM177" s="157"/>
      <c r="AN177" s="157"/>
      <c r="AO177" s="157"/>
      <c r="AP177" s="157"/>
      <c r="AQ177" s="157"/>
      <c r="AR177" s="157"/>
      <c r="AS177" s="149">
        <f t="shared" ref="AS177:BV177" si="134">AR177</f>
        <v>0</v>
      </c>
      <c r="AT177" s="149">
        <f t="shared" si="134"/>
        <v>0</v>
      </c>
      <c r="AU177" s="149">
        <f t="shared" si="134"/>
        <v>0</v>
      </c>
      <c r="AV177" s="149">
        <f t="shared" si="134"/>
        <v>0</v>
      </c>
      <c r="AW177" s="149">
        <f t="shared" si="134"/>
        <v>0</v>
      </c>
      <c r="AX177" s="149">
        <f t="shared" si="134"/>
        <v>0</v>
      </c>
      <c r="AY177" s="149">
        <f t="shared" si="134"/>
        <v>0</v>
      </c>
      <c r="AZ177" s="149">
        <f t="shared" si="134"/>
        <v>0</v>
      </c>
      <c r="BA177" s="149">
        <f t="shared" si="134"/>
        <v>0</v>
      </c>
      <c r="BB177" s="149">
        <f t="shared" si="134"/>
        <v>0</v>
      </c>
      <c r="BC177" s="149">
        <f t="shared" si="134"/>
        <v>0</v>
      </c>
      <c r="BD177" s="149">
        <f t="shared" si="134"/>
        <v>0</v>
      </c>
      <c r="BE177" s="149">
        <f t="shared" si="134"/>
        <v>0</v>
      </c>
      <c r="BF177" s="149">
        <f t="shared" si="134"/>
        <v>0</v>
      </c>
      <c r="BG177" s="149">
        <f t="shared" si="134"/>
        <v>0</v>
      </c>
      <c r="BH177" s="149">
        <f t="shared" si="134"/>
        <v>0</v>
      </c>
      <c r="BI177" s="149">
        <f t="shared" si="134"/>
        <v>0</v>
      </c>
      <c r="BJ177" s="149">
        <f t="shared" si="134"/>
        <v>0</v>
      </c>
      <c r="BK177" s="149">
        <f t="shared" si="134"/>
        <v>0</v>
      </c>
      <c r="BL177" s="149">
        <f t="shared" si="134"/>
        <v>0</v>
      </c>
      <c r="BM177" s="149">
        <f t="shared" si="134"/>
        <v>0</v>
      </c>
      <c r="BN177" s="149">
        <f t="shared" si="134"/>
        <v>0</v>
      </c>
      <c r="BO177" s="149">
        <f t="shared" si="134"/>
        <v>0</v>
      </c>
      <c r="BP177" s="149">
        <f t="shared" si="134"/>
        <v>0</v>
      </c>
      <c r="BQ177" s="149">
        <f t="shared" si="134"/>
        <v>0</v>
      </c>
      <c r="BR177" s="149">
        <f t="shared" si="134"/>
        <v>0</v>
      </c>
      <c r="BS177" s="149">
        <f t="shared" si="134"/>
        <v>0</v>
      </c>
      <c r="BT177" s="149">
        <f t="shared" si="134"/>
        <v>0</v>
      </c>
      <c r="BU177" s="149">
        <f t="shared" si="134"/>
        <v>0</v>
      </c>
      <c r="BV177" s="149">
        <f t="shared" si="134"/>
        <v>0</v>
      </c>
    </row>
    <row r="178" spans="1:74" x14ac:dyDescent="0.25">
      <c r="A178" s="141" t="s">
        <v>192</v>
      </c>
      <c r="B178" s="148"/>
      <c r="C178" s="142"/>
      <c r="D178" s="157">
        <v>7.0926315828688483E-2</v>
      </c>
      <c r="E178" s="157">
        <v>7.0926315828688483E-2</v>
      </c>
      <c r="F178" s="157">
        <v>7.0926315828688483E-2</v>
      </c>
      <c r="G178" s="157">
        <v>7.0926315828688483E-2</v>
      </c>
      <c r="H178" s="157">
        <v>7.0926315828688483E-2</v>
      </c>
      <c r="I178" s="157">
        <v>7.0926315828688483E-2</v>
      </c>
      <c r="J178" s="157">
        <v>7.0926315828688483E-2</v>
      </c>
      <c r="K178" s="157">
        <v>7.0926315828688483E-2</v>
      </c>
      <c r="L178" s="157">
        <v>7.0926315828688483E-2</v>
      </c>
      <c r="M178" s="157">
        <v>7.0926315828688483E-2</v>
      </c>
      <c r="N178" s="157">
        <v>7.0926315828688483E-2</v>
      </c>
      <c r="O178" s="157">
        <v>7.0926315828688483E-2</v>
      </c>
      <c r="P178" s="157">
        <v>7.0926315828688483E-2</v>
      </c>
      <c r="Q178" s="157">
        <v>7.0926315828688483E-2</v>
      </c>
      <c r="R178" s="157">
        <v>7.0926315828688483E-2</v>
      </c>
      <c r="S178" s="157">
        <v>7.0926315828688483E-2</v>
      </c>
      <c r="T178" s="157">
        <v>7.0926315828688483E-2</v>
      </c>
      <c r="U178" s="157">
        <v>7.0926315828688483E-2</v>
      </c>
      <c r="V178" s="157">
        <v>7.0926315828688483E-2</v>
      </c>
      <c r="W178" s="157">
        <v>7.0926315828688483E-2</v>
      </c>
      <c r="X178" s="157">
        <v>7.0926315828688483E-2</v>
      </c>
      <c r="Y178" s="157">
        <v>7.0926315828688483E-2</v>
      </c>
      <c r="Z178" s="157">
        <v>7.0926315828688483E-2</v>
      </c>
      <c r="AA178" s="157">
        <v>7.0926315828688483E-2</v>
      </c>
      <c r="AB178" s="157">
        <v>7.0926315828688483E-2</v>
      </c>
      <c r="AC178" s="157">
        <v>7.0926315828688483E-2</v>
      </c>
      <c r="AD178" s="157">
        <v>7.0926315828688483E-2</v>
      </c>
      <c r="AE178" s="157">
        <v>7.0926315828688483E-2</v>
      </c>
      <c r="AF178" s="157">
        <v>7.0926315828688483E-2</v>
      </c>
      <c r="AG178" s="157">
        <v>7.0926315828688483E-2</v>
      </c>
      <c r="AH178" s="157">
        <v>7.0926315828688483E-2</v>
      </c>
      <c r="AI178" s="157">
        <v>7.0926315828688483E-2</v>
      </c>
      <c r="AJ178" s="157">
        <v>7.0926315828688483E-2</v>
      </c>
      <c r="AK178" s="157">
        <v>7.0926315828688483E-2</v>
      </c>
      <c r="AL178" s="157">
        <v>7.0926315828688483E-2</v>
      </c>
      <c r="AM178" s="157">
        <v>7.0926315828688483E-2</v>
      </c>
      <c r="AN178" s="157">
        <v>7.0926315828688483E-2</v>
      </c>
      <c r="AO178" s="157">
        <v>7.0926315828688483E-2</v>
      </c>
      <c r="AP178" s="157">
        <v>7.0926315828688483E-2</v>
      </c>
      <c r="AQ178" s="157">
        <v>7.0926315828688483E-2</v>
      </c>
      <c r="AR178" s="157">
        <v>7.0926315828688483E-2</v>
      </c>
      <c r="AS178" s="149">
        <f t="shared" ref="AS178:BV178" si="135">AR178</f>
        <v>7.0926315828688483E-2</v>
      </c>
      <c r="AT178" s="149">
        <f t="shared" si="135"/>
        <v>7.0926315828688483E-2</v>
      </c>
      <c r="AU178" s="149">
        <f t="shared" si="135"/>
        <v>7.0926315828688483E-2</v>
      </c>
      <c r="AV178" s="149">
        <f t="shared" si="135"/>
        <v>7.0926315828688483E-2</v>
      </c>
      <c r="AW178" s="149">
        <f t="shared" si="135"/>
        <v>7.0926315828688483E-2</v>
      </c>
      <c r="AX178" s="149">
        <f t="shared" si="135"/>
        <v>7.0926315828688483E-2</v>
      </c>
      <c r="AY178" s="149">
        <f t="shared" si="135"/>
        <v>7.0926315828688483E-2</v>
      </c>
      <c r="AZ178" s="149">
        <f t="shared" si="135"/>
        <v>7.0926315828688483E-2</v>
      </c>
      <c r="BA178" s="149">
        <f t="shared" si="135"/>
        <v>7.0926315828688483E-2</v>
      </c>
      <c r="BB178" s="149">
        <f t="shared" si="135"/>
        <v>7.0926315828688483E-2</v>
      </c>
      <c r="BC178" s="149">
        <f t="shared" si="135"/>
        <v>7.0926315828688483E-2</v>
      </c>
      <c r="BD178" s="149">
        <f t="shared" si="135"/>
        <v>7.0926315828688483E-2</v>
      </c>
      <c r="BE178" s="149">
        <f t="shared" si="135"/>
        <v>7.0926315828688483E-2</v>
      </c>
      <c r="BF178" s="149">
        <f t="shared" si="135"/>
        <v>7.0926315828688483E-2</v>
      </c>
      <c r="BG178" s="149">
        <f t="shared" si="135"/>
        <v>7.0926315828688483E-2</v>
      </c>
      <c r="BH178" s="149">
        <f t="shared" si="135"/>
        <v>7.0926315828688483E-2</v>
      </c>
      <c r="BI178" s="149">
        <f t="shared" si="135"/>
        <v>7.0926315828688483E-2</v>
      </c>
      <c r="BJ178" s="149">
        <f t="shared" si="135"/>
        <v>7.0926315828688483E-2</v>
      </c>
      <c r="BK178" s="149">
        <f t="shared" si="135"/>
        <v>7.0926315828688483E-2</v>
      </c>
      <c r="BL178" s="149">
        <f t="shared" si="135"/>
        <v>7.0926315828688483E-2</v>
      </c>
      <c r="BM178" s="149">
        <f t="shared" si="135"/>
        <v>7.0926315828688483E-2</v>
      </c>
      <c r="BN178" s="149">
        <f t="shared" si="135"/>
        <v>7.0926315828688483E-2</v>
      </c>
      <c r="BO178" s="149">
        <f t="shared" si="135"/>
        <v>7.0926315828688483E-2</v>
      </c>
      <c r="BP178" s="149">
        <f t="shared" si="135"/>
        <v>7.0926315828688483E-2</v>
      </c>
      <c r="BQ178" s="149">
        <f t="shared" si="135"/>
        <v>7.0926315828688483E-2</v>
      </c>
      <c r="BR178" s="149">
        <f t="shared" si="135"/>
        <v>7.0926315828688483E-2</v>
      </c>
      <c r="BS178" s="149">
        <f t="shared" si="135"/>
        <v>7.0926315828688483E-2</v>
      </c>
      <c r="BT178" s="149">
        <f t="shared" si="135"/>
        <v>7.0926315828688483E-2</v>
      </c>
      <c r="BU178" s="149">
        <f t="shared" si="135"/>
        <v>7.0926315828688483E-2</v>
      </c>
      <c r="BV178" s="149">
        <f t="shared" si="135"/>
        <v>7.0926315828688483E-2</v>
      </c>
    </row>
    <row r="179" spans="1:74" x14ac:dyDescent="0.25">
      <c r="A179" s="141" t="s">
        <v>193</v>
      </c>
      <c r="B179" s="148"/>
      <c r="C179" s="142"/>
      <c r="D179" s="157">
        <v>4.3360869813937844E-2</v>
      </c>
      <c r="E179" s="157">
        <v>4.3543378975413639E-2</v>
      </c>
      <c r="F179" s="157">
        <v>4.3725888137030815E-2</v>
      </c>
      <c r="G179" s="157">
        <v>4.3908397298789377E-2</v>
      </c>
      <c r="H179" s="157">
        <v>4.4090906460689319E-2</v>
      </c>
      <c r="I179" s="157">
        <v>4.4273415622730634E-2</v>
      </c>
      <c r="J179" s="157">
        <v>4.3277244399331963E-2</v>
      </c>
      <c r="K179" s="157">
        <v>4.2751401516451848E-2</v>
      </c>
      <c r="L179" s="157">
        <v>3.9563416715295181E-2</v>
      </c>
      <c r="M179" s="157">
        <v>4.25067004568506E-2</v>
      </c>
      <c r="N179" s="157">
        <v>3.9697676025390954E-2</v>
      </c>
      <c r="O179" s="157">
        <v>3.8798097813802689E-2</v>
      </c>
      <c r="P179" s="157">
        <v>3.9133481687923917E-2</v>
      </c>
      <c r="Q179" s="157">
        <v>3.9934990495230346E-2</v>
      </c>
      <c r="R179" s="157">
        <v>4.0117257866493505E-2</v>
      </c>
      <c r="S179" s="157">
        <v>4.0393527151583203E-2</v>
      </c>
      <c r="T179" s="157">
        <v>4.1233788317944289E-2</v>
      </c>
      <c r="U179" s="157">
        <v>4.1434438811343101E-2</v>
      </c>
      <c r="V179" s="157">
        <v>4.0070936599287725E-2</v>
      </c>
      <c r="W179" s="157">
        <v>4.053025284195956E-2</v>
      </c>
      <c r="X179" s="157">
        <v>4.3354845383235217E-2</v>
      </c>
      <c r="Y179" s="157">
        <v>4.3224970892610626E-2</v>
      </c>
      <c r="Z179" s="157">
        <v>4.8156725585780456E-2</v>
      </c>
      <c r="AA179" s="157">
        <v>4.8825271260910165E-2</v>
      </c>
      <c r="AB179" s="157">
        <v>4.8547965665922871E-2</v>
      </c>
      <c r="AC179" s="157">
        <v>4.9175051720593277E-2</v>
      </c>
      <c r="AD179" s="157">
        <v>4.9921693957213457E-2</v>
      </c>
      <c r="AE179" s="157">
        <v>5.0566331040311205E-2</v>
      </c>
      <c r="AF179" s="157">
        <v>5.0566331040311205E-2</v>
      </c>
      <c r="AG179" s="157">
        <v>5.0566331040311205E-2</v>
      </c>
      <c r="AH179" s="157">
        <v>5.0566331040311205E-2</v>
      </c>
      <c r="AI179" s="157">
        <v>5.0566331040311205E-2</v>
      </c>
      <c r="AJ179" s="157">
        <v>5.0566331040311205E-2</v>
      </c>
      <c r="AK179" s="157">
        <v>5.0566331040311205E-2</v>
      </c>
      <c r="AL179" s="157">
        <v>5.0566331040311205E-2</v>
      </c>
      <c r="AM179" s="157">
        <v>5.0566331040311205E-2</v>
      </c>
      <c r="AN179" s="157">
        <v>5.0566331040311205E-2</v>
      </c>
      <c r="AO179" s="157">
        <v>5.0566331040311205E-2</v>
      </c>
      <c r="AP179" s="157">
        <v>5.0566331040311205E-2</v>
      </c>
      <c r="AQ179" s="157">
        <v>5.0566331040311205E-2</v>
      </c>
      <c r="AR179" s="157">
        <v>5.0566331040311205E-2</v>
      </c>
      <c r="AS179" s="149">
        <f t="shared" ref="AS179:BV179" si="136">AR179</f>
        <v>5.0566331040311205E-2</v>
      </c>
      <c r="AT179" s="149">
        <f t="shared" si="136"/>
        <v>5.0566331040311205E-2</v>
      </c>
      <c r="AU179" s="149">
        <f t="shared" si="136"/>
        <v>5.0566331040311205E-2</v>
      </c>
      <c r="AV179" s="149">
        <f t="shared" si="136"/>
        <v>5.0566331040311205E-2</v>
      </c>
      <c r="AW179" s="149">
        <f t="shared" si="136"/>
        <v>5.0566331040311205E-2</v>
      </c>
      <c r="AX179" s="149">
        <f t="shared" si="136"/>
        <v>5.0566331040311205E-2</v>
      </c>
      <c r="AY179" s="149">
        <f t="shared" si="136"/>
        <v>5.0566331040311205E-2</v>
      </c>
      <c r="AZ179" s="149">
        <f t="shared" si="136"/>
        <v>5.0566331040311205E-2</v>
      </c>
      <c r="BA179" s="149">
        <f t="shared" si="136"/>
        <v>5.0566331040311205E-2</v>
      </c>
      <c r="BB179" s="149">
        <f t="shared" si="136"/>
        <v>5.0566331040311205E-2</v>
      </c>
      <c r="BC179" s="149">
        <f t="shared" si="136"/>
        <v>5.0566331040311205E-2</v>
      </c>
      <c r="BD179" s="149">
        <f t="shared" si="136"/>
        <v>5.0566331040311205E-2</v>
      </c>
      <c r="BE179" s="149">
        <f t="shared" si="136"/>
        <v>5.0566331040311205E-2</v>
      </c>
      <c r="BF179" s="149">
        <f t="shared" si="136"/>
        <v>5.0566331040311205E-2</v>
      </c>
      <c r="BG179" s="149">
        <f t="shared" si="136"/>
        <v>5.0566331040311205E-2</v>
      </c>
      <c r="BH179" s="149">
        <f t="shared" si="136"/>
        <v>5.0566331040311205E-2</v>
      </c>
      <c r="BI179" s="149">
        <f t="shared" si="136"/>
        <v>5.0566331040311205E-2</v>
      </c>
      <c r="BJ179" s="149">
        <f t="shared" si="136"/>
        <v>5.0566331040311205E-2</v>
      </c>
      <c r="BK179" s="149">
        <f t="shared" si="136"/>
        <v>5.0566331040311205E-2</v>
      </c>
      <c r="BL179" s="149">
        <f t="shared" si="136"/>
        <v>5.0566331040311205E-2</v>
      </c>
      <c r="BM179" s="149">
        <f t="shared" si="136"/>
        <v>5.0566331040311205E-2</v>
      </c>
      <c r="BN179" s="149">
        <f t="shared" si="136"/>
        <v>5.0566331040311205E-2</v>
      </c>
      <c r="BO179" s="149">
        <f t="shared" si="136"/>
        <v>5.0566331040311205E-2</v>
      </c>
      <c r="BP179" s="149">
        <f t="shared" si="136"/>
        <v>5.0566331040311205E-2</v>
      </c>
      <c r="BQ179" s="149">
        <f t="shared" si="136"/>
        <v>5.0566331040311205E-2</v>
      </c>
      <c r="BR179" s="149">
        <f t="shared" si="136"/>
        <v>5.0566331040311205E-2</v>
      </c>
      <c r="BS179" s="149">
        <f t="shared" si="136"/>
        <v>5.0566331040311205E-2</v>
      </c>
      <c r="BT179" s="149">
        <f t="shared" si="136"/>
        <v>5.0566331040311205E-2</v>
      </c>
      <c r="BU179" s="149">
        <f t="shared" si="136"/>
        <v>5.0566331040311205E-2</v>
      </c>
      <c r="BV179" s="149">
        <f t="shared" si="136"/>
        <v>5.0566331040311205E-2</v>
      </c>
    </row>
    <row r="180" spans="1:74" x14ac:dyDescent="0.25">
      <c r="A180" s="141" t="s">
        <v>195</v>
      </c>
      <c r="B180" s="148"/>
      <c r="C180" s="148"/>
      <c r="D180" s="157">
        <v>6.682047596868991E-2</v>
      </c>
      <c r="E180" s="157">
        <v>6.682047596868991E-2</v>
      </c>
      <c r="F180" s="157">
        <v>6.682047596868991E-2</v>
      </c>
      <c r="G180" s="157">
        <v>6.682047596868991E-2</v>
      </c>
      <c r="H180" s="157">
        <v>6.682047596868991E-2</v>
      </c>
      <c r="I180" s="157">
        <v>6.682047596868991E-2</v>
      </c>
      <c r="J180" s="157">
        <v>6.6820488716409901E-2</v>
      </c>
      <c r="K180" s="157">
        <v>6.68204838987565E-2</v>
      </c>
      <c r="L180" s="157">
        <v>6.6820505255906382E-2</v>
      </c>
      <c r="M180" s="157">
        <v>6.682050002244265E-2</v>
      </c>
      <c r="N180" s="157">
        <v>6.6820544015017649E-2</v>
      </c>
      <c r="O180" s="157">
        <v>6.6820633927679091E-2</v>
      </c>
      <c r="P180" s="157">
        <v>6.6171524409407753E-2</v>
      </c>
      <c r="Q180" s="157">
        <v>6.6171381411793712E-2</v>
      </c>
      <c r="R180" s="157">
        <v>6.6171428571428562E-2</v>
      </c>
      <c r="S180" s="157">
        <v>6.6171451731451725E-2</v>
      </c>
      <c r="T180" s="157">
        <v>6.6171428571428562E-2</v>
      </c>
      <c r="U180" s="157">
        <v>6.6171428571428562E-2</v>
      </c>
      <c r="V180" s="157">
        <v>6.6171405906735953E-2</v>
      </c>
      <c r="W180" s="157">
        <v>6.6171473332178876E-2</v>
      </c>
      <c r="X180" s="157">
        <v>6.6171384993098215E-2</v>
      </c>
      <c r="Y180" s="157">
        <v>6.6171428571428562E-2</v>
      </c>
      <c r="Z180" s="157">
        <v>6.6171472510368617E-2</v>
      </c>
      <c r="AA180" s="157">
        <v>6.6171450051418404E-2</v>
      </c>
      <c r="AB180" s="157">
        <v>6.6171470251618958E-2</v>
      </c>
      <c r="AC180" s="157">
        <v>6.6171491685726766E-2</v>
      </c>
      <c r="AD180" s="157">
        <v>6.6171408165782652E-2</v>
      </c>
      <c r="AE180" s="157">
        <v>6.6171408030455986E-2</v>
      </c>
      <c r="AF180" s="157">
        <v>6.6171408030455986E-2</v>
      </c>
      <c r="AG180" s="157">
        <v>6.6171408030455986E-2</v>
      </c>
      <c r="AH180" s="157">
        <v>6.6171408030455986E-2</v>
      </c>
      <c r="AI180" s="157">
        <v>6.6171408030455986E-2</v>
      </c>
      <c r="AJ180" s="157">
        <v>6.6171408030455986E-2</v>
      </c>
      <c r="AK180" s="157">
        <v>6.6171408030455986E-2</v>
      </c>
      <c r="AL180" s="157">
        <v>6.6171408030455986E-2</v>
      </c>
      <c r="AM180" s="157">
        <v>6.6171408030455986E-2</v>
      </c>
      <c r="AN180" s="157">
        <v>6.6171408030455986E-2</v>
      </c>
      <c r="AO180" s="157">
        <v>6.6171408030455986E-2</v>
      </c>
      <c r="AP180" s="157">
        <v>6.6171408030455986E-2</v>
      </c>
      <c r="AQ180" s="157">
        <v>6.6171408030455986E-2</v>
      </c>
      <c r="AR180" s="157">
        <v>6.6171408030455986E-2</v>
      </c>
      <c r="AS180" s="149">
        <f t="shared" ref="AS180:BV180" si="137">AR180</f>
        <v>6.6171408030455986E-2</v>
      </c>
      <c r="AT180" s="149">
        <f t="shared" si="137"/>
        <v>6.6171408030455986E-2</v>
      </c>
      <c r="AU180" s="149">
        <f t="shared" si="137"/>
        <v>6.6171408030455986E-2</v>
      </c>
      <c r="AV180" s="149">
        <f t="shared" si="137"/>
        <v>6.6171408030455986E-2</v>
      </c>
      <c r="AW180" s="149">
        <f t="shared" si="137"/>
        <v>6.6171408030455986E-2</v>
      </c>
      <c r="AX180" s="149">
        <f t="shared" si="137"/>
        <v>6.6171408030455986E-2</v>
      </c>
      <c r="AY180" s="149">
        <f t="shared" si="137"/>
        <v>6.6171408030455986E-2</v>
      </c>
      <c r="AZ180" s="149">
        <f t="shared" si="137"/>
        <v>6.6171408030455986E-2</v>
      </c>
      <c r="BA180" s="149">
        <f t="shared" si="137"/>
        <v>6.6171408030455986E-2</v>
      </c>
      <c r="BB180" s="149">
        <f t="shared" si="137"/>
        <v>6.6171408030455986E-2</v>
      </c>
      <c r="BC180" s="149">
        <f t="shared" si="137"/>
        <v>6.6171408030455986E-2</v>
      </c>
      <c r="BD180" s="149">
        <f t="shared" si="137"/>
        <v>6.6171408030455986E-2</v>
      </c>
      <c r="BE180" s="149">
        <f t="shared" si="137"/>
        <v>6.6171408030455986E-2</v>
      </c>
      <c r="BF180" s="149">
        <f t="shared" si="137"/>
        <v>6.6171408030455986E-2</v>
      </c>
      <c r="BG180" s="149">
        <f t="shared" si="137"/>
        <v>6.6171408030455986E-2</v>
      </c>
      <c r="BH180" s="149">
        <f t="shared" si="137"/>
        <v>6.6171408030455986E-2</v>
      </c>
      <c r="BI180" s="149">
        <f t="shared" si="137"/>
        <v>6.6171408030455986E-2</v>
      </c>
      <c r="BJ180" s="149">
        <f t="shared" si="137"/>
        <v>6.6171408030455986E-2</v>
      </c>
      <c r="BK180" s="149">
        <f t="shared" si="137"/>
        <v>6.6171408030455986E-2</v>
      </c>
      <c r="BL180" s="149">
        <f t="shared" si="137"/>
        <v>6.6171408030455986E-2</v>
      </c>
      <c r="BM180" s="149">
        <f t="shared" si="137"/>
        <v>6.6171408030455986E-2</v>
      </c>
      <c r="BN180" s="149">
        <f t="shared" si="137"/>
        <v>6.6171408030455986E-2</v>
      </c>
      <c r="BO180" s="149">
        <f t="shared" si="137"/>
        <v>6.6171408030455986E-2</v>
      </c>
      <c r="BP180" s="149">
        <f t="shared" si="137"/>
        <v>6.6171408030455986E-2</v>
      </c>
      <c r="BQ180" s="149">
        <f t="shared" si="137"/>
        <v>6.6171408030455986E-2</v>
      </c>
      <c r="BR180" s="149">
        <f t="shared" si="137"/>
        <v>6.6171408030455986E-2</v>
      </c>
      <c r="BS180" s="149">
        <f t="shared" si="137"/>
        <v>6.6171408030455986E-2</v>
      </c>
      <c r="BT180" s="149">
        <f t="shared" si="137"/>
        <v>6.6171408030455986E-2</v>
      </c>
      <c r="BU180" s="149">
        <f t="shared" si="137"/>
        <v>6.6171408030455986E-2</v>
      </c>
      <c r="BV180" s="149">
        <f t="shared" si="137"/>
        <v>6.6171408030455986E-2</v>
      </c>
    </row>
    <row r="181" spans="1:74" x14ac:dyDescent="0.25">
      <c r="A181" s="141" t="s">
        <v>251</v>
      </c>
      <c r="B181" s="142"/>
      <c r="C181" s="142"/>
      <c r="D181" s="157">
        <v>7.5629044218115352E-2</v>
      </c>
      <c r="E181" s="157">
        <v>7.5629044124606623E-2</v>
      </c>
      <c r="F181" s="157">
        <v>7.5629044031097881E-2</v>
      </c>
      <c r="G181" s="157">
        <v>7.5629043937589152E-2</v>
      </c>
      <c r="H181" s="157">
        <v>7.5629043844080424E-2</v>
      </c>
      <c r="I181" s="157">
        <v>7.5629043750571681E-2</v>
      </c>
      <c r="J181" s="157">
        <v>7.5629043582813429E-2</v>
      </c>
      <c r="K181" s="157">
        <v>7.5629030029777417E-2</v>
      </c>
      <c r="L181" s="157">
        <v>7.4258820686866844E-2</v>
      </c>
      <c r="M181" s="157">
        <v>7.4258821701058977E-2</v>
      </c>
      <c r="N181" s="157">
        <v>7.4258820594561403E-2</v>
      </c>
      <c r="O181" s="157">
        <v>7.4258821131410427E-2</v>
      </c>
      <c r="P181" s="157">
        <v>7.4258820290991456E-2</v>
      </c>
      <c r="Q181" s="157">
        <v>7.4258823261709017E-2</v>
      </c>
      <c r="R181" s="157">
        <v>7.4258820810821136E-2</v>
      </c>
      <c r="S181" s="157">
        <v>7.4258832926937329E-2</v>
      </c>
      <c r="T181" s="157">
        <v>7.4258835413609309E-2</v>
      </c>
      <c r="U181" s="157">
        <v>7.4258809666008924E-2</v>
      </c>
      <c r="V181" s="157">
        <v>7.4258816710636805E-2</v>
      </c>
      <c r="W181" s="157">
        <v>7.4258813171681759E-2</v>
      </c>
      <c r="X181" s="157">
        <v>7.4258830425409775E-2</v>
      </c>
      <c r="Y181" s="157">
        <v>7.4258809406683585E-2</v>
      </c>
      <c r="Z181" s="157">
        <v>7.4258776849610381E-2</v>
      </c>
      <c r="AA181" s="157">
        <v>7.4258813837745491E-2</v>
      </c>
      <c r="AB181" s="157">
        <v>7.4258813837745491E-2</v>
      </c>
      <c r="AC181" s="157">
        <v>7.4258813837745491E-2</v>
      </c>
      <c r="AD181" s="157">
        <v>7.42587860301228E-2</v>
      </c>
      <c r="AE181" s="157">
        <v>7.42587860301228E-2</v>
      </c>
      <c r="AF181" s="157">
        <v>7.42587860301228E-2</v>
      </c>
      <c r="AG181" s="157">
        <v>7.42587860301228E-2</v>
      </c>
      <c r="AH181" s="157">
        <v>7.42587860301228E-2</v>
      </c>
      <c r="AI181" s="157">
        <v>7.42587860301228E-2</v>
      </c>
      <c r="AJ181" s="157">
        <v>7.42587860301228E-2</v>
      </c>
      <c r="AK181" s="157">
        <v>7.42587860301228E-2</v>
      </c>
      <c r="AL181" s="157">
        <v>7.42587860301228E-2</v>
      </c>
      <c r="AM181" s="157">
        <v>7.42587860301228E-2</v>
      </c>
      <c r="AN181" s="157">
        <v>7.42587860301228E-2</v>
      </c>
      <c r="AO181" s="157">
        <v>7.42587860301228E-2</v>
      </c>
      <c r="AP181" s="157">
        <v>7.42587860301228E-2</v>
      </c>
      <c r="AQ181" s="157">
        <v>7.42587860301228E-2</v>
      </c>
      <c r="AR181" s="157">
        <v>7.42587860301228E-2</v>
      </c>
      <c r="AS181" s="149">
        <f t="shared" ref="AS181:BV181" si="138">AR181</f>
        <v>7.42587860301228E-2</v>
      </c>
      <c r="AT181" s="149">
        <f t="shared" si="138"/>
        <v>7.42587860301228E-2</v>
      </c>
      <c r="AU181" s="149">
        <f t="shared" si="138"/>
        <v>7.42587860301228E-2</v>
      </c>
      <c r="AV181" s="149">
        <f t="shared" si="138"/>
        <v>7.42587860301228E-2</v>
      </c>
      <c r="AW181" s="149">
        <f t="shared" si="138"/>
        <v>7.42587860301228E-2</v>
      </c>
      <c r="AX181" s="149">
        <f t="shared" si="138"/>
        <v>7.42587860301228E-2</v>
      </c>
      <c r="AY181" s="149">
        <f t="shared" si="138"/>
        <v>7.42587860301228E-2</v>
      </c>
      <c r="AZ181" s="149">
        <f t="shared" si="138"/>
        <v>7.42587860301228E-2</v>
      </c>
      <c r="BA181" s="149">
        <f t="shared" si="138"/>
        <v>7.42587860301228E-2</v>
      </c>
      <c r="BB181" s="149">
        <f t="shared" si="138"/>
        <v>7.42587860301228E-2</v>
      </c>
      <c r="BC181" s="149">
        <f t="shared" si="138"/>
        <v>7.42587860301228E-2</v>
      </c>
      <c r="BD181" s="149">
        <f t="shared" si="138"/>
        <v>7.42587860301228E-2</v>
      </c>
      <c r="BE181" s="149">
        <f t="shared" si="138"/>
        <v>7.42587860301228E-2</v>
      </c>
      <c r="BF181" s="149">
        <f t="shared" si="138"/>
        <v>7.42587860301228E-2</v>
      </c>
      <c r="BG181" s="149">
        <f t="shared" si="138"/>
        <v>7.42587860301228E-2</v>
      </c>
      <c r="BH181" s="149">
        <f t="shared" si="138"/>
        <v>7.42587860301228E-2</v>
      </c>
      <c r="BI181" s="149">
        <f t="shared" si="138"/>
        <v>7.42587860301228E-2</v>
      </c>
      <c r="BJ181" s="149">
        <f t="shared" si="138"/>
        <v>7.42587860301228E-2</v>
      </c>
      <c r="BK181" s="149">
        <f t="shared" si="138"/>
        <v>7.42587860301228E-2</v>
      </c>
      <c r="BL181" s="149">
        <f t="shared" si="138"/>
        <v>7.42587860301228E-2</v>
      </c>
      <c r="BM181" s="149">
        <f t="shared" si="138"/>
        <v>7.42587860301228E-2</v>
      </c>
      <c r="BN181" s="149">
        <f t="shared" si="138"/>
        <v>7.42587860301228E-2</v>
      </c>
      <c r="BO181" s="149">
        <f t="shared" si="138"/>
        <v>7.42587860301228E-2</v>
      </c>
      <c r="BP181" s="149">
        <f t="shared" si="138"/>
        <v>7.42587860301228E-2</v>
      </c>
      <c r="BQ181" s="149">
        <f t="shared" si="138"/>
        <v>7.42587860301228E-2</v>
      </c>
      <c r="BR181" s="149">
        <f t="shared" si="138"/>
        <v>7.42587860301228E-2</v>
      </c>
      <c r="BS181" s="149">
        <f t="shared" si="138"/>
        <v>7.42587860301228E-2</v>
      </c>
      <c r="BT181" s="149">
        <f t="shared" si="138"/>
        <v>7.42587860301228E-2</v>
      </c>
      <c r="BU181" s="149">
        <f t="shared" si="138"/>
        <v>7.42587860301228E-2</v>
      </c>
      <c r="BV181" s="149">
        <f t="shared" si="138"/>
        <v>7.42587860301228E-2</v>
      </c>
    </row>
    <row r="182" spans="1:74" x14ac:dyDescent="0.25">
      <c r="A182" s="141" t="s">
        <v>196</v>
      </c>
      <c r="B182" s="142"/>
      <c r="C182" s="142"/>
      <c r="D182" s="157">
        <v>6.6184075769899903E-2</v>
      </c>
      <c r="E182" s="157">
        <v>6.618407719997714E-2</v>
      </c>
      <c r="F182" s="157">
        <v>6.6184078630054446E-2</v>
      </c>
      <c r="G182" s="157">
        <v>6.6184080060131822E-2</v>
      </c>
      <c r="H182" s="157">
        <v>6.6184081490209254E-2</v>
      </c>
      <c r="I182" s="157">
        <v>6.6184082920286727E-2</v>
      </c>
      <c r="J182" s="157">
        <v>6.6184075085528718E-2</v>
      </c>
      <c r="K182" s="157">
        <v>6.6184070080580318E-2</v>
      </c>
      <c r="L182" s="157">
        <v>6.6184084734805693E-2</v>
      </c>
      <c r="M182" s="157">
        <v>6.6184077214893125E-2</v>
      </c>
      <c r="N182" s="157">
        <v>6.6184074031553033E-2</v>
      </c>
      <c r="O182" s="157">
        <v>6.6184072826963841E-2</v>
      </c>
      <c r="P182" s="157">
        <v>6.618407846063365E-2</v>
      </c>
      <c r="Q182" s="157">
        <v>6.6184075768659478E-2</v>
      </c>
      <c r="R182" s="157">
        <v>6.6184066739625819E-2</v>
      </c>
      <c r="S182" s="157">
        <v>6.6184054447475882E-2</v>
      </c>
      <c r="T182" s="157">
        <v>6.6184137096129164E-2</v>
      </c>
      <c r="U182" s="157">
        <v>6.6184114841347161E-2</v>
      </c>
      <c r="V182" s="157">
        <v>6.6184051198450319E-2</v>
      </c>
      <c r="W182" s="157">
        <v>6.6184098471461672E-2</v>
      </c>
      <c r="X182" s="157">
        <v>6.6184072260915772E-2</v>
      </c>
      <c r="Y182" s="157">
        <v>6.6184085390768255E-2</v>
      </c>
      <c r="Z182" s="157">
        <v>6.6184032119116804E-2</v>
      </c>
      <c r="AA182" s="157">
        <v>6.6184058959639233E-2</v>
      </c>
      <c r="AB182" s="157">
        <v>6.6449891054308152E-2</v>
      </c>
      <c r="AC182" s="157">
        <v>6.6438780689901819E-2</v>
      </c>
      <c r="AD182" s="157">
        <v>6.6565131193606436E-2</v>
      </c>
      <c r="AE182" s="157">
        <v>6.6605465198467481E-2</v>
      </c>
      <c r="AF182" s="157">
        <v>6.6605465198467481E-2</v>
      </c>
      <c r="AG182" s="157">
        <v>6.6605465198467481E-2</v>
      </c>
      <c r="AH182" s="157">
        <v>6.6605465198467481E-2</v>
      </c>
      <c r="AI182" s="157">
        <v>6.6605465198467481E-2</v>
      </c>
      <c r="AJ182" s="157">
        <v>6.6605465198467481E-2</v>
      </c>
      <c r="AK182" s="157">
        <v>6.6605465198467481E-2</v>
      </c>
      <c r="AL182" s="157">
        <v>6.6605465198467481E-2</v>
      </c>
      <c r="AM182" s="157">
        <v>6.6605465198467481E-2</v>
      </c>
      <c r="AN182" s="157">
        <v>6.6605465198467481E-2</v>
      </c>
      <c r="AO182" s="157">
        <v>6.6605465198467481E-2</v>
      </c>
      <c r="AP182" s="157">
        <v>6.6605465198467481E-2</v>
      </c>
      <c r="AQ182" s="157">
        <v>6.6605465198467481E-2</v>
      </c>
      <c r="AR182" s="157">
        <v>6.6605465198467481E-2</v>
      </c>
      <c r="AS182" s="149">
        <f t="shared" ref="AS182:BV182" si="139">AR182</f>
        <v>6.6605465198467481E-2</v>
      </c>
      <c r="AT182" s="149">
        <f t="shared" si="139"/>
        <v>6.6605465198467481E-2</v>
      </c>
      <c r="AU182" s="149">
        <f t="shared" si="139"/>
        <v>6.6605465198467481E-2</v>
      </c>
      <c r="AV182" s="149">
        <f t="shared" si="139"/>
        <v>6.6605465198467481E-2</v>
      </c>
      <c r="AW182" s="149">
        <f t="shared" si="139"/>
        <v>6.6605465198467481E-2</v>
      </c>
      <c r="AX182" s="149">
        <f t="shared" si="139"/>
        <v>6.6605465198467481E-2</v>
      </c>
      <c r="AY182" s="149">
        <f t="shared" si="139"/>
        <v>6.6605465198467481E-2</v>
      </c>
      <c r="AZ182" s="149">
        <f t="shared" si="139"/>
        <v>6.6605465198467481E-2</v>
      </c>
      <c r="BA182" s="149">
        <f t="shared" si="139"/>
        <v>6.6605465198467481E-2</v>
      </c>
      <c r="BB182" s="149">
        <f t="shared" si="139"/>
        <v>6.6605465198467481E-2</v>
      </c>
      <c r="BC182" s="149">
        <f t="shared" si="139"/>
        <v>6.6605465198467481E-2</v>
      </c>
      <c r="BD182" s="149">
        <f t="shared" si="139"/>
        <v>6.6605465198467481E-2</v>
      </c>
      <c r="BE182" s="149">
        <f t="shared" si="139"/>
        <v>6.6605465198467481E-2</v>
      </c>
      <c r="BF182" s="149">
        <f t="shared" si="139"/>
        <v>6.6605465198467481E-2</v>
      </c>
      <c r="BG182" s="149">
        <f t="shared" si="139"/>
        <v>6.6605465198467481E-2</v>
      </c>
      <c r="BH182" s="149">
        <f t="shared" si="139"/>
        <v>6.6605465198467481E-2</v>
      </c>
      <c r="BI182" s="149">
        <f t="shared" si="139"/>
        <v>6.6605465198467481E-2</v>
      </c>
      <c r="BJ182" s="149">
        <f t="shared" si="139"/>
        <v>6.6605465198467481E-2</v>
      </c>
      <c r="BK182" s="149">
        <f t="shared" si="139"/>
        <v>6.6605465198467481E-2</v>
      </c>
      <c r="BL182" s="149">
        <f t="shared" si="139"/>
        <v>6.6605465198467481E-2</v>
      </c>
      <c r="BM182" s="149">
        <f t="shared" si="139"/>
        <v>6.6605465198467481E-2</v>
      </c>
      <c r="BN182" s="149">
        <f t="shared" si="139"/>
        <v>6.6605465198467481E-2</v>
      </c>
      <c r="BO182" s="149">
        <f t="shared" si="139"/>
        <v>6.6605465198467481E-2</v>
      </c>
      <c r="BP182" s="149">
        <f t="shared" si="139"/>
        <v>6.6605465198467481E-2</v>
      </c>
      <c r="BQ182" s="149">
        <f t="shared" si="139"/>
        <v>6.6605465198467481E-2</v>
      </c>
      <c r="BR182" s="149">
        <f t="shared" si="139"/>
        <v>6.6605465198467481E-2</v>
      </c>
      <c r="BS182" s="149">
        <f t="shared" si="139"/>
        <v>6.6605465198467481E-2</v>
      </c>
      <c r="BT182" s="149">
        <f t="shared" si="139"/>
        <v>6.6605465198467481E-2</v>
      </c>
      <c r="BU182" s="149">
        <f t="shared" si="139"/>
        <v>6.6605465198467481E-2</v>
      </c>
      <c r="BV182" s="149">
        <f t="shared" si="139"/>
        <v>6.6605465198467481E-2</v>
      </c>
    </row>
    <row r="183" spans="1:74" x14ac:dyDescent="0.25">
      <c r="A183" s="147" t="s">
        <v>13</v>
      </c>
      <c r="C183" s="142"/>
      <c r="D183" s="157">
        <v>7.1173734607240011E-2</v>
      </c>
      <c r="E183" s="157">
        <v>7.1173736145131672E-2</v>
      </c>
      <c r="F183" s="157">
        <v>7.1173737683023403E-2</v>
      </c>
      <c r="G183" s="157">
        <v>7.1173739220915203E-2</v>
      </c>
      <c r="H183" s="157">
        <v>7.1173740758807058E-2</v>
      </c>
      <c r="I183" s="157">
        <v>7.1173742296698969E-2</v>
      </c>
      <c r="J183" s="157">
        <v>7.1173733871273667E-2</v>
      </c>
      <c r="K183" s="157">
        <v>7.1173728488999069E-2</v>
      </c>
      <c r="L183" s="157">
        <v>7.1173744248015647E-2</v>
      </c>
      <c r="M183" s="157">
        <v>7.1173736161172188E-2</v>
      </c>
      <c r="N183" s="157">
        <v>7.1173732737838086E-2</v>
      </c>
      <c r="O183" s="157">
        <v>7.1173731442434163E-2</v>
      </c>
      <c r="P183" s="157">
        <v>7.1173737500829864E-2</v>
      </c>
      <c r="Q183" s="157">
        <v>7.1173734605906078E-2</v>
      </c>
      <c r="R183" s="157">
        <v>7.1173724896167911E-2</v>
      </c>
      <c r="S183" s="157">
        <v>7.1173711677305115E-2</v>
      </c>
      <c r="T183" s="157">
        <v>7.1173800556892028E-2</v>
      </c>
      <c r="U183" s="157">
        <v>7.1173776624308113E-2</v>
      </c>
      <c r="V183" s="157">
        <v>7.1173708183333489E-2</v>
      </c>
      <c r="W183" s="157">
        <v>7.117375902028672E-2</v>
      </c>
      <c r="X183" s="157">
        <v>7.1173730833711368E-2</v>
      </c>
      <c r="Y183" s="157">
        <v>7.117374495343165E-2</v>
      </c>
      <c r="Z183" s="157">
        <v>7.1173687665597091E-2</v>
      </c>
      <c r="AA183" s="157">
        <v>7.1173716529643286E-2</v>
      </c>
      <c r="AB183" s="157">
        <v>7.1459589872074347E-2</v>
      </c>
      <c r="AC183" s="157">
        <v>7.1447641890351452E-2</v>
      </c>
      <c r="AD183" s="157">
        <v>7.1583518037499419E-2</v>
      </c>
      <c r="AE183" s="157">
        <v>7.1626892848195692E-2</v>
      </c>
      <c r="AF183" s="157">
        <v>7.1626892848195692E-2</v>
      </c>
      <c r="AG183" s="157">
        <v>7.1626892848195692E-2</v>
      </c>
      <c r="AH183" s="157">
        <v>7.1626892848195692E-2</v>
      </c>
      <c r="AI183" s="157">
        <v>7.1626892848195692E-2</v>
      </c>
      <c r="AJ183" s="157">
        <v>7.1626892848195692E-2</v>
      </c>
      <c r="AK183" s="157">
        <v>7.1626892848195692E-2</v>
      </c>
      <c r="AL183" s="157">
        <v>7.1626892848195692E-2</v>
      </c>
      <c r="AM183" s="157">
        <v>7.1626892848195692E-2</v>
      </c>
      <c r="AN183" s="157">
        <v>7.1626892848195692E-2</v>
      </c>
      <c r="AO183" s="157">
        <v>7.1626892848195692E-2</v>
      </c>
      <c r="AP183" s="157">
        <v>7.1626892848195692E-2</v>
      </c>
      <c r="AQ183" s="157">
        <v>7.1626892848195692E-2</v>
      </c>
      <c r="AR183" s="157">
        <v>7.1626892848195692E-2</v>
      </c>
      <c r="AS183" s="149">
        <f t="shared" ref="AS183:BV183" si="140">AR183</f>
        <v>7.1626892848195692E-2</v>
      </c>
      <c r="AT183" s="149">
        <f t="shared" si="140"/>
        <v>7.1626892848195692E-2</v>
      </c>
      <c r="AU183" s="149">
        <f t="shared" si="140"/>
        <v>7.1626892848195692E-2</v>
      </c>
      <c r="AV183" s="149">
        <f t="shared" si="140"/>
        <v>7.1626892848195692E-2</v>
      </c>
      <c r="AW183" s="149">
        <f t="shared" si="140"/>
        <v>7.1626892848195692E-2</v>
      </c>
      <c r="AX183" s="149">
        <f t="shared" si="140"/>
        <v>7.1626892848195692E-2</v>
      </c>
      <c r="AY183" s="149">
        <f t="shared" si="140"/>
        <v>7.1626892848195692E-2</v>
      </c>
      <c r="AZ183" s="149">
        <f t="shared" si="140"/>
        <v>7.1626892848195692E-2</v>
      </c>
      <c r="BA183" s="149">
        <f t="shared" si="140"/>
        <v>7.1626892848195692E-2</v>
      </c>
      <c r="BB183" s="149">
        <f t="shared" si="140"/>
        <v>7.1626892848195692E-2</v>
      </c>
      <c r="BC183" s="149">
        <f t="shared" si="140"/>
        <v>7.1626892848195692E-2</v>
      </c>
      <c r="BD183" s="149">
        <f t="shared" si="140"/>
        <v>7.1626892848195692E-2</v>
      </c>
      <c r="BE183" s="149">
        <f t="shared" si="140"/>
        <v>7.1626892848195692E-2</v>
      </c>
      <c r="BF183" s="149">
        <f t="shared" si="140"/>
        <v>7.1626892848195692E-2</v>
      </c>
      <c r="BG183" s="149">
        <f t="shared" si="140"/>
        <v>7.1626892848195692E-2</v>
      </c>
      <c r="BH183" s="149">
        <f t="shared" si="140"/>
        <v>7.1626892848195692E-2</v>
      </c>
      <c r="BI183" s="149">
        <f t="shared" si="140"/>
        <v>7.1626892848195692E-2</v>
      </c>
      <c r="BJ183" s="149">
        <f t="shared" si="140"/>
        <v>7.1626892848195692E-2</v>
      </c>
      <c r="BK183" s="149">
        <f t="shared" si="140"/>
        <v>7.1626892848195692E-2</v>
      </c>
      <c r="BL183" s="149">
        <f t="shared" si="140"/>
        <v>7.1626892848195692E-2</v>
      </c>
      <c r="BM183" s="149">
        <f t="shared" si="140"/>
        <v>7.1626892848195692E-2</v>
      </c>
      <c r="BN183" s="149">
        <f t="shared" si="140"/>
        <v>7.1626892848195692E-2</v>
      </c>
      <c r="BO183" s="149">
        <f t="shared" si="140"/>
        <v>7.1626892848195692E-2</v>
      </c>
      <c r="BP183" s="149">
        <f t="shared" si="140"/>
        <v>7.1626892848195692E-2</v>
      </c>
      <c r="BQ183" s="149">
        <f t="shared" si="140"/>
        <v>7.1626892848195692E-2</v>
      </c>
      <c r="BR183" s="149">
        <f t="shared" si="140"/>
        <v>7.1626892848195692E-2</v>
      </c>
      <c r="BS183" s="149">
        <f t="shared" si="140"/>
        <v>7.1626892848195692E-2</v>
      </c>
      <c r="BT183" s="149">
        <f t="shared" si="140"/>
        <v>7.1626892848195692E-2</v>
      </c>
      <c r="BU183" s="149">
        <f t="shared" si="140"/>
        <v>7.1626892848195692E-2</v>
      </c>
      <c r="BV183" s="149">
        <f t="shared" si="140"/>
        <v>7.1626892848195692E-2</v>
      </c>
    </row>
    <row r="184" spans="1:74" x14ac:dyDescent="0.25">
      <c r="A184" s="147" t="s">
        <v>199</v>
      </c>
      <c r="C184" s="142"/>
      <c r="D184" s="157">
        <v>5.6428552456839302E-2</v>
      </c>
      <c r="E184" s="157">
        <v>5.6428552456839302E-2</v>
      </c>
      <c r="F184" s="157">
        <v>5.6428552456839302E-2</v>
      </c>
      <c r="G184" s="157">
        <v>5.6428552456839302E-2</v>
      </c>
      <c r="H184" s="157">
        <v>5.6428552456839302E-2</v>
      </c>
      <c r="I184" s="157">
        <v>5.6428552456839302E-2</v>
      </c>
      <c r="J184" s="157">
        <v>5.6428552456839302E-2</v>
      </c>
      <c r="K184" s="157">
        <v>5.6428552456839302E-2</v>
      </c>
      <c r="L184" s="157">
        <v>5.6428552456839302E-2</v>
      </c>
      <c r="M184" s="157">
        <v>5.6428552456839302E-2</v>
      </c>
      <c r="N184" s="157">
        <v>5.6428552456839302E-2</v>
      </c>
      <c r="O184" s="157">
        <v>5.6428552456839302E-2</v>
      </c>
      <c r="P184" s="157">
        <v>5.6428552456839302E-2</v>
      </c>
      <c r="Q184" s="157">
        <v>5.6529676494613379E-2</v>
      </c>
      <c r="R184" s="157">
        <v>5.6530067848684633E-2</v>
      </c>
      <c r="S184" s="157">
        <v>5.6530067848684633E-2</v>
      </c>
      <c r="T184" s="157">
        <v>5.6530067848684633E-2</v>
      </c>
      <c r="U184" s="157">
        <v>5.6530067848684633E-2</v>
      </c>
      <c r="V184" s="157">
        <v>5.6530067848684633E-2</v>
      </c>
      <c r="W184" s="157">
        <v>5.6530067848684633E-2</v>
      </c>
      <c r="X184" s="157">
        <v>5.6530067848684633E-2</v>
      </c>
      <c r="Y184" s="157">
        <v>5.6530067848684633E-2</v>
      </c>
      <c r="Z184" s="157">
        <v>5.6530067848684633E-2</v>
      </c>
      <c r="AA184" s="157">
        <v>5.6530067848684633E-2</v>
      </c>
      <c r="AB184" s="157">
        <v>5.6530067848684633E-2</v>
      </c>
      <c r="AC184" s="157">
        <v>5.6530067848684633E-2</v>
      </c>
      <c r="AD184" s="157">
        <v>5.6530067848684633E-2</v>
      </c>
      <c r="AE184" s="157">
        <v>5.6530067848684633E-2</v>
      </c>
      <c r="AF184" s="157">
        <v>5.6530067848684633E-2</v>
      </c>
      <c r="AG184" s="157">
        <v>5.6530067848684633E-2</v>
      </c>
      <c r="AH184" s="157">
        <v>5.6530067848684633E-2</v>
      </c>
      <c r="AI184" s="157">
        <v>5.6530067848684633E-2</v>
      </c>
      <c r="AJ184" s="157">
        <v>5.6530067848684633E-2</v>
      </c>
      <c r="AK184" s="157">
        <v>5.6530067848684633E-2</v>
      </c>
      <c r="AL184" s="157">
        <v>5.6530067848684633E-2</v>
      </c>
      <c r="AM184" s="157">
        <v>5.6530067848684633E-2</v>
      </c>
      <c r="AN184" s="157">
        <v>5.6530067848684633E-2</v>
      </c>
      <c r="AO184" s="157">
        <v>5.6530067848684633E-2</v>
      </c>
      <c r="AP184" s="157">
        <v>5.6530067848684633E-2</v>
      </c>
      <c r="AQ184" s="157">
        <v>5.6530067848684633E-2</v>
      </c>
      <c r="AR184" s="157">
        <v>5.6530067848684633E-2</v>
      </c>
      <c r="AS184" s="149">
        <f t="shared" ref="AS184:BV184" si="141">AR184</f>
        <v>5.6530067848684633E-2</v>
      </c>
      <c r="AT184" s="149">
        <f t="shared" si="141"/>
        <v>5.6530067848684633E-2</v>
      </c>
      <c r="AU184" s="149">
        <f t="shared" si="141"/>
        <v>5.6530067848684633E-2</v>
      </c>
      <c r="AV184" s="149">
        <f t="shared" si="141"/>
        <v>5.6530067848684633E-2</v>
      </c>
      <c r="AW184" s="149">
        <f t="shared" si="141"/>
        <v>5.6530067848684633E-2</v>
      </c>
      <c r="AX184" s="149">
        <f t="shared" si="141"/>
        <v>5.6530067848684633E-2</v>
      </c>
      <c r="AY184" s="149">
        <f t="shared" si="141"/>
        <v>5.6530067848684633E-2</v>
      </c>
      <c r="AZ184" s="149">
        <f t="shared" si="141"/>
        <v>5.6530067848684633E-2</v>
      </c>
      <c r="BA184" s="149">
        <f t="shared" si="141"/>
        <v>5.6530067848684633E-2</v>
      </c>
      <c r="BB184" s="149">
        <f t="shared" si="141"/>
        <v>5.6530067848684633E-2</v>
      </c>
      <c r="BC184" s="149">
        <f t="shared" si="141"/>
        <v>5.6530067848684633E-2</v>
      </c>
      <c r="BD184" s="149">
        <f t="shared" si="141"/>
        <v>5.6530067848684633E-2</v>
      </c>
      <c r="BE184" s="149">
        <f t="shared" si="141"/>
        <v>5.6530067848684633E-2</v>
      </c>
      <c r="BF184" s="149">
        <f t="shared" si="141"/>
        <v>5.6530067848684633E-2</v>
      </c>
      <c r="BG184" s="149">
        <f t="shared" si="141"/>
        <v>5.6530067848684633E-2</v>
      </c>
      <c r="BH184" s="149">
        <f t="shared" si="141"/>
        <v>5.6530067848684633E-2</v>
      </c>
      <c r="BI184" s="149">
        <f t="shared" si="141"/>
        <v>5.6530067848684633E-2</v>
      </c>
      <c r="BJ184" s="149">
        <f t="shared" si="141"/>
        <v>5.6530067848684633E-2</v>
      </c>
      <c r="BK184" s="149">
        <f t="shared" si="141"/>
        <v>5.6530067848684633E-2</v>
      </c>
      <c r="BL184" s="149">
        <f t="shared" si="141"/>
        <v>5.6530067848684633E-2</v>
      </c>
      <c r="BM184" s="149">
        <f t="shared" si="141"/>
        <v>5.6530067848684633E-2</v>
      </c>
      <c r="BN184" s="149">
        <f t="shared" si="141"/>
        <v>5.6530067848684633E-2</v>
      </c>
      <c r="BO184" s="149">
        <f t="shared" si="141"/>
        <v>5.6530067848684633E-2</v>
      </c>
      <c r="BP184" s="149">
        <f t="shared" si="141"/>
        <v>5.6530067848684633E-2</v>
      </c>
      <c r="BQ184" s="149">
        <f t="shared" si="141"/>
        <v>5.6530067848684633E-2</v>
      </c>
      <c r="BR184" s="149">
        <f t="shared" si="141"/>
        <v>5.6530067848684633E-2</v>
      </c>
      <c r="BS184" s="149">
        <f t="shared" si="141"/>
        <v>5.6530067848684633E-2</v>
      </c>
      <c r="BT184" s="149">
        <f t="shared" si="141"/>
        <v>5.6530067848684633E-2</v>
      </c>
      <c r="BU184" s="149">
        <f t="shared" si="141"/>
        <v>5.6530067848684633E-2</v>
      </c>
      <c r="BV184" s="149">
        <f t="shared" si="141"/>
        <v>5.6530067848684633E-2</v>
      </c>
    </row>
    <row r="185" spans="1:74" x14ac:dyDescent="0.25">
      <c r="A185" s="147" t="s">
        <v>197</v>
      </c>
      <c r="C185" s="142"/>
      <c r="D185" s="157">
        <v>7.1173734607240011E-2</v>
      </c>
      <c r="E185" s="157">
        <v>7.1173736145131672E-2</v>
      </c>
      <c r="F185" s="157">
        <v>7.1173737683023403E-2</v>
      </c>
      <c r="G185" s="157">
        <v>7.1173739220915203E-2</v>
      </c>
      <c r="H185" s="157">
        <v>7.1173740758807058E-2</v>
      </c>
      <c r="I185" s="157">
        <v>7.1173742296698969E-2</v>
      </c>
      <c r="J185" s="157">
        <v>7.1173733871273667E-2</v>
      </c>
      <c r="K185" s="157">
        <v>7.1173728488999069E-2</v>
      </c>
      <c r="L185" s="157">
        <v>7.1173744248015647E-2</v>
      </c>
      <c r="M185" s="157">
        <v>7.1173736161172188E-2</v>
      </c>
      <c r="N185" s="157">
        <v>7.1173732737838086E-2</v>
      </c>
      <c r="O185" s="157">
        <v>7.1173731442434163E-2</v>
      </c>
      <c r="P185" s="157">
        <v>7.1173737500829864E-2</v>
      </c>
      <c r="Q185" s="157">
        <v>7.1173734605906078E-2</v>
      </c>
      <c r="R185" s="157">
        <v>7.1173724896167911E-2</v>
      </c>
      <c r="S185" s="157">
        <v>7.1173711677305115E-2</v>
      </c>
      <c r="T185" s="157">
        <v>7.1173800556892028E-2</v>
      </c>
      <c r="U185" s="157">
        <v>7.1173776624308113E-2</v>
      </c>
      <c r="V185" s="157">
        <v>7.1173708183333489E-2</v>
      </c>
      <c r="W185" s="157">
        <v>7.117375902028672E-2</v>
      </c>
      <c r="X185" s="157">
        <v>7.1173730833711368E-2</v>
      </c>
      <c r="Y185" s="157">
        <v>7.117374495343165E-2</v>
      </c>
      <c r="Z185" s="157">
        <v>7.1173687665597091E-2</v>
      </c>
      <c r="AA185" s="157">
        <v>7.1173716529643286E-2</v>
      </c>
      <c r="AB185" s="157">
        <v>7.1459589872074347E-2</v>
      </c>
      <c r="AC185" s="157">
        <v>7.1447641890351452E-2</v>
      </c>
      <c r="AD185" s="157">
        <v>7.1583518037499419E-2</v>
      </c>
      <c r="AE185" s="157">
        <v>7.1626892848195692E-2</v>
      </c>
      <c r="AF185" s="157">
        <v>7.1626892848195692E-2</v>
      </c>
      <c r="AG185" s="157">
        <v>7.1626892848195692E-2</v>
      </c>
      <c r="AH185" s="157">
        <v>7.1626892848195692E-2</v>
      </c>
      <c r="AI185" s="157">
        <v>7.1626892848195692E-2</v>
      </c>
      <c r="AJ185" s="157">
        <v>7.1626892848195692E-2</v>
      </c>
      <c r="AK185" s="157">
        <v>7.1626892848195692E-2</v>
      </c>
      <c r="AL185" s="157">
        <v>7.1626892848195692E-2</v>
      </c>
      <c r="AM185" s="157">
        <v>7.1626892848195692E-2</v>
      </c>
      <c r="AN185" s="157">
        <v>7.1626892848195692E-2</v>
      </c>
      <c r="AO185" s="157">
        <v>7.1626892848195692E-2</v>
      </c>
      <c r="AP185" s="157">
        <v>7.1626892848195692E-2</v>
      </c>
      <c r="AQ185" s="157">
        <v>7.1626892848195692E-2</v>
      </c>
      <c r="AR185" s="157">
        <v>7.1626892848195692E-2</v>
      </c>
      <c r="AS185" s="149">
        <f t="shared" ref="AS185:BV185" si="142">AR185</f>
        <v>7.1626892848195692E-2</v>
      </c>
      <c r="AT185" s="149">
        <f t="shared" si="142"/>
        <v>7.1626892848195692E-2</v>
      </c>
      <c r="AU185" s="149">
        <f t="shared" si="142"/>
        <v>7.1626892848195692E-2</v>
      </c>
      <c r="AV185" s="149">
        <f t="shared" si="142"/>
        <v>7.1626892848195692E-2</v>
      </c>
      <c r="AW185" s="149">
        <f t="shared" si="142"/>
        <v>7.1626892848195692E-2</v>
      </c>
      <c r="AX185" s="149">
        <f t="shared" si="142"/>
        <v>7.1626892848195692E-2</v>
      </c>
      <c r="AY185" s="149">
        <f t="shared" si="142"/>
        <v>7.1626892848195692E-2</v>
      </c>
      <c r="AZ185" s="149">
        <f t="shared" si="142"/>
        <v>7.1626892848195692E-2</v>
      </c>
      <c r="BA185" s="149">
        <f t="shared" si="142"/>
        <v>7.1626892848195692E-2</v>
      </c>
      <c r="BB185" s="149">
        <f t="shared" si="142"/>
        <v>7.1626892848195692E-2</v>
      </c>
      <c r="BC185" s="149">
        <f t="shared" si="142"/>
        <v>7.1626892848195692E-2</v>
      </c>
      <c r="BD185" s="149">
        <f t="shared" si="142"/>
        <v>7.1626892848195692E-2</v>
      </c>
      <c r="BE185" s="149">
        <f t="shared" si="142"/>
        <v>7.1626892848195692E-2</v>
      </c>
      <c r="BF185" s="149">
        <f t="shared" si="142"/>
        <v>7.1626892848195692E-2</v>
      </c>
      <c r="BG185" s="149">
        <f t="shared" si="142"/>
        <v>7.1626892848195692E-2</v>
      </c>
      <c r="BH185" s="149">
        <f t="shared" si="142"/>
        <v>7.1626892848195692E-2</v>
      </c>
      <c r="BI185" s="149">
        <f t="shared" si="142"/>
        <v>7.1626892848195692E-2</v>
      </c>
      <c r="BJ185" s="149">
        <f t="shared" si="142"/>
        <v>7.1626892848195692E-2</v>
      </c>
      <c r="BK185" s="149">
        <f t="shared" si="142"/>
        <v>7.1626892848195692E-2</v>
      </c>
      <c r="BL185" s="149">
        <f t="shared" si="142"/>
        <v>7.1626892848195692E-2</v>
      </c>
      <c r="BM185" s="149">
        <f t="shared" si="142"/>
        <v>7.1626892848195692E-2</v>
      </c>
      <c r="BN185" s="149">
        <f t="shared" si="142"/>
        <v>7.1626892848195692E-2</v>
      </c>
      <c r="BO185" s="149">
        <f t="shared" si="142"/>
        <v>7.1626892848195692E-2</v>
      </c>
      <c r="BP185" s="149">
        <f t="shared" si="142"/>
        <v>7.1626892848195692E-2</v>
      </c>
      <c r="BQ185" s="149">
        <f t="shared" si="142"/>
        <v>7.1626892848195692E-2</v>
      </c>
      <c r="BR185" s="149">
        <f t="shared" si="142"/>
        <v>7.1626892848195692E-2</v>
      </c>
      <c r="BS185" s="149">
        <f t="shared" si="142"/>
        <v>7.1626892848195692E-2</v>
      </c>
      <c r="BT185" s="149">
        <f t="shared" si="142"/>
        <v>7.1626892848195692E-2</v>
      </c>
      <c r="BU185" s="149">
        <f t="shared" si="142"/>
        <v>7.1626892848195692E-2</v>
      </c>
      <c r="BV185" s="149">
        <f t="shared" si="142"/>
        <v>7.1626892848195692E-2</v>
      </c>
    </row>
    <row r="186" spans="1:74" x14ac:dyDescent="0.25">
      <c r="A186" s="141" t="s">
        <v>14</v>
      </c>
      <c r="B186" s="148"/>
      <c r="C186" s="142"/>
      <c r="D186" s="157">
        <v>5.0884034060787661E-2</v>
      </c>
      <c r="E186" s="157">
        <v>5.080872200921533E-2</v>
      </c>
      <c r="F186" s="157">
        <v>5.0733632562740778E-2</v>
      </c>
      <c r="G186" s="157">
        <v>5.0658764735866273E-2</v>
      </c>
      <c r="H186" s="157">
        <v>5.0584117548902727E-2</v>
      </c>
      <c r="I186" s="157">
        <v>5.0509690027926962E-2</v>
      </c>
      <c r="J186" s="157">
        <v>5.0472765645024356E-2</v>
      </c>
      <c r="K186" s="157">
        <v>5.045270042630548E-2</v>
      </c>
      <c r="L186" s="157">
        <v>5.0385550289870684E-2</v>
      </c>
      <c r="M186" s="157">
        <v>5.0443961569483581E-2</v>
      </c>
      <c r="N186" s="157">
        <v>5.0659506393256851E-2</v>
      </c>
      <c r="O186" s="157">
        <v>5.0563545142469413E-2</v>
      </c>
      <c r="P186" s="157">
        <v>5.0546715697022571E-2</v>
      </c>
      <c r="Q186" s="157">
        <v>5.0385318609503758E-2</v>
      </c>
      <c r="R186" s="157">
        <v>5.0347658470392923E-2</v>
      </c>
      <c r="S186" s="157">
        <v>5.0269095405659998E-2</v>
      </c>
      <c r="T186" s="157">
        <v>5.0254891822230627E-2</v>
      </c>
      <c r="U186" s="157">
        <v>5.0462665427550374E-2</v>
      </c>
      <c r="V186" s="157">
        <v>5.0057851325731519E-2</v>
      </c>
      <c r="W186" s="157">
        <v>5.0034906876201039E-2</v>
      </c>
      <c r="X186" s="157">
        <v>4.9926715324116293E-2</v>
      </c>
      <c r="Y186" s="157">
        <v>4.988537678850781E-2</v>
      </c>
      <c r="Z186" s="157">
        <v>4.9664693747516531E-2</v>
      </c>
      <c r="AA186" s="157">
        <v>4.9525397315490056E-2</v>
      </c>
      <c r="AB186" s="157">
        <v>4.9325027501187835E-2</v>
      </c>
      <c r="AC186" s="157">
        <v>4.9022590682876281E-2</v>
      </c>
      <c r="AD186" s="157">
        <v>4.9286363711235813E-2</v>
      </c>
      <c r="AE186" s="157">
        <v>4.9047599452087906E-2</v>
      </c>
      <c r="AF186" s="157">
        <v>4.9047599452087906E-2</v>
      </c>
      <c r="AG186" s="157">
        <v>4.9047599452087906E-2</v>
      </c>
      <c r="AH186" s="157">
        <v>4.9047599452087906E-2</v>
      </c>
      <c r="AI186" s="157">
        <v>4.9047599452087906E-2</v>
      </c>
      <c r="AJ186" s="157">
        <v>4.9047599452087906E-2</v>
      </c>
      <c r="AK186" s="157">
        <v>4.9047599452087906E-2</v>
      </c>
      <c r="AL186" s="157">
        <v>4.9047599452087906E-2</v>
      </c>
      <c r="AM186" s="157">
        <v>4.9047599452087906E-2</v>
      </c>
      <c r="AN186" s="157">
        <v>4.9047599452087906E-2</v>
      </c>
      <c r="AO186" s="157">
        <v>4.9047599452087906E-2</v>
      </c>
      <c r="AP186" s="157">
        <v>4.9047599452087906E-2</v>
      </c>
      <c r="AQ186" s="157">
        <v>4.9047599452087906E-2</v>
      </c>
      <c r="AR186" s="157">
        <v>4.9047599452087906E-2</v>
      </c>
      <c r="AS186" s="149">
        <f t="shared" ref="AS186:BV186" si="143">AR186</f>
        <v>4.9047599452087906E-2</v>
      </c>
      <c r="AT186" s="149">
        <f t="shared" si="143"/>
        <v>4.9047599452087906E-2</v>
      </c>
      <c r="AU186" s="149">
        <f t="shared" si="143"/>
        <v>4.9047599452087906E-2</v>
      </c>
      <c r="AV186" s="149">
        <f t="shared" si="143"/>
        <v>4.9047599452087906E-2</v>
      </c>
      <c r="AW186" s="149">
        <f t="shared" si="143"/>
        <v>4.9047599452087906E-2</v>
      </c>
      <c r="AX186" s="149">
        <f t="shared" si="143"/>
        <v>4.9047599452087906E-2</v>
      </c>
      <c r="AY186" s="149">
        <f t="shared" si="143"/>
        <v>4.9047599452087906E-2</v>
      </c>
      <c r="AZ186" s="149">
        <f t="shared" si="143"/>
        <v>4.9047599452087906E-2</v>
      </c>
      <c r="BA186" s="149">
        <f t="shared" si="143"/>
        <v>4.9047599452087906E-2</v>
      </c>
      <c r="BB186" s="149">
        <f t="shared" si="143"/>
        <v>4.9047599452087906E-2</v>
      </c>
      <c r="BC186" s="149">
        <f t="shared" si="143"/>
        <v>4.9047599452087906E-2</v>
      </c>
      <c r="BD186" s="149">
        <f t="shared" si="143"/>
        <v>4.9047599452087906E-2</v>
      </c>
      <c r="BE186" s="149">
        <f t="shared" si="143"/>
        <v>4.9047599452087906E-2</v>
      </c>
      <c r="BF186" s="149">
        <f t="shared" si="143"/>
        <v>4.9047599452087906E-2</v>
      </c>
      <c r="BG186" s="149">
        <f t="shared" si="143"/>
        <v>4.9047599452087906E-2</v>
      </c>
      <c r="BH186" s="149">
        <f t="shared" si="143"/>
        <v>4.9047599452087906E-2</v>
      </c>
      <c r="BI186" s="149">
        <f t="shared" si="143"/>
        <v>4.9047599452087906E-2</v>
      </c>
      <c r="BJ186" s="149">
        <f t="shared" si="143"/>
        <v>4.9047599452087906E-2</v>
      </c>
      <c r="BK186" s="149">
        <f t="shared" si="143"/>
        <v>4.9047599452087906E-2</v>
      </c>
      <c r="BL186" s="149">
        <f t="shared" si="143"/>
        <v>4.9047599452087906E-2</v>
      </c>
      <c r="BM186" s="149">
        <f t="shared" si="143"/>
        <v>4.9047599452087906E-2</v>
      </c>
      <c r="BN186" s="149">
        <f t="shared" si="143"/>
        <v>4.9047599452087906E-2</v>
      </c>
      <c r="BO186" s="149">
        <f t="shared" si="143"/>
        <v>4.9047599452087906E-2</v>
      </c>
      <c r="BP186" s="149">
        <f t="shared" si="143"/>
        <v>4.9047599452087906E-2</v>
      </c>
      <c r="BQ186" s="149">
        <f t="shared" si="143"/>
        <v>4.9047599452087906E-2</v>
      </c>
      <c r="BR186" s="149">
        <f t="shared" si="143"/>
        <v>4.9047599452087906E-2</v>
      </c>
      <c r="BS186" s="149">
        <f t="shared" si="143"/>
        <v>4.9047599452087906E-2</v>
      </c>
      <c r="BT186" s="149">
        <f t="shared" si="143"/>
        <v>4.9047599452087906E-2</v>
      </c>
      <c r="BU186" s="149">
        <f t="shared" si="143"/>
        <v>4.9047599452087906E-2</v>
      </c>
      <c r="BV186" s="149">
        <f t="shared" si="143"/>
        <v>4.9047599452087906E-2</v>
      </c>
    </row>
    <row r="187" spans="1:74" x14ac:dyDescent="0.25">
      <c r="A187" s="141" t="s">
        <v>188</v>
      </c>
      <c r="B187" s="142"/>
      <c r="C187" s="163"/>
      <c r="D187" s="157">
        <v>8.4669648012979798E-2</v>
      </c>
      <c r="E187" s="157">
        <v>8.4763618733123366E-2</v>
      </c>
      <c r="F187" s="157">
        <v>8.4857589453490215E-2</v>
      </c>
      <c r="G187" s="157">
        <v>8.4951560174080371E-2</v>
      </c>
      <c r="H187" s="157">
        <v>8.5045530894893806E-2</v>
      </c>
      <c r="I187" s="157">
        <v>8.5139501615930535E-2</v>
      </c>
      <c r="J187" s="157">
        <v>8.4134444555794233E-2</v>
      </c>
      <c r="K187" s="157">
        <v>8.4450211712153056E-2</v>
      </c>
      <c r="L187" s="157">
        <v>8.0962821708620361E-2</v>
      </c>
      <c r="M187" s="157">
        <v>8.1483050770451718E-2</v>
      </c>
      <c r="N187" s="157">
        <v>8.0059986510225084E-2</v>
      </c>
      <c r="O187" s="157">
        <v>8.2119182170518515E-2</v>
      </c>
      <c r="P187" s="157">
        <v>8.3126805820462626E-2</v>
      </c>
      <c r="Q187" s="157">
        <v>8.3651533025754732E-2</v>
      </c>
      <c r="R187" s="157">
        <v>8.3173233808404343E-2</v>
      </c>
      <c r="S187" s="157">
        <v>8.3303051192369498E-2</v>
      </c>
      <c r="T187" s="157">
        <v>8.3393330223555259E-2</v>
      </c>
      <c r="U187" s="157">
        <v>8.3377563905847649E-2</v>
      </c>
      <c r="V187" s="157">
        <v>8.3411679359558191E-2</v>
      </c>
      <c r="W187" s="157">
        <v>8.3380981828234321E-2</v>
      </c>
      <c r="X187" s="157">
        <v>8.3508013586894372E-2</v>
      </c>
      <c r="Y187" s="157">
        <v>8.3309824540335656E-2</v>
      </c>
      <c r="Z187" s="157">
        <v>8.3278284216720927E-2</v>
      </c>
      <c r="AA187" s="157">
        <v>8.4628461014660719E-2</v>
      </c>
      <c r="AB187" s="157">
        <v>8.124285509656981E-2</v>
      </c>
      <c r="AC187" s="157">
        <v>8.1676976297178072E-2</v>
      </c>
      <c r="AD187" s="157">
        <v>8.1764678751483758E-2</v>
      </c>
      <c r="AE187" s="157">
        <v>8.2196107424975309E-2</v>
      </c>
      <c r="AF187" s="157">
        <v>8.2196107424975309E-2</v>
      </c>
      <c r="AG187" s="157">
        <v>8.2196107424975309E-2</v>
      </c>
      <c r="AH187" s="157">
        <v>8.2196107424975309E-2</v>
      </c>
      <c r="AI187" s="157">
        <v>8.2196107424975309E-2</v>
      </c>
      <c r="AJ187" s="157">
        <v>8.2196107424975309E-2</v>
      </c>
      <c r="AK187" s="157">
        <v>8.2196107424975309E-2</v>
      </c>
      <c r="AL187" s="157">
        <v>8.2196107424975309E-2</v>
      </c>
      <c r="AM187" s="157">
        <v>8.2196107424975309E-2</v>
      </c>
      <c r="AN187" s="157">
        <v>8.2196107424975309E-2</v>
      </c>
      <c r="AO187" s="157">
        <v>8.2196107424975309E-2</v>
      </c>
      <c r="AP187" s="157">
        <v>8.2196107424975309E-2</v>
      </c>
      <c r="AQ187" s="157">
        <v>8.2196107424975309E-2</v>
      </c>
      <c r="AR187" s="157">
        <v>8.2196107424975309E-2</v>
      </c>
      <c r="AS187" s="149">
        <f t="shared" ref="AS187:BV187" si="144">AR187</f>
        <v>8.2196107424975309E-2</v>
      </c>
      <c r="AT187" s="149">
        <f t="shared" si="144"/>
        <v>8.2196107424975309E-2</v>
      </c>
      <c r="AU187" s="149">
        <f t="shared" si="144"/>
        <v>8.2196107424975309E-2</v>
      </c>
      <c r="AV187" s="149">
        <f t="shared" si="144"/>
        <v>8.2196107424975309E-2</v>
      </c>
      <c r="AW187" s="149">
        <f t="shared" si="144"/>
        <v>8.2196107424975309E-2</v>
      </c>
      <c r="AX187" s="149">
        <f t="shared" si="144"/>
        <v>8.2196107424975309E-2</v>
      </c>
      <c r="AY187" s="149">
        <f t="shared" si="144"/>
        <v>8.2196107424975309E-2</v>
      </c>
      <c r="AZ187" s="149">
        <f t="shared" si="144"/>
        <v>8.2196107424975309E-2</v>
      </c>
      <c r="BA187" s="149">
        <f t="shared" si="144"/>
        <v>8.2196107424975309E-2</v>
      </c>
      <c r="BB187" s="149">
        <f t="shared" si="144"/>
        <v>8.2196107424975309E-2</v>
      </c>
      <c r="BC187" s="149">
        <f t="shared" si="144"/>
        <v>8.2196107424975309E-2</v>
      </c>
      <c r="BD187" s="149">
        <f t="shared" si="144"/>
        <v>8.2196107424975309E-2</v>
      </c>
      <c r="BE187" s="149">
        <f t="shared" si="144"/>
        <v>8.2196107424975309E-2</v>
      </c>
      <c r="BF187" s="149">
        <f t="shared" si="144"/>
        <v>8.2196107424975309E-2</v>
      </c>
      <c r="BG187" s="149">
        <f t="shared" si="144"/>
        <v>8.2196107424975309E-2</v>
      </c>
      <c r="BH187" s="149">
        <f t="shared" si="144"/>
        <v>8.2196107424975309E-2</v>
      </c>
      <c r="BI187" s="149">
        <f t="shared" si="144"/>
        <v>8.2196107424975309E-2</v>
      </c>
      <c r="BJ187" s="149">
        <f t="shared" si="144"/>
        <v>8.2196107424975309E-2</v>
      </c>
      <c r="BK187" s="149">
        <f t="shared" si="144"/>
        <v>8.2196107424975309E-2</v>
      </c>
      <c r="BL187" s="149">
        <f t="shared" si="144"/>
        <v>8.2196107424975309E-2</v>
      </c>
      <c r="BM187" s="149">
        <f t="shared" si="144"/>
        <v>8.2196107424975309E-2</v>
      </c>
      <c r="BN187" s="149">
        <f t="shared" si="144"/>
        <v>8.2196107424975309E-2</v>
      </c>
      <c r="BO187" s="149">
        <f t="shared" si="144"/>
        <v>8.2196107424975309E-2</v>
      </c>
      <c r="BP187" s="149">
        <f t="shared" si="144"/>
        <v>8.2196107424975309E-2</v>
      </c>
      <c r="BQ187" s="149">
        <f t="shared" si="144"/>
        <v>8.2196107424975309E-2</v>
      </c>
      <c r="BR187" s="149">
        <f t="shared" si="144"/>
        <v>8.2196107424975309E-2</v>
      </c>
      <c r="BS187" s="149">
        <f t="shared" si="144"/>
        <v>8.2196107424975309E-2</v>
      </c>
      <c r="BT187" s="149">
        <f t="shared" si="144"/>
        <v>8.2196107424975309E-2</v>
      </c>
      <c r="BU187" s="149">
        <f t="shared" si="144"/>
        <v>8.2196107424975309E-2</v>
      </c>
      <c r="BV187" s="149">
        <f t="shared" si="144"/>
        <v>8.2196107424975309E-2</v>
      </c>
    </row>
    <row r="188" spans="1:74" x14ac:dyDescent="0.25">
      <c r="A188" s="147" t="s">
        <v>200</v>
      </c>
      <c r="C188" s="142"/>
      <c r="D188" s="157">
        <v>5.9341945678437827E-2</v>
      </c>
      <c r="E188" s="157">
        <v>5.9341947701401741E-2</v>
      </c>
      <c r="F188" s="157">
        <v>5.9341949724365788E-2</v>
      </c>
      <c r="G188" s="157">
        <v>5.9341951747329973E-2</v>
      </c>
      <c r="H188" s="157">
        <v>5.9341953770294296E-2</v>
      </c>
      <c r="I188" s="157">
        <v>5.9341955793258738E-2</v>
      </c>
      <c r="J188" s="157">
        <v>5.9341948341031549E-2</v>
      </c>
      <c r="K188" s="157">
        <v>5.9341952022520093E-2</v>
      </c>
      <c r="L188" s="157">
        <v>5.9857777214651499E-2</v>
      </c>
      <c r="M188" s="157">
        <v>5.9857766399607715E-2</v>
      </c>
      <c r="N188" s="157">
        <v>5.9857766397253279E-2</v>
      </c>
      <c r="O188" s="157">
        <v>5.9857761469151567E-2</v>
      </c>
      <c r="P188" s="157">
        <v>5.9857772727671905E-2</v>
      </c>
      <c r="Q188" s="157">
        <v>5.9857762186262486E-2</v>
      </c>
      <c r="R188" s="157">
        <v>5.9857764363268735E-2</v>
      </c>
      <c r="S188" s="157">
        <v>5.985775273523862E-2</v>
      </c>
      <c r="T188" s="157">
        <v>5.9857742592133653E-2</v>
      </c>
      <c r="U188" s="157">
        <v>5.9857846442529061E-2</v>
      </c>
      <c r="V188" s="157">
        <v>5.9857725653359922E-2</v>
      </c>
      <c r="W188" s="157">
        <v>5.9857869132092109E-2</v>
      </c>
      <c r="X188" s="157">
        <v>5.9857810547601559E-2</v>
      </c>
      <c r="Y188" s="157">
        <v>5.9857731382435463E-2</v>
      </c>
      <c r="Z188" s="157">
        <v>5.9857814030780346E-2</v>
      </c>
      <c r="AA188" s="157">
        <v>5.9857814030780346E-2</v>
      </c>
      <c r="AB188" s="157">
        <v>5.9857814030780346E-2</v>
      </c>
      <c r="AC188" s="157">
        <v>5.9857814030780346E-2</v>
      </c>
      <c r="AD188" s="157">
        <v>5.9858185914249296E-2</v>
      </c>
      <c r="AE188" s="157">
        <v>5.9858104375493833E-2</v>
      </c>
      <c r="AF188" s="157">
        <v>5.9858104375493833E-2</v>
      </c>
      <c r="AG188" s="157">
        <v>5.9858104375493833E-2</v>
      </c>
      <c r="AH188" s="157">
        <v>5.9858104375493833E-2</v>
      </c>
      <c r="AI188" s="157">
        <v>5.9858104375493833E-2</v>
      </c>
      <c r="AJ188" s="157">
        <v>5.9858104375493833E-2</v>
      </c>
      <c r="AK188" s="157">
        <v>5.9858104375493833E-2</v>
      </c>
      <c r="AL188" s="157">
        <v>5.9858104375493833E-2</v>
      </c>
      <c r="AM188" s="157">
        <v>5.9858104375493833E-2</v>
      </c>
      <c r="AN188" s="157">
        <v>5.9858104375493833E-2</v>
      </c>
      <c r="AO188" s="157">
        <v>5.9858104375493833E-2</v>
      </c>
      <c r="AP188" s="157">
        <v>5.9858104375493833E-2</v>
      </c>
      <c r="AQ188" s="157">
        <v>5.9858104375493833E-2</v>
      </c>
      <c r="AR188" s="157">
        <v>5.9858104375493833E-2</v>
      </c>
      <c r="AS188" s="149">
        <f t="shared" ref="AS188:BV188" si="145">AR188</f>
        <v>5.9858104375493833E-2</v>
      </c>
      <c r="AT188" s="149">
        <f t="shared" si="145"/>
        <v>5.9858104375493833E-2</v>
      </c>
      <c r="AU188" s="149">
        <f t="shared" si="145"/>
        <v>5.9858104375493833E-2</v>
      </c>
      <c r="AV188" s="149">
        <f t="shared" si="145"/>
        <v>5.9858104375493833E-2</v>
      </c>
      <c r="AW188" s="149">
        <f t="shared" si="145"/>
        <v>5.9858104375493833E-2</v>
      </c>
      <c r="AX188" s="149">
        <f t="shared" si="145"/>
        <v>5.9858104375493833E-2</v>
      </c>
      <c r="AY188" s="149">
        <f t="shared" si="145"/>
        <v>5.9858104375493833E-2</v>
      </c>
      <c r="AZ188" s="149">
        <f t="shared" si="145"/>
        <v>5.9858104375493833E-2</v>
      </c>
      <c r="BA188" s="149">
        <f t="shared" si="145"/>
        <v>5.9858104375493833E-2</v>
      </c>
      <c r="BB188" s="149">
        <f t="shared" si="145"/>
        <v>5.9858104375493833E-2</v>
      </c>
      <c r="BC188" s="149">
        <f t="shared" si="145"/>
        <v>5.9858104375493833E-2</v>
      </c>
      <c r="BD188" s="149">
        <f t="shared" si="145"/>
        <v>5.9858104375493833E-2</v>
      </c>
      <c r="BE188" s="149">
        <f t="shared" si="145"/>
        <v>5.9858104375493833E-2</v>
      </c>
      <c r="BF188" s="149">
        <f t="shared" si="145"/>
        <v>5.9858104375493833E-2</v>
      </c>
      <c r="BG188" s="149">
        <f t="shared" si="145"/>
        <v>5.9858104375493833E-2</v>
      </c>
      <c r="BH188" s="149">
        <f t="shared" si="145"/>
        <v>5.9858104375493833E-2</v>
      </c>
      <c r="BI188" s="149">
        <f t="shared" si="145"/>
        <v>5.9858104375493833E-2</v>
      </c>
      <c r="BJ188" s="149">
        <f t="shared" si="145"/>
        <v>5.9858104375493833E-2</v>
      </c>
      <c r="BK188" s="149">
        <f t="shared" si="145"/>
        <v>5.9858104375493833E-2</v>
      </c>
      <c r="BL188" s="149">
        <f t="shared" si="145"/>
        <v>5.9858104375493833E-2</v>
      </c>
      <c r="BM188" s="149">
        <f t="shared" si="145"/>
        <v>5.9858104375493833E-2</v>
      </c>
      <c r="BN188" s="149">
        <f t="shared" si="145"/>
        <v>5.9858104375493833E-2</v>
      </c>
      <c r="BO188" s="149">
        <f t="shared" si="145"/>
        <v>5.9858104375493833E-2</v>
      </c>
      <c r="BP188" s="149">
        <f t="shared" si="145"/>
        <v>5.9858104375493833E-2</v>
      </c>
      <c r="BQ188" s="149">
        <f t="shared" si="145"/>
        <v>5.9858104375493833E-2</v>
      </c>
      <c r="BR188" s="149">
        <f t="shared" si="145"/>
        <v>5.9858104375493833E-2</v>
      </c>
      <c r="BS188" s="149">
        <f t="shared" si="145"/>
        <v>5.9858104375493833E-2</v>
      </c>
      <c r="BT188" s="149">
        <f t="shared" si="145"/>
        <v>5.9858104375493833E-2</v>
      </c>
      <c r="BU188" s="149">
        <f t="shared" si="145"/>
        <v>5.9858104375493833E-2</v>
      </c>
      <c r="BV188" s="149">
        <f t="shared" si="145"/>
        <v>5.9858104375493833E-2</v>
      </c>
    </row>
    <row r="189" spans="1:74" x14ac:dyDescent="0.25">
      <c r="A189" s="141" t="s">
        <v>194</v>
      </c>
      <c r="B189" s="148"/>
      <c r="C189" s="163"/>
      <c r="D189" s="157">
        <v>4.3360869813937844E-2</v>
      </c>
      <c r="E189" s="157">
        <v>4.3543378975413639E-2</v>
      </c>
      <c r="F189" s="157">
        <v>4.3725888137030815E-2</v>
      </c>
      <c r="G189" s="157">
        <v>4.3908397298789377E-2</v>
      </c>
      <c r="H189" s="157">
        <v>4.4090906460689319E-2</v>
      </c>
      <c r="I189" s="157">
        <v>4.4273415622730634E-2</v>
      </c>
      <c r="J189" s="157">
        <v>4.3277244399331963E-2</v>
      </c>
      <c r="K189" s="157">
        <v>4.2751401516451848E-2</v>
      </c>
      <c r="L189" s="157">
        <v>3.9563416715295181E-2</v>
      </c>
      <c r="M189" s="157">
        <v>4.25067004568506E-2</v>
      </c>
      <c r="N189" s="157">
        <v>3.9697676025390954E-2</v>
      </c>
      <c r="O189" s="157">
        <v>3.8798097813802689E-2</v>
      </c>
      <c r="P189" s="157">
        <v>3.9133481687923917E-2</v>
      </c>
      <c r="Q189" s="157">
        <v>3.9934990495230346E-2</v>
      </c>
      <c r="R189" s="157">
        <v>4.0117257866493505E-2</v>
      </c>
      <c r="S189" s="157">
        <v>4.0393527151583203E-2</v>
      </c>
      <c r="T189" s="157">
        <v>4.1233788317944289E-2</v>
      </c>
      <c r="U189" s="157">
        <v>4.1434438811343101E-2</v>
      </c>
      <c r="V189" s="157">
        <v>4.0070936599287725E-2</v>
      </c>
      <c r="W189" s="157">
        <v>4.053025284195956E-2</v>
      </c>
      <c r="X189" s="157">
        <v>4.3354845383235217E-2</v>
      </c>
      <c r="Y189" s="157">
        <v>4.3224970892610626E-2</v>
      </c>
      <c r="Z189" s="157">
        <v>4.8156725585780456E-2</v>
      </c>
      <c r="AA189" s="157">
        <v>4.8825271260910165E-2</v>
      </c>
      <c r="AB189" s="157">
        <v>4.8547965665922871E-2</v>
      </c>
      <c r="AC189" s="157">
        <v>4.9175051720593277E-2</v>
      </c>
      <c r="AD189" s="157">
        <v>4.9921693957213457E-2</v>
      </c>
      <c r="AE189" s="157">
        <v>5.0566331040311205E-2</v>
      </c>
      <c r="AF189" s="157">
        <v>5.0566331040311205E-2</v>
      </c>
      <c r="AG189" s="157">
        <v>5.0566331040311205E-2</v>
      </c>
      <c r="AH189" s="157">
        <v>5.0566331040311205E-2</v>
      </c>
      <c r="AI189" s="157">
        <v>5.0566331040311205E-2</v>
      </c>
      <c r="AJ189" s="157">
        <v>5.0566331040311205E-2</v>
      </c>
      <c r="AK189" s="157">
        <v>5.0566331040311205E-2</v>
      </c>
      <c r="AL189" s="157">
        <v>5.0566331040311205E-2</v>
      </c>
      <c r="AM189" s="157">
        <v>5.0566331040311205E-2</v>
      </c>
      <c r="AN189" s="157">
        <v>5.0566331040311205E-2</v>
      </c>
      <c r="AO189" s="157">
        <v>5.0566331040311205E-2</v>
      </c>
      <c r="AP189" s="157">
        <v>5.0566331040311205E-2</v>
      </c>
      <c r="AQ189" s="157">
        <v>5.0566331040311205E-2</v>
      </c>
      <c r="AR189" s="157">
        <v>5.0566331040311205E-2</v>
      </c>
      <c r="AS189" s="149">
        <f t="shared" ref="AS189:BV189" si="146">AR189</f>
        <v>5.0566331040311205E-2</v>
      </c>
      <c r="AT189" s="149">
        <f t="shared" si="146"/>
        <v>5.0566331040311205E-2</v>
      </c>
      <c r="AU189" s="149">
        <f t="shared" si="146"/>
        <v>5.0566331040311205E-2</v>
      </c>
      <c r="AV189" s="149">
        <f t="shared" si="146"/>
        <v>5.0566331040311205E-2</v>
      </c>
      <c r="AW189" s="149">
        <f t="shared" si="146"/>
        <v>5.0566331040311205E-2</v>
      </c>
      <c r="AX189" s="149">
        <f t="shared" si="146"/>
        <v>5.0566331040311205E-2</v>
      </c>
      <c r="AY189" s="149">
        <f t="shared" si="146"/>
        <v>5.0566331040311205E-2</v>
      </c>
      <c r="AZ189" s="149">
        <f t="shared" si="146"/>
        <v>5.0566331040311205E-2</v>
      </c>
      <c r="BA189" s="149">
        <f t="shared" si="146"/>
        <v>5.0566331040311205E-2</v>
      </c>
      <c r="BB189" s="149">
        <f t="shared" si="146"/>
        <v>5.0566331040311205E-2</v>
      </c>
      <c r="BC189" s="149">
        <f t="shared" si="146"/>
        <v>5.0566331040311205E-2</v>
      </c>
      <c r="BD189" s="149">
        <f t="shared" si="146"/>
        <v>5.0566331040311205E-2</v>
      </c>
      <c r="BE189" s="149">
        <f t="shared" si="146"/>
        <v>5.0566331040311205E-2</v>
      </c>
      <c r="BF189" s="149">
        <f t="shared" si="146"/>
        <v>5.0566331040311205E-2</v>
      </c>
      <c r="BG189" s="149">
        <f t="shared" si="146"/>
        <v>5.0566331040311205E-2</v>
      </c>
      <c r="BH189" s="149">
        <f t="shared" si="146"/>
        <v>5.0566331040311205E-2</v>
      </c>
      <c r="BI189" s="149">
        <f t="shared" si="146"/>
        <v>5.0566331040311205E-2</v>
      </c>
      <c r="BJ189" s="149">
        <f t="shared" si="146"/>
        <v>5.0566331040311205E-2</v>
      </c>
      <c r="BK189" s="149">
        <f t="shared" si="146"/>
        <v>5.0566331040311205E-2</v>
      </c>
      <c r="BL189" s="149">
        <f t="shared" si="146"/>
        <v>5.0566331040311205E-2</v>
      </c>
      <c r="BM189" s="149">
        <f t="shared" si="146"/>
        <v>5.0566331040311205E-2</v>
      </c>
      <c r="BN189" s="149">
        <f t="shared" si="146"/>
        <v>5.0566331040311205E-2</v>
      </c>
      <c r="BO189" s="149">
        <f t="shared" si="146"/>
        <v>5.0566331040311205E-2</v>
      </c>
      <c r="BP189" s="149">
        <f t="shared" si="146"/>
        <v>5.0566331040311205E-2</v>
      </c>
      <c r="BQ189" s="149">
        <f t="shared" si="146"/>
        <v>5.0566331040311205E-2</v>
      </c>
      <c r="BR189" s="149">
        <f t="shared" si="146"/>
        <v>5.0566331040311205E-2</v>
      </c>
      <c r="BS189" s="149">
        <f t="shared" si="146"/>
        <v>5.0566331040311205E-2</v>
      </c>
      <c r="BT189" s="149">
        <f t="shared" si="146"/>
        <v>5.0566331040311205E-2</v>
      </c>
      <c r="BU189" s="149">
        <f t="shared" si="146"/>
        <v>5.0566331040311205E-2</v>
      </c>
      <c r="BV189" s="149">
        <f t="shared" si="146"/>
        <v>5.0566331040311205E-2</v>
      </c>
    </row>
    <row r="190" spans="1:74" x14ac:dyDescent="0.25">
      <c r="A190" s="147" t="s">
        <v>201</v>
      </c>
      <c r="C190" s="142"/>
      <c r="D190" s="157">
        <v>8.5100286532951291E-2</v>
      </c>
      <c r="E190" s="157">
        <v>8.5100286532951291E-2</v>
      </c>
      <c r="F190" s="157">
        <v>8.5100286532951291E-2</v>
      </c>
      <c r="G190" s="157">
        <v>8.5100286532951291E-2</v>
      </c>
      <c r="H190" s="157">
        <v>8.5100286532951291E-2</v>
      </c>
      <c r="I190" s="157">
        <v>8.5100286532951291E-2</v>
      </c>
      <c r="J190" s="157">
        <v>8.5100286532951291E-2</v>
      </c>
      <c r="K190" s="157">
        <v>8.5100286532951291E-2</v>
      </c>
      <c r="L190" s="157">
        <v>8.5100286532951291E-2</v>
      </c>
      <c r="M190" s="157">
        <v>8.5100286532951291E-2</v>
      </c>
      <c r="N190" s="157">
        <v>8.5100286532951291E-2</v>
      </c>
      <c r="O190" s="157">
        <v>8.5100286532951291E-2</v>
      </c>
      <c r="P190" s="157">
        <v>8.5100286532951291E-2</v>
      </c>
      <c r="Q190" s="157">
        <v>8.5100286532951291E-2</v>
      </c>
      <c r="R190" s="157">
        <v>8.5100286532951291E-2</v>
      </c>
      <c r="S190" s="157">
        <v>8.5100285874548598E-2</v>
      </c>
      <c r="T190" s="157">
        <v>8.5100287711537839E-2</v>
      </c>
      <c r="U190" s="157">
        <v>8.5100288058758883E-2</v>
      </c>
      <c r="V190" s="157">
        <v>8.5100284223571604E-2</v>
      </c>
      <c r="W190" s="157">
        <v>8.5100284751351105E-2</v>
      </c>
      <c r="X190" s="157">
        <v>8.510028951724552E-2</v>
      </c>
      <c r="Y190" s="157">
        <v>8.5100289109879601E-2</v>
      </c>
      <c r="Z190" s="157">
        <v>8.5100287371040334E-2</v>
      </c>
      <c r="AA190" s="157">
        <v>8.5100284351395258E-2</v>
      </c>
      <c r="AB190" s="157">
        <v>8.5100286957734222E-2</v>
      </c>
      <c r="AC190" s="157">
        <v>8.5100284933278411E-2</v>
      </c>
      <c r="AD190" s="157">
        <v>8.51002886580806E-2</v>
      </c>
      <c r="AE190" s="157">
        <v>8.5100284039712912E-2</v>
      </c>
      <c r="AF190" s="157">
        <v>8.5100284039712912E-2</v>
      </c>
      <c r="AG190" s="157">
        <v>8.5100284039712912E-2</v>
      </c>
      <c r="AH190" s="157">
        <v>8.5100284039712912E-2</v>
      </c>
      <c r="AI190" s="157">
        <v>8.5100284039712912E-2</v>
      </c>
      <c r="AJ190" s="157">
        <v>8.5100284039712912E-2</v>
      </c>
      <c r="AK190" s="157">
        <v>8.5100284039712912E-2</v>
      </c>
      <c r="AL190" s="157">
        <v>8.5100284039712912E-2</v>
      </c>
      <c r="AM190" s="157">
        <v>8.5100284039712912E-2</v>
      </c>
      <c r="AN190" s="157">
        <v>8.5100284039712912E-2</v>
      </c>
      <c r="AO190" s="157">
        <v>8.5100284039712912E-2</v>
      </c>
      <c r="AP190" s="157">
        <v>8.5100284039712912E-2</v>
      </c>
      <c r="AQ190" s="157">
        <v>8.5100284039712912E-2</v>
      </c>
      <c r="AR190" s="157">
        <v>8.5100284039712912E-2</v>
      </c>
      <c r="AS190" s="149">
        <f t="shared" ref="AS190:BV190" si="147">AR190</f>
        <v>8.5100284039712912E-2</v>
      </c>
      <c r="AT190" s="149">
        <f t="shared" si="147"/>
        <v>8.5100284039712912E-2</v>
      </c>
      <c r="AU190" s="149">
        <f t="shared" si="147"/>
        <v>8.5100284039712912E-2</v>
      </c>
      <c r="AV190" s="149">
        <f t="shared" si="147"/>
        <v>8.5100284039712912E-2</v>
      </c>
      <c r="AW190" s="149">
        <f t="shared" si="147"/>
        <v>8.5100284039712912E-2</v>
      </c>
      <c r="AX190" s="149">
        <f t="shared" si="147"/>
        <v>8.5100284039712912E-2</v>
      </c>
      <c r="AY190" s="149">
        <f t="shared" si="147"/>
        <v>8.5100284039712912E-2</v>
      </c>
      <c r="AZ190" s="149">
        <f t="shared" si="147"/>
        <v>8.5100284039712912E-2</v>
      </c>
      <c r="BA190" s="149">
        <f t="shared" si="147"/>
        <v>8.5100284039712912E-2</v>
      </c>
      <c r="BB190" s="149">
        <f t="shared" si="147"/>
        <v>8.5100284039712912E-2</v>
      </c>
      <c r="BC190" s="149">
        <f t="shared" si="147"/>
        <v>8.5100284039712912E-2</v>
      </c>
      <c r="BD190" s="149">
        <f t="shared" si="147"/>
        <v>8.5100284039712912E-2</v>
      </c>
      <c r="BE190" s="149">
        <f t="shared" si="147"/>
        <v>8.5100284039712912E-2</v>
      </c>
      <c r="BF190" s="149">
        <f t="shared" si="147"/>
        <v>8.5100284039712912E-2</v>
      </c>
      <c r="BG190" s="149">
        <f t="shared" si="147"/>
        <v>8.5100284039712912E-2</v>
      </c>
      <c r="BH190" s="149">
        <f t="shared" si="147"/>
        <v>8.5100284039712912E-2</v>
      </c>
      <c r="BI190" s="149">
        <f t="shared" si="147"/>
        <v>8.5100284039712912E-2</v>
      </c>
      <c r="BJ190" s="149">
        <f t="shared" si="147"/>
        <v>8.5100284039712912E-2</v>
      </c>
      <c r="BK190" s="149">
        <f t="shared" si="147"/>
        <v>8.5100284039712912E-2</v>
      </c>
      <c r="BL190" s="149">
        <f t="shared" si="147"/>
        <v>8.5100284039712912E-2</v>
      </c>
      <c r="BM190" s="149">
        <f t="shared" si="147"/>
        <v>8.5100284039712912E-2</v>
      </c>
      <c r="BN190" s="149">
        <f t="shared" si="147"/>
        <v>8.5100284039712912E-2</v>
      </c>
      <c r="BO190" s="149">
        <f t="shared" si="147"/>
        <v>8.5100284039712912E-2</v>
      </c>
      <c r="BP190" s="149">
        <f t="shared" si="147"/>
        <v>8.5100284039712912E-2</v>
      </c>
      <c r="BQ190" s="149">
        <f t="shared" si="147"/>
        <v>8.5100284039712912E-2</v>
      </c>
      <c r="BR190" s="149">
        <f t="shared" si="147"/>
        <v>8.5100284039712912E-2</v>
      </c>
      <c r="BS190" s="149">
        <f t="shared" si="147"/>
        <v>8.5100284039712912E-2</v>
      </c>
      <c r="BT190" s="149">
        <f t="shared" si="147"/>
        <v>8.5100284039712912E-2</v>
      </c>
      <c r="BU190" s="149">
        <f t="shared" si="147"/>
        <v>8.5100284039712912E-2</v>
      </c>
      <c r="BV190" s="149">
        <f t="shared" si="147"/>
        <v>8.5100284039712912E-2</v>
      </c>
    </row>
    <row r="191" spans="1:74" x14ac:dyDescent="0.25">
      <c r="A191" s="147" t="s">
        <v>202</v>
      </c>
      <c r="C191" s="142"/>
      <c r="D191" s="157"/>
      <c r="E191" s="157"/>
      <c r="F191" s="157"/>
      <c r="G191" s="157"/>
      <c r="H191" s="157"/>
      <c r="I191" s="157"/>
      <c r="J191" s="157"/>
      <c r="K191" s="157"/>
      <c r="L191" s="157"/>
      <c r="M191" s="157"/>
      <c r="N191" s="157"/>
      <c r="O191" s="157"/>
      <c r="P191" s="157"/>
      <c r="Q191" s="157"/>
      <c r="R191" s="157"/>
      <c r="S191" s="157"/>
      <c r="T191" s="157"/>
      <c r="U191" s="157"/>
      <c r="V191" s="157"/>
      <c r="W191" s="157"/>
      <c r="X191" s="157"/>
      <c r="Y191" s="157"/>
      <c r="Z191" s="157"/>
      <c r="AA191" s="157"/>
      <c r="AB191" s="157"/>
      <c r="AC191" s="157"/>
      <c r="AD191" s="157"/>
      <c r="AE191" s="157"/>
      <c r="AF191" s="157"/>
      <c r="AG191" s="157"/>
      <c r="AH191" s="157"/>
      <c r="AI191" s="157"/>
      <c r="AJ191" s="157"/>
      <c r="AK191" s="157"/>
      <c r="AL191" s="157"/>
      <c r="AM191" s="157"/>
      <c r="AN191" s="157"/>
      <c r="AO191" s="157"/>
      <c r="AP191" s="157"/>
      <c r="AQ191" s="157"/>
      <c r="AR191" s="157"/>
      <c r="AS191" s="149">
        <f t="shared" ref="AS191:BV191" si="148">AR191</f>
        <v>0</v>
      </c>
      <c r="AT191" s="149">
        <f t="shared" si="148"/>
        <v>0</v>
      </c>
      <c r="AU191" s="149">
        <f t="shared" si="148"/>
        <v>0</v>
      </c>
      <c r="AV191" s="149">
        <f t="shared" si="148"/>
        <v>0</v>
      </c>
      <c r="AW191" s="149">
        <f t="shared" si="148"/>
        <v>0</v>
      </c>
      <c r="AX191" s="149">
        <f t="shared" si="148"/>
        <v>0</v>
      </c>
      <c r="AY191" s="149">
        <f t="shared" si="148"/>
        <v>0</v>
      </c>
      <c r="AZ191" s="149">
        <f t="shared" si="148"/>
        <v>0</v>
      </c>
      <c r="BA191" s="149">
        <f t="shared" si="148"/>
        <v>0</v>
      </c>
      <c r="BB191" s="149">
        <f t="shared" si="148"/>
        <v>0</v>
      </c>
      <c r="BC191" s="149">
        <f t="shared" si="148"/>
        <v>0</v>
      </c>
      <c r="BD191" s="149">
        <f t="shared" si="148"/>
        <v>0</v>
      </c>
      <c r="BE191" s="149">
        <f t="shared" si="148"/>
        <v>0</v>
      </c>
      <c r="BF191" s="149">
        <f t="shared" si="148"/>
        <v>0</v>
      </c>
      <c r="BG191" s="149">
        <f t="shared" si="148"/>
        <v>0</v>
      </c>
      <c r="BH191" s="149">
        <f t="shared" si="148"/>
        <v>0</v>
      </c>
      <c r="BI191" s="149">
        <f t="shared" si="148"/>
        <v>0</v>
      </c>
      <c r="BJ191" s="149">
        <f t="shared" si="148"/>
        <v>0</v>
      </c>
      <c r="BK191" s="149">
        <f t="shared" si="148"/>
        <v>0</v>
      </c>
      <c r="BL191" s="149">
        <f t="shared" si="148"/>
        <v>0</v>
      </c>
      <c r="BM191" s="149">
        <f t="shared" si="148"/>
        <v>0</v>
      </c>
      <c r="BN191" s="149">
        <f t="shared" si="148"/>
        <v>0</v>
      </c>
      <c r="BO191" s="149">
        <f t="shared" si="148"/>
        <v>0</v>
      </c>
      <c r="BP191" s="149">
        <f t="shared" si="148"/>
        <v>0</v>
      </c>
      <c r="BQ191" s="149">
        <f t="shared" si="148"/>
        <v>0</v>
      </c>
      <c r="BR191" s="149">
        <f t="shared" si="148"/>
        <v>0</v>
      </c>
      <c r="BS191" s="149">
        <f t="shared" si="148"/>
        <v>0</v>
      </c>
      <c r="BT191" s="149">
        <f t="shared" si="148"/>
        <v>0</v>
      </c>
      <c r="BU191" s="149">
        <f t="shared" si="148"/>
        <v>0</v>
      </c>
      <c r="BV191" s="149">
        <f t="shared" si="148"/>
        <v>0</v>
      </c>
    </row>
    <row r="192" spans="1:74" x14ac:dyDescent="0.25">
      <c r="A192" s="147" t="s">
        <v>204</v>
      </c>
      <c r="B192" s="148"/>
      <c r="C192" s="154" t="s">
        <v>194</v>
      </c>
      <c r="D192" s="156">
        <v>4.3360869813937844E-2</v>
      </c>
      <c r="E192" s="156">
        <v>4.3543378975413639E-2</v>
      </c>
      <c r="F192" s="156">
        <v>4.3725888137030815E-2</v>
      </c>
      <c r="G192" s="156">
        <v>4.3908397298789377E-2</v>
      </c>
      <c r="H192" s="156">
        <v>4.4090906460689319E-2</v>
      </c>
      <c r="I192" s="156">
        <v>4.4273415622730634E-2</v>
      </c>
      <c r="J192" s="156">
        <v>4.3277244399331963E-2</v>
      </c>
      <c r="K192" s="156">
        <v>4.2751401516451848E-2</v>
      </c>
      <c r="L192" s="156">
        <v>3.9563416715295181E-2</v>
      </c>
      <c r="M192" s="156">
        <v>4.25067004568506E-2</v>
      </c>
      <c r="N192" s="156">
        <v>3.9697676025390954E-2</v>
      </c>
      <c r="O192" s="156">
        <v>3.8798097813802689E-2</v>
      </c>
      <c r="P192" s="156">
        <v>3.9133481687923917E-2</v>
      </c>
      <c r="Q192" s="156">
        <v>3.9934990495230346E-2</v>
      </c>
      <c r="R192" s="156">
        <v>4.0117257866493505E-2</v>
      </c>
      <c r="S192" s="156">
        <v>4.0393527151583203E-2</v>
      </c>
      <c r="T192" s="156">
        <v>4.1233788317944289E-2</v>
      </c>
      <c r="U192" s="156">
        <v>4.1434438811343101E-2</v>
      </c>
      <c r="V192" s="156">
        <v>4.0070936599287725E-2</v>
      </c>
      <c r="W192" s="156">
        <v>4.053025284195956E-2</v>
      </c>
      <c r="X192" s="156">
        <v>4.3354845383235217E-2</v>
      </c>
      <c r="Y192" s="156">
        <v>4.3224970892610626E-2</v>
      </c>
      <c r="Z192" s="156">
        <v>4.8156725585780456E-2</v>
      </c>
      <c r="AA192" s="156">
        <v>4.8825271260910165E-2</v>
      </c>
      <c r="AB192" s="156">
        <v>4.8547965665922871E-2</v>
      </c>
      <c r="AC192" s="156">
        <v>4.9175051720593277E-2</v>
      </c>
      <c r="AD192" s="156">
        <v>4.9921693957213457E-2</v>
      </c>
      <c r="AE192" s="156">
        <v>5.0566331040311205E-2</v>
      </c>
      <c r="AF192" s="156">
        <v>5.0566331040311205E-2</v>
      </c>
      <c r="AG192" s="156">
        <v>5.0566331040311205E-2</v>
      </c>
      <c r="AH192" s="156">
        <v>5.0566331040311205E-2</v>
      </c>
      <c r="AI192" s="156">
        <v>5.0566331040311205E-2</v>
      </c>
      <c r="AJ192" s="156">
        <v>5.0566331040311205E-2</v>
      </c>
      <c r="AK192" s="156">
        <v>5.0566331040311205E-2</v>
      </c>
      <c r="AL192" s="156">
        <v>5.0566331040311205E-2</v>
      </c>
      <c r="AM192" s="156">
        <v>5.0566331040311205E-2</v>
      </c>
      <c r="AN192" s="156">
        <v>5.0566331040311205E-2</v>
      </c>
      <c r="AO192" s="156">
        <v>5.0566331040311205E-2</v>
      </c>
      <c r="AP192" s="156">
        <v>5.0566331040311205E-2</v>
      </c>
      <c r="AQ192" s="156">
        <v>5.0566331040311205E-2</v>
      </c>
      <c r="AR192" s="156">
        <v>5.0566331040311205E-2</v>
      </c>
      <c r="AS192" s="149">
        <f>AR192</f>
        <v>5.0566331040311205E-2</v>
      </c>
      <c r="AT192" s="149">
        <f t="shared" ref="AT192:BV192" si="149">AS192</f>
        <v>5.0566331040311205E-2</v>
      </c>
      <c r="AU192" s="149">
        <f t="shared" si="149"/>
        <v>5.0566331040311205E-2</v>
      </c>
      <c r="AV192" s="149">
        <f t="shared" si="149"/>
        <v>5.0566331040311205E-2</v>
      </c>
      <c r="AW192" s="149">
        <f t="shared" si="149"/>
        <v>5.0566331040311205E-2</v>
      </c>
      <c r="AX192" s="149">
        <f t="shared" si="149"/>
        <v>5.0566331040311205E-2</v>
      </c>
      <c r="AY192" s="149">
        <f t="shared" si="149"/>
        <v>5.0566331040311205E-2</v>
      </c>
      <c r="AZ192" s="149">
        <f t="shared" si="149"/>
        <v>5.0566331040311205E-2</v>
      </c>
      <c r="BA192" s="149">
        <f t="shared" si="149"/>
        <v>5.0566331040311205E-2</v>
      </c>
      <c r="BB192" s="149">
        <f t="shared" si="149"/>
        <v>5.0566331040311205E-2</v>
      </c>
      <c r="BC192" s="149">
        <f t="shared" si="149"/>
        <v>5.0566331040311205E-2</v>
      </c>
      <c r="BD192" s="149">
        <f t="shared" si="149"/>
        <v>5.0566331040311205E-2</v>
      </c>
      <c r="BE192" s="149">
        <f t="shared" si="149"/>
        <v>5.0566331040311205E-2</v>
      </c>
      <c r="BF192" s="149">
        <f t="shared" si="149"/>
        <v>5.0566331040311205E-2</v>
      </c>
      <c r="BG192" s="149">
        <f t="shared" si="149"/>
        <v>5.0566331040311205E-2</v>
      </c>
      <c r="BH192" s="149">
        <f t="shared" si="149"/>
        <v>5.0566331040311205E-2</v>
      </c>
      <c r="BI192" s="149">
        <f t="shared" si="149"/>
        <v>5.0566331040311205E-2</v>
      </c>
      <c r="BJ192" s="149">
        <f t="shared" si="149"/>
        <v>5.0566331040311205E-2</v>
      </c>
      <c r="BK192" s="149">
        <f t="shared" si="149"/>
        <v>5.0566331040311205E-2</v>
      </c>
      <c r="BL192" s="149">
        <f t="shared" si="149"/>
        <v>5.0566331040311205E-2</v>
      </c>
      <c r="BM192" s="149">
        <f t="shared" si="149"/>
        <v>5.0566331040311205E-2</v>
      </c>
      <c r="BN192" s="149">
        <f t="shared" si="149"/>
        <v>5.0566331040311205E-2</v>
      </c>
      <c r="BO192" s="149">
        <f t="shared" si="149"/>
        <v>5.0566331040311205E-2</v>
      </c>
      <c r="BP192" s="149">
        <f t="shared" si="149"/>
        <v>5.0566331040311205E-2</v>
      </c>
      <c r="BQ192" s="149">
        <f t="shared" si="149"/>
        <v>5.0566331040311205E-2</v>
      </c>
      <c r="BR192" s="149">
        <f t="shared" si="149"/>
        <v>5.0566331040311205E-2</v>
      </c>
      <c r="BS192" s="149">
        <f t="shared" si="149"/>
        <v>5.0566331040311205E-2</v>
      </c>
      <c r="BT192" s="149">
        <f t="shared" si="149"/>
        <v>5.0566331040311205E-2</v>
      </c>
      <c r="BU192" s="149">
        <f t="shared" si="149"/>
        <v>5.0566331040311205E-2</v>
      </c>
      <c r="BV192" s="149">
        <f t="shared" si="149"/>
        <v>5.0566331040311205E-2</v>
      </c>
    </row>
    <row r="193" spans="1:74" x14ac:dyDescent="0.25">
      <c r="A193" s="147" t="s">
        <v>205</v>
      </c>
      <c r="B193" s="148"/>
      <c r="C193" s="154"/>
      <c r="D193" s="156"/>
      <c r="E193" s="156"/>
      <c r="F193" s="156"/>
      <c r="G193" s="156"/>
      <c r="H193" s="156"/>
      <c r="I193" s="156"/>
      <c r="J193" s="156"/>
      <c r="K193" s="156"/>
      <c r="L193" s="156"/>
      <c r="M193" s="156"/>
      <c r="N193" s="156"/>
      <c r="O193" s="156"/>
      <c r="P193" s="156"/>
      <c r="Q193" s="156"/>
      <c r="R193" s="156"/>
      <c r="S193" s="156"/>
      <c r="T193" s="156"/>
      <c r="U193" s="156"/>
      <c r="V193" s="156"/>
      <c r="W193" s="156"/>
      <c r="X193" s="156"/>
      <c r="Y193" s="156"/>
      <c r="Z193" s="156"/>
      <c r="AA193" s="156"/>
      <c r="AB193" s="156"/>
      <c r="AC193" s="156"/>
      <c r="AD193" s="156"/>
      <c r="AE193" s="156"/>
      <c r="AF193" s="156"/>
      <c r="AG193" s="156"/>
      <c r="AH193" s="156"/>
      <c r="AI193" s="156"/>
      <c r="AJ193" s="156"/>
      <c r="AK193" s="156"/>
      <c r="AL193" s="156"/>
      <c r="AM193" s="156"/>
      <c r="AN193" s="156"/>
      <c r="AO193" s="156"/>
      <c r="AP193" s="156"/>
      <c r="AQ193" s="156"/>
      <c r="AR193" s="156"/>
      <c r="AS193" s="149">
        <f t="shared" ref="AS193:BV193" si="150">AR193</f>
        <v>0</v>
      </c>
      <c r="AT193" s="149">
        <f t="shared" si="150"/>
        <v>0</v>
      </c>
      <c r="AU193" s="149">
        <f t="shared" si="150"/>
        <v>0</v>
      </c>
      <c r="AV193" s="149">
        <f t="shared" si="150"/>
        <v>0</v>
      </c>
      <c r="AW193" s="149">
        <f t="shared" si="150"/>
        <v>0</v>
      </c>
      <c r="AX193" s="149">
        <f t="shared" si="150"/>
        <v>0</v>
      </c>
      <c r="AY193" s="149">
        <f t="shared" si="150"/>
        <v>0</v>
      </c>
      <c r="AZ193" s="149">
        <f t="shared" si="150"/>
        <v>0</v>
      </c>
      <c r="BA193" s="149">
        <f t="shared" si="150"/>
        <v>0</v>
      </c>
      <c r="BB193" s="149">
        <f t="shared" si="150"/>
        <v>0</v>
      </c>
      <c r="BC193" s="149">
        <f t="shared" si="150"/>
        <v>0</v>
      </c>
      <c r="BD193" s="149">
        <f t="shared" si="150"/>
        <v>0</v>
      </c>
      <c r="BE193" s="149">
        <f t="shared" si="150"/>
        <v>0</v>
      </c>
      <c r="BF193" s="149">
        <f t="shared" si="150"/>
        <v>0</v>
      </c>
      <c r="BG193" s="149">
        <f t="shared" si="150"/>
        <v>0</v>
      </c>
      <c r="BH193" s="149">
        <f t="shared" si="150"/>
        <v>0</v>
      </c>
      <c r="BI193" s="149">
        <f t="shared" si="150"/>
        <v>0</v>
      </c>
      <c r="BJ193" s="149">
        <f t="shared" si="150"/>
        <v>0</v>
      </c>
      <c r="BK193" s="149">
        <f t="shared" si="150"/>
        <v>0</v>
      </c>
      <c r="BL193" s="149">
        <f t="shared" si="150"/>
        <v>0</v>
      </c>
      <c r="BM193" s="149">
        <f t="shared" si="150"/>
        <v>0</v>
      </c>
      <c r="BN193" s="149">
        <f t="shared" si="150"/>
        <v>0</v>
      </c>
      <c r="BO193" s="149">
        <f t="shared" si="150"/>
        <v>0</v>
      </c>
      <c r="BP193" s="149">
        <f t="shared" si="150"/>
        <v>0</v>
      </c>
      <c r="BQ193" s="149">
        <f t="shared" si="150"/>
        <v>0</v>
      </c>
      <c r="BR193" s="149">
        <f t="shared" si="150"/>
        <v>0</v>
      </c>
      <c r="BS193" s="149">
        <f t="shared" si="150"/>
        <v>0</v>
      </c>
      <c r="BT193" s="149">
        <f t="shared" si="150"/>
        <v>0</v>
      </c>
      <c r="BU193" s="149">
        <f t="shared" si="150"/>
        <v>0</v>
      </c>
      <c r="BV193" s="149">
        <f t="shared" si="150"/>
        <v>0</v>
      </c>
    </row>
    <row r="194" spans="1:74" x14ac:dyDescent="0.25">
      <c r="A194" s="147" t="s">
        <v>207</v>
      </c>
      <c r="B194" s="148"/>
      <c r="C194" s="142"/>
      <c r="D194" s="157">
        <v>7.8799999999999995E-2</v>
      </c>
      <c r="E194" s="157">
        <v>7.8799999999999995E-2</v>
      </c>
      <c r="F194" s="157">
        <v>7.8799999999999995E-2</v>
      </c>
      <c r="G194" s="157">
        <v>7.8799999999999995E-2</v>
      </c>
      <c r="H194" s="157">
        <v>7.8799999999999995E-2</v>
      </c>
      <c r="I194" s="157">
        <v>7.7600000000000002E-2</v>
      </c>
      <c r="J194" s="157">
        <v>7.7600000000000002E-2</v>
      </c>
      <c r="K194" s="157">
        <v>7.7600000000000002E-2</v>
      </c>
      <c r="L194" s="157">
        <v>7.7600000000000002E-2</v>
      </c>
      <c r="M194" s="157">
        <v>7.7600000000000002E-2</v>
      </c>
      <c r="N194" s="157">
        <v>7.7600000000000002E-2</v>
      </c>
      <c r="O194" s="157">
        <v>7.8600000000000003E-2</v>
      </c>
      <c r="P194" s="157">
        <v>8.0600000000000005E-2</v>
      </c>
      <c r="Q194" s="157">
        <v>8.2600000000000007E-2</v>
      </c>
      <c r="R194" s="157">
        <v>8.1500000000000003E-2</v>
      </c>
      <c r="S194" s="157">
        <v>8.1199999999999994E-2</v>
      </c>
      <c r="T194" s="157">
        <v>8.3799999999999999E-2</v>
      </c>
      <c r="U194" s="157">
        <v>8.77E-2</v>
      </c>
      <c r="V194" s="157">
        <v>8.6300000000000002E-2</v>
      </c>
      <c r="W194" s="157">
        <v>7.9200000000000007E-2</v>
      </c>
      <c r="X194" s="157">
        <v>8.0100000000000005E-2</v>
      </c>
      <c r="Y194" s="157">
        <v>8.0100000000000005E-2</v>
      </c>
      <c r="Z194" s="157">
        <v>8.0100000000000005E-2</v>
      </c>
      <c r="AA194" s="157">
        <v>8.0100000000000005E-2</v>
      </c>
      <c r="AB194" s="157">
        <v>8.0100000000000005E-2</v>
      </c>
      <c r="AC194" s="157">
        <v>8.0100000000000005E-2</v>
      </c>
      <c r="AD194" s="157">
        <v>8.0100000000000005E-2</v>
      </c>
      <c r="AE194" s="157">
        <v>8.0100000000000005E-2</v>
      </c>
      <c r="AF194" s="157">
        <v>8.0100000000000005E-2</v>
      </c>
      <c r="AG194" s="157">
        <v>8.0100000000000005E-2</v>
      </c>
      <c r="AH194" s="157">
        <v>8.0100000000000005E-2</v>
      </c>
      <c r="AI194" s="157">
        <v>8.0100000000000005E-2</v>
      </c>
      <c r="AJ194" s="157">
        <v>8.0100000000000005E-2</v>
      </c>
      <c r="AK194" s="157">
        <v>8.0100000000000005E-2</v>
      </c>
      <c r="AL194" s="157">
        <v>8.0100000000000005E-2</v>
      </c>
      <c r="AM194" s="157">
        <v>8.0100000000000005E-2</v>
      </c>
      <c r="AN194" s="157">
        <v>8.0100000000000005E-2</v>
      </c>
      <c r="AO194" s="157">
        <v>8.0100000000000005E-2</v>
      </c>
      <c r="AP194" s="157">
        <v>8.0100000000000005E-2</v>
      </c>
      <c r="AQ194" s="157">
        <v>8.0100000000000005E-2</v>
      </c>
      <c r="AR194" s="157">
        <v>8.0100000000000005E-2</v>
      </c>
      <c r="AS194" s="149">
        <f>AR194</f>
        <v>8.0100000000000005E-2</v>
      </c>
      <c r="AT194" s="149">
        <f t="shared" ref="AT194:BV194" si="151">AS194</f>
        <v>8.0100000000000005E-2</v>
      </c>
      <c r="AU194" s="149">
        <f t="shared" si="151"/>
        <v>8.0100000000000005E-2</v>
      </c>
      <c r="AV194" s="149">
        <f t="shared" si="151"/>
        <v>8.0100000000000005E-2</v>
      </c>
      <c r="AW194" s="149">
        <f t="shared" si="151"/>
        <v>8.0100000000000005E-2</v>
      </c>
      <c r="AX194" s="149">
        <f t="shared" si="151"/>
        <v>8.0100000000000005E-2</v>
      </c>
      <c r="AY194" s="149">
        <f t="shared" si="151"/>
        <v>8.0100000000000005E-2</v>
      </c>
      <c r="AZ194" s="149">
        <f t="shared" si="151"/>
        <v>8.0100000000000005E-2</v>
      </c>
      <c r="BA194" s="149">
        <f t="shared" si="151"/>
        <v>8.0100000000000005E-2</v>
      </c>
      <c r="BB194" s="149">
        <f t="shared" si="151"/>
        <v>8.0100000000000005E-2</v>
      </c>
      <c r="BC194" s="149">
        <f t="shared" si="151"/>
        <v>8.0100000000000005E-2</v>
      </c>
      <c r="BD194" s="149">
        <f t="shared" si="151"/>
        <v>8.0100000000000005E-2</v>
      </c>
      <c r="BE194" s="149">
        <f t="shared" si="151"/>
        <v>8.0100000000000005E-2</v>
      </c>
      <c r="BF194" s="149">
        <f t="shared" si="151"/>
        <v>8.0100000000000005E-2</v>
      </c>
      <c r="BG194" s="149">
        <f t="shared" si="151"/>
        <v>8.0100000000000005E-2</v>
      </c>
      <c r="BH194" s="149">
        <f t="shared" si="151"/>
        <v>8.0100000000000005E-2</v>
      </c>
      <c r="BI194" s="149">
        <f t="shared" si="151"/>
        <v>8.0100000000000005E-2</v>
      </c>
      <c r="BJ194" s="149">
        <f t="shared" si="151"/>
        <v>8.0100000000000005E-2</v>
      </c>
      <c r="BK194" s="149">
        <f t="shared" si="151"/>
        <v>8.0100000000000005E-2</v>
      </c>
      <c r="BL194" s="149">
        <f t="shared" si="151"/>
        <v>8.0100000000000005E-2</v>
      </c>
      <c r="BM194" s="149">
        <f t="shared" si="151"/>
        <v>8.0100000000000005E-2</v>
      </c>
      <c r="BN194" s="149">
        <f t="shared" si="151"/>
        <v>8.0100000000000005E-2</v>
      </c>
      <c r="BO194" s="149">
        <f t="shared" si="151"/>
        <v>8.0100000000000005E-2</v>
      </c>
      <c r="BP194" s="149">
        <f t="shared" si="151"/>
        <v>8.0100000000000005E-2</v>
      </c>
      <c r="BQ194" s="149">
        <f t="shared" si="151"/>
        <v>8.0100000000000005E-2</v>
      </c>
      <c r="BR194" s="149">
        <f t="shared" si="151"/>
        <v>8.0100000000000005E-2</v>
      </c>
      <c r="BS194" s="149">
        <f t="shared" si="151"/>
        <v>8.0100000000000005E-2</v>
      </c>
      <c r="BT194" s="149">
        <f t="shared" si="151"/>
        <v>8.0100000000000005E-2</v>
      </c>
      <c r="BU194" s="149">
        <f t="shared" si="151"/>
        <v>8.0100000000000005E-2</v>
      </c>
      <c r="BV194" s="149">
        <f t="shared" si="151"/>
        <v>8.0100000000000005E-2</v>
      </c>
    </row>
    <row r="195" spans="1:74" x14ac:dyDescent="0.25">
      <c r="A195" s="147" t="s">
        <v>15</v>
      </c>
      <c r="C195" s="142"/>
      <c r="D195" s="157">
        <v>8.0229226361031511E-2</v>
      </c>
      <c r="E195" s="157">
        <v>8.0229226361031511E-2</v>
      </c>
      <c r="F195" s="157">
        <v>8.0229226361031511E-2</v>
      </c>
      <c r="G195" s="157">
        <v>8.0229226361031511E-2</v>
      </c>
      <c r="H195" s="157">
        <v>8.0229226361031511E-2</v>
      </c>
      <c r="I195" s="157">
        <v>8.0229226361031511E-2</v>
      </c>
      <c r="J195" s="157">
        <v>8.0229226361031511E-2</v>
      </c>
      <c r="K195" s="157">
        <v>8.0229226361031511E-2</v>
      </c>
      <c r="L195" s="157">
        <v>8.0229226361031511E-2</v>
      </c>
      <c r="M195" s="157">
        <v>8.0229226361031511E-2</v>
      </c>
      <c r="N195" s="157">
        <v>8.0229226361031511E-2</v>
      </c>
      <c r="O195" s="157">
        <v>8.0229226361031511E-2</v>
      </c>
      <c r="P195" s="157">
        <v>8.0229226361031511E-2</v>
      </c>
      <c r="Q195" s="157">
        <v>8.0229226361031511E-2</v>
      </c>
      <c r="R195" s="157">
        <v>8.0229226361031511E-2</v>
      </c>
      <c r="S195" s="157">
        <v>8.0229225599945359E-2</v>
      </c>
      <c r="T195" s="157">
        <v>8.0229224830047449E-2</v>
      </c>
      <c r="U195" s="157">
        <v>8.0229227628241279E-2</v>
      </c>
      <c r="V195" s="157">
        <v>8.0229228484891113E-2</v>
      </c>
      <c r="W195" s="157">
        <v>8.0229228242383363E-2</v>
      </c>
      <c r="X195" s="157">
        <v>8.0229227693076638E-2</v>
      </c>
      <c r="Y195" s="157">
        <v>8.0229226807342083E-2</v>
      </c>
      <c r="Z195" s="157">
        <v>8.0229223597351337E-2</v>
      </c>
      <c r="AA195" s="157">
        <v>8.0229224530824844E-2</v>
      </c>
      <c r="AB195" s="157">
        <v>8.022922770971995E-2</v>
      </c>
      <c r="AC195" s="157">
        <v>8.0229226791940181E-2</v>
      </c>
      <c r="AD195" s="157">
        <v>8.0229228731096294E-2</v>
      </c>
      <c r="AE195" s="157">
        <v>8.0229226361031511E-2</v>
      </c>
      <c r="AF195" s="157">
        <v>8.0229226361031511E-2</v>
      </c>
      <c r="AG195" s="157">
        <v>8.0229226361031511E-2</v>
      </c>
      <c r="AH195" s="157">
        <v>8.0229226361031511E-2</v>
      </c>
      <c r="AI195" s="157">
        <v>8.0229226361031511E-2</v>
      </c>
      <c r="AJ195" s="157">
        <v>8.0229226361031511E-2</v>
      </c>
      <c r="AK195" s="157">
        <v>8.0229226361031511E-2</v>
      </c>
      <c r="AL195" s="157">
        <v>8.0229226361031511E-2</v>
      </c>
      <c r="AM195" s="157">
        <v>8.0229226361031511E-2</v>
      </c>
      <c r="AN195" s="157">
        <v>8.0229226361031511E-2</v>
      </c>
      <c r="AO195" s="157">
        <v>8.0229226361031511E-2</v>
      </c>
      <c r="AP195" s="157">
        <v>8.0229226361031511E-2</v>
      </c>
      <c r="AQ195" s="157">
        <v>8.0229226361031511E-2</v>
      </c>
      <c r="AR195" s="157">
        <v>8.0229226361031511E-2</v>
      </c>
      <c r="AS195" s="149">
        <f>AR195</f>
        <v>8.0229226361031511E-2</v>
      </c>
      <c r="AT195" s="149">
        <f t="shared" ref="AT195:BV197" si="152">AS195</f>
        <v>8.0229226361031511E-2</v>
      </c>
      <c r="AU195" s="149">
        <f t="shared" si="152"/>
        <v>8.0229226361031511E-2</v>
      </c>
      <c r="AV195" s="149">
        <f t="shared" si="152"/>
        <v>8.0229226361031511E-2</v>
      </c>
      <c r="AW195" s="149">
        <f t="shared" si="152"/>
        <v>8.0229226361031511E-2</v>
      </c>
      <c r="AX195" s="149">
        <f t="shared" si="152"/>
        <v>8.0229226361031511E-2</v>
      </c>
      <c r="AY195" s="149">
        <f t="shared" si="152"/>
        <v>8.0229226361031511E-2</v>
      </c>
      <c r="AZ195" s="149">
        <f t="shared" si="152"/>
        <v>8.0229226361031511E-2</v>
      </c>
      <c r="BA195" s="149">
        <f t="shared" si="152"/>
        <v>8.0229226361031511E-2</v>
      </c>
      <c r="BB195" s="149">
        <f t="shared" si="152"/>
        <v>8.0229226361031511E-2</v>
      </c>
      <c r="BC195" s="149">
        <f t="shared" si="152"/>
        <v>8.0229226361031511E-2</v>
      </c>
      <c r="BD195" s="149">
        <f t="shared" si="152"/>
        <v>8.0229226361031511E-2</v>
      </c>
      <c r="BE195" s="149">
        <f t="shared" si="152"/>
        <v>8.0229226361031511E-2</v>
      </c>
      <c r="BF195" s="149">
        <f t="shared" si="152"/>
        <v>8.0229226361031511E-2</v>
      </c>
      <c r="BG195" s="149">
        <f t="shared" si="152"/>
        <v>8.0229226361031511E-2</v>
      </c>
      <c r="BH195" s="149">
        <f t="shared" si="152"/>
        <v>8.0229226361031511E-2</v>
      </c>
      <c r="BI195" s="149">
        <f t="shared" si="152"/>
        <v>8.0229226361031511E-2</v>
      </c>
      <c r="BJ195" s="149">
        <f t="shared" si="152"/>
        <v>8.0229226361031511E-2</v>
      </c>
      <c r="BK195" s="149">
        <f t="shared" si="152"/>
        <v>8.0229226361031511E-2</v>
      </c>
      <c r="BL195" s="149">
        <f t="shared" si="152"/>
        <v>8.0229226361031511E-2</v>
      </c>
      <c r="BM195" s="149">
        <f t="shared" si="152"/>
        <v>8.0229226361031511E-2</v>
      </c>
      <c r="BN195" s="149">
        <f t="shared" si="152"/>
        <v>8.0229226361031511E-2</v>
      </c>
      <c r="BO195" s="149">
        <f t="shared" si="152"/>
        <v>8.0229226361031511E-2</v>
      </c>
      <c r="BP195" s="149">
        <f t="shared" si="152"/>
        <v>8.0229226361031511E-2</v>
      </c>
      <c r="BQ195" s="149">
        <f t="shared" si="152"/>
        <v>8.0229226361031511E-2</v>
      </c>
      <c r="BR195" s="149">
        <f t="shared" si="152"/>
        <v>8.0229226361031511E-2</v>
      </c>
      <c r="BS195" s="149">
        <f t="shared" si="152"/>
        <v>8.0229226361031511E-2</v>
      </c>
      <c r="BT195" s="149">
        <f t="shared" si="152"/>
        <v>8.0229226361031511E-2</v>
      </c>
      <c r="BU195" s="149">
        <f t="shared" si="152"/>
        <v>8.0229226361031511E-2</v>
      </c>
      <c r="BV195" s="149">
        <f t="shared" si="152"/>
        <v>8.0229226361031511E-2</v>
      </c>
    </row>
    <row r="196" spans="1:74" x14ac:dyDescent="0.25">
      <c r="A196" s="147"/>
      <c r="C196" s="142"/>
      <c r="D196" s="157"/>
      <c r="E196" s="157"/>
      <c r="F196" s="157"/>
      <c r="G196" s="157"/>
      <c r="H196" s="157"/>
      <c r="I196" s="157"/>
      <c r="J196" s="157"/>
      <c r="K196" s="157"/>
      <c r="L196" s="157"/>
      <c r="M196" s="157"/>
      <c r="N196" s="157"/>
      <c r="O196" s="157"/>
      <c r="P196" s="157"/>
      <c r="Q196" s="157"/>
      <c r="R196" s="157"/>
      <c r="S196" s="157"/>
      <c r="T196" s="157"/>
      <c r="U196" s="157"/>
      <c r="V196" s="157"/>
      <c r="W196" s="157"/>
      <c r="X196" s="157"/>
      <c r="Y196" s="157"/>
      <c r="Z196" s="157"/>
      <c r="AA196" s="157"/>
      <c r="AB196" s="157"/>
      <c r="AC196" s="157"/>
      <c r="AD196" s="157"/>
      <c r="AE196" s="157"/>
      <c r="AF196" s="157"/>
      <c r="AG196" s="157"/>
      <c r="AH196" s="157"/>
      <c r="AI196" s="157"/>
      <c r="AJ196" s="157"/>
      <c r="AK196" s="157"/>
      <c r="AL196" s="157"/>
      <c r="AM196" s="157"/>
      <c r="AN196" s="157"/>
      <c r="AO196" s="157"/>
      <c r="AP196" s="157"/>
      <c r="AQ196" s="157"/>
      <c r="AR196" s="157"/>
      <c r="AS196" s="157"/>
    </row>
    <row r="197" spans="1:74" x14ac:dyDescent="0.25">
      <c r="A197" s="147" t="s">
        <v>224</v>
      </c>
      <c r="C197" s="142" t="s">
        <v>299</v>
      </c>
      <c r="D197" s="157">
        <v>0.11897860881224318</v>
      </c>
      <c r="E197" s="157"/>
      <c r="F197" s="157"/>
      <c r="G197" s="157"/>
      <c r="H197" s="157"/>
      <c r="I197" s="157">
        <v>0.11713527935574124</v>
      </c>
      <c r="J197" s="157">
        <v>0.11734056309775029</v>
      </c>
      <c r="K197" s="157">
        <v>0.11801864460249979</v>
      </c>
      <c r="L197" s="157">
        <v>0.11762878603437499</v>
      </c>
      <c r="M197" s="157">
        <v>0.11768615341125506</v>
      </c>
      <c r="N197" s="157">
        <v>0.11925321112316893</v>
      </c>
      <c r="O197" s="157">
        <v>0.11755536554938165</v>
      </c>
      <c r="P197" s="157">
        <v>0.11670009364618829</v>
      </c>
      <c r="Q197" s="157">
        <v>0.11698142530726552</v>
      </c>
      <c r="R197" s="157">
        <v>0.11670529930410405</v>
      </c>
      <c r="S197" s="157">
        <v>0.1158625079448274</v>
      </c>
      <c r="T197" s="157">
        <v>0.11477044271336097</v>
      </c>
      <c r="U197" s="157">
        <v>0.11096354233789828</v>
      </c>
      <c r="V197" s="157">
        <v>0.11166903544038929</v>
      </c>
      <c r="W197" s="157">
        <v>0.11134848360202593</v>
      </c>
      <c r="X197" s="157">
        <v>0.1135500119869484</v>
      </c>
      <c r="Y197" s="157">
        <v>0.11509781501214085</v>
      </c>
      <c r="Z197" s="157">
        <v>0.1163601979365093</v>
      </c>
      <c r="AA197" s="157">
        <v>0.11433577979265507</v>
      </c>
      <c r="AB197" s="157">
        <v>0.11646130626178476</v>
      </c>
      <c r="AC197" s="157">
        <v>0.11908795324650769</v>
      </c>
      <c r="AD197" s="157">
        <v>0.11760527715486406</v>
      </c>
      <c r="AE197" s="157">
        <v>0.11762761817978779</v>
      </c>
      <c r="AF197" s="157">
        <v>0.11762761817978779</v>
      </c>
      <c r="AG197" s="157">
        <v>0.11762761817978779</v>
      </c>
      <c r="AH197" s="157">
        <v>0.11762761817978779</v>
      </c>
      <c r="AI197" s="157">
        <v>0.11762761817978779</v>
      </c>
      <c r="AJ197" s="157">
        <v>0.11762761817978779</v>
      </c>
      <c r="AK197" s="157">
        <v>0.11762761817978779</v>
      </c>
      <c r="AL197" s="157">
        <v>0.11762761817978779</v>
      </c>
      <c r="AM197" s="157">
        <v>0.11762761817978779</v>
      </c>
      <c r="AN197" s="157">
        <v>0.11762761817978779</v>
      </c>
      <c r="AO197" s="157">
        <v>0.11762761817978779</v>
      </c>
      <c r="AP197" s="157">
        <v>0.11762761817978779</v>
      </c>
      <c r="AQ197" s="157">
        <v>0.11762761817978779</v>
      </c>
      <c r="AR197" s="157">
        <v>0.11762761817978779</v>
      </c>
      <c r="AS197" s="149">
        <f>AR197</f>
        <v>0.11762761817978779</v>
      </c>
      <c r="AT197" s="149">
        <f t="shared" si="152"/>
        <v>0.11762761817978779</v>
      </c>
      <c r="AU197" s="149">
        <f t="shared" si="152"/>
        <v>0.11762761817978779</v>
      </c>
      <c r="AV197" s="149">
        <f t="shared" si="152"/>
        <v>0.11762761817978779</v>
      </c>
      <c r="AW197" s="149">
        <f t="shared" si="152"/>
        <v>0.11762761817978779</v>
      </c>
      <c r="AX197" s="149">
        <f t="shared" si="152"/>
        <v>0.11762761817978779</v>
      </c>
      <c r="AY197" s="149">
        <f t="shared" si="152"/>
        <v>0.11762761817978779</v>
      </c>
      <c r="AZ197" s="149">
        <f t="shared" si="152"/>
        <v>0.11762761817978779</v>
      </c>
      <c r="BA197" s="149">
        <f t="shared" si="152"/>
        <v>0.11762761817978779</v>
      </c>
      <c r="BB197" s="149">
        <f t="shared" si="152"/>
        <v>0.11762761817978779</v>
      </c>
      <c r="BC197" s="149">
        <f t="shared" si="152"/>
        <v>0.11762761817978779</v>
      </c>
      <c r="BD197" s="149">
        <f t="shared" si="152"/>
        <v>0.11762761817978779</v>
      </c>
      <c r="BE197" s="149">
        <f t="shared" si="152"/>
        <v>0.11762761817978779</v>
      </c>
      <c r="BF197" s="149">
        <f t="shared" si="152"/>
        <v>0.11762761817978779</v>
      </c>
      <c r="BG197" s="149">
        <f t="shared" si="152"/>
        <v>0.11762761817978779</v>
      </c>
      <c r="BH197" s="149">
        <f t="shared" si="152"/>
        <v>0.11762761817978779</v>
      </c>
      <c r="BI197" s="149">
        <f t="shared" si="152"/>
        <v>0.11762761817978779</v>
      </c>
      <c r="BJ197" s="149">
        <f t="shared" si="152"/>
        <v>0.11762761817978779</v>
      </c>
      <c r="BK197" s="149">
        <f t="shared" si="152"/>
        <v>0.11762761817978779</v>
      </c>
      <c r="BL197" s="149">
        <f t="shared" si="152"/>
        <v>0.11762761817978779</v>
      </c>
      <c r="BM197" s="149">
        <f t="shared" si="152"/>
        <v>0.11762761817978779</v>
      </c>
      <c r="BN197" s="149">
        <f t="shared" si="152"/>
        <v>0.11762761817978779</v>
      </c>
      <c r="BO197" s="149">
        <f t="shared" si="152"/>
        <v>0.11762761817978779</v>
      </c>
      <c r="BP197" s="149">
        <f t="shared" si="152"/>
        <v>0.11762761817978779</v>
      </c>
      <c r="BQ197" s="149">
        <f t="shared" si="152"/>
        <v>0.11762761817978779</v>
      </c>
      <c r="BR197" s="149">
        <f t="shared" si="152"/>
        <v>0.11762761817978779</v>
      </c>
      <c r="BS197" s="149">
        <f t="shared" si="152"/>
        <v>0.11762761817978779</v>
      </c>
      <c r="BT197" s="149">
        <f t="shared" si="152"/>
        <v>0.11762761817978779</v>
      </c>
      <c r="BU197" s="149">
        <f t="shared" si="152"/>
        <v>0.11762761817978779</v>
      </c>
      <c r="BV197" s="149">
        <f t="shared" si="152"/>
        <v>0.11762761817978779</v>
      </c>
    </row>
    <row r="198" spans="1:74" x14ac:dyDescent="0.25">
      <c r="A198" s="147"/>
      <c r="C198" s="142"/>
      <c r="D198" s="157"/>
      <c r="E198" s="157"/>
      <c r="F198" s="157"/>
      <c r="G198" s="157"/>
      <c r="H198" s="157"/>
      <c r="I198" s="157"/>
      <c r="J198" s="157"/>
      <c r="K198" s="157"/>
      <c r="L198" s="157"/>
      <c r="M198" s="157"/>
      <c r="N198" s="157"/>
      <c r="O198" s="157"/>
      <c r="P198" s="157"/>
      <c r="Q198" s="157"/>
      <c r="R198" s="157"/>
      <c r="S198" s="157"/>
      <c r="T198" s="157"/>
      <c r="U198" s="157"/>
      <c r="V198" s="157"/>
      <c r="W198" s="157"/>
      <c r="X198" s="157"/>
      <c r="Y198" s="157"/>
      <c r="Z198" s="157"/>
      <c r="AA198" s="157"/>
      <c r="AB198" s="157"/>
      <c r="AC198" s="157"/>
      <c r="AD198" s="157"/>
      <c r="AE198" s="157"/>
      <c r="AF198" s="157"/>
      <c r="AG198" s="157"/>
      <c r="AH198" s="157"/>
      <c r="AI198" s="157"/>
      <c r="AJ198" s="157"/>
      <c r="AK198" s="157"/>
      <c r="AL198" s="157"/>
      <c r="AM198" s="157"/>
      <c r="AN198" s="157"/>
      <c r="AO198" s="157"/>
      <c r="AP198" s="157"/>
      <c r="AQ198" s="157"/>
      <c r="AR198" s="157"/>
      <c r="AS198" s="157"/>
    </row>
    <row r="199" spans="1:74" x14ac:dyDescent="0.25">
      <c r="A199" s="147"/>
      <c r="C199" s="142"/>
      <c r="D199" s="157"/>
      <c r="E199" s="157"/>
      <c r="F199" s="157"/>
      <c r="G199" s="157"/>
      <c r="H199" s="157"/>
      <c r="I199" s="157"/>
      <c r="J199" s="157"/>
      <c r="K199" s="157"/>
      <c r="L199" s="157"/>
      <c r="M199" s="157"/>
      <c r="N199" s="157"/>
      <c r="O199" s="157"/>
      <c r="P199" s="157"/>
      <c r="Q199" s="157"/>
      <c r="R199" s="157"/>
      <c r="S199" s="157"/>
      <c r="T199" s="157"/>
      <c r="U199" s="157"/>
      <c r="V199" s="157"/>
      <c r="W199" s="157"/>
      <c r="X199" s="157"/>
      <c r="Y199" s="157"/>
      <c r="Z199" s="157"/>
      <c r="AA199" s="157"/>
      <c r="AB199" s="157"/>
      <c r="AC199" s="157"/>
      <c r="AD199" s="157"/>
      <c r="AE199" s="157"/>
      <c r="AF199" s="157"/>
      <c r="AG199" s="157"/>
      <c r="AH199" s="157"/>
      <c r="AI199" s="157"/>
      <c r="AJ199" s="157"/>
      <c r="AK199" s="157"/>
      <c r="AL199" s="157"/>
      <c r="AM199" s="157"/>
      <c r="AN199" s="157"/>
      <c r="AO199" s="157"/>
      <c r="AP199" s="157"/>
      <c r="AQ199" s="157"/>
      <c r="AR199" s="157"/>
      <c r="AS199" s="157"/>
    </row>
    <row r="200" spans="1:74" s="182" customFormat="1" x14ac:dyDescent="0.25">
      <c r="A200" s="180" t="s">
        <v>244</v>
      </c>
      <c r="B200" s="181"/>
      <c r="I200" s="181"/>
      <c r="J200" s="181"/>
      <c r="K200" s="181"/>
      <c r="L200" s="181"/>
      <c r="M200" s="181"/>
      <c r="N200" s="181"/>
      <c r="O200" s="181"/>
      <c r="P200" s="181"/>
      <c r="Q200" s="181"/>
      <c r="R200" s="181"/>
      <c r="S200" s="181"/>
      <c r="T200" s="181"/>
      <c r="U200" s="181"/>
      <c r="V200" s="181"/>
      <c r="W200" s="181"/>
      <c r="X200" s="181"/>
      <c r="Y200" s="181"/>
      <c r="Z200" s="181"/>
      <c r="AA200" s="181"/>
      <c r="AB200" s="181"/>
      <c r="AC200" s="181"/>
      <c r="AD200" s="181"/>
      <c r="AE200" s="181"/>
      <c r="AF200" s="181"/>
      <c r="AG200" s="181"/>
      <c r="AH200" s="181"/>
      <c r="AI200" s="181"/>
      <c r="AJ200" s="181"/>
      <c r="AK200" s="181"/>
      <c r="AL200" s="181"/>
      <c r="AM200" s="181"/>
      <c r="AN200" s="181"/>
      <c r="AO200" s="181"/>
      <c r="AP200" s="181"/>
      <c r="AQ200" s="181"/>
      <c r="AR200" s="181"/>
      <c r="AS200" s="181"/>
    </row>
    <row r="201" spans="1:74" s="182" customFormat="1" x14ac:dyDescent="0.25">
      <c r="A201" s="180"/>
      <c r="B201" s="180" t="s">
        <v>174</v>
      </c>
      <c r="I201" s="181"/>
      <c r="J201" s="181"/>
      <c r="K201" s="181"/>
      <c r="L201" s="181"/>
      <c r="M201" s="181"/>
      <c r="N201" s="181"/>
      <c r="O201" s="181"/>
      <c r="P201" s="181"/>
      <c r="Q201" s="181"/>
      <c r="R201" s="181"/>
      <c r="S201" s="181"/>
      <c r="T201" s="181"/>
      <c r="U201" s="181"/>
      <c r="V201" s="181"/>
      <c r="W201" s="181"/>
      <c r="X201" s="181"/>
      <c r="Y201" s="181"/>
      <c r="Z201" s="181"/>
      <c r="AA201" s="181"/>
      <c r="AB201" s="181"/>
      <c r="AC201" s="181"/>
      <c r="AD201" s="181"/>
      <c r="AE201" s="181"/>
      <c r="AF201" s="181"/>
      <c r="AG201" s="181"/>
      <c r="AH201" s="181"/>
      <c r="AI201" s="181"/>
      <c r="AJ201" s="181"/>
      <c r="AK201" s="181"/>
      <c r="AL201" s="181"/>
      <c r="AM201" s="181"/>
      <c r="AN201" s="181"/>
      <c r="AO201" s="181"/>
      <c r="AP201" s="181"/>
      <c r="AQ201" s="181"/>
      <c r="AR201" s="181"/>
      <c r="AS201" s="181"/>
    </row>
    <row r="202" spans="1:74" s="142" customFormat="1" x14ac:dyDescent="0.25">
      <c r="A202" s="141" t="s">
        <v>187</v>
      </c>
      <c r="B202" s="151"/>
      <c r="D202" s="157">
        <v>8.3632018372545816E-2</v>
      </c>
      <c r="E202" s="157">
        <v>8.2384716489436294E-2</v>
      </c>
      <c r="F202" s="157">
        <v>8.1176714815077392E-2</v>
      </c>
      <c r="G202" s="157">
        <v>8.0006184740623099E-2</v>
      </c>
      <c r="H202" s="157">
        <v>7.8871409369636158E-2</v>
      </c>
      <c r="I202" s="157">
        <v>7.7770775115573898E-2</v>
      </c>
      <c r="J202" s="157">
        <v>8.4267114033029153E-2</v>
      </c>
      <c r="K202" s="157">
        <v>8.3774010581871033E-2</v>
      </c>
      <c r="L202" s="157">
        <v>8.3877989423793042E-2</v>
      </c>
      <c r="M202" s="157">
        <v>8.4074887154213712E-2</v>
      </c>
      <c r="N202" s="157">
        <v>8.2463674785295996E-2</v>
      </c>
      <c r="O202" s="157">
        <v>8.444613141164016E-2</v>
      </c>
      <c r="P202" s="157">
        <v>8.2803367040753195E-2</v>
      </c>
      <c r="Q202" s="157">
        <v>8.2059191878182711E-2</v>
      </c>
      <c r="R202" s="157">
        <v>8.6179407422692256E-2</v>
      </c>
      <c r="S202" s="157">
        <v>8.652239170600233E-2</v>
      </c>
      <c r="T202" s="157">
        <v>8.6484490303817677E-2</v>
      </c>
      <c r="U202" s="157">
        <v>8.6410078347192609E-2</v>
      </c>
      <c r="V202" s="157">
        <v>8.622415942042215E-2</v>
      </c>
      <c r="W202" s="157">
        <v>8.6621820685283651E-2</v>
      </c>
      <c r="X202" s="157">
        <v>8.6433668339346681E-2</v>
      </c>
      <c r="Y202" s="157">
        <v>8.626328048500595E-2</v>
      </c>
      <c r="Z202" s="157">
        <v>8.6018543022166577E-2</v>
      </c>
      <c r="AA202" s="157">
        <v>8.7046642771508004E-2</v>
      </c>
      <c r="AB202" s="157">
        <v>8.3050728644982891E-2</v>
      </c>
      <c r="AC202" s="157">
        <v>8.4960199713814813E-2</v>
      </c>
      <c r="AD202" s="157">
        <v>8.4506850003477366E-2</v>
      </c>
      <c r="AE202" s="157">
        <v>8.5115909578859963E-2</v>
      </c>
      <c r="AF202" s="157">
        <v>8.5115909578859963E-2</v>
      </c>
      <c r="AG202" s="157">
        <v>8.5115909578859963E-2</v>
      </c>
      <c r="AH202" s="157">
        <v>8.5115909578859963E-2</v>
      </c>
      <c r="AI202" s="157">
        <v>8.5115909578859963E-2</v>
      </c>
      <c r="AJ202" s="157">
        <v>8.5115909578859963E-2</v>
      </c>
      <c r="AK202" s="157">
        <v>8.5115909578859963E-2</v>
      </c>
      <c r="AL202" s="157">
        <v>8.5115909578859963E-2</v>
      </c>
      <c r="AM202" s="157">
        <v>8.5115909578859963E-2</v>
      </c>
      <c r="AN202" s="157">
        <v>8.5115909578859963E-2</v>
      </c>
      <c r="AO202" s="157">
        <v>8.5115909578859963E-2</v>
      </c>
      <c r="AP202" s="157">
        <v>8.5115909578859963E-2</v>
      </c>
      <c r="AQ202" s="157">
        <v>8.5115909578859963E-2</v>
      </c>
      <c r="AR202" s="157">
        <v>8.5115909578859963E-2</v>
      </c>
      <c r="AS202" s="149">
        <f t="shared" ref="AS202:BV202" si="153">AR202</f>
        <v>8.5115909578859963E-2</v>
      </c>
      <c r="AT202" s="149">
        <f t="shared" si="153"/>
        <v>8.5115909578859963E-2</v>
      </c>
      <c r="AU202" s="149">
        <f t="shared" si="153"/>
        <v>8.5115909578859963E-2</v>
      </c>
      <c r="AV202" s="149">
        <f t="shared" si="153"/>
        <v>8.5115909578859963E-2</v>
      </c>
      <c r="AW202" s="149">
        <f t="shared" si="153"/>
        <v>8.5115909578859963E-2</v>
      </c>
      <c r="AX202" s="149">
        <f t="shared" si="153"/>
        <v>8.5115909578859963E-2</v>
      </c>
      <c r="AY202" s="149">
        <f t="shared" si="153"/>
        <v>8.5115909578859963E-2</v>
      </c>
      <c r="AZ202" s="149">
        <f t="shared" si="153"/>
        <v>8.5115909578859963E-2</v>
      </c>
      <c r="BA202" s="149">
        <f t="shared" si="153"/>
        <v>8.5115909578859963E-2</v>
      </c>
      <c r="BB202" s="149">
        <f t="shared" si="153"/>
        <v>8.5115909578859963E-2</v>
      </c>
      <c r="BC202" s="149">
        <f t="shared" si="153"/>
        <v>8.5115909578859963E-2</v>
      </c>
      <c r="BD202" s="149">
        <f t="shared" si="153"/>
        <v>8.5115909578859963E-2</v>
      </c>
      <c r="BE202" s="149">
        <f t="shared" si="153"/>
        <v>8.5115909578859963E-2</v>
      </c>
      <c r="BF202" s="149">
        <f t="shared" si="153"/>
        <v>8.5115909578859963E-2</v>
      </c>
      <c r="BG202" s="149">
        <f t="shared" si="153"/>
        <v>8.5115909578859963E-2</v>
      </c>
      <c r="BH202" s="149">
        <f t="shared" si="153"/>
        <v>8.5115909578859963E-2</v>
      </c>
      <c r="BI202" s="149">
        <f t="shared" si="153"/>
        <v>8.5115909578859963E-2</v>
      </c>
      <c r="BJ202" s="149">
        <f t="shared" si="153"/>
        <v>8.5115909578859963E-2</v>
      </c>
      <c r="BK202" s="149">
        <f t="shared" si="153"/>
        <v>8.5115909578859963E-2</v>
      </c>
      <c r="BL202" s="149">
        <f t="shared" si="153"/>
        <v>8.5115909578859963E-2</v>
      </c>
      <c r="BM202" s="149">
        <f t="shared" si="153"/>
        <v>8.5115909578859963E-2</v>
      </c>
      <c r="BN202" s="149">
        <f t="shared" si="153"/>
        <v>8.5115909578859963E-2</v>
      </c>
      <c r="BO202" s="149">
        <f t="shared" si="153"/>
        <v>8.5115909578859963E-2</v>
      </c>
      <c r="BP202" s="149">
        <f t="shared" si="153"/>
        <v>8.5115909578859963E-2</v>
      </c>
      <c r="BQ202" s="149">
        <f t="shared" si="153"/>
        <v>8.5115909578859963E-2</v>
      </c>
      <c r="BR202" s="149">
        <f t="shared" si="153"/>
        <v>8.5115909578859963E-2</v>
      </c>
      <c r="BS202" s="149">
        <f t="shared" si="153"/>
        <v>8.5115909578859963E-2</v>
      </c>
      <c r="BT202" s="149">
        <f t="shared" si="153"/>
        <v>8.5115909578859963E-2</v>
      </c>
      <c r="BU202" s="149">
        <f t="shared" si="153"/>
        <v>8.5115909578859963E-2</v>
      </c>
      <c r="BV202" s="149">
        <f t="shared" si="153"/>
        <v>8.5115909578859963E-2</v>
      </c>
    </row>
    <row r="203" spans="1:74" s="142" customFormat="1" x14ac:dyDescent="0.25">
      <c r="A203" s="141" t="s">
        <v>188</v>
      </c>
      <c r="B203" s="151"/>
      <c r="D203" s="157">
        <v>8.3632018372545816E-2</v>
      </c>
      <c r="E203" s="157">
        <v>8.2384716489436294E-2</v>
      </c>
      <c r="F203" s="157">
        <v>8.1176714815077392E-2</v>
      </c>
      <c r="G203" s="157">
        <v>8.0006184740623099E-2</v>
      </c>
      <c r="H203" s="157">
        <v>7.8871409369636158E-2</v>
      </c>
      <c r="I203" s="157">
        <v>7.7770775115573898E-2</v>
      </c>
      <c r="J203" s="157">
        <v>8.4267114033029153E-2</v>
      </c>
      <c r="K203" s="157">
        <v>8.3774010581871033E-2</v>
      </c>
      <c r="L203" s="157">
        <v>8.3877989423793042E-2</v>
      </c>
      <c r="M203" s="157">
        <v>8.4074887154213712E-2</v>
      </c>
      <c r="N203" s="157">
        <v>8.2463674785295996E-2</v>
      </c>
      <c r="O203" s="157">
        <v>8.444613141164016E-2</v>
      </c>
      <c r="P203" s="157">
        <v>8.2803367040753195E-2</v>
      </c>
      <c r="Q203" s="157">
        <v>8.2059191878182711E-2</v>
      </c>
      <c r="R203" s="157">
        <v>8.6179407422692256E-2</v>
      </c>
      <c r="S203" s="157">
        <v>8.652239170600233E-2</v>
      </c>
      <c r="T203" s="157">
        <v>8.6484490303817677E-2</v>
      </c>
      <c r="U203" s="157">
        <v>8.6410078347192609E-2</v>
      </c>
      <c r="V203" s="157">
        <v>8.622415942042215E-2</v>
      </c>
      <c r="W203" s="157">
        <v>8.6621820685283651E-2</v>
      </c>
      <c r="X203" s="157">
        <v>8.6433668339346681E-2</v>
      </c>
      <c r="Y203" s="157">
        <v>8.626328048500595E-2</v>
      </c>
      <c r="Z203" s="157">
        <v>8.6018543022166577E-2</v>
      </c>
      <c r="AA203" s="157">
        <v>8.7046642771508004E-2</v>
      </c>
      <c r="AB203" s="157">
        <v>8.3050728644982891E-2</v>
      </c>
      <c r="AC203" s="157">
        <v>8.4960199713814813E-2</v>
      </c>
      <c r="AD203" s="157">
        <v>8.4506850003477366E-2</v>
      </c>
      <c r="AE203" s="157">
        <v>8.5115909578859963E-2</v>
      </c>
      <c r="AF203" s="157">
        <v>8.5115909578859963E-2</v>
      </c>
      <c r="AG203" s="157">
        <v>8.5115909578859963E-2</v>
      </c>
      <c r="AH203" s="157">
        <v>8.5115909578859963E-2</v>
      </c>
      <c r="AI203" s="157">
        <v>8.5115909578859963E-2</v>
      </c>
      <c r="AJ203" s="157">
        <v>8.5115909578859963E-2</v>
      </c>
      <c r="AK203" s="157">
        <v>8.5115909578859963E-2</v>
      </c>
      <c r="AL203" s="157">
        <v>8.5115909578859963E-2</v>
      </c>
      <c r="AM203" s="157">
        <v>8.5115909578859963E-2</v>
      </c>
      <c r="AN203" s="157">
        <v>8.5115909578859963E-2</v>
      </c>
      <c r="AO203" s="157">
        <v>8.5115909578859963E-2</v>
      </c>
      <c r="AP203" s="157">
        <v>8.5115909578859963E-2</v>
      </c>
      <c r="AQ203" s="157">
        <v>8.5115909578859963E-2</v>
      </c>
      <c r="AR203" s="157">
        <v>8.5115909578859963E-2</v>
      </c>
      <c r="AS203" s="149">
        <f t="shared" ref="AS203:BV203" si="154">AR203</f>
        <v>8.5115909578859963E-2</v>
      </c>
      <c r="AT203" s="149">
        <f t="shared" si="154"/>
        <v>8.5115909578859963E-2</v>
      </c>
      <c r="AU203" s="149">
        <f t="shared" si="154"/>
        <v>8.5115909578859963E-2</v>
      </c>
      <c r="AV203" s="149">
        <f t="shared" si="154"/>
        <v>8.5115909578859963E-2</v>
      </c>
      <c r="AW203" s="149">
        <f t="shared" si="154"/>
        <v>8.5115909578859963E-2</v>
      </c>
      <c r="AX203" s="149">
        <f t="shared" si="154"/>
        <v>8.5115909578859963E-2</v>
      </c>
      <c r="AY203" s="149">
        <f t="shared" si="154"/>
        <v>8.5115909578859963E-2</v>
      </c>
      <c r="AZ203" s="149">
        <f t="shared" si="154"/>
        <v>8.5115909578859963E-2</v>
      </c>
      <c r="BA203" s="149">
        <f t="shared" si="154"/>
        <v>8.5115909578859963E-2</v>
      </c>
      <c r="BB203" s="149">
        <f t="shared" si="154"/>
        <v>8.5115909578859963E-2</v>
      </c>
      <c r="BC203" s="149">
        <f t="shared" si="154"/>
        <v>8.5115909578859963E-2</v>
      </c>
      <c r="BD203" s="149">
        <f t="shared" si="154"/>
        <v>8.5115909578859963E-2</v>
      </c>
      <c r="BE203" s="149">
        <f t="shared" si="154"/>
        <v>8.5115909578859963E-2</v>
      </c>
      <c r="BF203" s="149">
        <f t="shared" si="154"/>
        <v>8.5115909578859963E-2</v>
      </c>
      <c r="BG203" s="149">
        <f t="shared" si="154"/>
        <v>8.5115909578859963E-2</v>
      </c>
      <c r="BH203" s="149">
        <f t="shared" si="154"/>
        <v>8.5115909578859963E-2</v>
      </c>
      <c r="BI203" s="149">
        <f t="shared" si="154"/>
        <v>8.5115909578859963E-2</v>
      </c>
      <c r="BJ203" s="149">
        <f t="shared" si="154"/>
        <v>8.5115909578859963E-2</v>
      </c>
      <c r="BK203" s="149">
        <f t="shared" si="154"/>
        <v>8.5115909578859963E-2</v>
      </c>
      <c r="BL203" s="149">
        <f t="shared" si="154"/>
        <v>8.5115909578859963E-2</v>
      </c>
      <c r="BM203" s="149">
        <f t="shared" si="154"/>
        <v>8.5115909578859963E-2</v>
      </c>
      <c r="BN203" s="149">
        <f t="shared" si="154"/>
        <v>8.5115909578859963E-2</v>
      </c>
      <c r="BO203" s="149">
        <f t="shared" si="154"/>
        <v>8.5115909578859963E-2</v>
      </c>
      <c r="BP203" s="149">
        <f t="shared" si="154"/>
        <v>8.5115909578859963E-2</v>
      </c>
      <c r="BQ203" s="149">
        <f t="shared" si="154"/>
        <v>8.5115909578859963E-2</v>
      </c>
      <c r="BR203" s="149">
        <f t="shared" si="154"/>
        <v>8.5115909578859963E-2</v>
      </c>
      <c r="BS203" s="149">
        <f t="shared" si="154"/>
        <v>8.5115909578859963E-2</v>
      </c>
      <c r="BT203" s="149">
        <f t="shared" si="154"/>
        <v>8.5115909578859963E-2</v>
      </c>
      <c r="BU203" s="149">
        <f t="shared" si="154"/>
        <v>8.5115909578859963E-2</v>
      </c>
      <c r="BV203" s="149">
        <f t="shared" si="154"/>
        <v>8.5115909578859963E-2</v>
      </c>
    </row>
    <row r="204" spans="1:74" s="142" customFormat="1" x14ac:dyDescent="0.25">
      <c r="A204" s="147" t="s">
        <v>193</v>
      </c>
      <c r="B204" s="148"/>
      <c r="D204" s="157">
        <v>5.5522546836572505E-2</v>
      </c>
      <c r="E204" s="157">
        <v>5.391444109256667E-2</v>
      </c>
      <c r="F204" s="157">
        <v>5.2409179666567281E-2</v>
      </c>
      <c r="G204" s="157">
        <v>5.0997202351366885E-2</v>
      </c>
      <c r="H204" s="157">
        <v>4.9670098257920001E-2</v>
      </c>
      <c r="I204" s="157">
        <v>4.8420438142417505E-2</v>
      </c>
      <c r="J204" s="157">
        <v>5.3927676717434335E-2</v>
      </c>
      <c r="K204" s="157">
        <v>5.3819200355667077E-2</v>
      </c>
      <c r="L204" s="157">
        <v>5.2562294929161452E-2</v>
      </c>
      <c r="M204" s="157">
        <v>5.807285139766357E-2</v>
      </c>
      <c r="N204" s="157">
        <v>5.1483356752044934E-2</v>
      </c>
      <c r="O204" s="157">
        <v>4.8838352034878262E-2</v>
      </c>
      <c r="P204" s="157">
        <v>4.9011467972470926E-2</v>
      </c>
      <c r="Q204" s="157">
        <v>5.0933398044429236E-2</v>
      </c>
      <c r="R204" s="157">
        <v>5.1186923578186432E-2</v>
      </c>
      <c r="S204" s="157">
        <v>5.1874447198119185E-2</v>
      </c>
      <c r="T204" s="157">
        <v>5.4548095921855423E-2</v>
      </c>
      <c r="U204" s="157">
        <v>5.4617024243686967E-2</v>
      </c>
      <c r="V204" s="157">
        <v>5.2585914801690628E-2</v>
      </c>
      <c r="W204" s="157">
        <v>5.4208705616701422E-2</v>
      </c>
      <c r="X204" s="157">
        <v>5.727688954036269E-2</v>
      </c>
      <c r="Y204" s="157">
        <v>5.6862489488493977E-2</v>
      </c>
      <c r="Z204" s="157">
        <v>5.2872272396697013E-2</v>
      </c>
      <c r="AA204" s="157">
        <v>5.7674947327603102E-2</v>
      </c>
      <c r="AB204" s="157">
        <v>5.62181727614973E-2</v>
      </c>
      <c r="AC204" s="157">
        <v>5.7188085947293292E-2</v>
      </c>
      <c r="AD204" s="157">
        <v>5.5470207689506085E-2</v>
      </c>
      <c r="AE204" s="157">
        <v>5.7596120406349295E-2</v>
      </c>
      <c r="AF204" s="157">
        <v>5.7596120406349295E-2</v>
      </c>
      <c r="AG204" s="157">
        <v>5.7596120406349295E-2</v>
      </c>
      <c r="AH204" s="157">
        <v>5.7596120406349295E-2</v>
      </c>
      <c r="AI204" s="157">
        <v>5.7596120406349295E-2</v>
      </c>
      <c r="AJ204" s="157">
        <v>5.7596120406349295E-2</v>
      </c>
      <c r="AK204" s="157">
        <v>5.7596120406349295E-2</v>
      </c>
      <c r="AL204" s="157">
        <v>5.7596120406349295E-2</v>
      </c>
      <c r="AM204" s="157">
        <v>5.7596120406349295E-2</v>
      </c>
      <c r="AN204" s="157">
        <v>5.7596120406349295E-2</v>
      </c>
      <c r="AO204" s="157">
        <v>5.7596120406349295E-2</v>
      </c>
      <c r="AP204" s="157">
        <v>5.7596120406349295E-2</v>
      </c>
      <c r="AQ204" s="157">
        <v>5.7596120406349295E-2</v>
      </c>
      <c r="AR204" s="157">
        <v>5.7596120406349295E-2</v>
      </c>
      <c r="AS204" s="149">
        <f t="shared" ref="AS204:BV204" si="155">AR204</f>
        <v>5.7596120406349295E-2</v>
      </c>
      <c r="AT204" s="149">
        <f t="shared" si="155"/>
        <v>5.7596120406349295E-2</v>
      </c>
      <c r="AU204" s="149">
        <f t="shared" si="155"/>
        <v>5.7596120406349295E-2</v>
      </c>
      <c r="AV204" s="149">
        <f t="shared" si="155"/>
        <v>5.7596120406349295E-2</v>
      </c>
      <c r="AW204" s="149">
        <f t="shared" si="155"/>
        <v>5.7596120406349295E-2</v>
      </c>
      <c r="AX204" s="149">
        <f t="shared" si="155"/>
        <v>5.7596120406349295E-2</v>
      </c>
      <c r="AY204" s="149">
        <f t="shared" si="155"/>
        <v>5.7596120406349295E-2</v>
      </c>
      <c r="AZ204" s="149">
        <f t="shared" si="155"/>
        <v>5.7596120406349295E-2</v>
      </c>
      <c r="BA204" s="149">
        <f t="shared" si="155"/>
        <v>5.7596120406349295E-2</v>
      </c>
      <c r="BB204" s="149">
        <f t="shared" si="155"/>
        <v>5.7596120406349295E-2</v>
      </c>
      <c r="BC204" s="149">
        <f t="shared" si="155"/>
        <v>5.7596120406349295E-2</v>
      </c>
      <c r="BD204" s="149">
        <f t="shared" si="155"/>
        <v>5.7596120406349295E-2</v>
      </c>
      <c r="BE204" s="149">
        <f t="shared" si="155"/>
        <v>5.7596120406349295E-2</v>
      </c>
      <c r="BF204" s="149">
        <f t="shared" si="155"/>
        <v>5.7596120406349295E-2</v>
      </c>
      <c r="BG204" s="149">
        <f t="shared" si="155"/>
        <v>5.7596120406349295E-2</v>
      </c>
      <c r="BH204" s="149">
        <f t="shared" si="155"/>
        <v>5.7596120406349295E-2</v>
      </c>
      <c r="BI204" s="149">
        <f t="shared" si="155"/>
        <v>5.7596120406349295E-2</v>
      </c>
      <c r="BJ204" s="149">
        <f t="shared" si="155"/>
        <v>5.7596120406349295E-2</v>
      </c>
      <c r="BK204" s="149">
        <f t="shared" si="155"/>
        <v>5.7596120406349295E-2</v>
      </c>
      <c r="BL204" s="149">
        <f t="shared" si="155"/>
        <v>5.7596120406349295E-2</v>
      </c>
      <c r="BM204" s="149">
        <f t="shared" si="155"/>
        <v>5.7596120406349295E-2</v>
      </c>
      <c r="BN204" s="149">
        <f t="shared" si="155"/>
        <v>5.7596120406349295E-2</v>
      </c>
      <c r="BO204" s="149">
        <f t="shared" si="155"/>
        <v>5.7596120406349295E-2</v>
      </c>
      <c r="BP204" s="149">
        <f t="shared" si="155"/>
        <v>5.7596120406349295E-2</v>
      </c>
      <c r="BQ204" s="149">
        <f t="shared" si="155"/>
        <v>5.7596120406349295E-2</v>
      </c>
      <c r="BR204" s="149">
        <f t="shared" si="155"/>
        <v>5.7596120406349295E-2</v>
      </c>
      <c r="BS204" s="149">
        <f t="shared" si="155"/>
        <v>5.7596120406349295E-2</v>
      </c>
      <c r="BT204" s="149">
        <f t="shared" si="155"/>
        <v>5.7596120406349295E-2</v>
      </c>
      <c r="BU204" s="149">
        <f t="shared" si="155"/>
        <v>5.7596120406349295E-2</v>
      </c>
      <c r="BV204" s="149">
        <f t="shared" si="155"/>
        <v>5.7596120406349295E-2</v>
      </c>
    </row>
    <row r="205" spans="1:74" s="142" customFormat="1" x14ac:dyDescent="0.25">
      <c r="A205" s="141" t="s">
        <v>194</v>
      </c>
      <c r="B205" s="148"/>
      <c r="D205" s="157">
        <v>5.5522546836572505E-2</v>
      </c>
      <c r="E205" s="157">
        <v>5.391444109256667E-2</v>
      </c>
      <c r="F205" s="157">
        <v>5.2409179666567281E-2</v>
      </c>
      <c r="G205" s="157">
        <v>5.0997202351366885E-2</v>
      </c>
      <c r="H205" s="157">
        <v>4.9670098257920001E-2</v>
      </c>
      <c r="I205" s="157">
        <v>4.8420438142417505E-2</v>
      </c>
      <c r="J205" s="157">
        <v>5.3927676717434335E-2</v>
      </c>
      <c r="K205" s="157">
        <v>5.3819200355667077E-2</v>
      </c>
      <c r="L205" s="157">
        <v>5.2562294929161452E-2</v>
      </c>
      <c r="M205" s="157">
        <v>5.807285139766357E-2</v>
      </c>
      <c r="N205" s="157">
        <v>5.1483356752044934E-2</v>
      </c>
      <c r="O205" s="157">
        <v>4.8838352034878262E-2</v>
      </c>
      <c r="P205" s="157">
        <v>4.9011467972470926E-2</v>
      </c>
      <c r="Q205" s="157">
        <v>5.0933398044429236E-2</v>
      </c>
      <c r="R205" s="157">
        <v>5.1186923578186432E-2</v>
      </c>
      <c r="S205" s="157">
        <v>5.1874447198119185E-2</v>
      </c>
      <c r="T205" s="157">
        <v>5.4548095921855423E-2</v>
      </c>
      <c r="U205" s="157">
        <v>5.4617024243686967E-2</v>
      </c>
      <c r="V205" s="157">
        <v>5.2585914801690628E-2</v>
      </c>
      <c r="W205" s="157">
        <v>5.4208705616701422E-2</v>
      </c>
      <c r="X205" s="157">
        <v>5.727688954036269E-2</v>
      </c>
      <c r="Y205" s="157">
        <v>5.6862489488493977E-2</v>
      </c>
      <c r="Z205" s="157">
        <v>5.2872272396697013E-2</v>
      </c>
      <c r="AA205" s="157">
        <v>5.7674947327603102E-2</v>
      </c>
      <c r="AB205" s="157">
        <v>5.62181727614973E-2</v>
      </c>
      <c r="AC205" s="157">
        <v>5.7188085947293292E-2</v>
      </c>
      <c r="AD205" s="157">
        <v>5.5470207689506085E-2</v>
      </c>
      <c r="AE205" s="157">
        <v>5.7596120406349295E-2</v>
      </c>
      <c r="AF205" s="157">
        <v>5.7596120406349295E-2</v>
      </c>
      <c r="AG205" s="157">
        <v>5.7596120406349295E-2</v>
      </c>
      <c r="AH205" s="157">
        <v>5.7596120406349295E-2</v>
      </c>
      <c r="AI205" s="157">
        <v>5.7596120406349295E-2</v>
      </c>
      <c r="AJ205" s="157">
        <v>5.7596120406349295E-2</v>
      </c>
      <c r="AK205" s="157">
        <v>5.7596120406349295E-2</v>
      </c>
      <c r="AL205" s="157">
        <v>5.7596120406349295E-2</v>
      </c>
      <c r="AM205" s="157">
        <v>5.7596120406349295E-2</v>
      </c>
      <c r="AN205" s="157">
        <v>5.7596120406349295E-2</v>
      </c>
      <c r="AO205" s="157">
        <v>5.7596120406349295E-2</v>
      </c>
      <c r="AP205" s="157">
        <v>5.7596120406349295E-2</v>
      </c>
      <c r="AQ205" s="157">
        <v>5.7596120406349295E-2</v>
      </c>
      <c r="AR205" s="157">
        <v>5.7596120406349295E-2</v>
      </c>
      <c r="AS205" s="149">
        <f t="shared" ref="AS205:BV205" si="156">AR205</f>
        <v>5.7596120406349295E-2</v>
      </c>
      <c r="AT205" s="149">
        <f t="shared" si="156"/>
        <v>5.7596120406349295E-2</v>
      </c>
      <c r="AU205" s="149">
        <f t="shared" si="156"/>
        <v>5.7596120406349295E-2</v>
      </c>
      <c r="AV205" s="149">
        <f t="shared" si="156"/>
        <v>5.7596120406349295E-2</v>
      </c>
      <c r="AW205" s="149">
        <f t="shared" si="156"/>
        <v>5.7596120406349295E-2</v>
      </c>
      <c r="AX205" s="149">
        <f t="shared" si="156"/>
        <v>5.7596120406349295E-2</v>
      </c>
      <c r="AY205" s="149">
        <f t="shared" si="156"/>
        <v>5.7596120406349295E-2</v>
      </c>
      <c r="AZ205" s="149">
        <f t="shared" si="156"/>
        <v>5.7596120406349295E-2</v>
      </c>
      <c r="BA205" s="149">
        <f t="shared" si="156"/>
        <v>5.7596120406349295E-2</v>
      </c>
      <c r="BB205" s="149">
        <f t="shared" si="156"/>
        <v>5.7596120406349295E-2</v>
      </c>
      <c r="BC205" s="149">
        <f t="shared" si="156"/>
        <v>5.7596120406349295E-2</v>
      </c>
      <c r="BD205" s="149">
        <f t="shared" si="156"/>
        <v>5.7596120406349295E-2</v>
      </c>
      <c r="BE205" s="149">
        <f t="shared" si="156"/>
        <v>5.7596120406349295E-2</v>
      </c>
      <c r="BF205" s="149">
        <f t="shared" si="156"/>
        <v>5.7596120406349295E-2</v>
      </c>
      <c r="BG205" s="149">
        <f t="shared" si="156"/>
        <v>5.7596120406349295E-2</v>
      </c>
      <c r="BH205" s="149">
        <f t="shared" si="156"/>
        <v>5.7596120406349295E-2</v>
      </c>
      <c r="BI205" s="149">
        <f t="shared" si="156"/>
        <v>5.7596120406349295E-2</v>
      </c>
      <c r="BJ205" s="149">
        <f t="shared" si="156"/>
        <v>5.7596120406349295E-2</v>
      </c>
      <c r="BK205" s="149">
        <f t="shared" si="156"/>
        <v>5.7596120406349295E-2</v>
      </c>
      <c r="BL205" s="149">
        <f t="shared" si="156"/>
        <v>5.7596120406349295E-2</v>
      </c>
      <c r="BM205" s="149">
        <f t="shared" si="156"/>
        <v>5.7596120406349295E-2</v>
      </c>
      <c r="BN205" s="149">
        <f t="shared" si="156"/>
        <v>5.7596120406349295E-2</v>
      </c>
      <c r="BO205" s="149">
        <f t="shared" si="156"/>
        <v>5.7596120406349295E-2</v>
      </c>
      <c r="BP205" s="149">
        <f t="shared" si="156"/>
        <v>5.7596120406349295E-2</v>
      </c>
      <c r="BQ205" s="149">
        <f t="shared" si="156"/>
        <v>5.7596120406349295E-2</v>
      </c>
      <c r="BR205" s="149">
        <f t="shared" si="156"/>
        <v>5.7596120406349295E-2</v>
      </c>
      <c r="BS205" s="149">
        <f t="shared" si="156"/>
        <v>5.7596120406349295E-2</v>
      </c>
      <c r="BT205" s="149">
        <f t="shared" si="156"/>
        <v>5.7596120406349295E-2</v>
      </c>
      <c r="BU205" s="149">
        <f t="shared" si="156"/>
        <v>5.7596120406349295E-2</v>
      </c>
      <c r="BV205" s="149">
        <f t="shared" si="156"/>
        <v>5.7596120406349295E-2</v>
      </c>
    </row>
    <row r="206" spans="1:74" s="142" customFormat="1" x14ac:dyDescent="0.25">
      <c r="A206" s="141" t="s">
        <v>14</v>
      </c>
      <c r="B206" s="148"/>
      <c r="D206" s="157">
        <v>5.5082969731883882E-2</v>
      </c>
      <c r="E206" s="157">
        <v>5.3244012560827648E-2</v>
      </c>
      <c r="F206" s="157">
        <v>5.1521098775080702E-2</v>
      </c>
      <c r="G206" s="157">
        <v>4.9903580337757936E-2</v>
      </c>
      <c r="H206" s="157">
        <v>4.8382073287570562E-2</v>
      </c>
      <c r="I206" s="157">
        <v>4.69482755654652E-2</v>
      </c>
      <c r="J206" s="157">
        <v>5.2341766991427521E-2</v>
      </c>
      <c r="K206" s="157">
        <v>5.4193468621539863E-2</v>
      </c>
      <c r="L206" s="157">
        <v>5.4354131399971722E-2</v>
      </c>
      <c r="M206" s="157">
        <v>5.4834827869281302E-2</v>
      </c>
      <c r="N206" s="157">
        <v>5.4570178060992403E-2</v>
      </c>
      <c r="O206" s="157">
        <v>5.4162368393067609E-2</v>
      </c>
      <c r="P206" s="157">
        <v>5.4154196666775449E-2</v>
      </c>
      <c r="Q206" s="157">
        <v>5.3912954139749211E-2</v>
      </c>
      <c r="R206" s="157">
        <v>5.4214073741352301E-2</v>
      </c>
      <c r="S206" s="157">
        <v>5.4429354258786054E-2</v>
      </c>
      <c r="T206" s="157">
        <v>6.267340828895808E-2</v>
      </c>
      <c r="U206" s="157">
        <v>5.8997362935451499E-2</v>
      </c>
      <c r="V206" s="157">
        <v>5.8999780312178576E-2</v>
      </c>
      <c r="W206" s="157">
        <v>5.9302335888554908E-2</v>
      </c>
      <c r="X206" s="157">
        <v>5.9573282899728436E-2</v>
      </c>
      <c r="Y206" s="157">
        <v>5.9078089521124665E-2</v>
      </c>
      <c r="Z206" s="157">
        <v>5.8843545325263556E-2</v>
      </c>
      <c r="AA206" s="157">
        <v>5.8775422866520488E-2</v>
      </c>
      <c r="AB206" s="157">
        <v>5.9607124559253877E-2</v>
      </c>
      <c r="AC206" s="157">
        <v>5.8078246657143277E-2</v>
      </c>
      <c r="AD206" s="157">
        <v>5.7847889948348628E-2</v>
      </c>
      <c r="AE206" s="157">
        <v>5.8210465685313899E-2</v>
      </c>
      <c r="AF206" s="157">
        <v>5.8210465685313899E-2</v>
      </c>
      <c r="AG206" s="157">
        <v>5.8210465685313899E-2</v>
      </c>
      <c r="AH206" s="157">
        <v>5.8210465685313899E-2</v>
      </c>
      <c r="AI206" s="157">
        <v>5.8210465685313899E-2</v>
      </c>
      <c r="AJ206" s="157">
        <v>5.8210465685313899E-2</v>
      </c>
      <c r="AK206" s="157">
        <v>5.8210465685313899E-2</v>
      </c>
      <c r="AL206" s="157">
        <v>5.8210465685313899E-2</v>
      </c>
      <c r="AM206" s="157">
        <v>5.8210465685313899E-2</v>
      </c>
      <c r="AN206" s="157">
        <v>5.8210465685313899E-2</v>
      </c>
      <c r="AO206" s="157">
        <v>5.8210465685313899E-2</v>
      </c>
      <c r="AP206" s="157">
        <v>5.8210465685313899E-2</v>
      </c>
      <c r="AQ206" s="157">
        <v>5.8210465685313899E-2</v>
      </c>
      <c r="AR206" s="157">
        <v>5.8210465685313899E-2</v>
      </c>
      <c r="AS206" s="149">
        <f t="shared" ref="AS206:BV206" si="157">AR206</f>
        <v>5.8210465685313899E-2</v>
      </c>
      <c r="AT206" s="149">
        <f t="shared" si="157"/>
        <v>5.8210465685313899E-2</v>
      </c>
      <c r="AU206" s="149">
        <f t="shared" si="157"/>
        <v>5.8210465685313899E-2</v>
      </c>
      <c r="AV206" s="149">
        <f t="shared" si="157"/>
        <v>5.8210465685313899E-2</v>
      </c>
      <c r="AW206" s="149">
        <f t="shared" si="157"/>
        <v>5.8210465685313899E-2</v>
      </c>
      <c r="AX206" s="149">
        <f t="shared" si="157"/>
        <v>5.8210465685313899E-2</v>
      </c>
      <c r="AY206" s="149">
        <f t="shared" si="157"/>
        <v>5.8210465685313899E-2</v>
      </c>
      <c r="AZ206" s="149">
        <f t="shared" si="157"/>
        <v>5.8210465685313899E-2</v>
      </c>
      <c r="BA206" s="149">
        <f t="shared" si="157"/>
        <v>5.8210465685313899E-2</v>
      </c>
      <c r="BB206" s="149">
        <f t="shared" si="157"/>
        <v>5.8210465685313899E-2</v>
      </c>
      <c r="BC206" s="149">
        <f t="shared" si="157"/>
        <v>5.8210465685313899E-2</v>
      </c>
      <c r="BD206" s="149">
        <f t="shared" si="157"/>
        <v>5.8210465685313899E-2</v>
      </c>
      <c r="BE206" s="149">
        <f t="shared" si="157"/>
        <v>5.8210465685313899E-2</v>
      </c>
      <c r="BF206" s="149">
        <f t="shared" si="157"/>
        <v>5.8210465685313899E-2</v>
      </c>
      <c r="BG206" s="149">
        <f t="shared" si="157"/>
        <v>5.8210465685313899E-2</v>
      </c>
      <c r="BH206" s="149">
        <f t="shared" si="157"/>
        <v>5.8210465685313899E-2</v>
      </c>
      <c r="BI206" s="149">
        <f t="shared" si="157"/>
        <v>5.8210465685313899E-2</v>
      </c>
      <c r="BJ206" s="149">
        <f t="shared" si="157"/>
        <v>5.8210465685313899E-2</v>
      </c>
      <c r="BK206" s="149">
        <f t="shared" si="157"/>
        <v>5.8210465685313899E-2</v>
      </c>
      <c r="BL206" s="149">
        <f t="shared" si="157"/>
        <v>5.8210465685313899E-2</v>
      </c>
      <c r="BM206" s="149">
        <f t="shared" si="157"/>
        <v>5.8210465685313899E-2</v>
      </c>
      <c r="BN206" s="149">
        <f t="shared" si="157"/>
        <v>5.8210465685313899E-2</v>
      </c>
      <c r="BO206" s="149">
        <f t="shared" si="157"/>
        <v>5.8210465685313899E-2</v>
      </c>
      <c r="BP206" s="149">
        <f t="shared" si="157"/>
        <v>5.8210465685313899E-2</v>
      </c>
      <c r="BQ206" s="149">
        <f t="shared" si="157"/>
        <v>5.8210465685313899E-2</v>
      </c>
      <c r="BR206" s="149">
        <f t="shared" si="157"/>
        <v>5.8210465685313899E-2</v>
      </c>
      <c r="BS206" s="149">
        <f t="shared" si="157"/>
        <v>5.8210465685313899E-2</v>
      </c>
      <c r="BT206" s="149">
        <f t="shared" si="157"/>
        <v>5.8210465685313899E-2</v>
      </c>
      <c r="BU206" s="149">
        <f t="shared" si="157"/>
        <v>5.8210465685313899E-2</v>
      </c>
      <c r="BV206" s="149">
        <f t="shared" si="157"/>
        <v>5.8210465685313899E-2</v>
      </c>
    </row>
    <row r="207" spans="1:74" x14ac:dyDescent="0.25">
      <c r="A207" s="147"/>
      <c r="D207" s="157"/>
      <c r="E207" s="157"/>
      <c r="F207" s="157"/>
      <c r="G207" s="157"/>
      <c r="H207" s="157"/>
      <c r="I207" s="157"/>
      <c r="J207" s="157"/>
      <c r="K207" s="157"/>
      <c r="L207" s="157"/>
      <c r="M207" s="157"/>
      <c r="N207" s="157"/>
      <c r="O207" s="157"/>
      <c r="P207" s="157"/>
      <c r="Q207" s="157"/>
      <c r="R207" s="157"/>
      <c r="S207" s="157"/>
      <c r="T207" s="157"/>
      <c r="U207" s="157"/>
      <c r="V207" s="157"/>
      <c r="W207" s="157"/>
      <c r="X207" s="157"/>
      <c r="Y207" s="157"/>
      <c r="Z207" s="157"/>
      <c r="AA207" s="157"/>
      <c r="AB207" s="157"/>
      <c r="AC207" s="157"/>
      <c r="AD207" s="157"/>
      <c r="AE207" s="157"/>
      <c r="AF207" s="157"/>
      <c r="AG207" s="157"/>
      <c r="AH207" s="157"/>
      <c r="AI207" s="157"/>
      <c r="AJ207" s="157"/>
      <c r="AK207" s="157"/>
      <c r="AL207" s="157"/>
      <c r="AM207" s="157"/>
      <c r="AN207" s="157"/>
      <c r="AO207" s="157"/>
      <c r="AP207" s="157"/>
      <c r="AQ207" s="157"/>
      <c r="AR207" s="157"/>
      <c r="AS207" s="157"/>
    </row>
    <row r="208" spans="1:74" x14ac:dyDescent="0.25">
      <c r="A208" s="147"/>
      <c r="C208" s="142"/>
      <c r="D208" s="158"/>
      <c r="E208" s="158"/>
      <c r="F208" s="158"/>
      <c r="G208" s="158"/>
      <c r="H208" s="158"/>
      <c r="I208" s="158"/>
      <c r="J208" s="158"/>
      <c r="K208" s="158"/>
      <c r="L208" s="158"/>
      <c r="M208" s="158"/>
      <c r="N208" s="158"/>
      <c r="O208" s="158"/>
      <c r="P208" s="158"/>
      <c r="Q208" s="158"/>
      <c r="R208" s="158"/>
      <c r="S208" s="158"/>
      <c r="T208" s="158"/>
      <c r="U208" s="158"/>
      <c r="V208" s="158"/>
      <c r="W208" s="158"/>
      <c r="X208" s="158"/>
      <c r="Y208" s="158"/>
      <c r="Z208" s="158"/>
      <c r="AA208" s="158"/>
      <c r="AB208" s="158"/>
      <c r="AC208" s="158"/>
      <c r="AD208" s="158"/>
      <c r="AE208" s="158"/>
      <c r="AF208" s="158"/>
      <c r="AG208" s="158"/>
      <c r="AH208" s="158"/>
      <c r="AI208" s="158"/>
      <c r="AJ208" s="158"/>
      <c r="AK208" s="158"/>
      <c r="AL208" s="158"/>
      <c r="AM208" s="158"/>
      <c r="AN208" s="158"/>
      <c r="AO208" s="158"/>
      <c r="AP208" s="158"/>
      <c r="AQ208" s="158"/>
      <c r="AR208" s="158"/>
      <c r="AS208" s="158"/>
    </row>
    <row r="209" spans="1:74" s="182" customFormat="1" x14ac:dyDescent="0.25">
      <c r="A209" s="180" t="s">
        <v>245</v>
      </c>
      <c r="B209" s="181"/>
      <c r="I209" s="181"/>
      <c r="J209" s="181"/>
      <c r="K209" s="181"/>
      <c r="L209" s="181"/>
      <c r="M209" s="181"/>
      <c r="N209" s="181"/>
      <c r="O209" s="181"/>
      <c r="P209" s="181"/>
      <c r="Q209" s="181"/>
      <c r="R209" s="181"/>
      <c r="S209" s="181"/>
      <c r="T209" s="181"/>
      <c r="U209" s="181"/>
      <c r="V209" s="181"/>
      <c r="W209" s="181"/>
      <c r="X209" s="181"/>
      <c r="Y209" s="181"/>
      <c r="Z209" s="181"/>
      <c r="AA209" s="181"/>
      <c r="AB209" s="181"/>
      <c r="AC209" s="181"/>
      <c r="AD209" s="181"/>
      <c r="AE209" s="181"/>
      <c r="AF209" s="181"/>
      <c r="AG209" s="181"/>
      <c r="AH209" s="181"/>
      <c r="AI209" s="181"/>
      <c r="AJ209" s="181"/>
      <c r="AK209" s="181"/>
      <c r="AL209" s="181"/>
      <c r="AM209" s="181"/>
      <c r="AN209" s="181"/>
      <c r="AO209" s="181"/>
      <c r="AP209" s="181"/>
      <c r="AQ209" s="181"/>
      <c r="AR209" s="181"/>
      <c r="AS209" s="181"/>
    </row>
    <row r="210" spans="1:74" s="182" customFormat="1" x14ac:dyDescent="0.25">
      <c r="A210" s="180"/>
      <c r="B210" s="180" t="s">
        <v>246</v>
      </c>
      <c r="I210" s="181"/>
      <c r="J210" s="181"/>
      <c r="K210" s="181"/>
      <c r="L210" s="181"/>
      <c r="M210" s="181"/>
      <c r="N210" s="181"/>
      <c r="O210" s="181"/>
      <c r="P210" s="181"/>
      <c r="Q210" s="181"/>
      <c r="R210" s="181"/>
      <c r="S210" s="181"/>
      <c r="T210" s="181"/>
      <c r="U210" s="181"/>
      <c r="V210" s="181"/>
      <c r="W210" s="181"/>
      <c r="X210" s="181"/>
      <c r="Y210" s="181"/>
      <c r="Z210" s="181"/>
      <c r="AA210" s="181"/>
      <c r="AB210" s="181"/>
      <c r="AC210" s="181"/>
      <c r="AD210" s="181"/>
      <c r="AE210" s="181"/>
      <c r="AF210" s="181"/>
      <c r="AG210" s="181"/>
      <c r="AH210" s="181"/>
      <c r="AI210" s="181"/>
      <c r="AJ210" s="181"/>
      <c r="AK210" s="181"/>
      <c r="AL210" s="181"/>
      <c r="AM210" s="181"/>
      <c r="AN210" s="181"/>
      <c r="AO210" s="181"/>
      <c r="AP210" s="181"/>
      <c r="AQ210" s="181"/>
      <c r="AR210" s="181"/>
      <c r="AS210" s="181"/>
    </row>
    <row r="211" spans="1:74" x14ac:dyDescent="0.25">
      <c r="A211" s="147" t="s">
        <v>178</v>
      </c>
      <c r="C211" s="142"/>
      <c r="D211" s="177">
        <v>6.5622973598888375E-5</v>
      </c>
      <c r="E211" s="177">
        <v>6.5622973598888375E-5</v>
      </c>
      <c r="F211" s="177">
        <v>6.5622973598888375E-5</v>
      </c>
      <c r="G211" s="177">
        <v>6.5622973598888375E-5</v>
      </c>
      <c r="H211" s="177">
        <v>6.5622973598888375E-5</v>
      </c>
      <c r="I211" s="177">
        <v>6.5622973598888375E-5</v>
      </c>
      <c r="J211" s="177">
        <v>6.5615960099750625E-5</v>
      </c>
      <c r="K211" s="177">
        <v>6.5633430309441942E-5</v>
      </c>
      <c r="L211" s="177">
        <v>6.5610182181182944E-5</v>
      </c>
      <c r="M211" s="177">
        <v>6.5652996845425867E-5</v>
      </c>
      <c r="N211" s="177">
        <v>6.562417871222077E-5</v>
      </c>
      <c r="O211" s="177">
        <v>6.5627945661214307E-5</v>
      </c>
      <c r="P211" s="177">
        <v>6.5638512539636787E-5</v>
      </c>
      <c r="Q211" s="177">
        <v>6.5626179987413481E-5</v>
      </c>
      <c r="R211" s="177">
        <v>6.5641547861507128E-5</v>
      </c>
      <c r="S211" s="177">
        <v>6.5657181571815714E-5</v>
      </c>
      <c r="T211" s="177">
        <v>6.5628378378378382E-5</v>
      </c>
      <c r="U211" s="177">
        <v>6.5629053177691313E-5</v>
      </c>
      <c r="V211" s="177">
        <v>6.5634551495016608E-5</v>
      </c>
      <c r="W211" s="177">
        <v>6.5653239929947468E-5</v>
      </c>
      <c r="X211" s="177">
        <v>6.5641025641025643E-5</v>
      </c>
      <c r="Y211" s="177">
        <v>6.5645161290322582E-5</v>
      </c>
      <c r="Z211" s="177">
        <v>6.5600354452813463E-5</v>
      </c>
      <c r="AA211" s="177">
        <v>6.5653883972468049E-5</v>
      </c>
      <c r="AB211" s="177">
        <v>6.565150740929996E-5</v>
      </c>
      <c r="AC211" s="177">
        <v>6.5636444841447078E-5</v>
      </c>
      <c r="AD211" s="177">
        <v>6.5647466435686465E-5</v>
      </c>
      <c r="AE211" s="177">
        <v>6.5625817706061929E-5</v>
      </c>
      <c r="AF211" s="177">
        <v>6.5625817706061929E-5</v>
      </c>
      <c r="AG211" s="177">
        <v>6.5625817706061929E-5</v>
      </c>
      <c r="AH211" s="177">
        <v>6.5625817706061929E-5</v>
      </c>
      <c r="AI211" s="177">
        <v>6.5625817706061929E-5</v>
      </c>
      <c r="AJ211" s="177">
        <v>6.5625817706061929E-5</v>
      </c>
      <c r="AK211" s="177">
        <v>6.5625817706061929E-5</v>
      </c>
      <c r="AL211" s="177">
        <v>6.5625817706061929E-5</v>
      </c>
      <c r="AM211" s="177">
        <v>6.5625817706061929E-5</v>
      </c>
      <c r="AN211" s="177">
        <v>6.5625817706061929E-5</v>
      </c>
      <c r="AO211" s="177">
        <v>6.5625817706061929E-5</v>
      </c>
      <c r="AP211" s="177">
        <v>6.5625817706061929E-5</v>
      </c>
      <c r="AQ211" s="177">
        <v>6.5625817706061929E-5</v>
      </c>
      <c r="AR211" s="177">
        <v>6.5625817706061929E-5</v>
      </c>
      <c r="AS211" s="196">
        <f t="shared" ref="AS211:BV211" si="158">AR211</f>
        <v>6.5625817706061929E-5</v>
      </c>
      <c r="AT211" s="196">
        <f t="shared" si="158"/>
        <v>6.5625817706061929E-5</v>
      </c>
      <c r="AU211" s="196">
        <f t="shared" si="158"/>
        <v>6.5625817706061929E-5</v>
      </c>
      <c r="AV211" s="196">
        <f t="shared" si="158"/>
        <v>6.5625817706061929E-5</v>
      </c>
      <c r="AW211" s="196">
        <f t="shared" si="158"/>
        <v>6.5625817706061929E-5</v>
      </c>
      <c r="AX211" s="196">
        <f t="shared" si="158"/>
        <v>6.5625817706061929E-5</v>
      </c>
      <c r="AY211" s="196">
        <f t="shared" si="158"/>
        <v>6.5625817706061929E-5</v>
      </c>
      <c r="AZ211" s="196">
        <f t="shared" si="158"/>
        <v>6.5625817706061929E-5</v>
      </c>
      <c r="BA211" s="196">
        <f t="shared" si="158"/>
        <v>6.5625817706061929E-5</v>
      </c>
      <c r="BB211" s="196">
        <f t="shared" si="158"/>
        <v>6.5625817706061929E-5</v>
      </c>
      <c r="BC211" s="196">
        <f t="shared" si="158"/>
        <v>6.5625817706061929E-5</v>
      </c>
      <c r="BD211" s="196">
        <f t="shared" si="158"/>
        <v>6.5625817706061929E-5</v>
      </c>
      <c r="BE211" s="196">
        <f t="shared" si="158"/>
        <v>6.5625817706061929E-5</v>
      </c>
      <c r="BF211" s="196">
        <f t="shared" si="158"/>
        <v>6.5625817706061929E-5</v>
      </c>
      <c r="BG211" s="196">
        <f t="shared" si="158"/>
        <v>6.5625817706061929E-5</v>
      </c>
      <c r="BH211" s="196">
        <f t="shared" si="158"/>
        <v>6.5625817706061929E-5</v>
      </c>
      <c r="BI211" s="196">
        <f t="shared" si="158"/>
        <v>6.5625817706061929E-5</v>
      </c>
      <c r="BJ211" s="196">
        <f t="shared" si="158"/>
        <v>6.5625817706061929E-5</v>
      </c>
      <c r="BK211" s="196">
        <f t="shared" si="158"/>
        <v>6.5625817706061929E-5</v>
      </c>
      <c r="BL211" s="196">
        <f t="shared" si="158"/>
        <v>6.5625817706061929E-5</v>
      </c>
      <c r="BM211" s="196">
        <f t="shared" si="158"/>
        <v>6.5625817706061929E-5</v>
      </c>
      <c r="BN211" s="196">
        <f t="shared" si="158"/>
        <v>6.5625817706061929E-5</v>
      </c>
      <c r="BO211" s="196">
        <f t="shared" si="158"/>
        <v>6.5625817706061929E-5</v>
      </c>
      <c r="BP211" s="196">
        <f t="shared" si="158"/>
        <v>6.5625817706061929E-5</v>
      </c>
      <c r="BQ211" s="196">
        <f t="shared" si="158"/>
        <v>6.5625817706061929E-5</v>
      </c>
      <c r="BR211" s="196">
        <f t="shared" si="158"/>
        <v>6.5625817706061929E-5</v>
      </c>
      <c r="BS211" s="196">
        <f t="shared" si="158"/>
        <v>6.5625817706061929E-5</v>
      </c>
      <c r="BT211" s="196">
        <f t="shared" si="158"/>
        <v>6.5625817706061929E-5</v>
      </c>
      <c r="BU211" s="196">
        <f t="shared" si="158"/>
        <v>6.5625817706061929E-5</v>
      </c>
      <c r="BV211" s="196">
        <f t="shared" si="158"/>
        <v>6.5625817706061929E-5</v>
      </c>
    </row>
    <row r="212" spans="1:74" x14ac:dyDescent="0.25">
      <c r="A212" s="147" t="s">
        <v>180</v>
      </c>
      <c r="C212" s="142"/>
      <c r="D212" s="177">
        <v>7.9735869452466869E-7</v>
      </c>
      <c r="E212" s="177">
        <v>7.9735869452466869E-7</v>
      </c>
      <c r="F212" s="177">
        <v>7.9735869452466869E-7</v>
      </c>
      <c r="G212" s="177">
        <v>7.9735869452466869E-7</v>
      </c>
      <c r="H212" s="177">
        <v>7.9735869452466869E-7</v>
      </c>
      <c r="I212" s="177">
        <v>7.9735869452466869E-7</v>
      </c>
      <c r="J212" s="177">
        <v>7.9736067527791972E-7</v>
      </c>
      <c r="K212" s="177">
        <v>7.9735908983171374E-7</v>
      </c>
      <c r="L212" s="177">
        <v>7.9735948315643742E-7</v>
      </c>
      <c r="M212" s="177">
        <v>7.9736529727497939E-7</v>
      </c>
      <c r="N212" s="177">
        <v>7.9736249556157934E-7</v>
      </c>
      <c r="O212" s="177">
        <v>7.9736022959592476E-7</v>
      </c>
      <c r="P212" s="177">
        <v>7.7540003383703026E-7</v>
      </c>
      <c r="Q212" s="177">
        <v>7.7539967549540893E-7</v>
      </c>
      <c r="R212" s="177">
        <v>7.7540145501549478E-7</v>
      </c>
      <c r="S212" s="177">
        <v>7.7539724202773649E-7</v>
      </c>
      <c r="T212" s="177">
        <v>7.7539983891381881E-7</v>
      </c>
      <c r="U212" s="177">
        <v>7.7539779872985618E-7</v>
      </c>
      <c r="V212" s="177">
        <v>7.754002311984898E-7</v>
      </c>
      <c r="W212" s="177">
        <v>7.7539965408187943E-7</v>
      </c>
      <c r="X212" s="177">
        <v>7.7539739027283511E-7</v>
      </c>
      <c r="Y212" s="177">
        <v>7.7539611797730377E-7</v>
      </c>
      <c r="Z212" s="177">
        <v>7.7540234419950352E-7</v>
      </c>
      <c r="AA212" s="177">
        <v>7.7539772865841272E-7</v>
      </c>
      <c r="AB212" s="177">
        <v>7.7539938945356478E-7</v>
      </c>
      <c r="AC212" s="177">
        <v>7.7539752024383434E-7</v>
      </c>
      <c r="AD212" s="177">
        <v>7.7539727058422559E-7</v>
      </c>
      <c r="AE212" s="177">
        <v>7.7539874500078363E-7</v>
      </c>
      <c r="AF212" s="177">
        <v>7.7539874500078363E-7</v>
      </c>
      <c r="AG212" s="177">
        <v>7.7539874500078363E-7</v>
      </c>
      <c r="AH212" s="177">
        <v>7.7539874500078363E-7</v>
      </c>
      <c r="AI212" s="177">
        <v>7.7539874500078363E-7</v>
      </c>
      <c r="AJ212" s="177">
        <v>7.7539874500078363E-7</v>
      </c>
      <c r="AK212" s="177">
        <v>7.7539874500078363E-7</v>
      </c>
      <c r="AL212" s="177">
        <v>7.7539874500078363E-7</v>
      </c>
      <c r="AM212" s="177">
        <v>7.7539874500078363E-7</v>
      </c>
      <c r="AN212" s="177">
        <v>7.7539874500078363E-7</v>
      </c>
      <c r="AO212" s="177">
        <v>7.7539874500078363E-7</v>
      </c>
      <c r="AP212" s="177">
        <v>7.7539874500078363E-7</v>
      </c>
      <c r="AQ212" s="177">
        <v>7.7539874500078363E-7</v>
      </c>
      <c r="AR212" s="177">
        <v>7.7539874500078363E-7</v>
      </c>
      <c r="AS212" s="196">
        <f t="shared" ref="AS212:BV212" si="159">AR212</f>
        <v>7.7539874500078363E-7</v>
      </c>
      <c r="AT212" s="196">
        <f t="shared" si="159"/>
        <v>7.7539874500078363E-7</v>
      </c>
      <c r="AU212" s="196">
        <f t="shared" si="159"/>
        <v>7.7539874500078363E-7</v>
      </c>
      <c r="AV212" s="196">
        <f t="shared" si="159"/>
        <v>7.7539874500078363E-7</v>
      </c>
      <c r="AW212" s="196">
        <f t="shared" si="159"/>
        <v>7.7539874500078363E-7</v>
      </c>
      <c r="AX212" s="196">
        <f t="shared" si="159"/>
        <v>7.7539874500078363E-7</v>
      </c>
      <c r="AY212" s="196">
        <f t="shared" si="159"/>
        <v>7.7539874500078363E-7</v>
      </c>
      <c r="AZ212" s="196">
        <f t="shared" si="159"/>
        <v>7.7539874500078363E-7</v>
      </c>
      <c r="BA212" s="196">
        <f t="shared" si="159"/>
        <v>7.7539874500078363E-7</v>
      </c>
      <c r="BB212" s="196">
        <f t="shared" si="159"/>
        <v>7.7539874500078363E-7</v>
      </c>
      <c r="BC212" s="196">
        <f t="shared" si="159"/>
        <v>7.7539874500078363E-7</v>
      </c>
      <c r="BD212" s="196">
        <f t="shared" si="159"/>
        <v>7.7539874500078363E-7</v>
      </c>
      <c r="BE212" s="196">
        <f t="shared" si="159"/>
        <v>7.7539874500078363E-7</v>
      </c>
      <c r="BF212" s="196">
        <f t="shared" si="159"/>
        <v>7.7539874500078363E-7</v>
      </c>
      <c r="BG212" s="196">
        <f t="shared" si="159"/>
        <v>7.7539874500078363E-7</v>
      </c>
      <c r="BH212" s="196">
        <f t="shared" si="159"/>
        <v>7.7539874500078363E-7</v>
      </c>
      <c r="BI212" s="196">
        <f t="shared" si="159"/>
        <v>7.7539874500078363E-7</v>
      </c>
      <c r="BJ212" s="196">
        <f t="shared" si="159"/>
        <v>7.7539874500078363E-7</v>
      </c>
      <c r="BK212" s="196">
        <f t="shared" si="159"/>
        <v>7.7539874500078363E-7</v>
      </c>
      <c r="BL212" s="196">
        <f t="shared" si="159"/>
        <v>7.7539874500078363E-7</v>
      </c>
      <c r="BM212" s="196">
        <f t="shared" si="159"/>
        <v>7.7539874500078363E-7</v>
      </c>
      <c r="BN212" s="196">
        <f t="shared" si="159"/>
        <v>7.7539874500078363E-7</v>
      </c>
      <c r="BO212" s="196">
        <f t="shared" si="159"/>
        <v>7.7539874500078363E-7</v>
      </c>
      <c r="BP212" s="196">
        <f t="shared" si="159"/>
        <v>7.7539874500078363E-7</v>
      </c>
      <c r="BQ212" s="196">
        <f t="shared" si="159"/>
        <v>7.7539874500078363E-7</v>
      </c>
      <c r="BR212" s="196">
        <f t="shared" si="159"/>
        <v>7.7539874500078363E-7</v>
      </c>
      <c r="BS212" s="196">
        <f t="shared" si="159"/>
        <v>7.7539874500078363E-7</v>
      </c>
      <c r="BT212" s="196">
        <f t="shared" si="159"/>
        <v>7.7539874500078363E-7</v>
      </c>
      <c r="BU212" s="196">
        <f t="shared" si="159"/>
        <v>7.7539874500078363E-7</v>
      </c>
      <c r="BV212" s="196">
        <f t="shared" si="159"/>
        <v>7.7539874500078363E-7</v>
      </c>
    </row>
    <row r="213" spans="1:74" x14ac:dyDescent="0.25">
      <c r="A213" s="141" t="s">
        <v>181</v>
      </c>
      <c r="B213" s="142"/>
      <c r="C213" s="142"/>
      <c r="D213" s="177">
        <v>3.9913102253513877E-6</v>
      </c>
      <c r="E213" s="177">
        <v>3.9913102253513877E-6</v>
      </c>
      <c r="F213" s="177">
        <v>3.9913102253513877E-6</v>
      </c>
      <c r="G213" s="177">
        <v>3.9913102253513877E-6</v>
      </c>
      <c r="H213" s="177">
        <v>3.9913102253513877E-6</v>
      </c>
      <c r="I213" s="177">
        <v>3.9913102253513877E-6</v>
      </c>
      <c r="J213" s="177">
        <v>3.9913102253513877E-6</v>
      </c>
      <c r="K213" s="177">
        <v>3.9913102253513877E-6</v>
      </c>
      <c r="L213" s="177">
        <v>3.9913102253513877E-6</v>
      </c>
      <c r="M213" s="177">
        <v>3.9913102253513877E-6</v>
      </c>
      <c r="N213" s="177">
        <v>3.9913102253513877E-6</v>
      </c>
      <c r="O213" s="177">
        <v>3.9913102253513877E-6</v>
      </c>
      <c r="P213" s="177">
        <v>3.9913102253513877E-6</v>
      </c>
      <c r="Q213" s="177">
        <v>3.9913102253513877E-6</v>
      </c>
      <c r="R213" s="177">
        <v>3.9913102253513877E-6</v>
      </c>
      <c r="S213" s="177">
        <v>3.9913102253513877E-6</v>
      </c>
      <c r="T213" s="177">
        <v>3.9913102253513877E-6</v>
      </c>
      <c r="U213" s="177">
        <v>3.9913102253513877E-6</v>
      </c>
      <c r="V213" s="177">
        <v>3.9913102253513877E-6</v>
      </c>
      <c r="W213" s="177">
        <v>3.9913102253513877E-6</v>
      </c>
      <c r="X213" s="177">
        <v>3.9913102253513877E-6</v>
      </c>
      <c r="Y213" s="177">
        <v>3.9913102253513877E-6</v>
      </c>
      <c r="Z213" s="177">
        <v>3.9913102253513877E-6</v>
      </c>
      <c r="AA213" s="177">
        <v>3.9913102253513877E-6</v>
      </c>
      <c r="AB213" s="177">
        <v>3.9913102253513877E-6</v>
      </c>
      <c r="AC213" s="177">
        <v>3.9913102253513877E-6</v>
      </c>
      <c r="AD213" s="177">
        <v>3.9913102253513877E-6</v>
      </c>
      <c r="AE213" s="177">
        <v>3.9913102253513877E-6</v>
      </c>
      <c r="AF213" s="177">
        <v>3.9913102253513877E-6</v>
      </c>
      <c r="AG213" s="177">
        <v>3.9913102253513877E-6</v>
      </c>
      <c r="AH213" s="177">
        <v>3.9913102253513877E-6</v>
      </c>
      <c r="AI213" s="177">
        <v>3.9913102253513877E-6</v>
      </c>
      <c r="AJ213" s="177">
        <v>3.9913102253513877E-6</v>
      </c>
      <c r="AK213" s="177">
        <v>3.9913102253513877E-6</v>
      </c>
      <c r="AL213" s="177">
        <v>3.9913102253513877E-6</v>
      </c>
      <c r="AM213" s="177">
        <v>3.9913102253513877E-6</v>
      </c>
      <c r="AN213" s="177">
        <v>3.9913102253513877E-6</v>
      </c>
      <c r="AO213" s="177">
        <v>3.9913102253513877E-6</v>
      </c>
      <c r="AP213" s="177">
        <v>3.9913102253513877E-6</v>
      </c>
      <c r="AQ213" s="177">
        <v>3.9913102253513877E-6</v>
      </c>
      <c r="AR213" s="177">
        <v>3.9913102253513877E-6</v>
      </c>
      <c r="AS213" s="196">
        <f t="shared" ref="AS213:BV213" si="160">AR213</f>
        <v>3.9913102253513877E-6</v>
      </c>
      <c r="AT213" s="196">
        <f t="shared" si="160"/>
        <v>3.9913102253513877E-6</v>
      </c>
      <c r="AU213" s="196">
        <f t="shared" si="160"/>
        <v>3.9913102253513877E-6</v>
      </c>
      <c r="AV213" s="196">
        <f t="shared" si="160"/>
        <v>3.9913102253513877E-6</v>
      </c>
      <c r="AW213" s="196">
        <f t="shared" si="160"/>
        <v>3.9913102253513877E-6</v>
      </c>
      <c r="AX213" s="196">
        <f t="shared" si="160"/>
        <v>3.9913102253513877E-6</v>
      </c>
      <c r="AY213" s="196">
        <f t="shared" si="160"/>
        <v>3.9913102253513877E-6</v>
      </c>
      <c r="AZ213" s="196">
        <f t="shared" si="160"/>
        <v>3.9913102253513877E-6</v>
      </c>
      <c r="BA213" s="196">
        <f t="shared" si="160"/>
        <v>3.9913102253513877E-6</v>
      </c>
      <c r="BB213" s="196">
        <f t="shared" si="160"/>
        <v>3.9913102253513877E-6</v>
      </c>
      <c r="BC213" s="196">
        <f t="shared" si="160"/>
        <v>3.9913102253513877E-6</v>
      </c>
      <c r="BD213" s="196">
        <f t="shared" si="160"/>
        <v>3.9913102253513877E-6</v>
      </c>
      <c r="BE213" s="196">
        <f t="shared" si="160"/>
        <v>3.9913102253513877E-6</v>
      </c>
      <c r="BF213" s="196">
        <f t="shared" si="160"/>
        <v>3.9913102253513877E-6</v>
      </c>
      <c r="BG213" s="196">
        <f t="shared" si="160"/>
        <v>3.9913102253513877E-6</v>
      </c>
      <c r="BH213" s="196">
        <f t="shared" si="160"/>
        <v>3.9913102253513877E-6</v>
      </c>
      <c r="BI213" s="196">
        <f t="shared" si="160"/>
        <v>3.9913102253513877E-6</v>
      </c>
      <c r="BJ213" s="196">
        <f t="shared" si="160"/>
        <v>3.9913102253513877E-6</v>
      </c>
      <c r="BK213" s="196">
        <f t="shared" si="160"/>
        <v>3.9913102253513877E-6</v>
      </c>
      <c r="BL213" s="196">
        <f t="shared" si="160"/>
        <v>3.9913102253513877E-6</v>
      </c>
      <c r="BM213" s="196">
        <f t="shared" si="160"/>
        <v>3.9913102253513877E-6</v>
      </c>
      <c r="BN213" s="196">
        <f t="shared" si="160"/>
        <v>3.9913102253513877E-6</v>
      </c>
      <c r="BO213" s="196">
        <f t="shared" si="160"/>
        <v>3.9913102253513877E-6</v>
      </c>
      <c r="BP213" s="196">
        <f t="shared" si="160"/>
        <v>3.9913102253513877E-6</v>
      </c>
      <c r="BQ213" s="196">
        <f t="shared" si="160"/>
        <v>3.9913102253513877E-6</v>
      </c>
      <c r="BR213" s="196">
        <f t="shared" si="160"/>
        <v>3.9913102253513877E-6</v>
      </c>
      <c r="BS213" s="196">
        <f t="shared" si="160"/>
        <v>3.9913102253513877E-6</v>
      </c>
      <c r="BT213" s="196">
        <f t="shared" si="160"/>
        <v>3.9913102253513877E-6</v>
      </c>
      <c r="BU213" s="196">
        <f t="shared" si="160"/>
        <v>3.9913102253513877E-6</v>
      </c>
      <c r="BV213" s="196">
        <f t="shared" si="160"/>
        <v>3.9913102253513877E-6</v>
      </c>
    </row>
    <row r="214" spans="1:74" x14ac:dyDescent="0.25">
      <c r="A214" s="141" t="s">
        <v>183</v>
      </c>
      <c r="B214" s="142"/>
      <c r="C214" s="142"/>
      <c r="D214" s="177">
        <v>8.4387967654903379E-7</v>
      </c>
      <c r="E214" s="177">
        <v>8.4387967654903379E-7</v>
      </c>
      <c r="F214" s="177">
        <v>8.4387967654903379E-7</v>
      </c>
      <c r="G214" s="177">
        <v>8.4387967654903379E-7</v>
      </c>
      <c r="H214" s="177">
        <v>8.4387967654903379E-7</v>
      </c>
      <c r="I214" s="177">
        <v>8.4387967654903379E-7</v>
      </c>
      <c r="J214" s="177">
        <v>8.4387967654903379E-7</v>
      </c>
      <c r="K214" s="177">
        <v>8.4387967654903379E-7</v>
      </c>
      <c r="L214" s="177">
        <v>8.4387967654903379E-7</v>
      </c>
      <c r="M214" s="177">
        <v>8.4387967654903379E-7</v>
      </c>
      <c r="N214" s="177">
        <v>8.4387967654903379E-7</v>
      </c>
      <c r="O214" s="177">
        <v>8.4387967654903379E-7</v>
      </c>
      <c r="P214" s="177">
        <v>8.4387967654903379E-7</v>
      </c>
      <c r="Q214" s="177">
        <v>8.4387967654903379E-7</v>
      </c>
      <c r="R214" s="177">
        <v>8.4387967654903379E-7</v>
      </c>
      <c r="S214" s="177">
        <v>8.4387967654903379E-7</v>
      </c>
      <c r="T214" s="177">
        <v>8.4387967654903379E-7</v>
      </c>
      <c r="U214" s="177">
        <v>8.4387967654903379E-7</v>
      </c>
      <c r="V214" s="177">
        <v>8.4387967654903379E-7</v>
      </c>
      <c r="W214" s="177">
        <v>8.4387967654903379E-7</v>
      </c>
      <c r="X214" s="177">
        <v>8.4387967654903379E-7</v>
      </c>
      <c r="Y214" s="177">
        <v>8.4387967654903379E-7</v>
      </c>
      <c r="Z214" s="177">
        <v>8.438841883132077E-7</v>
      </c>
      <c r="AA214" s="177">
        <v>8.438841883132077E-7</v>
      </c>
      <c r="AB214" s="177">
        <v>8.438841883132077E-7</v>
      </c>
      <c r="AC214" s="177">
        <v>8.438841883132077E-7</v>
      </c>
      <c r="AD214" s="177">
        <v>8.4386515964682317E-7</v>
      </c>
      <c r="AE214" s="177">
        <v>8.4386515964682317E-7</v>
      </c>
      <c r="AF214" s="177">
        <v>8.4386515964682317E-7</v>
      </c>
      <c r="AG214" s="177">
        <v>8.4386515964682317E-7</v>
      </c>
      <c r="AH214" s="177">
        <v>8.4386515964682317E-7</v>
      </c>
      <c r="AI214" s="177">
        <v>8.4386515964682317E-7</v>
      </c>
      <c r="AJ214" s="177">
        <v>8.4386515964682317E-7</v>
      </c>
      <c r="AK214" s="177">
        <v>8.4386515964682317E-7</v>
      </c>
      <c r="AL214" s="177">
        <v>8.4386515964682317E-7</v>
      </c>
      <c r="AM214" s="177">
        <v>8.4386515964682317E-7</v>
      </c>
      <c r="AN214" s="177">
        <v>8.4386515964682317E-7</v>
      </c>
      <c r="AO214" s="177">
        <v>8.4386515964682317E-7</v>
      </c>
      <c r="AP214" s="177">
        <v>8.4386515964682317E-7</v>
      </c>
      <c r="AQ214" s="177">
        <v>8.4386515964682317E-7</v>
      </c>
      <c r="AR214" s="177">
        <v>8.4386515964682317E-7</v>
      </c>
      <c r="AS214" s="196">
        <f t="shared" ref="AS214:BV214" si="161">AR214</f>
        <v>8.4386515964682317E-7</v>
      </c>
      <c r="AT214" s="196">
        <f t="shared" si="161"/>
        <v>8.4386515964682317E-7</v>
      </c>
      <c r="AU214" s="196">
        <f t="shared" si="161"/>
        <v>8.4386515964682317E-7</v>
      </c>
      <c r="AV214" s="196">
        <f t="shared" si="161"/>
        <v>8.4386515964682317E-7</v>
      </c>
      <c r="AW214" s="196">
        <f t="shared" si="161"/>
        <v>8.4386515964682317E-7</v>
      </c>
      <c r="AX214" s="196">
        <f t="shared" si="161"/>
        <v>8.4386515964682317E-7</v>
      </c>
      <c r="AY214" s="196">
        <f t="shared" si="161"/>
        <v>8.4386515964682317E-7</v>
      </c>
      <c r="AZ214" s="196">
        <f t="shared" si="161"/>
        <v>8.4386515964682317E-7</v>
      </c>
      <c r="BA214" s="196">
        <f t="shared" si="161"/>
        <v>8.4386515964682317E-7</v>
      </c>
      <c r="BB214" s="196">
        <f t="shared" si="161"/>
        <v>8.4386515964682317E-7</v>
      </c>
      <c r="BC214" s="196">
        <f t="shared" si="161"/>
        <v>8.4386515964682317E-7</v>
      </c>
      <c r="BD214" s="196">
        <f t="shared" si="161"/>
        <v>8.4386515964682317E-7</v>
      </c>
      <c r="BE214" s="196">
        <f t="shared" si="161"/>
        <v>8.4386515964682317E-7</v>
      </c>
      <c r="BF214" s="196">
        <f t="shared" si="161"/>
        <v>8.4386515964682317E-7</v>
      </c>
      <c r="BG214" s="196">
        <f t="shared" si="161"/>
        <v>8.4386515964682317E-7</v>
      </c>
      <c r="BH214" s="196">
        <f t="shared" si="161"/>
        <v>8.4386515964682317E-7</v>
      </c>
      <c r="BI214" s="196">
        <f t="shared" si="161"/>
        <v>8.4386515964682317E-7</v>
      </c>
      <c r="BJ214" s="196">
        <f t="shared" si="161"/>
        <v>8.4386515964682317E-7</v>
      </c>
      <c r="BK214" s="196">
        <f t="shared" si="161"/>
        <v>8.4386515964682317E-7</v>
      </c>
      <c r="BL214" s="196">
        <f t="shared" si="161"/>
        <v>8.4386515964682317E-7</v>
      </c>
      <c r="BM214" s="196">
        <f t="shared" si="161"/>
        <v>8.4386515964682317E-7</v>
      </c>
      <c r="BN214" s="196">
        <f t="shared" si="161"/>
        <v>8.4386515964682317E-7</v>
      </c>
      <c r="BO214" s="196">
        <f t="shared" si="161"/>
        <v>8.4386515964682317E-7</v>
      </c>
      <c r="BP214" s="196">
        <f t="shared" si="161"/>
        <v>8.4386515964682317E-7</v>
      </c>
      <c r="BQ214" s="196">
        <f t="shared" si="161"/>
        <v>8.4386515964682317E-7</v>
      </c>
      <c r="BR214" s="196">
        <f t="shared" si="161"/>
        <v>8.4386515964682317E-7</v>
      </c>
      <c r="BS214" s="196">
        <f t="shared" si="161"/>
        <v>8.4386515964682317E-7</v>
      </c>
      <c r="BT214" s="196">
        <f t="shared" si="161"/>
        <v>8.4386515964682317E-7</v>
      </c>
      <c r="BU214" s="196">
        <f t="shared" si="161"/>
        <v>8.4386515964682317E-7</v>
      </c>
      <c r="BV214" s="196">
        <f t="shared" si="161"/>
        <v>8.4386515964682317E-7</v>
      </c>
    </row>
    <row r="215" spans="1:74" x14ac:dyDescent="0.25">
      <c r="A215" s="147" t="s">
        <v>184</v>
      </c>
      <c r="C215" s="142"/>
      <c r="D215" s="177">
        <v>1.085624930902336E-6</v>
      </c>
      <c r="E215" s="177">
        <v>1.0840373805429888E-6</v>
      </c>
      <c r="F215" s="177">
        <v>1.0824544664735791E-6</v>
      </c>
      <c r="G215" s="177">
        <v>1.0808761684139539E-6</v>
      </c>
      <c r="H215" s="177">
        <v>1.079302466202068E-6</v>
      </c>
      <c r="I215" s="177">
        <v>1.0777333397931252E-6</v>
      </c>
      <c r="J215" s="177">
        <v>1.1050505780346821E-6</v>
      </c>
      <c r="K215" s="177">
        <v>1.1180716589861751E-6</v>
      </c>
      <c r="L215" s="177">
        <v>1.0737252012243509E-6</v>
      </c>
      <c r="M215" s="177">
        <v>1.0891603925786501E-6</v>
      </c>
      <c r="N215" s="177">
        <v>1.099660992763225E-6</v>
      </c>
      <c r="O215" s="177">
        <v>1.097834536662813E-6</v>
      </c>
      <c r="P215" s="177">
        <v>1.1001501306039834E-6</v>
      </c>
      <c r="Q215" s="177">
        <v>1.1257189355240153E-6</v>
      </c>
      <c r="R215" s="177">
        <v>1.1347875921419111E-6</v>
      </c>
      <c r="S215" s="177">
        <v>1.150968508982634E-6</v>
      </c>
      <c r="T215" s="177">
        <v>1.1555574852369488E-6</v>
      </c>
      <c r="U215" s="177">
        <v>1.1750414394980755E-6</v>
      </c>
      <c r="V215" s="177">
        <v>1.1608481726434009E-6</v>
      </c>
      <c r="W215" s="177">
        <v>1.1196945381425979E-6</v>
      </c>
      <c r="X215" s="177">
        <v>1.1199747470652502E-6</v>
      </c>
      <c r="Y215" s="177">
        <v>1.1464104649860592E-6</v>
      </c>
      <c r="Z215" s="177">
        <v>1.1252827557020538E-6</v>
      </c>
      <c r="AA215" s="177">
        <v>1.1104431817708095E-6</v>
      </c>
      <c r="AB215" s="177">
        <v>1.1120400553729264E-6</v>
      </c>
      <c r="AC215" s="177">
        <v>1.1089293529824441E-6</v>
      </c>
      <c r="AD215" s="177">
        <v>1.1044288227366507E-6</v>
      </c>
      <c r="AE215" s="177">
        <v>1.1200870687822775E-6</v>
      </c>
      <c r="AF215" s="177">
        <v>1.1200870687822775E-6</v>
      </c>
      <c r="AG215" s="177">
        <v>1.1200870687822775E-6</v>
      </c>
      <c r="AH215" s="177">
        <v>1.1200870687822775E-6</v>
      </c>
      <c r="AI215" s="177">
        <v>1.1200870687822775E-6</v>
      </c>
      <c r="AJ215" s="177">
        <v>1.1200870687822775E-6</v>
      </c>
      <c r="AK215" s="177">
        <v>1.1200870687822775E-6</v>
      </c>
      <c r="AL215" s="177">
        <v>1.1200870687822775E-6</v>
      </c>
      <c r="AM215" s="177">
        <v>1.1200870687822775E-6</v>
      </c>
      <c r="AN215" s="177">
        <v>1.1200870687822775E-6</v>
      </c>
      <c r="AO215" s="177">
        <v>1.1200870687822775E-6</v>
      </c>
      <c r="AP215" s="177">
        <v>1.1200870687822775E-6</v>
      </c>
      <c r="AQ215" s="177">
        <v>1.1200870687822775E-6</v>
      </c>
      <c r="AR215" s="177">
        <v>1.1200870687822775E-6</v>
      </c>
      <c r="AS215" s="196">
        <f t="shared" ref="AS215:BV215" si="162">AR215</f>
        <v>1.1200870687822775E-6</v>
      </c>
      <c r="AT215" s="196">
        <f t="shared" si="162"/>
        <v>1.1200870687822775E-6</v>
      </c>
      <c r="AU215" s="196">
        <f t="shared" si="162"/>
        <v>1.1200870687822775E-6</v>
      </c>
      <c r="AV215" s="196">
        <f t="shared" si="162"/>
        <v>1.1200870687822775E-6</v>
      </c>
      <c r="AW215" s="196">
        <f t="shared" si="162"/>
        <v>1.1200870687822775E-6</v>
      </c>
      <c r="AX215" s="196">
        <f t="shared" si="162"/>
        <v>1.1200870687822775E-6</v>
      </c>
      <c r="AY215" s="196">
        <f t="shared" si="162"/>
        <v>1.1200870687822775E-6</v>
      </c>
      <c r="AZ215" s="196">
        <f t="shared" si="162"/>
        <v>1.1200870687822775E-6</v>
      </c>
      <c r="BA215" s="196">
        <f t="shared" si="162"/>
        <v>1.1200870687822775E-6</v>
      </c>
      <c r="BB215" s="196">
        <f t="shared" si="162"/>
        <v>1.1200870687822775E-6</v>
      </c>
      <c r="BC215" s="196">
        <f t="shared" si="162"/>
        <v>1.1200870687822775E-6</v>
      </c>
      <c r="BD215" s="196">
        <f t="shared" si="162"/>
        <v>1.1200870687822775E-6</v>
      </c>
      <c r="BE215" s="196">
        <f t="shared" si="162"/>
        <v>1.1200870687822775E-6</v>
      </c>
      <c r="BF215" s="196">
        <f t="shared" si="162"/>
        <v>1.1200870687822775E-6</v>
      </c>
      <c r="BG215" s="196">
        <f t="shared" si="162"/>
        <v>1.1200870687822775E-6</v>
      </c>
      <c r="BH215" s="196">
        <f t="shared" si="162"/>
        <v>1.1200870687822775E-6</v>
      </c>
      <c r="BI215" s="196">
        <f t="shared" si="162"/>
        <v>1.1200870687822775E-6</v>
      </c>
      <c r="BJ215" s="196">
        <f t="shared" si="162"/>
        <v>1.1200870687822775E-6</v>
      </c>
      <c r="BK215" s="196">
        <f t="shared" si="162"/>
        <v>1.1200870687822775E-6</v>
      </c>
      <c r="BL215" s="196">
        <f t="shared" si="162"/>
        <v>1.1200870687822775E-6</v>
      </c>
      <c r="BM215" s="196">
        <f t="shared" si="162"/>
        <v>1.1200870687822775E-6</v>
      </c>
      <c r="BN215" s="196">
        <f t="shared" si="162"/>
        <v>1.1200870687822775E-6</v>
      </c>
      <c r="BO215" s="196">
        <f t="shared" si="162"/>
        <v>1.1200870687822775E-6</v>
      </c>
      <c r="BP215" s="196">
        <f t="shared" si="162"/>
        <v>1.1200870687822775E-6</v>
      </c>
      <c r="BQ215" s="196">
        <f t="shared" si="162"/>
        <v>1.1200870687822775E-6</v>
      </c>
      <c r="BR215" s="196">
        <f t="shared" si="162"/>
        <v>1.1200870687822775E-6</v>
      </c>
      <c r="BS215" s="196">
        <f t="shared" si="162"/>
        <v>1.1200870687822775E-6</v>
      </c>
      <c r="BT215" s="196">
        <f t="shared" si="162"/>
        <v>1.1200870687822775E-6</v>
      </c>
      <c r="BU215" s="196">
        <f t="shared" si="162"/>
        <v>1.1200870687822775E-6</v>
      </c>
      <c r="BV215" s="196">
        <f t="shared" si="162"/>
        <v>1.1200870687822775E-6</v>
      </c>
    </row>
    <row r="216" spans="1:74" x14ac:dyDescent="0.25">
      <c r="A216" s="147" t="s">
        <v>186</v>
      </c>
      <c r="C216" s="142"/>
      <c r="D216" s="177">
        <v>1.0405827312884424E-6</v>
      </c>
      <c r="E216" s="177">
        <v>1.0405827331267627E-6</v>
      </c>
      <c r="F216" s="177">
        <v>1.040582734965083E-6</v>
      </c>
      <c r="G216" s="177">
        <v>1.0405827368034032E-6</v>
      </c>
      <c r="H216" s="177">
        <v>1.0405827386417235E-6</v>
      </c>
      <c r="I216" s="177">
        <v>1.0405827404800438E-6</v>
      </c>
      <c r="J216" s="177">
        <v>1.0405827296457999E-6</v>
      </c>
      <c r="K216" s="177">
        <v>1.0405827301649246E-6</v>
      </c>
      <c r="L216" s="177">
        <v>1.0405827283051712E-6</v>
      </c>
      <c r="M216" s="177">
        <v>1.0405827219714836E-6</v>
      </c>
      <c r="N216" s="177">
        <v>1.0405827176744446E-6</v>
      </c>
      <c r="O216" s="177">
        <v>1.0405827279469411E-6</v>
      </c>
      <c r="P216" s="177">
        <v>1.0405827257690807E-6</v>
      </c>
      <c r="Q216" s="177">
        <v>1.0405827282446435E-6</v>
      </c>
      <c r="R216" s="177">
        <v>1.0405827298923233E-6</v>
      </c>
      <c r="S216" s="177">
        <v>1.0405827240857723E-6</v>
      </c>
      <c r="T216" s="177">
        <v>1.0405828421386253E-6</v>
      </c>
      <c r="U216" s="177">
        <v>1.0405828599512854E-6</v>
      </c>
      <c r="V216" s="177">
        <v>1.0405827907429522E-6</v>
      </c>
      <c r="W216" s="177">
        <v>1.0405826514025066E-6</v>
      </c>
      <c r="X216" s="177">
        <v>1.0405829049547356E-6</v>
      </c>
      <c r="Y216" s="177">
        <v>1.0405828434654549E-6</v>
      </c>
      <c r="Z216" s="177">
        <v>1.0405827597674191E-6</v>
      </c>
      <c r="AA216" s="177">
        <v>1.0405825415368488E-6</v>
      </c>
      <c r="AB216" s="177">
        <v>1.0405826394642279E-6</v>
      </c>
      <c r="AC216" s="177">
        <v>1.0405827574764618E-6</v>
      </c>
      <c r="AD216" s="177">
        <v>1.0405825582982004E-6</v>
      </c>
      <c r="AE216" s="177">
        <v>1.0405828135151244E-6</v>
      </c>
      <c r="AF216" s="177">
        <v>1.0405828135151244E-6</v>
      </c>
      <c r="AG216" s="177">
        <v>1.0405828135151244E-6</v>
      </c>
      <c r="AH216" s="177">
        <v>1.0405828135151244E-6</v>
      </c>
      <c r="AI216" s="177">
        <v>1.0405828135151244E-6</v>
      </c>
      <c r="AJ216" s="177">
        <v>1.0405828135151244E-6</v>
      </c>
      <c r="AK216" s="177">
        <v>1.0405828135151244E-6</v>
      </c>
      <c r="AL216" s="177">
        <v>1.0405828135151244E-6</v>
      </c>
      <c r="AM216" s="177">
        <v>1.0405828135151244E-6</v>
      </c>
      <c r="AN216" s="177">
        <v>1.0405828135151244E-6</v>
      </c>
      <c r="AO216" s="177">
        <v>1.0405828135151244E-6</v>
      </c>
      <c r="AP216" s="177">
        <v>1.0405828135151244E-6</v>
      </c>
      <c r="AQ216" s="177">
        <v>1.0405828135151244E-6</v>
      </c>
      <c r="AR216" s="177">
        <v>1.0405828135151244E-6</v>
      </c>
      <c r="AS216" s="196">
        <f t="shared" ref="AS216:BV216" si="163">AR216</f>
        <v>1.0405828135151244E-6</v>
      </c>
      <c r="AT216" s="196">
        <f t="shared" si="163"/>
        <v>1.0405828135151244E-6</v>
      </c>
      <c r="AU216" s="196">
        <f t="shared" si="163"/>
        <v>1.0405828135151244E-6</v>
      </c>
      <c r="AV216" s="196">
        <f t="shared" si="163"/>
        <v>1.0405828135151244E-6</v>
      </c>
      <c r="AW216" s="196">
        <f t="shared" si="163"/>
        <v>1.0405828135151244E-6</v>
      </c>
      <c r="AX216" s="196">
        <f t="shared" si="163"/>
        <v>1.0405828135151244E-6</v>
      </c>
      <c r="AY216" s="196">
        <f t="shared" si="163"/>
        <v>1.0405828135151244E-6</v>
      </c>
      <c r="AZ216" s="196">
        <f t="shared" si="163"/>
        <v>1.0405828135151244E-6</v>
      </c>
      <c r="BA216" s="196">
        <f t="shared" si="163"/>
        <v>1.0405828135151244E-6</v>
      </c>
      <c r="BB216" s="196">
        <f t="shared" si="163"/>
        <v>1.0405828135151244E-6</v>
      </c>
      <c r="BC216" s="196">
        <f t="shared" si="163"/>
        <v>1.0405828135151244E-6</v>
      </c>
      <c r="BD216" s="196">
        <f t="shared" si="163"/>
        <v>1.0405828135151244E-6</v>
      </c>
      <c r="BE216" s="196">
        <f t="shared" si="163"/>
        <v>1.0405828135151244E-6</v>
      </c>
      <c r="BF216" s="196">
        <f t="shared" si="163"/>
        <v>1.0405828135151244E-6</v>
      </c>
      <c r="BG216" s="196">
        <f t="shared" si="163"/>
        <v>1.0405828135151244E-6</v>
      </c>
      <c r="BH216" s="196">
        <f t="shared" si="163"/>
        <v>1.0405828135151244E-6</v>
      </c>
      <c r="BI216" s="196">
        <f t="shared" si="163"/>
        <v>1.0405828135151244E-6</v>
      </c>
      <c r="BJ216" s="196">
        <f t="shared" si="163"/>
        <v>1.0405828135151244E-6</v>
      </c>
      <c r="BK216" s="196">
        <f t="shared" si="163"/>
        <v>1.0405828135151244E-6</v>
      </c>
      <c r="BL216" s="196">
        <f t="shared" si="163"/>
        <v>1.0405828135151244E-6</v>
      </c>
      <c r="BM216" s="196">
        <f t="shared" si="163"/>
        <v>1.0405828135151244E-6</v>
      </c>
      <c r="BN216" s="196">
        <f t="shared" si="163"/>
        <v>1.0405828135151244E-6</v>
      </c>
      <c r="BO216" s="196">
        <f t="shared" si="163"/>
        <v>1.0405828135151244E-6</v>
      </c>
      <c r="BP216" s="196">
        <f t="shared" si="163"/>
        <v>1.0405828135151244E-6</v>
      </c>
      <c r="BQ216" s="196">
        <f t="shared" si="163"/>
        <v>1.0405828135151244E-6</v>
      </c>
      <c r="BR216" s="196">
        <f t="shared" si="163"/>
        <v>1.0405828135151244E-6</v>
      </c>
      <c r="BS216" s="196">
        <f t="shared" si="163"/>
        <v>1.0405828135151244E-6</v>
      </c>
      <c r="BT216" s="196">
        <f t="shared" si="163"/>
        <v>1.0405828135151244E-6</v>
      </c>
      <c r="BU216" s="196">
        <f t="shared" si="163"/>
        <v>1.0405828135151244E-6</v>
      </c>
      <c r="BV216" s="196">
        <f t="shared" si="163"/>
        <v>1.0405828135151244E-6</v>
      </c>
    </row>
    <row r="217" spans="1:74" x14ac:dyDescent="0.25">
      <c r="A217" s="141" t="s">
        <v>187</v>
      </c>
      <c r="B217" s="142"/>
      <c r="C217" s="142"/>
      <c r="D217" s="177">
        <v>2.6978417357471459E-6</v>
      </c>
      <c r="E217" s="177">
        <v>2.6978417389524566E-6</v>
      </c>
      <c r="F217" s="177">
        <v>2.6978417421577673E-6</v>
      </c>
      <c r="G217" s="177">
        <v>2.6978417453630777E-6</v>
      </c>
      <c r="H217" s="177">
        <v>2.6978417485683884E-6</v>
      </c>
      <c r="I217" s="177">
        <v>2.6978417517736996E-6</v>
      </c>
      <c r="J217" s="177">
        <v>2.6978416771201585E-6</v>
      </c>
      <c r="K217" s="177">
        <v>2.6978417006865027E-6</v>
      </c>
      <c r="L217" s="177">
        <v>2.5839792853072992E-6</v>
      </c>
      <c r="M217" s="177">
        <v>2.5889967163973347E-6</v>
      </c>
      <c r="N217" s="177">
        <v>2.5889967532216271E-6</v>
      </c>
      <c r="O217" s="177">
        <v>2.5889967567509678E-6</v>
      </c>
      <c r="P217" s="177">
        <v>2.5889967473666931E-6</v>
      </c>
      <c r="Q217" s="177">
        <v>2.5889967649113162E-6</v>
      </c>
      <c r="R217" s="177">
        <v>2.5889967529541222E-6</v>
      </c>
      <c r="S217" s="177">
        <v>2.5889967686127557E-6</v>
      </c>
      <c r="T217" s="177">
        <v>2.5889971681382565E-6</v>
      </c>
      <c r="U217" s="177">
        <v>2.5889975690344362E-6</v>
      </c>
      <c r="V217" s="177">
        <v>2.588997293722101E-6</v>
      </c>
      <c r="W217" s="177">
        <v>2.5889972199744079E-6</v>
      </c>
      <c r="X217" s="177">
        <v>2.5889975645349421E-6</v>
      </c>
      <c r="Y217" s="177">
        <v>2.5889969367003036E-6</v>
      </c>
      <c r="Z217" s="177">
        <v>2.5889973423615687E-6</v>
      </c>
      <c r="AA217" s="177">
        <v>2.5889961470582676E-6</v>
      </c>
      <c r="AB217" s="177">
        <v>2.5888323445489533E-6</v>
      </c>
      <c r="AC217" s="177">
        <v>2.5888319141025715E-6</v>
      </c>
      <c r="AD217" s="177">
        <v>2.5888327551652638E-6</v>
      </c>
      <c r="AE217" s="177">
        <v>2.5888327551652638E-6</v>
      </c>
      <c r="AF217" s="177">
        <v>2.5888327551652638E-6</v>
      </c>
      <c r="AG217" s="177">
        <v>2.5888327551652638E-6</v>
      </c>
      <c r="AH217" s="177">
        <v>2.5888327551652638E-6</v>
      </c>
      <c r="AI217" s="177">
        <v>2.5888327551652638E-6</v>
      </c>
      <c r="AJ217" s="177">
        <v>2.5888327551652638E-6</v>
      </c>
      <c r="AK217" s="177">
        <v>2.5888327551652638E-6</v>
      </c>
      <c r="AL217" s="177">
        <v>2.5888327551652638E-6</v>
      </c>
      <c r="AM217" s="177">
        <v>2.5888327551652638E-6</v>
      </c>
      <c r="AN217" s="177">
        <v>2.5888327551652638E-6</v>
      </c>
      <c r="AO217" s="177">
        <v>2.5888327551652638E-6</v>
      </c>
      <c r="AP217" s="177">
        <v>2.5888327551652638E-6</v>
      </c>
      <c r="AQ217" s="177">
        <v>2.5888327551652638E-6</v>
      </c>
      <c r="AR217" s="177">
        <v>2.5888327551652638E-6</v>
      </c>
      <c r="AS217" s="196">
        <f t="shared" ref="AS217:BV217" si="164">AR217</f>
        <v>2.5888327551652638E-6</v>
      </c>
      <c r="AT217" s="196">
        <f t="shared" si="164"/>
        <v>2.5888327551652638E-6</v>
      </c>
      <c r="AU217" s="196">
        <f t="shared" si="164"/>
        <v>2.5888327551652638E-6</v>
      </c>
      <c r="AV217" s="196">
        <f t="shared" si="164"/>
        <v>2.5888327551652638E-6</v>
      </c>
      <c r="AW217" s="196">
        <f t="shared" si="164"/>
        <v>2.5888327551652638E-6</v>
      </c>
      <c r="AX217" s="196">
        <f t="shared" si="164"/>
        <v>2.5888327551652638E-6</v>
      </c>
      <c r="AY217" s="196">
        <f t="shared" si="164"/>
        <v>2.5888327551652638E-6</v>
      </c>
      <c r="AZ217" s="196">
        <f t="shared" si="164"/>
        <v>2.5888327551652638E-6</v>
      </c>
      <c r="BA217" s="196">
        <f t="shared" si="164"/>
        <v>2.5888327551652638E-6</v>
      </c>
      <c r="BB217" s="196">
        <f t="shared" si="164"/>
        <v>2.5888327551652638E-6</v>
      </c>
      <c r="BC217" s="196">
        <f t="shared" si="164"/>
        <v>2.5888327551652638E-6</v>
      </c>
      <c r="BD217" s="196">
        <f t="shared" si="164"/>
        <v>2.5888327551652638E-6</v>
      </c>
      <c r="BE217" s="196">
        <f t="shared" si="164"/>
        <v>2.5888327551652638E-6</v>
      </c>
      <c r="BF217" s="196">
        <f t="shared" si="164"/>
        <v>2.5888327551652638E-6</v>
      </c>
      <c r="BG217" s="196">
        <f t="shared" si="164"/>
        <v>2.5888327551652638E-6</v>
      </c>
      <c r="BH217" s="196">
        <f t="shared" si="164"/>
        <v>2.5888327551652638E-6</v>
      </c>
      <c r="BI217" s="196">
        <f t="shared" si="164"/>
        <v>2.5888327551652638E-6</v>
      </c>
      <c r="BJ217" s="196">
        <f t="shared" si="164"/>
        <v>2.5888327551652638E-6</v>
      </c>
      <c r="BK217" s="196">
        <f t="shared" si="164"/>
        <v>2.5888327551652638E-6</v>
      </c>
      <c r="BL217" s="196">
        <f t="shared" si="164"/>
        <v>2.5888327551652638E-6</v>
      </c>
      <c r="BM217" s="196">
        <f t="shared" si="164"/>
        <v>2.5888327551652638E-6</v>
      </c>
      <c r="BN217" s="196">
        <f t="shared" si="164"/>
        <v>2.5888327551652638E-6</v>
      </c>
      <c r="BO217" s="196">
        <f t="shared" si="164"/>
        <v>2.5888327551652638E-6</v>
      </c>
      <c r="BP217" s="196">
        <f t="shared" si="164"/>
        <v>2.5888327551652638E-6</v>
      </c>
      <c r="BQ217" s="196">
        <f t="shared" si="164"/>
        <v>2.5888327551652638E-6</v>
      </c>
      <c r="BR217" s="196">
        <f t="shared" si="164"/>
        <v>2.5888327551652638E-6</v>
      </c>
      <c r="BS217" s="196">
        <f t="shared" si="164"/>
        <v>2.5888327551652638E-6</v>
      </c>
      <c r="BT217" s="196">
        <f t="shared" si="164"/>
        <v>2.5888327551652638E-6</v>
      </c>
      <c r="BU217" s="196">
        <f t="shared" si="164"/>
        <v>2.5888327551652638E-6</v>
      </c>
      <c r="BV217" s="196">
        <f t="shared" si="164"/>
        <v>2.5888327551652638E-6</v>
      </c>
    </row>
    <row r="218" spans="1:74" x14ac:dyDescent="0.25">
      <c r="A218" s="147" t="s">
        <v>189</v>
      </c>
      <c r="C218" s="142"/>
      <c r="D218" s="177">
        <v>2.1493820526598605E-6</v>
      </c>
      <c r="E218" s="177">
        <v>2.1493820488965372E-6</v>
      </c>
      <c r="F218" s="177">
        <v>2.1493820451332142E-6</v>
      </c>
      <c r="G218" s="177">
        <v>2.1493820413698909E-6</v>
      </c>
      <c r="H218" s="177">
        <v>2.149382037606568E-6</v>
      </c>
      <c r="I218" s="177">
        <v>2.1493820338432438E-6</v>
      </c>
      <c r="J218" s="177">
        <v>2.1493820296324762E-6</v>
      </c>
      <c r="K218" s="177">
        <v>2.1493820477834131E-6</v>
      </c>
      <c r="L218" s="177">
        <v>2.0898641934852297E-6</v>
      </c>
      <c r="M218" s="177">
        <v>2.0898641370433379E-6</v>
      </c>
      <c r="N218" s="177">
        <v>2.0898641634532658E-6</v>
      </c>
      <c r="O218" s="177">
        <v>2.0898641835654765E-6</v>
      </c>
      <c r="P218" s="177">
        <v>2.0898641946689964E-6</v>
      </c>
      <c r="Q218" s="177">
        <v>2.0898641289945649E-6</v>
      </c>
      <c r="R218" s="177">
        <v>2.0898641529287141E-6</v>
      </c>
      <c r="S218" s="177">
        <v>2.0898641291059984E-6</v>
      </c>
      <c r="T218" s="177">
        <v>2.0898643326367556E-6</v>
      </c>
      <c r="U218" s="177">
        <v>2.0898636335884501E-6</v>
      </c>
      <c r="V218" s="177">
        <v>2.0898645865934891E-6</v>
      </c>
      <c r="W218" s="177">
        <v>2.0898650244234388E-6</v>
      </c>
      <c r="X218" s="177">
        <v>2.0898642570353919E-6</v>
      </c>
      <c r="Y218" s="177">
        <v>2.0898643118407691E-6</v>
      </c>
      <c r="Z218" s="177">
        <v>2.0898644292171934E-6</v>
      </c>
      <c r="AA218" s="177">
        <v>2.0898636624080604E-6</v>
      </c>
      <c r="AB218" s="177">
        <v>2.0898640039314725E-6</v>
      </c>
      <c r="AC218" s="177">
        <v>2.0898632313649071E-6</v>
      </c>
      <c r="AD218" s="177">
        <v>2.0898649009569112E-6</v>
      </c>
      <c r="AE218" s="177">
        <v>2.0898631426917697E-6</v>
      </c>
      <c r="AF218" s="177">
        <v>2.0898631426917697E-6</v>
      </c>
      <c r="AG218" s="177">
        <v>2.0898631426917697E-6</v>
      </c>
      <c r="AH218" s="177">
        <v>2.0898631426917697E-6</v>
      </c>
      <c r="AI218" s="177">
        <v>2.0898631426917697E-6</v>
      </c>
      <c r="AJ218" s="177">
        <v>2.0898631426917697E-6</v>
      </c>
      <c r="AK218" s="177">
        <v>2.0898631426917697E-6</v>
      </c>
      <c r="AL218" s="177">
        <v>2.0898631426917697E-6</v>
      </c>
      <c r="AM218" s="177">
        <v>2.0898631426917697E-6</v>
      </c>
      <c r="AN218" s="177">
        <v>2.0898631426917697E-6</v>
      </c>
      <c r="AO218" s="177">
        <v>2.0898631426917697E-6</v>
      </c>
      <c r="AP218" s="177">
        <v>2.0898631426917697E-6</v>
      </c>
      <c r="AQ218" s="177">
        <v>2.0898631426917697E-6</v>
      </c>
      <c r="AR218" s="177">
        <v>2.0898631426917697E-6</v>
      </c>
      <c r="AS218" s="196">
        <f t="shared" ref="AS218:BV218" si="165">AR218</f>
        <v>2.0898631426917697E-6</v>
      </c>
      <c r="AT218" s="196">
        <f t="shared" si="165"/>
        <v>2.0898631426917697E-6</v>
      </c>
      <c r="AU218" s="196">
        <f t="shared" si="165"/>
        <v>2.0898631426917697E-6</v>
      </c>
      <c r="AV218" s="196">
        <f t="shared" si="165"/>
        <v>2.0898631426917697E-6</v>
      </c>
      <c r="AW218" s="196">
        <f t="shared" si="165"/>
        <v>2.0898631426917697E-6</v>
      </c>
      <c r="AX218" s="196">
        <f t="shared" si="165"/>
        <v>2.0898631426917697E-6</v>
      </c>
      <c r="AY218" s="196">
        <f t="shared" si="165"/>
        <v>2.0898631426917697E-6</v>
      </c>
      <c r="AZ218" s="196">
        <f t="shared" si="165"/>
        <v>2.0898631426917697E-6</v>
      </c>
      <c r="BA218" s="196">
        <f t="shared" si="165"/>
        <v>2.0898631426917697E-6</v>
      </c>
      <c r="BB218" s="196">
        <f t="shared" si="165"/>
        <v>2.0898631426917697E-6</v>
      </c>
      <c r="BC218" s="196">
        <f t="shared" si="165"/>
        <v>2.0898631426917697E-6</v>
      </c>
      <c r="BD218" s="196">
        <f t="shared" si="165"/>
        <v>2.0898631426917697E-6</v>
      </c>
      <c r="BE218" s="196">
        <f t="shared" si="165"/>
        <v>2.0898631426917697E-6</v>
      </c>
      <c r="BF218" s="196">
        <f t="shared" si="165"/>
        <v>2.0898631426917697E-6</v>
      </c>
      <c r="BG218" s="196">
        <f t="shared" si="165"/>
        <v>2.0898631426917697E-6</v>
      </c>
      <c r="BH218" s="196">
        <f t="shared" si="165"/>
        <v>2.0898631426917697E-6</v>
      </c>
      <c r="BI218" s="196">
        <f t="shared" si="165"/>
        <v>2.0898631426917697E-6</v>
      </c>
      <c r="BJ218" s="196">
        <f t="shared" si="165"/>
        <v>2.0898631426917697E-6</v>
      </c>
      <c r="BK218" s="196">
        <f t="shared" si="165"/>
        <v>2.0898631426917697E-6</v>
      </c>
      <c r="BL218" s="196">
        <f t="shared" si="165"/>
        <v>2.0898631426917697E-6</v>
      </c>
      <c r="BM218" s="196">
        <f t="shared" si="165"/>
        <v>2.0898631426917697E-6</v>
      </c>
      <c r="BN218" s="196">
        <f t="shared" si="165"/>
        <v>2.0898631426917697E-6</v>
      </c>
      <c r="BO218" s="196">
        <f t="shared" si="165"/>
        <v>2.0898631426917697E-6</v>
      </c>
      <c r="BP218" s="196">
        <f t="shared" si="165"/>
        <v>2.0898631426917697E-6</v>
      </c>
      <c r="BQ218" s="196">
        <f t="shared" si="165"/>
        <v>2.0898631426917697E-6</v>
      </c>
      <c r="BR218" s="196">
        <f t="shared" si="165"/>
        <v>2.0898631426917697E-6</v>
      </c>
      <c r="BS218" s="196">
        <f t="shared" si="165"/>
        <v>2.0898631426917697E-6</v>
      </c>
      <c r="BT218" s="196">
        <f t="shared" si="165"/>
        <v>2.0898631426917697E-6</v>
      </c>
      <c r="BU218" s="196">
        <f t="shared" si="165"/>
        <v>2.0898631426917697E-6</v>
      </c>
      <c r="BV218" s="196">
        <f t="shared" si="165"/>
        <v>2.0898631426917697E-6</v>
      </c>
    </row>
    <row r="219" spans="1:74" x14ac:dyDescent="0.25">
      <c r="A219" s="147" t="s">
        <v>12</v>
      </c>
      <c r="C219" s="142"/>
      <c r="D219" s="177">
        <v>3.4384717330861912E-6</v>
      </c>
      <c r="E219" s="177">
        <v>3.4384717330861912E-6</v>
      </c>
      <c r="F219" s="177">
        <v>3.4384717330861912E-6</v>
      </c>
      <c r="G219" s="177">
        <v>3.4384717330861912E-6</v>
      </c>
      <c r="H219" s="177">
        <v>3.4384717330861912E-6</v>
      </c>
      <c r="I219" s="177">
        <v>3.4384717330861912E-6</v>
      </c>
      <c r="J219" s="177">
        <v>3.4384742981508849E-6</v>
      </c>
      <c r="K219" s="177">
        <v>3.4384693745413738E-6</v>
      </c>
      <c r="L219" s="177">
        <v>3.4384670958993689E-6</v>
      </c>
      <c r="M219" s="177">
        <v>3.4384656239920265E-6</v>
      </c>
      <c r="N219" s="177">
        <v>3.4384761216833145E-6</v>
      </c>
      <c r="O219" s="177">
        <v>3.4384636730050162E-6</v>
      </c>
      <c r="P219" s="177">
        <v>3.4725888755324284E-6</v>
      </c>
      <c r="Q219" s="177">
        <v>3.4725831005824543E-6</v>
      </c>
      <c r="R219" s="177">
        <v>3.4725850014726555E-6</v>
      </c>
      <c r="S219" s="177">
        <v>3.4725915205210271E-6</v>
      </c>
      <c r="T219" s="177">
        <v>3.472584614496642E-6</v>
      </c>
      <c r="U219" s="177">
        <v>3.4725834772963879E-6</v>
      </c>
      <c r="V219" s="177">
        <v>3.4725902248191619E-6</v>
      </c>
      <c r="W219" s="177">
        <v>3.4725871517734818E-6</v>
      </c>
      <c r="X219" s="177">
        <v>3.4725896738787727E-6</v>
      </c>
      <c r="Y219" s="177">
        <v>3.4725812736560547E-6</v>
      </c>
      <c r="Z219" s="177">
        <v>3.4725801521414435E-6</v>
      </c>
      <c r="AA219" s="177">
        <v>3.4725882617494942E-6</v>
      </c>
      <c r="AB219" s="177">
        <v>3.4725799904205121E-6</v>
      </c>
      <c r="AC219" s="177">
        <v>3.4725908919360926E-6</v>
      </c>
      <c r="AD219" s="177">
        <v>3.4725875362176499E-6</v>
      </c>
      <c r="AE219" s="177">
        <v>3.4725865492509613E-6</v>
      </c>
      <c r="AF219" s="177">
        <v>3.4725865492509613E-6</v>
      </c>
      <c r="AG219" s="177">
        <v>3.4725865492509613E-6</v>
      </c>
      <c r="AH219" s="177">
        <v>3.4725865492509613E-6</v>
      </c>
      <c r="AI219" s="177">
        <v>3.4725865492509613E-6</v>
      </c>
      <c r="AJ219" s="177">
        <v>3.4725865492509613E-6</v>
      </c>
      <c r="AK219" s="177">
        <v>3.4725865492509613E-6</v>
      </c>
      <c r="AL219" s="177">
        <v>3.4725865492509613E-6</v>
      </c>
      <c r="AM219" s="177">
        <v>3.4725865492509613E-6</v>
      </c>
      <c r="AN219" s="177">
        <v>3.4725865492509613E-6</v>
      </c>
      <c r="AO219" s="177">
        <v>3.4725865492509613E-6</v>
      </c>
      <c r="AP219" s="177">
        <v>3.4725865492509613E-6</v>
      </c>
      <c r="AQ219" s="177">
        <v>3.4725865492509613E-6</v>
      </c>
      <c r="AR219" s="177">
        <v>3.4725865492509613E-6</v>
      </c>
      <c r="AS219" s="196">
        <f t="shared" ref="AS219:BV219" si="166">AR219</f>
        <v>3.4725865492509613E-6</v>
      </c>
      <c r="AT219" s="196">
        <f t="shared" si="166"/>
        <v>3.4725865492509613E-6</v>
      </c>
      <c r="AU219" s="196">
        <f t="shared" si="166"/>
        <v>3.4725865492509613E-6</v>
      </c>
      <c r="AV219" s="196">
        <f t="shared" si="166"/>
        <v>3.4725865492509613E-6</v>
      </c>
      <c r="AW219" s="196">
        <f t="shared" si="166"/>
        <v>3.4725865492509613E-6</v>
      </c>
      <c r="AX219" s="196">
        <f t="shared" si="166"/>
        <v>3.4725865492509613E-6</v>
      </c>
      <c r="AY219" s="196">
        <f t="shared" si="166"/>
        <v>3.4725865492509613E-6</v>
      </c>
      <c r="AZ219" s="196">
        <f t="shared" si="166"/>
        <v>3.4725865492509613E-6</v>
      </c>
      <c r="BA219" s="196">
        <f t="shared" si="166"/>
        <v>3.4725865492509613E-6</v>
      </c>
      <c r="BB219" s="196">
        <f t="shared" si="166"/>
        <v>3.4725865492509613E-6</v>
      </c>
      <c r="BC219" s="196">
        <f t="shared" si="166"/>
        <v>3.4725865492509613E-6</v>
      </c>
      <c r="BD219" s="196">
        <f t="shared" si="166"/>
        <v>3.4725865492509613E-6</v>
      </c>
      <c r="BE219" s="196">
        <f t="shared" si="166"/>
        <v>3.4725865492509613E-6</v>
      </c>
      <c r="BF219" s="196">
        <f t="shared" si="166"/>
        <v>3.4725865492509613E-6</v>
      </c>
      <c r="BG219" s="196">
        <f t="shared" si="166"/>
        <v>3.4725865492509613E-6</v>
      </c>
      <c r="BH219" s="196">
        <f t="shared" si="166"/>
        <v>3.4725865492509613E-6</v>
      </c>
      <c r="BI219" s="196">
        <f t="shared" si="166"/>
        <v>3.4725865492509613E-6</v>
      </c>
      <c r="BJ219" s="196">
        <f t="shared" si="166"/>
        <v>3.4725865492509613E-6</v>
      </c>
      <c r="BK219" s="196">
        <f t="shared" si="166"/>
        <v>3.4725865492509613E-6</v>
      </c>
      <c r="BL219" s="196">
        <f t="shared" si="166"/>
        <v>3.4725865492509613E-6</v>
      </c>
      <c r="BM219" s="196">
        <f t="shared" si="166"/>
        <v>3.4725865492509613E-6</v>
      </c>
      <c r="BN219" s="196">
        <f t="shared" si="166"/>
        <v>3.4725865492509613E-6</v>
      </c>
      <c r="BO219" s="196">
        <f t="shared" si="166"/>
        <v>3.4725865492509613E-6</v>
      </c>
      <c r="BP219" s="196">
        <f t="shared" si="166"/>
        <v>3.4725865492509613E-6</v>
      </c>
      <c r="BQ219" s="196">
        <f t="shared" si="166"/>
        <v>3.4725865492509613E-6</v>
      </c>
      <c r="BR219" s="196">
        <f t="shared" si="166"/>
        <v>3.4725865492509613E-6</v>
      </c>
      <c r="BS219" s="196">
        <f t="shared" si="166"/>
        <v>3.4725865492509613E-6</v>
      </c>
      <c r="BT219" s="196">
        <f t="shared" si="166"/>
        <v>3.4725865492509613E-6</v>
      </c>
      <c r="BU219" s="196">
        <f t="shared" si="166"/>
        <v>3.4725865492509613E-6</v>
      </c>
      <c r="BV219" s="196">
        <f t="shared" si="166"/>
        <v>3.4725865492509613E-6</v>
      </c>
    </row>
    <row r="220" spans="1:74" x14ac:dyDescent="0.25">
      <c r="A220" s="147" t="s">
        <v>2</v>
      </c>
      <c r="C220" s="142"/>
      <c r="D220" s="177"/>
      <c r="E220" s="177"/>
      <c r="F220" s="177"/>
      <c r="G220" s="177"/>
      <c r="H220" s="177"/>
      <c r="I220" s="177"/>
      <c r="J220" s="177"/>
      <c r="K220" s="177"/>
      <c r="L220" s="177"/>
      <c r="M220" s="177"/>
      <c r="N220" s="177"/>
      <c r="O220" s="177"/>
      <c r="P220" s="177"/>
      <c r="Q220" s="177"/>
      <c r="R220" s="177"/>
      <c r="S220" s="177"/>
      <c r="T220" s="177"/>
      <c r="U220" s="177"/>
      <c r="V220" s="177"/>
      <c r="W220" s="177"/>
      <c r="X220" s="177"/>
      <c r="Y220" s="177"/>
      <c r="Z220" s="177"/>
      <c r="AA220" s="177"/>
      <c r="AB220" s="177"/>
      <c r="AC220" s="177"/>
      <c r="AD220" s="177"/>
      <c r="AE220" s="177"/>
      <c r="AF220" s="177"/>
      <c r="AG220" s="177"/>
      <c r="AH220" s="177"/>
      <c r="AI220" s="177"/>
      <c r="AJ220" s="177"/>
      <c r="AK220" s="177"/>
      <c r="AL220" s="177"/>
      <c r="AM220" s="177"/>
      <c r="AN220" s="177"/>
      <c r="AO220" s="177"/>
      <c r="AP220" s="177"/>
      <c r="AQ220" s="177"/>
      <c r="AR220" s="177"/>
      <c r="AS220" s="196">
        <f t="shared" ref="AS220:BV220" si="167">AR220</f>
        <v>0</v>
      </c>
      <c r="AT220" s="196">
        <f t="shared" si="167"/>
        <v>0</v>
      </c>
      <c r="AU220" s="196">
        <f t="shared" si="167"/>
        <v>0</v>
      </c>
      <c r="AV220" s="196">
        <f t="shared" si="167"/>
        <v>0</v>
      </c>
      <c r="AW220" s="196">
        <f t="shared" si="167"/>
        <v>0</v>
      </c>
      <c r="AX220" s="196">
        <f t="shared" si="167"/>
        <v>0</v>
      </c>
      <c r="AY220" s="196">
        <f t="shared" si="167"/>
        <v>0</v>
      </c>
      <c r="AZ220" s="196">
        <f t="shared" si="167"/>
        <v>0</v>
      </c>
      <c r="BA220" s="196">
        <f t="shared" si="167"/>
        <v>0</v>
      </c>
      <c r="BB220" s="196">
        <f t="shared" si="167"/>
        <v>0</v>
      </c>
      <c r="BC220" s="196">
        <f t="shared" si="167"/>
        <v>0</v>
      </c>
      <c r="BD220" s="196">
        <f t="shared" si="167"/>
        <v>0</v>
      </c>
      <c r="BE220" s="196">
        <f t="shared" si="167"/>
        <v>0</v>
      </c>
      <c r="BF220" s="196">
        <f t="shared" si="167"/>
        <v>0</v>
      </c>
      <c r="BG220" s="196">
        <f t="shared" si="167"/>
        <v>0</v>
      </c>
      <c r="BH220" s="196">
        <f t="shared" si="167"/>
        <v>0</v>
      </c>
      <c r="BI220" s="196">
        <f t="shared" si="167"/>
        <v>0</v>
      </c>
      <c r="BJ220" s="196">
        <f t="shared" si="167"/>
        <v>0</v>
      </c>
      <c r="BK220" s="196">
        <f t="shared" si="167"/>
        <v>0</v>
      </c>
      <c r="BL220" s="196">
        <f t="shared" si="167"/>
        <v>0</v>
      </c>
      <c r="BM220" s="196">
        <f t="shared" si="167"/>
        <v>0</v>
      </c>
      <c r="BN220" s="196">
        <f t="shared" si="167"/>
        <v>0</v>
      </c>
      <c r="BO220" s="196">
        <f t="shared" si="167"/>
        <v>0</v>
      </c>
      <c r="BP220" s="196">
        <f t="shared" si="167"/>
        <v>0</v>
      </c>
      <c r="BQ220" s="196">
        <f t="shared" si="167"/>
        <v>0</v>
      </c>
      <c r="BR220" s="196">
        <f t="shared" si="167"/>
        <v>0</v>
      </c>
      <c r="BS220" s="196">
        <f t="shared" si="167"/>
        <v>0</v>
      </c>
      <c r="BT220" s="196">
        <f t="shared" si="167"/>
        <v>0</v>
      </c>
      <c r="BU220" s="196">
        <f t="shared" si="167"/>
        <v>0</v>
      </c>
      <c r="BV220" s="196">
        <f t="shared" si="167"/>
        <v>0</v>
      </c>
    </row>
    <row r="221" spans="1:74" x14ac:dyDescent="0.25">
      <c r="A221" s="141" t="s">
        <v>192</v>
      </c>
      <c r="B221" s="148"/>
      <c r="C221" s="142"/>
      <c r="D221" s="177">
        <v>4.7002197368249499E-6</v>
      </c>
      <c r="E221" s="177">
        <v>4.7002197368249499E-6</v>
      </c>
      <c r="F221" s="177">
        <v>4.7002197368249499E-6</v>
      </c>
      <c r="G221" s="177">
        <v>4.7002197368249499E-6</v>
      </c>
      <c r="H221" s="177">
        <v>4.7002197368249499E-6</v>
      </c>
      <c r="I221" s="177">
        <v>4.7002197368249499E-6</v>
      </c>
      <c r="J221" s="177">
        <v>4.7002197368249499E-6</v>
      </c>
      <c r="K221" s="177">
        <v>4.7002197368249499E-6</v>
      </c>
      <c r="L221" s="177">
        <v>4.7002197368249499E-6</v>
      </c>
      <c r="M221" s="177">
        <v>4.7002197368249499E-6</v>
      </c>
      <c r="N221" s="177">
        <v>4.7002197368249499E-6</v>
      </c>
      <c r="O221" s="177">
        <v>4.7002197368249499E-6</v>
      </c>
      <c r="P221" s="177">
        <v>4.7002197368249499E-6</v>
      </c>
      <c r="Q221" s="177">
        <v>4.7002197368249499E-6</v>
      </c>
      <c r="R221" s="177">
        <v>4.7002197368249499E-6</v>
      </c>
      <c r="S221" s="177">
        <v>4.7002197368249499E-6</v>
      </c>
      <c r="T221" s="177">
        <v>4.7002197368249499E-6</v>
      </c>
      <c r="U221" s="177">
        <v>4.7002197368249499E-6</v>
      </c>
      <c r="V221" s="177">
        <v>4.7002197368249499E-6</v>
      </c>
      <c r="W221" s="177">
        <v>4.7002197368249499E-6</v>
      </c>
      <c r="X221" s="177">
        <v>4.7002197368249499E-6</v>
      </c>
      <c r="Y221" s="177">
        <v>4.7002197368249499E-6</v>
      </c>
      <c r="Z221" s="177">
        <v>4.7002197368249499E-6</v>
      </c>
      <c r="AA221" s="177">
        <v>4.7002197368249499E-6</v>
      </c>
      <c r="AB221" s="177">
        <v>4.7002197368249499E-6</v>
      </c>
      <c r="AC221" s="177">
        <v>4.7002197368249499E-6</v>
      </c>
      <c r="AD221" s="177">
        <v>4.7002197368249499E-6</v>
      </c>
      <c r="AE221" s="177">
        <v>4.7002197368249499E-6</v>
      </c>
      <c r="AF221" s="177">
        <v>4.7002197368249499E-6</v>
      </c>
      <c r="AG221" s="177">
        <v>4.7002197368249499E-6</v>
      </c>
      <c r="AH221" s="177">
        <v>4.7002197368249499E-6</v>
      </c>
      <c r="AI221" s="177">
        <v>4.7002197368249499E-6</v>
      </c>
      <c r="AJ221" s="177">
        <v>4.7002197368249499E-6</v>
      </c>
      <c r="AK221" s="177">
        <v>4.7002197368249499E-6</v>
      </c>
      <c r="AL221" s="177">
        <v>4.7002197368249499E-6</v>
      </c>
      <c r="AM221" s="177">
        <v>4.7002197368249499E-6</v>
      </c>
      <c r="AN221" s="177">
        <v>4.7002197368249499E-6</v>
      </c>
      <c r="AO221" s="177">
        <v>4.7002197368249499E-6</v>
      </c>
      <c r="AP221" s="177">
        <v>4.7002197368249499E-6</v>
      </c>
      <c r="AQ221" s="177">
        <v>4.7002197368249499E-6</v>
      </c>
      <c r="AR221" s="177">
        <v>4.7002197368249499E-6</v>
      </c>
      <c r="AS221" s="196">
        <f t="shared" ref="AS221:BV221" si="168">AR221</f>
        <v>4.7002197368249499E-6</v>
      </c>
      <c r="AT221" s="196">
        <f t="shared" si="168"/>
        <v>4.7002197368249499E-6</v>
      </c>
      <c r="AU221" s="196">
        <f t="shared" si="168"/>
        <v>4.7002197368249499E-6</v>
      </c>
      <c r="AV221" s="196">
        <f t="shared" si="168"/>
        <v>4.7002197368249499E-6</v>
      </c>
      <c r="AW221" s="196">
        <f t="shared" si="168"/>
        <v>4.7002197368249499E-6</v>
      </c>
      <c r="AX221" s="196">
        <f t="shared" si="168"/>
        <v>4.7002197368249499E-6</v>
      </c>
      <c r="AY221" s="196">
        <f t="shared" si="168"/>
        <v>4.7002197368249499E-6</v>
      </c>
      <c r="AZ221" s="196">
        <f t="shared" si="168"/>
        <v>4.7002197368249499E-6</v>
      </c>
      <c r="BA221" s="196">
        <f t="shared" si="168"/>
        <v>4.7002197368249499E-6</v>
      </c>
      <c r="BB221" s="196">
        <f t="shared" si="168"/>
        <v>4.7002197368249499E-6</v>
      </c>
      <c r="BC221" s="196">
        <f t="shared" si="168"/>
        <v>4.7002197368249499E-6</v>
      </c>
      <c r="BD221" s="196">
        <f t="shared" si="168"/>
        <v>4.7002197368249499E-6</v>
      </c>
      <c r="BE221" s="196">
        <f t="shared" si="168"/>
        <v>4.7002197368249499E-6</v>
      </c>
      <c r="BF221" s="196">
        <f t="shared" si="168"/>
        <v>4.7002197368249499E-6</v>
      </c>
      <c r="BG221" s="196">
        <f t="shared" si="168"/>
        <v>4.7002197368249499E-6</v>
      </c>
      <c r="BH221" s="196">
        <f t="shared" si="168"/>
        <v>4.7002197368249499E-6</v>
      </c>
      <c r="BI221" s="196">
        <f t="shared" si="168"/>
        <v>4.7002197368249499E-6</v>
      </c>
      <c r="BJ221" s="196">
        <f t="shared" si="168"/>
        <v>4.7002197368249499E-6</v>
      </c>
      <c r="BK221" s="196">
        <f t="shared" si="168"/>
        <v>4.7002197368249499E-6</v>
      </c>
      <c r="BL221" s="196">
        <f t="shared" si="168"/>
        <v>4.7002197368249499E-6</v>
      </c>
      <c r="BM221" s="196">
        <f t="shared" si="168"/>
        <v>4.7002197368249499E-6</v>
      </c>
      <c r="BN221" s="196">
        <f t="shared" si="168"/>
        <v>4.7002197368249499E-6</v>
      </c>
      <c r="BO221" s="196">
        <f t="shared" si="168"/>
        <v>4.7002197368249499E-6</v>
      </c>
      <c r="BP221" s="196">
        <f t="shared" si="168"/>
        <v>4.7002197368249499E-6</v>
      </c>
      <c r="BQ221" s="196">
        <f t="shared" si="168"/>
        <v>4.7002197368249499E-6</v>
      </c>
      <c r="BR221" s="196">
        <f t="shared" si="168"/>
        <v>4.7002197368249499E-6</v>
      </c>
      <c r="BS221" s="196">
        <f t="shared" si="168"/>
        <v>4.7002197368249499E-6</v>
      </c>
      <c r="BT221" s="196">
        <f t="shared" si="168"/>
        <v>4.7002197368249499E-6</v>
      </c>
      <c r="BU221" s="196">
        <f t="shared" si="168"/>
        <v>4.7002197368249499E-6</v>
      </c>
      <c r="BV221" s="196">
        <f t="shared" si="168"/>
        <v>4.7002197368249499E-6</v>
      </c>
    </row>
    <row r="222" spans="1:74" x14ac:dyDescent="0.25">
      <c r="A222" s="141" t="s">
        <v>193</v>
      </c>
      <c r="B222" s="148"/>
      <c r="C222" s="142"/>
      <c r="D222" s="177">
        <v>7.8121255546175339E-7</v>
      </c>
      <c r="E222" s="177">
        <v>7.8552599932377603E-7</v>
      </c>
      <c r="F222" s="177">
        <v>7.8983944318914021E-7</v>
      </c>
      <c r="G222" s="177">
        <v>7.9415288705784583E-7</v>
      </c>
      <c r="H222" s="177">
        <v>7.9846633092989289E-7</v>
      </c>
      <c r="I222" s="177">
        <v>8.0277977480528118E-7</v>
      </c>
      <c r="J222" s="177">
        <v>8.0421758803781983E-7</v>
      </c>
      <c r="K222" s="177">
        <v>8.0565540367559155E-7</v>
      </c>
      <c r="L222" s="177">
        <v>7.9247058823529418E-7</v>
      </c>
      <c r="M222" s="177">
        <v>7.9388235020978218E-7</v>
      </c>
      <c r="N222" s="177">
        <v>7.952941150204448E-7</v>
      </c>
      <c r="O222" s="177">
        <v>7.8682352713814762E-7</v>
      </c>
      <c r="P222" s="177">
        <v>7.7835293895449792E-7</v>
      </c>
      <c r="Q222" s="177">
        <v>7.6988235294117628E-7</v>
      </c>
      <c r="R222" s="177">
        <v>7.6141176470588203E-7</v>
      </c>
      <c r="S222" s="177">
        <v>7.5294117445097356E-7</v>
      </c>
      <c r="T222" s="177">
        <v>7.5294117456631351E-7</v>
      </c>
      <c r="U222" s="177">
        <v>7.5764706237625108E-7</v>
      </c>
      <c r="V222" s="177">
        <v>7.4352938549604349E-7</v>
      </c>
      <c r="W222" s="177">
        <v>7.5294109837812189E-7</v>
      </c>
      <c r="X222" s="177">
        <v>7.5529419656202649E-7</v>
      </c>
      <c r="Y222" s="177">
        <v>7.6705880963440799E-7</v>
      </c>
      <c r="Z222" s="177">
        <v>8.4534374376200815E-7</v>
      </c>
      <c r="AA222" s="177">
        <v>8.5920167265093158E-7</v>
      </c>
      <c r="AB222" s="177">
        <v>8.5920167265093158E-7</v>
      </c>
      <c r="AC222" s="177">
        <v>8.5920167265093158E-7</v>
      </c>
      <c r="AD222" s="177">
        <v>8.5920178120384003E-7</v>
      </c>
      <c r="AE222" s="177">
        <v>8.5920178120384003E-7</v>
      </c>
      <c r="AF222" s="177">
        <v>8.5920178120384003E-7</v>
      </c>
      <c r="AG222" s="177">
        <v>8.5920178120384003E-7</v>
      </c>
      <c r="AH222" s="177">
        <v>8.5920178120384003E-7</v>
      </c>
      <c r="AI222" s="177">
        <v>8.5920178120384003E-7</v>
      </c>
      <c r="AJ222" s="177">
        <v>8.5920178120384003E-7</v>
      </c>
      <c r="AK222" s="177">
        <v>8.5920178120384003E-7</v>
      </c>
      <c r="AL222" s="177">
        <v>8.5920178120384003E-7</v>
      </c>
      <c r="AM222" s="177">
        <v>8.5920178120384003E-7</v>
      </c>
      <c r="AN222" s="177">
        <v>8.5920178120384003E-7</v>
      </c>
      <c r="AO222" s="177">
        <v>8.5920178120384003E-7</v>
      </c>
      <c r="AP222" s="177">
        <v>8.5920178120384003E-7</v>
      </c>
      <c r="AQ222" s="177">
        <v>8.5920178120384003E-7</v>
      </c>
      <c r="AR222" s="177">
        <v>8.5920178120384003E-7</v>
      </c>
      <c r="AS222" s="196">
        <f t="shared" ref="AS222:BV222" si="169">AR222</f>
        <v>8.5920178120384003E-7</v>
      </c>
      <c r="AT222" s="196">
        <f t="shared" si="169"/>
        <v>8.5920178120384003E-7</v>
      </c>
      <c r="AU222" s="196">
        <f t="shared" si="169"/>
        <v>8.5920178120384003E-7</v>
      </c>
      <c r="AV222" s="196">
        <f t="shared" si="169"/>
        <v>8.5920178120384003E-7</v>
      </c>
      <c r="AW222" s="196">
        <f t="shared" si="169"/>
        <v>8.5920178120384003E-7</v>
      </c>
      <c r="AX222" s="196">
        <f t="shared" si="169"/>
        <v>8.5920178120384003E-7</v>
      </c>
      <c r="AY222" s="196">
        <f t="shared" si="169"/>
        <v>8.5920178120384003E-7</v>
      </c>
      <c r="AZ222" s="196">
        <f t="shared" si="169"/>
        <v>8.5920178120384003E-7</v>
      </c>
      <c r="BA222" s="196">
        <f t="shared" si="169"/>
        <v>8.5920178120384003E-7</v>
      </c>
      <c r="BB222" s="196">
        <f t="shared" si="169"/>
        <v>8.5920178120384003E-7</v>
      </c>
      <c r="BC222" s="196">
        <f t="shared" si="169"/>
        <v>8.5920178120384003E-7</v>
      </c>
      <c r="BD222" s="196">
        <f t="shared" si="169"/>
        <v>8.5920178120384003E-7</v>
      </c>
      <c r="BE222" s="196">
        <f t="shared" si="169"/>
        <v>8.5920178120384003E-7</v>
      </c>
      <c r="BF222" s="196">
        <f t="shared" si="169"/>
        <v>8.5920178120384003E-7</v>
      </c>
      <c r="BG222" s="196">
        <f t="shared" si="169"/>
        <v>8.5920178120384003E-7</v>
      </c>
      <c r="BH222" s="196">
        <f t="shared" si="169"/>
        <v>8.5920178120384003E-7</v>
      </c>
      <c r="BI222" s="196">
        <f t="shared" si="169"/>
        <v>8.5920178120384003E-7</v>
      </c>
      <c r="BJ222" s="196">
        <f t="shared" si="169"/>
        <v>8.5920178120384003E-7</v>
      </c>
      <c r="BK222" s="196">
        <f t="shared" si="169"/>
        <v>8.5920178120384003E-7</v>
      </c>
      <c r="BL222" s="196">
        <f t="shared" si="169"/>
        <v>8.5920178120384003E-7</v>
      </c>
      <c r="BM222" s="196">
        <f t="shared" si="169"/>
        <v>8.5920178120384003E-7</v>
      </c>
      <c r="BN222" s="196">
        <f t="shared" si="169"/>
        <v>8.5920178120384003E-7</v>
      </c>
      <c r="BO222" s="196">
        <f t="shared" si="169"/>
        <v>8.5920178120384003E-7</v>
      </c>
      <c r="BP222" s="196">
        <f t="shared" si="169"/>
        <v>8.5920178120384003E-7</v>
      </c>
      <c r="BQ222" s="196">
        <f t="shared" si="169"/>
        <v>8.5920178120384003E-7</v>
      </c>
      <c r="BR222" s="196">
        <f t="shared" si="169"/>
        <v>8.5920178120384003E-7</v>
      </c>
      <c r="BS222" s="196">
        <f t="shared" si="169"/>
        <v>8.5920178120384003E-7</v>
      </c>
      <c r="BT222" s="196">
        <f t="shared" si="169"/>
        <v>8.5920178120384003E-7</v>
      </c>
      <c r="BU222" s="196">
        <f t="shared" si="169"/>
        <v>8.5920178120384003E-7</v>
      </c>
      <c r="BV222" s="196">
        <f t="shared" si="169"/>
        <v>8.5920178120384003E-7</v>
      </c>
    </row>
    <row r="223" spans="1:74" x14ac:dyDescent="0.25">
      <c r="A223" s="141" t="s">
        <v>195</v>
      </c>
      <c r="B223" s="148"/>
      <c r="C223" s="148"/>
      <c r="D223" s="177">
        <v>2.8851673561610499E-6</v>
      </c>
      <c r="E223" s="177">
        <v>2.8851673561610499E-6</v>
      </c>
      <c r="F223" s="177">
        <v>2.8851673561610499E-6</v>
      </c>
      <c r="G223" s="177">
        <v>2.8851673561610499E-6</v>
      </c>
      <c r="H223" s="177">
        <v>2.8851673561610499E-6</v>
      </c>
      <c r="I223" s="177">
        <v>2.8851673561610499E-6</v>
      </c>
      <c r="J223" s="177">
        <v>2.8851679065807387E-6</v>
      </c>
      <c r="K223" s="177">
        <v>2.8851676985646159E-6</v>
      </c>
      <c r="L223" s="177">
        <v>2.8851686207213464E-6</v>
      </c>
      <c r="M223" s="177">
        <v>2.8851683947514104E-6</v>
      </c>
      <c r="N223" s="177">
        <v>2.8851702942581023E-6</v>
      </c>
      <c r="O223" s="177">
        <v>2.8851741764973704E-6</v>
      </c>
      <c r="P223" s="177">
        <v>2.8571469952248602E-6</v>
      </c>
      <c r="Q223" s="177">
        <v>2.8571408208891936E-6</v>
      </c>
      <c r="R223" s="177">
        <v>2.8571428571428573E-6</v>
      </c>
      <c r="S223" s="177">
        <v>2.8571438571438574E-6</v>
      </c>
      <c r="T223" s="177">
        <v>2.8571428571428573E-6</v>
      </c>
      <c r="U223" s="177">
        <v>2.8571428571428573E-6</v>
      </c>
      <c r="V223" s="177">
        <v>2.857141878529187E-6</v>
      </c>
      <c r="W223" s="177">
        <v>2.8571447898177412E-6</v>
      </c>
      <c r="X223" s="177">
        <v>2.8571409755223756E-6</v>
      </c>
      <c r="Y223" s="177">
        <v>2.8571428571428573E-6</v>
      </c>
      <c r="Z223" s="177">
        <v>2.8571447543337056E-6</v>
      </c>
      <c r="AA223" s="177">
        <v>2.8571437846035586E-6</v>
      </c>
      <c r="AB223" s="177">
        <v>2.8571446568056545E-6</v>
      </c>
      <c r="AC223" s="177">
        <v>2.8571455822852664E-6</v>
      </c>
      <c r="AD223" s="177">
        <v>2.8571419760700631E-6</v>
      </c>
      <c r="AE223" s="177">
        <v>2.8571419702269423E-6</v>
      </c>
      <c r="AF223" s="177">
        <v>2.8571419702269423E-6</v>
      </c>
      <c r="AG223" s="177">
        <v>2.8571419702269423E-6</v>
      </c>
      <c r="AH223" s="177">
        <v>2.8571419702269423E-6</v>
      </c>
      <c r="AI223" s="177">
        <v>2.8571419702269423E-6</v>
      </c>
      <c r="AJ223" s="177">
        <v>2.8571419702269423E-6</v>
      </c>
      <c r="AK223" s="177">
        <v>2.8571419702269423E-6</v>
      </c>
      <c r="AL223" s="177">
        <v>2.8571419702269423E-6</v>
      </c>
      <c r="AM223" s="177">
        <v>2.8571419702269423E-6</v>
      </c>
      <c r="AN223" s="177">
        <v>2.8571419702269423E-6</v>
      </c>
      <c r="AO223" s="177">
        <v>2.8571419702269423E-6</v>
      </c>
      <c r="AP223" s="177">
        <v>2.8571419702269423E-6</v>
      </c>
      <c r="AQ223" s="177">
        <v>2.8571419702269423E-6</v>
      </c>
      <c r="AR223" s="177">
        <v>2.8571419702269423E-6</v>
      </c>
      <c r="AS223" s="196">
        <f t="shared" ref="AS223:BV223" si="170">AR223</f>
        <v>2.8571419702269423E-6</v>
      </c>
      <c r="AT223" s="196">
        <f t="shared" si="170"/>
        <v>2.8571419702269423E-6</v>
      </c>
      <c r="AU223" s="196">
        <f t="shared" si="170"/>
        <v>2.8571419702269423E-6</v>
      </c>
      <c r="AV223" s="196">
        <f t="shared" si="170"/>
        <v>2.8571419702269423E-6</v>
      </c>
      <c r="AW223" s="196">
        <f t="shared" si="170"/>
        <v>2.8571419702269423E-6</v>
      </c>
      <c r="AX223" s="196">
        <f t="shared" si="170"/>
        <v>2.8571419702269423E-6</v>
      </c>
      <c r="AY223" s="196">
        <f t="shared" si="170"/>
        <v>2.8571419702269423E-6</v>
      </c>
      <c r="AZ223" s="196">
        <f t="shared" si="170"/>
        <v>2.8571419702269423E-6</v>
      </c>
      <c r="BA223" s="196">
        <f t="shared" si="170"/>
        <v>2.8571419702269423E-6</v>
      </c>
      <c r="BB223" s="196">
        <f t="shared" si="170"/>
        <v>2.8571419702269423E-6</v>
      </c>
      <c r="BC223" s="196">
        <f t="shared" si="170"/>
        <v>2.8571419702269423E-6</v>
      </c>
      <c r="BD223" s="196">
        <f t="shared" si="170"/>
        <v>2.8571419702269423E-6</v>
      </c>
      <c r="BE223" s="196">
        <f t="shared" si="170"/>
        <v>2.8571419702269423E-6</v>
      </c>
      <c r="BF223" s="196">
        <f t="shared" si="170"/>
        <v>2.8571419702269423E-6</v>
      </c>
      <c r="BG223" s="196">
        <f t="shared" si="170"/>
        <v>2.8571419702269423E-6</v>
      </c>
      <c r="BH223" s="196">
        <f t="shared" si="170"/>
        <v>2.8571419702269423E-6</v>
      </c>
      <c r="BI223" s="196">
        <f t="shared" si="170"/>
        <v>2.8571419702269423E-6</v>
      </c>
      <c r="BJ223" s="196">
        <f t="shared" si="170"/>
        <v>2.8571419702269423E-6</v>
      </c>
      <c r="BK223" s="196">
        <f t="shared" si="170"/>
        <v>2.8571419702269423E-6</v>
      </c>
      <c r="BL223" s="196">
        <f t="shared" si="170"/>
        <v>2.8571419702269423E-6</v>
      </c>
      <c r="BM223" s="196">
        <f t="shared" si="170"/>
        <v>2.8571419702269423E-6</v>
      </c>
      <c r="BN223" s="196">
        <f t="shared" si="170"/>
        <v>2.8571419702269423E-6</v>
      </c>
      <c r="BO223" s="196">
        <f t="shared" si="170"/>
        <v>2.8571419702269423E-6</v>
      </c>
      <c r="BP223" s="196">
        <f t="shared" si="170"/>
        <v>2.8571419702269423E-6</v>
      </c>
      <c r="BQ223" s="196">
        <f t="shared" si="170"/>
        <v>2.8571419702269423E-6</v>
      </c>
      <c r="BR223" s="196">
        <f t="shared" si="170"/>
        <v>2.8571419702269423E-6</v>
      </c>
      <c r="BS223" s="196">
        <f t="shared" si="170"/>
        <v>2.8571419702269423E-6</v>
      </c>
      <c r="BT223" s="196">
        <f t="shared" si="170"/>
        <v>2.8571419702269423E-6</v>
      </c>
      <c r="BU223" s="196">
        <f t="shared" si="170"/>
        <v>2.8571419702269423E-6</v>
      </c>
      <c r="BV223" s="196">
        <f t="shared" si="170"/>
        <v>2.8571419702269423E-6</v>
      </c>
    </row>
    <row r="224" spans="1:74" x14ac:dyDescent="0.25">
      <c r="A224" s="141" t="s">
        <v>251</v>
      </c>
      <c r="B224" s="142"/>
      <c r="C224" s="142"/>
      <c r="D224" s="177">
        <v>2.875629057723017E-6</v>
      </c>
      <c r="E224" s="177">
        <v>2.8756290541675522E-6</v>
      </c>
      <c r="F224" s="177">
        <v>2.8756290506120869E-6</v>
      </c>
      <c r="G224" s="177">
        <v>2.8756290470566217E-6</v>
      </c>
      <c r="H224" s="177">
        <v>2.8756290435011568E-6</v>
      </c>
      <c r="I224" s="177">
        <v>2.8756290399456911E-6</v>
      </c>
      <c r="J224" s="177">
        <v>2.8756290335670507E-6</v>
      </c>
      <c r="K224" s="177">
        <v>2.8756285182424877E-6</v>
      </c>
      <c r="L224" s="177">
        <v>2.8235293036831497E-6</v>
      </c>
      <c r="M224" s="177">
        <v>2.8235293422455884E-6</v>
      </c>
      <c r="N224" s="177">
        <v>2.8235293001734373E-6</v>
      </c>
      <c r="O224" s="177">
        <v>2.8235293205859475E-6</v>
      </c>
      <c r="P224" s="177">
        <v>2.8235292886308541E-6</v>
      </c>
      <c r="Q224" s="177">
        <v>2.8235294015858939E-6</v>
      </c>
      <c r="R224" s="177">
        <v>2.8235293083962409E-6</v>
      </c>
      <c r="S224" s="177">
        <v>2.8235297690850697E-6</v>
      </c>
      <c r="T224" s="177">
        <v>2.8235298636353346E-6</v>
      </c>
      <c r="U224" s="177">
        <v>2.8235288846391223E-6</v>
      </c>
      <c r="V224" s="177">
        <v>2.8235291524956956E-6</v>
      </c>
      <c r="W224" s="177">
        <v>2.8235290179346673E-6</v>
      </c>
      <c r="X224" s="177">
        <v>2.8235296739699532E-6</v>
      </c>
      <c r="Y224" s="177">
        <v>2.8235288747788435E-6</v>
      </c>
      <c r="Z224" s="177">
        <v>2.8235276368673148E-6</v>
      </c>
      <c r="AA224" s="177">
        <v>2.8235290432602849E-6</v>
      </c>
      <c r="AB224" s="177">
        <v>2.8235290432602849E-6</v>
      </c>
      <c r="AC224" s="177">
        <v>2.8235290432602849E-6</v>
      </c>
      <c r="AD224" s="177">
        <v>2.8235279859362284E-6</v>
      </c>
      <c r="AE224" s="177">
        <v>2.8235279859362284E-6</v>
      </c>
      <c r="AF224" s="177">
        <v>2.8235279859362284E-6</v>
      </c>
      <c r="AG224" s="177">
        <v>2.8235279859362284E-6</v>
      </c>
      <c r="AH224" s="177">
        <v>2.8235279859362284E-6</v>
      </c>
      <c r="AI224" s="177">
        <v>2.8235279859362284E-6</v>
      </c>
      <c r="AJ224" s="177">
        <v>2.8235279859362284E-6</v>
      </c>
      <c r="AK224" s="177">
        <v>2.8235279859362284E-6</v>
      </c>
      <c r="AL224" s="177">
        <v>2.8235279859362284E-6</v>
      </c>
      <c r="AM224" s="177">
        <v>2.8235279859362284E-6</v>
      </c>
      <c r="AN224" s="177">
        <v>2.8235279859362284E-6</v>
      </c>
      <c r="AO224" s="177">
        <v>2.8235279859362284E-6</v>
      </c>
      <c r="AP224" s="177">
        <v>2.8235279859362284E-6</v>
      </c>
      <c r="AQ224" s="177">
        <v>2.8235279859362284E-6</v>
      </c>
      <c r="AR224" s="177">
        <v>2.8235279859362284E-6</v>
      </c>
      <c r="AS224" s="196">
        <f t="shared" ref="AS224:BV224" si="171">AR224</f>
        <v>2.8235279859362284E-6</v>
      </c>
      <c r="AT224" s="196">
        <f t="shared" si="171"/>
        <v>2.8235279859362284E-6</v>
      </c>
      <c r="AU224" s="196">
        <f t="shared" si="171"/>
        <v>2.8235279859362284E-6</v>
      </c>
      <c r="AV224" s="196">
        <f t="shared" si="171"/>
        <v>2.8235279859362284E-6</v>
      </c>
      <c r="AW224" s="196">
        <f t="shared" si="171"/>
        <v>2.8235279859362284E-6</v>
      </c>
      <c r="AX224" s="196">
        <f t="shared" si="171"/>
        <v>2.8235279859362284E-6</v>
      </c>
      <c r="AY224" s="196">
        <f t="shared" si="171"/>
        <v>2.8235279859362284E-6</v>
      </c>
      <c r="AZ224" s="196">
        <f t="shared" si="171"/>
        <v>2.8235279859362284E-6</v>
      </c>
      <c r="BA224" s="196">
        <f t="shared" si="171"/>
        <v>2.8235279859362284E-6</v>
      </c>
      <c r="BB224" s="196">
        <f t="shared" si="171"/>
        <v>2.8235279859362284E-6</v>
      </c>
      <c r="BC224" s="196">
        <f t="shared" si="171"/>
        <v>2.8235279859362284E-6</v>
      </c>
      <c r="BD224" s="196">
        <f t="shared" si="171"/>
        <v>2.8235279859362284E-6</v>
      </c>
      <c r="BE224" s="196">
        <f t="shared" si="171"/>
        <v>2.8235279859362284E-6</v>
      </c>
      <c r="BF224" s="196">
        <f t="shared" si="171"/>
        <v>2.8235279859362284E-6</v>
      </c>
      <c r="BG224" s="196">
        <f t="shared" si="171"/>
        <v>2.8235279859362284E-6</v>
      </c>
      <c r="BH224" s="196">
        <f t="shared" si="171"/>
        <v>2.8235279859362284E-6</v>
      </c>
      <c r="BI224" s="196">
        <f t="shared" si="171"/>
        <v>2.8235279859362284E-6</v>
      </c>
      <c r="BJ224" s="196">
        <f t="shared" si="171"/>
        <v>2.8235279859362284E-6</v>
      </c>
      <c r="BK224" s="196">
        <f t="shared" si="171"/>
        <v>2.8235279859362284E-6</v>
      </c>
      <c r="BL224" s="196">
        <f t="shared" si="171"/>
        <v>2.8235279859362284E-6</v>
      </c>
      <c r="BM224" s="196">
        <f t="shared" si="171"/>
        <v>2.8235279859362284E-6</v>
      </c>
      <c r="BN224" s="196">
        <f t="shared" si="171"/>
        <v>2.8235279859362284E-6</v>
      </c>
      <c r="BO224" s="196">
        <f t="shared" si="171"/>
        <v>2.8235279859362284E-6</v>
      </c>
      <c r="BP224" s="196">
        <f t="shared" si="171"/>
        <v>2.8235279859362284E-6</v>
      </c>
      <c r="BQ224" s="196">
        <f t="shared" si="171"/>
        <v>2.8235279859362284E-6</v>
      </c>
      <c r="BR224" s="196">
        <f t="shared" si="171"/>
        <v>2.8235279859362284E-6</v>
      </c>
      <c r="BS224" s="196">
        <f t="shared" si="171"/>
        <v>2.8235279859362284E-6</v>
      </c>
      <c r="BT224" s="196">
        <f t="shared" si="171"/>
        <v>2.8235279859362284E-6</v>
      </c>
      <c r="BU224" s="196">
        <f t="shared" si="171"/>
        <v>2.8235279859362284E-6</v>
      </c>
      <c r="BV224" s="196">
        <f t="shared" si="171"/>
        <v>2.8235279859362284E-6</v>
      </c>
    </row>
    <row r="225" spans="1:74" x14ac:dyDescent="0.25">
      <c r="A225" s="141" t="s">
        <v>196</v>
      </c>
      <c r="B225" s="142"/>
      <c r="C225" s="142"/>
      <c r="D225" s="177">
        <v>1.5511892758570288E-7</v>
      </c>
      <c r="E225" s="177">
        <v>1.5511893093744642E-7</v>
      </c>
      <c r="F225" s="177">
        <v>1.5511893428919012E-7</v>
      </c>
      <c r="G225" s="177">
        <v>1.5511893764093396E-7</v>
      </c>
      <c r="H225" s="177">
        <v>1.5511894099267795E-7</v>
      </c>
      <c r="I225" s="177">
        <v>1.55118944344422E-7</v>
      </c>
      <c r="J225" s="177">
        <v>1.5511892598170795E-7</v>
      </c>
      <c r="K225" s="177">
        <v>1.5511891425136013E-7</v>
      </c>
      <c r="L225" s="177">
        <v>1.5511894859720082E-7</v>
      </c>
      <c r="M225" s="177">
        <v>1.5511893097240577E-7</v>
      </c>
      <c r="N225" s="177">
        <v>1.551189235114524E-7</v>
      </c>
      <c r="O225" s="177">
        <v>1.5511892068819648E-7</v>
      </c>
      <c r="P225" s="177">
        <v>1.5511893389211013E-7</v>
      </c>
      <c r="Q225" s="177">
        <v>1.5511892758279565E-7</v>
      </c>
      <c r="R225" s="177">
        <v>1.5511890642099801E-7</v>
      </c>
      <c r="S225" s="177">
        <v>1.551188776112716E-7</v>
      </c>
      <c r="T225" s="177">
        <v>1.5511907131905274E-7</v>
      </c>
      <c r="U225" s="177">
        <v>1.5511901915940744E-7</v>
      </c>
      <c r="V225" s="177">
        <v>1.5511886999636795E-7</v>
      </c>
      <c r="W225" s="177">
        <v>1.5511898079248832E-7</v>
      </c>
      <c r="X225" s="177">
        <v>1.5511891936152134E-7</v>
      </c>
      <c r="Y225" s="177">
        <v>1.551189501346131E-7</v>
      </c>
      <c r="Z225" s="177">
        <v>1.5511882527918E-7</v>
      </c>
      <c r="AA225" s="177">
        <v>1.5511888818665447E-7</v>
      </c>
      <c r="AB225" s="177">
        <v>1.5574193215853472E-7</v>
      </c>
      <c r="AC225" s="177">
        <v>1.5571589224195739E-7</v>
      </c>
      <c r="AD225" s="177">
        <v>1.5601202623501508E-7</v>
      </c>
      <c r="AE225" s="177">
        <v>1.5610655905890815E-7</v>
      </c>
      <c r="AF225" s="177">
        <v>1.5610655905890815E-7</v>
      </c>
      <c r="AG225" s="177">
        <v>1.5610655905890815E-7</v>
      </c>
      <c r="AH225" s="177">
        <v>1.5610655905890815E-7</v>
      </c>
      <c r="AI225" s="177">
        <v>1.5610655905890815E-7</v>
      </c>
      <c r="AJ225" s="177">
        <v>1.5610655905890815E-7</v>
      </c>
      <c r="AK225" s="177">
        <v>1.5610655905890815E-7</v>
      </c>
      <c r="AL225" s="177">
        <v>1.5610655905890815E-7</v>
      </c>
      <c r="AM225" s="177">
        <v>1.5610655905890815E-7</v>
      </c>
      <c r="AN225" s="177">
        <v>1.5610655905890815E-7</v>
      </c>
      <c r="AO225" s="177">
        <v>1.5610655905890815E-7</v>
      </c>
      <c r="AP225" s="177">
        <v>1.5610655905890815E-7</v>
      </c>
      <c r="AQ225" s="177">
        <v>1.5610655905890815E-7</v>
      </c>
      <c r="AR225" s="177">
        <v>1.5610655905890815E-7</v>
      </c>
      <c r="AS225" s="196">
        <f t="shared" ref="AS225:BV225" si="172">AR225</f>
        <v>1.5610655905890815E-7</v>
      </c>
      <c r="AT225" s="196">
        <f t="shared" si="172"/>
        <v>1.5610655905890815E-7</v>
      </c>
      <c r="AU225" s="196">
        <f t="shared" si="172"/>
        <v>1.5610655905890815E-7</v>
      </c>
      <c r="AV225" s="196">
        <f t="shared" si="172"/>
        <v>1.5610655905890815E-7</v>
      </c>
      <c r="AW225" s="196">
        <f t="shared" si="172"/>
        <v>1.5610655905890815E-7</v>
      </c>
      <c r="AX225" s="196">
        <f t="shared" si="172"/>
        <v>1.5610655905890815E-7</v>
      </c>
      <c r="AY225" s="196">
        <f t="shared" si="172"/>
        <v>1.5610655905890815E-7</v>
      </c>
      <c r="AZ225" s="196">
        <f t="shared" si="172"/>
        <v>1.5610655905890815E-7</v>
      </c>
      <c r="BA225" s="196">
        <f t="shared" si="172"/>
        <v>1.5610655905890815E-7</v>
      </c>
      <c r="BB225" s="196">
        <f t="shared" si="172"/>
        <v>1.5610655905890815E-7</v>
      </c>
      <c r="BC225" s="196">
        <f t="shared" si="172"/>
        <v>1.5610655905890815E-7</v>
      </c>
      <c r="BD225" s="196">
        <f t="shared" si="172"/>
        <v>1.5610655905890815E-7</v>
      </c>
      <c r="BE225" s="196">
        <f t="shared" si="172"/>
        <v>1.5610655905890815E-7</v>
      </c>
      <c r="BF225" s="196">
        <f t="shared" si="172"/>
        <v>1.5610655905890815E-7</v>
      </c>
      <c r="BG225" s="196">
        <f t="shared" si="172"/>
        <v>1.5610655905890815E-7</v>
      </c>
      <c r="BH225" s="196">
        <f t="shared" si="172"/>
        <v>1.5610655905890815E-7</v>
      </c>
      <c r="BI225" s="196">
        <f t="shared" si="172"/>
        <v>1.5610655905890815E-7</v>
      </c>
      <c r="BJ225" s="196">
        <f t="shared" si="172"/>
        <v>1.5610655905890815E-7</v>
      </c>
      <c r="BK225" s="196">
        <f t="shared" si="172"/>
        <v>1.5610655905890815E-7</v>
      </c>
      <c r="BL225" s="196">
        <f t="shared" si="172"/>
        <v>1.5610655905890815E-7</v>
      </c>
      <c r="BM225" s="196">
        <f t="shared" si="172"/>
        <v>1.5610655905890815E-7</v>
      </c>
      <c r="BN225" s="196">
        <f t="shared" si="172"/>
        <v>1.5610655905890815E-7</v>
      </c>
      <c r="BO225" s="196">
        <f t="shared" si="172"/>
        <v>1.5610655905890815E-7</v>
      </c>
      <c r="BP225" s="196">
        <f t="shared" si="172"/>
        <v>1.5610655905890815E-7</v>
      </c>
      <c r="BQ225" s="196">
        <f t="shared" si="172"/>
        <v>1.5610655905890815E-7</v>
      </c>
      <c r="BR225" s="196">
        <f t="shared" si="172"/>
        <v>1.5610655905890815E-7</v>
      </c>
      <c r="BS225" s="196">
        <f t="shared" si="172"/>
        <v>1.5610655905890815E-7</v>
      </c>
      <c r="BT225" s="196">
        <f t="shared" si="172"/>
        <v>1.5610655905890815E-7</v>
      </c>
      <c r="BU225" s="196">
        <f t="shared" si="172"/>
        <v>1.5610655905890815E-7</v>
      </c>
      <c r="BV225" s="196">
        <f t="shared" si="172"/>
        <v>1.5610655905890815E-7</v>
      </c>
    </row>
    <row r="226" spans="1:74" x14ac:dyDescent="0.25">
      <c r="A226" s="147" t="s">
        <v>13</v>
      </c>
      <c r="C226" s="142"/>
      <c r="D226" s="177">
        <v>1.5511892758570288E-7</v>
      </c>
      <c r="E226" s="177">
        <v>1.5511893093744642E-7</v>
      </c>
      <c r="F226" s="177">
        <v>1.5511893428919012E-7</v>
      </c>
      <c r="G226" s="177">
        <v>1.5511893764093396E-7</v>
      </c>
      <c r="H226" s="177">
        <v>1.5511894099267795E-7</v>
      </c>
      <c r="I226" s="177">
        <v>1.55118944344422E-7</v>
      </c>
      <c r="J226" s="177">
        <v>1.5511892598170795E-7</v>
      </c>
      <c r="K226" s="177">
        <v>1.5511891425136013E-7</v>
      </c>
      <c r="L226" s="177">
        <v>1.5511894859720082E-7</v>
      </c>
      <c r="M226" s="177">
        <v>1.5511893097240577E-7</v>
      </c>
      <c r="N226" s="177">
        <v>1.551189235114524E-7</v>
      </c>
      <c r="O226" s="177">
        <v>1.5511892068819648E-7</v>
      </c>
      <c r="P226" s="177">
        <v>1.5511893389211013E-7</v>
      </c>
      <c r="Q226" s="177">
        <v>1.5511892758279565E-7</v>
      </c>
      <c r="R226" s="177">
        <v>1.5511890642099801E-7</v>
      </c>
      <c r="S226" s="177">
        <v>1.551188776112716E-7</v>
      </c>
      <c r="T226" s="177">
        <v>1.5511907131905274E-7</v>
      </c>
      <c r="U226" s="177">
        <v>1.5511901915940744E-7</v>
      </c>
      <c r="V226" s="177">
        <v>1.5511886999636795E-7</v>
      </c>
      <c r="W226" s="177">
        <v>1.5511898079248832E-7</v>
      </c>
      <c r="X226" s="177">
        <v>1.5511891936152134E-7</v>
      </c>
      <c r="Y226" s="177">
        <v>1.551189501346131E-7</v>
      </c>
      <c r="Z226" s="177">
        <v>1.5511882527918E-7</v>
      </c>
      <c r="AA226" s="177">
        <v>1.5511888818665447E-7</v>
      </c>
      <c r="AB226" s="177">
        <v>1.5574193215853472E-7</v>
      </c>
      <c r="AC226" s="177">
        <v>1.5571589224195739E-7</v>
      </c>
      <c r="AD226" s="177">
        <v>1.5601202623501508E-7</v>
      </c>
      <c r="AE226" s="177">
        <v>1.5610655905890815E-7</v>
      </c>
      <c r="AF226" s="177">
        <v>1.5610655905890815E-7</v>
      </c>
      <c r="AG226" s="177">
        <v>1.5610655905890815E-7</v>
      </c>
      <c r="AH226" s="177">
        <v>1.5610655905890815E-7</v>
      </c>
      <c r="AI226" s="177">
        <v>1.5610655905890815E-7</v>
      </c>
      <c r="AJ226" s="177">
        <v>1.5610655905890815E-7</v>
      </c>
      <c r="AK226" s="177">
        <v>1.5610655905890815E-7</v>
      </c>
      <c r="AL226" s="177">
        <v>1.5610655905890815E-7</v>
      </c>
      <c r="AM226" s="177">
        <v>1.5610655905890815E-7</v>
      </c>
      <c r="AN226" s="177">
        <v>1.5610655905890815E-7</v>
      </c>
      <c r="AO226" s="177">
        <v>1.5610655905890815E-7</v>
      </c>
      <c r="AP226" s="177">
        <v>1.5610655905890815E-7</v>
      </c>
      <c r="AQ226" s="177">
        <v>1.5610655905890815E-7</v>
      </c>
      <c r="AR226" s="177">
        <v>1.5610655905890815E-7</v>
      </c>
      <c r="AS226" s="196">
        <f t="shared" ref="AS226:BV226" si="173">AR226</f>
        <v>1.5610655905890815E-7</v>
      </c>
      <c r="AT226" s="196">
        <f t="shared" si="173"/>
        <v>1.5610655905890815E-7</v>
      </c>
      <c r="AU226" s="196">
        <f t="shared" si="173"/>
        <v>1.5610655905890815E-7</v>
      </c>
      <c r="AV226" s="196">
        <f t="shared" si="173"/>
        <v>1.5610655905890815E-7</v>
      </c>
      <c r="AW226" s="196">
        <f t="shared" si="173"/>
        <v>1.5610655905890815E-7</v>
      </c>
      <c r="AX226" s="196">
        <f t="shared" si="173"/>
        <v>1.5610655905890815E-7</v>
      </c>
      <c r="AY226" s="196">
        <f t="shared" si="173"/>
        <v>1.5610655905890815E-7</v>
      </c>
      <c r="AZ226" s="196">
        <f t="shared" si="173"/>
        <v>1.5610655905890815E-7</v>
      </c>
      <c r="BA226" s="196">
        <f t="shared" si="173"/>
        <v>1.5610655905890815E-7</v>
      </c>
      <c r="BB226" s="196">
        <f t="shared" si="173"/>
        <v>1.5610655905890815E-7</v>
      </c>
      <c r="BC226" s="196">
        <f t="shared" si="173"/>
        <v>1.5610655905890815E-7</v>
      </c>
      <c r="BD226" s="196">
        <f t="shared" si="173"/>
        <v>1.5610655905890815E-7</v>
      </c>
      <c r="BE226" s="196">
        <f t="shared" si="173"/>
        <v>1.5610655905890815E-7</v>
      </c>
      <c r="BF226" s="196">
        <f t="shared" si="173"/>
        <v>1.5610655905890815E-7</v>
      </c>
      <c r="BG226" s="196">
        <f t="shared" si="173"/>
        <v>1.5610655905890815E-7</v>
      </c>
      <c r="BH226" s="196">
        <f t="shared" si="173"/>
        <v>1.5610655905890815E-7</v>
      </c>
      <c r="BI226" s="196">
        <f t="shared" si="173"/>
        <v>1.5610655905890815E-7</v>
      </c>
      <c r="BJ226" s="196">
        <f t="shared" si="173"/>
        <v>1.5610655905890815E-7</v>
      </c>
      <c r="BK226" s="196">
        <f t="shared" si="173"/>
        <v>1.5610655905890815E-7</v>
      </c>
      <c r="BL226" s="196">
        <f t="shared" si="173"/>
        <v>1.5610655905890815E-7</v>
      </c>
      <c r="BM226" s="196">
        <f t="shared" si="173"/>
        <v>1.5610655905890815E-7</v>
      </c>
      <c r="BN226" s="196">
        <f t="shared" si="173"/>
        <v>1.5610655905890815E-7</v>
      </c>
      <c r="BO226" s="196">
        <f t="shared" si="173"/>
        <v>1.5610655905890815E-7</v>
      </c>
      <c r="BP226" s="196">
        <f t="shared" si="173"/>
        <v>1.5610655905890815E-7</v>
      </c>
      <c r="BQ226" s="196">
        <f t="shared" si="173"/>
        <v>1.5610655905890815E-7</v>
      </c>
      <c r="BR226" s="196">
        <f t="shared" si="173"/>
        <v>1.5610655905890815E-7</v>
      </c>
      <c r="BS226" s="196">
        <f t="shared" si="173"/>
        <v>1.5610655905890815E-7</v>
      </c>
      <c r="BT226" s="196">
        <f t="shared" si="173"/>
        <v>1.5610655905890815E-7</v>
      </c>
      <c r="BU226" s="196">
        <f t="shared" si="173"/>
        <v>1.5610655905890815E-7</v>
      </c>
      <c r="BV226" s="196">
        <f t="shared" si="173"/>
        <v>1.5610655905890815E-7</v>
      </c>
    </row>
    <row r="227" spans="1:74" x14ac:dyDescent="0.25">
      <c r="A227" s="147" t="s">
        <v>199</v>
      </c>
      <c r="C227" s="142"/>
      <c r="D227" s="177">
        <v>8.9391766268260293E-7</v>
      </c>
      <c r="E227" s="177">
        <v>8.9391766268260293E-7</v>
      </c>
      <c r="F227" s="177">
        <v>8.9391766268260293E-7</v>
      </c>
      <c r="G227" s="177">
        <v>8.9391766268260293E-7</v>
      </c>
      <c r="H227" s="177">
        <v>8.9391766268260293E-7</v>
      </c>
      <c r="I227" s="177">
        <v>8.9391766268260293E-7</v>
      </c>
      <c r="J227" s="177">
        <v>8.9391766268260293E-7</v>
      </c>
      <c r="K227" s="177">
        <v>8.9391766268260293E-7</v>
      </c>
      <c r="L227" s="177">
        <v>8.9391766268260293E-7</v>
      </c>
      <c r="M227" s="177">
        <v>8.9391766268260293E-7</v>
      </c>
      <c r="N227" s="177">
        <v>8.9391766268260293E-7</v>
      </c>
      <c r="O227" s="177">
        <v>8.9391766268260293E-7</v>
      </c>
      <c r="P227" s="177">
        <v>8.9391766268260293E-7</v>
      </c>
      <c r="Q227" s="177">
        <v>8.9551962763743971E-7</v>
      </c>
      <c r="R227" s="177">
        <v>8.9552582730589518E-7</v>
      </c>
      <c r="S227" s="177">
        <v>8.9552582730589518E-7</v>
      </c>
      <c r="T227" s="177">
        <v>8.9552582730589518E-7</v>
      </c>
      <c r="U227" s="177">
        <v>8.9552582730589518E-7</v>
      </c>
      <c r="V227" s="177">
        <v>8.9552582730589518E-7</v>
      </c>
      <c r="W227" s="177">
        <v>8.9552582730589518E-7</v>
      </c>
      <c r="X227" s="177">
        <v>8.9552582730589518E-7</v>
      </c>
      <c r="Y227" s="177">
        <v>8.9552582730589518E-7</v>
      </c>
      <c r="Z227" s="177">
        <v>8.9552582730589518E-7</v>
      </c>
      <c r="AA227" s="177">
        <v>8.9552582730589518E-7</v>
      </c>
      <c r="AB227" s="177">
        <v>8.9552582730589518E-7</v>
      </c>
      <c r="AC227" s="177">
        <v>8.9552582730589518E-7</v>
      </c>
      <c r="AD227" s="177">
        <v>8.9552582730589518E-7</v>
      </c>
      <c r="AE227" s="177">
        <v>8.9552582730589518E-7</v>
      </c>
      <c r="AF227" s="177">
        <v>8.9552582730589518E-7</v>
      </c>
      <c r="AG227" s="177">
        <v>8.9552582730589518E-7</v>
      </c>
      <c r="AH227" s="177">
        <v>8.9552582730589518E-7</v>
      </c>
      <c r="AI227" s="177">
        <v>8.9552582730589518E-7</v>
      </c>
      <c r="AJ227" s="177">
        <v>8.9552582730589518E-7</v>
      </c>
      <c r="AK227" s="177">
        <v>8.9552582730589518E-7</v>
      </c>
      <c r="AL227" s="177">
        <v>8.9552582730589518E-7</v>
      </c>
      <c r="AM227" s="177">
        <v>8.9552582730589518E-7</v>
      </c>
      <c r="AN227" s="177">
        <v>8.9552582730589518E-7</v>
      </c>
      <c r="AO227" s="177">
        <v>8.9552582730589518E-7</v>
      </c>
      <c r="AP227" s="177">
        <v>8.9552582730589518E-7</v>
      </c>
      <c r="AQ227" s="177">
        <v>8.9552582730589518E-7</v>
      </c>
      <c r="AR227" s="177">
        <v>8.9552582730589518E-7</v>
      </c>
      <c r="AS227" s="196">
        <f t="shared" ref="AS227:BV227" si="174">AR227</f>
        <v>8.9552582730589518E-7</v>
      </c>
      <c r="AT227" s="196">
        <f t="shared" si="174"/>
        <v>8.9552582730589518E-7</v>
      </c>
      <c r="AU227" s="196">
        <f t="shared" si="174"/>
        <v>8.9552582730589518E-7</v>
      </c>
      <c r="AV227" s="196">
        <f t="shared" si="174"/>
        <v>8.9552582730589518E-7</v>
      </c>
      <c r="AW227" s="196">
        <f t="shared" si="174"/>
        <v>8.9552582730589518E-7</v>
      </c>
      <c r="AX227" s="196">
        <f t="shared" si="174"/>
        <v>8.9552582730589518E-7</v>
      </c>
      <c r="AY227" s="196">
        <f t="shared" si="174"/>
        <v>8.9552582730589518E-7</v>
      </c>
      <c r="AZ227" s="196">
        <f t="shared" si="174"/>
        <v>8.9552582730589518E-7</v>
      </c>
      <c r="BA227" s="196">
        <f t="shared" si="174"/>
        <v>8.9552582730589518E-7</v>
      </c>
      <c r="BB227" s="196">
        <f t="shared" si="174"/>
        <v>8.9552582730589518E-7</v>
      </c>
      <c r="BC227" s="196">
        <f t="shared" si="174"/>
        <v>8.9552582730589518E-7</v>
      </c>
      <c r="BD227" s="196">
        <f t="shared" si="174"/>
        <v>8.9552582730589518E-7</v>
      </c>
      <c r="BE227" s="196">
        <f t="shared" si="174"/>
        <v>8.9552582730589518E-7</v>
      </c>
      <c r="BF227" s="196">
        <f t="shared" si="174"/>
        <v>8.9552582730589518E-7</v>
      </c>
      <c r="BG227" s="196">
        <f t="shared" si="174"/>
        <v>8.9552582730589518E-7</v>
      </c>
      <c r="BH227" s="196">
        <f t="shared" si="174"/>
        <v>8.9552582730589518E-7</v>
      </c>
      <c r="BI227" s="196">
        <f t="shared" si="174"/>
        <v>8.9552582730589518E-7</v>
      </c>
      <c r="BJ227" s="196">
        <f t="shared" si="174"/>
        <v>8.9552582730589518E-7</v>
      </c>
      <c r="BK227" s="196">
        <f t="shared" si="174"/>
        <v>8.9552582730589518E-7</v>
      </c>
      <c r="BL227" s="196">
        <f t="shared" si="174"/>
        <v>8.9552582730589518E-7</v>
      </c>
      <c r="BM227" s="196">
        <f t="shared" si="174"/>
        <v>8.9552582730589518E-7</v>
      </c>
      <c r="BN227" s="196">
        <f t="shared" si="174"/>
        <v>8.9552582730589518E-7</v>
      </c>
      <c r="BO227" s="196">
        <f t="shared" si="174"/>
        <v>8.9552582730589518E-7</v>
      </c>
      <c r="BP227" s="196">
        <f t="shared" si="174"/>
        <v>8.9552582730589518E-7</v>
      </c>
      <c r="BQ227" s="196">
        <f t="shared" si="174"/>
        <v>8.9552582730589518E-7</v>
      </c>
      <c r="BR227" s="196">
        <f t="shared" si="174"/>
        <v>8.9552582730589518E-7</v>
      </c>
      <c r="BS227" s="196">
        <f t="shared" si="174"/>
        <v>8.9552582730589518E-7</v>
      </c>
      <c r="BT227" s="196">
        <f t="shared" si="174"/>
        <v>8.9552582730589518E-7</v>
      </c>
      <c r="BU227" s="196">
        <f t="shared" si="174"/>
        <v>8.9552582730589518E-7</v>
      </c>
      <c r="BV227" s="196">
        <f t="shared" si="174"/>
        <v>8.9552582730589518E-7</v>
      </c>
    </row>
    <row r="228" spans="1:74" x14ac:dyDescent="0.25">
      <c r="A228" s="147" t="s">
        <v>197</v>
      </c>
      <c r="C228" s="142"/>
      <c r="D228" s="177">
        <v>1.5511892758570288E-7</v>
      </c>
      <c r="E228" s="177">
        <v>1.5511893093744642E-7</v>
      </c>
      <c r="F228" s="177">
        <v>1.5511893428919012E-7</v>
      </c>
      <c r="G228" s="177">
        <v>1.5511893764093396E-7</v>
      </c>
      <c r="H228" s="177">
        <v>1.5511894099267795E-7</v>
      </c>
      <c r="I228" s="177">
        <v>1.55118944344422E-7</v>
      </c>
      <c r="J228" s="177">
        <v>1.5511892598170795E-7</v>
      </c>
      <c r="K228" s="177">
        <v>1.5511891425136013E-7</v>
      </c>
      <c r="L228" s="177">
        <v>1.5511894859720082E-7</v>
      </c>
      <c r="M228" s="177">
        <v>1.5511893097240577E-7</v>
      </c>
      <c r="N228" s="177">
        <v>1.551189235114524E-7</v>
      </c>
      <c r="O228" s="177">
        <v>1.5511892068819648E-7</v>
      </c>
      <c r="P228" s="177">
        <v>1.5511893389211013E-7</v>
      </c>
      <c r="Q228" s="177">
        <v>1.5511892758279565E-7</v>
      </c>
      <c r="R228" s="177">
        <v>1.5511890642099801E-7</v>
      </c>
      <c r="S228" s="177">
        <v>1.551188776112716E-7</v>
      </c>
      <c r="T228" s="177">
        <v>1.5511907131905274E-7</v>
      </c>
      <c r="U228" s="177">
        <v>1.5511901915940744E-7</v>
      </c>
      <c r="V228" s="177">
        <v>1.5511886999636795E-7</v>
      </c>
      <c r="W228" s="177">
        <v>1.5511898079248832E-7</v>
      </c>
      <c r="X228" s="177">
        <v>1.5511891936152134E-7</v>
      </c>
      <c r="Y228" s="177">
        <v>1.551189501346131E-7</v>
      </c>
      <c r="Z228" s="177">
        <v>1.5511882527918E-7</v>
      </c>
      <c r="AA228" s="177">
        <v>1.5511888818665447E-7</v>
      </c>
      <c r="AB228" s="177">
        <v>1.5574193215853472E-7</v>
      </c>
      <c r="AC228" s="177">
        <v>1.5571589224195739E-7</v>
      </c>
      <c r="AD228" s="177">
        <v>1.5601202623501508E-7</v>
      </c>
      <c r="AE228" s="177">
        <v>1.5610655905890815E-7</v>
      </c>
      <c r="AF228" s="177">
        <v>1.5610655905890815E-7</v>
      </c>
      <c r="AG228" s="177">
        <v>1.5610655905890815E-7</v>
      </c>
      <c r="AH228" s="177">
        <v>1.5610655905890815E-7</v>
      </c>
      <c r="AI228" s="177">
        <v>1.5610655905890815E-7</v>
      </c>
      <c r="AJ228" s="177">
        <v>1.5610655905890815E-7</v>
      </c>
      <c r="AK228" s="177">
        <v>1.5610655905890815E-7</v>
      </c>
      <c r="AL228" s="177">
        <v>1.5610655905890815E-7</v>
      </c>
      <c r="AM228" s="177">
        <v>1.5610655905890815E-7</v>
      </c>
      <c r="AN228" s="177">
        <v>1.5610655905890815E-7</v>
      </c>
      <c r="AO228" s="177">
        <v>1.5610655905890815E-7</v>
      </c>
      <c r="AP228" s="177">
        <v>1.5610655905890815E-7</v>
      </c>
      <c r="AQ228" s="177">
        <v>1.5610655905890815E-7</v>
      </c>
      <c r="AR228" s="177">
        <v>1.5610655905890815E-7</v>
      </c>
      <c r="AS228" s="196">
        <f t="shared" ref="AS228:BV228" si="175">AR228</f>
        <v>1.5610655905890815E-7</v>
      </c>
      <c r="AT228" s="196">
        <f t="shared" si="175"/>
        <v>1.5610655905890815E-7</v>
      </c>
      <c r="AU228" s="196">
        <f t="shared" si="175"/>
        <v>1.5610655905890815E-7</v>
      </c>
      <c r="AV228" s="196">
        <f t="shared" si="175"/>
        <v>1.5610655905890815E-7</v>
      </c>
      <c r="AW228" s="196">
        <f t="shared" si="175"/>
        <v>1.5610655905890815E-7</v>
      </c>
      <c r="AX228" s="196">
        <f t="shared" si="175"/>
        <v>1.5610655905890815E-7</v>
      </c>
      <c r="AY228" s="196">
        <f t="shared" si="175"/>
        <v>1.5610655905890815E-7</v>
      </c>
      <c r="AZ228" s="196">
        <f t="shared" si="175"/>
        <v>1.5610655905890815E-7</v>
      </c>
      <c r="BA228" s="196">
        <f t="shared" si="175"/>
        <v>1.5610655905890815E-7</v>
      </c>
      <c r="BB228" s="196">
        <f t="shared" si="175"/>
        <v>1.5610655905890815E-7</v>
      </c>
      <c r="BC228" s="196">
        <f t="shared" si="175"/>
        <v>1.5610655905890815E-7</v>
      </c>
      <c r="BD228" s="196">
        <f t="shared" si="175"/>
        <v>1.5610655905890815E-7</v>
      </c>
      <c r="BE228" s="196">
        <f t="shared" si="175"/>
        <v>1.5610655905890815E-7</v>
      </c>
      <c r="BF228" s="196">
        <f t="shared" si="175"/>
        <v>1.5610655905890815E-7</v>
      </c>
      <c r="BG228" s="196">
        <f t="shared" si="175"/>
        <v>1.5610655905890815E-7</v>
      </c>
      <c r="BH228" s="196">
        <f t="shared" si="175"/>
        <v>1.5610655905890815E-7</v>
      </c>
      <c r="BI228" s="196">
        <f t="shared" si="175"/>
        <v>1.5610655905890815E-7</v>
      </c>
      <c r="BJ228" s="196">
        <f t="shared" si="175"/>
        <v>1.5610655905890815E-7</v>
      </c>
      <c r="BK228" s="196">
        <f t="shared" si="175"/>
        <v>1.5610655905890815E-7</v>
      </c>
      <c r="BL228" s="196">
        <f t="shared" si="175"/>
        <v>1.5610655905890815E-7</v>
      </c>
      <c r="BM228" s="196">
        <f t="shared" si="175"/>
        <v>1.5610655905890815E-7</v>
      </c>
      <c r="BN228" s="196">
        <f t="shared" si="175"/>
        <v>1.5610655905890815E-7</v>
      </c>
      <c r="BO228" s="196">
        <f t="shared" si="175"/>
        <v>1.5610655905890815E-7</v>
      </c>
      <c r="BP228" s="196">
        <f t="shared" si="175"/>
        <v>1.5610655905890815E-7</v>
      </c>
      <c r="BQ228" s="196">
        <f t="shared" si="175"/>
        <v>1.5610655905890815E-7</v>
      </c>
      <c r="BR228" s="196">
        <f t="shared" si="175"/>
        <v>1.5610655905890815E-7</v>
      </c>
      <c r="BS228" s="196">
        <f t="shared" si="175"/>
        <v>1.5610655905890815E-7</v>
      </c>
      <c r="BT228" s="196">
        <f t="shared" si="175"/>
        <v>1.5610655905890815E-7</v>
      </c>
      <c r="BU228" s="196">
        <f t="shared" si="175"/>
        <v>1.5610655905890815E-7</v>
      </c>
      <c r="BV228" s="196">
        <f t="shared" si="175"/>
        <v>1.5610655905890815E-7</v>
      </c>
    </row>
    <row r="229" spans="1:74" x14ac:dyDescent="0.25">
      <c r="A229" s="141" t="s">
        <v>14</v>
      </c>
      <c r="B229" s="148"/>
      <c r="C229" s="142"/>
      <c r="D229" s="177">
        <v>9.79354158611298E-7</v>
      </c>
      <c r="E229" s="177">
        <v>9.7790464360600569E-7</v>
      </c>
      <c r="F229" s="177">
        <v>9.7645941303358648E-7</v>
      </c>
      <c r="G229" s="177">
        <v>9.7501844792637525E-7</v>
      </c>
      <c r="H229" s="177">
        <v>9.7358172942850527E-7</v>
      </c>
      <c r="I229" s="177">
        <v>9.7214923879508428E-7</v>
      </c>
      <c r="J229" s="177">
        <v>9.7112860770900535E-7</v>
      </c>
      <c r="K229" s="177">
        <v>9.7061909838669733E-7</v>
      </c>
      <c r="L229" s="177">
        <v>9.693476550317785E-7</v>
      </c>
      <c r="M229" s="177">
        <v>9.7036454270111921E-7</v>
      </c>
      <c r="N229" s="177">
        <v>9.7394051232794818E-7</v>
      </c>
      <c r="O229" s="177">
        <v>9.7138356351785468E-7</v>
      </c>
      <c r="P229" s="177">
        <v>9.7138356667125818E-7</v>
      </c>
      <c r="Q229" s="177">
        <v>9.6858638743455478E-7</v>
      </c>
      <c r="R229" s="177">
        <v>9.6833289572591836E-7</v>
      </c>
      <c r="S229" s="177">
        <v>9.6706745968712354E-7</v>
      </c>
      <c r="T229" s="177">
        <v>9.670674287828192E-7</v>
      </c>
      <c r="U229" s="177">
        <v>9.7087377090997642E-7</v>
      </c>
      <c r="V229" s="177">
        <v>9.6329083616292674E-7</v>
      </c>
      <c r="W229" s="177">
        <v>9.6278946445229952E-7</v>
      </c>
      <c r="X229" s="177">
        <v>9.6053998074030376E-7</v>
      </c>
      <c r="Y229" s="177">
        <v>9.595435413772697E-7</v>
      </c>
      <c r="Z229" s="177">
        <v>9.5508515933911687E-7</v>
      </c>
      <c r="AA229" s="177">
        <v>9.5238092844104533E-7</v>
      </c>
      <c r="AB229" s="177">
        <v>9.4871796761961505E-7</v>
      </c>
      <c r="AC229" s="177">
        <v>9.4291540484527353E-7</v>
      </c>
      <c r="AD229" s="177">
        <v>9.479888954209107E-7</v>
      </c>
      <c r="AE229" s="177">
        <v>9.433964311112741E-7</v>
      </c>
      <c r="AF229" s="177">
        <v>9.433964311112741E-7</v>
      </c>
      <c r="AG229" s="177">
        <v>9.433964311112741E-7</v>
      </c>
      <c r="AH229" s="177">
        <v>9.433964311112741E-7</v>
      </c>
      <c r="AI229" s="177">
        <v>9.433964311112741E-7</v>
      </c>
      <c r="AJ229" s="177">
        <v>9.433964311112741E-7</v>
      </c>
      <c r="AK229" s="177">
        <v>9.433964311112741E-7</v>
      </c>
      <c r="AL229" s="177">
        <v>9.433964311112741E-7</v>
      </c>
      <c r="AM229" s="177">
        <v>9.433964311112741E-7</v>
      </c>
      <c r="AN229" s="177">
        <v>9.433964311112741E-7</v>
      </c>
      <c r="AO229" s="177">
        <v>9.433964311112741E-7</v>
      </c>
      <c r="AP229" s="177">
        <v>9.433964311112741E-7</v>
      </c>
      <c r="AQ229" s="177">
        <v>9.433964311112741E-7</v>
      </c>
      <c r="AR229" s="177">
        <v>9.433964311112741E-7</v>
      </c>
      <c r="AS229" s="196">
        <f t="shared" ref="AS229:BV229" si="176">AR229</f>
        <v>9.433964311112741E-7</v>
      </c>
      <c r="AT229" s="196">
        <f t="shared" si="176"/>
        <v>9.433964311112741E-7</v>
      </c>
      <c r="AU229" s="196">
        <f t="shared" si="176"/>
        <v>9.433964311112741E-7</v>
      </c>
      <c r="AV229" s="196">
        <f t="shared" si="176"/>
        <v>9.433964311112741E-7</v>
      </c>
      <c r="AW229" s="196">
        <f t="shared" si="176"/>
        <v>9.433964311112741E-7</v>
      </c>
      <c r="AX229" s="196">
        <f t="shared" si="176"/>
        <v>9.433964311112741E-7</v>
      </c>
      <c r="AY229" s="196">
        <f t="shared" si="176"/>
        <v>9.433964311112741E-7</v>
      </c>
      <c r="AZ229" s="196">
        <f t="shared" si="176"/>
        <v>9.433964311112741E-7</v>
      </c>
      <c r="BA229" s="196">
        <f t="shared" si="176"/>
        <v>9.433964311112741E-7</v>
      </c>
      <c r="BB229" s="196">
        <f t="shared" si="176"/>
        <v>9.433964311112741E-7</v>
      </c>
      <c r="BC229" s="196">
        <f t="shared" si="176"/>
        <v>9.433964311112741E-7</v>
      </c>
      <c r="BD229" s="196">
        <f t="shared" si="176"/>
        <v>9.433964311112741E-7</v>
      </c>
      <c r="BE229" s="196">
        <f t="shared" si="176"/>
        <v>9.433964311112741E-7</v>
      </c>
      <c r="BF229" s="196">
        <f t="shared" si="176"/>
        <v>9.433964311112741E-7</v>
      </c>
      <c r="BG229" s="196">
        <f t="shared" si="176"/>
        <v>9.433964311112741E-7</v>
      </c>
      <c r="BH229" s="196">
        <f t="shared" si="176"/>
        <v>9.433964311112741E-7</v>
      </c>
      <c r="BI229" s="196">
        <f t="shared" si="176"/>
        <v>9.433964311112741E-7</v>
      </c>
      <c r="BJ229" s="196">
        <f t="shared" si="176"/>
        <v>9.433964311112741E-7</v>
      </c>
      <c r="BK229" s="196">
        <f t="shared" si="176"/>
        <v>9.433964311112741E-7</v>
      </c>
      <c r="BL229" s="196">
        <f t="shared" si="176"/>
        <v>9.433964311112741E-7</v>
      </c>
      <c r="BM229" s="196">
        <f t="shared" si="176"/>
        <v>9.433964311112741E-7</v>
      </c>
      <c r="BN229" s="196">
        <f t="shared" si="176"/>
        <v>9.433964311112741E-7</v>
      </c>
      <c r="BO229" s="196">
        <f t="shared" si="176"/>
        <v>9.433964311112741E-7</v>
      </c>
      <c r="BP229" s="196">
        <f t="shared" si="176"/>
        <v>9.433964311112741E-7</v>
      </c>
      <c r="BQ229" s="196">
        <f t="shared" si="176"/>
        <v>9.433964311112741E-7</v>
      </c>
      <c r="BR229" s="196">
        <f t="shared" si="176"/>
        <v>9.433964311112741E-7</v>
      </c>
      <c r="BS229" s="196">
        <f t="shared" si="176"/>
        <v>9.433964311112741E-7</v>
      </c>
      <c r="BT229" s="196">
        <f t="shared" si="176"/>
        <v>9.433964311112741E-7</v>
      </c>
      <c r="BU229" s="196">
        <f t="shared" si="176"/>
        <v>9.433964311112741E-7</v>
      </c>
      <c r="BV229" s="196">
        <f t="shared" si="176"/>
        <v>9.433964311112741E-7</v>
      </c>
    </row>
    <row r="230" spans="1:74" x14ac:dyDescent="0.25">
      <c r="A230" s="141" t="s">
        <v>188</v>
      </c>
      <c r="B230" s="142"/>
      <c r="C230" s="142"/>
      <c r="D230" s="177">
        <v>2.6978417357471459E-6</v>
      </c>
      <c r="E230" s="177">
        <v>2.6978417389524566E-6</v>
      </c>
      <c r="F230" s="177">
        <v>2.6978417421577673E-6</v>
      </c>
      <c r="G230" s="177">
        <v>2.6978417453630777E-6</v>
      </c>
      <c r="H230" s="177">
        <v>2.6978417485683884E-6</v>
      </c>
      <c r="I230" s="177">
        <v>2.6978417517736996E-6</v>
      </c>
      <c r="J230" s="177">
        <v>2.6978416771201585E-6</v>
      </c>
      <c r="K230" s="177">
        <v>2.6978417006865027E-6</v>
      </c>
      <c r="L230" s="177">
        <v>2.5839792853072992E-6</v>
      </c>
      <c r="M230" s="177">
        <v>2.5889967163973347E-6</v>
      </c>
      <c r="N230" s="177">
        <v>2.5889967532216271E-6</v>
      </c>
      <c r="O230" s="177">
        <v>2.5889967567509678E-6</v>
      </c>
      <c r="P230" s="177">
        <v>2.5889967473666931E-6</v>
      </c>
      <c r="Q230" s="177">
        <v>2.5889967649113162E-6</v>
      </c>
      <c r="R230" s="177">
        <v>2.5889967529541222E-6</v>
      </c>
      <c r="S230" s="177">
        <v>2.5889967686127557E-6</v>
      </c>
      <c r="T230" s="177">
        <v>2.5889971681382565E-6</v>
      </c>
      <c r="U230" s="177">
        <v>2.5889975690344362E-6</v>
      </c>
      <c r="V230" s="177">
        <v>2.588997293722101E-6</v>
      </c>
      <c r="W230" s="177">
        <v>2.5889972199744079E-6</v>
      </c>
      <c r="X230" s="177">
        <v>2.5889975645349421E-6</v>
      </c>
      <c r="Y230" s="177">
        <v>2.5889969367003036E-6</v>
      </c>
      <c r="Z230" s="177">
        <v>2.5889973423615687E-6</v>
      </c>
      <c r="AA230" s="177">
        <v>2.5889961470582676E-6</v>
      </c>
      <c r="AB230" s="177">
        <v>2.5888323445489533E-6</v>
      </c>
      <c r="AC230" s="177">
        <v>2.5888319141025715E-6</v>
      </c>
      <c r="AD230" s="177">
        <v>2.5888327551652638E-6</v>
      </c>
      <c r="AE230" s="177">
        <v>2.5888327551652638E-6</v>
      </c>
      <c r="AF230" s="177">
        <v>2.5888327551652638E-6</v>
      </c>
      <c r="AG230" s="177">
        <v>2.5888327551652638E-6</v>
      </c>
      <c r="AH230" s="177">
        <v>2.5888327551652638E-6</v>
      </c>
      <c r="AI230" s="177">
        <v>2.5888327551652638E-6</v>
      </c>
      <c r="AJ230" s="177">
        <v>2.5888327551652638E-6</v>
      </c>
      <c r="AK230" s="177">
        <v>2.5888327551652638E-6</v>
      </c>
      <c r="AL230" s="177">
        <v>2.5888327551652638E-6</v>
      </c>
      <c r="AM230" s="177">
        <v>2.5888327551652638E-6</v>
      </c>
      <c r="AN230" s="177">
        <v>2.5888327551652638E-6</v>
      </c>
      <c r="AO230" s="177">
        <v>2.5888327551652638E-6</v>
      </c>
      <c r="AP230" s="177">
        <v>2.5888327551652638E-6</v>
      </c>
      <c r="AQ230" s="177">
        <v>2.5888327551652638E-6</v>
      </c>
      <c r="AR230" s="177">
        <v>2.5888327551652638E-6</v>
      </c>
      <c r="AS230" s="196">
        <f t="shared" ref="AS230:BV230" si="177">AR230</f>
        <v>2.5888327551652638E-6</v>
      </c>
      <c r="AT230" s="196">
        <f t="shared" si="177"/>
        <v>2.5888327551652638E-6</v>
      </c>
      <c r="AU230" s="196">
        <f t="shared" si="177"/>
        <v>2.5888327551652638E-6</v>
      </c>
      <c r="AV230" s="196">
        <f t="shared" si="177"/>
        <v>2.5888327551652638E-6</v>
      </c>
      <c r="AW230" s="196">
        <f t="shared" si="177"/>
        <v>2.5888327551652638E-6</v>
      </c>
      <c r="AX230" s="196">
        <f t="shared" si="177"/>
        <v>2.5888327551652638E-6</v>
      </c>
      <c r="AY230" s="196">
        <f t="shared" si="177"/>
        <v>2.5888327551652638E-6</v>
      </c>
      <c r="AZ230" s="196">
        <f t="shared" si="177"/>
        <v>2.5888327551652638E-6</v>
      </c>
      <c r="BA230" s="196">
        <f t="shared" si="177"/>
        <v>2.5888327551652638E-6</v>
      </c>
      <c r="BB230" s="196">
        <f t="shared" si="177"/>
        <v>2.5888327551652638E-6</v>
      </c>
      <c r="BC230" s="196">
        <f t="shared" si="177"/>
        <v>2.5888327551652638E-6</v>
      </c>
      <c r="BD230" s="196">
        <f t="shared" si="177"/>
        <v>2.5888327551652638E-6</v>
      </c>
      <c r="BE230" s="196">
        <f t="shared" si="177"/>
        <v>2.5888327551652638E-6</v>
      </c>
      <c r="BF230" s="196">
        <f t="shared" si="177"/>
        <v>2.5888327551652638E-6</v>
      </c>
      <c r="BG230" s="196">
        <f t="shared" si="177"/>
        <v>2.5888327551652638E-6</v>
      </c>
      <c r="BH230" s="196">
        <f t="shared" si="177"/>
        <v>2.5888327551652638E-6</v>
      </c>
      <c r="BI230" s="196">
        <f t="shared" si="177"/>
        <v>2.5888327551652638E-6</v>
      </c>
      <c r="BJ230" s="196">
        <f t="shared" si="177"/>
        <v>2.5888327551652638E-6</v>
      </c>
      <c r="BK230" s="196">
        <f t="shared" si="177"/>
        <v>2.5888327551652638E-6</v>
      </c>
      <c r="BL230" s="196">
        <f t="shared" si="177"/>
        <v>2.5888327551652638E-6</v>
      </c>
      <c r="BM230" s="196">
        <f t="shared" si="177"/>
        <v>2.5888327551652638E-6</v>
      </c>
      <c r="BN230" s="196">
        <f t="shared" si="177"/>
        <v>2.5888327551652638E-6</v>
      </c>
      <c r="BO230" s="196">
        <f t="shared" si="177"/>
        <v>2.5888327551652638E-6</v>
      </c>
      <c r="BP230" s="196">
        <f t="shared" si="177"/>
        <v>2.5888327551652638E-6</v>
      </c>
      <c r="BQ230" s="196">
        <f t="shared" si="177"/>
        <v>2.5888327551652638E-6</v>
      </c>
      <c r="BR230" s="196">
        <f t="shared" si="177"/>
        <v>2.5888327551652638E-6</v>
      </c>
      <c r="BS230" s="196">
        <f t="shared" si="177"/>
        <v>2.5888327551652638E-6</v>
      </c>
      <c r="BT230" s="196">
        <f t="shared" si="177"/>
        <v>2.5888327551652638E-6</v>
      </c>
      <c r="BU230" s="196">
        <f t="shared" si="177"/>
        <v>2.5888327551652638E-6</v>
      </c>
      <c r="BV230" s="196">
        <f t="shared" si="177"/>
        <v>2.5888327551652638E-6</v>
      </c>
    </row>
    <row r="231" spans="1:74" x14ac:dyDescent="0.25">
      <c r="A231" s="147" t="s">
        <v>200</v>
      </c>
      <c r="C231" s="142"/>
      <c r="D231" s="177">
        <v>9.4007042658911426E-7</v>
      </c>
      <c r="E231" s="177">
        <v>9.4007045863606721E-7</v>
      </c>
      <c r="F231" s="177">
        <v>9.4007049068302249E-7</v>
      </c>
      <c r="G231" s="177">
        <v>9.4007052272997989E-7</v>
      </c>
      <c r="H231" s="177">
        <v>9.4007055477693941E-7</v>
      </c>
      <c r="I231" s="177">
        <v>9.4007058682390094E-7</v>
      </c>
      <c r="J231" s="177">
        <v>9.4007046876881668E-7</v>
      </c>
      <c r="K231" s="177">
        <v>9.4007052708942734E-7</v>
      </c>
      <c r="L231" s="177">
        <v>9.4824201528160799E-7</v>
      </c>
      <c r="M231" s="177">
        <v>9.482418439541817E-7</v>
      </c>
      <c r="N231" s="177">
        <v>9.4824184391688377E-7</v>
      </c>
      <c r="O231" s="177">
        <v>9.482417658479457E-7</v>
      </c>
      <c r="P231" s="177">
        <v>9.4824194420074309E-7</v>
      </c>
      <c r="Q231" s="177">
        <v>9.4824177720811866E-7</v>
      </c>
      <c r="R231" s="177">
        <v>9.4824181169534642E-7</v>
      </c>
      <c r="S231" s="177">
        <v>9.482416274889288E-7</v>
      </c>
      <c r="T231" s="177">
        <v>9.4824146680607779E-7</v>
      </c>
      <c r="U231" s="177">
        <v>9.4824311196085648E-7</v>
      </c>
      <c r="V231" s="177">
        <v>9.4824119846906824E-7</v>
      </c>
      <c r="W231" s="177">
        <v>9.4824347139947907E-7</v>
      </c>
      <c r="X231" s="177">
        <v>9.4824254332834167E-7</v>
      </c>
      <c r="Y231" s="177">
        <v>9.4824128922670058E-7</v>
      </c>
      <c r="Z231" s="177">
        <v>9.4824259850741151E-7</v>
      </c>
      <c r="AA231" s="177">
        <v>9.4824259850741151E-7</v>
      </c>
      <c r="AB231" s="177">
        <v>9.4824259850741151E-7</v>
      </c>
      <c r="AC231" s="177">
        <v>9.4824259850741151E-7</v>
      </c>
      <c r="AD231" s="177">
        <v>9.4824848973068197E-7</v>
      </c>
      <c r="AE231" s="177">
        <v>9.4824719802762522E-7</v>
      </c>
      <c r="AF231" s="177">
        <v>9.4824719802762522E-7</v>
      </c>
      <c r="AG231" s="177">
        <v>9.4824719802762522E-7</v>
      </c>
      <c r="AH231" s="177">
        <v>9.4824719802762522E-7</v>
      </c>
      <c r="AI231" s="177">
        <v>9.4824719802762522E-7</v>
      </c>
      <c r="AJ231" s="177">
        <v>9.4824719802762522E-7</v>
      </c>
      <c r="AK231" s="177">
        <v>9.4824719802762522E-7</v>
      </c>
      <c r="AL231" s="177">
        <v>9.4824719802762522E-7</v>
      </c>
      <c r="AM231" s="177">
        <v>9.4824719802762522E-7</v>
      </c>
      <c r="AN231" s="177">
        <v>9.4824719802762522E-7</v>
      </c>
      <c r="AO231" s="177">
        <v>9.4824719802762522E-7</v>
      </c>
      <c r="AP231" s="177">
        <v>9.4824719802762522E-7</v>
      </c>
      <c r="AQ231" s="177">
        <v>9.4824719802762522E-7</v>
      </c>
      <c r="AR231" s="177">
        <v>9.4824719802762522E-7</v>
      </c>
      <c r="AS231" s="196">
        <f t="shared" ref="AS231:BV231" si="178">AR231</f>
        <v>9.4824719802762522E-7</v>
      </c>
      <c r="AT231" s="196">
        <f t="shared" si="178"/>
        <v>9.4824719802762522E-7</v>
      </c>
      <c r="AU231" s="196">
        <f t="shared" si="178"/>
        <v>9.4824719802762522E-7</v>
      </c>
      <c r="AV231" s="196">
        <f t="shared" si="178"/>
        <v>9.4824719802762522E-7</v>
      </c>
      <c r="AW231" s="196">
        <f t="shared" si="178"/>
        <v>9.4824719802762522E-7</v>
      </c>
      <c r="AX231" s="196">
        <f t="shared" si="178"/>
        <v>9.4824719802762522E-7</v>
      </c>
      <c r="AY231" s="196">
        <f t="shared" si="178"/>
        <v>9.4824719802762522E-7</v>
      </c>
      <c r="AZ231" s="196">
        <f t="shared" si="178"/>
        <v>9.4824719802762522E-7</v>
      </c>
      <c r="BA231" s="196">
        <f t="shared" si="178"/>
        <v>9.4824719802762522E-7</v>
      </c>
      <c r="BB231" s="196">
        <f t="shared" si="178"/>
        <v>9.4824719802762522E-7</v>
      </c>
      <c r="BC231" s="196">
        <f t="shared" si="178"/>
        <v>9.4824719802762522E-7</v>
      </c>
      <c r="BD231" s="196">
        <f t="shared" si="178"/>
        <v>9.4824719802762522E-7</v>
      </c>
      <c r="BE231" s="196">
        <f t="shared" si="178"/>
        <v>9.4824719802762522E-7</v>
      </c>
      <c r="BF231" s="196">
        <f t="shared" si="178"/>
        <v>9.4824719802762522E-7</v>
      </c>
      <c r="BG231" s="196">
        <f t="shared" si="178"/>
        <v>9.4824719802762522E-7</v>
      </c>
      <c r="BH231" s="196">
        <f t="shared" si="178"/>
        <v>9.4824719802762522E-7</v>
      </c>
      <c r="BI231" s="196">
        <f t="shared" si="178"/>
        <v>9.4824719802762522E-7</v>
      </c>
      <c r="BJ231" s="196">
        <f t="shared" si="178"/>
        <v>9.4824719802762522E-7</v>
      </c>
      <c r="BK231" s="196">
        <f t="shared" si="178"/>
        <v>9.4824719802762522E-7</v>
      </c>
      <c r="BL231" s="196">
        <f t="shared" si="178"/>
        <v>9.4824719802762522E-7</v>
      </c>
      <c r="BM231" s="196">
        <f t="shared" si="178"/>
        <v>9.4824719802762522E-7</v>
      </c>
      <c r="BN231" s="196">
        <f t="shared" si="178"/>
        <v>9.4824719802762522E-7</v>
      </c>
      <c r="BO231" s="196">
        <f t="shared" si="178"/>
        <v>9.4824719802762522E-7</v>
      </c>
      <c r="BP231" s="196">
        <f t="shared" si="178"/>
        <v>9.4824719802762522E-7</v>
      </c>
      <c r="BQ231" s="196">
        <f t="shared" si="178"/>
        <v>9.4824719802762522E-7</v>
      </c>
      <c r="BR231" s="196">
        <f t="shared" si="178"/>
        <v>9.4824719802762522E-7</v>
      </c>
      <c r="BS231" s="196">
        <f t="shared" si="178"/>
        <v>9.4824719802762522E-7</v>
      </c>
      <c r="BT231" s="196">
        <f t="shared" si="178"/>
        <v>9.4824719802762522E-7</v>
      </c>
      <c r="BU231" s="196">
        <f t="shared" si="178"/>
        <v>9.4824719802762522E-7</v>
      </c>
      <c r="BV231" s="196">
        <f t="shared" si="178"/>
        <v>9.4824719802762522E-7</v>
      </c>
    </row>
    <row r="232" spans="1:74" x14ac:dyDescent="0.25">
      <c r="A232" s="141" t="s">
        <v>194</v>
      </c>
      <c r="B232" s="148"/>
      <c r="C232" s="142"/>
      <c r="D232" s="177">
        <v>7.8121255546175339E-7</v>
      </c>
      <c r="E232" s="177">
        <v>7.8552599932377603E-7</v>
      </c>
      <c r="F232" s="177">
        <v>7.8983944318914021E-7</v>
      </c>
      <c r="G232" s="177">
        <v>7.9415288705784583E-7</v>
      </c>
      <c r="H232" s="177">
        <v>7.9846633092989289E-7</v>
      </c>
      <c r="I232" s="177">
        <v>8.0277977480528118E-7</v>
      </c>
      <c r="J232" s="177">
        <v>8.0421758803781983E-7</v>
      </c>
      <c r="K232" s="177">
        <v>8.0565540367559155E-7</v>
      </c>
      <c r="L232" s="177">
        <v>7.9247058823529418E-7</v>
      </c>
      <c r="M232" s="177">
        <v>7.9388235020978218E-7</v>
      </c>
      <c r="N232" s="177">
        <v>7.952941150204448E-7</v>
      </c>
      <c r="O232" s="177">
        <v>7.8682352713814762E-7</v>
      </c>
      <c r="P232" s="177">
        <v>7.7835293895449792E-7</v>
      </c>
      <c r="Q232" s="177">
        <v>7.6988235294117628E-7</v>
      </c>
      <c r="R232" s="177">
        <v>7.6141176470588203E-7</v>
      </c>
      <c r="S232" s="177">
        <v>7.5294117445097356E-7</v>
      </c>
      <c r="T232" s="177">
        <v>7.5294117456631351E-7</v>
      </c>
      <c r="U232" s="177">
        <v>7.5764706237625108E-7</v>
      </c>
      <c r="V232" s="177">
        <v>7.4352938549604349E-7</v>
      </c>
      <c r="W232" s="177">
        <v>7.5294109837812189E-7</v>
      </c>
      <c r="X232" s="177">
        <v>7.5529419656202649E-7</v>
      </c>
      <c r="Y232" s="177">
        <v>7.6705880963440799E-7</v>
      </c>
      <c r="Z232" s="177">
        <v>8.4534374376200815E-7</v>
      </c>
      <c r="AA232" s="177">
        <v>8.5920167265093158E-7</v>
      </c>
      <c r="AB232" s="177">
        <v>8.5920167265093158E-7</v>
      </c>
      <c r="AC232" s="177">
        <v>8.5920167265093158E-7</v>
      </c>
      <c r="AD232" s="177">
        <v>8.5920178120384003E-7</v>
      </c>
      <c r="AE232" s="177">
        <v>8.5920178120384003E-7</v>
      </c>
      <c r="AF232" s="177">
        <v>8.5920178120384003E-7</v>
      </c>
      <c r="AG232" s="177">
        <v>8.5920178120384003E-7</v>
      </c>
      <c r="AH232" s="177">
        <v>8.5920178120384003E-7</v>
      </c>
      <c r="AI232" s="177">
        <v>8.5920178120384003E-7</v>
      </c>
      <c r="AJ232" s="177">
        <v>8.5920178120384003E-7</v>
      </c>
      <c r="AK232" s="177">
        <v>8.5920178120384003E-7</v>
      </c>
      <c r="AL232" s="177">
        <v>8.5920178120384003E-7</v>
      </c>
      <c r="AM232" s="177">
        <v>8.5920178120384003E-7</v>
      </c>
      <c r="AN232" s="177">
        <v>8.5920178120384003E-7</v>
      </c>
      <c r="AO232" s="177">
        <v>8.5920178120384003E-7</v>
      </c>
      <c r="AP232" s="177">
        <v>8.5920178120384003E-7</v>
      </c>
      <c r="AQ232" s="177">
        <v>8.5920178120384003E-7</v>
      </c>
      <c r="AR232" s="177">
        <v>8.5920178120384003E-7</v>
      </c>
      <c r="AS232" s="196">
        <f t="shared" ref="AS232:BV232" si="179">AR232</f>
        <v>8.5920178120384003E-7</v>
      </c>
      <c r="AT232" s="196">
        <f t="shared" si="179"/>
        <v>8.5920178120384003E-7</v>
      </c>
      <c r="AU232" s="196">
        <f t="shared" si="179"/>
        <v>8.5920178120384003E-7</v>
      </c>
      <c r="AV232" s="196">
        <f t="shared" si="179"/>
        <v>8.5920178120384003E-7</v>
      </c>
      <c r="AW232" s="196">
        <f t="shared" si="179"/>
        <v>8.5920178120384003E-7</v>
      </c>
      <c r="AX232" s="196">
        <f t="shared" si="179"/>
        <v>8.5920178120384003E-7</v>
      </c>
      <c r="AY232" s="196">
        <f t="shared" si="179"/>
        <v>8.5920178120384003E-7</v>
      </c>
      <c r="AZ232" s="196">
        <f t="shared" si="179"/>
        <v>8.5920178120384003E-7</v>
      </c>
      <c r="BA232" s="196">
        <f t="shared" si="179"/>
        <v>8.5920178120384003E-7</v>
      </c>
      <c r="BB232" s="196">
        <f t="shared" si="179"/>
        <v>8.5920178120384003E-7</v>
      </c>
      <c r="BC232" s="196">
        <f t="shared" si="179"/>
        <v>8.5920178120384003E-7</v>
      </c>
      <c r="BD232" s="196">
        <f t="shared" si="179"/>
        <v>8.5920178120384003E-7</v>
      </c>
      <c r="BE232" s="196">
        <f t="shared" si="179"/>
        <v>8.5920178120384003E-7</v>
      </c>
      <c r="BF232" s="196">
        <f t="shared" si="179"/>
        <v>8.5920178120384003E-7</v>
      </c>
      <c r="BG232" s="196">
        <f t="shared" si="179"/>
        <v>8.5920178120384003E-7</v>
      </c>
      <c r="BH232" s="196">
        <f t="shared" si="179"/>
        <v>8.5920178120384003E-7</v>
      </c>
      <c r="BI232" s="196">
        <f t="shared" si="179"/>
        <v>8.5920178120384003E-7</v>
      </c>
      <c r="BJ232" s="196">
        <f t="shared" si="179"/>
        <v>8.5920178120384003E-7</v>
      </c>
      <c r="BK232" s="196">
        <f t="shared" si="179"/>
        <v>8.5920178120384003E-7</v>
      </c>
      <c r="BL232" s="196">
        <f t="shared" si="179"/>
        <v>8.5920178120384003E-7</v>
      </c>
      <c r="BM232" s="196">
        <f t="shared" si="179"/>
        <v>8.5920178120384003E-7</v>
      </c>
      <c r="BN232" s="196">
        <f t="shared" si="179"/>
        <v>8.5920178120384003E-7</v>
      </c>
      <c r="BO232" s="196">
        <f t="shared" si="179"/>
        <v>8.5920178120384003E-7</v>
      </c>
      <c r="BP232" s="196">
        <f t="shared" si="179"/>
        <v>8.5920178120384003E-7</v>
      </c>
      <c r="BQ232" s="196">
        <f t="shared" si="179"/>
        <v>8.5920178120384003E-7</v>
      </c>
      <c r="BR232" s="196">
        <f t="shared" si="179"/>
        <v>8.5920178120384003E-7</v>
      </c>
      <c r="BS232" s="196">
        <f t="shared" si="179"/>
        <v>8.5920178120384003E-7</v>
      </c>
      <c r="BT232" s="196">
        <f t="shared" si="179"/>
        <v>8.5920178120384003E-7</v>
      </c>
      <c r="BU232" s="196">
        <f t="shared" si="179"/>
        <v>8.5920178120384003E-7</v>
      </c>
      <c r="BV232" s="196">
        <f t="shared" si="179"/>
        <v>8.5920178120384003E-7</v>
      </c>
    </row>
    <row r="233" spans="1:74" x14ac:dyDescent="0.25">
      <c r="A233" s="147" t="s">
        <v>201</v>
      </c>
      <c r="C233" s="142"/>
      <c r="D233" s="177">
        <v>1.910219675262655E-6</v>
      </c>
      <c r="E233" s="177">
        <v>1.910219675262655E-6</v>
      </c>
      <c r="F233" s="177">
        <v>1.910219675262655E-6</v>
      </c>
      <c r="G233" s="177">
        <v>1.910219675262655E-6</v>
      </c>
      <c r="H233" s="177">
        <v>1.910219675262655E-6</v>
      </c>
      <c r="I233" s="177">
        <v>1.910219675262655E-6</v>
      </c>
      <c r="J233" s="177">
        <v>1.910219675262655E-6</v>
      </c>
      <c r="K233" s="177">
        <v>1.910219675262655E-6</v>
      </c>
      <c r="L233" s="177">
        <v>1.910219675262655E-6</v>
      </c>
      <c r="M233" s="177">
        <v>1.910219675262655E-6</v>
      </c>
      <c r="N233" s="177">
        <v>1.910219675262655E-6</v>
      </c>
      <c r="O233" s="177">
        <v>1.910219675262655E-6</v>
      </c>
      <c r="P233" s="177">
        <v>1.910219675262655E-6</v>
      </c>
      <c r="Q233" s="177">
        <v>1.910219675262655E-6</v>
      </c>
      <c r="R233" s="177">
        <v>1.910219675262655E-6</v>
      </c>
      <c r="S233" s="177">
        <v>1.9102196604836949E-6</v>
      </c>
      <c r="T233" s="177">
        <v>1.9102197017180211E-6</v>
      </c>
      <c r="U233" s="177">
        <v>1.9102197095119837E-6</v>
      </c>
      <c r="V233" s="177">
        <v>1.9102196234247274E-6</v>
      </c>
      <c r="W233" s="177">
        <v>1.9102196352716296E-6</v>
      </c>
      <c r="X233" s="177">
        <v>1.9102197422501803E-6</v>
      </c>
      <c r="Y233" s="177">
        <v>1.910219733106164E-6</v>
      </c>
      <c r="Z233" s="177">
        <v>1.9102196940749794E-6</v>
      </c>
      <c r="AA233" s="177">
        <v>1.9102196262939452E-6</v>
      </c>
      <c r="AB233" s="177">
        <v>1.9102196847976257E-6</v>
      </c>
      <c r="AC233" s="177">
        <v>1.9102196393552953E-6</v>
      </c>
      <c r="AD233" s="177">
        <v>1.9102197229647723E-6</v>
      </c>
      <c r="AE233" s="177">
        <v>1.9102196192977084E-6</v>
      </c>
      <c r="AF233" s="177">
        <v>1.9102196192977084E-6</v>
      </c>
      <c r="AG233" s="177">
        <v>1.9102196192977084E-6</v>
      </c>
      <c r="AH233" s="177">
        <v>1.9102196192977084E-6</v>
      </c>
      <c r="AI233" s="177">
        <v>1.9102196192977084E-6</v>
      </c>
      <c r="AJ233" s="177">
        <v>1.9102196192977084E-6</v>
      </c>
      <c r="AK233" s="177">
        <v>1.9102196192977084E-6</v>
      </c>
      <c r="AL233" s="177">
        <v>1.9102196192977084E-6</v>
      </c>
      <c r="AM233" s="177">
        <v>1.9102196192977084E-6</v>
      </c>
      <c r="AN233" s="177">
        <v>1.9102196192977084E-6</v>
      </c>
      <c r="AO233" s="177">
        <v>1.9102196192977084E-6</v>
      </c>
      <c r="AP233" s="177">
        <v>1.9102196192977084E-6</v>
      </c>
      <c r="AQ233" s="177">
        <v>1.9102196192977084E-6</v>
      </c>
      <c r="AR233" s="177">
        <v>1.9102196192977084E-6</v>
      </c>
      <c r="AS233" s="196">
        <f t="shared" ref="AS233:BV233" si="180">AR233</f>
        <v>1.9102196192977084E-6</v>
      </c>
      <c r="AT233" s="196">
        <f t="shared" si="180"/>
        <v>1.9102196192977084E-6</v>
      </c>
      <c r="AU233" s="196">
        <f t="shared" si="180"/>
        <v>1.9102196192977084E-6</v>
      </c>
      <c r="AV233" s="196">
        <f t="shared" si="180"/>
        <v>1.9102196192977084E-6</v>
      </c>
      <c r="AW233" s="196">
        <f t="shared" si="180"/>
        <v>1.9102196192977084E-6</v>
      </c>
      <c r="AX233" s="196">
        <f t="shared" si="180"/>
        <v>1.9102196192977084E-6</v>
      </c>
      <c r="AY233" s="196">
        <f t="shared" si="180"/>
        <v>1.9102196192977084E-6</v>
      </c>
      <c r="AZ233" s="196">
        <f t="shared" si="180"/>
        <v>1.9102196192977084E-6</v>
      </c>
      <c r="BA233" s="196">
        <f t="shared" si="180"/>
        <v>1.9102196192977084E-6</v>
      </c>
      <c r="BB233" s="196">
        <f t="shared" si="180"/>
        <v>1.9102196192977084E-6</v>
      </c>
      <c r="BC233" s="196">
        <f t="shared" si="180"/>
        <v>1.9102196192977084E-6</v>
      </c>
      <c r="BD233" s="196">
        <f t="shared" si="180"/>
        <v>1.9102196192977084E-6</v>
      </c>
      <c r="BE233" s="196">
        <f t="shared" si="180"/>
        <v>1.9102196192977084E-6</v>
      </c>
      <c r="BF233" s="196">
        <f t="shared" si="180"/>
        <v>1.9102196192977084E-6</v>
      </c>
      <c r="BG233" s="196">
        <f t="shared" si="180"/>
        <v>1.9102196192977084E-6</v>
      </c>
      <c r="BH233" s="196">
        <f t="shared" si="180"/>
        <v>1.9102196192977084E-6</v>
      </c>
      <c r="BI233" s="196">
        <f t="shared" si="180"/>
        <v>1.9102196192977084E-6</v>
      </c>
      <c r="BJ233" s="196">
        <f t="shared" si="180"/>
        <v>1.9102196192977084E-6</v>
      </c>
      <c r="BK233" s="196">
        <f t="shared" si="180"/>
        <v>1.9102196192977084E-6</v>
      </c>
      <c r="BL233" s="196">
        <f t="shared" si="180"/>
        <v>1.9102196192977084E-6</v>
      </c>
      <c r="BM233" s="196">
        <f t="shared" si="180"/>
        <v>1.9102196192977084E-6</v>
      </c>
      <c r="BN233" s="196">
        <f t="shared" si="180"/>
        <v>1.9102196192977084E-6</v>
      </c>
      <c r="BO233" s="196">
        <f t="shared" si="180"/>
        <v>1.9102196192977084E-6</v>
      </c>
      <c r="BP233" s="196">
        <f t="shared" si="180"/>
        <v>1.9102196192977084E-6</v>
      </c>
      <c r="BQ233" s="196">
        <f t="shared" si="180"/>
        <v>1.9102196192977084E-6</v>
      </c>
      <c r="BR233" s="196">
        <f t="shared" si="180"/>
        <v>1.9102196192977084E-6</v>
      </c>
      <c r="BS233" s="196">
        <f t="shared" si="180"/>
        <v>1.9102196192977084E-6</v>
      </c>
      <c r="BT233" s="196">
        <f t="shared" si="180"/>
        <v>1.9102196192977084E-6</v>
      </c>
      <c r="BU233" s="196">
        <f t="shared" si="180"/>
        <v>1.9102196192977084E-6</v>
      </c>
      <c r="BV233" s="196">
        <f t="shared" si="180"/>
        <v>1.9102196192977084E-6</v>
      </c>
    </row>
    <row r="234" spans="1:74" x14ac:dyDescent="0.25">
      <c r="A234" s="147" t="s">
        <v>202</v>
      </c>
      <c r="C234" s="142"/>
      <c r="D234" s="177"/>
      <c r="E234" s="177"/>
      <c r="F234" s="177"/>
      <c r="G234" s="177"/>
      <c r="H234" s="177"/>
      <c r="I234" s="177"/>
      <c r="J234" s="177"/>
      <c r="K234" s="177"/>
      <c r="L234" s="177"/>
      <c r="M234" s="177"/>
      <c r="N234" s="177"/>
      <c r="O234" s="177"/>
      <c r="P234" s="177"/>
      <c r="Q234" s="177"/>
      <c r="R234" s="177"/>
      <c r="S234" s="177"/>
      <c r="T234" s="177"/>
      <c r="U234" s="177"/>
      <c r="V234" s="177"/>
      <c r="W234" s="177"/>
      <c r="X234" s="177"/>
      <c r="Y234" s="177"/>
      <c r="Z234" s="177"/>
      <c r="AA234" s="177"/>
      <c r="AB234" s="177"/>
      <c r="AC234" s="177"/>
      <c r="AD234" s="177"/>
      <c r="AE234" s="177"/>
      <c r="AF234" s="177"/>
      <c r="AG234" s="177"/>
      <c r="AH234" s="177"/>
      <c r="AI234" s="177"/>
      <c r="AJ234" s="177"/>
      <c r="AK234" s="177"/>
      <c r="AL234" s="177"/>
      <c r="AM234" s="177"/>
      <c r="AN234" s="177"/>
      <c r="AO234" s="177"/>
      <c r="AP234" s="177"/>
      <c r="AQ234" s="177"/>
      <c r="AR234" s="177"/>
      <c r="AS234" s="196">
        <f t="shared" ref="AS234:BV234" si="181">AR234</f>
        <v>0</v>
      </c>
      <c r="AT234" s="196">
        <f t="shared" si="181"/>
        <v>0</v>
      </c>
      <c r="AU234" s="196">
        <f t="shared" si="181"/>
        <v>0</v>
      </c>
      <c r="AV234" s="196">
        <f t="shared" si="181"/>
        <v>0</v>
      </c>
      <c r="AW234" s="196">
        <f t="shared" si="181"/>
        <v>0</v>
      </c>
      <c r="AX234" s="196">
        <f t="shared" si="181"/>
        <v>0</v>
      </c>
      <c r="AY234" s="196">
        <f t="shared" si="181"/>
        <v>0</v>
      </c>
      <c r="AZ234" s="196">
        <f t="shared" si="181"/>
        <v>0</v>
      </c>
      <c r="BA234" s="196">
        <f t="shared" si="181"/>
        <v>0</v>
      </c>
      <c r="BB234" s="196">
        <f t="shared" si="181"/>
        <v>0</v>
      </c>
      <c r="BC234" s="196">
        <f t="shared" si="181"/>
        <v>0</v>
      </c>
      <c r="BD234" s="196">
        <f t="shared" si="181"/>
        <v>0</v>
      </c>
      <c r="BE234" s="196">
        <f t="shared" si="181"/>
        <v>0</v>
      </c>
      <c r="BF234" s="196">
        <f t="shared" si="181"/>
        <v>0</v>
      </c>
      <c r="BG234" s="196">
        <f t="shared" si="181"/>
        <v>0</v>
      </c>
      <c r="BH234" s="196">
        <f t="shared" si="181"/>
        <v>0</v>
      </c>
      <c r="BI234" s="196">
        <f t="shared" si="181"/>
        <v>0</v>
      </c>
      <c r="BJ234" s="196">
        <f t="shared" si="181"/>
        <v>0</v>
      </c>
      <c r="BK234" s="196">
        <f t="shared" si="181"/>
        <v>0</v>
      </c>
      <c r="BL234" s="196">
        <f t="shared" si="181"/>
        <v>0</v>
      </c>
      <c r="BM234" s="196">
        <f t="shared" si="181"/>
        <v>0</v>
      </c>
      <c r="BN234" s="196">
        <f t="shared" si="181"/>
        <v>0</v>
      </c>
      <c r="BO234" s="196">
        <f t="shared" si="181"/>
        <v>0</v>
      </c>
      <c r="BP234" s="196">
        <f t="shared" si="181"/>
        <v>0</v>
      </c>
      <c r="BQ234" s="196">
        <f t="shared" si="181"/>
        <v>0</v>
      </c>
      <c r="BR234" s="196">
        <f t="shared" si="181"/>
        <v>0</v>
      </c>
      <c r="BS234" s="196">
        <f t="shared" si="181"/>
        <v>0</v>
      </c>
      <c r="BT234" s="196">
        <f t="shared" si="181"/>
        <v>0</v>
      </c>
      <c r="BU234" s="196">
        <f t="shared" si="181"/>
        <v>0</v>
      </c>
      <c r="BV234" s="196">
        <f t="shared" si="181"/>
        <v>0</v>
      </c>
    </row>
    <row r="235" spans="1:74" x14ac:dyDescent="0.25">
      <c r="A235" s="147" t="s">
        <v>204</v>
      </c>
      <c r="B235" s="148"/>
      <c r="C235" s="142"/>
      <c r="D235" s="177">
        <v>8.7446351931330464E-7</v>
      </c>
      <c r="E235" s="177">
        <v>8.7929184549356224E-7</v>
      </c>
      <c r="F235" s="177">
        <v>8.8412017167381983E-7</v>
      </c>
      <c r="G235" s="177">
        <v>8.8894849785407733E-7</v>
      </c>
      <c r="H235" s="177">
        <v>8.9377682403433492E-7</v>
      </c>
      <c r="I235" s="177">
        <v>8.9860515021459242E-7</v>
      </c>
      <c r="J235" s="177">
        <v>9.0021459227467803E-7</v>
      </c>
      <c r="K235" s="177">
        <v>9.0182403433476397E-7</v>
      </c>
      <c r="L235" s="177">
        <v>8.9336870026525203E-7</v>
      </c>
      <c r="M235" s="177">
        <v>9.3514412416851437E-7</v>
      </c>
      <c r="N235" s="177">
        <v>9.3680709534368085E-7</v>
      </c>
      <c r="O235" s="177">
        <v>9.2682926829268296E-7</v>
      </c>
      <c r="P235" s="177">
        <v>9.1685144124168507E-7</v>
      </c>
      <c r="Q235" s="177">
        <v>9.0687361419068718E-7</v>
      </c>
      <c r="R235" s="177">
        <v>8.9689578713968929E-7</v>
      </c>
      <c r="S235" s="177">
        <v>8.8691796008869141E-7</v>
      </c>
      <c r="T235" s="177">
        <v>8.8691796008869183E-7</v>
      </c>
      <c r="U235" s="177">
        <v>8.9246119733924611E-7</v>
      </c>
      <c r="V235" s="177">
        <v>8.7583148558758328E-7</v>
      </c>
      <c r="W235" s="177">
        <v>8.8691796008869183E-7</v>
      </c>
      <c r="X235" s="177">
        <v>8.8968957871396907E-7</v>
      </c>
      <c r="Y235" s="177">
        <v>9.0354767184035476E-7</v>
      </c>
      <c r="Z235" s="177">
        <v>8.4534368070953444E-7</v>
      </c>
      <c r="AA235" s="177">
        <v>8.5920177383592024E-7</v>
      </c>
      <c r="AB235" s="177">
        <v>8.5920177383592024E-7</v>
      </c>
      <c r="AC235" s="177">
        <v>8.5920177383592024E-7</v>
      </c>
      <c r="AD235" s="177">
        <v>8.5920177383592024E-7</v>
      </c>
      <c r="AE235" s="177">
        <v>8.5920177383592024E-7</v>
      </c>
      <c r="AF235" s="177">
        <v>8.5920177383592024E-7</v>
      </c>
      <c r="AG235" s="177">
        <v>8.5920177383592024E-7</v>
      </c>
      <c r="AH235" s="177">
        <v>8.5920177383592024E-7</v>
      </c>
      <c r="AI235" s="177">
        <v>8.5920177383592024E-7</v>
      </c>
      <c r="AJ235" s="177">
        <v>8.5920177383592024E-7</v>
      </c>
      <c r="AK235" s="177">
        <v>8.5920177383592024E-7</v>
      </c>
      <c r="AL235" s="177">
        <v>8.5920177383592024E-7</v>
      </c>
      <c r="AM235" s="177">
        <v>8.5920177383592024E-7</v>
      </c>
      <c r="AN235" s="177">
        <v>8.5920177383592024E-7</v>
      </c>
      <c r="AO235" s="177">
        <v>8.5920177383592024E-7</v>
      </c>
      <c r="AP235" s="177">
        <v>8.5920177383592024E-7</v>
      </c>
      <c r="AQ235" s="177">
        <v>8.5920177383592024E-7</v>
      </c>
      <c r="AR235" s="177">
        <v>8.5920177383592024E-7</v>
      </c>
      <c r="AS235" s="196">
        <f>AR235</f>
        <v>8.5920177383592024E-7</v>
      </c>
      <c r="AT235" s="196">
        <f t="shared" ref="AT235:BV235" si="182">AS235</f>
        <v>8.5920177383592024E-7</v>
      </c>
      <c r="AU235" s="196">
        <f t="shared" si="182"/>
        <v>8.5920177383592024E-7</v>
      </c>
      <c r="AV235" s="196">
        <f t="shared" si="182"/>
        <v>8.5920177383592024E-7</v>
      </c>
      <c r="AW235" s="196">
        <f t="shared" si="182"/>
        <v>8.5920177383592024E-7</v>
      </c>
      <c r="AX235" s="196">
        <f t="shared" si="182"/>
        <v>8.5920177383592024E-7</v>
      </c>
      <c r="AY235" s="196">
        <f t="shared" si="182"/>
        <v>8.5920177383592024E-7</v>
      </c>
      <c r="AZ235" s="196">
        <f t="shared" si="182"/>
        <v>8.5920177383592024E-7</v>
      </c>
      <c r="BA235" s="196">
        <f t="shared" si="182"/>
        <v>8.5920177383592024E-7</v>
      </c>
      <c r="BB235" s="196">
        <f t="shared" si="182"/>
        <v>8.5920177383592024E-7</v>
      </c>
      <c r="BC235" s="196">
        <f t="shared" si="182"/>
        <v>8.5920177383592024E-7</v>
      </c>
      <c r="BD235" s="196">
        <f t="shared" si="182"/>
        <v>8.5920177383592024E-7</v>
      </c>
      <c r="BE235" s="196">
        <f t="shared" si="182"/>
        <v>8.5920177383592024E-7</v>
      </c>
      <c r="BF235" s="196">
        <f t="shared" si="182"/>
        <v>8.5920177383592024E-7</v>
      </c>
      <c r="BG235" s="196">
        <f t="shared" si="182"/>
        <v>8.5920177383592024E-7</v>
      </c>
      <c r="BH235" s="196">
        <f t="shared" si="182"/>
        <v>8.5920177383592024E-7</v>
      </c>
      <c r="BI235" s="196">
        <f t="shared" si="182"/>
        <v>8.5920177383592024E-7</v>
      </c>
      <c r="BJ235" s="196">
        <f t="shared" si="182"/>
        <v>8.5920177383592024E-7</v>
      </c>
      <c r="BK235" s="196">
        <f t="shared" si="182"/>
        <v>8.5920177383592024E-7</v>
      </c>
      <c r="BL235" s="196">
        <f t="shared" si="182"/>
        <v>8.5920177383592024E-7</v>
      </c>
      <c r="BM235" s="196">
        <f t="shared" si="182"/>
        <v>8.5920177383592024E-7</v>
      </c>
      <c r="BN235" s="196">
        <f t="shared" si="182"/>
        <v>8.5920177383592024E-7</v>
      </c>
      <c r="BO235" s="196">
        <f t="shared" si="182"/>
        <v>8.5920177383592024E-7</v>
      </c>
      <c r="BP235" s="196">
        <f t="shared" si="182"/>
        <v>8.5920177383592024E-7</v>
      </c>
      <c r="BQ235" s="196">
        <f t="shared" si="182"/>
        <v>8.5920177383592024E-7</v>
      </c>
      <c r="BR235" s="196">
        <f t="shared" si="182"/>
        <v>8.5920177383592024E-7</v>
      </c>
      <c r="BS235" s="196">
        <f t="shared" si="182"/>
        <v>8.5920177383592024E-7</v>
      </c>
      <c r="BT235" s="196">
        <f t="shared" si="182"/>
        <v>8.5920177383592024E-7</v>
      </c>
      <c r="BU235" s="196">
        <f t="shared" si="182"/>
        <v>8.5920177383592024E-7</v>
      </c>
      <c r="BV235" s="196">
        <f t="shared" si="182"/>
        <v>8.5920177383592024E-7</v>
      </c>
    </row>
    <row r="236" spans="1:74" x14ac:dyDescent="0.25">
      <c r="A236" s="147" t="s">
        <v>205</v>
      </c>
      <c r="B236" s="148"/>
      <c r="C236" s="142"/>
      <c r="D236" s="177"/>
      <c r="E236" s="177"/>
      <c r="F236" s="177"/>
      <c r="G236" s="177"/>
      <c r="H236" s="177"/>
      <c r="I236" s="177"/>
      <c r="J236" s="177"/>
      <c r="K236" s="177"/>
      <c r="L236" s="177"/>
      <c r="M236" s="177"/>
      <c r="N236" s="177"/>
      <c r="O236" s="177"/>
      <c r="P236" s="177"/>
      <c r="Q236" s="177"/>
      <c r="R236" s="177"/>
      <c r="S236" s="177"/>
      <c r="T236" s="177"/>
      <c r="U236" s="177"/>
      <c r="V236" s="177"/>
      <c r="W236" s="177"/>
      <c r="X236" s="177"/>
      <c r="Y236" s="177"/>
      <c r="Z236" s="177"/>
      <c r="AA236" s="177"/>
      <c r="AB236" s="177"/>
      <c r="AC236" s="177"/>
      <c r="AD236" s="177"/>
      <c r="AE236" s="177"/>
      <c r="AF236" s="177"/>
      <c r="AG236" s="177"/>
      <c r="AH236" s="177"/>
      <c r="AI236" s="177"/>
      <c r="AJ236" s="177"/>
      <c r="AK236" s="177"/>
      <c r="AL236" s="177"/>
      <c r="AM236" s="177"/>
      <c r="AN236" s="177"/>
      <c r="AO236" s="177"/>
      <c r="AP236" s="177"/>
      <c r="AQ236" s="177"/>
      <c r="AR236" s="177"/>
      <c r="AS236" s="196">
        <f t="shared" ref="AS236:BV236" si="183">AR236</f>
        <v>0</v>
      </c>
      <c r="AT236" s="196">
        <f t="shared" si="183"/>
        <v>0</v>
      </c>
      <c r="AU236" s="196">
        <f t="shared" si="183"/>
        <v>0</v>
      </c>
      <c r="AV236" s="196">
        <f t="shared" si="183"/>
        <v>0</v>
      </c>
      <c r="AW236" s="196">
        <f t="shared" si="183"/>
        <v>0</v>
      </c>
      <c r="AX236" s="196">
        <f t="shared" si="183"/>
        <v>0</v>
      </c>
      <c r="AY236" s="196">
        <f t="shared" si="183"/>
        <v>0</v>
      </c>
      <c r="AZ236" s="196">
        <f t="shared" si="183"/>
        <v>0</v>
      </c>
      <c r="BA236" s="196">
        <f t="shared" si="183"/>
        <v>0</v>
      </c>
      <c r="BB236" s="196">
        <f t="shared" si="183"/>
        <v>0</v>
      </c>
      <c r="BC236" s="196">
        <f t="shared" si="183"/>
        <v>0</v>
      </c>
      <c r="BD236" s="196">
        <f t="shared" si="183"/>
        <v>0</v>
      </c>
      <c r="BE236" s="196">
        <f t="shared" si="183"/>
        <v>0</v>
      </c>
      <c r="BF236" s="196">
        <f t="shared" si="183"/>
        <v>0</v>
      </c>
      <c r="BG236" s="196">
        <f t="shared" si="183"/>
        <v>0</v>
      </c>
      <c r="BH236" s="196">
        <f t="shared" si="183"/>
        <v>0</v>
      </c>
      <c r="BI236" s="196">
        <f t="shared" si="183"/>
        <v>0</v>
      </c>
      <c r="BJ236" s="196">
        <f t="shared" si="183"/>
        <v>0</v>
      </c>
      <c r="BK236" s="196">
        <f t="shared" si="183"/>
        <v>0</v>
      </c>
      <c r="BL236" s="196">
        <f t="shared" si="183"/>
        <v>0</v>
      </c>
      <c r="BM236" s="196">
        <f t="shared" si="183"/>
        <v>0</v>
      </c>
      <c r="BN236" s="196">
        <f t="shared" si="183"/>
        <v>0</v>
      </c>
      <c r="BO236" s="196">
        <f t="shared" si="183"/>
        <v>0</v>
      </c>
      <c r="BP236" s="196">
        <f t="shared" si="183"/>
        <v>0</v>
      </c>
      <c r="BQ236" s="196">
        <f t="shared" si="183"/>
        <v>0</v>
      </c>
      <c r="BR236" s="196">
        <f t="shared" si="183"/>
        <v>0</v>
      </c>
      <c r="BS236" s="196">
        <f t="shared" si="183"/>
        <v>0</v>
      </c>
      <c r="BT236" s="196">
        <f t="shared" si="183"/>
        <v>0</v>
      </c>
      <c r="BU236" s="196">
        <f t="shared" si="183"/>
        <v>0</v>
      </c>
      <c r="BV236" s="196">
        <f t="shared" si="183"/>
        <v>0</v>
      </c>
    </row>
    <row r="237" spans="1:74" x14ac:dyDescent="0.25">
      <c r="A237" s="147" t="s">
        <v>207</v>
      </c>
      <c r="B237" s="148"/>
      <c r="C237" s="142"/>
      <c r="D237" s="177">
        <v>3.0000000000000001E-5</v>
      </c>
      <c r="E237" s="177">
        <v>3.0000000000000001E-5</v>
      </c>
      <c r="F237" s="177">
        <v>3.0000000000000001E-5</v>
      </c>
      <c r="G237" s="177">
        <v>3.0000000000000001E-5</v>
      </c>
      <c r="H237" s="177">
        <v>3.0000000000000001E-5</v>
      </c>
      <c r="I237" s="177">
        <v>3.0000000000000001E-5</v>
      </c>
      <c r="J237" s="177">
        <v>3.0000000000000001E-5</v>
      </c>
      <c r="K237" s="177">
        <v>3.0000000000000001E-5</v>
      </c>
      <c r="L237" s="177">
        <v>3.0000000000000001E-5</v>
      </c>
      <c r="M237" s="177">
        <v>3.0000000000000001E-5</v>
      </c>
      <c r="N237" s="177">
        <v>3.0000000000000001E-5</v>
      </c>
      <c r="O237" s="177">
        <v>3.0000000000000001E-5</v>
      </c>
      <c r="P237" s="177">
        <v>3.0000000000000001E-5</v>
      </c>
      <c r="Q237" s="177">
        <v>3.0000000000000001E-5</v>
      </c>
      <c r="R237" s="177">
        <v>3.0000000000000001E-5</v>
      </c>
      <c r="S237" s="177">
        <v>3.0000000000000001E-5</v>
      </c>
      <c r="T237" s="177">
        <v>3.0000000000000001E-5</v>
      </c>
      <c r="U237" s="177">
        <v>3.0000000000000001E-5</v>
      </c>
      <c r="V237" s="177">
        <v>3.0000000000000001E-5</v>
      </c>
      <c r="W237" s="177">
        <v>3.0000000000000001E-5</v>
      </c>
      <c r="X237" s="177">
        <v>3.0000000000000001E-5</v>
      </c>
      <c r="Y237" s="177">
        <v>3.0000000000000001E-5</v>
      </c>
      <c r="Z237" s="177">
        <v>3.0000000000000001E-5</v>
      </c>
      <c r="AA237" s="177">
        <v>3.0000000000000001E-5</v>
      </c>
      <c r="AB237" s="177">
        <v>3.0000000000000001E-5</v>
      </c>
      <c r="AC237" s="177">
        <v>3.0000000000000001E-5</v>
      </c>
      <c r="AD237" s="177">
        <v>3.0000000000000001E-5</v>
      </c>
      <c r="AE237" s="177">
        <v>3.0000000000000001E-5</v>
      </c>
      <c r="AF237" s="177">
        <v>3.0000000000000001E-5</v>
      </c>
      <c r="AG237" s="177">
        <v>3.0000000000000001E-5</v>
      </c>
      <c r="AH237" s="177">
        <v>3.0000000000000001E-5</v>
      </c>
      <c r="AI237" s="177">
        <v>3.0000000000000001E-5</v>
      </c>
      <c r="AJ237" s="177">
        <v>3.0000000000000001E-5</v>
      </c>
      <c r="AK237" s="177">
        <v>3.0000000000000001E-5</v>
      </c>
      <c r="AL237" s="177">
        <v>3.0000000000000001E-5</v>
      </c>
      <c r="AM237" s="177">
        <v>3.0000000000000001E-5</v>
      </c>
      <c r="AN237" s="177">
        <v>3.0000000000000001E-5</v>
      </c>
      <c r="AO237" s="177">
        <v>3.0000000000000001E-5</v>
      </c>
      <c r="AP237" s="177">
        <v>3.0000000000000001E-5</v>
      </c>
      <c r="AQ237" s="177">
        <v>3.0000000000000001E-5</v>
      </c>
      <c r="AR237" s="177">
        <v>3.0000000000000001E-5</v>
      </c>
      <c r="AS237" s="196">
        <f>AR237</f>
        <v>3.0000000000000001E-5</v>
      </c>
      <c r="AT237" s="196">
        <f t="shared" ref="AT237:BV237" si="184">AS237</f>
        <v>3.0000000000000001E-5</v>
      </c>
      <c r="AU237" s="196">
        <f t="shared" si="184"/>
        <v>3.0000000000000001E-5</v>
      </c>
      <c r="AV237" s="196">
        <f t="shared" si="184"/>
        <v>3.0000000000000001E-5</v>
      </c>
      <c r="AW237" s="196">
        <f t="shared" si="184"/>
        <v>3.0000000000000001E-5</v>
      </c>
      <c r="AX237" s="196">
        <f t="shared" si="184"/>
        <v>3.0000000000000001E-5</v>
      </c>
      <c r="AY237" s="196">
        <f t="shared" si="184"/>
        <v>3.0000000000000001E-5</v>
      </c>
      <c r="AZ237" s="196">
        <f t="shared" si="184"/>
        <v>3.0000000000000001E-5</v>
      </c>
      <c r="BA237" s="196">
        <f t="shared" si="184"/>
        <v>3.0000000000000001E-5</v>
      </c>
      <c r="BB237" s="196">
        <f t="shared" si="184"/>
        <v>3.0000000000000001E-5</v>
      </c>
      <c r="BC237" s="196">
        <f t="shared" si="184"/>
        <v>3.0000000000000001E-5</v>
      </c>
      <c r="BD237" s="196">
        <f t="shared" si="184"/>
        <v>3.0000000000000001E-5</v>
      </c>
      <c r="BE237" s="196">
        <f t="shared" si="184"/>
        <v>3.0000000000000001E-5</v>
      </c>
      <c r="BF237" s="196">
        <f t="shared" si="184"/>
        <v>3.0000000000000001E-5</v>
      </c>
      <c r="BG237" s="196">
        <f t="shared" si="184"/>
        <v>3.0000000000000001E-5</v>
      </c>
      <c r="BH237" s="196">
        <f t="shared" si="184"/>
        <v>3.0000000000000001E-5</v>
      </c>
      <c r="BI237" s="196">
        <f t="shared" si="184"/>
        <v>3.0000000000000001E-5</v>
      </c>
      <c r="BJ237" s="196">
        <f t="shared" si="184"/>
        <v>3.0000000000000001E-5</v>
      </c>
      <c r="BK237" s="196">
        <f t="shared" si="184"/>
        <v>3.0000000000000001E-5</v>
      </c>
      <c r="BL237" s="196">
        <f t="shared" si="184"/>
        <v>3.0000000000000001E-5</v>
      </c>
      <c r="BM237" s="196">
        <f t="shared" si="184"/>
        <v>3.0000000000000001E-5</v>
      </c>
      <c r="BN237" s="196">
        <f t="shared" si="184"/>
        <v>3.0000000000000001E-5</v>
      </c>
      <c r="BO237" s="196">
        <f t="shared" si="184"/>
        <v>3.0000000000000001E-5</v>
      </c>
      <c r="BP237" s="196">
        <f t="shared" si="184"/>
        <v>3.0000000000000001E-5</v>
      </c>
      <c r="BQ237" s="196">
        <f t="shared" si="184"/>
        <v>3.0000000000000001E-5</v>
      </c>
      <c r="BR237" s="196">
        <f t="shared" si="184"/>
        <v>3.0000000000000001E-5</v>
      </c>
      <c r="BS237" s="196">
        <f t="shared" si="184"/>
        <v>3.0000000000000001E-5</v>
      </c>
      <c r="BT237" s="196">
        <f t="shared" si="184"/>
        <v>3.0000000000000001E-5</v>
      </c>
      <c r="BU237" s="196">
        <f t="shared" si="184"/>
        <v>3.0000000000000001E-5</v>
      </c>
      <c r="BV237" s="196">
        <f t="shared" si="184"/>
        <v>3.0000000000000001E-5</v>
      </c>
    </row>
    <row r="238" spans="1:74" x14ac:dyDescent="0.25">
      <c r="A238" s="147" t="s">
        <v>15</v>
      </c>
      <c r="C238" s="142"/>
      <c r="D238" s="177">
        <v>8.5959885386819455E-6</v>
      </c>
      <c r="E238" s="177">
        <v>8.5959885386819455E-6</v>
      </c>
      <c r="F238" s="177">
        <v>8.5959885386819455E-6</v>
      </c>
      <c r="G238" s="177">
        <v>8.5959885386819455E-6</v>
      </c>
      <c r="H238" s="177">
        <v>8.5959885386819455E-6</v>
      </c>
      <c r="I238" s="177">
        <v>8.5959885386819455E-6</v>
      </c>
      <c r="J238" s="177">
        <v>8.5959885386819455E-6</v>
      </c>
      <c r="K238" s="177">
        <v>8.5959885386819455E-6</v>
      </c>
      <c r="L238" s="177">
        <v>8.5959885386819455E-6</v>
      </c>
      <c r="M238" s="177">
        <v>8.5959885386819455E-6</v>
      </c>
      <c r="N238" s="177">
        <v>8.5959885386819455E-6</v>
      </c>
      <c r="O238" s="177">
        <v>8.5959885386819455E-6</v>
      </c>
      <c r="P238" s="177">
        <v>8.5959885386819455E-6</v>
      </c>
      <c r="Q238" s="177">
        <v>8.5959885386819455E-6</v>
      </c>
      <c r="R238" s="177">
        <v>8.5959885386819455E-6</v>
      </c>
      <c r="S238" s="177">
        <v>8.5959884571370011E-6</v>
      </c>
      <c r="T238" s="177">
        <v>8.5959883746479403E-6</v>
      </c>
      <c r="U238" s="177">
        <v>8.5959886744544219E-6</v>
      </c>
      <c r="V238" s="177">
        <v>8.5959887662383327E-6</v>
      </c>
      <c r="W238" s="177">
        <v>8.5959887402553599E-6</v>
      </c>
      <c r="X238" s="177">
        <v>8.5959886814010662E-6</v>
      </c>
      <c r="Y238" s="177">
        <v>8.5959885865009364E-6</v>
      </c>
      <c r="Z238" s="177">
        <v>8.5959882425733556E-6</v>
      </c>
      <c r="AA238" s="177">
        <v>8.5959883425883751E-6</v>
      </c>
      <c r="AB238" s="177">
        <v>8.5959886831842806E-6</v>
      </c>
      <c r="AC238" s="177">
        <v>8.5959885848507332E-6</v>
      </c>
      <c r="AD238" s="177">
        <v>8.5959887926174594E-6</v>
      </c>
      <c r="AE238" s="177">
        <v>8.5959885386819455E-6</v>
      </c>
      <c r="AF238" s="177">
        <v>8.5959885386819455E-6</v>
      </c>
      <c r="AG238" s="177">
        <v>8.5959885386819455E-6</v>
      </c>
      <c r="AH238" s="177">
        <v>8.5959885386819455E-6</v>
      </c>
      <c r="AI238" s="177">
        <v>8.5959885386819455E-6</v>
      </c>
      <c r="AJ238" s="177">
        <v>8.5959885386819455E-6</v>
      </c>
      <c r="AK238" s="177">
        <v>8.5959885386819455E-6</v>
      </c>
      <c r="AL238" s="177">
        <v>8.5959885386819455E-6</v>
      </c>
      <c r="AM238" s="177">
        <v>8.5959885386819455E-6</v>
      </c>
      <c r="AN238" s="177">
        <v>8.5959885386819455E-6</v>
      </c>
      <c r="AO238" s="177">
        <v>8.5959885386819455E-6</v>
      </c>
      <c r="AP238" s="177">
        <v>8.5959885386819455E-6</v>
      </c>
      <c r="AQ238" s="177">
        <v>8.5959885386819455E-6</v>
      </c>
      <c r="AR238" s="177">
        <v>8.5959885386819455E-6</v>
      </c>
      <c r="AS238" s="196">
        <f>AR238</f>
        <v>8.5959885386819455E-6</v>
      </c>
      <c r="AT238" s="196">
        <f t="shared" ref="AT238:BV238" si="185">AS238</f>
        <v>8.5959885386819455E-6</v>
      </c>
      <c r="AU238" s="196">
        <f t="shared" si="185"/>
        <v>8.5959885386819455E-6</v>
      </c>
      <c r="AV238" s="196">
        <f t="shared" si="185"/>
        <v>8.5959885386819455E-6</v>
      </c>
      <c r="AW238" s="196">
        <f t="shared" si="185"/>
        <v>8.5959885386819455E-6</v>
      </c>
      <c r="AX238" s="196">
        <f t="shared" si="185"/>
        <v>8.5959885386819455E-6</v>
      </c>
      <c r="AY238" s="196">
        <f t="shared" si="185"/>
        <v>8.5959885386819455E-6</v>
      </c>
      <c r="AZ238" s="196">
        <f t="shared" si="185"/>
        <v>8.5959885386819455E-6</v>
      </c>
      <c r="BA238" s="196">
        <f t="shared" si="185"/>
        <v>8.5959885386819455E-6</v>
      </c>
      <c r="BB238" s="196">
        <f t="shared" si="185"/>
        <v>8.5959885386819455E-6</v>
      </c>
      <c r="BC238" s="196">
        <f t="shared" si="185"/>
        <v>8.5959885386819455E-6</v>
      </c>
      <c r="BD238" s="196">
        <f t="shared" si="185"/>
        <v>8.5959885386819455E-6</v>
      </c>
      <c r="BE238" s="196">
        <f t="shared" si="185"/>
        <v>8.5959885386819455E-6</v>
      </c>
      <c r="BF238" s="196">
        <f t="shared" si="185"/>
        <v>8.5959885386819455E-6</v>
      </c>
      <c r="BG238" s="196">
        <f t="shared" si="185"/>
        <v>8.5959885386819455E-6</v>
      </c>
      <c r="BH238" s="196">
        <f t="shared" si="185"/>
        <v>8.5959885386819455E-6</v>
      </c>
      <c r="BI238" s="196">
        <f t="shared" si="185"/>
        <v>8.5959885386819455E-6</v>
      </c>
      <c r="BJ238" s="196">
        <f t="shared" si="185"/>
        <v>8.5959885386819455E-6</v>
      </c>
      <c r="BK238" s="196">
        <f t="shared" si="185"/>
        <v>8.5959885386819455E-6</v>
      </c>
      <c r="BL238" s="196">
        <f t="shared" si="185"/>
        <v>8.5959885386819455E-6</v>
      </c>
      <c r="BM238" s="196">
        <f t="shared" si="185"/>
        <v>8.5959885386819455E-6</v>
      </c>
      <c r="BN238" s="196">
        <f t="shared" si="185"/>
        <v>8.5959885386819455E-6</v>
      </c>
      <c r="BO238" s="196">
        <f t="shared" si="185"/>
        <v>8.5959885386819455E-6</v>
      </c>
      <c r="BP238" s="196">
        <f t="shared" si="185"/>
        <v>8.5959885386819455E-6</v>
      </c>
      <c r="BQ238" s="196">
        <f t="shared" si="185"/>
        <v>8.5959885386819455E-6</v>
      </c>
      <c r="BR238" s="196">
        <f t="shared" si="185"/>
        <v>8.5959885386819455E-6</v>
      </c>
      <c r="BS238" s="196">
        <f t="shared" si="185"/>
        <v>8.5959885386819455E-6</v>
      </c>
      <c r="BT238" s="196">
        <f t="shared" si="185"/>
        <v>8.5959885386819455E-6</v>
      </c>
      <c r="BU238" s="196">
        <f t="shared" si="185"/>
        <v>8.5959885386819455E-6</v>
      </c>
      <c r="BV238" s="196">
        <f t="shared" si="185"/>
        <v>8.5959885386819455E-6</v>
      </c>
    </row>
    <row r="239" spans="1:74" x14ac:dyDescent="0.25">
      <c r="A239" s="147"/>
      <c r="C239" s="142"/>
      <c r="D239" s="157"/>
      <c r="E239" s="157"/>
      <c r="F239" s="157"/>
      <c r="G239" s="157"/>
      <c r="H239" s="157"/>
      <c r="I239" s="157"/>
      <c r="J239" s="157"/>
      <c r="K239" s="157"/>
      <c r="L239" s="157"/>
      <c r="M239" s="157"/>
      <c r="N239" s="157"/>
      <c r="O239" s="157"/>
      <c r="P239" s="157"/>
      <c r="Q239" s="157"/>
      <c r="R239" s="157"/>
      <c r="S239" s="157"/>
      <c r="T239" s="157"/>
      <c r="U239" s="157"/>
      <c r="V239" s="157"/>
      <c r="W239" s="157"/>
      <c r="X239" s="157"/>
      <c r="Y239" s="157"/>
      <c r="Z239" s="157"/>
      <c r="AA239" s="157"/>
      <c r="AB239" s="157"/>
      <c r="AC239" s="157"/>
      <c r="AD239" s="157"/>
      <c r="AE239" s="157"/>
      <c r="AF239" s="157"/>
      <c r="AG239" s="157"/>
      <c r="AH239" s="157"/>
      <c r="AI239" s="157"/>
      <c r="AJ239" s="157"/>
      <c r="AK239" s="157"/>
      <c r="AL239" s="157"/>
      <c r="AM239" s="157"/>
      <c r="AN239" s="157"/>
      <c r="AO239" s="157"/>
      <c r="AP239" s="157"/>
      <c r="AQ239" s="157"/>
      <c r="AR239" s="157"/>
      <c r="AS239" s="157"/>
    </row>
    <row r="240" spans="1:74" x14ac:dyDescent="0.25">
      <c r="A240" s="147"/>
      <c r="C240" s="142"/>
      <c r="D240" s="157"/>
      <c r="E240" s="157"/>
      <c r="F240" s="157"/>
      <c r="G240" s="157"/>
      <c r="H240" s="157"/>
      <c r="I240" s="157"/>
      <c r="J240" s="157"/>
      <c r="K240" s="157"/>
      <c r="L240" s="157"/>
      <c r="M240" s="157"/>
      <c r="N240" s="157"/>
      <c r="O240" s="157"/>
      <c r="P240" s="157"/>
      <c r="Q240" s="157"/>
      <c r="R240" s="157"/>
      <c r="S240" s="157"/>
      <c r="T240" s="157"/>
      <c r="U240" s="157"/>
      <c r="V240" s="157"/>
      <c r="W240" s="157"/>
      <c r="X240" s="157"/>
      <c r="Y240" s="157"/>
      <c r="Z240" s="157"/>
      <c r="AA240" s="157"/>
      <c r="AB240" s="157"/>
      <c r="AC240" s="157"/>
      <c r="AD240" s="157"/>
      <c r="AE240" s="157"/>
      <c r="AF240" s="157"/>
      <c r="AG240" s="157"/>
      <c r="AH240" s="157"/>
      <c r="AI240" s="157"/>
      <c r="AJ240" s="157"/>
      <c r="AK240" s="157"/>
      <c r="AL240" s="157"/>
      <c r="AM240" s="157"/>
      <c r="AN240" s="157"/>
      <c r="AO240" s="157"/>
      <c r="AP240" s="157"/>
      <c r="AQ240" s="157"/>
      <c r="AR240" s="157"/>
      <c r="AS240" s="157"/>
    </row>
    <row r="241" spans="1:74" s="182" customFormat="1" x14ac:dyDescent="0.25">
      <c r="A241" s="180" t="s">
        <v>247</v>
      </c>
      <c r="B241" s="181"/>
      <c r="I241" s="181"/>
      <c r="J241" s="181"/>
      <c r="K241" s="181"/>
      <c r="L241" s="181"/>
      <c r="M241" s="181"/>
      <c r="N241" s="181"/>
      <c r="O241" s="181"/>
      <c r="P241" s="181"/>
      <c r="Q241" s="181"/>
      <c r="R241" s="181"/>
      <c r="S241" s="181"/>
      <c r="T241" s="181"/>
      <c r="U241" s="181"/>
      <c r="V241" s="181"/>
      <c r="W241" s="181"/>
      <c r="X241" s="181"/>
      <c r="Y241" s="181"/>
      <c r="Z241" s="181"/>
      <c r="AA241" s="181"/>
      <c r="AB241" s="181"/>
      <c r="AC241" s="181"/>
      <c r="AD241" s="181"/>
      <c r="AE241" s="181"/>
      <c r="AF241" s="181"/>
      <c r="AG241" s="181"/>
      <c r="AH241" s="181"/>
      <c r="AI241" s="181"/>
      <c r="AJ241" s="181"/>
      <c r="AK241" s="181"/>
      <c r="AL241" s="181"/>
      <c r="AM241" s="181"/>
      <c r="AN241" s="181"/>
      <c r="AO241" s="181"/>
      <c r="AP241" s="181"/>
      <c r="AQ241" s="181"/>
      <c r="AR241" s="181"/>
      <c r="AS241" s="181"/>
    </row>
    <row r="242" spans="1:74" s="182" customFormat="1" x14ac:dyDescent="0.25">
      <c r="A242" s="180"/>
      <c r="B242" s="180" t="s">
        <v>248</v>
      </c>
      <c r="I242" s="181"/>
      <c r="J242" s="181"/>
      <c r="K242" s="181"/>
      <c r="L242" s="181"/>
      <c r="M242" s="181"/>
      <c r="N242" s="181"/>
      <c r="O242" s="181"/>
      <c r="P242" s="181"/>
      <c r="Q242" s="181"/>
      <c r="R242" s="181"/>
      <c r="S242" s="181"/>
      <c r="T242" s="181"/>
      <c r="U242" s="181"/>
      <c r="V242" s="181"/>
      <c r="W242" s="181"/>
      <c r="X242" s="181"/>
      <c r="Y242" s="181"/>
      <c r="Z242" s="181"/>
      <c r="AA242" s="181"/>
      <c r="AB242" s="181"/>
      <c r="AC242" s="181"/>
      <c r="AD242" s="181"/>
      <c r="AE242" s="181"/>
      <c r="AF242" s="181"/>
      <c r="AG242" s="181"/>
      <c r="AH242" s="181"/>
      <c r="AI242" s="181"/>
      <c r="AJ242" s="181"/>
      <c r="AK242" s="181"/>
      <c r="AL242" s="181"/>
      <c r="AM242" s="181"/>
      <c r="AN242" s="181"/>
      <c r="AO242" s="181"/>
      <c r="AP242" s="181"/>
      <c r="AQ242" s="181"/>
      <c r="AR242" s="181"/>
      <c r="AS242" s="181"/>
    </row>
    <row r="243" spans="1:74" x14ac:dyDescent="0.25">
      <c r="A243" s="147" t="s">
        <v>178</v>
      </c>
      <c r="C243" s="142"/>
      <c r="D243" s="177">
        <v>6.8605836035201485E-6</v>
      </c>
      <c r="E243" s="177">
        <v>6.8605836035201485E-6</v>
      </c>
      <c r="F243" s="177">
        <v>6.8605836035201485E-6</v>
      </c>
      <c r="G243" s="177">
        <v>6.8605836035201485E-6</v>
      </c>
      <c r="H243" s="177">
        <v>6.8605836035201485E-6</v>
      </c>
      <c r="I243" s="177">
        <v>6.8605836035201485E-6</v>
      </c>
      <c r="J243" s="177">
        <v>6.8598503740648378E-6</v>
      </c>
      <c r="K243" s="177">
        <v>6.8616768050780214E-6</v>
      </c>
      <c r="L243" s="177">
        <v>6.8592463189418524E-6</v>
      </c>
      <c r="M243" s="177">
        <v>6.8637223974763407E-6</v>
      </c>
      <c r="N243" s="177">
        <v>6.8607095926412618E-6</v>
      </c>
      <c r="O243" s="177">
        <v>6.861103410036041E-6</v>
      </c>
      <c r="P243" s="177">
        <v>6.8622081291438451E-6</v>
      </c>
      <c r="Q243" s="177">
        <v>6.8609188168659543E-6</v>
      </c>
      <c r="R243" s="177">
        <v>6.8625254582484726E-6</v>
      </c>
      <c r="S243" s="177">
        <v>6.8641598915989156E-6</v>
      </c>
      <c r="T243" s="177">
        <v>6.8611486486486491E-6</v>
      </c>
      <c r="U243" s="177">
        <v>6.8612191958495469E-6</v>
      </c>
      <c r="V243" s="177">
        <v>6.8617940199335545E-6</v>
      </c>
      <c r="W243" s="177">
        <v>6.8637478108581439E-6</v>
      </c>
      <c r="X243" s="177">
        <v>6.8624708624708626E-6</v>
      </c>
      <c r="Y243" s="177">
        <v>6.8629032258064517E-6</v>
      </c>
      <c r="Z243" s="177">
        <v>6.858218874612317E-6</v>
      </c>
      <c r="AA243" s="177">
        <v>6.8638151425762047E-6</v>
      </c>
      <c r="AB243" s="177">
        <v>6.8635666836995401E-6</v>
      </c>
      <c r="AC243" s="177">
        <v>6.861991960696739E-6</v>
      </c>
      <c r="AD243" s="177">
        <v>6.863144218276312E-6</v>
      </c>
      <c r="AE243" s="177">
        <v>6.860880941997383E-6</v>
      </c>
      <c r="AF243" s="177">
        <v>6.860880941997383E-6</v>
      </c>
      <c r="AG243" s="177">
        <v>6.860880941997383E-6</v>
      </c>
      <c r="AH243" s="177">
        <v>6.860880941997383E-6</v>
      </c>
      <c r="AI243" s="177">
        <v>6.860880941997383E-6</v>
      </c>
      <c r="AJ243" s="177">
        <v>6.860880941997383E-6</v>
      </c>
      <c r="AK243" s="177">
        <v>6.860880941997383E-6</v>
      </c>
      <c r="AL243" s="177">
        <v>6.860880941997383E-6</v>
      </c>
      <c r="AM243" s="177">
        <v>6.860880941997383E-6</v>
      </c>
      <c r="AN243" s="177">
        <v>6.860880941997383E-6</v>
      </c>
      <c r="AO243" s="177">
        <v>6.860880941997383E-6</v>
      </c>
      <c r="AP243" s="177">
        <v>6.860880941997383E-6</v>
      </c>
      <c r="AQ243" s="177">
        <v>6.860880941997383E-6</v>
      </c>
      <c r="AR243" s="177">
        <v>6.860880941997383E-6</v>
      </c>
      <c r="AS243" s="197">
        <f t="shared" ref="AS243:BV243" si="186">AR243</f>
        <v>6.860880941997383E-6</v>
      </c>
      <c r="AT243" s="197">
        <f t="shared" si="186"/>
        <v>6.860880941997383E-6</v>
      </c>
      <c r="AU243" s="197">
        <f t="shared" si="186"/>
        <v>6.860880941997383E-6</v>
      </c>
      <c r="AV243" s="197">
        <f t="shared" si="186"/>
        <v>6.860880941997383E-6</v>
      </c>
      <c r="AW243" s="197">
        <f t="shared" si="186"/>
        <v>6.860880941997383E-6</v>
      </c>
      <c r="AX243" s="197">
        <f t="shared" si="186"/>
        <v>6.860880941997383E-6</v>
      </c>
      <c r="AY243" s="197">
        <f t="shared" si="186"/>
        <v>6.860880941997383E-6</v>
      </c>
      <c r="AZ243" s="197">
        <f t="shared" si="186"/>
        <v>6.860880941997383E-6</v>
      </c>
      <c r="BA243" s="197">
        <f t="shared" si="186"/>
        <v>6.860880941997383E-6</v>
      </c>
      <c r="BB243" s="197">
        <f t="shared" si="186"/>
        <v>6.860880941997383E-6</v>
      </c>
      <c r="BC243" s="197">
        <f t="shared" si="186"/>
        <v>6.860880941997383E-6</v>
      </c>
      <c r="BD243" s="197">
        <f t="shared" si="186"/>
        <v>6.860880941997383E-6</v>
      </c>
      <c r="BE243" s="197">
        <f t="shared" si="186"/>
        <v>6.860880941997383E-6</v>
      </c>
      <c r="BF243" s="197">
        <f t="shared" si="186"/>
        <v>6.860880941997383E-6</v>
      </c>
      <c r="BG243" s="197">
        <f t="shared" si="186"/>
        <v>6.860880941997383E-6</v>
      </c>
      <c r="BH243" s="197">
        <f t="shared" si="186"/>
        <v>6.860880941997383E-6</v>
      </c>
      <c r="BI243" s="197">
        <f t="shared" si="186"/>
        <v>6.860880941997383E-6</v>
      </c>
      <c r="BJ243" s="197">
        <f t="shared" si="186"/>
        <v>6.860880941997383E-6</v>
      </c>
      <c r="BK243" s="197">
        <f t="shared" si="186"/>
        <v>6.860880941997383E-6</v>
      </c>
      <c r="BL243" s="197">
        <f t="shared" si="186"/>
        <v>6.860880941997383E-6</v>
      </c>
      <c r="BM243" s="197">
        <f t="shared" si="186"/>
        <v>6.860880941997383E-6</v>
      </c>
      <c r="BN243" s="197">
        <f t="shared" si="186"/>
        <v>6.860880941997383E-6</v>
      </c>
      <c r="BO243" s="197">
        <f t="shared" si="186"/>
        <v>6.860880941997383E-6</v>
      </c>
      <c r="BP243" s="197">
        <f t="shared" si="186"/>
        <v>6.860880941997383E-6</v>
      </c>
      <c r="BQ243" s="197">
        <f t="shared" si="186"/>
        <v>6.860880941997383E-6</v>
      </c>
      <c r="BR243" s="197">
        <f t="shared" si="186"/>
        <v>6.860880941997383E-6</v>
      </c>
      <c r="BS243" s="197">
        <f t="shared" si="186"/>
        <v>6.860880941997383E-6</v>
      </c>
      <c r="BT243" s="197">
        <f t="shared" si="186"/>
        <v>6.860880941997383E-6</v>
      </c>
      <c r="BU243" s="197">
        <f t="shared" si="186"/>
        <v>6.860880941997383E-6</v>
      </c>
      <c r="BV243" s="197">
        <f t="shared" si="186"/>
        <v>6.860880941997383E-6</v>
      </c>
    </row>
    <row r="244" spans="1:74" x14ac:dyDescent="0.25">
      <c r="A244" s="147" t="s">
        <v>180</v>
      </c>
      <c r="C244" s="142"/>
      <c r="D244" s="177">
        <v>1.9521540452155684E-6</v>
      </c>
      <c r="E244" s="177">
        <v>1.9521540452155684E-6</v>
      </c>
      <c r="F244" s="177">
        <v>1.9521540452155684E-6</v>
      </c>
      <c r="G244" s="177">
        <v>1.9521540452155684E-6</v>
      </c>
      <c r="H244" s="177">
        <v>1.9521540452155684E-6</v>
      </c>
      <c r="I244" s="177">
        <v>1.9521540452155684E-6</v>
      </c>
      <c r="J244" s="177">
        <v>1.9521588946459413E-6</v>
      </c>
      <c r="K244" s="177">
        <v>1.9521550130362648E-6</v>
      </c>
      <c r="L244" s="177">
        <v>1.9521559760036919E-6</v>
      </c>
      <c r="M244" s="177">
        <v>1.9521702105697773E-6</v>
      </c>
      <c r="N244" s="177">
        <v>1.9521633512024873E-6</v>
      </c>
      <c r="O244" s="177">
        <v>1.9521578034934713E-6</v>
      </c>
      <c r="P244" s="177">
        <v>1.8983931862906604E-6</v>
      </c>
      <c r="Q244" s="177">
        <v>1.8983923089715184E-6</v>
      </c>
      <c r="R244" s="177">
        <v>1.8983966657275909E-6</v>
      </c>
      <c r="S244" s="177">
        <v>1.8983863511713548E-6</v>
      </c>
      <c r="T244" s="177">
        <v>1.8983927090648671E-6</v>
      </c>
      <c r="U244" s="177">
        <v>1.898387714131717E-6</v>
      </c>
      <c r="V244" s="177">
        <v>1.8983936694859577E-6</v>
      </c>
      <c r="W244" s="177">
        <v>1.8983922565452912E-6</v>
      </c>
      <c r="X244" s="177">
        <v>1.8983867141162517E-6</v>
      </c>
      <c r="Y244" s="177">
        <v>1.8983835991858128E-6</v>
      </c>
      <c r="Z244" s="177">
        <v>1.8983988426953363E-6</v>
      </c>
      <c r="AA244" s="177">
        <v>1.8983875425774933E-6</v>
      </c>
      <c r="AB244" s="177">
        <v>1.898391608662176E-6</v>
      </c>
      <c r="AC244" s="177">
        <v>1.8983870323211118E-6</v>
      </c>
      <c r="AD244" s="177">
        <v>1.898386421085518E-6</v>
      </c>
      <c r="AE244" s="177">
        <v>1.8983900308639875E-6</v>
      </c>
      <c r="AF244" s="177">
        <v>1.8983900308639875E-6</v>
      </c>
      <c r="AG244" s="177">
        <v>1.8983900308639875E-6</v>
      </c>
      <c r="AH244" s="177">
        <v>1.8983900308639875E-6</v>
      </c>
      <c r="AI244" s="177">
        <v>1.8983900308639875E-6</v>
      </c>
      <c r="AJ244" s="177">
        <v>1.8983900308639875E-6</v>
      </c>
      <c r="AK244" s="177">
        <v>1.8983900308639875E-6</v>
      </c>
      <c r="AL244" s="177">
        <v>1.8983900308639875E-6</v>
      </c>
      <c r="AM244" s="177">
        <v>1.8983900308639875E-6</v>
      </c>
      <c r="AN244" s="177">
        <v>1.8983900308639875E-6</v>
      </c>
      <c r="AO244" s="177">
        <v>1.8983900308639875E-6</v>
      </c>
      <c r="AP244" s="177">
        <v>1.8983900308639875E-6</v>
      </c>
      <c r="AQ244" s="177">
        <v>1.8983900308639875E-6</v>
      </c>
      <c r="AR244" s="177">
        <v>1.8983900308639875E-6</v>
      </c>
      <c r="AS244" s="197">
        <f t="shared" ref="AS244:BV244" si="187">AR244</f>
        <v>1.8983900308639875E-6</v>
      </c>
      <c r="AT244" s="197">
        <f t="shared" si="187"/>
        <v>1.8983900308639875E-6</v>
      </c>
      <c r="AU244" s="197">
        <f t="shared" si="187"/>
        <v>1.8983900308639875E-6</v>
      </c>
      <c r="AV244" s="197">
        <f t="shared" si="187"/>
        <v>1.8983900308639875E-6</v>
      </c>
      <c r="AW244" s="197">
        <f t="shared" si="187"/>
        <v>1.8983900308639875E-6</v>
      </c>
      <c r="AX244" s="197">
        <f t="shared" si="187"/>
        <v>1.8983900308639875E-6</v>
      </c>
      <c r="AY244" s="197">
        <f t="shared" si="187"/>
        <v>1.8983900308639875E-6</v>
      </c>
      <c r="AZ244" s="197">
        <f t="shared" si="187"/>
        <v>1.8983900308639875E-6</v>
      </c>
      <c r="BA244" s="197">
        <f t="shared" si="187"/>
        <v>1.8983900308639875E-6</v>
      </c>
      <c r="BB244" s="197">
        <f t="shared" si="187"/>
        <v>1.8983900308639875E-6</v>
      </c>
      <c r="BC244" s="197">
        <f t="shared" si="187"/>
        <v>1.8983900308639875E-6</v>
      </c>
      <c r="BD244" s="197">
        <f t="shared" si="187"/>
        <v>1.8983900308639875E-6</v>
      </c>
      <c r="BE244" s="197">
        <f t="shared" si="187"/>
        <v>1.8983900308639875E-6</v>
      </c>
      <c r="BF244" s="197">
        <f t="shared" si="187"/>
        <v>1.8983900308639875E-6</v>
      </c>
      <c r="BG244" s="197">
        <f t="shared" si="187"/>
        <v>1.8983900308639875E-6</v>
      </c>
      <c r="BH244" s="197">
        <f t="shared" si="187"/>
        <v>1.8983900308639875E-6</v>
      </c>
      <c r="BI244" s="197">
        <f t="shared" si="187"/>
        <v>1.8983900308639875E-6</v>
      </c>
      <c r="BJ244" s="197">
        <f t="shared" si="187"/>
        <v>1.8983900308639875E-6</v>
      </c>
      <c r="BK244" s="197">
        <f t="shared" si="187"/>
        <v>1.8983900308639875E-6</v>
      </c>
      <c r="BL244" s="197">
        <f t="shared" si="187"/>
        <v>1.8983900308639875E-6</v>
      </c>
      <c r="BM244" s="197">
        <f t="shared" si="187"/>
        <v>1.8983900308639875E-6</v>
      </c>
      <c r="BN244" s="197">
        <f t="shared" si="187"/>
        <v>1.8983900308639875E-6</v>
      </c>
      <c r="BO244" s="197">
        <f t="shared" si="187"/>
        <v>1.8983900308639875E-6</v>
      </c>
      <c r="BP244" s="197">
        <f t="shared" si="187"/>
        <v>1.8983900308639875E-6</v>
      </c>
      <c r="BQ244" s="197">
        <f t="shared" si="187"/>
        <v>1.8983900308639875E-6</v>
      </c>
      <c r="BR244" s="197">
        <f t="shared" si="187"/>
        <v>1.8983900308639875E-6</v>
      </c>
      <c r="BS244" s="197">
        <f t="shared" si="187"/>
        <v>1.8983900308639875E-6</v>
      </c>
      <c r="BT244" s="197">
        <f t="shared" si="187"/>
        <v>1.8983900308639875E-6</v>
      </c>
      <c r="BU244" s="197">
        <f t="shared" si="187"/>
        <v>1.8983900308639875E-6</v>
      </c>
      <c r="BV244" s="197">
        <f t="shared" si="187"/>
        <v>1.8983900308639875E-6</v>
      </c>
    </row>
    <row r="245" spans="1:74" x14ac:dyDescent="0.25">
      <c r="A245" s="141" t="s">
        <v>181</v>
      </c>
      <c r="B245" s="142"/>
      <c r="C245" s="142"/>
      <c r="D245" s="177">
        <v>1.2003940527372594E-5</v>
      </c>
      <c r="E245" s="177">
        <v>1.2003940527372594E-5</v>
      </c>
      <c r="F245" s="177">
        <v>1.2003940527372594E-5</v>
      </c>
      <c r="G245" s="177">
        <v>1.2003940527372594E-5</v>
      </c>
      <c r="H245" s="177">
        <v>1.2003940527372594E-5</v>
      </c>
      <c r="I245" s="177">
        <v>1.2003940527372594E-5</v>
      </c>
      <c r="J245" s="177">
        <v>1.2003940527372594E-5</v>
      </c>
      <c r="K245" s="177">
        <v>1.2003940527372594E-5</v>
      </c>
      <c r="L245" s="177">
        <v>1.2003940527372594E-5</v>
      </c>
      <c r="M245" s="177">
        <v>1.2003940527372594E-5</v>
      </c>
      <c r="N245" s="177">
        <v>1.2003940527372594E-5</v>
      </c>
      <c r="O245" s="177">
        <v>1.2003940527372594E-5</v>
      </c>
      <c r="P245" s="177">
        <v>1.2003940527372594E-5</v>
      </c>
      <c r="Q245" s="177">
        <v>1.2003940527372594E-5</v>
      </c>
      <c r="R245" s="177">
        <v>1.2003940527372594E-5</v>
      </c>
      <c r="S245" s="177">
        <v>1.2003940527372594E-5</v>
      </c>
      <c r="T245" s="177">
        <v>1.2003940527372594E-5</v>
      </c>
      <c r="U245" s="177">
        <v>1.2003940527372594E-5</v>
      </c>
      <c r="V245" s="177">
        <v>1.2003940527372594E-5</v>
      </c>
      <c r="W245" s="177">
        <v>1.2003940527372594E-5</v>
      </c>
      <c r="X245" s="177">
        <v>1.2003940527372594E-5</v>
      </c>
      <c r="Y245" s="177">
        <v>1.2003940527372594E-5</v>
      </c>
      <c r="Z245" s="177">
        <v>1.2003940527372594E-5</v>
      </c>
      <c r="AA245" s="177">
        <v>1.2003940527372594E-5</v>
      </c>
      <c r="AB245" s="177">
        <v>1.2003940527372594E-5</v>
      </c>
      <c r="AC245" s="177">
        <v>1.2003940527372594E-5</v>
      </c>
      <c r="AD245" s="177">
        <v>1.2003940527372594E-5</v>
      </c>
      <c r="AE245" s="177">
        <v>1.2003940527372594E-5</v>
      </c>
      <c r="AF245" s="177">
        <v>1.2003940527372594E-5</v>
      </c>
      <c r="AG245" s="177">
        <v>1.2003940527372594E-5</v>
      </c>
      <c r="AH245" s="177">
        <v>1.2003940527372594E-5</v>
      </c>
      <c r="AI245" s="177">
        <v>1.2003940527372594E-5</v>
      </c>
      <c r="AJ245" s="177">
        <v>1.2003940527372594E-5</v>
      </c>
      <c r="AK245" s="177">
        <v>1.2003940527372594E-5</v>
      </c>
      <c r="AL245" s="177">
        <v>1.2003940527372594E-5</v>
      </c>
      <c r="AM245" s="177">
        <v>1.2003940527372594E-5</v>
      </c>
      <c r="AN245" s="177">
        <v>1.2003940527372594E-5</v>
      </c>
      <c r="AO245" s="177">
        <v>1.2003940527372594E-5</v>
      </c>
      <c r="AP245" s="177">
        <v>1.2003940527372594E-5</v>
      </c>
      <c r="AQ245" s="177">
        <v>1.2003940527372594E-5</v>
      </c>
      <c r="AR245" s="177">
        <v>1.2003940527372594E-5</v>
      </c>
      <c r="AS245" s="197">
        <f t="shared" ref="AS245:BV245" si="188">AR245</f>
        <v>1.2003940527372594E-5</v>
      </c>
      <c r="AT245" s="197">
        <f t="shared" si="188"/>
        <v>1.2003940527372594E-5</v>
      </c>
      <c r="AU245" s="197">
        <f t="shared" si="188"/>
        <v>1.2003940527372594E-5</v>
      </c>
      <c r="AV245" s="197">
        <f t="shared" si="188"/>
        <v>1.2003940527372594E-5</v>
      </c>
      <c r="AW245" s="197">
        <f t="shared" si="188"/>
        <v>1.2003940527372594E-5</v>
      </c>
      <c r="AX245" s="197">
        <f t="shared" si="188"/>
        <v>1.2003940527372594E-5</v>
      </c>
      <c r="AY245" s="197">
        <f t="shared" si="188"/>
        <v>1.2003940527372594E-5</v>
      </c>
      <c r="AZ245" s="197">
        <f t="shared" si="188"/>
        <v>1.2003940527372594E-5</v>
      </c>
      <c r="BA245" s="197">
        <f t="shared" si="188"/>
        <v>1.2003940527372594E-5</v>
      </c>
      <c r="BB245" s="197">
        <f t="shared" si="188"/>
        <v>1.2003940527372594E-5</v>
      </c>
      <c r="BC245" s="197">
        <f t="shared" si="188"/>
        <v>1.2003940527372594E-5</v>
      </c>
      <c r="BD245" s="197">
        <f t="shared" si="188"/>
        <v>1.2003940527372594E-5</v>
      </c>
      <c r="BE245" s="197">
        <f t="shared" si="188"/>
        <v>1.2003940527372594E-5</v>
      </c>
      <c r="BF245" s="197">
        <f t="shared" si="188"/>
        <v>1.2003940527372594E-5</v>
      </c>
      <c r="BG245" s="197">
        <f t="shared" si="188"/>
        <v>1.2003940527372594E-5</v>
      </c>
      <c r="BH245" s="197">
        <f t="shared" si="188"/>
        <v>1.2003940527372594E-5</v>
      </c>
      <c r="BI245" s="197">
        <f t="shared" si="188"/>
        <v>1.2003940527372594E-5</v>
      </c>
      <c r="BJ245" s="197">
        <f t="shared" si="188"/>
        <v>1.2003940527372594E-5</v>
      </c>
      <c r="BK245" s="197">
        <f t="shared" si="188"/>
        <v>1.2003940527372594E-5</v>
      </c>
      <c r="BL245" s="197">
        <f t="shared" si="188"/>
        <v>1.2003940527372594E-5</v>
      </c>
      <c r="BM245" s="197">
        <f t="shared" si="188"/>
        <v>1.2003940527372594E-5</v>
      </c>
      <c r="BN245" s="197">
        <f t="shared" si="188"/>
        <v>1.2003940527372594E-5</v>
      </c>
      <c r="BO245" s="197">
        <f t="shared" si="188"/>
        <v>1.2003940527372594E-5</v>
      </c>
      <c r="BP245" s="197">
        <f t="shared" si="188"/>
        <v>1.2003940527372594E-5</v>
      </c>
      <c r="BQ245" s="197">
        <f t="shared" si="188"/>
        <v>1.2003940527372594E-5</v>
      </c>
      <c r="BR245" s="197">
        <f t="shared" si="188"/>
        <v>1.2003940527372594E-5</v>
      </c>
      <c r="BS245" s="197">
        <f t="shared" si="188"/>
        <v>1.2003940527372594E-5</v>
      </c>
      <c r="BT245" s="197">
        <f t="shared" si="188"/>
        <v>1.2003940527372594E-5</v>
      </c>
      <c r="BU245" s="197">
        <f t="shared" si="188"/>
        <v>1.2003940527372594E-5</v>
      </c>
      <c r="BV245" s="197">
        <f t="shared" si="188"/>
        <v>1.2003940527372594E-5</v>
      </c>
    </row>
    <row r="246" spans="1:74" x14ac:dyDescent="0.25">
      <c r="A246" s="141" t="s">
        <v>183</v>
      </c>
      <c r="B246" s="142"/>
      <c r="C246" s="142"/>
      <c r="D246" s="177">
        <v>3.7974585444706518E-6</v>
      </c>
      <c r="E246" s="177">
        <v>3.7974585444706518E-6</v>
      </c>
      <c r="F246" s="177">
        <v>3.7974585444706518E-6</v>
      </c>
      <c r="G246" s="177">
        <v>3.7974585444706518E-6</v>
      </c>
      <c r="H246" s="177">
        <v>3.7974585444706518E-6</v>
      </c>
      <c r="I246" s="177">
        <v>3.7974585444706518E-6</v>
      </c>
      <c r="J246" s="177">
        <v>3.7974585444706518E-6</v>
      </c>
      <c r="K246" s="177">
        <v>3.7974585444706518E-6</v>
      </c>
      <c r="L246" s="177">
        <v>3.7974585444706518E-6</v>
      </c>
      <c r="M246" s="177">
        <v>3.7974585444706518E-6</v>
      </c>
      <c r="N246" s="177">
        <v>3.7974585444706518E-6</v>
      </c>
      <c r="O246" s="177">
        <v>3.7974585444706518E-6</v>
      </c>
      <c r="P246" s="177">
        <v>3.7974585444706518E-6</v>
      </c>
      <c r="Q246" s="177">
        <v>3.7974585444706518E-6</v>
      </c>
      <c r="R246" s="177">
        <v>3.7974585444706518E-6</v>
      </c>
      <c r="S246" s="177">
        <v>3.7974585444706518E-6</v>
      </c>
      <c r="T246" s="177">
        <v>3.7974585444706518E-6</v>
      </c>
      <c r="U246" s="177">
        <v>3.7974585444706518E-6</v>
      </c>
      <c r="V246" s="177">
        <v>3.7974585444706518E-6</v>
      </c>
      <c r="W246" s="177">
        <v>3.7974585444706518E-6</v>
      </c>
      <c r="X246" s="177">
        <v>3.7974585444706518E-6</v>
      </c>
      <c r="Y246" s="177">
        <v>3.7974585444706518E-6</v>
      </c>
      <c r="Z246" s="177">
        <v>3.7974788474094342E-6</v>
      </c>
      <c r="AA246" s="177">
        <v>3.7974788474094342E-6</v>
      </c>
      <c r="AB246" s="177">
        <v>3.7974788474094342E-6</v>
      </c>
      <c r="AC246" s="177">
        <v>3.7974788474094342E-6</v>
      </c>
      <c r="AD246" s="177">
        <v>3.7973932184107038E-6</v>
      </c>
      <c r="AE246" s="177">
        <v>3.7973932184107038E-6</v>
      </c>
      <c r="AF246" s="177">
        <v>3.7973932184107038E-6</v>
      </c>
      <c r="AG246" s="177">
        <v>3.7973932184107038E-6</v>
      </c>
      <c r="AH246" s="177">
        <v>3.7973932184107038E-6</v>
      </c>
      <c r="AI246" s="177">
        <v>3.7973932184107038E-6</v>
      </c>
      <c r="AJ246" s="177">
        <v>3.7973932184107038E-6</v>
      </c>
      <c r="AK246" s="177">
        <v>3.7973932184107038E-6</v>
      </c>
      <c r="AL246" s="177">
        <v>3.7973932184107038E-6</v>
      </c>
      <c r="AM246" s="177">
        <v>3.7973932184107038E-6</v>
      </c>
      <c r="AN246" s="177">
        <v>3.7973932184107038E-6</v>
      </c>
      <c r="AO246" s="177">
        <v>3.7973932184107038E-6</v>
      </c>
      <c r="AP246" s="177">
        <v>3.7973932184107038E-6</v>
      </c>
      <c r="AQ246" s="177">
        <v>3.7973932184107038E-6</v>
      </c>
      <c r="AR246" s="177">
        <v>3.7973932184107038E-6</v>
      </c>
      <c r="AS246" s="197">
        <f t="shared" ref="AS246:BV246" si="189">AR246</f>
        <v>3.7973932184107038E-6</v>
      </c>
      <c r="AT246" s="197">
        <f t="shared" si="189"/>
        <v>3.7973932184107038E-6</v>
      </c>
      <c r="AU246" s="197">
        <f t="shared" si="189"/>
        <v>3.7973932184107038E-6</v>
      </c>
      <c r="AV246" s="197">
        <f t="shared" si="189"/>
        <v>3.7973932184107038E-6</v>
      </c>
      <c r="AW246" s="197">
        <f t="shared" si="189"/>
        <v>3.7973932184107038E-6</v>
      </c>
      <c r="AX246" s="197">
        <f t="shared" si="189"/>
        <v>3.7973932184107038E-6</v>
      </c>
      <c r="AY246" s="197">
        <f t="shared" si="189"/>
        <v>3.7973932184107038E-6</v>
      </c>
      <c r="AZ246" s="197">
        <f t="shared" si="189"/>
        <v>3.7973932184107038E-6</v>
      </c>
      <c r="BA246" s="197">
        <f t="shared" si="189"/>
        <v>3.7973932184107038E-6</v>
      </c>
      <c r="BB246" s="197">
        <f t="shared" si="189"/>
        <v>3.7973932184107038E-6</v>
      </c>
      <c r="BC246" s="197">
        <f t="shared" si="189"/>
        <v>3.7973932184107038E-6</v>
      </c>
      <c r="BD246" s="197">
        <f t="shared" si="189"/>
        <v>3.7973932184107038E-6</v>
      </c>
      <c r="BE246" s="197">
        <f t="shared" si="189"/>
        <v>3.7973932184107038E-6</v>
      </c>
      <c r="BF246" s="197">
        <f t="shared" si="189"/>
        <v>3.7973932184107038E-6</v>
      </c>
      <c r="BG246" s="197">
        <f t="shared" si="189"/>
        <v>3.7973932184107038E-6</v>
      </c>
      <c r="BH246" s="197">
        <f t="shared" si="189"/>
        <v>3.7973932184107038E-6</v>
      </c>
      <c r="BI246" s="197">
        <f t="shared" si="189"/>
        <v>3.7973932184107038E-6</v>
      </c>
      <c r="BJ246" s="197">
        <f t="shared" si="189"/>
        <v>3.7973932184107038E-6</v>
      </c>
      <c r="BK246" s="197">
        <f t="shared" si="189"/>
        <v>3.7973932184107038E-6</v>
      </c>
      <c r="BL246" s="197">
        <f t="shared" si="189"/>
        <v>3.7973932184107038E-6</v>
      </c>
      <c r="BM246" s="197">
        <f t="shared" si="189"/>
        <v>3.7973932184107038E-6</v>
      </c>
      <c r="BN246" s="197">
        <f t="shared" si="189"/>
        <v>3.7973932184107038E-6</v>
      </c>
      <c r="BO246" s="197">
        <f t="shared" si="189"/>
        <v>3.7973932184107038E-6</v>
      </c>
      <c r="BP246" s="197">
        <f t="shared" si="189"/>
        <v>3.7973932184107038E-6</v>
      </c>
      <c r="BQ246" s="197">
        <f t="shared" si="189"/>
        <v>3.7973932184107038E-6</v>
      </c>
      <c r="BR246" s="197">
        <f t="shared" si="189"/>
        <v>3.7973932184107038E-6</v>
      </c>
      <c r="BS246" s="197">
        <f t="shared" si="189"/>
        <v>3.7973932184107038E-6</v>
      </c>
      <c r="BT246" s="197">
        <f t="shared" si="189"/>
        <v>3.7973932184107038E-6</v>
      </c>
      <c r="BU246" s="197">
        <f t="shared" si="189"/>
        <v>3.7973932184107038E-6</v>
      </c>
      <c r="BV246" s="197">
        <f t="shared" si="189"/>
        <v>3.7973932184107038E-6</v>
      </c>
    </row>
    <row r="247" spans="1:74" x14ac:dyDescent="0.25">
      <c r="A247" s="147" t="s">
        <v>184</v>
      </c>
      <c r="C247" s="142"/>
      <c r="D247" s="177">
        <v>7.2374995393489069E-7</v>
      </c>
      <c r="E247" s="177">
        <v>7.2269158702865921E-7</v>
      </c>
      <c r="F247" s="177">
        <v>7.2163631098238606E-7</v>
      </c>
      <c r="G247" s="177">
        <v>7.2058411227596937E-7</v>
      </c>
      <c r="H247" s="177">
        <v>7.1953497746804541E-7</v>
      </c>
      <c r="I247" s="177">
        <v>7.1848889319541688E-7</v>
      </c>
      <c r="J247" s="177">
        <v>7.3670038535645475E-7</v>
      </c>
      <c r="K247" s="177">
        <v>7.453811059907835E-7</v>
      </c>
      <c r="L247" s="177">
        <v>7.1581680081623403E-7</v>
      </c>
      <c r="M247" s="177">
        <v>7.2610692838576682E-7</v>
      </c>
      <c r="N247" s="177">
        <v>7.3310732850881664E-7</v>
      </c>
      <c r="O247" s="177">
        <v>7.3188969110854199E-7</v>
      </c>
      <c r="P247" s="177">
        <v>7.3343342040265568E-7</v>
      </c>
      <c r="Q247" s="177">
        <v>7.5047929034934349E-7</v>
      </c>
      <c r="R247" s="177">
        <v>7.5652506142794078E-7</v>
      </c>
      <c r="S247" s="177">
        <v>7.6731233932175597E-7</v>
      </c>
      <c r="T247" s="177">
        <v>7.7037165682463259E-7</v>
      </c>
      <c r="U247" s="177">
        <v>7.833609596653838E-7</v>
      </c>
      <c r="V247" s="177">
        <v>7.7389878176226733E-7</v>
      </c>
      <c r="W247" s="177">
        <v>7.4646302542839876E-7</v>
      </c>
      <c r="X247" s="177">
        <v>7.4664983137683352E-7</v>
      </c>
      <c r="Y247" s="177">
        <v>7.6427364332403948E-7</v>
      </c>
      <c r="Z247" s="177">
        <v>7.5018850380136923E-7</v>
      </c>
      <c r="AA247" s="177">
        <v>7.4029545451387303E-7</v>
      </c>
      <c r="AB247" s="177">
        <v>7.413600369152842E-7</v>
      </c>
      <c r="AC247" s="177">
        <v>7.3928623532162953E-7</v>
      </c>
      <c r="AD247" s="177">
        <v>7.3628588182443376E-7</v>
      </c>
      <c r="AE247" s="177">
        <v>7.4672471252151824E-7</v>
      </c>
      <c r="AF247" s="177">
        <v>7.4672471252151824E-7</v>
      </c>
      <c r="AG247" s="177">
        <v>7.4672471252151824E-7</v>
      </c>
      <c r="AH247" s="177">
        <v>7.4672471252151824E-7</v>
      </c>
      <c r="AI247" s="177">
        <v>7.4672471252151824E-7</v>
      </c>
      <c r="AJ247" s="177">
        <v>7.4672471252151824E-7</v>
      </c>
      <c r="AK247" s="177">
        <v>7.4672471252151824E-7</v>
      </c>
      <c r="AL247" s="177">
        <v>7.4672471252151824E-7</v>
      </c>
      <c r="AM247" s="177">
        <v>7.4672471252151824E-7</v>
      </c>
      <c r="AN247" s="177">
        <v>7.4672471252151824E-7</v>
      </c>
      <c r="AO247" s="177">
        <v>7.4672471252151824E-7</v>
      </c>
      <c r="AP247" s="177">
        <v>7.4672471252151824E-7</v>
      </c>
      <c r="AQ247" s="177">
        <v>7.4672471252151824E-7</v>
      </c>
      <c r="AR247" s="177">
        <v>7.4672471252151824E-7</v>
      </c>
      <c r="AS247" s="197">
        <f t="shared" ref="AS247:BV247" si="190">AR247</f>
        <v>7.4672471252151824E-7</v>
      </c>
      <c r="AT247" s="197">
        <f t="shared" si="190"/>
        <v>7.4672471252151824E-7</v>
      </c>
      <c r="AU247" s="197">
        <f t="shared" si="190"/>
        <v>7.4672471252151824E-7</v>
      </c>
      <c r="AV247" s="197">
        <f t="shared" si="190"/>
        <v>7.4672471252151824E-7</v>
      </c>
      <c r="AW247" s="197">
        <f t="shared" si="190"/>
        <v>7.4672471252151824E-7</v>
      </c>
      <c r="AX247" s="197">
        <f t="shared" si="190"/>
        <v>7.4672471252151824E-7</v>
      </c>
      <c r="AY247" s="197">
        <f t="shared" si="190"/>
        <v>7.4672471252151824E-7</v>
      </c>
      <c r="AZ247" s="197">
        <f t="shared" si="190"/>
        <v>7.4672471252151824E-7</v>
      </c>
      <c r="BA247" s="197">
        <f t="shared" si="190"/>
        <v>7.4672471252151824E-7</v>
      </c>
      <c r="BB247" s="197">
        <f t="shared" si="190"/>
        <v>7.4672471252151824E-7</v>
      </c>
      <c r="BC247" s="197">
        <f t="shared" si="190"/>
        <v>7.4672471252151824E-7</v>
      </c>
      <c r="BD247" s="197">
        <f t="shared" si="190"/>
        <v>7.4672471252151824E-7</v>
      </c>
      <c r="BE247" s="197">
        <f t="shared" si="190"/>
        <v>7.4672471252151824E-7</v>
      </c>
      <c r="BF247" s="197">
        <f t="shared" si="190"/>
        <v>7.4672471252151824E-7</v>
      </c>
      <c r="BG247" s="197">
        <f t="shared" si="190"/>
        <v>7.4672471252151824E-7</v>
      </c>
      <c r="BH247" s="197">
        <f t="shared" si="190"/>
        <v>7.4672471252151824E-7</v>
      </c>
      <c r="BI247" s="197">
        <f t="shared" si="190"/>
        <v>7.4672471252151824E-7</v>
      </c>
      <c r="BJ247" s="197">
        <f t="shared" si="190"/>
        <v>7.4672471252151824E-7</v>
      </c>
      <c r="BK247" s="197">
        <f t="shared" si="190"/>
        <v>7.4672471252151824E-7</v>
      </c>
      <c r="BL247" s="197">
        <f t="shared" si="190"/>
        <v>7.4672471252151824E-7</v>
      </c>
      <c r="BM247" s="197">
        <f t="shared" si="190"/>
        <v>7.4672471252151824E-7</v>
      </c>
      <c r="BN247" s="197">
        <f t="shared" si="190"/>
        <v>7.4672471252151824E-7</v>
      </c>
      <c r="BO247" s="197">
        <f t="shared" si="190"/>
        <v>7.4672471252151824E-7</v>
      </c>
      <c r="BP247" s="197">
        <f t="shared" si="190"/>
        <v>7.4672471252151824E-7</v>
      </c>
      <c r="BQ247" s="197">
        <f t="shared" si="190"/>
        <v>7.4672471252151824E-7</v>
      </c>
      <c r="BR247" s="197">
        <f t="shared" si="190"/>
        <v>7.4672471252151824E-7</v>
      </c>
      <c r="BS247" s="197">
        <f t="shared" si="190"/>
        <v>7.4672471252151824E-7</v>
      </c>
      <c r="BT247" s="197">
        <f t="shared" si="190"/>
        <v>7.4672471252151824E-7</v>
      </c>
      <c r="BU247" s="197">
        <f t="shared" si="190"/>
        <v>7.4672471252151824E-7</v>
      </c>
      <c r="BV247" s="197">
        <f t="shared" si="190"/>
        <v>7.4672471252151824E-7</v>
      </c>
    </row>
    <row r="248" spans="1:74" x14ac:dyDescent="0.25">
      <c r="A248" s="147" t="s">
        <v>186</v>
      </c>
      <c r="C248" s="142"/>
      <c r="D248" s="177">
        <v>6.9372182085896159E-7</v>
      </c>
      <c r="E248" s="177">
        <v>6.9372182208450846E-7</v>
      </c>
      <c r="F248" s="177">
        <v>6.9372182331005534E-7</v>
      </c>
      <c r="G248" s="177">
        <v>6.9372182453560222E-7</v>
      </c>
      <c r="H248" s="177">
        <v>6.9372182576114899E-7</v>
      </c>
      <c r="I248" s="177">
        <v>6.9372182698669587E-7</v>
      </c>
      <c r="J248" s="177">
        <v>6.9372181976386657E-7</v>
      </c>
      <c r="K248" s="177">
        <v>6.9372182010994973E-7</v>
      </c>
      <c r="L248" s="177">
        <v>6.9372181887011414E-7</v>
      </c>
      <c r="M248" s="177">
        <v>6.9372181464765575E-7</v>
      </c>
      <c r="N248" s="177">
        <v>6.9372181178296311E-7</v>
      </c>
      <c r="O248" s="177">
        <v>6.9372181863129416E-7</v>
      </c>
      <c r="P248" s="177">
        <v>6.9372181717938715E-7</v>
      </c>
      <c r="Q248" s="177">
        <v>6.9372181882976234E-7</v>
      </c>
      <c r="R248" s="177">
        <v>6.9372181992821563E-7</v>
      </c>
      <c r="S248" s="177">
        <v>6.9372181605718157E-7</v>
      </c>
      <c r="T248" s="177">
        <v>6.9372189475908354E-7</v>
      </c>
      <c r="U248" s="177">
        <v>6.9372190663419027E-7</v>
      </c>
      <c r="V248" s="177">
        <v>6.9372186049530148E-7</v>
      </c>
      <c r="W248" s="177">
        <v>6.9372176760167111E-7</v>
      </c>
      <c r="X248" s="177">
        <v>6.937219366364905E-7</v>
      </c>
      <c r="Y248" s="177">
        <v>6.9372189564363666E-7</v>
      </c>
      <c r="Z248" s="177">
        <v>6.9372183984494612E-7</v>
      </c>
      <c r="AA248" s="177">
        <v>6.9372169435789911E-7</v>
      </c>
      <c r="AB248" s="177">
        <v>6.9372175964281857E-7</v>
      </c>
      <c r="AC248" s="177">
        <v>6.9372183831764121E-7</v>
      </c>
      <c r="AD248" s="177">
        <v>6.9372170553213361E-7</v>
      </c>
      <c r="AE248" s="177">
        <v>6.9372187567674965E-7</v>
      </c>
      <c r="AF248" s="177">
        <v>6.9372187567674965E-7</v>
      </c>
      <c r="AG248" s="177">
        <v>6.9372187567674965E-7</v>
      </c>
      <c r="AH248" s="177">
        <v>6.9372187567674965E-7</v>
      </c>
      <c r="AI248" s="177">
        <v>6.9372187567674965E-7</v>
      </c>
      <c r="AJ248" s="177">
        <v>6.9372187567674965E-7</v>
      </c>
      <c r="AK248" s="177">
        <v>6.9372187567674965E-7</v>
      </c>
      <c r="AL248" s="177">
        <v>6.9372187567674965E-7</v>
      </c>
      <c r="AM248" s="177">
        <v>6.9372187567674965E-7</v>
      </c>
      <c r="AN248" s="177">
        <v>6.9372187567674965E-7</v>
      </c>
      <c r="AO248" s="177">
        <v>6.9372187567674965E-7</v>
      </c>
      <c r="AP248" s="177">
        <v>6.9372187567674965E-7</v>
      </c>
      <c r="AQ248" s="177">
        <v>6.9372187567674965E-7</v>
      </c>
      <c r="AR248" s="177">
        <v>6.9372187567674965E-7</v>
      </c>
      <c r="AS248" s="197">
        <f t="shared" ref="AS248:BV248" si="191">AR248</f>
        <v>6.9372187567674965E-7</v>
      </c>
      <c r="AT248" s="197">
        <f t="shared" si="191"/>
        <v>6.9372187567674965E-7</v>
      </c>
      <c r="AU248" s="197">
        <f t="shared" si="191"/>
        <v>6.9372187567674965E-7</v>
      </c>
      <c r="AV248" s="197">
        <f t="shared" si="191"/>
        <v>6.9372187567674965E-7</v>
      </c>
      <c r="AW248" s="197">
        <f t="shared" si="191"/>
        <v>6.9372187567674965E-7</v>
      </c>
      <c r="AX248" s="197">
        <f t="shared" si="191"/>
        <v>6.9372187567674965E-7</v>
      </c>
      <c r="AY248" s="197">
        <f t="shared" si="191"/>
        <v>6.9372187567674965E-7</v>
      </c>
      <c r="AZ248" s="197">
        <f t="shared" si="191"/>
        <v>6.9372187567674965E-7</v>
      </c>
      <c r="BA248" s="197">
        <f t="shared" si="191"/>
        <v>6.9372187567674965E-7</v>
      </c>
      <c r="BB248" s="197">
        <f t="shared" si="191"/>
        <v>6.9372187567674965E-7</v>
      </c>
      <c r="BC248" s="197">
        <f t="shared" si="191"/>
        <v>6.9372187567674965E-7</v>
      </c>
      <c r="BD248" s="197">
        <f t="shared" si="191"/>
        <v>6.9372187567674965E-7</v>
      </c>
      <c r="BE248" s="197">
        <f t="shared" si="191"/>
        <v>6.9372187567674965E-7</v>
      </c>
      <c r="BF248" s="197">
        <f t="shared" si="191"/>
        <v>6.9372187567674965E-7</v>
      </c>
      <c r="BG248" s="197">
        <f t="shared" si="191"/>
        <v>6.9372187567674965E-7</v>
      </c>
      <c r="BH248" s="197">
        <f t="shared" si="191"/>
        <v>6.9372187567674965E-7</v>
      </c>
      <c r="BI248" s="197">
        <f t="shared" si="191"/>
        <v>6.9372187567674965E-7</v>
      </c>
      <c r="BJ248" s="197">
        <f t="shared" si="191"/>
        <v>6.9372187567674965E-7</v>
      </c>
      <c r="BK248" s="197">
        <f t="shared" si="191"/>
        <v>6.9372187567674965E-7</v>
      </c>
      <c r="BL248" s="197">
        <f t="shared" si="191"/>
        <v>6.9372187567674965E-7</v>
      </c>
      <c r="BM248" s="197">
        <f t="shared" si="191"/>
        <v>6.9372187567674965E-7</v>
      </c>
      <c r="BN248" s="197">
        <f t="shared" si="191"/>
        <v>6.9372187567674965E-7</v>
      </c>
      <c r="BO248" s="197">
        <f t="shared" si="191"/>
        <v>6.9372187567674965E-7</v>
      </c>
      <c r="BP248" s="197">
        <f t="shared" si="191"/>
        <v>6.9372187567674965E-7</v>
      </c>
      <c r="BQ248" s="197">
        <f t="shared" si="191"/>
        <v>6.9372187567674965E-7</v>
      </c>
      <c r="BR248" s="197">
        <f t="shared" si="191"/>
        <v>6.9372187567674965E-7</v>
      </c>
      <c r="BS248" s="197">
        <f t="shared" si="191"/>
        <v>6.9372187567674965E-7</v>
      </c>
      <c r="BT248" s="197">
        <f t="shared" si="191"/>
        <v>6.9372187567674965E-7</v>
      </c>
      <c r="BU248" s="197">
        <f t="shared" si="191"/>
        <v>6.9372187567674965E-7</v>
      </c>
      <c r="BV248" s="197">
        <f t="shared" si="191"/>
        <v>6.9372187567674965E-7</v>
      </c>
    </row>
    <row r="249" spans="1:74" x14ac:dyDescent="0.25">
      <c r="A249" s="141" t="s">
        <v>187</v>
      </c>
      <c r="B249" s="142"/>
      <c r="C249" s="142"/>
      <c r="D249" s="177">
        <v>5.5305755582816489E-7</v>
      </c>
      <c r="E249" s="177">
        <v>5.5755395938350764E-7</v>
      </c>
      <c r="F249" s="177">
        <v>5.6205036294953486E-7</v>
      </c>
      <c r="G249" s="177">
        <v>5.6654676652624635E-7</v>
      </c>
      <c r="H249" s="177">
        <v>5.7329137157078249E-7</v>
      </c>
      <c r="I249" s="177">
        <v>5.7329137225191111E-7</v>
      </c>
      <c r="J249" s="177">
        <v>5.7104315499043336E-7</v>
      </c>
      <c r="K249" s="177">
        <v>5.8003596564759817E-7</v>
      </c>
      <c r="L249" s="177">
        <v>5.8139533919414227E-7</v>
      </c>
      <c r="M249" s="177">
        <v>5.8468175845306478E-7</v>
      </c>
      <c r="N249" s="177">
        <v>5.9546925324097432E-7</v>
      </c>
      <c r="O249" s="177">
        <v>5.9331175675543012E-7</v>
      </c>
      <c r="P249" s="177">
        <v>5.9331175460486715E-7</v>
      </c>
      <c r="Q249" s="177">
        <v>5.9331175862550999E-7</v>
      </c>
      <c r="R249" s="177">
        <v>5.9331175588531965E-7</v>
      </c>
      <c r="S249" s="177">
        <v>5.9331175947375652E-7</v>
      </c>
      <c r="T249" s="177">
        <v>5.933118510316838E-7</v>
      </c>
      <c r="U249" s="177">
        <v>5.9331194290372498E-7</v>
      </c>
      <c r="V249" s="177">
        <v>5.9331187981131484E-7</v>
      </c>
      <c r="W249" s="177">
        <v>5.9331186291080176E-7</v>
      </c>
      <c r="X249" s="177">
        <v>5.9331194187259091E-7</v>
      </c>
      <c r="Y249" s="177">
        <v>5.9331179799381954E-7</v>
      </c>
      <c r="Z249" s="177">
        <v>5.9331189095785941E-7</v>
      </c>
      <c r="AA249" s="177">
        <v>5.9331161703418625E-7</v>
      </c>
      <c r="AB249" s="177">
        <v>5.932740789591351E-7</v>
      </c>
      <c r="AC249" s="177">
        <v>5.9327398031517265E-7</v>
      </c>
      <c r="AD249" s="177">
        <v>5.9327417305870628E-7</v>
      </c>
      <c r="AE249" s="177">
        <v>5.9327417305870628E-7</v>
      </c>
      <c r="AF249" s="177">
        <v>5.9327417305870628E-7</v>
      </c>
      <c r="AG249" s="177">
        <v>5.9327417305870628E-7</v>
      </c>
      <c r="AH249" s="177">
        <v>5.9327417305870628E-7</v>
      </c>
      <c r="AI249" s="177">
        <v>5.9327417305870628E-7</v>
      </c>
      <c r="AJ249" s="177">
        <v>5.9327417305870628E-7</v>
      </c>
      <c r="AK249" s="177">
        <v>5.9327417305870628E-7</v>
      </c>
      <c r="AL249" s="177">
        <v>5.9327417305870628E-7</v>
      </c>
      <c r="AM249" s="177">
        <v>5.9327417305870628E-7</v>
      </c>
      <c r="AN249" s="177">
        <v>5.9327417305870628E-7</v>
      </c>
      <c r="AO249" s="177">
        <v>5.9327417305870628E-7</v>
      </c>
      <c r="AP249" s="177">
        <v>5.9327417305870628E-7</v>
      </c>
      <c r="AQ249" s="177">
        <v>5.9327417305870628E-7</v>
      </c>
      <c r="AR249" s="177">
        <v>5.9327417305870628E-7</v>
      </c>
      <c r="AS249" s="197">
        <f t="shared" ref="AS249:BV249" si="192">AR249</f>
        <v>5.9327417305870628E-7</v>
      </c>
      <c r="AT249" s="197">
        <f t="shared" si="192"/>
        <v>5.9327417305870628E-7</v>
      </c>
      <c r="AU249" s="197">
        <f t="shared" si="192"/>
        <v>5.9327417305870628E-7</v>
      </c>
      <c r="AV249" s="197">
        <f t="shared" si="192"/>
        <v>5.9327417305870628E-7</v>
      </c>
      <c r="AW249" s="197">
        <f t="shared" si="192"/>
        <v>5.9327417305870628E-7</v>
      </c>
      <c r="AX249" s="197">
        <f t="shared" si="192"/>
        <v>5.9327417305870628E-7</v>
      </c>
      <c r="AY249" s="197">
        <f t="shared" si="192"/>
        <v>5.9327417305870628E-7</v>
      </c>
      <c r="AZ249" s="197">
        <f t="shared" si="192"/>
        <v>5.9327417305870628E-7</v>
      </c>
      <c r="BA249" s="197">
        <f t="shared" si="192"/>
        <v>5.9327417305870628E-7</v>
      </c>
      <c r="BB249" s="197">
        <f t="shared" si="192"/>
        <v>5.9327417305870628E-7</v>
      </c>
      <c r="BC249" s="197">
        <f t="shared" si="192"/>
        <v>5.9327417305870628E-7</v>
      </c>
      <c r="BD249" s="197">
        <f t="shared" si="192"/>
        <v>5.9327417305870628E-7</v>
      </c>
      <c r="BE249" s="197">
        <f t="shared" si="192"/>
        <v>5.9327417305870628E-7</v>
      </c>
      <c r="BF249" s="197">
        <f t="shared" si="192"/>
        <v>5.9327417305870628E-7</v>
      </c>
      <c r="BG249" s="197">
        <f t="shared" si="192"/>
        <v>5.9327417305870628E-7</v>
      </c>
      <c r="BH249" s="197">
        <f t="shared" si="192"/>
        <v>5.9327417305870628E-7</v>
      </c>
      <c r="BI249" s="197">
        <f t="shared" si="192"/>
        <v>5.9327417305870628E-7</v>
      </c>
      <c r="BJ249" s="197">
        <f t="shared" si="192"/>
        <v>5.9327417305870628E-7</v>
      </c>
      <c r="BK249" s="197">
        <f t="shared" si="192"/>
        <v>5.9327417305870628E-7</v>
      </c>
      <c r="BL249" s="197">
        <f t="shared" si="192"/>
        <v>5.9327417305870628E-7</v>
      </c>
      <c r="BM249" s="197">
        <f t="shared" si="192"/>
        <v>5.9327417305870628E-7</v>
      </c>
      <c r="BN249" s="197">
        <f t="shared" si="192"/>
        <v>5.9327417305870628E-7</v>
      </c>
      <c r="BO249" s="197">
        <f t="shared" si="192"/>
        <v>5.9327417305870628E-7</v>
      </c>
      <c r="BP249" s="197">
        <f t="shared" si="192"/>
        <v>5.9327417305870628E-7</v>
      </c>
      <c r="BQ249" s="197">
        <f t="shared" si="192"/>
        <v>5.9327417305870628E-7</v>
      </c>
      <c r="BR249" s="197">
        <f t="shared" si="192"/>
        <v>5.9327417305870628E-7</v>
      </c>
      <c r="BS249" s="197">
        <f t="shared" si="192"/>
        <v>5.9327417305870628E-7</v>
      </c>
      <c r="BT249" s="197">
        <f t="shared" si="192"/>
        <v>5.9327417305870628E-7</v>
      </c>
      <c r="BU249" s="197">
        <f t="shared" si="192"/>
        <v>5.9327417305870628E-7</v>
      </c>
      <c r="BV249" s="197">
        <f t="shared" si="192"/>
        <v>5.9327417305870628E-7</v>
      </c>
    </row>
    <row r="250" spans="1:74" x14ac:dyDescent="0.25">
      <c r="A250" s="147" t="s">
        <v>189</v>
      </c>
      <c r="C250" s="142"/>
      <c r="D250" s="177">
        <v>2.1493820526598605E-6</v>
      </c>
      <c r="E250" s="177">
        <v>2.1493820488965372E-6</v>
      </c>
      <c r="F250" s="177">
        <v>2.1493820451332142E-6</v>
      </c>
      <c r="G250" s="177">
        <v>2.1493820413698909E-6</v>
      </c>
      <c r="H250" s="177">
        <v>2.149382037606568E-6</v>
      </c>
      <c r="I250" s="177">
        <v>2.1493820338432438E-6</v>
      </c>
      <c r="J250" s="177">
        <v>2.1493820296324762E-6</v>
      </c>
      <c r="K250" s="177">
        <v>2.1493820477834131E-6</v>
      </c>
      <c r="L250" s="177">
        <v>2.0898641934852297E-6</v>
      </c>
      <c r="M250" s="177">
        <v>2.0898641370433379E-6</v>
      </c>
      <c r="N250" s="177">
        <v>2.0898641634532658E-6</v>
      </c>
      <c r="O250" s="177">
        <v>2.0898641835654765E-6</v>
      </c>
      <c r="P250" s="177">
        <v>2.0898641946689964E-6</v>
      </c>
      <c r="Q250" s="177">
        <v>2.0898641289945649E-6</v>
      </c>
      <c r="R250" s="177">
        <v>2.0898641529287141E-6</v>
      </c>
      <c r="S250" s="177">
        <v>2.0898641291059984E-6</v>
      </c>
      <c r="T250" s="177">
        <v>2.0898643326367556E-6</v>
      </c>
      <c r="U250" s="177">
        <v>2.0898636335884501E-6</v>
      </c>
      <c r="V250" s="177">
        <v>2.0898645865934891E-6</v>
      </c>
      <c r="W250" s="177">
        <v>2.0898650244234388E-6</v>
      </c>
      <c r="X250" s="177">
        <v>2.0898642570353919E-6</v>
      </c>
      <c r="Y250" s="177">
        <v>2.0898643118407691E-6</v>
      </c>
      <c r="Z250" s="177">
        <v>2.0898644292171934E-6</v>
      </c>
      <c r="AA250" s="177">
        <v>2.0898636624080604E-6</v>
      </c>
      <c r="AB250" s="177">
        <v>2.0898640039314725E-6</v>
      </c>
      <c r="AC250" s="177">
        <v>2.0898632313649071E-6</v>
      </c>
      <c r="AD250" s="177">
        <v>2.0898649009569112E-6</v>
      </c>
      <c r="AE250" s="177">
        <v>2.0898631426917697E-6</v>
      </c>
      <c r="AF250" s="177">
        <v>2.0898631426917697E-6</v>
      </c>
      <c r="AG250" s="177">
        <v>2.0898631426917697E-6</v>
      </c>
      <c r="AH250" s="177">
        <v>2.0898631426917697E-6</v>
      </c>
      <c r="AI250" s="177">
        <v>2.0898631426917697E-6</v>
      </c>
      <c r="AJ250" s="177">
        <v>2.0898631426917697E-6</v>
      </c>
      <c r="AK250" s="177">
        <v>2.0898631426917697E-6</v>
      </c>
      <c r="AL250" s="177">
        <v>2.0898631426917697E-6</v>
      </c>
      <c r="AM250" s="177">
        <v>2.0898631426917697E-6</v>
      </c>
      <c r="AN250" s="177">
        <v>2.0898631426917697E-6</v>
      </c>
      <c r="AO250" s="177">
        <v>2.0898631426917697E-6</v>
      </c>
      <c r="AP250" s="177">
        <v>2.0898631426917697E-6</v>
      </c>
      <c r="AQ250" s="177">
        <v>2.0898631426917697E-6</v>
      </c>
      <c r="AR250" s="177">
        <v>2.0898631426917697E-6</v>
      </c>
      <c r="AS250" s="197">
        <f t="shared" ref="AS250:BV250" si="193">AR250</f>
        <v>2.0898631426917697E-6</v>
      </c>
      <c r="AT250" s="197">
        <f t="shared" si="193"/>
        <v>2.0898631426917697E-6</v>
      </c>
      <c r="AU250" s="197">
        <f t="shared" si="193"/>
        <v>2.0898631426917697E-6</v>
      </c>
      <c r="AV250" s="197">
        <f t="shared" si="193"/>
        <v>2.0898631426917697E-6</v>
      </c>
      <c r="AW250" s="197">
        <f t="shared" si="193"/>
        <v>2.0898631426917697E-6</v>
      </c>
      <c r="AX250" s="197">
        <f t="shared" si="193"/>
        <v>2.0898631426917697E-6</v>
      </c>
      <c r="AY250" s="197">
        <f t="shared" si="193"/>
        <v>2.0898631426917697E-6</v>
      </c>
      <c r="AZ250" s="197">
        <f t="shared" si="193"/>
        <v>2.0898631426917697E-6</v>
      </c>
      <c r="BA250" s="197">
        <f t="shared" si="193"/>
        <v>2.0898631426917697E-6</v>
      </c>
      <c r="BB250" s="197">
        <f t="shared" si="193"/>
        <v>2.0898631426917697E-6</v>
      </c>
      <c r="BC250" s="197">
        <f t="shared" si="193"/>
        <v>2.0898631426917697E-6</v>
      </c>
      <c r="BD250" s="197">
        <f t="shared" si="193"/>
        <v>2.0898631426917697E-6</v>
      </c>
      <c r="BE250" s="197">
        <f t="shared" si="193"/>
        <v>2.0898631426917697E-6</v>
      </c>
      <c r="BF250" s="197">
        <f t="shared" si="193"/>
        <v>2.0898631426917697E-6</v>
      </c>
      <c r="BG250" s="197">
        <f t="shared" si="193"/>
        <v>2.0898631426917697E-6</v>
      </c>
      <c r="BH250" s="197">
        <f t="shared" si="193"/>
        <v>2.0898631426917697E-6</v>
      </c>
      <c r="BI250" s="197">
        <f t="shared" si="193"/>
        <v>2.0898631426917697E-6</v>
      </c>
      <c r="BJ250" s="197">
        <f t="shared" si="193"/>
        <v>2.0898631426917697E-6</v>
      </c>
      <c r="BK250" s="197">
        <f t="shared" si="193"/>
        <v>2.0898631426917697E-6</v>
      </c>
      <c r="BL250" s="197">
        <f t="shared" si="193"/>
        <v>2.0898631426917697E-6</v>
      </c>
      <c r="BM250" s="197">
        <f t="shared" si="193"/>
        <v>2.0898631426917697E-6</v>
      </c>
      <c r="BN250" s="197">
        <f t="shared" si="193"/>
        <v>2.0898631426917697E-6</v>
      </c>
      <c r="BO250" s="197">
        <f t="shared" si="193"/>
        <v>2.0898631426917697E-6</v>
      </c>
      <c r="BP250" s="197">
        <f t="shared" si="193"/>
        <v>2.0898631426917697E-6</v>
      </c>
      <c r="BQ250" s="197">
        <f t="shared" si="193"/>
        <v>2.0898631426917697E-6</v>
      </c>
      <c r="BR250" s="197">
        <f t="shared" si="193"/>
        <v>2.0898631426917697E-6</v>
      </c>
      <c r="BS250" s="197">
        <f t="shared" si="193"/>
        <v>2.0898631426917697E-6</v>
      </c>
      <c r="BT250" s="197">
        <f t="shared" si="193"/>
        <v>2.0898631426917697E-6</v>
      </c>
      <c r="BU250" s="197">
        <f t="shared" si="193"/>
        <v>2.0898631426917697E-6</v>
      </c>
      <c r="BV250" s="197">
        <f t="shared" si="193"/>
        <v>2.0898631426917697E-6</v>
      </c>
    </row>
    <row r="251" spans="1:74" x14ac:dyDescent="0.25">
      <c r="A251" s="147" t="s">
        <v>12</v>
      </c>
      <c r="C251" s="142"/>
      <c r="D251" s="177">
        <v>1.0341268370184033E-5</v>
      </c>
      <c r="E251" s="177">
        <v>1.0341268370184033E-5</v>
      </c>
      <c r="F251" s="177">
        <v>1.0341268370184033E-5</v>
      </c>
      <c r="G251" s="177">
        <v>1.0341268370184033E-5</v>
      </c>
      <c r="H251" s="177">
        <v>1.0341268370184033E-5</v>
      </c>
      <c r="I251" s="177">
        <v>1.0341268370184033E-5</v>
      </c>
      <c r="J251" s="177">
        <v>1.0341276084664316E-5</v>
      </c>
      <c r="K251" s="177">
        <v>1.0341261276816161E-5</v>
      </c>
      <c r="L251" s="177">
        <v>1.0341254423757502E-5</v>
      </c>
      <c r="M251" s="177">
        <v>1.03412499969685E-5</v>
      </c>
      <c r="N251" s="177">
        <v>1.0341281568972375E-5</v>
      </c>
      <c r="O251" s="177">
        <v>1.0341244129338394E-5</v>
      </c>
      <c r="P251" s="177">
        <v>1.0443876317390763E-5</v>
      </c>
      <c r="Q251" s="177">
        <v>1.0443858949120162E-5</v>
      </c>
      <c r="R251" s="177">
        <v>1.0443864666083176E-5</v>
      </c>
      <c r="S251" s="177">
        <v>1.044388427224369E-5</v>
      </c>
      <c r="T251" s="177">
        <v>1.044386350224554E-5</v>
      </c>
      <c r="U251" s="177">
        <v>1.04438600820944E-5</v>
      </c>
      <c r="V251" s="177">
        <v>1.0443880375395977E-5</v>
      </c>
      <c r="W251" s="177">
        <v>1.0443871133153329E-5</v>
      </c>
      <c r="X251" s="177">
        <v>1.04438787184324E-5</v>
      </c>
      <c r="Y251" s="177">
        <v>1.0443853454604676E-5</v>
      </c>
      <c r="Z251" s="177">
        <v>1.0443850081628401E-5</v>
      </c>
      <c r="AA251" s="177">
        <v>1.0443874471427051E-5</v>
      </c>
      <c r="AB251" s="177">
        <v>1.0443849595249662E-5</v>
      </c>
      <c r="AC251" s="177">
        <v>1.0443882381762683E-5</v>
      </c>
      <c r="AD251" s="177">
        <v>1.0443872289376391E-5</v>
      </c>
      <c r="AE251" s="177">
        <v>1.0443869321055523E-5</v>
      </c>
      <c r="AF251" s="177">
        <v>1.0443869321055523E-5</v>
      </c>
      <c r="AG251" s="177">
        <v>1.0443869321055523E-5</v>
      </c>
      <c r="AH251" s="177">
        <v>1.0443869321055523E-5</v>
      </c>
      <c r="AI251" s="177">
        <v>1.0443869321055523E-5</v>
      </c>
      <c r="AJ251" s="177">
        <v>1.0443869321055523E-5</v>
      </c>
      <c r="AK251" s="177">
        <v>1.0443869321055523E-5</v>
      </c>
      <c r="AL251" s="177">
        <v>1.0443869321055523E-5</v>
      </c>
      <c r="AM251" s="177">
        <v>1.0443869321055523E-5</v>
      </c>
      <c r="AN251" s="177">
        <v>1.0443869321055523E-5</v>
      </c>
      <c r="AO251" s="177">
        <v>1.0443869321055523E-5</v>
      </c>
      <c r="AP251" s="177">
        <v>1.0443869321055523E-5</v>
      </c>
      <c r="AQ251" s="177">
        <v>1.0443869321055523E-5</v>
      </c>
      <c r="AR251" s="177">
        <v>1.0443869321055523E-5</v>
      </c>
      <c r="AS251" s="197">
        <f t="shared" ref="AS251:BV251" si="194">AR251</f>
        <v>1.0443869321055523E-5</v>
      </c>
      <c r="AT251" s="197">
        <f t="shared" si="194"/>
        <v>1.0443869321055523E-5</v>
      </c>
      <c r="AU251" s="197">
        <f t="shared" si="194"/>
        <v>1.0443869321055523E-5</v>
      </c>
      <c r="AV251" s="197">
        <f t="shared" si="194"/>
        <v>1.0443869321055523E-5</v>
      </c>
      <c r="AW251" s="197">
        <f t="shared" si="194"/>
        <v>1.0443869321055523E-5</v>
      </c>
      <c r="AX251" s="197">
        <f t="shared" si="194"/>
        <v>1.0443869321055523E-5</v>
      </c>
      <c r="AY251" s="197">
        <f t="shared" si="194"/>
        <v>1.0443869321055523E-5</v>
      </c>
      <c r="AZ251" s="197">
        <f t="shared" si="194"/>
        <v>1.0443869321055523E-5</v>
      </c>
      <c r="BA251" s="197">
        <f t="shared" si="194"/>
        <v>1.0443869321055523E-5</v>
      </c>
      <c r="BB251" s="197">
        <f t="shared" si="194"/>
        <v>1.0443869321055523E-5</v>
      </c>
      <c r="BC251" s="197">
        <f t="shared" si="194"/>
        <v>1.0443869321055523E-5</v>
      </c>
      <c r="BD251" s="197">
        <f t="shared" si="194"/>
        <v>1.0443869321055523E-5</v>
      </c>
      <c r="BE251" s="197">
        <f t="shared" si="194"/>
        <v>1.0443869321055523E-5</v>
      </c>
      <c r="BF251" s="197">
        <f t="shared" si="194"/>
        <v>1.0443869321055523E-5</v>
      </c>
      <c r="BG251" s="197">
        <f t="shared" si="194"/>
        <v>1.0443869321055523E-5</v>
      </c>
      <c r="BH251" s="197">
        <f t="shared" si="194"/>
        <v>1.0443869321055523E-5</v>
      </c>
      <c r="BI251" s="197">
        <f t="shared" si="194"/>
        <v>1.0443869321055523E-5</v>
      </c>
      <c r="BJ251" s="197">
        <f t="shared" si="194"/>
        <v>1.0443869321055523E-5</v>
      </c>
      <c r="BK251" s="197">
        <f t="shared" si="194"/>
        <v>1.0443869321055523E-5</v>
      </c>
      <c r="BL251" s="197">
        <f t="shared" si="194"/>
        <v>1.0443869321055523E-5</v>
      </c>
      <c r="BM251" s="197">
        <f t="shared" si="194"/>
        <v>1.0443869321055523E-5</v>
      </c>
      <c r="BN251" s="197">
        <f t="shared" si="194"/>
        <v>1.0443869321055523E-5</v>
      </c>
      <c r="BO251" s="197">
        <f t="shared" si="194"/>
        <v>1.0443869321055523E-5</v>
      </c>
      <c r="BP251" s="197">
        <f t="shared" si="194"/>
        <v>1.0443869321055523E-5</v>
      </c>
      <c r="BQ251" s="197">
        <f t="shared" si="194"/>
        <v>1.0443869321055523E-5</v>
      </c>
      <c r="BR251" s="197">
        <f t="shared" si="194"/>
        <v>1.0443869321055523E-5</v>
      </c>
      <c r="BS251" s="197">
        <f t="shared" si="194"/>
        <v>1.0443869321055523E-5</v>
      </c>
      <c r="BT251" s="197">
        <f t="shared" si="194"/>
        <v>1.0443869321055523E-5</v>
      </c>
      <c r="BU251" s="197">
        <f t="shared" si="194"/>
        <v>1.0443869321055523E-5</v>
      </c>
      <c r="BV251" s="197">
        <f t="shared" si="194"/>
        <v>1.0443869321055523E-5</v>
      </c>
    </row>
    <row r="252" spans="1:74" x14ac:dyDescent="0.25">
      <c r="A252" s="147" t="s">
        <v>2</v>
      </c>
      <c r="C252" s="142"/>
      <c r="D252" s="177"/>
      <c r="E252" s="177"/>
      <c r="F252" s="177"/>
      <c r="G252" s="177"/>
      <c r="H252" s="177"/>
      <c r="I252" s="177"/>
      <c r="J252" s="177"/>
      <c r="K252" s="177"/>
      <c r="L252" s="177"/>
      <c r="M252" s="177"/>
      <c r="N252" s="177"/>
      <c r="O252" s="177"/>
      <c r="P252" s="177"/>
      <c r="Q252" s="177"/>
      <c r="R252" s="177"/>
      <c r="S252" s="177"/>
      <c r="T252" s="177"/>
      <c r="U252" s="177"/>
      <c r="V252" s="177"/>
      <c r="W252" s="177"/>
      <c r="X252" s="177"/>
      <c r="Y252" s="177"/>
      <c r="Z252" s="177"/>
      <c r="AA252" s="177"/>
      <c r="AB252" s="177"/>
      <c r="AC252" s="177"/>
      <c r="AD252" s="177"/>
      <c r="AE252" s="177"/>
      <c r="AF252" s="177"/>
      <c r="AG252" s="177"/>
      <c r="AH252" s="177"/>
      <c r="AI252" s="177"/>
      <c r="AJ252" s="177"/>
      <c r="AK252" s="177"/>
      <c r="AL252" s="177"/>
      <c r="AM252" s="177"/>
      <c r="AN252" s="177"/>
      <c r="AO252" s="177"/>
      <c r="AP252" s="177"/>
      <c r="AQ252" s="177"/>
      <c r="AR252" s="177"/>
      <c r="AS252" s="197">
        <f t="shared" ref="AS252:BV252" si="195">AR252</f>
        <v>0</v>
      </c>
      <c r="AT252" s="197">
        <f t="shared" si="195"/>
        <v>0</v>
      </c>
      <c r="AU252" s="197">
        <f t="shared" si="195"/>
        <v>0</v>
      </c>
      <c r="AV252" s="197">
        <f t="shared" si="195"/>
        <v>0</v>
      </c>
      <c r="AW252" s="197">
        <f t="shared" si="195"/>
        <v>0</v>
      </c>
      <c r="AX252" s="197">
        <f t="shared" si="195"/>
        <v>0</v>
      </c>
      <c r="AY252" s="197">
        <f t="shared" si="195"/>
        <v>0</v>
      </c>
      <c r="AZ252" s="197">
        <f t="shared" si="195"/>
        <v>0</v>
      </c>
      <c r="BA252" s="197">
        <f t="shared" si="195"/>
        <v>0</v>
      </c>
      <c r="BB252" s="197">
        <f t="shared" si="195"/>
        <v>0</v>
      </c>
      <c r="BC252" s="197">
        <f t="shared" si="195"/>
        <v>0</v>
      </c>
      <c r="BD252" s="197">
        <f t="shared" si="195"/>
        <v>0</v>
      </c>
      <c r="BE252" s="197">
        <f t="shared" si="195"/>
        <v>0</v>
      </c>
      <c r="BF252" s="197">
        <f t="shared" si="195"/>
        <v>0</v>
      </c>
      <c r="BG252" s="197">
        <f t="shared" si="195"/>
        <v>0</v>
      </c>
      <c r="BH252" s="197">
        <f t="shared" si="195"/>
        <v>0</v>
      </c>
      <c r="BI252" s="197">
        <f t="shared" si="195"/>
        <v>0</v>
      </c>
      <c r="BJ252" s="197">
        <f t="shared" si="195"/>
        <v>0</v>
      </c>
      <c r="BK252" s="197">
        <f t="shared" si="195"/>
        <v>0</v>
      </c>
      <c r="BL252" s="197">
        <f t="shared" si="195"/>
        <v>0</v>
      </c>
      <c r="BM252" s="197">
        <f t="shared" si="195"/>
        <v>0</v>
      </c>
      <c r="BN252" s="197">
        <f t="shared" si="195"/>
        <v>0</v>
      </c>
      <c r="BO252" s="197">
        <f t="shared" si="195"/>
        <v>0</v>
      </c>
      <c r="BP252" s="197">
        <f t="shared" si="195"/>
        <v>0</v>
      </c>
      <c r="BQ252" s="197">
        <f t="shared" si="195"/>
        <v>0</v>
      </c>
      <c r="BR252" s="197">
        <f t="shared" si="195"/>
        <v>0</v>
      </c>
      <c r="BS252" s="197">
        <f t="shared" si="195"/>
        <v>0</v>
      </c>
      <c r="BT252" s="197">
        <f t="shared" si="195"/>
        <v>0</v>
      </c>
      <c r="BU252" s="197">
        <f t="shared" si="195"/>
        <v>0</v>
      </c>
      <c r="BV252" s="197">
        <f t="shared" si="195"/>
        <v>0</v>
      </c>
    </row>
    <row r="253" spans="1:74" x14ac:dyDescent="0.25">
      <c r="A253" s="141" t="s">
        <v>192</v>
      </c>
      <c r="B253" s="148"/>
      <c r="C253" s="142"/>
      <c r="D253" s="177">
        <v>9.4004394736498995E-7</v>
      </c>
      <c r="E253" s="177">
        <v>9.4004394736498995E-7</v>
      </c>
      <c r="F253" s="177">
        <v>9.4004394736498995E-7</v>
      </c>
      <c r="G253" s="177">
        <v>9.4004394736498995E-7</v>
      </c>
      <c r="H253" s="177">
        <v>9.4004394736498995E-7</v>
      </c>
      <c r="I253" s="177">
        <v>9.4004394736498995E-7</v>
      </c>
      <c r="J253" s="177">
        <v>9.4004394736498995E-7</v>
      </c>
      <c r="K253" s="177">
        <v>9.4004394736498995E-7</v>
      </c>
      <c r="L253" s="177">
        <v>9.4004394736498995E-7</v>
      </c>
      <c r="M253" s="177">
        <v>9.4004394736498995E-7</v>
      </c>
      <c r="N253" s="177">
        <v>9.4004394736498995E-7</v>
      </c>
      <c r="O253" s="177">
        <v>9.4004394736498995E-7</v>
      </c>
      <c r="P253" s="177">
        <v>9.4004394736498995E-7</v>
      </c>
      <c r="Q253" s="177">
        <v>9.4004394736498995E-7</v>
      </c>
      <c r="R253" s="177">
        <v>9.4004394736498995E-7</v>
      </c>
      <c r="S253" s="177">
        <v>9.4004394736498995E-7</v>
      </c>
      <c r="T253" s="177">
        <v>9.4004394736498995E-7</v>
      </c>
      <c r="U253" s="177">
        <v>9.4004394736498995E-7</v>
      </c>
      <c r="V253" s="177">
        <v>9.4004394736498995E-7</v>
      </c>
      <c r="W253" s="177">
        <v>9.4004394736498995E-7</v>
      </c>
      <c r="X253" s="177">
        <v>9.4004394736498995E-7</v>
      </c>
      <c r="Y253" s="177">
        <v>9.4004394736498995E-7</v>
      </c>
      <c r="Z253" s="177">
        <v>9.4004394736498995E-7</v>
      </c>
      <c r="AA253" s="177">
        <v>9.4004394736498995E-7</v>
      </c>
      <c r="AB253" s="177">
        <v>9.4004394736498995E-7</v>
      </c>
      <c r="AC253" s="177">
        <v>9.4004394736498995E-7</v>
      </c>
      <c r="AD253" s="177">
        <v>9.4004394736498995E-7</v>
      </c>
      <c r="AE253" s="177">
        <v>9.4004394736498995E-7</v>
      </c>
      <c r="AF253" s="177">
        <v>9.4004394736498995E-7</v>
      </c>
      <c r="AG253" s="177">
        <v>9.4004394736498995E-7</v>
      </c>
      <c r="AH253" s="177">
        <v>9.4004394736498995E-7</v>
      </c>
      <c r="AI253" s="177">
        <v>9.4004394736498995E-7</v>
      </c>
      <c r="AJ253" s="177">
        <v>9.4004394736498995E-7</v>
      </c>
      <c r="AK253" s="177">
        <v>9.4004394736498995E-7</v>
      </c>
      <c r="AL253" s="177">
        <v>9.4004394736498995E-7</v>
      </c>
      <c r="AM253" s="177">
        <v>9.4004394736498995E-7</v>
      </c>
      <c r="AN253" s="177">
        <v>9.4004394736498995E-7</v>
      </c>
      <c r="AO253" s="177">
        <v>9.4004394736498995E-7</v>
      </c>
      <c r="AP253" s="177">
        <v>9.4004394736498995E-7</v>
      </c>
      <c r="AQ253" s="177">
        <v>9.4004394736498995E-7</v>
      </c>
      <c r="AR253" s="177">
        <v>9.4004394736498995E-7</v>
      </c>
      <c r="AS253" s="197">
        <f t="shared" ref="AS253:BV253" si="196">AR253</f>
        <v>9.4004394736498995E-7</v>
      </c>
      <c r="AT253" s="197">
        <f t="shared" si="196"/>
        <v>9.4004394736498995E-7</v>
      </c>
      <c r="AU253" s="197">
        <f t="shared" si="196"/>
        <v>9.4004394736498995E-7</v>
      </c>
      <c r="AV253" s="197">
        <f t="shared" si="196"/>
        <v>9.4004394736498995E-7</v>
      </c>
      <c r="AW253" s="197">
        <f t="shared" si="196"/>
        <v>9.4004394736498995E-7</v>
      </c>
      <c r="AX253" s="197">
        <f t="shared" si="196"/>
        <v>9.4004394736498995E-7</v>
      </c>
      <c r="AY253" s="197">
        <f t="shared" si="196"/>
        <v>9.4004394736498995E-7</v>
      </c>
      <c r="AZ253" s="197">
        <f t="shared" si="196"/>
        <v>9.4004394736498995E-7</v>
      </c>
      <c r="BA253" s="197">
        <f t="shared" si="196"/>
        <v>9.4004394736498995E-7</v>
      </c>
      <c r="BB253" s="197">
        <f t="shared" si="196"/>
        <v>9.4004394736498995E-7</v>
      </c>
      <c r="BC253" s="197">
        <f t="shared" si="196"/>
        <v>9.4004394736498995E-7</v>
      </c>
      <c r="BD253" s="197">
        <f t="shared" si="196"/>
        <v>9.4004394736498995E-7</v>
      </c>
      <c r="BE253" s="197">
        <f t="shared" si="196"/>
        <v>9.4004394736498995E-7</v>
      </c>
      <c r="BF253" s="197">
        <f t="shared" si="196"/>
        <v>9.4004394736498995E-7</v>
      </c>
      <c r="BG253" s="197">
        <f t="shared" si="196"/>
        <v>9.4004394736498995E-7</v>
      </c>
      <c r="BH253" s="197">
        <f t="shared" si="196"/>
        <v>9.4004394736498995E-7</v>
      </c>
      <c r="BI253" s="197">
        <f t="shared" si="196"/>
        <v>9.4004394736498995E-7</v>
      </c>
      <c r="BJ253" s="197">
        <f t="shared" si="196"/>
        <v>9.4004394736498995E-7</v>
      </c>
      <c r="BK253" s="197">
        <f t="shared" si="196"/>
        <v>9.4004394736498995E-7</v>
      </c>
      <c r="BL253" s="197">
        <f t="shared" si="196"/>
        <v>9.4004394736498995E-7</v>
      </c>
      <c r="BM253" s="197">
        <f t="shared" si="196"/>
        <v>9.4004394736498995E-7</v>
      </c>
      <c r="BN253" s="197">
        <f t="shared" si="196"/>
        <v>9.4004394736498995E-7</v>
      </c>
      <c r="BO253" s="197">
        <f t="shared" si="196"/>
        <v>9.4004394736498995E-7</v>
      </c>
      <c r="BP253" s="197">
        <f t="shared" si="196"/>
        <v>9.4004394736498995E-7</v>
      </c>
      <c r="BQ253" s="197">
        <f t="shared" si="196"/>
        <v>9.4004394736498995E-7</v>
      </c>
      <c r="BR253" s="197">
        <f t="shared" si="196"/>
        <v>9.4004394736498995E-7</v>
      </c>
      <c r="BS253" s="197">
        <f t="shared" si="196"/>
        <v>9.4004394736498995E-7</v>
      </c>
      <c r="BT253" s="197">
        <f t="shared" si="196"/>
        <v>9.4004394736498995E-7</v>
      </c>
      <c r="BU253" s="197">
        <f t="shared" si="196"/>
        <v>9.4004394736498995E-7</v>
      </c>
      <c r="BV253" s="197">
        <f t="shared" si="196"/>
        <v>9.4004394736498995E-7</v>
      </c>
    </row>
    <row r="254" spans="1:74" x14ac:dyDescent="0.25">
      <c r="A254" s="141" t="s">
        <v>193</v>
      </c>
      <c r="B254" s="148"/>
      <c r="C254" s="142"/>
      <c r="D254" s="177">
        <v>4.7927150641825361E-10</v>
      </c>
      <c r="E254" s="177">
        <v>4.792715066038902E-10</v>
      </c>
      <c r="F254" s="177">
        <v>4.792715067895268E-10</v>
      </c>
      <c r="G254" s="177">
        <v>4.792715069751634E-10</v>
      </c>
      <c r="H254" s="177">
        <v>4.792715071608E-10</v>
      </c>
      <c r="I254" s="177">
        <v>4.7927150734643639E-10</v>
      </c>
      <c r="J254" s="177">
        <v>4.7927150657796181E-10</v>
      </c>
      <c r="K254" s="177">
        <v>4.7927150724306455E-10</v>
      </c>
      <c r="L254" s="177">
        <v>4.7058823529411763E-10</v>
      </c>
      <c r="M254" s="177">
        <v>4.705882336750339E-10</v>
      </c>
      <c r="N254" s="177">
        <v>4.7058823373990813E-10</v>
      </c>
      <c r="O254" s="177">
        <v>4.7058823393429888E-10</v>
      </c>
      <c r="P254" s="177">
        <v>4.7058823395072431E-10</v>
      </c>
      <c r="Q254" s="177">
        <v>4.7058823529411763E-10</v>
      </c>
      <c r="R254" s="177">
        <v>4.7058823529411763E-10</v>
      </c>
      <c r="S254" s="177">
        <v>4.7058823403185863E-10</v>
      </c>
      <c r="T254" s="177">
        <v>4.7058823410394597E-10</v>
      </c>
      <c r="U254" s="177">
        <v>4.7058823750077712E-10</v>
      </c>
      <c r="V254" s="177">
        <v>4.7058821866838196E-10</v>
      </c>
      <c r="W254" s="177">
        <v>4.7058818648632621E-10</v>
      </c>
      <c r="X254" s="177">
        <v>4.7058828446232178E-10</v>
      </c>
      <c r="Y254" s="177">
        <v>4.7058822676957547E-10</v>
      </c>
      <c r="Z254" s="177">
        <v>5.5432376640131688E-10</v>
      </c>
      <c r="AA254" s="177">
        <v>5.5432365977479457E-10</v>
      </c>
      <c r="AB254" s="177">
        <v>5.5432365977479457E-10</v>
      </c>
      <c r="AC254" s="177">
        <v>5.5432365977479457E-10</v>
      </c>
      <c r="AD254" s="177">
        <v>5.5432372980892911E-10</v>
      </c>
      <c r="AE254" s="177">
        <v>5.5432372980892911E-10</v>
      </c>
      <c r="AF254" s="177">
        <v>5.5432372980892911E-10</v>
      </c>
      <c r="AG254" s="177">
        <v>5.5432372980892911E-10</v>
      </c>
      <c r="AH254" s="177">
        <v>5.5432372980892911E-10</v>
      </c>
      <c r="AI254" s="177">
        <v>5.5432372980892911E-10</v>
      </c>
      <c r="AJ254" s="177">
        <v>5.5432372980892911E-10</v>
      </c>
      <c r="AK254" s="177">
        <v>5.5432372980892911E-10</v>
      </c>
      <c r="AL254" s="177">
        <v>5.5432372980892911E-10</v>
      </c>
      <c r="AM254" s="177">
        <v>5.5432372980892911E-10</v>
      </c>
      <c r="AN254" s="177">
        <v>5.5432372980892911E-10</v>
      </c>
      <c r="AO254" s="177">
        <v>5.5432372980892911E-10</v>
      </c>
      <c r="AP254" s="177">
        <v>5.5432372980892911E-10</v>
      </c>
      <c r="AQ254" s="177">
        <v>5.5432372980892911E-10</v>
      </c>
      <c r="AR254" s="177">
        <v>5.5432372980892911E-10</v>
      </c>
      <c r="AS254" s="197">
        <f t="shared" ref="AS254:BV254" si="197">AR254</f>
        <v>5.5432372980892911E-10</v>
      </c>
      <c r="AT254" s="197">
        <f t="shared" si="197"/>
        <v>5.5432372980892911E-10</v>
      </c>
      <c r="AU254" s="197">
        <f t="shared" si="197"/>
        <v>5.5432372980892911E-10</v>
      </c>
      <c r="AV254" s="197">
        <f t="shared" si="197"/>
        <v>5.5432372980892911E-10</v>
      </c>
      <c r="AW254" s="197">
        <f t="shared" si="197"/>
        <v>5.5432372980892911E-10</v>
      </c>
      <c r="AX254" s="197">
        <f t="shared" si="197"/>
        <v>5.5432372980892911E-10</v>
      </c>
      <c r="AY254" s="197">
        <f t="shared" si="197"/>
        <v>5.5432372980892911E-10</v>
      </c>
      <c r="AZ254" s="197">
        <f t="shared" si="197"/>
        <v>5.5432372980892911E-10</v>
      </c>
      <c r="BA254" s="197">
        <f t="shared" si="197"/>
        <v>5.5432372980892911E-10</v>
      </c>
      <c r="BB254" s="197">
        <f t="shared" si="197"/>
        <v>5.5432372980892911E-10</v>
      </c>
      <c r="BC254" s="197">
        <f t="shared" si="197"/>
        <v>5.5432372980892911E-10</v>
      </c>
      <c r="BD254" s="197">
        <f t="shared" si="197"/>
        <v>5.5432372980892911E-10</v>
      </c>
      <c r="BE254" s="197">
        <f t="shared" si="197"/>
        <v>5.5432372980892911E-10</v>
      </c>
      <c r="BF254" s="197">
        <f t="shared" si="197"/>
        <v>5.5432372980892911E-10</v>
      </c>
      <c r="BG254" s="197">
        <f t="shared" si="197"/>
        <v>5.5432372980892911E-10</v>
      </c>
      <c r="BH254" s="197">
        <f t="shared" si="197"/>
        <v>5.5432372980892911E-10</v>
      </c>
      <c r="BI254" s="197">
        <f t="shared" si="197"/>
        <v>5.5432372980892911E-10</v>
      </c>
      <c r="BJ254" s="197">
        <f t="shared" si="197"/>
        <v>5.5432372980892911E-10</v>
      </c>
      <c r="BK254" s="197">
        <f t="shared" si="197"/>
        <v>5.5432372980892911E-10</v>
      </c>
      <c r="BL254" s="197">
        <f t="shared" si="197"/>
        <v>5.5432372980892911E-10</v>
      </c>
      <c r="BM254" s="197">
        <f t="shared" si="197"/>
        <v>5.5432372980892911E-10</v>
      </c>
      <c r="BN254" s="197">
        <f t="shared" si="197"/>
        <v>5.5432372980892911E-10</v>
      </c>
      <c r="BO254" s="197">
        <f t="shared" si="197"/>
        <v>5.5432372980892911E-10</v>
      </c>
      <c r="BP254" s="197">
        <f t="shared" si="197"/>
        <v>5.5432372980892911E-10</v>
      </c>
      <c r="BQ254" s="197">
        <f t="shared" si="197"/>
        <v>5.5432372980892911E-10</v>
      </c>
      <c r="BR254" s="197">
        <f t="shared" si="197"/>
        <v>5.5432372980892911E-10</v>
      </c>
      <c r="BS254" s="197">
        <f t="shared" si="197"/>
        <v>5.5432372980892911E-10</v>
      </c>
      <c r="BT254" s="197">
        <f t="shared" si="197"/>
        <v>5.5432372980892911E-10</v>
      </c>
      <c r="BU254" s="197">
        <f t="shared" si="197"/>
        <v>5.5432372980892911E-10</v>
      </c>
      <c r="BV254" s="197">
        <f t="shared" si="197"/>
        <v>5.5432372980892911E-10</v>
      </c>
    </row>
    <row r="255" spans="1:74" x14ac:dyDescent="0.25">
      <c r="A255" s="141" t="s">
        <v>195</v>
      </c>
      <c r="B255" s="148"/>
      <c r="C255" s="148"/>
      <c r="D255" s="177">
        <v>5.7703347123220997E-7</v>
      </c>
      <c r="E255" s="177">
        <v>5.7703347123220997E-7</v>
      </c>
      <c r="F255" s="177">
        <v>5.7703347123220997E-7</v>
      </c>
      <c r="G255" s="177">
        <v>5.7703347123220997E-7</v>
      </c>
      <c r="H255" s="177">
        <v>5.7703347123220997E-7</v>
      </c>
      <c r="I255" s="177">
        <v>5.7703347123220997E-7</v>
      </c>
      <c r="J255" s="177">
        <v>5.7703358131614773E-7</v>
      </c>
      <c r="K255" s="177">
        <v>5.7703353971292323E-7</v>
      </c>
      <c r="L255" s="177">
        <v>5.7703372414426939E-7</v>
      </c>
      <c r="M255" s="177">
        <v>5.7703367895028206E-7</v>
      </c>
      <c r="N255" s="177">
        <v>5.7703405885162051E-7</v>
      </c>
      <c r="O255" s="177">
        <v>5.770348352994741E-7</v>
      </c>
      <c r="P255" s="177">
        <v>5.7142939904497212E-7</v>
      </c>
      <c r="Q255" s="177">
        <v>5.7142816417783874E-7</v>
      </c>
      <c r="R255" s="177">
        <v>5.7142857142857149E-7</v>
      </c>
      <c r="S255" s="177">
        <v>5.7142877142877148E-7</v>
      </c>
      <c r="T255" s="177">
        <v>5.7142857142857149E-7</v>
      </c>
      <c r="U255" s="177">
        <v>5.7142857142857149E-7</v>
      </c>
      <c r="V255" s="177">
        <v>5.7142837570583738E-7</v>
      </c>
      <c r="W255" s="177">
        <v>5.7142895796354821E-7</v>
      </c>
      <c r="X255" s="177">
        <v>5.714281951044751E-7</v>
      </c>
      <c r="Y255" s="177">
        <v>5.7142857142857149E-7</v>
      </c>
      <c r="Z255" s="177">
        <v>5.7142895086674111E-7</v>
      </c>
      <c r="AA255" s="177">
        <v>5.7142875692071175E-7</v>
      </c>
      <c r="AB255" s="177">
        <v>5.7142893136113098E-7</v>
      </c>
      <c r="AC255" s="177">
        <v>5.7142911645705326E-7</v>
      </c>
      <c r="AD255" s="177">
        <v>5.7142839521401264E-7</v>
      </c>
      <c r="AE255" s="177">
        <v>5.714283940453885E-7</v>
      </c>
      <c r="AF255" s="177">
        <v>5.714283940453885E-7</v>
      </c>
      <c r="AG255" s="177">
        <v>5.714283940453885E-7</v>
      </c>
      <c r="AH255" s="177">
        <v>5.714283940453885E-7</v>
      </c>
      <c r="AI255" s="177">
        <v>5.714283940453885E-7</v>
      </c>
      <c r="AJ255" s="177">
        <v>5.714283940453885E-7</v>
      </c>
      <c r="AK255" s="177">
        <v>5.714283940453885E-7</v>
      </c>
      <c r="AL255" s="177">
        <v>5.714283940453885E-7</v>
      </c>
      <c r="AM255" s="177">
        <v>5.714283940453885E-7</v>
      </c>
      <c r="AN255" s="177">
        <v>5.714283940453885E-7</v>
      </c>
      <c r="AO255" s="177">
        <v>5.714283940453885E-7</v>
      </c>
      <c r="AP255" s="177">
        <v>5.714283940453885E-7</v>
      </c>
      <c r="AQ255" s="177">
        <v>5.714283940453885E-7</v>
      </c>
      <c r="AR255" s="177">
        <v>5.714283940453885E-7</v>
      </c>
      <c r="AS255" s="197">
        <f t="shared" ref="AS255:BV255" si="198">AR255</f>
        <v>5.714283940453885E-7</v>
      </c>
      <c r="AT255" s="197">
        <f t="shared" si="198"/>
        <v>5.714283940453885E-7</v>
      </c>
      <c r="AU255" s="197">
        <f t="shared" si="198"/>
        <v>5.714283940453885E-7</v>
      </c>
      <c r="AV255" s="197">
        <f t="shared" si="198"/>
        <v>5.714283940453885E-7</v>
      </c>
      <c r="AW255" s="197">
        <f t="shared" si="198"/>
        <v>5.714283940453885E-7</v>
      </c>
      <c r="AX255" s="197">
        <f t="shared" si="198"/>
        <v>5.714283940453885E-7</v>
      </c>
      <c r="AY255" s="197">
        <f t="shared" si="198"/>
        <v>5.714283940453885E-7</v>
      </c>
      <c r="AZ255" s="197">
        <f t="shared" si="198"/>
        <v>5.714283940453885E-7</v>
      </c>
      <c r="BA255" s="197">
        <f t="shared" si="198"/>
        <v>5.714283940453885E-7</v>
      </c>
      <c r="BB255" s="197">
        <f t="shared" si="198"/>
        <v>5.714283940453885E-7</v>
      </c>
      <c r="BC255" s="197">
        <f t="shared" si="198"/>
        <v>5.714283940453885E-7</v>
      </c>
      <c r="BD255" s="197">
        <f t="shared" si="198"/>
        <v>5.714283940453885E-7</v>
      </c>
      <c r="BE255" s="197">
        <f t="shared" si="198"/>
        <v>5.714283940453885E-7</v>
      </c>
      <c r="BF255" s="197">
        <f t="shared" si="198"/>
        <v>5.714283940453885E-7</v>
      </c>
      <c r="BG255" s="197">
        <f t="shared" si="198"/>
        <v>5.714283940453885E-7</v>
      </c>
      <c r="BH255" s="197">
        <f t="shared" si="198"/>
        <v>5.714283940453885E-7</v>
      </c>
      <c r="BI255" s="197">
        <f t="shared" si="198"/>
        <v>5.714283940453885E-7</v>
      </c>
      <c r="BJ255" s="197">
        <f t="shared" si="198"/>
        <v>5.714283940453885E-7</v>
      </c>
      <c r="BK255" s="197">
        <f t="shared" si="198"/>
        <v>5.714283940453885E-7</v>
      </c>
      <c r="BL255" s="197">
        <f t="shared" si="198"/>
        <v>5.714283940453885E-7</v>
      </c>
      <c r="BM255" s="197">
        <f t="shared" si="198"/>
        <v>5.714283940453885E-7</v>
      </c>
      <c r="BN255" s="197">
        <f t="shared" si="198"/>
        <v>5.714283940453885E-7</v>
      </c>
      <c r="BO255" s="197">
        <f t="shared" si="198"/>
        <v>5.714283940453885E-7</v>
      </c>
      <c r="BP255" s="197">
        <f t="shared" si="198"/>
        <v>5.714283940453885E-7</v>
      </c>
      <c r="BQ255" s="197">
        <f t="shared" si="198"/>
        <v>5.714283940453885E-7</v>
      </c>
      <c r="BR255" s="197">
        <f t="shared" si="198"/>
        <v>5.714283940453885E-7</v>
      </c>
      <c r="BS255" s="197">
        <f t="shared" si="198"/>
        <v>5.714283940453885E-7</v>
      </c>
      <c r="BT255" s="197">
        <f t="shared" si="198"/>
        <v>5.714283940453885E-7</v>
      </c>
      <c r="BU255" s="197">
        <f t="shared" si="198"/>
        <v>5.714283940453885E-7</v>
      </c>
      <c r="BV255" s="197">
        <f t="shared" si="198"/>
        <v>5.714283940453885E-7</v>
      </c>
    </row>
    <row r="256" spans="1:74" x14ac:dyDescent="0.25">
      <c r="A256" s="141" t="s">
        <v>251</v>
      </c>
      <c r="B256" s="142"/>
      <c r="C256" s="142"/>
      <c r="D256" s="177">
        <v>1.5336688307856089E-6</v>
      </c>
      <c r="E256" s="177">
        <v>1.5336688288893609E-6</v>
      </c>
      <c r="F256" s="177">
        <v>1.5336688269931129E-6</v>
      </c>
      <c r="G256" s="177">
        <v>1.5336688250968649E-6</v>
      </c>
      <c r="H256" s="177">
        <v>1.5336688232006169E-6</v>
      </c>
      <c r="I256" s="177">
        <v>1.5336688213043685E-6</v>
      </c>
      <c r="J256" s="177">
        <v>1.5336688179024269E-6</v>
      </c>
      <c r="K256" s="177">
        <v>1.5336685430626598E-6</v>
      </c>
      <c r="L256" s="177">
        <v>1.5058822952976799E-6</v>
      </c>
      <c r="M256" s="177">
        <v>1.5058823158643137E-6</v>
      </c>
      <c r="N256" s="177">
        <v>1.5058822934258332E-6</v>
      </c>
      <c r="O256" s="177">
        <v>1.5058823043125054E-6</v>
      </c>
      <c r="P256" s="177">
        <v>1.5058822872697887E-6</v>
      </c>
      <c r="Q256" s="177">
        <v>1.5058823475124766E-6</v>
      </c>
      <c r="R256" s="177">
        <v>1.5058822978113285E-6</v>
      </c>
      <c r="S256" s="177">
        <v>1.5058825435120371E-6</v>
      </c>
      <c r="T256" s="177">
        <v>1.5058825939388451E-6</v>
      </c>
      <c r="U256" s="177">
        <v>1.5058820718075319E-6</v>
      </c>
      <c r="V256" s="177">
        <v>1.5058822146643708E-6</v>
      </c>
      <c r="W256" s="177">
        <v>1.5058821428984892E-6</v>
      </c>
      <c r="X256" s="177">
        <v>1.5058824927839748E-6</v>
      </c>
      <c r="Y256" s="177">
        <v>1.5058820665487164E-6</v>
      </c>
      <c r="Z256" s="177">
        <v>1.5058814063292345E-6</v>
      </c>
      <c r="AA256" s="177">
        <v>1.5058821564054852E-6</v>
      </c>
      <c r="AB256" s="177">
        <v>1.5058821564054852E-6</v>
      </c>
      <c r="AC256" s="177">
        <v>1.5058821564054852E-6</v>
      </c>
      <c r="AD256" s="177">
        <v>1.5058815924993217E-6</v>
      </c>
      <c r="AE256" s="177">
        <v>1.5058815924993217E-6</v>
      </c>
      <c r="AF256" s="177">
        <v>1.5058815924993217E-6</v>
      </c>
      <c r="AG256" s="177">
        <v>1.5058815924993217E-6</v>
      </c>
      <c r="AH256" s="177">
        <v>1.5058815924993217E-6</v>
      </c>
      <c r="AI256" s="177">
        <v>1.5058815924993217E-6</v>
      </c>
      <c r="AJ256" s="177">
        <v>1.5058815924993217E-6</v>
      </c>
      <c r="AK256" s="177">
        <v>1.5058815924993217E-6</v>
      </c>
      <c r="AL256" s="177">
        <v>1.5058815924993217E-6</v>
      </c>
      <c r="AM256" s="177">
        <v>1.5058815924993217E-6</v>
      </c>
      <c r="AN256" s="177">
        <v>1.5058815924993217E-6</v>
      </c>
      <c r="AO256" s="177">
        <v>1.5058815924993217E-6</v>
      </c>
      <c r="AP256" s="177">
        <v>1.5058815924993217E-6</v>
      </c>
      <c r="AQ256" s="177">
        <v>1.5058815924993217E-6</v>
      </c>
      <c r="AR256" s="177">
        <v>1.5058815924993217E-6</v>
      </c>
      <c r="AS256" s="197">
        <f t="shared" ref="AS256:BV256" si="199">AR256</f>
        <v>1.5058815924993217E-6</v>
      </c>
      <c r="AT256" s="197">
        <f t="shared" si="199"/>
        <v>1.5058815924993217E-6</v>
      </c>
      <c r="AU256" s="197">
        <f t="shared" si="199"/>
        <v>1.5058815924993217E-6</v>
      </c>
      <c r="AV256" s="197">
        <f t="shared" si="199"/>
        <v>1.5058815924993217E-6</v>
      </c>
      <c r="AW256" s="197">
        <f t="shared" si="199"/>
        <v>1.5058815924993217E-6</v>
      </c>
      <c r="AX256" s="197">
        <f t="shared" si="199"/>
        <v>1.5058815924993217E-6</v>
      </c>
      <c r="AY256" s="197">
        <f t="shared" si="199"/>
        <v>1.5058815924993217E-6</v>
      </c>
      <c r="AZ256" s="197">
        <f t="shared" si="199"/>
        <v>1.5058815924993217E-6</v>
      </c>
      <c r="BA256" s="197">
        <f t="shared" si="199"/>
        <v>1.5058815924993217E-6</v>
      </c>
      <c r="BB256" s="197">
        <f t="shared" si="199"/>
        <v>1.5058815924993217E-6</v>
      </c>
      <c r="BC256" s="197">
        <f t="shared" si="199"/>
        <v>1.5058815924993217E-6</v>
      </c>
      <c r="BD256" s="197">
        <f t="shared" si="199"/>
        <v>1.5058815924993217E-6</v>
      </c>
      <c r="BE256" s="197">
        <f t="shared" si="199"/>
        <v>1.5058815924993217E-6</v>
      </c>
      <c r="BF256" s="197">
        <f t="shared" si="199"/>
        <v>1.5058815924993217E-6</v>
      </c>
      <c r="BG256" s="197">
        <f t="shared" si="199"/>
        <v>1.5058815924993217E-6</v>
      </c>
      <c r="BH256" s="197">
        <f t="shared" si="199"/>
        <v>1.5058815924993217E-6</v>
      </c>
      <c r="BI256" s="197">
        <f t="shared" si="199"/>
        <v>1.5058815924993217E-6</v>
      </c>
      <c r="BJ256" s="197">
        <f t="shared" si="199"/>
        <v>1.5058815924993217E-6</v>
      </c>
      <c r="BK256" s="197">
        <f t="shared" si="199"/>
        <v>1.5058815924993217E-6</v>
      </c>
      <c r="BL256" s="197">
        <f t="shared" si="199"/>
        <v>1.5058815924993217E-6</v>
      </c>
      <c r="BM256" s="197">
        <f t="shared" si="199"/>
        <v>1.5058815924993217E-6</v>
      </c>
      <c r="BN256" s="197">
        <f t="shared" si="199"/>
        <v>1.5058815924993217E-6</v>
      </c>
      <c r="BO256" s="197">
        <f t="shared" si="199"/>
        <v>1.5058815924993217E-6</v>
      </c>
      <c r="BP256" s="197">
        <f t="shared" si="199"/>
        <v>1.5058815924993217E-6</v>
      </c>
      <c r="BQ256" s="197">
        <f t="shared" si="199"/>
        <v>1.5058815924993217E-6</v>
      </c>
      <c r="BR256" s="197">
        <f t="shared" si="199"/>
        <v>1.5058815924993217E-6</v>
      </c>
      <c r="BS256" s="197">
        <f t="shared" si="199"/>
        <v>1.5058815924993217E-6</v>
      </c>
      <c r="BT256" s="197">
        <f t="shared" si="199"/>
        <v>1.5058815924993217E-6</v>
      </c>
      <c r="BU256" s="197">
        <f t="shared" si="199"/>
        <v>1.5058815924993217E-6</v>
      </c>
      <c r="BV256" s="197">
        <f t="shared" si="199"/>
        <v>1.5058815924993217E-6</v>
      </c>
    </row>
    <row r="257" spans="1:74" x14ac:dyDescent="0.25">
      <c r="A257" s="141" t="s">
        <v>196</v>
      </c>
      <c r="B257" s="142"/>
      <c r="C257" s="142"/>
      <c r="D257" s="177">
        <v>8.0144779252613155E-7</v>
      </c>
      <c r="E257" s="177">
        <v>8.0144780984347325E-7</v>
      </c>
      <c r="F257" s="177">
        <v>8.0144782716081569E-7</v>
      </c>
      <c r="G257" s="177">
        <v>8.0144784447815876E-7</v>
      </c>
      <c r="H257" s="177">
        <v>8.0144786179550268E-7</v>
      </c>
      <c r="I257" s="177">
        <v>8.0144787911284713E-7</v>
      </c>
      <c r="J257" s="177">
        <v>8.0144778423882441E-7</v>
      </c>
      <c r="K257" s="177">
        <v>8.0144772363202736E-7</v>
      </c>
      <c r="L257" s="177">
        <v>8.014479010855376E-7</v>
      </c>
      <c r="M257" s="177">
        <v>8.0144781002409646E-7</v>
      </c>
      <c r="N257" s="177">
        <v>8.0144777147583742E-7</v>
      </c>
      <c r="O257" s="177">
        <v>8.0144775688901516E-7</v>
      </c>
      <c r="P257" s="177">
        <v>8.0144782510923561E-7</v>
      </c>
      <c r="Q257" s="177">
        <v>8.0144779251111091E-7</v>
      </c>
      <c r="R257" s="177">
        <v>8.0144768317515639E-7</v>
      </c>
      <c r="S257" s="177">
        <v>8.0144753432490333E-7</v>
      </c>
      <c r="T257" s="177">
        <v>8.0144853514843908E-7</v>
      </c>
      <c r="U257" s="177">
        <v>8.0144826565693835E-7</v>
      </c>
      <c r="V257" s="177">
        <v>8.0144749498123439E-7</v>
      </c>
      <c r="W257" s="177">
        <v>8.014480674278563E-7</v>
      </c>
      <c r="X257" s="177">
        <v>8.0144775003452693E-7</v>
      </c>
      <c r="Y257" s="177">
        <v>8.0144790902883438E-7</v>
      </c>
      <c r="Z257" s="177">
        <v>8.0144726394243002E-7</v>
      </c>
      <c r="AA257" s="177">
        <v>8.0144758896438143E-7</v>
      </c>
      <c r="AB257" s="177">
        <v>8.0466664948576274E-7</v>
      </c>
      <c r="AC257" s="177">
        <v>8.0453210991677986E-7</v>
      </c>
      <c r="AD257" s="177">
        <v>8.0606213554757786E-7</v>
      </c>
      <c r="AE257" s="177">
        <v>8.0655055513769212E-7</v>
      </c>
      <c r="AF257" s="177">
        <v>8.0655055513769212E-7</v>
      </c>
      <c r="AG257" s="177">
        <v>8.0655055513769212E-7</v>
      </c>
      <c r="AH257" s="177">
        <v>8.0655055513769212E-7</v>
      </c>
      <c r="AI257" s="177">
        <v>8.0655055513769212E-7</v>
      </c>
      <c r="AJ257" s="177">
        <v>8.0655055513769212E-7</v>
      </c>
      <c r="AK257" s="177">
        <v>8.0655055513769212E-7</v>
      </c>
      <c r="AL257" s="177">
        <v>8.0655055513769212E-7</v>
      </c>
      <c r="AM257" s="177">
        <v>8.0655055513769212E-7</v>
      </c>
      <c r="AN257" s="177">
        <v>8.0655055513769212E-7</v>
      </c>
      <c r="AO257" s="177">
        <v>8.0655055513769212E-7</v>
      </c>
      <c r="AP257" s="177">
        <v>8.0655055513769212E-7</v>
      </c>
      <c r="AQ257" s="177">
        <v>8.0655055513769212E-7</v>
      </c>
      <c r="AR257" s="177">
        <v>8.0655055513769212E-7</v>
      </c>
      <c r="AS257" s="197">
        <f t="shared" ref="AS257:BV257" si="200">AR257</f>
        <v>8.0655055513769212E-7</v>
      </c>
      <c r="AT257" s="197">
        <f t="shared" si="200"/>
        <v>8.0655055513769212E-7</v>
      </c>
      <c r="AU257" s="197">
        <f t="shared" si="200"/>
        <v>8.0655055513769212E-7</v>
      </c>
      <c r="AV257" s="197">
        <f t="shared" si="200"/>
        <v>8.0655055513769212E-7</v>
      </c>
      <c r="AW257" s="197">
        <f t="shared" si="200"/>
        <v>8.0655055513769212E-7</v>
      </c>
      <c r="AX257" s="197">
        <f t="shared" si="200"/>
        <v>8.0655055513769212E-7</v>
      </c>
      <c r="AY257" s="197">
        <f t="shared" si="200"/>
        <v>8.0655055513769212E-7</v>
      </c>
      <c r="AZ257" s="197">
        <f t="shared" si="200"/>
        <v>8.0655055513769212E-7</v>
      </c>
      <c r="BA257" s="197">
        <f t="shared" si="200"/>
        <v>8.0655055513769212E-7</v>
      </c>
      <c r="BB257" s="197">
        <f t="shared" si="200"/>
        <v>8.0655055513769212E-7</v>
      </c>
      <c r="BC257" s="197">
        <f t="shared" si="200"/>
        <v>8.0655055513769212E-7</v>
      </c>
      <c r="BD257" s="197">
        <f t="shared" si="200"/>
        <v>8.0655055513769212E-7</v>
      </c>
      <c r="BE257" s="197">
        <f t="shared" si="200"/>
        <v>8.0655055513769212E-7</v>
      </c>
      <c r="BF257" s="197">
        <f t="shared" si="200"/>
        <v>8.0655055513769212E-7</v>
      </c>
      <c r="BG257" s="197">
        <f t="shared" si="200"/>
        <v>8.0655055513769212E-7</v>
      </c>
      <c r="BH257" s="197">
        <f t="shared" si="200"/>
        <v>8.0655055513769212E-7</v>
      </c>
      <c r="BI257" s="197">
        <f t="shared" si="200"/>
        <v>8.0655055513769212E-7</v>
      </c>
      <c r="BJ257" s="197">
        <f t="shared" si="200"/>
        <v>8.0655055513769212E-7</v>
      </c>
      <c r="BK257" s="197">
        <f t="shared" si="200"/>
        <v>8.0655055513769212E-7</v>
      </c>
      <c r="BL257" s="197">
        <f t="shared" si="200"/>
        <v>8.0655055513769212E-7</v>
      </c>
      <c r="BM257" s="197">
        <f t="shared" si="200"/>
        <v>8.0655055513769212E-7</v>
      </c>
      <c r="BN257" s="197">
        <f t="shared" si="200"/>
        <v>8.0655055513769212E-7</v>
      </c>
      <c r="BO257" s="197">
        <f t="shared" si="200"/>
        <v>8.0655055513769212E-7</v>
      </c>
      <c r="BP257" s="197">
        <f t="shared" si="200"/>
        <v>8.0655055513769212E-7</v>
      </c>
      <c r="BQ257" s="197">
        <f t="shared" si="200"/>
        <v>8.0655055513769212E-7</v>
      </c>
      <c r="BR257" s="197">
        <f t="shared" si="200"/>
        <v>8.0655055513769212E-7</v>
      </c>
      <c r="BS257" s="197">
        <f t="shared" si="200"/>
        <v>8.0655055513769212E-7</v>
      </c>
      <c r="BT257" s="197">
        <f t="shared" si="200"/>
        <v>8.0655055513769212E-7</v>
      </c>
      <c r="BU257" s="197">
        <f t="shared" si="200"/>
        <v>8.0655055513769212E-7</v>
      </c>
      <c r="BV257" s="197">
        <f t="shared" si="200"/>
        <v>8.0655055513769212E-7</v>
      </c>
    </row>
    <row r="258" spans="1:74" x14ac:dyDescent="0.25">
      <c r="A258" s="147" t="s">
        <v>13</v>
      </c>
      <c r="C258" s="142"/>
      <c r="D258" s="177">
        <v>8.0144779252613155E-7</v>
      </c>
      <c r="E258" s="177">
        <v>8.0144780984347325E-7</v>
      </c>
      <c r="F258" s="177">
        <v>8.0144782716081569E-7</v>
      </c>
      <c r="G258" s="177">
        <v>8.0144784447815876E-7</v>
      </c>
      <c r="H258" s="177">
        <v>8.0144786179550268E-7</v>
      </c>
      <c r="I258" s="177">
        <v>8.0144787911284713E-7</v>
      </c>
      <c r="J258" s="177">
        <v>8.0144778423882441E-7</v>
      </c>
      <c r="K258" s="177">
        <v>8.0144772363202736E-7</v>
      </c>
      <c r="L258" s="177">
        <v>8.014479010855376E-7</v>
      </c>
      <c r="M258" s="177">
        <v>8.0144781002409646E-7</v>
      </c>
      <c r="N258" s="177">
        <v>8.0144777147583742E-7</v>
      </c>
      <c r="O258" s="177">
        <v>8.0144775688901516E-7</v>
      </c>
      <c r="P258" s="177">
        <v>8.0144782510923561E-7</v>
      </c>
      <c r="Q258" s="177">
        <v>8.0144779251111091E-7</v>
      </c>
      <c r="R258" s="177">
        <v>8.0144768317515639E-7</v>
      </c>
      <c r="S258" s="177">
        <v>8.0144753432490333E-7</v>
      </c>
      <c r="T258" s="177">
        <v>8.0144853514843908E-7</v>
      </c>
      <c r="U258" s="177">
        <v>8.0144826565693835E-7</v>
      </c>
      <c r="V258" s="177">
        <v>8.0144749498123439E-7</v>
      </c>
      <c r="W258" s="177">
        <v>8.014480674278563E-7</v>
      </c>
      <c r="X258" s="177">
        <v>8.0144775003452693E-7</v>
      </c>
      <c r="Y258" s="177">
        <v>8.0144790902883438E-7</v>
      </c>
      <c r="Z258" s="177">
        <v>8.0144726394243002E-7</v>
      </c>
      <c r="AA258" s="177">
        <v>8.0144758896438143E-7</v>
      </c>
      <c r="AB258" s="177">
        <v>8.0466664948576274E-7</v>
      </c>
      <c r="AC258" s="177">
        <v>8.0453210991677986E-7</v>
      </c>
      <c r="AD258" s="177">
        <v>8.0606213554757786E-7</v>
      </c>
      <c r="AE258" s="177">
        <v>8.0655055513769212E-7</v>
      </c>
      <c r="AF258" s="177">
        <v>8.0655055513769212E-7</v>
      </c>
      <c r="AG258" s="177">
        <v>8.0655055513769212E-7</v>
      </c>
      <c r="AH258" s="177">
        <v>8.0655055513769212E-7</v>
      </c>
      <c r="AI258" s="177">
        <v>8.0655055513769212E-7</v>
      </c>
      <c r="AJ258" s="177">
        <v>8.0655055513769212E-7</v>
      </c>
      <c r="AK258" s="177">
        <v>8.0655055513769212E-7</v>
      </c>
      <c r="AL258" s="177">
        <v>8.0655055513769212E-7</v>
      </c>
      <c r="AM258" s="177">
        <v>8.0655055513769212E-7</v>
      </c>
      <c r="AN258" s="177">
        <v>8.0655055513769212E-7</v>
      </c>
      <c r="AO258" s="177">
        <v>8.0655055513769212E-7</v>
      </c>
      <c r="AP258" s="177">
        <v>8.0655055513769212E-7</v>
      </c>
      <c r="AQ258" s="177">
        <v>8.0655055513769212E-7</v>
      </c>
      <c r="AR258" s="177">
        <v>8.0655055513769212E-7</v>
      </c>
      <c r="AS258" s="197">
        <f t="shared" ref="AS258:BV258" si="201">AR258</f>
        <v>8.0655055513769212E-7</v>
      </c>
      <c r="AT258" s="197">
        <f t="shared" si="201"/>
        <v>8.0655055513769212E-7</v>
      </c>
      <c r="AU258" s="197">
        <f t="shared" si="201"/>
        <v>8.0655055513769212E-7</v>
      </c>
      <c r="AV258" s="197">
        <f t="shared" si="201"/>
        <v>8.0655055513769212E-7</v>
      </c>
      <c r="AW258" s="197">
        <f t="shared" si="201"/>
        <v>8.0655055513769212E-7</v>
      </c>
      <c r="AX258" s="197">
        <f t="shared" si="201"/>
        <v>8.0655055513769212E-7</v>
      </c>
      <c r="AY258" s="197">
        <f t="shared" si="201"/>
        <v>8.0655055513769212E-7</v>
      </c>
      <c r="AZ258" s="197">
        <f t="shared" si="201"/>
        <v>8.0655055513769212E-7</v>
      </c>
      <c r="BA258" s="197">
        <f t="shared" si="201"/>
        <v>8.0655055513769212E-7</v>
      </c>
      <c r="BB258" s="197">
        <f t="shared" si="201"/>
        <v>8.0655055513769212E-7</v>
      </c>
      <c r="BC258" s="197">
        <f t="shared" si="201"/>
        <v>8.0655055513769212E-7</v>
      </c>
      <c r="BD258" s="197">
        <f t="shared" si="201"/>
        <v>8.0655055513769212E-7</v>
      </c>
      <c r="BE258" s="197">
        <f t="shared" si="201"/>
        <v>8.0655055513769212E-7</v>
      </c>
      <c r="BF258" s="197">
        <f t="shared" si="201"/>
        <v>8.0655055513769212E-7</v>
      </c>
      <c r="BG258" s="197">
        <f t="shared" si="201"/>
        <v>8.0655055513769212E-7</v>
      </c>
      <c r="BH258" s="197">
        <f t="shared" si="201"/>
        <v>8.0655055513769212E-7</v>
      </c>
      <c r="BI258" s="197">
        <f t="shared" si="201"/>
        <v>8.0655055513769212E-7</v>
      </c>
      <c r="BJ258" s="197">
        <f t="shared" si="201"/>
        <v>8.0655055513769212E-7</v>
      </c>
      <c r="BK258" s="197">
        <f t="shared" si="201"/>
        <v>8.0655055513769212E-7</v>
      </c>
      <c r="BL258" s="197">
        <f t="shared" si="201"/>
        <v>8.0655055513769212E-7</v>
      </c>
      <c r="BM258" s="197">
        <f t="shared" si="201"/>
        <v>8.0655055513769212E-7</v>
      </c>
      <c r="BN258" s="197">
        <f t="shared" si="201"/>
        <v>8.0655055513769212E-7</v>
      </c>
      <c r="BO258" s="197">
        <f t="shared" si="201"/>
        <v>8.0655055513769212E-7</v>
      </c>
      <c r="BP258" s="197">
        <f t="shared" si="201"/>
        <v>8.0655055513769212E-7</v>
      </c>
      <c r="BQ258" s="197">
        <f t="shared" si="201"/>
        <v>8.0655055513769212E-7</v>
      </c>
      <c r="BR258" s="197">
        <f t="shared" si="201"/>
        <v>8.0655055513769212E-7</v>
      </c>
      <c r="BS258" s="197">
        <f t="shared" si="201"/>
        <v>8.0655055513769212E-7</v>
      </c>
      <c r="BT258" s="197">
        <f t="shared" si="201"/>
        <v>8.0655055513769212E-7</v>
      </c>
      <c r="BU258" s="197">
        <f t="shared" si="201"/>
        <v>8.0655055513769212E-7</v>
      </c>
      <c r="BV258" s="197">
        <f t="shared" si="201"/>
        <v>8.0655055513769212E-7</v>
      </c>
    </row>
    <row r="259" spans="1:74" x14ac:dyDescent="0.25">
      <c r="A259" s="147" t="s">
        <v>199</v>
      </c>
      <c r="C259" s="142"/>
      <c r="D259" s="177">
        <v>4.0226294820717126E-6</v>
      </c>
      <c r="E259" s="177">
        <v>4.0226294820717126E-6</v>
      </c>
      <c r="F259" s="177">
        <v>4.0226294820717126E-6</v>
      </c>
      <c r="G259" s="177">
        <v>4.0226294820717126E-6</v>
      </c>
      <c r="H259" s="177">
        <v>4.0226294820717126E-6</v>
      </c>
      <c r="I259" s="177">
        <v>4.0226294820717126E-6</v>
      </c>
      <c r="J259" s="177">
        <v>4.0226294820717126E-6</v>
      </c>
      <c r="K259" s="177">
        <v>4.0226294820717126E-6</v>
      </c>
      <c r="L259" s="177">
        <v>4.0226294820717126E-6</v>
      </c>
      <c r="M259" s="177">
        <v>4.0226294820717126E-6</v>
      </c>
      <c r="N259" s="177">
        <v>4.0226294820717126E-6</v>
      </c>
      <c r="O259" s="177">
        <v>4.0226294820717126E-6</v>
      </c>
      <c r="P259" s="177">
        <v>4.0226294820717126E-6</v>
      </c>
      <c r="Q259" s="177">
        <v>4.0298383243684784E-6</v>
      </c>
      <c r="R259" s="177">
        <v>4.0298662228765281E-6</v>
      </c>
      <c r="S259" s="177">
        <v>4.0298662228765281E-6</v>
      </c>
      <c r="T259" s="177">
        <v>4.0298662228765281E-6</v>
      </c>
      <c r="U259" s="177">
        <v>4.0298662228765281E-6</v>
      </c>
      <c r="V259" s="177">
        <v>4.0298662228765281E-6</v>
      </c>
      <c r="W259" s="177">
        <v>4.0298662228765281E-6</v>
      </c>
      <c r="X259" s="177">
        <v>4.0298662228765281E-6</v>
      </c>
      <c r="Y259" s="177">
        <v>4.0298662228765281E-6</v>
      </c>
      <c r="Z259" s="177">
        <v>4.0298662228765281E-6</v>
      </c>
      <c r="AA259" s="177">
        <v>4.0298662228765281E-6</v>
      </c>
      <c r="AB259" s="177">
        <v>4.0298662228765281E-6</v>
      </c>
      <c r="AC259" s="177">
        <v>4.0298662228765281E-6</v>
      </c>
      <c r="AD259" s="177">
        <v>4.0298662228765281E-6</v>
      </c>
      <c r="AE259" s="177">
        <v>4.0298662228765281E-6</v>
      </c>
      <c r="AF259" s="177">
        <v>4.0298662228765281E-6</v>
      </c>
      <c r="AG259" s="177">
        <v>4.0298662228765281E-6</v>
      </c>
      <c r="AH259" s="177">
        <v>4.0298662228765281E-6</v>
      </c>
      <c r="AI259" s="177">
        <v>4.0298662228765281E-6</v>
      </c>
      <c r="AJ259" s="177">
        <v>4.0298662228765281E-6</v>
      </c>
      <c r="AK259" s="177">
        <v>4.0298662228765281E-6</v>
      </c>
      <c r="AL259" s="177">
        <v>4.0298662228765281E-6</v>
      </c>
      <c r="AM259" s="177">
        <v>4.0298662228765281E-6</v>
      </c>
      <c r="AN259" s="177">
        <v>4.0298662228765281E-6</v>
      </c>
      <c r="AO259" s="177">
        <v>4.0298662228765281E-6</v>
      </c>
      <c r="AP259" s="177">
        <v>4.0298662228765281E-6</v>
      </c>
      <c r="AQ259" s="177">
        <v>4.0298662228765281E-6</v>
      </c>
      <c r="AR259" s="177">
        <v>4.0298662228765281E-6</v>
      </c>
      <c r="AS259" s="197">
        <f t="shared" ref="AS259:BV259" si="202">AR259</f>
        <v>4.0298662228765281E-6</v>
      </c>
      <c r="AT259" s="197">
        <f t="shared" si="202"/>
        <v>4.0298662228765281E-6</v>
      </c>
      <c r="AU259" s="197">
        <f t="shared" si="202"/>
        <v>4.0298662228765281E-6</v>
      </c>
      <c r="AV259" s="197">
        <f t="shared" si="202"/>
        <v>4.0298662228765281E-6</v>
      </c>
      <c r="AW259" s="197">
        <f t="shared" si="202"/>
        <v>4.0298662228765281E-6</v>
      </c>
      <c r="AX259" s="197">
        <f t="shared" si="202"/>
        <v>4.0298662228765281E-6</v>
      </c>
      <c r="AY259" s="197">
        <f t="shared" si="202"/>
        <v>4.0298662228765281E-6</v>
      </c>
      <c r="AZ259" s="197">
        <f t="shared" si="202"/>
        <v>4.0298662228765281E-6</v>
      </c>
      <c r="BA259" s="197">
        <f t="shared" si="202"/>
        <v>4.0298662228765281E-6</v>
      </c>
      <c r="BB259" s="197">
        <f t="shared" si="202"/>
        <v>4.0298662228765281E-6</v>
      </c>
      <c r="BC259" s="197">
        <f t="shared" si="202"/>
        <v>4.0298662228765281E-6</v>
      </c>
      <c r="BD259" s="197">
        <f t="shared" si="202"/>
        <v>4.0298662228765281E-6</v>
      </c>
      <c r="BE259" s="197">
        <f t="shared" si="202"/>
        <v>4.0298662228765281E-6</v>
      </c>
      <c r="BF259" s="197">
        <f t="shared" si="202"/>
        <v>4.0298662228765281E-6</v>
      </c>
      <c r="BG259" s="197">
        <f t="shared" si="202"/>
        <v>4.0298662228765281E-6</v>
      </c>
      <c r="BH259" s="197">
        <f t="shared" si="202"/>
        <v>4.0298662228765281E-6</v>
      </c>
      <c r="BI259" s="197">
        <f t="shared" si="202"/>
        <v>4.0298662228765281E-6</v>
      </c>
      <c r="BJ259" s="197">
        <f t="shared" si="202"/>
        <v>4.0298662228765281E-6</v>
      </c>
      <c r="BK259" s="197">
        <f t="shared" si="202"/>
        <v>4.0298662228765281E-6</v>
      </c>
      <c r="BL259" s="197">
        <f t="shared" si="202"/>
        <v>4.0298662228765281E-6</v>
      </c>
      <c r="BM259" s="197">
        <f t="shared" si="202"/>
        <v>4.0298662228765281E-6</v>
      </c>
      <c r="BN259" s="197">
        <f t="shared" si="202"/>
        <v>4.0298662228765281E-6</v>
      </c>
      <c r="BO259" s="197">
        <f t="shared" si="202"/>
        <v>4.0298662228765281E-6</v>
      </c>
      <c r="BP259" s="197">
        <f t="shared" si="202"/>
        <v>4.0298662228765281E-6</v>
      </c>
      <c r="BQ259" s="197">
        <f t="shared" si="202"/>
        <v>4.0298662228765281E-6</v>
      </c>
      <c r="BR259" s="197">
        <f t="shared" si="202"/>
        <v>4.0298662228765281E-6</v>
      </c>
      <c r="BS259" s="197">
        <f t="shared" si="202"/>
        <v>4.0298662228765281E-6</v>
      </c>
      <c r="BT259" s="197">
        <f t="shared" si="202"/>
        <v>4.0298662228765281E-6</v>
      </c>
      <c r="BU259" s="197">
        <f t="shared" si="202"/>
        <v>4.0298662228765281E-6</v>
      </c>
      <c r="BV259" s="197">
        <f t="shared" si="202"/>
        <v>4.0298662228765281E-6</v>
      </c>
    </row>
    <row r="260" spans="1:74" x14ac:dyDescent="0.25">
      <c r="A260" s="147" t="s">
        <v>197</v>
      </c>
      <c r="C260" s="142"/>
      <c r="D260" s="177">
        <v>8.0144779252613155E-7</v>
      </c>
      <c r="E260" s="177">
        <v>8.0144780984347325E-7</v>
      </c>
      <c r="F260" s="177">
        <v>8.0144782716081569E-7</v>
      </c>
      <c r="G260" s="177">
        <v>8.0144784447815876E-7</v>
      </c>
      <c r="H260" s="177">
        <v>8.0144786179550268E-7</v>
      </c>
      <c r="I260" s="177">
        <v>8.0144787911284713E-7</v>
      </c>
      <c r="J260" s="177">
        <v>8.0144778423882441E-7</v>
      </c>
      <c r="K260" s="177">
        <v>8.0144772363202736E-7</v>
      </c>
      <c r="L260" s="177">
        <v>8.014479010855376E-7</v>
      </c>
      <c r="M260" s="177">
        <v>8.0144781002409646E-7</v>
      </c>
      <c r="N260" s="177">
        <v>8.0144777147583742E-7</v>
      </c>
      <c r="O260" s="177">
        <v>8.0144775688901516E-7</v>
      </c>
      <c r="P260" s="177">
        <v>8.0144782510923561E-7</v>
      </c>
      <c r="Q260" s="177">
        <v>8.0144779251111091E-7</v>
      </c>
      <c r="R260" s="177">
        <v>8.0144768317515639E-7</v>
      </c>
      <c r="S260" s="177">
        <v>8.0144753432490333E-7</v>
      </c>
      <c r="T260" s="177">
        <v>8.0144853514843908E-7</v>
      </c>
      <c r="U260" s="177">
        <v>8.0144826565693835E-7</v>
      </c>
      <c r="V260" s="177">
        <v>8.0144749498123439E-7</v>
      </c>
      <c r="W260" s="177">
        <v>8.014480674278563E-7</v>
      </c>
      <c r="X260" s="177">
        <v>8.0144775003452693E-7</v>
      </c>
      <c r="Y260" s="177">
        <v>8.0144790902883438E-7</v>
      </c>
      <c r="Z260" s="177">
        <v>8.0144726394243002E-7</v>
      </c>
      <c r="AA260" s="177">
        <v>8.0144758896438143E-7</v>
      </c>
      <c r="AB260" s="177">
        <v>8.0466664948576274E-7</v>
      </c>
      <c r="AC260" s="177">
        <v>8.0453210991677986E-7</v>
      </c>
      <c r="AD260" s="177">
        <v>8.0606213554757786E-7</v>
      </c>
      <c r="AE260" s="177">
        <v>8.0655055513769212E-7</v>
      </c>
      <c r="AF260" s="177">
        <v>8.0655055513769212E-7</v>
      </c>
      <c r="AG260" s="177">
        <v>8.0655055513769212E-7</v>
      </c>
      <c r="AH260" s="177">
        <v>8.0655055513769212E-7</v>
      </c>
      <c r="AI260" s="177">
        <v>8.0655055513769212E-7</v>
      </c>
      <c r="AJ260" s="177">
        <v>8.0655055513769212E-7</v>
      </c>
      <c r="AK260" s="177">
        <v>8.0655055513769212E-7</v>
      </c>
      <c r="AL260" s="177">
        <v>8.0655055513769212E-7</v>
      </c>
      <c r="AM260" s="177">
        <v>8.0655055513769212E-7</v>
      </c>
      <c r="AN260" s="177">
        <v>8.0655055513769212E-7</v>
      </c>
      <c r="AO260" s="177">
        <v>8.0655055513769212E-7</v>
      </c>
      <c r="AP260" s="177">
        <v>8.0655055513769212E-7</v>
      </c>
      <c r="AQ260" s="177">
        <v>8.0655055513769212E-7</v>
      </c>
      <c r="AR260" s="177">
        <v>8.0655055513769212E-7</v>
      </c>
      <c r="AS260" s="197">
        <f t="shared" ref="AS260:BV260" si="203">AR260</f>
        <v>8.0655055513769212E-7</v>
      </c>
      <c r="AT260" s="197">
        <f t="shared" si="203"/>
        <v>8.0655055513769212E-7</v>
      </c>
      <c r="AU260" s="197">
        <f t="shared" si="203"/>
        <v>8.0655055513769212E-7</v>
      </c>
      <c r="AV260" s="197">
        <f t="shared" si="203"/>
        <v>8.0655055513769212E-7</v>
      </c>
      <c r="AW260" s="197">
        <f t="shared" si="203"/>
        <v>8.0655055513769212E-7</v>
      </c>
      <c r="AX260" s="197">
        <f t="shared" si="203"/>
        <v>8.0655055513769212E-7</v>
      </c>
      <c r="AY260" s="197">
        <f t="shared" si="203"/>
        <v>8.0655055513769212E-7</v>
      </c>
      <c r="AZ260" s="197">
        <f t="shared" si="203"/>
        <v>8.0655055513769212E-7</v>
      </c>
      <c r="BA260" s="197">
        <f t="shared" si="203"/>
        <v>8.0655055513769212E-7</v>
      </c>
      <c r="BB260" s="197">
        <f t="shared" si="203"/>
        <v>8.0655055513769212E-7</v>
      </c>
      <c r="BC260" s="197">
        <f t="shared" si="203"/>
        <v>8.0655055513769212E-7</v>
      </c>
      <c r="BD260" s="197">
        <f t="shared" si="203"/>
        <v>8.0655055513769212E-7</v>
      </c>
      <c r="BE260" s="197">
        <f t="shared" si="203"/>
        <v>8.0655055513769212E-7</v>
      </c>
      <c r="BF260" s="197">
        <f t="shared" si="203"/>
        <v>8.0655055513769212E-7</v>
      </c>
      <c r="BG260" s="197">
        <f t="shared" si="203"/>
        <v>8.0655055513769212E-7</v>
      </c>
      <c r="BH260" s="197">
        <f t="shared" si="203"/>
        <v>8.0655055513769212E-7</v>
      </c>
      <c r="BI260" s="197">
        <f t="shared" si="203"/>
        <v>8.0655055513769212E-7</v>
      </c>
      <c r="BJ260" s="197">
        <f t="shared" si="203"/>
        <v>8.0655055513769212E-7</v>
      </c>
      <c r="BK260" s="197">
        <f t="shared" si="203"/>
        <v>8.0655055513769212E-7</v>
      </c>
      <c r="BL260" s="197">
        <f t="shared" si="203"/>
        <v>8.0655055513769212E-7</v>
      </c>
      <c r="BM260" s="197">
        <f t="shared" si="203"/>
        <v>8.0655055513769212E-7</v>
      </c>
      <c r="BN260" s="197">
        <f t="shared" si="203"/>
        <v>8.0655055513769212E-7</v>
      </c>
      <c r="BO260" s="197">
        <f t="shared" si="203"/>
        <v>8.0655055513769212E-7</v>
      </c>
      <c r="BP260" s="197">
        <f t="shared" si="203"/>
        <v>8.0655055513769212E-7</v>
      </c>
      <c r="BQ260" s="197">
        <f t="shared" si="203"/>
        <v>8.0655055513769212E-7</v>
      </c>
      <c r="BR260" s="197">
        <f t="shared" si="203"/>
        <v>8.0655055513769212E-7</v>
      </c>
      <c r="BS260" s="197">
        <f t="shared" si="203"/>
        <v>8.0655055513769212E-7</v>
      </c>
      <c r="BT260" s="197">
        <f t="shared" si="203"/>
        <v>8.0655055513769212E-7</v>
      </c>
      <c r="BU260" s="197">
        <f t="shared" si="203"/>
        <v>8.0655055513769212E-7</v>
      </c>
      <c r="BV260" s="197">
        <f t="shared" si="203"/>
        <v>8.0655055513769212E-7</v>
      </c>
    </row>
    <row r="261" spans="1:74" x14ac:dyDescent="0.25">
      <c r="A261" s="141" t="s">
        <v>14</v>
      </c>
      <c r="B261" s="148"/>
      <c r="C261" s="142"/>
      <c r="D261" s="177">
        <v>8.7347803335602258E-7</v>
      </c>
      <c r="E261" s="177">
        <v>8.7218522267562679E-7</v>
      </c>
      <c r="F261" s="177">
        <v>8.708962332461718E-7</v>
      </c>
      <c r="G261" s="177">
        <v>8.6961104815055106E-7</v>
      </c>
      <c r="H261" s="177">
        <v>8.6832965057136967E-7</v>
      </c>
      <c r="I261" s="177">
        <v>8.6705202379021054E-7</v>
      </c>
      <c r="J261" s="177">
        <v>8.6614173119992384E-7</v>
      </c>
      <c r="K261" s="177">
        <v>8.6568730396651396E-7</v>
      </c>
      <c r="L261" s="177">
        <v>8.6455331394726193E-7</v>
      </c>
      <c r="M261" s="177">
        <v>8.6546026781451174E-7</v>
      </c>
      <c r="N261" s="177">
        <v>8.6864964613033235E-7</v>
      </c>
      <c r="O261" s="177">
        <v>8.6636912421862735E-7</v>
      </c>
      <c r="P261" s="177">
        <v>8.6636912703112222E-7</v>
      </c>
      <c r="Q261" s="177">
        <v>8.6387434554973826E-7</v>
      </c>
      <c r="R261" s="177">
        <v>8.6364825835014342E-7</v>
      </c>
      <c r="S261" s="177">
        <v>8.6251962620743449E-7</v>
      </c>
      <c r="T261" s="177">
        <v>8.625195986441362E-7</v>
      </c>
      <c r="U261" s="177">
        <v>8.6591444432511414E-7</v>
      </c>
      <c r="V261" s="177">
        <v>8.5915128630747526E-7</v>
      </c>
      <c r="W261" s="177">
        <v>8.5870411694394287E-7</v>
      </c>
      <c r="X261" s="177">
        <v>8.5669782066027099E-7</v>
      </c>
      <c r="Y261" s="177">
        <v>8.5580910447161907E-7</v>
      </c>
      <c r="Z261" s="177">
        <v>8.5183270968083418E-7</v>
      </c>
      <c r="AA261" s="177">
        <v>8.4942082806904052E-7</v>
      </c>
      <c r="AB261" s="177">
        <v>8.4615386301208915E-7</v>
      </c>
      <c r="AC261" s="177">
        <v>8.409786043214603E-7</v>
      </c>
      <c r="AD261" s="177">
        <v>8.4550360942946101E-7</v>
      </c>
      <c r="AE261" s="177">
        <v>8.4140762774789318E-7</v>
      </c>
      <c r="AF261" s="177">
        <v>8.4140762774789318E-7</v>
      </c>
      <c r="AG261" s="177">
        <v>8.4140762774789318E-7</v>
      </c>
      <c r="AH261" s="177">
        <v>8.4140762774789318E-7</v>
      </c>
      <c r="AI261" s="177">
        <v>8.4140762774789318E-7</v>
      </c>
      <c r="AJ261" s="177">
        <v>8.4140762774789318E-7</v>
      </c>
      <c r="AK261" s="177">
        <v>8.4140762774789318E-7</v>
      </c>
      <c r="AL261" s="177">
        <v>8.4140762774789318E-7</v>
      </c>
      <c r="AM261" s="177">
        <v>8.4140762774789318E-7</v>
      </c>
      <c r="AN261" s="177">
        <v>8.4140762774789318E-7</v>
      </c>
      <c r="AO261" s="177">
        <v>8.4140762774789318E-7</v>
      </c>
      <c r="AP261" s="177">
        <v>8.4140762774789318E-7</v>
      </c>
      <c r="AQ261" s="177">
        <v>8.4140762774789318E-7</v>
      </c>
      <c r="AR261" s="177">
        <v>8.4140762774789318E-7</v>
      </c>
      <c r="AS261" s="197">
        <f t="shared" ref="AS261:BV261" si="204">AR261</f>
        <v>8.4140762774789318E-7</v>
      </c>
      <c r="AT261" s="197">
        <f t="shared" si="204"/>
        <v>8.4140762774789318E-7</v>
      </c>
      <c r="AU261" s="197">
        <f t="shared" si="204"/>
        <v>8.4140762774789318E-7</v>
      </c>
      <c r="AV261" s="197">
        <f t="shared" si="204"/>
        <v>8.4140762774789318E-7</v>
      </c>
      <c r="AW261" s="197">
        <f t="shared" si="204"/>
        <v>8.4140762774789318E-7</v>
      </c>
      <c r="AX261" s="197">
        <f t="shared" si="204"/>
        <v>8.4140762774789318E-7</v>
      </c>
      <c r="AY261" s="197">
        <f t="shared" si="204"/>
        <v>8.4140762774789318E-7</v>
      </c>
      <c r="AZ261" s="197">
        <f t="shared" si="204"/>
        <v>8.4140762774789318E-7</v>
      </c>
      <c r="BA261" s="197">
        <f t="shared" si="204"/>
        <v>8.4140762774789318E-7</v>
      </c>
      <c r="BB261" s="197">
        <f t="shared" si="204"/>
        <v>8.4140762774789318E-7</v>
      </c>
      <c r="BC261" s="197">
        <f t="shared" si="204"/>
        <v>8.4140762774789318E-7</v>
      </c>
      <c r="BD261" s="197">
        <f t="shared" si="204"/>
        <v>8.4140762774789318E-7</v>
      </c>
      <c r="BE261" s="197">
        <f t="shared" si="204"/>
        <v>8.4140762774789318E-7</v>
      </c>
      <c r="BF261" s="197">
        <f t="shared" si="204"/>
        <v>8.4140762774789318E-7</v>
      </c>
      <c r="BG261" s="197">
        <f t="shared" si="204"/>
        <v>8.4140762774789318E-7</v>
      </c>
      <c r="BH261" s="197">
        <f t="shared" si="204"/>
        <v>8.4140762774789318E-7</v>
      </c>
      <c r="BI261" s="197">
        <f t="shared" si="204"/>
        <v>8.4140762774789318E-7</v>
      </c>
      <c r="BJ261" s="197">
        <f t="shared" si="204"/>
        <v>8.4140762774789318E-7</v>
      </c>
      <c r="BK261" s="197">
        <f t="shared" si="204"/>
        <v>8.4140762774789318E-7</v>
      </c>
      <c r="BL261" s="197">
        <f t="shared" si="204"/>
        <v>8.4140762774789318E-7</v>
      </c>
      <c r="BM261" s="197">
        <f t="shared" si="204"/>
        <v>8.4140762774789318E-7</v>
      </c>
      <c r="BN261" s="197">
        <f t="shared" si="204"/>
        <v>8.4140762774789318E-7</v>
      </c>
      <c r="BO261" s="197">
        <f t="shared" si="204"/>
        <v>8.4140762774789318E-7</v>
      </c>
      <c r="BP261" s="197">
        <f t="shared" si="204"/>
        <v>8.4140762774789318E-7</v>
      </c>
      <c r="BQ261" s="197">
        <f t="shared" si="204"/>
        <v>8.4140762774789318E-7</v>
      </c>
      <c r="BR261" s="197">
        <f t="shared" si="204"/>
        <v>8.4140762774789318E-7</v>
      </c>
      <c r="BS261" s="197">
        <f t="shared" si="204"/>
        <v>8.4140762774789318E-7</v>
      </c>
      <c r="BT261" s="197">
        <f t="shared" si="204"/>
        <v>8.4140762774789318E-7</v>
      </c>
      <c r="BU261" s="197">
        <f t="shared" si="204"/>
        <v>8.4140762774789318E-7</v>
      </c>
      <c r="BV261" s="197">
        <f t="shared" si="204"/>
        <v>8.4140762774789318E-7</v>
      </c>
    </row>
    <row r="262" spans="1:74" x14ac:dyDescent="0.25">
      <c r="A262" s="141" t="s">
        <v>188</v>
      </c>
      <c r="B262" s="142"/>
      <c r="C262" s="142"/>
      <c r="D262" s="177">
        <v>5.5305755582816489E-7</v>
      </c>
      <c r="E262" s="177">
        <v>5.5755395938350764E-7</v>
      </c>
      <c r="F262" s="177">
        <v>5.6205036294953486E-7</v>
      </c>
      <c r="G262" s="177">
        <v>5.6654676652624635E-7</v>
      </c>
      <c r="H262" s="177">
        <v>5.7329137157078249E-7</v>
      </c>
      <c r="I262" s="177">
        <v>5.7329137225191111E-7</v>
      </c>
      <c r="J262" s="177">
        <v>5.7104315499043336E-7</v>
      </c>
      <c r="K262" s="177">
        <v>5.8003596564759817E-7</v>
      </c>
      <c r="L262" s="177">
        <v>5.8139533919414227E-7</v>
      </c>
      <c r="M262" s="177">
        <v>5.8468175845306478E-7</v>
      </c>
      <c r="N262" s="177">
        <v>5.9546925324097432E-7</v>
      </c>
      <c r="O262" s="177">
        <v>5.9331175675543012E-7</v>
      </c>
      <c r="P262" s="177">
        <v>5.9331175460486715E-7</v>
      </c>
      <c r="Q262" s="177">
        <v>5.9331175862550999E-7</v>
      </c>
      <c r="R262" s="177">
        <v>5.9331175588531965E-7</v>
      </c>
      <c r="S262" s="177">
        <v>5.9331175947375652E-7</v>
      </c>
      <c r="T262" s="177">
        <v>5.933118510316838E-7</v>
      </c>
      <c r="U262" s="177">
        <v>5.9331194290372498E-7</v>
      </c>
      <c r="V262" s="177">
        <v>5.9331187981131484E-7</v>
      </c>
      <c r="W262" s="177">
        <v>5.9331186291080176E-7</v>
      </c>
      <c r="X262" s="177">
        <v>5.9331194187259091E-7</v>
      </c>
      <c r="Y262" s="177">
        <v>5.9331179799381954E-7</v>
      </c>
      <c r="Z262" s="177">
        <v>5.9331189095785941E-7</v>
      </c>
      <c r="AA262" s="177">
        <v>5.9331161703418625E-7</v>
      </c>
      <c r="AB262" s="177">
        <v>5.932740789591351E-7</v>
      </c>
      <c r="AC262" s="177">
        <v>5.9327398031517265E-7</v>
      </c>
      <c r="AD262" s="177">
        <v>5.9327417305870628E-7</v>
      </c>
      <c r="AE262" s="177">
        <v>5.9327417305870628E-7</v>
      </c>
      <c r="AF262" s="177">
        <v>5.9327417305870628E-7</v>
      </c>
      <c r="AG262" s="177">
        <v>5.9327417305870628E-7</v>
      </c>
      <c r="AH262" s="177">
        <v>5.9327417305870628E-7</v>
      </c>
      <c r="AI262" s="177">
        <v>5.9327417305870628E-7</v>
      </c>
      <c r="AJ262" s="177">
        <v>5.9327417305870628E-7</v>
      </c>
      <c r="AK262" s="177">
        <v>5.9327417305870628E-7</v>
      </c>
      <c r="AL262" s="177">
        <v>5.9327417305870628E-7</v>
      </c>
      <c r="AM262" s="177">
        <v>5.9327417305870628E-7</v>
      </c>
      <c r="AN262" s="177">
        <v>5.9327417305870628E-7</v>
      </c>
      <c r="AO262" s="177">
        <v>5.9327417305870628E-7</v>
      </c>
      <c r="AP262" s="177">
        <v>5.9327417305870628E-7</v>
      </c>
      <c r="AQ262" s="177">
        <v>5.9327417305870628E-7</v>
      </c>
      <c r="AR262" s="177">
        <v>5.9327417305870628E-7</v>
      </c>
      <c r="AS262" s="197">
        <f t="shared" ref="AS262:BV262" si="205">AR262</f>
        <v>5.9327417305870628E-7</v>
      </c>
      <c r="AT262" s="197">
        <f t="shared" si="205"/>
        <v>5.9327417305870628E-7</v>
      </c>
      <c r="AU262" s="197">
        <f t="shared" si="205"/>
        <v>5.9327417305870628E-7</v>
      </c>
      <c r="AV262" s="197">
        <f t="shared" si="205"/>
        <v>5.9327417305870628E-7</v>
      </c>
      <c r="AW262" s="197">
        <f t="shared" si="205"/>
        <v>5.9327417305870628E-7</v>
      </c>
      <c r="AX262" s="197">
        <f t="shared" si="205"/>
        <v>5.9327417305870628E-7</v>
      </c>
      <c r="AY262" s="197">
        <f t="shared" si="205"/>
        <v>5.9327417305870628E-7</v>
      </c>
      <c r="AZ262" s="197">
        <f t="shared" si="205"/>
        <v>5.9327417305870628E-7</v>
      </c>
      <c r="BA262" s="197">
        <f t="shared" si="205"/>
        <v>5.9327417305870628E-7</v>
      </c>
      <c r="BB262" s="197">
        <f t="shared" si="205"/>
        <v>5.9327417305870628E-7</v>
      </c>
      <c r="BC262" s="197">
        <f t="shared" si="205"/>
        <v>5.9327417305870628E-7</v>
      </c>
      <c r="BD262" s="197">
        <f t="shared" si="205"/>
        <v>5.9327417305870628E-7</v>
      </c>
      <c r="BE262" s="197">
        <f t="shared" si="205"/>
        <v>5.9327417305870628E-7</v>
      </c>
      <c r="BF262" s="197">
        <f t="shared" si="205"/>
        <v>5.9327417305870628E-7</v>
      </c>
      <c r="BG262" s="197">
        <f t="shared" si="205"/>
        <v>5.9327417305870628E-7</v>
      </c>
      <c r="BH262" s="197">
        <f t="shared" si="205"/>
        <v>5.9327417305870628E-7</v>
      </c>
      <c r="BI262" s="197">
        <f t="shared" si="205"/>
        <v>5.9327417305870628E-7</v>
      </c>
      <c r="BJ262" s="197">
        <f t="shared" si="205"/>
        <v>5.9327417305870628E-7</v>
      </c>
      <c r="BK262" s="197">
        <f t="shared" si="205"/>
        <v>5.9327417305870628E-7</v>
      </c>
      <c r="BL262" s="197">
        <f t="shared" si="205"/>
        <v>5.9327417305870628E-7</v>
      </c>
      <c r="BM262" s="197">
        <f t="shared" si="205"/>
        <v>5.9327417305870628E-7</v>
      </c>
      <c r="BN262" s="197">
        <f t="shared" si="205"/>
        <v>5.9327417305870628E-7</v>
      </c>
      <c r="BO262" s="197">
        <f t="shared" si="205"/>
        <v>5.9327417305870628E-7</v>
      </c>
      <c r="BP262" s="197">
        <f t="shared" si="205"/>
        <v>5.9327417305870628E-7</v>
      </c>
      <c r="BQ262" s="197">
        <f t="shared" si="205"/>
        <v>5.9327417305870628E-7</v>
      </c>
      <c r="BR262" s="197">
        <f t="shared" si="205"/>
        <v>5.9327417305870628E-7</v>
      </c>
      <c r="BS262" s="197">
        <f t="shared" si="205"/>
        <v>5.9327417305870628E-7</v>
      </c>
      <c r="BT262" s="197">
        <f t="shared" si="205"/>
        <v>5.9327417305870628E-7</v>
      </c>
      <c r="BU262" s="197">
        <f t="shared" si="205"/>
        <v>5.9327417305870628E-7</v>
      </c>
      <c r="BV262" s="197">
        <f t="shared" si="205"/>
        <v>5.9327417305870628E-7</v>
      </c>
    </row>
    <row r="263" spans="1:74" x14ac:dyDescent="0.25">
      <c r="A263" s="147" t="s">
        <v>200</v>
      </c>
      <c r="C263" s="142"/>
      <c r="D263" s="177">
        <v>4.2303169196510135E-6</v>
      </c>
      <c r="E263" s="177">
        <v>4.2303170638623021E-6</v>
      </c>
      <c r="F263" s="177">
        <v>4.2303172080736009E-6</v>
      </c>
      <c r="G263" s="177">
        <v>4.2303173522849091E-6</v>
      </c>
      <c r="H263" s="177">
        <v>4.2303174964962274E-6</v>
      </c>
      <c r="I263" s="177">
        <v>4.2303176407075542E-6</v>
      </c>
      <c r="J263" s="177">
        <v>4.2303171094596747E-6</v>
      </c>
      <c r="K263" s="177">
        <v>4.2303173719024225E-6</v>
      </c>
      <c r="L263" s="177">
        <v>4.2670890687672356E-6</v>
      </c>
      <c r="M263" s="177">
        <v>4.2670882977938177E-6</v>
      </c>
      <c r="N263" s="177">
        <v>4.2670882976259764E-6</v>
      </c>
      <c r="O263" s="177">
        <v>4.2670879463157555E-6</v>
      </c>
      <c r="P263" s="177">
        <v>4.2670887489033433E-6</v>
      </c>
      <c r="Q263" s="177">
        <v>4.2670879974365334E-6</v>
      </c>
      <c r="R263" s="177">
        <v>4.2670881526290587E-6</v>
      </c>
      <c r="S263" s="177">
        <v>4.2670873237001795E-6</v>
      </c>
      <c r="T263" s="177">
        <v>4.2670866006273497E-6</v>
      </c>
      <c r="U263" s="177">
        <v>4.2670940038238536E-6</v>
      </c>
      <c r="V263" s="177">
        <v>4.2670853931108063E-6</v>
      </c>
      <c r="W263" s="177">
        <v>4.2670956212976553E-6</v>
      </c>
      <c r="X263" s="177">
        <v>4.2670914449775371E-6</v>
      </c>
      <c r="Y263" s="177">
        <v>4.2670858015201517E-6</v>
      </c>
      <c r="Z263" s="177">
        <v>4.2670916932833516E-6</v>
      </c>
      <c r="AA263" s="177">
        <v>4.2670916932833516E-6</v>
      </c>
      <c r="AB263" s="177">
        <v>4.2670916932833516E-6</v>
      </c>
      <c r="AC263" s="177">
        <v>4.2670916932833516E-6</v>
      </c>
      <c r="AD263" s="177">
        <v>4.2671182037880687E-6</v>
      </c>
      <c r="AE263" s="177">
        <v>4.267112391124313E-6</v>
      </c>
      <c r="AF263" s="177">
        <v>4.267112391124313E-6</v>
      </c>
      <c r="AG263" s="177">
        <v>4.267112391124313E-6</v>
      </c>
      <c r="AH263" s="177">
        <v>4.267112391124313E-6</v>
      </c>
      <c r="AI263" s="177">
        <v>4.267112391124313E-6</v>
      </c>
      <c r="AJ263" s="177">
        <v>4.267112391124313E-6</v>
      </c>
      <c r="AK263" s="177">
        <v>4.267112391124313E-6</v>
      </c>
      <c r="AL263" s="177">
        <v>4.267112391124313E-6</v>
      </c>
      <c r="AM263" s="177">
        <v>4.267112391124313E-6</v>
      </c>
      <c r="AN263" s="177">
        <v>4.267112391124313E-6</v>
      </c>
      <c r="AO263" s="177">
        <v>4.267112391124313E-6</v>
      </c>
      <c r="AP263" s="177">
        <v>4.267112391124313E-6</v>
      </c>
      <c r="AQ263" s="177">
        <v>4.267112391124313E-6</v>
      </c>
      <c r="AR263" s="177">
        <v>4.267112391124313E-6</v>
      </c>
      <c r="AS263" s="197">
        <f t="shared" ref="AS263:BV263" si="206">AR263</f>
        <v>4.267112391124313E-6</v>
      </c>
      <c r="AT263" s="197">
        <f t="shared" si="206"/>
        <v>4.267112391124313E-6</v>
      </c>
      <c r="AU263" s="197">
        <f t="shared" si="206"/>
        <v>4.267112391124313E-6</v>
      </c>
      <c r="AV263" s="197">
        <f t="shared" si="206"/>
        <v>4.267112391124313E-6</v>
      </c>
      <c r="AW263" s="197">
        <f t="shared" si="206"/>
        <v>4.267112391124313E-6</v>
      </c>
      <c r="AX263" s="197">
        <f t="shared" si="206"/>
        <v>4.267112391124313E-6</v>
      </c>
      <c r="AY263" s="197">
        <f t="shared" si="206"/>
        <v>4.267112391124313E-6</v>
      </c>
      <c r="AZ263" s="197">
        <f t="shared" si="206"/>
        <v>4.267112391124313E-6</v>
      </c>
      <c r="BA263" s="197">
        <f t="shared" si="206"/>
        <v>4.267112391124313E-6</v>
      </c>
      <c r="BB263" s="197">
        <f t="shared" si="206"/>
        <v>4.267112391124313E-6</v>
      </c>
      <c r="BC263" s="197">
        <f t="shared" si="206"/>
        <v>4.267112391124313E-6</v>
      </c>
      <c r="BD263" s="197">
        <f t="shared" si="206"/>
        <v>4.267112391124313E-6</v>
      </c>
      <c r="BE263" s="197">
        <f t="shared" si="206"/>
        <v>4.267112391124313E-6</v>
      </c>
      <c r="BF263" s="197">
        <f t="shared" si="206"/>
        <v>4.267112391124313E-6</v>
      </c>
      <c r="BG263" s="197">
        <f t="shared" si="206"/>
        <v>4.267112391124313E-6</v>
      </c>
      <c r="BH263" s="197">
        <f t="shared" si="206"/>
        <v>4.267112391124313E-6</v>
      </c>
      <c r="BI263" s="197">
        <f t="shared" si="206"/>
        <v>4.267112391124313E-6</v>
      </c>
      <c r="BJ263" s="197">
        <f t="shared" si="206"/>
        <v>4.267112391124313E-6</v>
      </c>
      <c r="BK263" s="197">
        <f t="shared" si="206"/>
        <v>4.267112391124313E-6</v>
      </c>
      <c r="BL263" s="197">
        <f t="shared" si="206"/>
        <v>4.267112391124313E-6</v>
      </c>
      <c r="BM263" s="197">
        <f t="shared" si="206"/>
        <v>4.267112391124313E-6</v>
      </c>
      <c r="BN263" s="197">
        <f t="shared" si="206"/>
        <v>4.267112391124313E-6</v>
      </c>
      <c r="BO263" s="197">
        <f t="shared" si="206"/>
        <v>4.267112391124313E-6</v>
      </c>
      <c r="BP263" s="197">
        <f t="shared" si="206"/>
        <v>4.267112391124313E-6</v>
      </c>
      <c r="BQ263" s="197">
        <f t="shared" si="206"/>
        <v>4.267112391124313E-6</v>
      </c>
      <c r="BR263" s="197">
        <f t="shared" si="206"/>
        <v>4.267112391124313E-6</v>
      </c>
      <c r="BS263" s="197">
        <f t="shared" si="206"/>
        <v>4.267112391124313E-6</v>
      </c>
      <c r="BT263" s="197">
        <f t="shared" si="206"/>
        <v>4.267112391124313E-6</v>
      </c>
      <c r="BU263" s="197">
        <f t="shared" si="206"/>
        <v>4.267112391124313E-6</v>
      </c>
      <c r="BV263" s="197">
        <f t="shared" si="206"/>
        <v>4.267112391124313E-6</v>
      </c>
    </row>
    <row r="264" spans="1:74" x14ac:dyDescent="0.25">
      <c r="A264" s="141" t="s">
        <v>194</v>
      </c>
      <c r="B264" s="148"/>
      <c r="C264" s="142"/>
      <c r="D264" s="177">
        <v>4.7927150641825361E-10</v>
      </c>
      <c r="E264" s="177">
        <v>4.792715066038902E-10</v>
      </c>
      <c r="F264" s="177">
        <v>4.792715067895268E-10</v>
      </c>
      <c r="G264" s="177">
        <v>4.792715069751634E-10</v>
      </c>
      <c r="H264" s="177">
        <v>4.792715071608E-10</v>
      </c>
      <c r="I264" s="177">
        <v>4.7927150734643639E-10</v>
      </c>
      <c r="J264" s="177">
        <v>4.7927150657796181E-10</v>
      </c>
      <c r="K264" s="177">
        <v>4.7927150724306455E-10</v>
      </c>
      <c r="L264" s="177">
        <v>4.7058823529411763E-10</v>
      </c>
      <c r="M264" s="177">
        <v>4.705882336750339E-10</v>
      </c>
      <c r="N264" s="177">
        <v>4.7058823373990813E-10</v>
      </c>
      <c r="O264" s="177">
        <v>4.7058823393429888E-10</v>
      </c>
      <c r="P264" s="177">
        <v>4.7058823395072431E-10</v>
      </c>
      <c r="Q264" s="177">
        <v>4.7058823529411763E-10</v>
      </c>
      <c r="R264" s="177">
        <v>4.7058823529411763E-10</v>
      </c>
      <c r="S264" s="177">
        <v>4.7058823403185863E-10</v>
      </c>
      <c r="T264" s="177">
        <v>4.7058823410394597E-10</v>
      </c>
      <c r="U264" s="177">
        <v>4.7058823750077712E-10</v>
      </c>
      <c r="V264" s="177">
        <v>4.7058821866838196E-10</v>
      </c>
      <c r="W264" s="177">
        <v>4.7058818648632621E-10</v>
      </c>
      <c r="X264" s="177">
        <v>4.7058828446232178E-10</v>
      </c>
      <c r="Y264" s="177">
        <v>4.7058822676957547E-10</v>
      </c>
      <c r="Z264" s="177">
        <v>5.5432376640131688E-10</v>
      </c>
      <c r="AA264" s="177">
        <v>5.5432365977479457E-10</v>
      </c>
      <c r="AB264" s="177">
        <v>5.5432365977479457E-10</v>
      </c>
      <c r="AC264" s="177">
        <v>5.5432365977479457E-10</v>
      </c>
      <c r="AD264" s="177">
        <v>5.5432372980892911E-10</v>
      </c>
      <c r="AE264" s="177">
        <v>5.5432372980892911E-10</v>
      </c>
      <c r="AF264" s="177">
        <v>5.5432372980892911E-10</v>
      </c>
      <c r="AG264" s="177">
        <v>5.5432372980892911E-10</v>
      </c>
      <c r="AH264" s="177">
        <v>5.5432372980892911E-10</v>
      </c>
      <c r="AI264" s="177">
        <v>5.5432372980892911E-10</v>
      </c>
      <c r="AJ264" s="177">
        <v>5.5432372980892911E-10</v>
      </c>
      <c r="AK264" s="177">
        <v>5.5432372980892911E-10</v>
      </c>
      <c r="AL264" s="177">
        <v>5.5432372980892911E-10</v>
      </c>
      <c r="AM264" s="177">
        <v>5.5432372980892911E-10</v>
      </c>
      <c r="AN264" s="177">
        <v>5.5432372980892911E-10</v>
      </c>
      <c r="AO264" s="177">
        <v>5.5432372980892911E-10</v>
      </c>
      <c r="AP264" s="177">
        <v>5.5432372980892911E-10</v>
      </c>
      <c r="AQ264" s="177">
        <v>5.5432372980892911E-10</v>
      </c>
      <c r="AR264" s="177">
        <v>5.5432372980892911E-10</v>
      </c>
      <c r="AS264" s="197">
        <f t="shared" ref="AS264:BV264" si="207">AR264</f>
        <v>5.5432372980892911E-10</v>
      </c>
      <c r="AT264" s="197">
        <f t="shared" si="207"/>
        <v>5.5432372980892911E-10</v>
      </c>
      <c r="AU264" s="197">
        <f t="shared" si="207"/>
        <v>5.5432372980892911E-10</v>
      </c>
      <c r="AV264" s="197">
        <f t="shared" si="207"/>
        <v>5.5432372980892911E-10</v>
      </c>
      <c r="AW264" s="197">
        <f t="shared" si="207"/>
        <v>5.5432372980892911E-10</v>
      </c>
      <c r="AX264" s="197">
        <f t="shared" si="207"/>
        <v>5.5432372980892911E-10</v>
      </c>
      <c r="AY264" s="197">
        <f t="shared" si="207"/>
        <v>5.5432372980892911E-10</v>
      </c>
      <c r="AZ264" s="197">
        <f t="shared" si="207"/>
        <v>5.5432372980892911E-10</v>
      </c>
      <c r="BA264" s="197">
        <f t="shared" si="207"/>
        <v>5.5432372980892911E-10</v>
      </c>
      <c r="BB264" s="197">
        <f t="shared" si="207"/>
        <v>5.5432372980892911E-10</v>
      </c>
      <c r="BC264" s="197">
        <f t="shared" si="207"/>
        <v>5.5432372980892911E-10</v>
      </c>
      <c r="BD264" s="197">
        <f t="shared" si="207"/>
        <v>5.5432372980892911E-10</v>
      </c>
      <c r="BE264" s="197">
        <f t="shared" si="207"/>
        <v>5.5432372980892911E-10</v>
      </c>
      <c r="BF264" s="197">
        <f t="shared" si="207"/>
        <v>5.5432372980892911E-10</v>
      </c>
      <c r="BG264" s="197">
        <f t="shared" si="207"/>
        <v>5.5432372980892911E-10</v>
      </c>
      <c r="BH264" s="197">
        <f t="shared" si="207"/>
        <v>5.5432372980892911E-10</v>
      </c>
      <c r="BI264" s="197">
        <f t="shared" si="207"/>
        <v>5.5432372980892911E-10</v>
      </c>
      <c r="BJ264" s="197">
        <f t="shared" si="207"/>
        <v>5.5432372980892911E-10</v>
      </c>
      <c r="BK264" s="197">
        <f t="shared" si="207"/>
        <v>5.5432372980892911E-10</v>
      </c>
      <c r="BL264" s="197">
        <f t="shared" si="207"/>
        <v>5.5432372980892911E-10</v>
      </c>
      <c r="BM264" s="197">
        <f t="shared" si="207"/>
        <v>5.5432372980892911E-10</v>
      </c>
      <c r="BN264" s="197">
        <f t="shared" si="207"/>
        <v>5.5432372980892911E-10</v>
      </c>
      <c r="BO264" s="197">
        <f t="shared" si="207"/>
        <v>5.5432372980892911E-10</v>
      </c>
      <c r="BP264" s="197">
        <f t="shared" si="207"/>
        <v>5.5432372980892911E-10</v>
      </c>
      <c r="BQ264" s="197">
        <f t="shared" si="207"/>
        <v>5.5432372980892911E-10</v>
      </c>
      <c r="BR264" s="197">
        <f t="shared" si="207"/>
        <v>5.5432372980892911E-10</v>
      </c>
      <c r="BS264" s="197">
        <f t="shared" si="207"/>
        <v>5.5432372980892911E-10</v>
      </c>
      <c r="BT264" s="197">
        <f t="shared" si="207"/>
        <v>5.5432372980892911E-10</v>
      </c>
      <c r="BU264" s="197">
        <f t="shared" si="207"/>
        <v>5.5432372980892911E-10</v>
      </c>
      <c r="BV264" s="197">
        <f t="shared" si="207"/>
        <v>5.5432372980892911E-10</v>
      </c>
    </row>
    <row r="265" spans="1:74" x14ac:dyDescent="0.25">
      <c r="A265" s="147" t="s">
        <v>201</v>
      </c>
      <c r="C265" s="142"/>
      <c r="D265" s="177">
        <v>1.910219675262655E-6</v>
      </c>
      <c r="E265" s="177">
        <v>1.910219675262655E-6</v>
      </c>
      <c r="F265" s="177">
        <v>1.910219675262655E-6</v>
      </c>
      <c r="G265" s="177">
        <v>1.910219675262655E-6</v>
      </c>
      <c r="H265" s="177">
        <v>1.910219675262655E-6</v>
      </c>
      <c r="I265" s="177">
        <v>1.910219675262655E-6</v>
      </c>
      <c r="J265" s="177">
        <v>1.910219675262655E-6</v>
      </c>
      <c r="K265" s="177">
        <v>1.910219675262655E-6</v>
      </c>
      <c r="L265" s="177">
        <v>1.910219675262655E-6</v>
      </c>
      <c r="M265" s="177">
        <v>1.910219675262655E-6</v>
      </c>
      <c r="N265" s="177">
        <v>1.910219675262655E-6</v>
      </c>
      <c r="O265" s="177">
        <v>1.910219675262655E-6</v>
      </c>
      <c r="P265" s="177">
        <v>1.910219675262655E-6</v>
      </c>
      <c r="Q265" s="177">
        <v>1.910219675262655E-6</v>
      </c>
      <c r="R265" s="177">
        <v>1.910219675262655E-6</v>
      </c>
      <c r="S265" s="177">
        <v>1.9102196604836949E-6</v>
      </c>
      <c r="T265" s="177">
        <v>1.9102197017180211E-6</v>
      </c>
      <c r="U265" s="177">
        <v>1.9102197095119837E-6</v>
      </c>
      <c r="V265" s="177">
        <v>1.9102196234247274E-6</v>
      </c>
      <c r="W265" s="177">
        <v>1.9102196352716296E-6</v>
      </c>
      <c r="X265" s="177">
        <v>1.9102197422501803E-6</v>
      </c>
      <c r="Y265" s="177">
        <v>1.910219733106164E-6</v>
      </c>
      <c r="Z265" s="177">
        <v>1.9102196940749794E-6</v>
      </c>
      <c r="AA265" s="177">
        <v>1.9102196262939452E-6</v>
      </c>
      <c r="AB265" s="177">
        <v>1.9102196847976257E-6</v>
      </c>
      <c r="AC265" s="177">
        <v>1.9102196393552953E-6</v>
      </c>
      <c r="AD265" s="177">
        <v>1.9102197229647723E-6</v>
      </c>
      <c r="AE265" s="177">
        <v>1.9102196192977084E-6</v>
      </c>
      <c r="AF265" s="177">
        <v>1.9102196192977084E-6</v>
      </c>
      <c r="AG265" s="177">
        <v>1.9102196192977084E-6</v>
      </c>
      <c r="AH265" s="177">
        <v>1.9102196192977084E-6</v>
      </c>
      <c r="AI265" s="177">
        <v>1.9102196192977084E-6</v>
      </c>
      <c r="AJ265" s="177">
        <v>1.9102196192977084E-6</v>
      </c>
      <c r="AK265" s="177">
        <v>1.9102196192977084E-6</v>
      </c>
      <c r="AL265" s="177">
        <v>1.9102196192977084E-6</v>
      </c>
      <c r="AM265" s="177">
        <v>1.9102196192977084E-6</v>
      </c>
      <c r="AN265" s="177">
        <v>1.9102196192977084E-6</v>
      </c>
      <c r="AO265" s="177">
        <v>1.9102196192977084E-6</v>
      </c>
      <c r="AP265" s="177">
        <v>1.9102196192977084E-6</v>
      </c>
      <c r="AQ265" s="177">
        <v>1.9102196192977084E-6</v>
      </c>
      <c r="AR265" s="177">
        <v>1.9102196192977084E-6</v>
      </c>
      <c r="AS265" s="197">
        <f t="shared" ref="AS265:BV265" si="208">AR265</f>
        <v>1.9102196192977084E-6</v>
      </c>
      <c r="AT265" s="197">
        <f t="shared" si="208"/>
        <v>1.9102196192977084E-6</v>
      </c>
      <c r="AU265" s="197">
        <f t="shared" si="208"/>
        <v>1.9102196192977084E-6</v>
      </c>
      <c r="AV265" s="197">
        <f t="shared" si="208"/>
        <v>1.9102196192977084E-6</v>
      </c>
      <c r="AW265" s="197">
        <f t="shared" si="208"/>
        <v>1.9102196192977084E-6</v>
      </c>
      <c r="AX265" s="197">
        <f t="shared" si="208"/>
        <v>1.9102196192977084E-6</v>
      </c>
      <c r="AY265" s="197">
        <f t="shared" si="208"/>
        <v>1.9102196192977084E-6</v>
      </c>
      <c r="AZ265" s="197">
        <f t="shared" si="208"/>
        <v>1.9102196192977084E-6</v>
      </c>
      <c r="BA265" s="197">
        <f t="shared" si="208"/>
        <v>1.9102196192977084E-6</v>
      </c>
      <c r="BB265" s="197">
        <f t="shared" si="208"/>
        <v>1.9102196192977084E-6</v>
      </c>
      <c r="BC265" s="197">
        <f t="shared" si="208"/>
        <v>1.9102196192977084E-6</v>
      </c>
      <c r="BD265" s="197">
        <f t="shared" si="208"/>
        <v>1.9102196192977084E-6</v>
      </c>
      <c r="BE265" s="197">
        <f t="shared" si="208"/>
        <v>1.9102196192977084E-6</v>
      </c>
      <c r="BF265" s="197">
        <f t="shared" si="208"/>
        <v>1.9102196192977084E-6</v>
      </c>
      <c r="BG265" s="197">
        <f t="shared" si="208"/>
        <v>1.9102196192977084E-6</v>
      </c>
      <c r="BH265" s="197">
        <f t="shared" si="208"/>
        <v>1.9102196192977084E-6</v>
      </c>
      <c r="BI265" s="197">
        <f t="shared" si="208"/>
        <v>1.9102196192977084E-6</v>
      </c>
      <c r="BJ265" s="197">
        <f t="shared" si="208"/>
        <v>1.9102196192977084E-6</v>
      </c>
      <c r="BK265" s="197">
        <f t="shared" si="208"/>
        <v>1.9102196192977084E-6</v>
      </c>
      <c r="BL265" s="197">
        <f t="shared" si="208"/>
        <v>1.9102196192977084E-6</v>
      </c>
      <c r="BM265" s="197">
        <f t="shared" si="208"/>
        <v>1.9102196192977084E-6</v>
      </c>
      <c r="BN265" s="197">
        <f t="shared" si="208"/>
        <v>1.9102196192977084E-6</v>
      </c>
      <c r="BO265" s="197">
        <f t="shared" si="208"/>
        <v>1.9102196192977084E-6</v>
      </c>
      <c r="BP265" s="197">
        <f t="shared" si="208"/>
        <v>1.9102196192977084E-6</v>
      </c>
      <c r="BQ265" s="197">
        <f t="shared" si="208"/>
        <v>1.9102196192977084E-6</v>
      </c>
      <c r="BR265" s="197">
        <f t="shared" si="208"/>
        <v>1.9102196192977084E-6</v>
      </c>
      <c r="BS265" s="197">
        <f t="shared" si="208"/>
        <v>1.9102196192977084E-6</v>
      </c>
      <c r="BT265" s="197">
        <f t="shared" si="208"/>
        <v>1.9102196192977084E-6</v>
      </c>
      <c r="BU265" s="197">
        <f t="shared" si="208"/>
        <v>1.9102196192977084E-6</v>
      </c>
      <c r="BV265" s="197">
        <f t="shared" si="208"/>
        <v>1.9102196192977084E-6</v>
      </c>
    </row>
    <row r="266" spans="1:74" x14ac:dyDescent="0.25">
      <c r="A266" s="147" t="s">
        <v>202</v>
      </c>
      <c r="C266" s="142"/>
      <c r="D266" s="177"/>
      <c r="E266" s="177"/>
      <c r="F266" s="177"/>
      <c r="G266" s="177"/>
      <c r="H266" s="177"/>
      <c r="I266" s="177"/>
      <c r="J266" s="177"/>
      <c r="K266" s="177"/>
      <c r="L266" s="177"/>
      <c r="M266" s="177"/>
      <c r="N266" s="177"/>
      <c r="O266" s="177"/>
      <c r="P266" s="177"/>
      <c r="Q266" s="177"/>
      <c r="R266" s="177"/>
      <c r="S266" s="177"/>
      <c r="T266" s="177"/>
      <c r="U266" s="177"/>
      <c r="V266" s="177"/>
      <c r="W266" s="177"/>
      <c r="X266" s="177"/>
      <c r="Y266" s="177"/>
      <c r="Z266" s="177"/>
      <c r="AA266" s="177"/>
      <c r="AB266" s="177"/>
      <c r="AC266" s="177"/>
      <c r="AD266" s="177"/>
      <c r="AE266" s="177"/>
      <c r="AF266" s="177"/>
      <c r="AG266" s="177"/>
      <c r="AH266" s="177"/>
      <c r="AI266" s="177"/>
      <c r="AJ266" s="177"/>
      <c r="AK266" s="177"/>
      <c r="AL266" s="177"/>
      <c r="AM266" s="177"/>
      <c r="AN266" s="177"/>
      <c r="AO266" s="177"/>
      <c r="AP266" s="177"/>
      <c r="AQ266" s="177"/>
      <c r="AR266" s="177"/>
      <c r="AS266" s="197">
        <f t="shared" ref="AS266:BV266" si="209">AR266</f>
        <v>0</v>
      </c>
      <c r="AT266" s="197">
        <f t="shared" si="209"/>
        <v>0</v>
      </c>
      <c r="AU266" s="197">
        <f t="shared" si="209"/>
        <v>0</v>
      </c>
      <c r="AV266" s="197">
        <f t="shared" si="209"/>
        <v>0</v>
      </c>
      <c r="AW266" s="197">
        <f t="shared" si="209"/>
        <v>0</v>
      </c>
      <c r="AX266" s="197">
        <f t="shared" si="209"/>
        <v>0</v>
      </c>
      <c r="AY266" s="197">
        <f t="shared" si="209"/>
        <v>0</v>
      </c>
      <c r="AZ266" s="197">
        <f t="shared" si="209"/>
        <v>0</v>
      </c>
      <c r="BA266" s="197">
        <f t="shared" si="209"/>
        <v>0</v>
      </c>
      <c r="BB266" s="197">
        <f t="shared" si="209"/>
        <v>0</v>
      </c>
      <c r="BC266" s="197">
        <f t="shared" si="209"/>
        <v>0</v>
      </c>
      <c r="BD266" s="197">
        <f t="shared" si="209"/>
        <v>0</v>
      </c>
      <c r="BE266" s="197">
        <f t="shared" si="209"/>
        <v>0</v>
      </c>
      <c r="BF266" s="197">
        <f t="shared" si="209"/>
        <v>0</v>
      </c>
      <c r="BG266" s="197">
        <f t="shared" si="209"/>
        <v>0</v>
      </c>
      <c r="BH266" s="197">
        <f t="shared" si="209"/>
        <v>0</v>
      </c>
      <c r="BI266" s="197">
        <f t="shared" si="209"/>
        <v>0</v>
      </c>
      <c r="BJ266" s="197">
        <f t="shared" si="209"/>
        <v>0</v>
      </c>
      <c r="BK266" s="197">
        <f t="shared" si="209"/>
        <v>0</v>
      </c>
      <c r="BL266" s="197">
        <f t="shared" si="209"/>
        <v>0</v>
      </c>
      <c r="BM266" s="197">
        <f t="shared" si="209"/>
        <v>0</v>
      </c>
      <c r="BN266" s="197">
        <f t="shared" si="209"/>
        <v>0</v>
      </c>
      <c r="BO266" s="197">
        <f t="shared" si="209"/>
        <v>0</v>
      </c>
      <c r="BP266" s="197">
        <f t="shared" si="209"/>
        <v>0</v>
      </c>
      <c r="BQ266" s="197">
        <f t="shared" si="209"/>
        <v>0</v>
      </c>
      <c r="BR266" s="197">
        <f t="shared" si="209"/>
        <v>0</v>
      </c>
      <c r="BS266" s="197">
        <f t="shared" si="209"/>
        <v>0</v>
      </c>
      <c r="BT266" s="197">
        <f t="shared" si="209"/>
        <v>0</v>
      </c>
      <c r="BU266" s="197">
        <f t="shared" si="209"/>
        <v>0</v>
      </c>
      <c r="BV266" s="197">
        <f t="shared" si="209"/>
        <v>0</v>
      </c>
    </row>
    <row r="267" spans="1:74" x14ac:dyDescent="0.25">
      <c r="A267" s="147" t="s">
        <v>204</v>
      </c>
      <c r="B267" s="148"/>
      <c r="C267" s="142"/>
      <c r="D267" s="177">
        <v>5.36480686695279E-10</v>
      </c>
      <c r="E267" s="177">
        <v>5.36480686695279E-10</v>
      </c>
      <c r="F267" s="177">
        <v>5.36480686695279E-10</v>
      </c>
      <c r="G267" s="177">
        <v>5.36480686695279E-10</v>
      </c>
      <c r="H267" s="177">
        <v>5.36480686695279E-10</v>
      </c>
      <c r="I267" s="177">
        <v>5.36480686695279E-10</v>
      </c>
      <c r="J267" s="177">
        <v>5.36480686695279E-10</v>
      </c>
      <c r="K267" s="177">
        <v>5.36480686695279E-10</v>
      </c>
      <c r="L267" s="177">
        <v>5.3050397877984079E-10</v>
      </c>
      <c r="M267" s="177">
        <v>5.5432372505543243E-10</v>
      </c>
      <c r="N267" s="177">
        <v>5.5432372505543243E-10</v>
      </c>
      <c r="O267" s="177">
        <v>5.5432372505543243E-10</v>
      </c>
      <c r="P267" s="177">
        <v>5.5432372505543243E-10</v>
      </c>
      <c r="Q267" s="177">
        <v>5.5432372505543243E-10</v>
      </c>
      <c r="R267" s="177">
        <v>5.5432372505543243E-10</v>
      </c>
      <c r="S267" s="177">
        <v>5.5432372505543243E-10</v>
      </c>
      <c r="T267" s="177">
        <v>5.5432372505543243E-10</v>
      </c>
      <c r="U267" s="177">
        <v>5.5432372505543243E-10</v>
      </c>
      <c r="V267" s="177">
        <v>5.5432372505543243E-10</v>
      </c>
      <c r="W267" s="177">
        <v>5.5432372505543243E-10</v>
      </c>
      <c r="X267" s="177">
        <v>5.5432372505543243E-10</v>
      </c>
      <c r="Y267" s="177">
        <v>5.5432372505543243E-10</v>
      </c>
      <c r="Z267" s="177">
        <v>5.5432372505543243E-10</v>
      </c>
      <c r="AA267" s="177">
        <v>5.5432372505543243E-10</v>
      </c>
      <c r="AB267" s="177">
        <v>5.5432372505543243E-10</v>
      </c>
      <c r="AC267" s="177">
        <v>5.5432372505543243E-10</v>
      </c>
      <c r="AD267" s="177">
        <v>5.5432372505543243E-10</v>
      </c>
      <c r="AE267" s="177">
        <v>5.5432372505543243E-10</v>
      </c>
      <c r="AF267" s="177">
        <v>5.5432372505543243E-10</v>
      </c>
      <c r="AG267" s="177">
        <v>5.5432372505543243E-10</v>
      </c>
      <c r="AH267" s="177">
        <v>5.5432372505543243E-10</v>
      </c>
      <c r="AI267" s="177">
        <v>5.5432372505543243E-10</v>
      </c>
      <c r="AJ267" s="177">
        <v>5.5432372505543243E-10</v>
      </c>
      <c r="AK267" s="177">
        <v>5.5432372505543243E-10</v>
      </c>
      <c r="AL267" s="177">
        <v>5.5432372505543243E-10</v>
      </c>
      <c r="AM267" s="177">
        <v>5.5432372505543243E-10</v>
      </c>
      <c r="AN267" s="177">
        <v>5.5432372505543243E-10</v>
      </c>
      <c r="AO267" s="177">
        <v>5.5432372505543243E-10</v>
      </c>
      <c r="AP267" s="177">
        <v>5.5432372505543243E-10</v>
      </c>
      <c r="AQ267" s="177">
        <v>5.5432372505543243E-10</v>
      </c>
      <c r="AR267" s="177">
        <v>5.5432372505543243E-10</v>
      </c>
      <c r="AS267" s="197">
        <f>AR267</f>
        <v>5.5432372505543243E-10</v>
      </c>
      <c r="AT267" s="197">
        <f t="shared" ref="AT267:BV267" si="210">AS267</f>
        <v>5.5432372505543243E-10</v>
      </c>
      <c r="AU267" s="197">
        <f t="shared" si="210"/>
        <v>5.5432372505543243E-10</v>
      </c>
      <c r="AV267" s="197">
        <f t="shared" si="210"/>
        <v>5.5432372505543243E-10</v>
      </c>
      <c r="AW267" s="197">
        <f t="shared" si="210"/>
        <v>5.5432372505543243E-10</v>
      </c>
      <c r="AX267" s="197">
        <f t="shared" si="210"/>
        <v>5.5432372505543243E-10</v>
      </c>
      <c r="AY267" s="197">
        <f t="shared" si="210"/>
        <v>5.5432372505543243E-10</v>
      </c>
      <c r="AZ267" s="197">
        <f t="shared" si="210"/>
        <v>5.5432372505543243E-10</v>
      </c>
      <c r="BA267" s="197">
        <f t="shared" si="210"/>
        <v>5.5432372505543243E-10</v>
      </c>
      <c r="BB267" s="197">
        <f t="shared" si="210"/>
        <v>5.5432372505543243E-10</v>
      </c>
      <c r="BC267" s="197">
        <f t="shared" si="210"/>
        <v>5.5432372505543243E-10</v>
      </c>
      <c r="BD267" s="197">
        <f t="shared" si="210"/>
        <v>5.5432372505543243E-10</v>
      </c>
      <c r="BE267" s="197">
        <f t="shared" si="210"/>
        <v>5.5432372505543243E-10</v>
      </c>
      <c r="BF267" s="197">
        <f t="shared" si="210"/>
        <v>5.5432372505543243E-10</v>
      </c>
      <c r="BG267" s="197">
        <f t="shared" si="210"/>
        <v>5.5432372505543243E-10</v>
      </c>
      <c r="BH267" s="197">
        <f t="shared" si="210"/>
        <v>5.5432372505543243E-10</v>
      </c>
      <c r="BI267" s="197">
        <f t="shared" si="210"/>
        <v>5.5432372505543243E-10</v>
      </c>
      <c r="BJ267" s="197">
        <f t="shared" si="210"/>
        <v>5.5432372505543243E-10</v>
      </c>
      <c r="BK267" s="197">
        <f t="shared" si="210"/>
        <v>5.5432372505543243E-10</v>
      </c>
      <c r="BL267" s="197">
        <f t="shared" si="210"/>
        <v>5.5432372505543243E-10</v>
      </c>
      <c r="BM267" s="197">
        <f t="shared" si="210"/>
        <v>5.5432372505543243E-10</v>
      </c>
      <c r="BN267" s="197">
        <f t="shared" si="210"/>
        <v>5.5432372505543243E-10</v>
      </c>
      <c r="BO267" s="197">
        <f t="shared" si="210"/>
        <v>5.5432372505543243E-10</v>
      </c>
      <c r="BP267" s="197">
        <f t="shared" si="210"/>
        <v>5.5432372505543243E-10</v>
      </c>
      <c r="BQ267" s="197">
        <f t="shared" si="210"/>
        <v>5.5432372505543243E-10</v>
      </c>
      <c r="BR267" s="197">
        <f t="shared" si="210"/>
        <v>5.5432372505543243E-10</v>
      </c>
      <c r="BS267" s="197">
        <f t="shared" si="210"/>
        <v>5.5432372505543243E-10</v>
      </c>
      <c r="BT267" s="197">
        <f t="shared" si="210"/>
        <v>5.5432372505543243E-10</v>
      </c>
      <c r="BU267" s="197">
        <f t="shared" si="210"/>
        <v>5.5432372505543243E-10</v>
      </c>
      <c r="BV267" s="197">
        <f t="shared" si="210"/>
        <v>5.5432372505543243E-10</v>
      </c>
    </row>
    <row r="268" spans="1:74" x14ac:dyDescent="0.25">
      <c r="A268" s="147" t="s">
        <v>205</v>
      </c>
      <c r="B268" s="148"/>
      <c r="C268" s="142"/>
      <c r="D268" s="177"/>
      <c r="E268" s="177"/>
      <c r="F268" s="177"/>
      <c r="G268" s="177"/>
      <c r="H268" s="177"/>
      <c r="I268" s="177"/>
      <c r="J268" s="177"/>
      <c r="K268" s="177"/>
      <c r="L268" s="177"/>
      <c r="M268" s="177"/>
      <c r="N268" s="177"/>
      <c r="O268" s="177"/>
      <c r="P268" s="177"/>
      <c r="Q268" s="177"/>
      <c r="R268" s="177"/>
      <c r="S268" s="177"/>
      <c r="T268" s="177"/>
      <c r="U268" s="177"/>
      <c r="V268" s="177"/>
      <c r="W268" s="177"/>
      <c r="X268" s="177"/>
      <c r="Y268" s="177"/>
      <c r="Z268" s="177"/>
      <c r="AA268" s="177"/>
      <c r="AB268" s="177"/>
      <c r="AC268" s="177"/>
      <c r="AD268" s="177"/>
      <c r="AE268" s="177"/>
      <c r="AF268" s="177"/>
      <c r="AG268" s="177"/>
      <c r="AH268" s="177"/>
      <c r="AI268" s="177"/>
      <c r="AJ268" s="177"/>
      <c r="AK268" s="177"/>
      <c r="AL268" s="177"/>
      <c r="AM268" s="177"/>
      <c r="AN268" s="177"/>
      <c r="AO268" s="177"/>
      <c r="AP268" s="177"/>
      <c r="AQ268" s="177"/>
      <c r="AR268" s="177"/>
      <c r="AS268" s="197">
        <f t="shared" ref="AS268:BV268" si="211">AR268</f>
        <v>0</v>
      </c>
      <c r="AT268" s="197">
        <f t="shared" si="211"/>
        <v>0</v>
      </c>
      <c r="AU268" s="197">
        <f t="shared" si="211"/>
        <v>0</v>
      </c>
      <c r="AV268" s="197">
        <f t="shared" si="211"/>
        <v>0</v>
      </c>
      <c r="AW268" s="197">
        <f t="shared" si="211"/>
        <v>0</v>
      </c>
      <c r="AX268" s="197">
        <f t="shared" si="211"/>
        <v>0</v>
      </c>
      <c r="AY268" s="197">
        <f t="shared" si="211"/>
        <v>0</v>
      </c>
      <c r="AZ268" s="197">
        <f t="shared" si="211"/>
        <v>0</v>
      </c>
      <c r="BA268" s="197">
        <f t="shared" si="211"/>
        <v>0</v>
      </c>
      <c r="BB268" s="197">
        <f t="shared" si="211"/>
        <v>0</v>
      </c>
      <c r="BC268" s="197">
        <f t="shared" si="211"/>
        <v>0</v>
      </c>
      <c r="BD268" s="197">
        <f t="shared" si="211"/>
        <v>0</v>
      </c>
      <c r="BE268" s="197">
        <f t="shared" si="211"/>
        <v>0</v>
      </c>
      <c r="BF268" s="197">
        <f t="shared" si="211"/>
        <v>0</v>
      </c>
      <c r="BG268" s="197">
        <f t="shared" si="211"/>
        <v>0</v>
      </c>
      <c r="BH268" s="197">
        <f t="shared" si="211"/>
        <v>0</v>
      </c>
      <c r="BI268" s="197">
        <f t="shared" si="211"/>
        <v>0</v>
      </c>
      <c r="BJ268" s="197">
        <f t="shared" si="211"/>
        <v>0</v>
      </c>
      <c r="BK268" s="197">
        <f t="shared" si="211"/>
        <v>0</v>
      </c>
      <c r="BL268" s="197">
        <f t="shared" si="211"/>
        <v>0</v>
      </c>
      <c r="BM268" s="197">
        <f t="shared" si="211"/>
        <v>0</v>
      </c>
      <c r="BN268" s="197">
        <f t="shared" si="211"/>
        <v>0</v>
      </c>
      <c r="BO268" s="197">
        <f t="shared" si="211"/>
        <v>0</v>
      </c>
      <c r="BP268" s="197">
        <f t="shared" si="211"/>
        <v>0</v>
      </c>
      <c r="BQ268" s="197">
        <f t="shared" si="211"/>
        <v>0</v>
      </c>
      <c r="BR268" s="197">
        <f t="shared" si="211"/>
        <v>0</v>
      </c>
      <c r="BS268" s="197">
        <f t="shared" si="211"/>
        <v>0</v>
      </c>
      <c r="BT268" s="197">
        <f t="shared" si="211"/>
        <v>0</v>
      </c>
      <c r="BU268" s="197">
        <f t="shared" si="211"/>
        <v>0</v>
      </c>
      <c r="BV268" s="197">
        <f t="shared" si="211"/>
        <v>0</v>
      </c>
    </row>
    <row r="269" spans="1:74" x14ac:dyDescent="0.25">
      <c r="A269" s="147" t="s">
        <v>207</v>
      </c>
      <c r="B269" s="148"/>
      <c r="C269" s="142"/>
      <c r="D269" s="177">
        <v>3.9999999999999998E-6</v>
      </c>
      <c r="E269" s="177">
        <v>3.9999999999999998E-6</v>
      </c>
      <c r="F269" s="177">
        <v>3.9999999999999998E-6</v>
      </c>
      <c r="G269" s="177">
        <v>3.9999999999999998E-6</v>
      </c>
      <c r="H269" s="177">
        <v>3.9999999999999998E-6</v>
      </c>
      <c r="I269" s="177">
        <v>3.9999999999999998E-6</v>
      </c>
      <c r="J269" s="177">
        <v>3.9999999999999998E-6</v>
      </c>
      <c r="K269" s="177">
        <v>3.9999999999999998E-6</v>
      </c>
      <c r="L269" s="177">
        <v>3.9999999999999998E-6</v>
      </c>
      <c r="M269" s="177">
        <v>3.9999999999999998E-6</v>
      </c>
      <c r="N269" s="177">
        <v>3.9999999999999998E-6</v>
      </c>
      <c r="O269" s="177">
        <v>3.9999999999999998E-6</v>
      </c>
      <c r="P269" s="177">
        <v>3.9999999999999998E-6</v>
      </c>
      <c r="Q269" s="177">
        <v>3.9999999999999998E-6</v>
      </c>
      <c r="R269" s="177">
        <v>3.9999999999999998E-6</v>
      </c>
      <c r="S269" s="177">
        <v>3.9999999999999998E-6</v>
      </c>
      <c r="T269" s="177">
        <v>3.9999999999999998E-6</v>
      </c>
      <c r="U269" s="177">
        <v>3.9999999999999998E-6</v>
      </c>
      <c r="V269" s="177">
        <v>3.9999999999999998E-6</v>
      </c>
      <c r="W269" s="177">
        <v>3.9999999999999998E-6</v>
      </c>
      <c r="X269" s="177">
        <v>3.9999999999999998E-6</v>
      </c>
      <c r="Y269" s="177">
        <v>3.9999999999999998E-6</v>
      </c>
      <c r="Z269" s="177">
        <v>3.9999999999999998E-6</v>
      </c>
      <c r="AA269" s="177">
        <v>3.9999999999999998E-6</v>
      </c>
      <c r="AB269" s="177">
        <v>3.9999999999999998E-6</v>
      </c>
      <c r="AC269" s="177">
        <v>3.9999999999999998E-6</v>
      </c>
      <c r="AD269" s="177">
        <v>3.9999999999999998E-6</v>
      </c>
      <c r="AE269" s="177">
        <v>3.9999999999999998E-6</v>
      </c>
      <c r="AF269" s="177">
        <v>3.9999999999999998E-6</v>
      </c>
      <c r="AG269" s="177">
        <v>3.9999999999999998E-6</v>
      </c>
      <c r="AH269" s="177">
        <v>3.9999999999999998E-6</v>
      </c>
      <c r="AI269" s="177">
        <v>3.9999999999999998E-6</v>
      </c>
      <c r="AJ269" s="177">
        <v>3.9999999999999998E-6</v>
      </c>
      <c r="AK269" s="177">
        <v>3.9999999999999998E-6</v>
      </c>
      <c r="AL269" s="177">
        <v>3.9999999999999998E-6</v>
      </c>
      <c r="AM269" s="177">
        <v>3.9999999999999998E-6</v>
      </c>
      <c r="AN269" s="177">
        <v>3.9999999999999998E-6</v>
      </c>
      <c r="AO269" s="177">
        <v>3.9999999999999998E-6</v>
      </c>
      <c r="AP269" s="177">
        <v>3.9999999999999998E-6</v>
      </c>
      <c r="AQ269" s="177">
        <v>3.9999999999999998E-6</v>
      </c>
      <c r="AR269" s="177">
        <v>3.9999999999999998E-6</v>
      </c>
      <c r="AS269" s="197">
        <f>AR269</f>
        <v>3.9999999999999998E-6</v>
      </c>
      <c r="AT269" s="197">
        <f t="shared" ref="AT269:BV269" si="212">AS269</f>
        <v>3.9999999999999998E-6</v>
      </c>
      <c r="AU269" s="197">
        <f t="shared" si="212"/>
        <v>3.9999999999999998E-6</v>
      </c>
      <c r="AV269" s="197">
        <f t="shared" si="212"/>
        <v>3.9999999999999998E-6</v>
      </c>
      <c r="AW269" s="197">
        <f t="shared" si="212"/>
        <v>3.9999999999999998E-6</v>
      </c>
      <c r="AX269" s="197">
        <f t="shared" si="212"/>
        <v>3.9999999999999998E-6</v>
      </c>
      <c r="AY269" s="197">
        <f t="shared" si="212"/>
        <v>3.9999999999999998E-6</v>
      </c>
      <c r="AZ269" s="197">
        <f t="shared" si="212"/>
        <v>3.9999999999999998E-6</v>
      </c>
      <c r="BA269" s="197">
        <f t="shared" si="212"/>
        <v>3.9999999999999998E-6</v>
      </c>
      <c r="BB269" s="197">
        <f t="shared" si="212"/>
        <v>3.9999999999999998E-6</v>
      </c>
      <c r="BC269" s="197">
        <f t="shared" si="212"/>
        <v>3.9999999999999998E-6</v>
      </c>
      <c r="BD269" s="197">
        <f t="shared" si="212"/>
        <v>3.9999999999999998E-6</v>
      </c>
      <c r="BE269" s="197">
        <f t="shared" si="212"/>
        <v>3.9999999999999998E-6</v>
      </c>
      <c r="BF269" s="197">
        <f t="shared" si="212"/>
        <v>3.9999999999999998E-6</v>
      </c>
      <c r="BG269" s="197">
        <f t="shared" si="212"/>
        <v>3.9999999999999998E-6</v>
      </c>
      <c r="BH269" s="197">
        <f t="shared" si="212"/>
        <v>3.9999999999999998E-6</v>
      </c>
      <c r="BI269" s="197">
        <f t="shared" si="212"/>
        <v>3.9999999999999998E-6</v>
      </c>
      <c r="BJ269" s="197">
        <f t="shared" si="212"/>
        <v>3.9999999999999998E-6</v>
      </c>
      <c r="BK269" s="197">
        <f t="shared" si="212"/>
        <v>3.9999999999999998E-6</v>
      </c>
      <c r="BL269" s="197">
        <f t="shared" si="212"/>
        <v>3.9999999999999998E-6</v>
      </c>
      <c r="BM269" s="197">
        <f t="shared" si="212"/>
        <v>3.9999999999999998E-6</v>
      </c>
      <c r="BN269" s="197">
        <f t="shared" si="212"/>
        <v>3.9999999999999998E-6</v>
      </c>
      <c r="BO269" s="197">
        <f t="shared" si="212"/>
        <v>3.9999999999999998E-6</v>
      </c>
      <c r="BP269" s="197">
        <f t="shared" si="212"/>
        <v>3.9999999999999998E-6</v>
      </c>
      <c r="BQ269" s="197">
        <f t="shared" si="212"/>
        <v>3.9999999999999998E-6</v>
      </c>
      <c r="BR269" s="197">
        <f t="shared" si="212"/>
        <v>3.9999999999999998E-6</v>
      </c>
      <c r="BS269" s="197">
        <f t="shared" si="212"/>
        <v>3.9999999999999998E-6</v>
      </c>
      <c r="BT269" s="197">
        <f t="shared" si="212"/>
        <v>3.9999999999999998E-6</v>
      </c>
      <c r="BU269" s="197">
        <f t="shared" si="212"/>
        <v>3.9999999999999998E-6</v>
      </c>
      <c r="BV269" s="197">
        <f t="shared" si="212"/>
        <v>3.9999999999999998E-6</v>
      </c>
    </row>
    <row r="270" spans="1:74" x14ac:dyDescent="0.25">
      <c r="A270" s="147" t="s">
        <v>15</v>
      </c>
      <c r="C270" s="142"/>
      <c r="D270" s="177">
        <v>5.7306590257879659E-6</v>
      </c>
      <c r="E270" s="177">
        <v>5.7306590257879659E-6</v>
      </c>
      <c r="F270" s="177">
        <v>5.7306590257879659E-6</v>
      </c>
      <c r="G270" s="177">
        <v>5.7306590257879659E-6</v>
      </c>
      <c r="H270" s="177">
        <v>5.7306590257879659E-6</v>
      </c>
      <c r="I270" s="177">
        <v>5.7306590257879659E-6</v>
      </c>
      <c r="J270" s="177">
        <v>5.7306590257879659E-6</v>
      </c>
      <c r="K270" s="177">
        <v>5.7306590257879659E-6</v>
      </c>
      <c r="L270" s="177">
        <v>5.7306590257879659E-6</v>
      </c>
      <c r="M270" s="177">
        <v>5.7306590257879659E-6</v>
      </c>
      <c r="N270" s="177">
        <v>5.7306590257879659E-6</v>
      </c>
      <c r="O270" s="177">
        <v>5.7306590257879659E-6</v>
      </c>
      <c r="P270" s="177">
        <v>5.7306590257879659E-6</v>
      </c>
      <c r="Q270" s="177">
        <v>5.7306590257879659E-6</v>
      </c>
      <c r="R270" s="177">
        <v>5.7306590257879659E-6</v>
      </c>
      <c r="S270" s="177">
        <v>5.7306589714246697E-6</v>
      </c>
      <c r="T270" s="177">
        <v>5.7306589164319611E-6</v>
      </c>
      <c r="U270" s="177">
        <v>5.7306591163029493E-6</v>
      </c>
      <c r="V270" s="177">
        <v>5.7306591774922232E-6</v>
      </c>
      <c r="W270" s="177">
        <v>5.730659160170241E-6</v>
      </c>
      <c r="X270" s="177">
        <v>5.7306591209340461E-6</v>
      </c>
      <c r="Y270" s="177">
        <v>5.7306590576672926E-6</v>
      </c>
      <c r="Z270" s="177">
        <v>5.7306588283822391E-6</v>
      </c>
      <c r="AA270" s="177">
        <v>5.7306588950589185E-6</v>
      </c>
      <c r="AB270" s="177">
        <v>5.7306591221228551E-6</v>
      </c>
      <c r="AC270" s="177">
        <v>5.7306590565671569E-6</v>
      </c>
      <c r="AD270" s="177">
        <v>5.7306591950783077E-6</v>
      </c>
      <c r="AE270" s="177">
        <v>5.7306590257879659E-6</v>
      </c>
      <c r="AF270" s="177">
        <v>5.7306590257879659E-6</v>
      </c>
      <c r="AG270" s="177">
        <v>5.7306590257879659E-6</v>
      </c>
      <c r="AH270" s="177">
        <v>5.7306590257879659E-6</v>
      </c>
      <c r="AI270" s="177">
        <v>5.7306590257879659E-6</v>
      </c>
      <c r="AJ270" s="177">
        <v>5.7306590257879659E-6</v>
      </c>
      <c r="AK270" s="177">
        <v>5.7306590257879659E-6</v>
      </c>
      <c r="AL270" s="177">
        <v>5.7306590257879659E-6</v>
      </c>
      <c r="AM270" s="177">
        <v>5.7306590257879659E-6</v>
      </c>
      <c r="AN270" s="177">
        <v>5.7306590257879659E-6</v>
      </c>
      <c r="AO270" s="177">
        <v>5.7306590257879659E-6</v>
      </c>
      <c r="AP270" s="177">
        <v>5.7306590257879659E-6</v>
      </c>
      <c r="AQ270" s="177">
        <v>5.7306590257879659E-6</v>
      </c>
      <c r="AR270" s="177">
        <v>5.7306590257879659E-6</v>
      </c>
      <c r="AS270" s="197">
        <f>AR270</f>
        <v>5.7306590257879659E-6</v>
      </c>
      <c r="AT270" s="197">
        <f t="shared" ref="AT270:BV270" si="213">AS270</f>
        <v>5.7306590257879659E-6</v>
      </c>
      <c r="AU270" s="197">
        <f t="shared" si="213"/>
        <v>5.7306590257879659E-6</v>
      </c>
      <c r="AV270" s="197">
        <f t="shared" si="213"/>
        <v>5.7306590257879659E-6</v>
      </c>
      <c r="AW270" s="197">
        <f t="shared" si="213"/>
        <v>5.7306590257879659E-6</v>
      </c>
      <c r="AX270" s="197">
        <f t="shared" si="213"/>
        <v>5.7306590257879659E-6</v>
      </c>
      <c r="AY270" s="197">
        <f t="shared" si="213"/>
        <v>5.7306590257879659E-6</v>
      </c>
      <c r="AZ270" s="197">
        <f t="shared" si="213"/>
        <v>5.7306590257879659E-6</v>
      </c>
      <c r="BA270" s="197">
        <f t="shared" si="213"/>
        <v>5.7306590257879659E-6</v>
      </c>
      <c r="BB270" s="197">
        <f t="shared" si="213"/>
        <v>5.7306590257879659E-6</v>
      </c>
      <c r="BC270" s="197">
        <f t="shared" si="213"/>
        <v>5.7306590257879659E-6</v>
      </c>
      <c r="BD270" s="197">
        <f t="shared" si="213"/>
        <v>5.7306590257879659E-6</v>
      </c>
      <c r="BE270" s="197">
        <f t="shared" si="213"/>
        <v>5.7306590257879659E-6</v>
      </c>
      <c r="BF270" s="197">
        <f t="shared" si="213"/>
        <v>5.7306590257879659E-6</v>
      </c>
      <c r="BG270" s="197">
        <f t="shared" si="213"/>
        <v>5.7306590257879659E-6</v>
      </c>
      <c r="BH270" s="197">
        <f t="shared" si="213"/>
        <v>5.7306590257879659E-6</v>
      </c>
      <c r="BI270" s="197">
        <f t="shared" si="213"/>
        <v>5.7306590257879659E-6</v>
      </c>
      <c r="BJ270" s="197">
        <f t="shared" si="213"/>
        <v>5.7306590257879659E-6</v>
      </c>
      <c r="BK270" s="197">
        <f t="shared" si="213"/>
        <v>5.7306590257879659E-6</v>
      </c>
      <c r="BL270" s="197">
        <f t="shared" si="213"/>
        <v>5.7306590257879659E-6</v>
      </c>
      <c r="BM270" s="197">
        <f t="shared" si="213"/>
        <v>5.7306590257879659E-6</v>
      </c>
      <c r="BN270" s="197">
        <f t="shared" si="213"/>
        <v>5.7306590257879659E-6</v>
      </c>
      <c r="BO270" s="197">
        <f t="shared" si="213"/>
        <v>5.7306590257879659E-6</v>
      </c>
      <c r="BP270" s="197">
        <f t="shared" si="213"/>
        <v>5.7306590257879659E-6</v>
      </c>
      <c r="BQ270" s="197">
        <f t="shared" si="213"/>
        <v>5.7306590257879659E-6</v>
      </c>
      <c r="BR270" s="197">
        <f t="shared" si="213"/>
        <v>5.7306590257879659E-6</v>
      </c>
      <c r="BS270" s="197">
        <f t="shared" si="213"/>
        <v>5.7306590257879659E-6</v>
      </c>
      <c r="BT270" s="197">
        <f t="shared" si="213"/>
        <v>5.7306590257879659E-6</v>
      </c>
      <c r="BU270" s="197">
        <f t="shared" si="213"/>
        <v>5.7306590257879659E-6</v>
      </c>
      <c r="BV270" s="197">
        <f t="shared" si="213"/>
        <v>5.7306590257879659E-6</v>
      </c>
    </row>
    <row r="271" spans="1:74" x14ac:dyDescent="0.25">
      <c r="A271" s="147"/>
      <c r="C271" s="142"/>
      <c r="D271" s="157"/>
      <c r="E271" s="157"/>
      <c r="F271" s="157"/>
      <c r="G271" s="157"/>
      <c r="H271" s="157"/>
      <c r="I271" s="157"/>
      <c r="J271" s="157"/>
      <c r="K271" s="157"/>
      <c r="L271" s="157"/>
      <c r="M271" s="157"/>
      <c r="N271" s="157"/>
      <c r="O271" s="157"/>
      <c r="P271" s="157"/>
      <c r="Q271" s="157"/>
      <c r="R271" s="157"/>
      <c r="S271" s="157"/>
      <c r="T271" s="157"/>
      <c r="U271" s="157"/>
      <c r="V271" s="157"/>
      <c r="W271" s="157"/>
      <c r="X271" s="157"/>
      <c r="Y271" s="157"/>
      <c r="Z271" s="157"/>
      <c r="AA271" s="157"/>
      <c r="AB271" s="157"/>
      <c r="AC271" s="157"/>
      <c r="AD271" s="157"/>
      <c r="AE271" s="157"/>
      <c r="AF271" s="157"/>
      <c r="AG271" s="157"/>
      <c r="AH271" s="157"/>
      <c r="AI271" s="157"/>
      <c r="AJ271" s="157"/>
      <c r="AK271" s="157"/>
      <c r="AL271" s="157"/>
      <c r="AM271" s="157"/>
      <c r="AN271" s="157"/>
      <c r="AO271" s="157"/>
      <c r="AP271" s="157"/>
      <c r="AQ271" s="157"/>
      <c r="AR271" s="157"/>
      <c r="AS271" s="157"/>
    </row>
    <row r="272" spans="1:74" x14ac:dyDescent="0.25">
      <c r="A272" s="147"/>
      <c r="C272" s="142"/>
      <c r="D272" s="157"/>
      <c r="E272" s="157"/>
      <c r="F272" s="157"/>
      <c r="G272" s="157"/>
      <c r="H272" s="157"/>
      <c r="I272" s="157"/>
      <c r="J272" s="157"/>
      <c r="K272" s="157"/>
      <c r="L272" s="157"/>
      <c r="M272" s="157"/>
      <c r="N272" s="157"/>
      <c r="O272" s="157"/>
      <c r="P272" s="157"/>
      <c r="Q272" s="157"/>
      <c r="R272" s="157"/>
      <c r="S272" s="157"/>
      <c r="T272" s="157"/>
      <c r="U272" s="157"/>
      <c r="V272" s="157"/>
      <c r="W272" s="157"/>
      <c r="X272" s="157"/>
      <c r="Y272" s="157"/>
      <c r="Z272" s="157"/>
      <c r="AA272" s="157"/>
      <c r="AB272" s="157"/>
      <c r="AC272" s="157"/>
      <c r="AD272" s="157"/>
      <c r="AE272" s="157"/>
      <c r="AF272" s="157"/>
      <c r="AG272" s="157"/>
      <c r="AH272" s="157"/>
      <c r="AI272" s="157"/>
      <c r="AJ272" s="157"/>
      <c r="AK272" s="157"/>
      <c r="AL272" s="157"/>
      <c r="AM272" s="157"/>
      <c r="AN272" s="157"/>
      <c r="AO272" s="157"/>
      <c r="AP272" s="157"/>
      <c r="AQ272" s="157"/>
      <c r="AR272" s="157"/>
      <c r="AS272" s="157"/>
    </row>
    <row r="273" spans="1:74" s="187" customFormat="1" x14ac:dyDescent="0.25">
      <c r="A273" s="185" t="s">
        <v>245</v>
      </c>
      <c r="B273" s="186"/>
      <c r="I273" s="186"/>
      <c r="J273" s="186"/>
      <c r="K273" s="186"/>
      <c r="L273" s="186"/>
      <c r="M273" s="186"/>
      <c r="N273" s="186"/>
      <c r="O273" s="186"/>
      <c r="P273" s="186"/>
      <c r="Q273" s="186"/>
      <c r="R273" s="186"/>
      <c r="S273" s="186"/>
      <c r="T273" s="186"/>
      <c r="U273" s="186"/>
      <c r="V273" s="186"/>
      <c r="W273" s="186"/>
      <c r="X273" s="186"/>
      <c r="Y273" s="186"/>
      <c r="Z273" s="186"/>
      <c r="AA273" s="186"/>
      <c r="AB273" s="186"/>
      <c r="AC273" s="186"/>
      <c r="AD273" s="186"/>
      <c r="AE273" s="186"/>
      <c r="AF273" s="186"/>
      <c r="AG273" s="186"/>
      <c r="AH273" s="186"/>
      <c r="AI273" s="186"/>
      <c r="AJ273" s="186"/>
      <c r="AK273" s="186"/>
      <c r="AL273" s="186"/>
      <c r="AM273" s="186"/>
      <c r="AN273" s="186"/>
      <c r="AO273" s="186"/>
      <c r="AP273" s="186"/>
      <c r="AQ273" s="186"/>
      <c r="AR273" s="186"/>
      <c r="AS273" s="186"/>
    </row>
    <row r="274" spans="1:74" s="187" customFormat="1" x14ac:dyDescent="0.25">
      <c r="A274" s="185"/>
      <c r="B274" s="185" t="s">
        <v>250</v>
      </c>
      <c r="I274" s="186"/>
      <c r="J274" s="186"/>
      <c r="K274" s="186"/>
      <c r="L274" s="186"/>
      <c r="M274" s="186"/>
      <c r="N274" s="186"/>
      <c r="O274" s="186"/>
      <c r="P274" s="186"/>
      <c r="Q274" s="186"/>
      <c r="R274" s="186"/>
      <c r="S274" s="186"/>
      <c r="T274" s="186"/>
      <c r="U274" s="186"/>
      <c r="V274" s="186"/>
      <c r="W274" s="186"/>
      <c r="X274" s="186"/>
      <c r="Y274" s="186"/>
      <c r="Z274" s="186"/>
      <c r="AA274" s="186"/>
      <c r="AB274" s="186"/>
      <c r="AC274" s="186"/>
      <c r="AD274" s="186"/>
      <c r="AE274" s="186"/>
      <c r="AF274" s="186"/>
      <c r="AG274" s="186"/>
      <c r="AH274" s="186"/>
      <c r="AI274" s="186"/>
      <c r="AJ274" s="186"/>
      <c r="AK274" s="186"/>
      <c r="AL274" s="186"/>
      <c r="AM274" s="186"/>
      <c r="AN274" s="186"/>
      <c r="AO274" s="186"/>
      <c r="AP274" s="186"/>
      <c r="AQ274" s="186"/>
      <c r="AR274" s="186"/>
      <c r="AS274" s="186"/>
    </row>
    <row r="275" spans="1:74" x14ac:dyDescent="0.25">
      <c r="A275" s="147" t="s">
        <v>178</v>
      </c>
      <c r="C275" s="142"/>
      <c r="D275" s="177">
        <f>D211*D$47</f>
        <v>1.8374432607688746E-3</v>
      </c>
      <c r="E275" s="177">
        <f t="shared" ref="E275:AR275" si="214">E211*E$47</f>
        <v>1.8374432607688746E-3</v>
      </c>
      <c r="F275" s="177">
        <f t="shared" si="214"/>
        <v>1.8374432607688746E-3</v>
      </c>
      <c r="G275" s="177">
        <f t="shared" si="214"/>
        <v>1.8374432607688746E-3</v>
      </c>
      <c r="H275" s="177">
        <f t="shared" si="214"/>
        <v>1.8374432607688746E-3</v>
      </c>
      <c r="I275" s="177">
        <f t="shared" si="214"/>
        <v>1.8374432607688746E-3</v>
      </c>
      <c r="J275" s="177">
        <f t="shared" si="214"/>
        <v>1.8372468827930176E-3</v>
      </c>
      <c r="K275" s="177">
        <f t="shared" si="214"/>
        <v>1.8377360486643744E-3</v>
      </c>
      <c r="L275" s="177">
        <f t="shared" si="214"/>
        <v>1.8370851010731225E-3</v>
      </c>
      <c r="M275" s="177">
        <f t="shared" si="214"/>
        <v>1.8382839116719242E-3</v>
      </c>
      <c r="N275" s="177">
        <f t="shared" si="214"/>
        <v>1.8374770039421816E-3</v>
      </c>
      <c r="O275" s="177">
        <f t="shared" si="214"/>
        <v>1.8375824785140005E-3</v>
      </c>
      <c r="P275" s="177">
        <f t="shared" si="214"/>
        <v>1.83787835110983E-3</v>
      </c>
      <c r="Q275" s="177">
        <f t="shared" si="214"/>
        <v>1.8375330396475775E-3</v>
      </c>
      <c r="R275" s="177">
        <f t="shared" si="214"/>
        <v>1.8379633401221997E-3</v>
      </c>
      <c r="S275" s="177">
        <f t="shared" si="214"/>
        <v>1.8384010840108399E-3</v>
      </c>
      <c r="T275" s="177">
        <f t="shared" si="214"/>
        <v>1.8375945945945946E-3</v>
      </c>
      <c r="U275" s="177">
        <f t="shared" si="214"/>
        <v>1.8376134889753568E-3</v>
      </c>
      <c r="V275" s="177">
        <f t="shared" si="214"/>
        <v>1.837767441860465E-3</v>
      </c>
      <c r="W275" s="177">
        <f t="shared" si="214"/>
        <v>1.838290718038529E-3</v>
      </c>
      <c r="X275" s="177">
        <f t="shared" si="214"/>
        <v>1.8379487179487181E-3</v>
      </c>
      <c r="Y275" s="177">
        <f t="shared" si="214"/>
        <v>1.8380645161290322E-3</v>
      </c>
      <c r="Z275" s="177">
        <f t="shared" si="214"/>
        <v>1.8368099246787769E-3</v>
      </c>
      <c r="AA275" s="177">
        <f t="shared" si="214"/>
        <v>1.8383087512291053E-3</v>
      </c>
      <c r="AB275" s="177">
        <f t="shared" si="214"/>
        <v>1.8382422074603988E-3</v>
      </c>
      <c r="AC275" s="177">
        <f t="shared" si="214"/>
        <v>1.8378204555605181E-3</v>
      </c>
      <c r="AD275" s="177">
        <f t="shared" si="214"/>
        <v>1.838129060199221E-3</v>
      </c>
      <c r="AE275" s="177">
        <f t="shared" si="214"/>
        <v>1.8375228957697341E-3</v>
      </c>
      <c r="AF275" s="177">
        <f t="shared" si="214"/>
        <v>1.8375228957697341E-3</v>
      </c>
      <c r="AG275" s="177">
        <f t="shared" si="214"/>
        <v>1.8375228957697341E-3</v>
      </c>
      <c r="AH275" s="177">
        <f t="shared" si="214"/>
        <v>1.8375228957697341E-3</v>
      </c>
      <c r="AI275" s="177">
        <f t="shared" si="214"/>
        <v>1.8375228957697341E-3</v>
      </c>
      <c r="AJ275" s="177">
        <f t="shared" si="214"/>
        <v>1.8375228957697341E-3</v>
      </c>
      <c r="AK275" s="177">
        <f t="shared" si="214"/>
        <v>1.8375228957697341E-3</v>
      </c>
      <c r="AL275" s="177">
        <f t="shared" si="214"/>
        <v>1.8375228957697341E-3</v>
      </c>
      <c r="AM275" s="177">
        <f t="shared" si="214"/>
        <v>1.8375228957697341E-3</v>
      </c>
      <c r="AN275" s="177">
        <f t="shared" si="214"/>
        <v>1.8375228957697341E-3</v>
      </c>
      <c r="AO275" s="177">
        <f t="shared" si="214"/>
        <v>1.8375228957697341E-3</v>
      </c>
      <c r="AP275" s="177">
        <f t="shared" si="214"/>
        <v>1.8375228957697341E-3</v>
      </c>
      <c r="AQ275" s="177">
        <f t="shared" si="214"/>
        <v>1.8375228957697341E-3</v>
      </c>
      <c r="AR275" s="177">
        <f t="shared" si="214"/>
        <v>1.8375228957697341E-3</v>
      </c>
      <c r="AS275" s="196">
        <f t="shared" ref="AS275:BV275" si="215">AR275</f>
        <v>1.8375228957697341E-3</v>
      </c>
      <c r="AT275" s="196">
        <f t="shared" si="215"/>
        <v>1.8375228957697341E-3</v>
      </c>
      <c r="AU275" s="196">
        <f t="shared" si="215"/>
        <v>1.8375228957697341E-3</v>
      </c>
      <c r="AV275" s="196">
        <f t="shared" si="215"/>
        <v>1.8375228957697341E-3</v>
      </c>
      <c r="AW275" s="196">
        <f t="shared" si="215"/>
        <v>1.8375228957697341E-3</v>
      </c>
      <c r="AX275" s="196">
        <f t="shared" si="215"/>
        <v>1.8375228957697341E-3</v>
      </c>
      <c r="AY275" s="196">
        <f t="shared" si="215"/>
        <v>1.8375228957697341E-3</v>
      </c>
      <c r="AZ275" s="196">
        <f t="shared" si="215"/>
        <v>1.8375228957697341E-3</v>
      </c>
      <c r="BA275" s="196">
        <f t="shared" si="215"/>
        <v>1.8375228957697341E-3</v>
      </c>
      <c r="BB275" s="196">
        <f t="shared" si="215"/>
        <v>1.8375228957697341E-3</v>
      </c>
      <c r="BC275" s="196">
        <f t="shared" si="215"/>
        <v>1.8375228957697341E-3</v>
      </c>
      <c r="BD275" s="196">
        <f t="shared" si="215"/>
        <v>1.8375228957697341E-3</v>
      </c>
      <c r="BE275" s="196">
        <f t="shared" si="215"/>
        <v>1.8375228957697341E-3</v>
      </c>
      <c r="BF275" s="196">
        <f t="shared" si="215"/>
        <v>1.8375228957697341E-3</v>
      </c>
      <c r="BG275" s="196">
        <f t="shared" si="215"/>
        <v>1.8375228957697341E-3</v>
      </c>
      <c r="BH275" s="196">
        <f t="shared" si="215"/>
        <v>1.8375228957697341E-3</v>
      </c>
      <c r="BI275" s="196">
        <f t="shared" si="215"/>
        <v>1.8375228957697341E-3</v>
      </c>
      <c r="BJ275" s="196">
        <f t="shared" si="215"/>
        <v>1.8375228957697341E-3</v>
      </c>
      <c r="BK275" s="196">
        <f t="shared" si="215"/>
        <v>1.8375228957697341E-3</v>
      </c>
      <c r="BL275" s="196">
        <f t="shared" si="215"/>
        <v>1.8375228957697341E-3</v>
      </c>
      <c r="BM275" s="196">
        <f t="shared" si="215"/>
        <v>1.8375228957697341E-3</v>
      </c>
      <c r="BN275" s="196">
        <f t="shared" si="215"/>
        <v>1.8375228957697341E-3</v>
      </c>
      <c r="BO275" s="196">
        <f t="shared" si="215"/>
        <v>1.8375228957697341E-3</v>
      </c>
      <c r="BP275" s="196">
        <f t="shared" si="215"/>
        <v>1.8375228957697341E-3</v>
      </c>
      <c r="BQ275" s="196">
        <f t="shared" si="215"/>
        <v>1.8375228957697341E-3</v>
      </c>
      <c r="BR275" s="196">
        <f t="shared" si="215"/>
        <v>1.8375228957697341E-3</v>
      </c>
      <c r="BS275" s="196">
        <f t="shared" si="215"/>
        <v>1.8375228957697341E-3</v>
      </c>
      <c r="BT275" s="196">
        <f t="shared" si="215"/>
        <v>1.8375228957697341E-3</v>
      </c>
      <c r="BU275" s="196">
        <f t="shared" si="215"/>
        <v>1.8375228957697341E-3</v>
      </c>
      <c r="BV275" s="196">
        <f t="shared" si="215"/>
        <v>1.8375228957697341E-3</v>
      </c>
    </row>
    <row r="276" spans="1:74" x14ac:dyDescent="0.25">
      <c r="A276" s="147" t="s">
        <v>180</v>
      </c>
      <c r="C276" s="142"/>
      <c r="D276" s="177">
        <f t="shared" ref="D276:AR276" si="216">D212*D$47</f>
        <v>2.2326043446690723E-5</v>
      </c>
      <c r="E276" s="177">
        <f t="shared" si="216"/>
        <v>2.2326043446690723E-5</v>
      </c>
      <c r="F276" s="177">
        <f t="shared" si="216"/>
        <v>2.2326043446690723E-5</v>
      </c>
      <c r="G276" s="177">
        <f t="shared" si="216"/>
        <v>2.2326043446690723E-5</v>
      </c>
      <c r="H276" s="177">
        <f t="shared" si="216"/>
        <v>2.2326043446690723E-5</v>
      </c>
      <c r="I276" s="177">
        <f t="shared" si="216"/>
        <v>2.2326043446690723E-5</v>
      </c>
      <c r="J276" s="177">
        <f t="shared" si="216"/>
        <v>2.2326098907781751E-5</v>
      </c>
      <c r="K276" s="177">
        <f t="shared" si="216"/>
        <v>2.2326054515287984E-5</v>
      </c>
      <c r="L276" s="177">
        <f t="shared" si="216"/>
        <v>2.2326065528380247E-5</v>
      </c>
      <c r="M276" s="177">
        <f t="shared" si="216"/>
        <v>2.2326228323699424E-5</v>
      </c>
      <c r="N276" s="177">
        <f t="shared" si="216"/>
        <v>2.232614987572422E-5</v>
      </c>
      <c r="O276" s="177">
        <f t="shared" si="216"/>
        <v>2.2326086428685893E-5</v>
      </c>
      <c r="P276" s="177">
        <f t="shared" si="216"/>
        <v>2.1711200947436848E-5</v>
      </c>
      <c r="Q276" s="177">
        <f t="shared" si="216"/>
        <v>2.1711190913871449E-5</v>
      </c>
      <c r="R276" s="177">
        <f t="shared" si="216"/>
        <v>2.1711240740433853E-5</v>
      </c>
      <c r="S276" s="177">
        <f t="shared" si="216"/>
        <v>2.1711122776776622E-5</v>
      </c>
      <c r="T276" s="177">
        <f t="shared" si="216"/>
        <v>2.1711195489586927E-5</v>
      </c>
      <c r="U276" s="177">
        <f t="shared" si="216"/>
        <v>2.1711138364435973E-5</v>
      </c>
      <c r="V276" s="177">
        <f t="shared" si="216"/>
        <v>2.1711206473557716E-5</v>
      </c>
      <c r="W276" s="177">
        <f t="shared" si="216"/>
        <v>2.1711190314292624E-5</v>
      </c>
      <c r="X276" s="177">
        <f t="shared" si="216"/>
        <v>2.1711126927639381E-5</v>
      </c>
      <c r="Y276" s="177">
        <f t="shared" si="216"/>
        <v>2.1711091303364506E-5</v>
      </c>
      <c r="Z276" s="177">
        <f t="shared" si="216"/>
        <v>2.1711265637586098E-5</v>
      </c>
      <c r="AA276" s="177">
        <f t="shared" si="216"/>
        <v>2.1711136402435556E-5</v>
      </c>
      <c r="AB276" s="177">
        <f t="shared" si="216"/>
        <v>2.1711182904699815E-5</v>
      </c>
      <c r="AC276" s="177">
        <f t="shared" si="216"/>
        <v>2.1711130566827362E-5</v>
      </c>
      <c r="AD276" s="177">
        <f t="shared" si="216"/>
        <v>2.1711123576358316E-5</v>
      </c>
      <c r="AE276" s="177">
        <f t="shared" si="216"/>
        <v>2.1711164860021941E-5</v>
      </c>
      <c r="AF276" s="177">
        <f t="shared" si="216"/>
        <v>2.1711164860021941E-5</v>
      </c>
      <c r="AG276" s="177">
        <f t="shared" si="216"/>
        <v>2.1711164860021941E-5</v>
      </c>
      <c r="AH276" s="177">
        <f t="shared" si="216"/>
        <v>2.1711164860021941E-5</v>
      </c>
      <c r="AI276" s="177">
        <f t="shared" si="216"/>
        <v>2.1711164860021941E-5</v>
      </c>
      <c r="AJ276" s="177">
        <f t="shared" si="216"/>
        <v>2.1711164860021941E-5</v>
      </c>
      <c r="AK276" s="177">
        <f t="shared" si="216"/>
        <v>2.1711164860021941E-5</v>
      </c>
      <c r="AL276" s="177">
        <f t="shared" si="216"/>
        <v>2.1711164860021941E-5</v>
      </c>
      <c r="AM276" s="177">
        <f t="shared" si="216"/>
        <v>2.1711164860021941E-5</v>
      </c>
      <c r="AN276" s="177">
        <f t="shared" si="216"/>
        <v>2.1711164860021941E-5</v>
      </c>
      <c r="AO276" s="177">
        <f t="shared" si="216"/>
        <v>2.1711164860021941E-5</v>
      </c>
      <c r="AP276" s="177">
        <f t="shared" si="216"/>
        <v>2.1711164860021941E-5</v>
      </c>
      <c r="AQ276" s="177">
        <f t="shared" si="216"/>
        <v>2.1711164860021941E-5</v>
      </c>
      <c r="AR276" s="177">
        <f t="shared" si="216"/>
        <v>2.1711164860021941E-5</v>
      </c>
      <c r="AS276" s="196">
        <f t="shared" ref="AS276:BV276" si="217">AR276</f>
        <v>2.1711164860021941E-5</v>
      </c>
      <c r="AT276" s="196">
        <f t="shared" si="217"/>
        <v>2.1711164860021941E-5</v>
      </c>
      <c r="AU276" s="196">
        <f t="shared" si="217"/>
        <v>2.1711164860021941E-5</v>
      </c>
      <c r="AV276" s="196">
        <f t="shared" si="217"/>
        <v>2.1711164860021941E-5</v>
      </c>
      <c r="AW276" s="196">
        <f t="shared" si="217"/>
        <v>2.1711164860021941E-5</v>
      </c>
      <c r="AX276" s="196">
        <f t="shared" si="217"/>
        <v>2.1711164860021941E-5</v>
      </c>
      <c r="AY276" s="196">
        <f t="shared" si="217"/>
        <v>2.1711164860021941E-5</v>
      </c>
      <c r="AZ276" s="196">
        <f t="shared" si="217"/>
        <v>2.1711164860021941E-5</v>
      </c>
      <c r="BA276" s="196">
        <f t="shared" si="217"/>
        <v>2.1711164860021941E-5</v>
      </c>
      <c r="BB276" s="196">
        <f t="shared" si="217"/>
        <v>2.1711164860021941E-5</v>
      </c>
      <c r="BC276" s="196">
        <f t="shared" si="217"/>
        <v>2.1711164860021941E-5</v>
      </c>
      <c r="BD276" s="196">
        <f t="shared" si="217"/>
        <v>2.1711164860021941E-5</v>
      </c>
      <c r="BE276" s="196">
        <f t="shared" si="217"/>
        <v>2.1711164860021941E-5</v>
      </c>
      <c r="BF276" s="196">
        <f t="shared" si="217"/>
        <v>2.1711164860021941E-5</v>
      </c>
      <c r="BG276" s="196">
        <f t="shared" si="217"/>
        <v>2.1711164860021941E-5</v>
      </c>
      <c r="BH276" s="196">
        <f t="shared" si="217"/>
        <v>2.1711164860021941E-5</v>
      </c>
      <c r="BI276" s="196">
        <f t="shared" si="217"/>
        <v>2.1711164860021941E-5</v>
      </c>
      <c r="BJ276" s="196">
        <f t="shared" si="217"/>
        <v>2.1711164860021941E-5</v>
      </c>
      <c r="BK276" s="196">
        <f t="shared" si="217"/>
        <v>2.1711164860021941E-5</v>
      </c>
      <c r="BL276" s="196">
        <f t="shared" si="217"/>
        <v>2.1711164860021941E-5</v>
      </c>
      <c r="BM276" s="196">
        <f t="shared" si="217"/>
        <v>2.1711164860021941E-5</v>
      </c>
      <c r="BN276" s="196">
        <f t="shared" si="217"/>
        <v>2.1711164860021941E-5</v>
      </c>
      <c r="BO276" s="196">
        <f t="shared" si="217"/>
        <v>2.1711164860021941E-5</v>
      </c>
      <c r="BP276" s="196">
        <f t="shared" si="217"/>
        <v>2.1711164860021941E-5</v>
      </c>
      <c r="BQ276" s="196">
        <f t="shared" si="217"/>
        <v>2.1711164860021941E-5</v>
      </c>
      <c r="BR276" s="196">
        <f t="shared" si="217"/>
        <v>2.1711164860021941E-5</v>
      </c>
      <c r="BS276" s="196">
        <f t="shared" si="217"/>
        <v>2.1711164860021941E-5</v>
      </c>
      <c r="BT276" s="196">
        <f t="shared" si="217"/>
        <v>2.1711164860021941E-5</v>
      </c>
      <c r="BU276" s="196">
        <f t="shared" si="217"/>
        <v>2.1711164860021941E-5</v>
      </c>
      <c r="BV276" s="196">
        <f t="shared" si="217"/>
        <v>2.1711164860021941E-5</v>
      </c>
    </row>
    <row r="277" spans="1:74" x14ac:dyDescent="0.25">
      <c r="A277" s="141" t="s">
        <v>181</v>
      </c>
      <c r="B277" s="142"/>
      <c r="C277" s="142"/>
      <c r="D277" s="177">
        <f t="shared" ref="D277:AR277" si="218">D213*D$47</f>
        <v>1.1175668630983885E-4</v>
      </c>
      <c r="E277" s="177">
        <f t="shared" si="218"/>
        <v>1.1175668630983885E-4</v>
      </c>
      <c r="F277" s="177">
        <f t="shared" si="218"/>
        <v>1.1175668630983885E-4</v>
      </c>
      <c r="G277" s="177">
        <f t="shared" si="218"/>
        <v>1.1175668630983885E-4</v>
      </c>
      <c r="H277" s="177">
        <f t="shared" si="218"/>
        <v>1.1175668630983885E-4</v>
      </c>
      <c r="I277" s="177">
        <f t="shared" si="218"/>
        <v>1.1175668630983885E-4</v>
      </c>
      <c r="J277" s="177">
        <f t="shared" si="218"/>
        <v>1.1175668630983885E-4</v>
      </c>
      <c r="K277" s="177">
        <f t="shared" si="218"/>
        <v>1.1175668630983885E-4</v>
      </c>
      <c r="L277" s="177">
        <f t="shared" si="218"/>
        <v>1.1175668630983885E-4</v>
      </c>
      <c r="M277" s="177">
        <f t="shared" si="218"/>
        <v>1.1175668630983885E-4</v>
      </c>
      <c r="N277" s="177">
        <f t="shared" si="218"/>
        <v>1.1175668630983885E-4</v>
      </c>
      <c r="O277" s="177">
        <f t="shared" si="218"/>
        <v>1.1175668630983885E-4</v>
      </c>
      <c r="P277" s="177">
        <f t="shared" si="218"/>
        <v>1.1175668630983885E-4</v>
      </c>
      <c r="Q277" s="177">
        <f t="shared" si="218"/>
        <v>1.1175668630983885E-4</v>
      </c>
      <c r="R277" s="177">
        <f t="shared" si="218"/>
        <v>1.1175668630983885E-4</v>
      </c>
      <c r="S277" s="177">
        <f t="shared" si="218"/>
        <v>1.1175668630983885E-4</v>
      </c>
      <c r="T277" s="177">
        <f t="shared" si="218"/>
        <v>1.1175668630983885E-4</v>
      </c>
      <c r="U277" s="177">
        <f t="shared" si="218"/>
        <v>1.1175668630983885E-4</v>
      </c>
      <c r="V277" s="177">
        <f t="shared" si="218"/>
        <v>1.1175668630983885E-4</v>
      </c>
      <c r="W277" s="177">
        <f t="shared" si="218"/>
        <v>1.1175668630983885E-4</v>
      </c>
      <c r="X277" s="177">
        <f t="shared" si="218"/>
        <v>1.1175668630983885E-4</v>
      </c>
      <c r="Y277" s="177">
        <f t="shared" si="218"/>
        <v>1.1175668630983885E-4</v>
      </c>
      <c r="Z277" s="177">
        <f t="shared" si="218"/>
        <v>1.1175668630983885E-4</v>
      </c>
      <c r="AA277" s="177">
        <f t="shared" si="218"/>
        <v>1.1175668630983885E-4</v>
      </c>
      <c r="AB277" s="177">
        <f t="shared" si="218"/>
        <v>1.1175668630983885E-4</v>
      </c>
      <c r="AC277" s="177">
        <f t="shared" si="218"/>
        <v>1.1175668630983885E-4</v>
      </c>
      <c r="AD277" s="177">
        <f t="shared" si="218"/>
        <v>1.1175668630983885E-4</v>
      </c>
      <c r="AE277" s="177">
        <f t="shared" si="218"/>
        <v>1.1175668630983885E-4</v>
      </c>
      <c r="AF277" s="177">
        <f t="shared" si="218"/>
        <v>1.1175668630983885E-4</v>
      </c>
      <c r="AG277" s="177">
        <f t="shared" si="218"/>
        <v>1.1175668630983885E-4</v>
      </c>
      <c r="AH277" s="177">
        <f t="shared" si="218"/>
        <v>1.1175668630983885E-4</v>
      </c>
      <c r="AI277" s="177">
        <f t="shared" si="218"/>
        <v>1.1175668630983885E-4</v>
      </c>
      <c r="AJ277" s="177">
        <f t="shared" si="218"/>
        <v>1.1175668630983885E-4</v>
      </c>
      <c r="AK277" s="177">
        <f t="shared" si="218"/>
        <v>1.1175668630983885E-4</v>
      </c>
      <c r="AL277" s="177">
        <f t="shared" si="218"/>
        <v>1.1175668630983885E-4</v>
      </c>
      <c r="AM277" s="177">
        <f t="shared" si="218"/>
        <v>1.1175668630983885E-4</v>
      </c>
      <c r="AN277" s="177">
        <f t="shared" si="218"/>
        <v>1.1175668630983885E-4</v>
      </c>
      <c r="AO277" s="177">
        <f t="shared" si="218"/>
        <v>1.1175668630983885E-4</v>
      </c>
      <c r="AP277" s="177">
        <f t="shared" si="218"/>
        <v>1.1175668630983885E-4</v>
      </c>
      <c r="AQ277" s="177">
        <f t="shared" si="218"/>
        <v>1.1175668630983885E-4</v>
      </c>
      <c r="AR277" s="177">
        <f t="shared" si="218"/>
        <v>1.1175668630983885E-4</v>
      </c>
      <c r="AS277" s="196">
        <f t="shared" ref="AS277:BV277" si="219">AR277</f>
        <v>1.1175668630983885E-4</v>
      </c>
      <c r="AT277" s="196">
        <f t="shared" si="219"/>
        <v>1.1175668630983885E-4</v>
      </c>
      <c r="AU277" s="196">
        <f t="shared" si="219"/>
        <v>1.1175668630983885E-4</v>
      </c>
      <c r="AV277" s="196">
        <f t="shared" si="219"/>
        <v>1.1175668630983885E-4</v>
      </c>
      <c r="AW277" s="196">
        <f t="shared" si="219"/>
        <v>1.1175668630983885E-4</v>
      </c>
      <c r="AX277" s="196">
        <f t="shared" si="219"/>
        <v>1.1175668630983885E-4</v>
      </c>
      <c r="AY277" s="196">
        <f t="shared" si="219"/>
        <v>1.1175668630983885E-4</v>
      </c>
      <c r="AZ277" s="196">
        <f t="shared" si="219"/>
        <v>1.1175668630983885E-4</v>
      </c>
      <c r="BA277" s="196">
        <f t="shared" si="219"/>
        <v>1.1175668630983885E-4</v>
      </c>
      <c r="BB277" s="196">
        <f t="shared" si="219"/>
        <v>1.1175668630983885E-4</v>
      </c>
      <c r="BC277" s="196">
        <f t="shared" si="219"/>
        <v>1.1175668630983885E-4</v>
      </c>
      <c r="BD277" s="196">
        <f t="shared" si="219"/>
        <v>1.1175668630983885E-4</v>
      </c>
      <c r="BE277" s="196">
        <f t="shared" si="219"/>
        <v>1.1175668630983885E-4</v>
      </c>
      <c r="BF277" s="196">
        <f t="shared" si="219"/>
        <v>1.1175668630983885E-4</v>
      </c>
      <c r="BG277" s="196">
        <f t="shared" si="219"/>
        <v>1.1175668630983885E-4</v>
      </c>
      <c r="BH277" s="196">
        <f t="shared" si="219"/>
        <v>1.1175668630983885E-4</v>
      </c>
      <c r="BI277" s="196">
        <f t="shared" si="219"/>
        <v>1.1175668630983885E-4</v>
      </c>
      <c r="BJ277" s="196">
        <f t="shared" si="219"/>
        <v>1.1175668630983885E-4</v>
      </c>
      <c r="BK277" s="196">
        <f t="shared" si="219"/>
        <v>1.1175668630983885E-4</v>
      </c>
      <c r="BL277" s="196">
        <f t="shared" si="219"/>
        <v>1.1175668630983885E-4</v>
      </c>
      <c r="BM277" s="196">
        <f t="shared" si="219"/>
        <v>1.1175668630983885E-4</v>
      </c>
      <c r="BN277" s="196">
        <f t="shared" si="219"/>
        <v>1.1175668630983885E-4</v>
      </c>
      <c r="BO277" s="196">
        <f t="shared" si="219"/>
        <v>1.1175668630983885E-4</v>
      </c>
      <c r="BP277" s="196">
        <f t="shared" si="219"/>
        <v>1.1175668630983885E-4</v>
      </c>
      <c r="BQ277" s="196">
        <f t="shared" si="219"/>
        <v>1.1175668630983885E-4</v>
      </c>
      <c r="BR277" s="196">
        <f t="shared" si="219"/>
        <v>1.1175668630983885E-4</v>
      </c>
      <c r="BS277" s="196">
        <f t="shared" si="219"/>
        <v>1.1175668630983885E-4</v>
      </c>
      <c r="BT277" s="196">
        <f t="shared" si="219"/>
        <v>1.1175668630983885E-4</v>
      </c>
      <c r="BU277" s="196">
        <f t="shared" si="219"/>
        <v>1.1175668630983885E-4</v>
      </c>
      <c r="BV277" s="196">
        <f t="shared" si="219"/>
        <v>1.1175668630983885E-4</v>
      </c>
    </row>
    <row r="278" spans="1:74" x14ac:dyDescent="0.25">
      <c r="A278" s="141" t="s">
        <v>183</v>
      </c>
      <c r="B278" s="142"/>
      <c r="C278" s="142"/>
      <c r="D278" s="177">
        <f t="shared" ref="D278:AR278" si="220">D214*D$47</f>
        <v>2.3628630943372945E-5</v>
      </c>
      <c r="E278" s="177">
        <f t="shared" si="220"/>
        <v>2.3628630943372945E-5</v>
      </c>
      <c r="F278" s="177">
        <f t="shared" si="220"/>
        <v>2.3628630943372945E-5</v>
      </c>
      <c r="G278" s="177">
        <f t="shared" si="220"/>
        <v>2.3628630943372945E-5</v>
      </c>
      <c r="H278" s="177">
        <f t="shared" si="220"/>
        <v>2.3628630943372945E-5</v>
      </c>
      <c r="I278" s="177">
        <f t="shared" si="220"/>
        <v>2.3628630943372945E-5</v>
      </c>
      <c r="J278" s="177">
        <f t="shared" si="220"/>
        <v>2.3628630943372945E-5</v>
      </c>
      <c r="K278" s="177">
        <f t="shared" si="220"/>
        <v>2.3628630943372945E-5</v>
      </c>
      <c r="L278" s="177">
        <f t="shared" si="220"/>
        <v>2.3628630943372945E-5</v>
      </c>
      <c r="M278" s="177">
        <f t="shared" si="220"/>
        <v>2.3628630943372945E-5</v>
      </c>
      <c r="N278" s="177">
        <f t="shared" si="220"/>
        <v>2.3628630943372945E-5</v>
      </c>
      <c r="O278" s="177">
        <f t="shared" si="220"/>
        <v>2.3628630943372945E-5</v>
      </c>
      <c r="P278" s="177">
        <f t="shared" si="220"/>
        <v>2.3628630943372945E-5</v>
      </c>
      <c r="Q278" s="177">
        <f t="shared" si="220"/>
        <v>2.3628630943372945E-5</v>
      </c>
      <c r="R278" s="177">
        <f t="shared" si="220"/>
        <v>2.3628630943372945E-5</v>
      </c>
      <c r="S278" s="177">
        <f t="shared" si="220"/>
        <v>2.3628630943372945E-5</v>
      </c>
      <c r="T278" s="177">
        <f t="shared" si="220"/>
        <v>2.3628630943372945E-5</v>
      </c>
      <c r="U278" s="177">
        <f t="shared" si="220"/>
        <v>2.3628630943372945E-5</v>
      </c>
      <c r="V278" s="177">
        <f t="shared" si="220"/>
        <v>2.3628630943372945E-5</v>
      </c>
      <c r="W278" s="177">
        <f t="shared" si="220"/>
        <v>2.3628630943372945E-5</v>
      </c>
      <c r="X278" s="177">
        <f t="shared" si="220"/>
        <v>2.3628630943372945E-5</v>
      </c>
      <c r="Y278" s="177">
        <f t="shared" si="220"/>
        <v>2.3628630943372945E-5</v>
      </c>
      <c r="Z278" s="177">
        <f t="shared" si="220"/>
        <v>2.3628757272769816E-5</v>
      </c>
      <c r="AA278" s="177">
        <f t="shared" si="220"/>
        <v>2.3628757272769816E-5</v>
      </c>
      <c r="AB278" s="177">
        <f t="shared" si="220"/>
        <v>2.3628757272769816E-5</v>
      </c>
      <c r="AC278" s="177">
        <f t="shared" si="220"/>
        <v>2.3628757272769816E-5</v>
      </c>
      <c r="AD278" s="177">
        <f t="shared" si="220"/>
        <v>2.3628224470111049E-5</v>
      </c>
      <c r="AE278" s="177">
        <f t="shared" si="220"/>
        <v>2.3628224470111049E-5</v>
      </c>
      <c r="AF278" s="177">
        <f t="shared" si="220"/>
        <v>2.3628224470111049E-5</v>
      </c>
      <c r="AG278" s="177">
        <f t="shared" si="220"/>
        <v>2.3628224470111049E-5</v>
      </c>
      <c r="AH278" s="177">
        <f t="shared" si="220"/>
        <v>2.3628224470111049E-5</v>
      </c>
      <c r="AI278" s="177">
        <f t="shared" si="220"/>
        <v>2.3628224470111049E-5</v>
      </c>
      <c r="AJ278" s="177">
        <f t="shared" si="220"/>
        <v>2.3628224470111049E-5</v>
      </c>
      <c r="AK278" s="177">
        <f t="shared" si="220"/>
        <v>2.3628224470111049E-5</v>
      </c>
      <c r="AL278" s="177">
        <f t="shared" si="220"/>
        <v>2.3628224470111049E-5</v>
      </c>
      <c r="AM278" s="177">
        <f t="shared" si="220"/>
        <v>2.3628224470111049E-5</v>
      </c>
      <c r="AN278" s="177">
        <f t="shared" si="220"/>
        <v>2.3628224470111049E-5</v>
      </c>
      <c r="AO278" s="177">
        <f t="shared" si="220"/>
        <v>2.3628224470111049E-5</v>
      </c>
      <c r="AP278" s="177">
        <f t="shared" si="220"/>
        <v>2.3628224470111049E-5</v>
      </c>
      <c r="AQ278" s="177">
        <f t="shared" si="220"/>
        <v>2.3628224470111049E-5</v>
      </c>
      <c r="AR278" s="177">
        <f t="shared" si="220"/>
        <v>2.3628224470111049E-5</v>
      </c>
      <c r="AS278" s="196">
        <f t="shared" ref="AS278:BV278" si="221">AR278</f>
        <v>2.3628224470111049E-5</v>
      </c>
      <c r="AT278" s="196">
        <f t="shared" si="221"/>
        <v>2.3628224470111049E-5</v>
      </c>
      <c r="AU278" s="196">
        <f t="shared" si="221"/>
        <v>2.3628224470111049E-5</v>
      </c>
      <c r="AV278" s="196">
        <f t="shared" si="221"/>
        <v>2.3628224470111049E-5</v>
      </c>
      <c r="AW278" s="196">
        <f t="shared" si="221"/>
        <v>2.3628224470111049E-5</v>
      </c>
      <c r="AX278" s="196">
        <f t="shared" si="221"/>
        <v>2.3628224470111049E-5</v>
      </c>
      <c r="AY278" s="196">
        <f t="shared" si="221"/>
        <v>2.3628224470111049E-5</v>
      </c>
      <c r="AZ278" s="196">
        <f t="shared" si="221"/>
        <v>2.3628224470111049E-5</v>
      </c>
      <c r="BA278" s="196">
        <f t="shared" si="221"/>
        <v>2.3628224470111049E-5</v>
      </c>
      <c r="BB278" s="196">
        <f t="shared" si="221"/>
        <v>2.3628224470111049E-5</v>
      </c>
      <c r="BC278" s="196">
        <f t="shared" si="221"/>
        <v>2.3628224470111049E-5</v>
      </c>
      <c r="BD278" s="196">
        <f t="shared" si="221"/>
        <v>2.3628224470111049E-5</v>
      </c>
      <c r="BE278" s="196">
        <f t="shared" si="221"/>
        <v>2.3628224470111049E-5</v>
      </c>
      <c r="BF278" s="196">
        <f t="shared" si="221"/>
        <v>2.3628224470111049E-5</v>
      </c>
      <c r="BG278" s="196">
        <f t="shared" si="221"/>
        <v>2.3628224470111049E-5</v>
      </c>
      <c r="BH278" s="196">
        <f t="shared" si="221"/>
        <v>2.3628224470111049E-5</v>
      </c>
      <c r="BI278" s="196">
        <f t="shared" si="221"/>
        <v>2.3628224470111049E-5</v>
      </c>
      <c r="BJ278" s="196">
        <f t="shared" si="221"/>
        <v>2.3628224470111049E-5</v>
      </c>
      <c r="BK278" s="196">
        <f t="shared" si="221"/>
        <v>2.3628224470111049E-5</v>
      </c>
      <c r="BL278" s="196">
        <f t="shared" si="221"/>
        <v>2.3628224470111049E-5</v>
      </c>
      <c r="BM278" s="196">
        <f t="shared" si="221"/>
        <v>2.3628224470111049E-5</v>
      </c>
      <c r="BN278" s="196">
        <f t="shared" si="221"/>
        <v>2.3628224470111049E-5</v>
      </c>
      <c r="BO278" s="196">
        <f t="shared" si="221"/>
        <v>2.3628224470111049E-5</v>
      </c>
      <c r="BP278" s="196">
        <f t="shared" si="221"/>
        <v>2.3628224470111049E-5</v>
      </c>
      <c r="BQ278" s="196">
        <f t="shared" si="221"/>
        <v>2.3628224470111049E-5</v>
      </c>
      <c r="BR278" s="196">
        <f t="shared" si="221"/>
        <v>2.3628224470111049E-5</v>
      </c>
      <c r="BS278" s="196">
        <f t="shared" si="221"/>
        <v>2.3628224470111049E-5</v>
      </c>
      <c r="BT278" s="196">
        <f t="shared" si="221"/>
        <v>2.3628224470111049E-5</v>
      </c>
      <c r="BU278" s="196">
        <f t="shared" si="221"/>
        <v>2.3628224470111049E-5</v>
      </c>
      <c r="BV278" s="196">
        <f t="shared" si="221"/>
        <v>2.3628224470111049E-5</v>
      </c>
    </row>
    <row r="279" spans="1:74" x14ac:dyDescent="0.25">
      <c r="A279" s="147" t="s">
        <v>184</v>
      </c>
      <c r="C279" s="142"/>
      <c r="D279" s="177">
        <f t="shared" ref="D279:AR279" si="222">D215*D$47</f>
        <v>3.0397498065265409E-5</v>
      </c>
      <c r="E279" s="177">
        <f t="shared" si="222"/>
        <v>3.0353046655203686E-5</v>
      </c>
      <c r="F279" s="177">
        <f t="shared" si="222"/>
        <v>3.0308725061260213E-5</v>
      </c>
      <c r="G279" s="177">
        <f t="shared" si="222"/>
        <v>3.0264532715590709E-5</v>
      </c>
      <c r="H279" s="177">
        <f t="shared" si="222"/>
        <v>3.0220469053657906E-5</v>
      </c>
      <c r="I279" s="177">
        <f t="shared" si="222"/>
        <v>3.0176533514207507E-5</v>
      </c>
      <c r="J279" s="177">
        <f t="shared" si="222"/>
        <v>3.0941416184971096E-5</v>
      </c>
      <c r="K279" s="177">
        <f t="shared" si="222"/>
        <v>3.13060064516129E-5</v>
      </c>
      <c r="L279" s="177">
        <f t="shared" si="222"/>
        <v>3.0064305634281825E-5</v>
      </c>
      <c r="M279" s="177">
        <f t="shared" si="222"/>
        <v>3.0496490992202205E-5</v>
      </c>
      <c r="N279" s="177">
        <f t="shared" si="222"/>
        <v>3.0790507797370296E-5</v>
      </c>
      <c r="O279" s="177">
        <f t="shared" si="222"/>
        <v>3.0739367026558768E-5</v>
      </c>
      <c r="P279" s="177">
        <f t="shared" si="222"/>
        <v>3.0804203656911537E-5</v>
      </c>
      <c r="Q279" s="177">
        <f t="shared" si="222"/>
        <v>3.1520130194672429E-5</v>
      </c>
      <c r="R279" s="177">
        <f t="shared" si="222"/>
        <v>3.1774052579973508E-5</v>
      </c>
      <c r="S279" s="177">
        <f t="shared" si="222"/>
        <v>3.2227118251513753E-5</v>
      </c>
      <c r="T279" s="177">
        <f t="shared" si="222"/>
        <v>3.2355609586634565E-5</v>
      </c>
      <c r="U279" s="177">
        <f t="shared" si="222"/>
        <v>3.2901160305946119E-5</v>
      </c>
      <c r="V279" s="177">
        <f t="shared" si="222"/>
        <v>3.2503748834015226E-5</v>
      </c>
      <c r="W279" s="177">
        <f t="shared" si="222"/>
        <v>3.1351447067992739E-5</v>
      </c>
      <c r="X279" s="177">
        <f t="shared" si="222"/>
        <v>3.1359292917827007E-5</v>
      </c>
      <c r="Y279" s="177">
        <f t="shared" si="222"/>
        <v>3.2099493019609661E-5</v>
      </c>
      <c r="Z279" s="177">
        <f t="shared" si="222"/>
        <v>3.1507917159657508E-5</v>
      </c>
      <c r="AA279" s="177">
        <f t="shared" si="222"/>
        <v>3.1092409089582664E-5</v>
      </c>
      <c r="AB279" s="177">
        <f t="shared" si="222"/>
        <v>3.1137121550441936E-5</v>
      </c>
      <c r="AC279" s="177">
        <f t="shared" si="222"/>
        <v>3.1050021883508436E-5</v>
      </c>
      <c r="AD279" s="177">
        <f t="shared" si="222"/>
        <v>3.0924007036626223E-5</v>
      </c>
      <c r="AE279" s="177">
        <f t="shared" si="222"/>
        <v>3.1362437925903767E-5</v>
      </c>
      <c r="AF279" s="177">
        <f t="shared" si="222"/>
        <v>3.1362437925903767E-5</v>
      </c>
      <c r="AG279" s="177">
        <f t="shared" si="222"/>
        <v>3.1362437925903767E-5</v>
      </c>
      <c r="AH279" s="177">
        <f t="shared" si="222"/>
        <v>3.1362437925903767E-5</v>
      </c>
      <c r="AI279" s="177">
        <f t="shared" si="222"/>
        <v>3.1362437925903767E-5</v>
      </c>
      <c r="AJ279" s="177">
        <f t="shared" si="222"/>
        <v>3.1362437925903767E-5</v>
      </c>
      <c r="AK279" s="177">
        <f t="shared" si="222"/>
        <v>3.1362437925903767E-5</v>
      </c>
      <c r="AL279" s="177">
        <f t="shared" si="222"/>
        <v>3.1362437925903767E-5</v>
      </c>
      <c r="AM279" s="177">
        <f t="shared" si="222"/>
        <v>3.1362437925903767E-5</v>
      </c>
      <c r="AN279" s="177">
        <f t="shared" si="222"/>
        <v>3.1362437925903767E-5</v>
      </c>
      <c r="AO279" s="177">
        <f t="shared" si="222"/>
        <v>3.1362437925903767E-5</v>
      </c>
      <c r="AP279" s="177">
        <f t="shared" si="222"/>
        <v>3.1362437925903767E-5</v>
      </c>
      <c r="AQ279" s="177">
        <f t="shared" si="222"/>
        <v>3.1362437925903767E-5</v>
      </c>
      <c r="AR279" s="177">
        <f t="shared" si="222"/>
        <v>3.1362437925903767E-5</v>
      </c>
      <c r="AS279" s="196">
        <f t="shared" ref="AS279:BV279" si="223">AR279</f>
        <v>3.1362437925903767E-5</v>
      </c>
      <c r="AT279" s="196">
        <f t="shared" si="223"/>
        <v>3.1362437925903767E-5</v>
      </c>
      <c r="AU279" s="196">
        <f t="shared" si="223"/>
        <v>3.1362437925903767E-5</v>
      </c>
      <c r="AV279" s="196">
        <f t="shared" si="223"/>
        <v>3.1362437925903767E-5</v>
      </c>
      <c r="AW279" s="196">
        <f t="shared" si="223"/>
        <v>3.1362437925903767E-5</v>
      </c>
      <c r="AX279" s="196">
        <f t="shared" si="223"/>
        <v>3.1362437925903767E-5</v>
      </c>
      <c r="AY279" s="196">
        <f t="shared" si="223"/>
        <v>3.1362437925903767E-5</v>
      </c>
      <c r="AZ279" s="196">
        <f t="shared" si="223"/>
        <v>3.1362437925903767E-5</v>
      </c>
      <c r="BA279" s="196">
        <f t="shared" si="223"/>
        <v>3.1362437925903767E-5</v>
      </c>
      <c r="BB279" s="196">
        <f t="shared" si="223"/>
        <v>3.1362437925903767E-5</v>
      </c>
      <c r="BC279" s="196">
        <f t="shared" si="223"/>
        <v>3.1362437925903767E-5</v>
      </c>
      <c r="BD279" s="196">
        <f t="shared" si="223"/>
        <v>3.1362437925903767E-5</v>
      </c>
      <c r="BE279" s="196">
        <f t="shared" si="223"/>
        <v>3.1362437925903767E-5</v>
      </c>
      <c r="BF279" s="196">
        <f t="shared" si="223"/>
        <v>3.1362437925903767E-5</v>
      </c>
      <c r="BG279" s="196">
        <f t="shared" si="223"/>
        <v>3.1362437925903767E-5</v>
      </c>
      <c r="BH279" s="196">
        <f t="shared" si="223"/>
        <v>3.1362437925903767E-5</v>
      </c>
      <c r="BI279" s="196">
        <f t="shared" si="223"/>
        <v>3.1362437925903767E-5</v>
      </c>
      <c r="BJ279" s="196">
        <f t="shared" si="223"/>
        <v>3.1362437925903767E-5</v>
      </c>
      <c r="BK279" s="196">
        <f t="shared" si="223"/>
        <v>3.1362437925903767E-5</v>
      </c>
      <c r="BL279" s="196">
        <f t="shared" si="223"/>
        <v>3.1362437925903767E-5</v>
      </c>
      <c r="BM279" s="196">
        <f t="shared" si="223"/>
        <v>3.1362437925903767E-5</v>
      </c>
      <c r="BN279" s="196">
        <f t="shared" si="223"/>
        <v>3.1362437925903767E-5</v>
      </c>
      <c r="BO279" s="196">
        <f t="shared" si="223"/>
        <v>3.1362437925903767E-5</v>
      </c>
      <c r="BP279" s="196">
        <f t="shared" si="223"/>
        <v>3.1362437925903767E-5</v>
      </c>
      <c r="BQ279" s="196">
        <f t="shared" si="223"/>
        <v>3.1362437925903767E-5</v>
      </c>
      <c r="BR279" s="196">
        <f t="shared" si="223"/>
        <v>3.1362437925903767E-5</v>
      </c>
      <c r="BS279" s="196">
        <f t="shared" si="223"/>
        <v>3.1362437925903767E-5</v>
      </c>
      <c r="BT279" s="196">
        <f t="shared" si="223"/>
        <v>3.1362437925903767E-5</v>
      </c>
      <c r="BU279" s="196">
        <f t="shared" si="223"/>
        <v>3.1362437925903767E-5</v>
      </c>
      <c r="BV279" s="196">
        <f t="shared" si="223"/>
        <v>3.1362437925903767E-5</v>
      </c>
    </row>
    <row r="280" spans="1:74" x14ac:dyDescent="0.25">
      <c r="A280" s="147" t="s">
        <v>186</v>
      </c>
      <c r="C280" s="142"/>
      <c r="D280" s="177">
        <f t="shared" ref="D280:AR280" si="224">D216*D$47</f>
        <v>2.9136316476076387E-5</v>
      </c>
      <c r="E280" s="177">
        <f t="shared" si="224"/>
        <v>2.9136316527549356E-5</v>
      </c>
      <c r="F280" s="177">
        <f t="shared" si="224"/>
        <v>2.9136316579022322E-5</v>
      </c>
      <c r="G280" s="177">
        <f t="shared" si="224"/>
        <v>2.9136316630495291E-5</v>
      </c>
      <c r="H280" s="177">
        <f t="shared" si="224"/>
        <v>2.9136316681968257E-5</v>
      </c>
      <c r="I280" s="177">
        <f t="shared" si="224"/>
        <v>2.9136316733441226E-5</v>
      </c>
      <c r="J280" s="177">
        <f t="shared" si="224"/>
        <v>2.9136316430082397E-5</v>
      </c>
      <c r="K280" s="177">
        <f t="shared" si="224"/>
        <v>2.9136316444617888E-5</v>
      </c>
      <c r="L280" s="177">
        <f t="shared" si="224"/>
        <v>2.9136316392544793E-5</v>
      </c>
      <c r="M280" s="177">
        <f t="shared" si="224"/>
        <v>2.9136316215201542E-5</v>
      </c>
      <c r="N280" s="177">
        <f t="shared" si="224"/>
        <v>2.9136316094884449E-5</v>
      </c>
      <c r="O280" s="177">
        <f t="shared" si="224"/>
        <v>2.9136316382514351E-5</v>
      </c>
      <c r="P280" s="177">
        <f t="shared" si="224"/>
        <v>2.913631632153426E-5</v>
      </c>
      <c r="Q280" s="177">
        <f t="shared" si="224"/>
        <v>2.9136316390850019E-5</v>
      </c>
      <c r="R280" s="177">
        <f t="shared" si="224"/>
        <v>2.9136316436985054E-5</v>
      </c>
      <c r="S280" s="177">
        <f t="shared" si="224"/>
        <v>2.9136316274401624E-5</v>
      </c>
      <c r="T280" s="177">
        <f t="shared" si="224"/>
        <v>2.9136319579881506E-5</v>
      </c>
      <c r="U280" s="177">
        <f t="shared" si="224"/>
        <v>2.913632007863599E-5</v>
      </c>
      <c r="V280" s="177">
        <f t="shared" si="224"/>
        <v>2.913631814080266E-5</v>
      </c>
      <c r="W280" s="177">
        <f t="shared" si="224"/>
        <v>2.9136314239270185E-5</v>
      </c>
      <c r="X280" s="177">
        <f t="shared" si="224"/>
        <v>2.9136321338732597E-5</v>
      </c>
      <c r="Y280" s="177">
        <f t="shared" si="224"/>
        <v>2.9136319617032737E-5</v>
      </c>
      <c r="Z280" s="177">
        <f t="shared" si="224"/>
        <v>2.9136317273487735E-5</v>
      </c>
      <c r="AA280" s="177">
        <f t="shared" si="224"/>
        <v>2.9136311163031766E-5</v>
      </c>
      <c r="AB280" s="177">
        <f t="shared" si="224"/>
        <v>2.9136313904998383E-5</v>
      </c>
      <c r="AC280" s="177">
        <f t="shared" si="224"/>
        <v>2.9136317209340931E-5</v>
      </c>
      <c r="AD280" s="177">
        <f t="shared" si="224"/>
        <v>2.9136311632349612E-5</v>
      </c>
      <c r="AE280" s="177">
        <f t="shared" si="224"/>
        <v>2.9136318778423485E-5</v>
      </c>
      <c r="AF280" s="177">
        <f t="shared" si="224"/>
        <v>2.9136318778423485E-5</v>
      </c>
      <c r="AG280" s="177">
        <f t="shared" si="224"/>
        <v>2.9136318778423485E-5</v>
      </c>
      <c r="AH280" s="177">
        <f t="shared" si="224"/>
        <v>2.9136318778423485E-5</v>
      </c>
      <c r="AI280" s="177">
        <f t="shared" si="224"/>
        <v>2.9136318778423485E-5</v>
      </c>
      <c r="AJ280" s="177">
        <f t="shared" si="224"/>
        <v>2.9136318778423485E-5</v>
      </c>
      <c r="AK280" s="177">
        <f t="shared" si="224"/>
        <v>2.9136318778423485E-5</v>
      </c>
      <c r="AL280" s="177">
        <f t="shared" si="224"/>
        <v>2.9136318778423485E-5</v>
      </c>
      <c r="AM280" s="177">
        <f t="shared" si="224"/>
        <v>2.9136318778423485E-5</v>
      </c>
      <c r="AN280" s="177">
        <f t="shared" si="224"/>
        <v>2.9136318778423485E-5</v>
      </c>
      <c r="AO280" s="177">
        <f t="shared" si="224"/>
        <v>2.9136318778423485E-5</v>
      </c>
      <c r="AP280" s="177">
        <f t="shared" si="224"/>
        <v>2.9136318778423485E-5</v>
      </c>
      <c r="AQ280" s="177">
        <f t="shared" si="224"/>
        <v>2.9136318778423485E-5</v>
      </c>
      <c r="AR280" s="177">
        <f t="shared" si="224"/>
        <v>2.9136318778423485E-5</v>
      </c>
      <c r="AS280" s="196">
        <f t="shared" ref="AS280:BV280" si="225">AR280</f>
        <v>2.9136318778423485E-5</v>
      </c>
      <c r="AT280" s="196">
        <f t="shared" si="225"/>
        <v>2.9136318778423485E-5</v>
      </c>
      <c r="AU280" s="196">
        <f t="shared" si="225"/>
        <v>2.9136318778423485E-5</v>
      </c>
      <c r="AV280" s="196">
        <f t="shared" si="225"/>
        <v>2.9136318778423485E-5</v>
      </c>
      <c r="AW280" s="196">
        <f t="shared" si="225"/>
        <v>2.9136318778423485E-5</v>
      </c>
      <c r="AX280" s="196">
        <f t="shared" si="225"/>
        <v>2.9136318778423485E-5</v>
      </c>
      <c r="AY280" s="196">
        <f t="shared" si="225"/>
        <v>2.9136318778423485E-5</v>
      </c>
      <c r="AZ280" s="196">
        <f t="shared" si="225"/>
        <v>2.9136318778423485E-5</v>
      </c>
      <c r="BA280" s="196">
        <f t="shared" si="225"/>
        <v>2.9136318778423485E-5</v>
      </c>
      <c r="BB280" s="196">
        <f t="shared" si="225"/>
        <v>2.9136318778423485E-5</v>
      </c>
      <c r="BC280" s="196">
        <f t="shared" si="225"/>
        <v>2.9136318778423485E-5</v>
      </c>
      <c r="BD280" s="196">
        <f t="shared" si="225"/>
        <v>2.9136318778423485E-5</v>
      </c>
      <c r="BE280" s="196">
        <f t="shared" si="225"/>
        <v>2.9136318778423485E-5</v>
      </c>
      <c r="BF280" s="196">
        <f t="shared" si="225"/>
        <v>2.9136318778423485E-5</v>
      </c>
      <c r="BG280" s="196">
        <f t="shared" si="225"/>
        <v>2.9136318778423485E-5</v>
      </c>
      <c r="BH280" s="196">
        <f t="shared" si="225"/>
        <v>2.9136318778423485E-5</v>
      </c>
      <c r="BI280" s="196">
        <f t="shared" si="225"/>
        <v>2.9136318778423485E-5</v>
      </c>
      <c r="BJ280" s="196">
        <f t="shared" si="225"/>
        <v>2.9136318778423485E-5</v>
      </c>
      <c r="BK280" s="196">
        <f t="shared" si="225"/>
        <v>2.9136318778423485E-5</v>
      </c>
      <c r="BL280" s="196">
        <f t="shared" si="225"/>
        <v>2.9136318778423485E-5</v>
      </c>
      <c r="BM280" s="196">
        <f t="shared" si="225"/>
        <v>2.9136318778423485E-5</v>
      </c>
      <c r="BN280" s="196">
        <f t="shared" si="225"/>
        <v>2.9136318778423485E-5</v>
      </c>
      <c r="BO280" s="196">
        <f t="shared" si="225"/>
        <v>2.9136318778423485E-5</v>
      </c>
      <c r="BP280" s="196">
        <f t="shared" si="225"/>
        <v>2.9136318778423485E-5</v>
      </c>
      <c r="BQ280" s="196">
        <f t="shared" si="225"/>
        <v>2.9136318778423485E-5</v>
      </c>
      <c r="BR280" s="196">
        <f t="shared" si="225"/>
        <v>2.9136318778423485E-5</v>
      </c>
      <c r="BS280" s="196">
        <f t="shared" si="225"/>
        <v>2.9136318778423485E-5</v>
      </c>
      <c r="BT280" s="196">
        <f t="shared" si="225"/>
        <v>2.9136318778423485E-5</v>
      </c>
      <c r="BU280" s="196">
        <f t="shared" si="225"/>
        <v>2.9136318778423485E-5</v>
      </c>
      <c r="BV280" s="196">
        <f t="shared" si="225"/>
        <v>2.9136318778423485E-5</v>
      </c>
    </row>
    <row r="281" spans="1:74" x14ac:dyDescent="0.25">
      <c r="A281" s="141" t="s">
        <v>187</v>
      </c>
      <c r="B281" s="142"/>
      <c r="C281" s="142"/>
      <c r="D281" s="177">
        <f t="shared" ref="D281:AR281" si="226">D217*D$47</f>
        <v>7.5539568600920088E-5</v>
      </c>
      <c r="E281" s="177">
        <f t="shared" si="226"/>
        <v>7.5539568690668785E-5</v>
      </c>
      <c r="F281" s="177">
        <f t="shared" si="226"/>
        <v>7.5539568780417482E-5</v>
      </c>
      <c r="G281" s="177">
        <f t="shared" si="226"/>
        <v>7.5539568870166179E-5</v>
      </c>
      <c r="H281" s="177">
        <f t="shared" si="226"/>
        <v>7.5539568959914877E-5</v>
      </c>
      <c r="I281" s="177">
        <f t="shared" si="226"/>
        <v>7.5539569049663588E-5</v>
      </c>
      <c r="J281" s="177">
        <f t="shared" si="226"/>
        <v>7.5539566959364435E-5</v>
      </c>
      <c r="K281" s="177">
        <f t="shared" si="226"/>
        <v>7.5539567619222075E-5</v>
      </c>
      <c r="L281" s="177">
        <f t="shared" si="226"/>
        <v>7.2351419988604372E-5</v>
      </c>
      <c r="M281" s="177">
        <f t="shared" si="226"/>
        <v>7.2491908059125378E-5</v>
      </c>
      <c r="N281" s="177">
        <f t="shared" si="226"/>
        <v>7.2491909090205561E-5</v>
      </c>
      <c r="O281" s="177">
        <f t="shared" si="226"/>
        <v>7.2491909189027092E-5</v>
      </c>
      <c r="P281" s="177">
        <f t="shared" si="226"/>
        <v>7.2491908926267402E-5</v>
      </c>
      <c r="Q281" s="177">
        <f t="shared" si="226"/>
        <v>7.2491909417516859E-5</v>
      </c>
      <c r="R281" s="177">
        <f t="shared" si="226"/>
        <v>7.2491909082715418E-5</v>
      </c>
      <c r="S281" s="177">
        <f t="shared" si="226"/>
        <v>7.2491909521157168E-5</v>
      </c>
      <c r="T281" s="177">
        <f t="shared" si="226"/>
        <v>7.2491920707871185E-5</v>
      </c>
      <c r="U281" s="177">
        <f t="shared" si="226"/>
        <v>7.249193193296421E-5</v>
      </c>
      <c r="V281" s="177">
        <f t="shared" si="226"/>
        <v>7.2491924224218825E-5</v>
      </c>
      <c r="W281" s="177">
        <f t="shared" si="226"/>
        <v>7.2491922159283417E-5</v>
      </c>
      <c r="X281" s="177">
        <f t="shared" si="226"/>
        <v>7.2491931806978387E-5</v>
      </c>
      <c r="Y281" s="177">
        <f t="shared" si="226"/>
        <v>7.2491914227608501E-5</v>
      </c>
      <c r="Z281" s="177">
        <f t="shared" si="226"/>
        <v>7.2491925586123921E-5</v>
      </c>
      <c r="AA281" s="177">
        <f t="shared" si="226"/>
        <v>7.2491892117631498E-5</v>
      </c>
      <c r="AB281" s="177">
        <f t="shared" si="226"/>
        <v>7.2487305647370693E-5</v>
      </c>
      <c r="AC281" s="177">
        <f t="shared" si="226"/>
        <v>7.2487293594872005E-5</v>
      </c>
      <c r="AD281" s="177">
        <f t="shared" si="226"/>
        <v>7.2487317144627385E-5</v>
      </c>
      <c r="AE281" s="177">
        <f t="shared" si="226"/>
        <v>7.2487317144627385E-5</v>
      </c>
      <c r="AF281" s="177">
        <f t="shared" si="226"/>
        <v>7.2487317144627385E-5</v>
      </c>
      <c r="AG281" s="177">
        <f t="shared" si="226"/>
        <v>7.2487317144627385E-5</v>
      </c>
      <c r="AH281" s="177">
        <f t="shared" si="226"/>
        <v>7.2487317144627385E-5</v>
      </c>
      <c r="AI281" s="177">
        <f t="shared" si="226"/>
        <v>7.2487317144627385E-5</v>
      </c>
      <c r="AJ281" s="177">
        <f t="shared" si="226"/>
        <v>7.2487317144627385E-5</v>
      </c>
      <c r="AK281" s="177">
        <f t="shared" si="226"/>
        <v>7.2487317144627385E-5</v>
      </c>
      <c r="AL281" s="177">
        <f t="shared" si="226"/>
        <v>7.2487317144627385E-5</v>
      </c>
      <c r="AM281" s="177">
        <f t="shared" si="226"/>
        <v>7.2487317144627385E-5</v>
      </c>
      <c r="AN281" s="177">
        <f t="shared" si="226"/>
        <v>7.2487317144627385E-5</v>
      </c>
      <c r="AO281" s="177">
        <f t="shared" si="226"/>
        <v>7.2487317144627385E-5</v>
      </c>
      <c r="AP281" s="177">
        <f t="shared" si="226"/>
        <v>7.2487317144627385E-5</v>
      </c>
      <c r="AQ281" s="177">
        <f t="shared" si="226"/>
        <v>7.2487317144627385E-5</v>
      </c>
      <c r="AR281" s="177">
        <f t="shared" si="226"/>
        <v>7.2487317144627385E-5</v>
      </c>
      <c r="AS281" s="196">
        <f t="shared" ref="AS281:BV281" si="227">AR281</f>
        <v>7.2487317144627385E-5</v>
      </c>
      <c r="AT281" s="196">
        <f t="shared" si="227"/>
        <v>7.2487317144627385E-5</v>
      </c>
      <c r="AU281" s="196">
        <f t="shared" si="227"/>
        <v>7.2487317144627385E-5</v>
      </c>
      <c r="AV281" s="196">
        <f t="shared" si="227"/>
        <v>7.2487317144627385E-5</v>
      </c>
      <c r="AW281" s="196">
        <f t="shared" si="227"/>
        <v>7.2487317144627385E-5</v>
      </c>
      <c r="AX281" s="196">
        <f t="shared" si="227"/>
        <v>7.2487317144627385E-5</v>
      </c>
      <c r="AY281" s="196">
        <f t="shared" si="227"/>
        <v>7.2487317144627385E-5</v>
      </c>
      <c r="AZ281" s="196">
        <f t="shared" si="227"/>
        <v>7.2487317144627385E-5</v>
      </c>
      <c r="BA281" s="196">
        <f t="shared" si="227"/>
        <v>7.2487317144627385E-5</v>
      </c>
      <c r="BB281" s="196">
        <f t="shared" si="227"/>
        <v>7.2487317144627385E-5</v>
      </c>
      <c r="BC281" s="196">
        <f t="shared" si="227"/>
        <v>7.2487317144627385E-5</v>
      </c>
      <c r="BD281" s="196">
        <f t="shared" si="227"/>
        <v>7.2487317144627385E-5</v>
      </c>
      <c r="BE281" s="196">
        <f t="shared" si="227"/>
        <v>7.2487317144627385E-5</v>
      </c>
      <c r="BF281" s="196">
        <f t="shared" si="227"/>
        <v>7.2487317144627385E-5</v>
      </c>
      <c r="BG281" s="196">
        <f t="shared" si="227"/>
        <v>7.2487317144627385E-5</v>
      </c>
      <c r="BH281" s="196">
        <f t="shared" si="227"/>
        <v>7.2487317144627385E-5</v>
      </c>
      <c r="BI281" s="196">
        <f t="shared" si="227"/>
        <v>7.2487317144627385E-5</v>
      </c>
      <c r="BJ281" s="196">
        <f t="shared" si="227"/>
        <v>7.2487317144627385E-5</v>
      </c>
      <c r="BK281" s="196">
        <f t="shared" si="227"/>
        <v>7.2487317144627385E-5</v>
      </c>
      <c r="BL281" s="196">
        <f t="shared" si="227"/>
        <v>7.2487317144627385E-5</v>
      </c>
      <c r="BM281" s="196">
        <f t="shared" si="227"/>
        <v>7.2487317144627385E-5</v>
      </c>
      <c r="BN281" s="196">
        <f t="shared" si="227"/>
        <v>7.2487317144627385E-5</v>
      </c>
      <c r="BO281" s="196">
        <f t="shared" si="227"/>
        <v>7.2487317144627385E-5</v>
      </c>
      <c r="BP281" s="196">
        <f t="shared" si="227"/>
        <v>7.2487317144627385E-5</v>
      </c>
      <c r="BQ281" s="196">
        <f t="shared" si="227"/>
        <v>7.2487317144627385E-5</v>
      </c>
      <c r="BR281" s="196">
        <f t="shared" si="227"/>
        <v>7.2487317144627385E-5</v>
      </c>
      <c r="BS281" s="196">
        <f t="shared" si="227"/>
        <v>7.2487317144627385E-5</v>
      </c>
      <c r="BT281" s="196">
        <f t="shared" si="227"/>
        <v>7.2487317144627385E-5</v>
      </c>
      <c r="BU281" s="196">
        <f t="shared" si="227"/>
        <v>7.2487317144627385E-5</v>
      </c>
      <c r="BV281" s="196">
        <f t="shared" si="227"/>
        <v>7.2487317144627385E-5</v>
      </c>
    </row>
    <row r="282" spans="1:74" x14ac:dyDescent="0.25">
      <c r="A282" s="147" t="s">
        <v>189</v>
      </c>
      <c r="C282" s="142"/>
      <c r="D282" s="177">
        <f t="shared" ref="D282:AR282" si="228">D218*D$47</f>
        <v>6.0182697474476097E-5</v>
      </c>
      <c r="E282" s="177">
        <f t="shared" si="228"/>
        <v>6.0182697369103044E-5</v>
      </c>
      <c r="F282" s="177">
        <f t="shared" si="228"/>
        <v>6.0182697263729997E-5</v>
      </c>
      <c r="G282" s="177">
        <f t="shared" si="228"/>
        <v>6.0182697158356944E-5</v>
      </c>
      <c r="H282" s="177">
        <f t="shared" si="228"/>
        <v>6.0182697052983904E-5</v>
      </c>
      <c r="I282" s="177">
        <f t="shared" si="228"/>
        <v>6.018269694761083E-5</v>
      </c>
      <c r="J282" s="177">
        <f t="shared" si="228"/>
        <v>6.0182696829709333E-5</v>
      </c>
      <c r="K282" s="177">
        <f t="shared" si="228"/>
        <v>6.0182697337935565E-5</v>
      </c>
      <c r="L282" s="177">
        <f t="shared" si="228"/>
        <v>5.8516197417586436E-5</v>
      </c>
      <c r="M282" s="177">
        <f t="shared" si="228"/>
        <v>5.8516195837213464E-5</v>
      </c>
      <c r="N282" s="177">
        <f t="shared" si="228"/>
        <v>5.8516196576691441E-5</v>
      </c>
      <c r="O282" s="177">
        <f t="shared" si="228"/>
        <v>5.8516197139833341E-5</v>
      </c>
      <c r="P282" s="177">
        <f t="shared" si="228"/>
        <v>5.8516197450731899E-5</v>
      </c>
      <c r="Q282" s="177">
        <f t="shared" si="228"/>
        <v>5.8516195611847819E-5</v>
      </c>
      <c r="R282" s="177">
        <f t="shared" si="228"/>
        <v>5.8516196282003997E-5</v>
      </c>
      <c r="S282" s="177">
        <f t="shared" si="228"/>
        <v>5.8516195614967956E-5</v>
      </c>
      <c r="T282" s="177">
        <f t="shared" si="228"/>
        <v>5.8516201313829159E-5</v>
      </c>
      <c r="U282" s="177">
        <f t="shared" si="228"/>
        <v>5.8516181740476604E-5</v>
      </c>
      <c r="V282" s="177">
        <f t="shared" si="228"/>
        <v>5.8516208424617693E-5</v>
      </c>
      <c r="W282" s="177">
        <f t="shared" si="228"/>
        <v>5.8516220683856287E-5</v>
      </c>
      <c r="X282" s="177">
        <f t="shared" si="228"/>
        <v>5.8516199196990974E-5</v>
      </c>
      <c r="Y282" s="177">
        <f t="shared" si="228"/>
        <v>5.851620073154153E-5</v>
      </c>
      <c r="Z282" s="177">
        <f t="shared" si="228"/>
        <v>5.8516204018081414E-5</v>
      </c>
      <c r="AA282" s="177">
        <f t="shared" si="228"/>
        <v>5.8516182547425696E-5</v>
      </c>
      <c r="AB282" s="177">
        <f t="shared" si="228"/>
        <v>5.8516192110081227E-5</v>
      </c>
      <c r="AC282" s="177">
        <f t="shared" si="228"/>
        <v>5.8516170478217399E-5</v>
      </c>
      <c r="AD282" s="177">
        <f t="shared" si="228"/>
        <v>5.8516217226793513E-5</v>
      </c>
      <c r="AE282" s="177">
        <f t="shared" si="228"/>
        <v>5.8516167995369548E-5</v>
      </c>
      <c r="AF282" s="177">
        <f t="shared" si="228"/>
        <v>5.8516167995369548E-5</v>
      </c>
      <c r="AG282" s="177">
        <f t="shared" si="228"/>
        <v>5.8516167995369548E-5</v>
      </c>
      <c r="AH282" s="177">
        <f t="shared" si="228"/>
        <v>5.8516167995369548E-5</v>
      </c>
      <c r="AI282" s="177">
        <f t="shared" si="228"/>
        <v>5.8516167995369548E-5</v>
      </c>
      <c r="AJ282" s="177">
        <f t="shared" si="228"/>
        <v>5.8516167995369548E-5</v>
      </c>
      <c r="AK282" s="177">
        <f t="shared" si="228"/>
        <v>5.8516167995369548E-5</v>
      </c>
      <c r="AL282" s="177">
        <f t="shared" si="228"/>
        <v>5.8516167995369548E-5</v>
      </c>
      <c r="AM282" s="177">
        <f t="shared" si="228"/>
        <v>5.8516167995369548E-5</v>
      </c>
      <c r="AN282" s="177">
        <f t="shared" si="228"/>
        <v>5.8516167995369548E-5</v>
      </c>
      <c r="AO282" s="177">
        <f t="shared" si="228"/>
        <v>5.8516167995369548E-5</v>
      </c>
      <c r="AP282" s="177">
        <f t="shared" si="228"/>
        <v>5.8516167995369548E-5</v>
      </c>
      <c r="AQ282" s="177">
        <f t="shared" si="228"/>
        <v>5.8516167995369548E-5</v>
      </c>
      <c r="AR282" s="177">
        <f t="shared" si="228"/>
        <v>5.8516167995369548E-5</v>
      </c>
      <c r="AS282" s="196">
        <f t="shared" ref="AS282:BV282" si="229">AR282</f>
        <v>5.8516167995369548E-5</v>
      </c>
      <c r="AT282" s="196">
        <f t="shared" si="229"/>
        <v>5.8516167995369548E-5</v>
      </c>
      <c r="AU282" s="196">
        <f t="shared" si="229"/>
        <v>5.8516167995369548E-5</v>
      </c>
      <c r="AV282" s="196">
        <f t="shared" si="229"/>
        <v>5.8516167995369548E-5</v>
      </c>
      <c r="AW282" s="196">
        <f t="shared" si="229"/>
        <v>5.8516167995369548E-5</v>
      </c>
      <c r="AX282" s="196">
        <f t="shared" si="229"/>
        <v>5.8516167995369548E-5</v>
      </c>
      <c r="AY282" s="196">
        <f t="shared" si="229"/>
        <v>5.8516167995369548E-5</v>
      </c>
      <c r="AZ282" s="196">
        <f t="shared" si="229"/>
        <v>5.8516167995369548E-5</v>
      </c>
      <c r="BA282" s="196">
        <f t="shared" si="229"/>
        <v>5.8516167995369548E-5</v>
      </c>
      <c r="BB282" s="196">
        <f t="shared" si="229"/>
        <v>5.8516167995369548E-5</v>
      </c>
      <c r="BC282" s="196">
        <f t="shared" si="229"/>
        <v>5.8516167995369548E-5</v>
      </c>
      <c r="BD282" s="196">
        <f t="shared" si="229"/>
        <v>5.8516167995369548E-5</v>
      </c>
      <c r="BE282" s="196">
        <f t="shared" si="229"/>
        <v>5.8516167995369548E-5</v>
      </c>
      <c r="BF282" s="196">
        <f t="shared" si="229"/>
        <v>5.8516167995369548E-5</v>
      </c>
      <c r="BG282" s="196">
        <f t="shared" si="229"/>
        <v>5.8516167995369548E-5</v>
      </c>
      <c r="BH282" s="196">
        <f t="shared" si="229"/>
        <v>5.8516167995369548E-5</v>
      </c>
      <c r="BI282" s="196">
        <f t="shared" si="229"/>
        <v>5.8516167995369548E-5</v>
      </c>
      <c r="BJ282" s="196">
        <f t="shared" si="229"/>
        <v>5.8516167995369548E-5</v>
      </c>
      <c r="BK282" s="196">
        <f t="shared" si="229"/>
        <v>5.8516167995369548E-5</v>
      </c>
      <c r="BL282" s="196">
        <f t="shared" si="229"/>
        <v>5.8516167995369548E-5</v>
      </c>
      <c r="BM282" s="196">
        <f t="shared" si="229"/>
        <v>5.8516167995369548E-5</v>
      </c>
      <c r="BN282" s="196">
        <f t="shared" si="229"/>
        <v>5.8516167995369548E-5</v>
      </c>
      <c r="BO282" s="196">
        <f t="shared" si="229"/>
        <v>5.8516167995369548E-5</v>
      </c>
      <c r="BP282" s="196">
        <f t="shared" si="229"/>
        <v>5.8516167995369548E-5</v>
      </c>
      <c r="BQ282" s="196">
        <f t="shared" si="229"/>
        <v>5.8516167995369548E-5</v>
      </c>
      <c r="BR282" s="196">
        <f t="shared" si="229"/>
        <v>5.8516167995369548E-5</v>
      </c>
      <c r="BS282" s="196">
        <f t="shared" si="229"/>
        <v>5.8516167995369548E-5</v>
      </c>
      <c r="BT282" s="196">
        <f t="shared" si="229"/>
        <v>5.8516167995369548E-5</v>
      </c>
      <c r="BU282" s="196">
        <f t="shared" si="229"/>
        <v>5.8516167995369548E-5</v>
      </c>
      <c r="BV282" s="196">
        <f t="shared" si="229"/>
        <v>5.8516167995369548E-5</v>
      </c>
    </row>
    <row r="283" spans="1:74" x14ac:dyDescent="0.25">
      <c r="A283" s="147" t="s">
        <v>12</v>
      </c>
      <c r="C283" s="142"/>
      <c r="D283" s="177">
        <f t="shared" ref="D283:AR283" si="230">D219*D$47</f>
        <v>9.6277208526413354E-5</v>
      </c>
      <c r="E283" s="177">
        <f t="shared" si="230"/>
        <v>9.6277208526413354E-5</v>
      </c>
      <c r="F283" s="177">
        <f t="shared" si="230"/>
        <v>9.6277208526413354E-5</v>
      </c>
      <c r="G283" s="177">
        <f t="shared" si="230"/>
        <v>9.6277208526413354E-5</v>
      </c>
      <c r="H283" s="177">
        <f t="shared" si="230"/>
        <v>9.6277208526413354E-5</v>
      </c>
      <c r="I283" s="177">
        <f t="shared" si="230"/>
        <v>9.6277208526413354E-5</v>
      </c>
      <c r="J283" s="177">
        <f t="shared" si="230"/>
        <v>9.6277280348224778E-5</v>
      </c>
      <c r="K283" s="177">
        <f t="shared" si="230"/>
        <v>9.6277142487158465E-5</v>
      </c>
      <c r="L283" s="177">
        <f t="shared" si="230"/>
        <v>9.6277078685182325E-5</v>
      </c>
      <c r="M283" s="177">
        <f t="shared" si="230"/>
        <v>9.6277037471776739E-5</v>
      </c>
      <c r="N283" s="177">
        <f t="shared" si="230"/>
        <v>9.6277331407132802E-5</v>
      </c>
      <c r="O283" s="177">
        <f t="shared" si="230"/>
        <v>9.6276982844140449E-5</v>
      </c>
      <c r="P283" s="177">
        <f t="shared" si="230"/>
        <v>9.723248851490799E-5</v>
      </c>
      <c r="Q283" s="177">
        <f t="shared" si="230"/>
        <v>9.7232326816308723E-5</v>
      </c>
      <c r="R283" s="177">
        <f t="shared" si="230"/>
        <v>9.7232380041234356E-5</v>
      </c>
      <c r="S283" s="177">
        <f t="shared" si="230"/>
        <v>9.7232562574588755E-5</v>
      </c>
      <c r="T283" s="177">
        <f t="shared" si="230"/>
        <v>9.7232369205905981E-5</v>
      </c>
      <c r="U283" s="177">
        <f t="shared" si="230"/>
        <v>9.7232337364298857E-5</v>
      </c>
      <c r="V283" s="177">
        <f t="shared" si="230"/>
        <v>9.7232526294936526E-5</v>
      </c>
      <c r="W283" s="177">
        <f t="shared" si="230"/>
        <v>9.7232440249657497E-5</v>
      </c>
      <c r="X283" s="177">
        <f t="shared" si="230"/>
        <v>9.7232510868605632E-5</v>
      </c>
      <c r="Y283" s="177">
        <f t="shared" si="230"/>
        <v>9.7232275662369525E-5</v>
      </c>
      <c r="Z283" s="177">
        <f t="shared" si="230"/>
        <v>9.7232244259960423E-5</v>
      </c>
      <c r="AA283" s="177">
        <f t="shared" si="230"/>
        <v>9.7232471328985844E-5</v>
      </c>
      <c r="AB283" s="177">
        <f t="shared" si="230"/>
        <v>9.7232239731774342E-5</v>
      </c>
      <c r="AC283" s="177">
        <f t="shared" si="230"/>
        <v>9.7232544974210596E-5</v>
      </c>
      <c r="AD283" s="177">
        <f t="shared" si="230"/>
        <v>9.7232451014094202E-5</v>
      </c>
      <c r="AE283" s="177">
        <f t="shared" si="230"/>
        <v>9.7232423379026912E-5</v>
      </c>
      <c r="AF283" s="177">
        <f t="shared" si="230"/>
        <v>9.7232423379026912E-5</v>
      </c>
      <c r="AG283" s="177">
        <f t="shared" si="230"/>
        <v>9.7232423379026912E-5</v>
      </c>
      <c r="AH283" s="177">
        <f t="shared" si="230"/>
        <v>9.7232423379026912E-5</v>
      </c>
      <c r="AI283" s="177">
        <f t="shared" si="230"/>
        <v>9.7232423379026912E-5</v>
      </c>
      <c r="AJ283" s="177">
        <f t="shared" si="230"/>
        <v>9.7232423379026912E-5</v>
      </c>
      <c r="AK283" s="177">
        <f t="shared" si="230"/>
        <v>9.7232423379026912E-5</v>
      </c>
      <c r="AL283" s="177">
        <f t="shared" si="230"/>
        <v>9.7232423379026912E-5</v>
      </c>
      <c r="AM283" s="177">
        <f t="shared" si="230"/>
        <v>9.7232423379026912E-5</v>
      </c>
      <c r="AN283" s="177">
        <f t="shared" si="230"/>
        <v>9.7232423379026912E-5</v>
      </c>
      <c r="AO283" s="177">
        <f t="shared" si="230"/>
        <v>9.7232423379026912E-5</v>
      </c>
      <c r="AP283" s="177">
        <f t="shared" si="230"/>
        <v>9.7232423379026912E-5</v>
      </c>
      <c r="AQ283" s="177">
        <f t="shared" si="230"/>
        <v>9.7232423379026912E-5</v>
      </c>
      <c r="AR283" s="177">
        <f t="shared" si="230"/>
        <v>9.7232423379026912E-5</v>
      </c>
      <c r="AS283" s="196">
        <f t="shared" ref="AS283:BV283" si="231">AR283</f>
        <v>9.7232423379026912E-5</v>
      </c>
      <c r="AT283" s="196">
        <f t="shared" si="231"/>
        <v>9.7232423379026912E-5</v>
      </c>
      <c r="AU283" s="196">
        <f t="shared" si="231"/>
        <v>9.7232423379026912E-5</v>
      </c>
      <c r="AV283" s="196">
        <f t="shared" si="231"/>
        <v>9.7232423379026912E-5</v>
      </c>
      <c r="AW283" s="196">
        <f t="shared" si="231"/>
        <v>9.7232423379026912E-5</v>
      </c>
      <c r="AX283" s="196">
        <f t="shared" si="231"/>
        <v>9.7232423379026912E-5</v>
      </c>
      <c r="AY283" s="196">
        <f t="shared" si="231"/>
        <v>9.7232423379026912E-5</v>
      </c>
      <c r="AZ283" s="196">
        <f t="shared" si="231"/>
        <v>9.7232423379026912E-5</v>
      </c>
      <c r="BA283" s="196">
        <f t="shared" si="231"/>
        <v>9.7232423379026912E-5</v>
      </c>
      <c r="BB283" s="196">
        <f t="shared" si="231"/>
        <v>9.7232423379026912E-5</v>
      </c>
      <c r="BC283" s="196">
        <f t="shared" si="231"/>
        <v>9.7232423379026912E-5</v>
      </c>
      <c r="BD283" s="196">
        <f t="shared" si="231"/>
        <v>9.7232423379026912E-5</v>
      </c>
      <c r="BE283" s="196">
        <f t="shared" si="231"/>
        <v>9.7232423379026912E-5</v>
      </c>
      <c r="BF283" s="196">
        <f t="shared" si="231"/>
        <v>9.7232423379026912E-5</v>
      </c>
      <c r="BG283" s="196">
        <f t="shared" si="231"/>
        <v>9.7232423379026912E-5</v>
      </c>
      <c r="BH283" s="196">
        <f t="shared" si="231"/>
        <v>9.7232423379026912E-5</v>
      </c>
      <c r="BI283" s="196">
        <f t="shared" si="231"/>
        <v>9.7232423379026912E-5</v>
      </c>
      <c r="BJ283" s="196">
        <f t="shared" si="231"/>
        <v>9.7232423379026912E-5</v>
      </c>
      <c r="BK283" s="196">
        <f t="shared" si="231"/>
        <v>9.7232423379026912E-5</v>
      </c>
      <c r="BL283" s="196">
        <f t="shared" si="231"/>
        <v>9.7232423379026912E-5</v>
      </c>
      <c r="BM283" s="196">
        <f t="shared" si="231"/>
        <v>9.7232423379026912E-5</v>
      </c>
      <c r="BN283" s="196">
        <f t="shared" si="231"/>
        <v>9.7232423379026912E-5</v>
      </c>
      <c r="BO283" s="196">
        <f t="shared" si="231"/>
        <v>9.7232423379026912E-5</v>
      </c>
      <c r="BP283" s="196">
        <f t="shared" si="231"/>
        <v>9.7232423379026912E-5</v>
      </c>
      <c r="BQ283" s="196">
        <f t="shared" si="231"/>
        <v>9.7232423379026912E-5</v>
      </c>
      <c r="BR283" s="196">
        <f t="shared" si="231"/>
        <v>9.7232423379026912E-5</v>
      </c>
      <c r="BS283" s="196">
        <f t="shared" si="231"/>
        <v>9.7232423379026912E-5</v>
      </c>
      <c r="BT283" s="196">
        <f t="shared" si="231"/>
        <v>9.7232423379026912E-5</v>
      </c>
      <c r="BU283" s="196">
        <f t="shared" si="231"/>
        <v>9.7232423379026912E-5</v>
      </c>
      <c r="BV283" s="196">
        <f t="shared" si="231"/>
        <v>9.7232423379026912E-5</v>
      </c>
    </row>
    <row r="284" spans="1:74" x14ac:dyDescent="0.25">
      <c r="A284" s="147" t="s">
        <v>2</v>
      </c>
      <c r="C284" s="142"/>
      <c r="D284" s="177">
        <f t="shared" ref="D284:AR284" si="232">D220*D$47</f>
        <v>0</v>
      </c>
      <c r="E284" s="177">
        <f t="shared" si="232"/>
        <v>0</v>
      </c>
      <c r="F284" s="177">
        <f t="shared" si="232"/>
        <v>0</v>
      </c>
      <c r="G284" s="177">
        <f t="shared" si="232"/>
        <v>0</v>
      </c>
      <c r="H284" s="177">
        <f t="shared" si="232"/>
        <v>0</v>
      </c>
      <c r="I284" s="177">
        <f t="shared" si="232"/>
        <v>0</v>
      </c>
      <c r="J284" s="177">
        <f t="shared" si="232"/>
        <v>0</v>
      </c>
      <c r="K284" s="177">
        <f t="shared" si="232"/>
        <v>0</v>
      </c>
      <c r="L284" s="177">
        <f t="shared" si="232"/>
        <v>0</v>
      </c>
      <c r="M284" s="177">
        <f t="shared" si="232"/>
        <v>0</v>
      </c>
      <c r="N284" s="177">
        <f t="shared" si="232"/>
        <v>0</v>
      </c>
      <c r="O284" s="177">
        <f t="shared" si="232"/>
        <v>0</v>
      </c>
      <c r="P284" s="177">
        <f t="shared" si="232"/>
        <v>0</v>
      </c>
      <c r="Q284" s="177">
        <f t="shared" si="232"/>
        <v>0</v>
      </c>
      <c r="R284" s="177">
        <f t="shared" si="232"/>
        <v>0</v>
      </c>
      <c r="S284" s="177">
        <f t="shared" si="232"/>
        <v>0</v>
      </c>
      <c r="T284" s="177">
        <f t="shared" si="232"/>
        <v>0</v>
      </c>
      <c r="U284" s="177">
        <f t="shared" si="232"/>
        <v>0</v>
      </c>
      <c r="V284" s="177">
        <f t="shared" si="232"/>
        <v>0</v>
      </c>
      <c r="W284" s="177">
        <f t="shared" si="232"/>
        <v>0</v>
      </c>
      <c r="X284" s="177">
        <f t="shared" si="232"/>
        <v>0</v>
      </c>
      <c r="Y284" s="177">
        <f t="shared" si="232"/>
        <v>0</v>
      </c>
      <c r="Z284" s="177">
        <f t="shared" si="232"/>
        <v>0</v>
      </c>
      <c r="AA284" s="177">
        <f t="shared" si="232"/>
        <v>0</v>
      </c>
      <c r="AB284" s="177">
        <f t="shared" si="232"/>
        <v>0</v>
      </c>
      <c r="AC284" s="177">
        <f t="shared" si="232"/>
        <v>0</v>
      </c>
      <c r="AD284" s="177">
        <f t="shared" si="232"/>
        <v>0</v>
      </c>
      <c r="AE284" s="177">
        <f t="shared" si="232"/>
        <v>0</v>
      </c>
      <c r="AF284" s="177">
        <f t="shared" si="232"/>
        <v>0</v>
      </c>
      <c r="AG284" s="177">
        <f t="shared" si="232"/>
        <v>0</v>
      </c>
      <c r="AH284" s="177">
        <f t="shared" si="232"/>
        <v>0</v>
      </c>
      <c r="AI284" s="177">
        <f t="shared" si="232"/>
        <v>0</v>
      </c>
      <c r="AJ284" s="177">
        <f t="shared" si="232"/>
        <v>0</v>
      </c>
      <c r="AK284" s="177">
        <f t="shared" si="232"/>
        <v>0</v>
      </c>
      <c r="AL284" s="177">
        <f t="shared" si="232"/>
        <v>0</v>
      </c>
      <c r="AM284" s="177">
        <f t="shared" si="232"/>
        <v>0</v>
      </c>
      <c r="AN284" s="177">
        <f t="shared" si="232"/>
        <v>0</v>
      </c>
      <c r="AO284" s="177">
        <f t="shared" si="232"/>
        <v>0</v>
      </c>
      <c r="AP284" s="177">
        <f t="shared" si="232"/>
        <v>0</v>
      </c>
      <c r="AQ284" s="177">
        <f t="shared" si="232"/>
        <v>0</v>
      </c>
      <c r="AR284" s="177">
        <f t="shared" si="232"/>
        <v>0</v>
      </c>
      <c r="AS284" s="196">
        <f t="shared" ref="AS284:BV284" si="233">AR284</f>
        <v>0</v>
      </c>
      <c r="AT284" s="196">
        <f t="shared" si="233"/>
        <v>0</v>
      </c>
      <c r="AU284" s="196">
        <f t="shared" si="233"/>
        <v>0</v>
      </c>
      <c r="AV284" s="196">
        <f t="shared" si="233"/>
        <v>0</v>
      </c>
      <c r="AW284" s="196">
        <f t="shared" si="233"/>
        <v>0</v>
      </c>
      <c r="AX284" s="196">
        <f t="shared" si="233"/>
        <v>0</v>
      </c>
      <c r="AY284" s="196">
        <f t="shared" si="233"/>
        <v>0</v>
      </c>
      <c r="AZ284" s="196">
        <f t="shared" si="233"/>
        <v>0</v>
      </c>
      <c r="BA284" s="196">
        <f t="shared" si="233"/>
        <v>0</v>
      </c>
      <c r="BB284" s="196">
        <f t="shared" si="233"/>
        <v>0</v>
      </c>
      <c r="BC284" s="196">
        <f t="shared" si="233"/>
        <v>0</v>
      </c>
      <c r="BD284" s="196">
        <f t="shared" si="233"/>
        <v>0</v>
      </c>
      <c r="BE284" s="196">
        <f t="shared" si="233"/>
        <v>0</v>
      </c>
      <c r="BF284" s="196">
        <f t="shared" si="233"/>
        <v>0</v>
      </c>
      <c r="BG284" s="196">
        <f t="shared" si="233"/>
        <v>0</v>
      </c>
      <c r="BH284" s="196">
        <f t="shared" si="233"/>
        <v>0</v>
      </c>
      <c r="BI284" s="196">
        <f t="shared" si="233"/>
        <v>0</v>
      </c>
      <c r="BJ284" s="196">
        <f t="shared" si="233"/>
        <v>0</v>
      </c>
      <c r="BK284" s="196">
        <f t="shared" si="233"/>
        <v>0</v>
      </c>
      <c r="BL284" s="196">
        <f t="shared" si="233"/>
        <v>0</v>
      </c>
      <c r="BM284" s="196">
        <f t="shared" si="233"/>
        <v>0</v>
      </c>
      <c r="BN284" s="196">
        <f t="shared" si="233"/>
        <v>0</v>
      </c>
      <c r="BO284" s="196">
        <f t="shared" si="233"/>
        <v>0</v>
      </c>
      <c r="BP284" s="196">
        <f t="shared" si="233"/>
        <v>0</v>
      </c>
      <c r="BQ284" s="196">
        <f t="shared" si="233"/>
        <v>0</v>
      </c>
      <c r="BR284" s="196">
        <f t="shared" si="233"/>
        <v>0</v>
      </c>
      <c r="BS284" s="196">
        <f t="shared" si="233"/>
        <v>0</v>
      </c>
      <c r="BT284" s="196">
        <f t="shared" si="233"/>
        <v>0</v>
      </c>
      <c r="BU284" s="196">
        <f t="shared" si="233"/>
        <v>0</v>
      </c>
      <c r="BV284" s="196">
        <f t="shared" si="233"/>
        <v>0</v>
      </c>
    </row>
    <row r="285" spans="1:74" x14ac:dyDescent="0.25">
      <c r="A285" s="141" t="s">
        <v>192</v>
      </c>
      <c r="B285" s="148"/>
      <c r="C285" s="142"/>
      <c r="D285" s="177">
        <f t="shared" ref="D285:AR285" si="234">D221*D$47</f>
        <v>1.3160615263109861E-4</v>
      </c>
      <c r="E285" s="177">
        <f t="shared" si="234"/>
        <v>1.3160615263109861E-4</v>
      </c>
      <c r="F285" s="177">
        <f t="shared" si="234"/>
        <v>1.3160615263109861E-4</v>
      </c>
      <c r="G285" s="177">
        <f t="shared" si="234"/>
        <v>1.3160615263109861E-4</v>
      </c>
      <c r="H285" s="177">
        <f t="shared" si="234"/>
        <v>1.3160615263109861E-4</v>
      </c>
      <c r="I285" s="177">
        <f t="shared" si="234"/>
        <v>1.3160615263109861E-4</v>
      </c>
      <c r="J285" s="177">
        <f t="shared" si="234"/>
        <v>1.3160615263109861E-4</v>
      </c>
      <c r="K285" s="177">
        <f t="shared" si="234"/>
        <v>1.3160615263109861E-4</v>
      </c>
      <c r="L285" s="177">
        <f t="shared" si="234"/>
        <v>1.3160615263109861E-4</v>
      </c>
      <c r="M285" s="177">
        <f t="shared" si="234"/>
        <v>1.3160615263109861E-4</v>
      </c>
      <c r="N285" s="177">
        <f t="shared" si="234"/>
        <v>1.3160615263109861E-4</v>
      </c>
      <c r="O285" s="177">
        <f t="shared" si="234"/>
        <v>1.3160615263109861E-4</v>
      </c>
      <c r="P285" s="177">
        <f t="shared" si="234"/>
        <v>1.3160615263109861E-4</v>
      </c>
      <c r="Q285" s="177">
        <f t="shared" si="234"/>
        <v>1.3160615263109861E-4</v>
      </c>
      <c r="R285" s="177">
        <f t="shared" si="234"/>
        <v>1.3160615263109861E-4</v>
      </c>
      <c r="S285" s="177">
        <f t="shared" si="234"/>
        <v>1.3160615263109861E-4</v>
      </c>
      <c r="T285" s="177">
        <f t="shared" si="234"/>
        <v>1.3160615263109861E-4</v>
      </c>
      <c r="U285" s="177">
        <f t="shared" si="234"/>
        <v>1.3160615263109861E-4</v>
      </c>
      <c r="V285" s="177">
        <f t="shared" si="234"/>
        <v>1.3160615263109861E-4</v>
      </c>
      <c r="W285" s="177">
        <f t="shared" si="234"/>
        <v>1.3160615263109861E-4</v>
      </c>
      <c r="X285" s="177">
        <f t="shared" si="234"/>
        <v>1.3160615263109861E-4</v>
      </c>
      <c r="Y285" s="177">
        <f t="shared" si="234"/>
        <v>1.3160615263109861E-4</v>
      </c>
      <c r="Z285" s="177">
        <f t="shared" si="234"/>
        <v>1.3160615263109861E-4</v>
      </c>
      <c r="AA285" s="177">
        <f t="shared" si="234"/>
        <v>1.3160615263109861E-4</v>
      </c>
      <c r="AB285" s="177">
        <f t="shared" si="234"/>
        <v>1.3160615263109861E-4</v>
      </c>
      <c r="AC285" s="177">
        <f t="shared" si="234"/>
        <v>1.3160615263109861E-4</v>
      </c>
      <c r="AD285" s="177">
        <f t="shared" si="234"/>
        <v>1.3160615263109861E-4</v>
      </c>
      <c r="AE285" s="177">
        <f t="shared" si="234"/>
        <v>1.3160615263109861E-4</v>
      </c>
      <c r="AF285" s="177">
        <f t="shared" si="234"/>
        <v>1.3160615263109861E-4</v>
      </c>
      <c r="AG285" s="177">
        <f t="shared" si="234"/>
        <v>1.3160615263109861E-4</v>
      </c>
      <c r="AH285" s="177">
        <f t="shared" si="234"/>
        <v>1.3160615263109861E-4</v>
      </c>
      <c r="AI285" s="177">
        <f t="shared" si="234"/>
        <v>1.3160615263109861E-4</v>
      </c>
      <c r="AJ285" s="177">
        <f t="shared" si="234"/>
        <v>1.3160615263109861E-4</v>
      </c>
      <c r="AK285" s="177">
        <f t="shared" si="234"/>
        <v>1.3160615263109861E-4</v>
      </c>
      <c r="AL285" s="177">
        <f t="shared" si="234"/>
        <v>1.3160615263109861E-4</v>
      </c>
      <c r="AM285" s="177">
        <f t="shared" si="234"/>
        <v>1.3160615263109861E-4</v>
      </c>
      <c r="AN285" s="177">
        <f t="shared" si="234"/>
        <v>1.3160615263109861E-4</v>
      </c>
      <c r="AO285" s="177">
        <f t="shared" si="234"/>
        <v>1.3160615263109861E-4</v>
      </c>
      <c r="AP285" s="177">
        <f t="shared" si="234"/>
        <v>1.3160615263109861E-4</v>
      </c>
      <c r="AQ285" s="177">
        <f t="shared" si="234"/>
        <v>1.3160615263109861E-4</v>
      </c>
      <c r="AR285" s="177">
        <f t="shared" si="234"/>
        <v>1.3160615263109861E-4</v>
      </c>
      <c r="AS285" s="196">
        <f t="shared" ref="AS285:BV285" si="235">AR285</f>
        <v>1.3160615263109861E-4</v>
      </c>
      <c r="AT285" s="196">
        <f t="shared" si="235"/>
        <v>1.3160615263109861E-4</v>
      </c>
      <c r="AU285" s="196">
        <f t="shared" si="235"/>
        <v>1.3160615263109861E-4</v>
      </c>
      <c r="AV285" s="196">
        <f t="shared" si="235"/>
        <v>1.3160615263109861E-4</v>
      </c>
      <c r="AW285" s="196">
        <f t="shared" si="235"/>
        <v>1.3160615263109861E-4</v>
      </c>
      <c r="AX285" s="196">
        <f t="shared" si="235"/>
        <v>1.3160615263109861E-4</v>
      </c>
      <c r="AY285" s="196">
        <f t="shared" si="235"/>
        <v>1.3160615263109861E-4</v>
      </c>
      <c r="AZ285" s="196">
        <f t="shared" si="235"/>
        <v>1.3160615263109861E-4</v>
      </c>
      <c r="BA285" s="196">
        <f t="shared" si="235"/>
        <v>1.3160615263109861E-4</v>
      </c>
      <c r="BB285" s="196">
        <f t="shared" si="235"/>
        <v>1.3160615263109861E-4</v>
      </c>
      <c r="BC285" s="196">
        <f t="shared" si="235"/>
        <v>1.3160615263109861E-4</v>
      </c>
      <c r="BD285" s="196">
        <f t="shared" si="235"/>
        <v>1.3160615263109861E-4</v>
      </c>
      <c r="BE285" s="196">
        <f t="shared" si="235"/>
        <v>1.3160615263109861E-4</v>
      </c>
      <c r="BF285" s="196">
        <f t="shared" si="235"/>
        <v>1.3160615263109861E-4</v>
      </c>
      <c r="BG285" s="196">
        <f t="shared" si="235"/>
        <v>1.3160615263109861E-4</v>
      </c>
      <c r="BH285" s="196">
        <f t="shared" si="235"/>
        <v>1.3160615263109861E-4</v>
      </c>
      <c r="BI285" s="196">
        <f t="shared" si="235"/>
        <v>1.3160615263109861E-4</v>
      </c>
      <c r="BJ285" s="196">
        <f t="shared" si="235"/>
        <v>1.3160615263109861E-4</v>
      </c>
      <c r="BK285" s="196">
        <f t="shared" si="235"/>
        <v>1.3160615263109861E-4</v>
      </c>
      <c r="BL285" s="196">
        <f t="shared" si="235"/>
        <v>1.3160615263109861E-4</v>
      </c>
      <c r="BM285" s="196">
        <f t="shared" si="235"/>
        <v>1.3160615263109861E-4</v>
      </c>
      <c r="BN285" s="196">
        <f t="shared" si="235"/>
        <v>1.3160615263109861E-4</v>
      </c>
      <c r="BO285" s="196">
        <f t="shared" si="235"/>
        <v>1.3160615263109861E-4</v>
      </c>
      <c r="BP285" s="196">
        <f t="shared" si="235"/>
        <v>1.3160615263109861E-4</v>
      </c>
      <c r="BQ285" s="196">
        <f t="shared" si="235"/>
        <v>1.3160615263109861E-4</v>
      </c>
      <c r="BR285" s="196">
        <f t="shared" si="235"/>
        <v>1.3160615263109861E-4</v>
      </c>
      <c r="BS285" s="196">
        <f t="shared" si="235"/>
        <v>1.3160615263109861E-4</v>
      </c>
      <c r="BT285" s="196">
        <f t="shared" si="235"/>
        <v>1.3160615263109861E-4</v>
      </c>
      <c r="BU285" s="196">
        <f t="shared" si="235"/>
        <v>1.3160615263109861E-4</v>
      </c>
      <c r="BV285" s="196">
        <f t="shared" si="235"/>
        <v>1.3160615263109861E-4</v>
      </c>
    </row>
    <row r="286" spans="1:74" x14ac:dyDescent="0.25">
      <c r="A286" s="141" t="s">
        <v>193</v>
      </c>
      <c r="B286" s="148"/>
      <c r="C286" s="142"/>
      <c r="D286" s="177">
        <f t="shared" ref="D286:AR286" si="236">D222*D$47</f>
        <v>2.1873951552929095E-5</v>
      </c>
      <c r="E286" s="177">
        <f t="shared" si="236"/>
        <v>2.1994727981065728E-5</v>
      </c>
      <c r="F286" s="177">
        <f t="shared" si="236"/>
        <v>2.2115504409295925E-5</v>
      </c>
      <c r="G286" s="177">
        <f t="shared" si="236"/>
        <v>2.2236280837619682E-5</v>
      </c>
      <c r="H286" s="177">
        <f t="shared" si="236"/>
        <v>2.2357057266037001E-5</v>
      </c>
      <c r="I286" s="177">
        <f t="shared" si="236"/>
        <v>2.2477833694547874E-5</v>
      </c>
      <c r="J286" s="177">
        <f t="shared" si="236"/>
        <v>2.2518092465058956E-5</v>
      </c>
      <c r="K286" s="177">
        <f t="shared" si="236"/>
        <v>2.2558351302916563E-5</v>
      </c>
      <c r="L286" s="177">
        <f t="shared" si="236"/>
        <v>2.2189176470588238E-5</v>
      </c>
      <c r="M286" s="177">
        <f t="shared" si="236"/>
        <v>2.2228705805873902E-5</v>
      </c>
      <c r="N286" s="177">
        <f t="shared" si="236"/>
        <v>2.2268235220572455E-5</v>
      </c>
      <c r="O286" s="177">
        <f t="shared" si="236"/>
        <v>2.2031058759868132E-5</v>
      </c>
      <c r="P286" s="177">
        <f t="shared" si="236"/>
        <v>2.1793882290725942E-5</v>
      </c>
      <c r="Q286" s="177">
        <f t="shared" si="236"/>
        <v>2.1556705882352937E-5</v>
      </c>
      <c r="R286" s="177">
        <f t="shared" si="236"/>
        <v>2.1319529411764695E-5</v>
      </c>
      <c r="S286" s="177">
        <f t="shared" si="236"/>
        <v>2.108235288462726E-5</v>
      </c>
      <c r="T286" s="177">
        <f t="shared" si="236"/>
        <v>2.108235288785678E-5</v>
      </c>
      <c r="U286" s="177">
        <f t="shared" si="236"/>
        <v>2.121411774653503E-5</v>
      </c>
      <c r="V286" s="177">
        <f t="shared" si="236"/>
        <v>2.0818822793889217E-5</v>
      </c>
      <c r="W286" s="177">
        <f t="shared" si="236"/>
        <v>2.1082350754587412E-5</v>
      </c>
      <c r="X286" s="177">
        <f t="shared" si="236"/>
        <v>2.1148237503736741E-5</v>
      </c>
      <c r="Y286" s="177">
        <f t="shared" si="236"/>
        <v>2.1477646669763424E-5</v>
      </c>
      <c r="Z286" s="177">
        <f t="shared" si="236"/>
        <v>2.3669624825336229E-5</v>
      </c>
      <c r="AA286" s="177">
        <f t="shared" si="236"/>
        <v>2.4057646834226084E-5</v>
      </c>
      <c r="AB286" s="177">
        <f t="shared" si="236"/>
        <v>2.4057646834226084E-5</v>
      </c>
      <c r="AC286" s="177">
        <f t="shared" si="236"/>
        <v>2.4057646834226084E-5</v>
      </c>
      <c r="AD286" s="177">
        <f t="shared" si="236"/>
        <v>2.4057649873707521E-5</v>
      </c>
      <c r="AE286" s="177">
        <f t="shared" si="236"/>
        <v>2.4057649873707521E-5</v>
      </c>
      <c r="AF286" s="177">
        <f t="shared" si="236"/>
        <v>2.4057649873707521E-5</v>
      </c>
      <c r="AG286" s="177">
        <f t="shared" si="236"/>
        <v>2.4057649873707521E-5</v>
      </c>
      <c r="AH286" s="177">
        <f t="shared" si="236"/>
        <v>2.4057649873707521E-5</v>
      </c>
      <c r="AI286" s="177">
        <f t="shared" si="236"/>
        <v>2.4057649873707521E-5</v>
      </c>
      <c r="AJ286" s="177">
        <f t="shared" si="236"/>
        <v>2.4057649873707521E-5</v>
      </c>
      <c r="AK286" s="177">
        <f t="shared" si="236"/>
        <v>2.4057649873707521E-5</v>
      </c>
      <c r="AL286" s="177">
        <f t="shared" si="236"/>
        <v>2.4057649873707521E-5</v>
      </c>
      <c r="AM286" s="177">
        <f t="shared" si="236"/>
        <v>2.4057649873707521E-5</v>
      </c>
      <c r="AN286" s="177">
        <f t="shared" si="236"/>
        <v>2.4057649873707521E-5</v>
      </c>
      <c r="AO286" s="177">
        <f t="shared" si="236"/>
        <v>2.4057649873707521E-5</v>
      </c>
      <c r="AP286" s="177">
        <f t="shared" si="236"/>
        <v>2.4057649873707521E-5</v>
      </c>
      <c r="AQ286" s="177">
        <f t="shared" si="236"/>
        <v>2.4057649873707521E-5</v>
      </c>
      <c r="AR286" s="177">
        <f t="shared" si="236"/>
        <v>2.4057649873707521E-5</v>
      </c>
      <c r="AS286" s="196">
        <f t="shared" ref="AS286:BV286" si="237">AR286</f>
        <v>2.4057649873707521E-5</v>
      </c>
      <c r="AT286" s="196">
        <f t="shared" si="237"/>
        <v>2.4057649873707521E-5</v>
      </c>
      <c r="AU286" s="196">
        <f t="shared" si="237"/>
        <v>2.4057649873707521E-5</v>
      </c>
      <c r="AV286" s="196">
        <f t="shared" si="237"/>
        <v>2.4057649873707521E-5</v>
      </c>
      <c r="AW286" s="196">
        <f t="shared" si="237"/>
        <v>2.4057649873707521E-5</v>
      </c>
      <c r="AX286" s="196">
        <f t="shared" si="237"/>
        <v>2.4057649873707521E-5</v>
      </c>
      <c r="AY286" s="196">
        <f t="shared" si="237"/>
        <v>2.4057649873707521E-5</v>
      </c>
      <c r="AZ286" s="196">
        <f t="shared" si="237"/>
        <v>2.4057649873707521E-5</v>
      </c>
      <c r="BA286" s="196">
        <f t="shared" si="237"/>
        <v>2.4057649873707521E-5</v>
      </c>
      <c r="BB286" s="196">
        <f t="shared" si="237"/>
        <v>2.4057649873707521E-5</v>
      </c>
      <c r="BC286" s="196">
        <f t="shared" si="237"/>
        <v>2.4057649873707521E-5</v>
      </c>
      <c r="BD286" s="196">
        <f t="shared" si="237"/>
        <v>2.4057649873707521E-5</v>
      </c>
      <c r="BE286" s="196">
        <f t="shared" si="237"/>
        <v>2.4057649873707521E-5</v>
      </c>
      <c r="BF286" s="196">
        <f t="shared" si="237"/>
        <v>2.4057649873707521E-5</v>
      </c>
      <c r="BG286" s="196">
        <f t="shared" si="237"/>
        <v>2.4057649873707521E-5</v>
      </c>
      <c r="BH286" s="196">
        <f t="shared" si="237"/>
        <v>2.4057649873707521E-5</v>
      </c>
      <c r="BI286" s="196">
        <f t="shared" si="237"/>
        <v>2.4057649873707521E-5</v>
      </c>
      <c r="BJ286" s="196">
        <f t="shared" si="237"/>
        <v>2.4057649873707521E-5</v>
      </c>
      <c r="BK286" s="196">
        <f t="shared" si="237"/>
        <v>2.4057649873707521E-5</v>
      </c>
      <c r="BL286" s="196">
        <f t="shared" si="237"/>
        <v>2.4057649873707521E-5</v>
      </c>
      <c r="BM286" s="196">
        <f t="shared" si="237"/>
        <v>2.4057649873707521E-5</v>
      </c>
      <c r="BN286" s="196">
        <f t="shared" si="237"/>
        <v>2.4057649873707521E-5</v>
      </c>
      <c r="BO286" s="196">
        <f t="shared" si="237"/>
        <v>2.4057649873707521E-5</v>
      </c>
      <c r="BP286" s="196">
        <f t="shared" si="237"/>
        <v>2.4057649873707521E-5</v>
      </c>
      <c r="BQ286" s="196">
        <f t="shared" si="237"/>
        <v>2.4057649873707521E-5</v>
      </c>
      <c r="BR286" s="196">
        <f t="shared" si="237"/>
        <v>2.4057649873707521E-5</v>
      </c>
      <c r="BS286" s="196">
        <f t="shared" si="237"/>
        <v>2.4057649873707521E-5</v>
      </c>
      <c r="BT286" s="196">
        <f t="shared" si="237"/>
        <v>2.4057649873707521E-5</v>
      </c>
      <c r="BU286" s="196">
        <f t="shared" si="237"/>
        <v>2.4057649873707521E-5</v>
      </c>
      <c r="BV286" s="196">
        <f t="shared" si="237"/>
        <v>2.4057649873707521E-5</v>
      </c>
    </row>
    <row r="287" spans="1:74" x14ac:dyDescent="0.25">
      <c r="A287" s="141" t="s">
        <v>195</v>
      </c>
      <c r="B287" s="148"/>
      <c r="C287" s="148"/>
      <c r="D287" s="177">
        <f t="shared" ref="D287:AR287" si="238">D223*D$47</f>
        <v>8.0784685972509391E-5</v>
      </c>
      <c r="E287" s="177">
        <f t="shared" si="238"/>
        <v>8.0784685972509391E-5</v>
      </c>
      <c r="F287" s="177">
        <f t="shared" si="238"/>
        <v>8.0784685972509391E-5</v>
      </c>
      <c r="G287" s="177">
        <f t="shared" si="238"/>
        <v>8.0784685972509391E-5</v>
      </c>
      <c r="H287" s="177">
        <f t="shared" si="238"/>
        <v>8.0784685972509391E-5</v>
      </c>
      <c r="I287" s="177">
        <f t="shared" si="238"/>
        <v>8.0784685972509391E-5</v>
      </c>
      <c r="J287" s="177">
        <f t="shared" si="238"/>
        <v>8.0784701384260679E-5</v>
      </c>
      <c r="K287" s="177">
        <f t="shared" si="238"/>
        <v>8.0784695559809244E-5</v>
      </c>
      <c r="L287" s="177">
        <f t="shared" si="238"/>
        <v>8.0784721380197701E-5</v>
      </c>
      <c r="M287" s="177">
        <f t="shared" si="238"/>
        <v>8.0784715053039489E-5</v>
      </c>
      <c r="N287" s="177">
        <f t="shared" si="238"/>
        <v>8.0784768239226863E-5</v>
      </c>
      <c r="O287" s="177">
        <f t="shared" si="238"/>
        <v>8.0784876941926374E-5</v>
      </c>
      <c r="P287" s="177">
        <f t="shared" si="238"/>
        <v>8.0000115866296083E-5</v>
      </c>
      <c r="Q287" s="177">
        <f t="shared" si="238"/>
        <v>7.999994298489742E-5</v>
      </c>
      <c r="R287" s="177">
        <f t="shared" si="238"/>
        <v>8.0000000000000007E-5</v>
      </c>
      <c r="S287" s="177">
        <f t="shared" si="238"/>
        <v>8.0000028000028003E-5</v>
      </c>
      <c r="T287" s="177">
        <f t="shared" si="238"/>
        <v>8.0000000000000007E-5</v>
      </c>
      <c r="U287" s="177">
        <f t="shared" si="238"/>
        <v>8.0000000000000007E-5</v>
      </c>
      <c r="V287" s="177">
        <f t="shared" si="238"/>
        <v>7.9999972598817243E-5</v>
      </c>
      <c r="W287" s="177">
        <f t="shared" si="238"/>
        <v>8.0000054114896747E-5</v>
      </c>
      <c r="X287" s="177">
        <f t="shared" si="238"/>
        <v>7.9999947314626514E-5</v>
      </c>
      <c r="Y287" s="177">
        <f t="shared" si="238"/>
        <v>8.0000000000000007E-5</v>
      </c>
      <c r="Z287" s="177">
        <f t="shared" si="238"/>
        <v>8.0000053121343756E-5</v>
      </c>
      <c r="AA287" s="177">
        <f t="shared" si="238"/>
        <v>8.0000025968899645E-5</v>
      </c>
      <c r="AB287" s="177">
        <f t="shared" si="238"/>
        <v>8.0000050390558323E-5</v>
      </c>
      <c r="AC287" s="177">
        <f t="shared" si="238"/>
        <v>8.0000076303987454E-5</v>
      </c>
      <c r="AD287" s="177">
        <f t="shared" si="238"/>
        <v>7.9999975329961764E-5</v>
      </c>
      <c r="AE287" s="177">
        <f t="shared" si="238"/>
        <v>7.9999975166354382E-5</v>
      </c>
      <c r="AF287" s="177">
        <f t="shared" si="238"/>
        <v>7.9999975166354382E-5</v>
      </c>
      <c r="AG287" s="177">
        <f t="shared" si="238"/>
        <v>7.9999975166354382E-5</v>
      </c>
      <c r="AH287" s="177">
        <f t="shared" si="238"/>
        <v>7.9999975166354382E-5</v>
      </c>
      <c r="AI287" s="177">
        <f t="shared" si="238"/>
        <v>7.9999975166354382E-5</v>
      </c>
      <c r="AJ287" s="177">
        <f t="shared" si="238"/>
        <v>7.9999975166354382E-5</v>
      </c>
      <c r="AK287" s="177">
        <f t="shared" si="238"/>
        <v>7.9999975166354382E-5</v>
      </c>
      <c r="AL287" s="177">
        <f t="shared" si="238"/>
        <v>7.9999975166354382E-5</v>
      </c>
      <c r="AM287" s="177">
        <f t="shared" si="238"/>
        <v>7.9999975166354382E-5</v>
      </c>
      <c r="AN287" s="177">
        <f t="shared" si="238"/>
        <v>7.9999975166354382E-5</v>
      </c>
      <c r="AO287" s="177">
        <f t="shared" si="238"/>
        <v>7.9999975166354382E-5</v>
      </c>
      <c r="AP287" s="177">
        <f t="shared" si="238"/>
        <v>7.9999975166354382E-5</v>
      </c>
      <c r="AQ287" s="177">
        <f t="shared" si="238"/>
        <v>7.9999975166354382E-5</v>
      </c>
      <c r="AR287" s="177">
        <f t="shared" si="238"/>
        <v>7.9999975166354382E-5</v>
      </c>
      <c r="AS287" s="196">
        <f t="shared" ref="AS287:BV287" si="239">AR287</f>
        <v>7.9999975166354382E-5</v>
      </c>
      <c r="AT287" s="196">
        <f t="shared" si="239"/>
        <v>7.9999975166354382E-5</v>
      </c>
      <c r="AU287" s="196">
        <f t="shared" si="239"/>
        <v>7.9999975166354382E-5</v>
      </c>
      <c r="AV287" s="196">
        <f t="shared" si="239"/>
        <v>7.9999975166354382E-5</v>
      </c>
      <c r="AW287" s="196">
        <f t="shared" si="239"/>
        <v>7.9999975166354382E-5</v>
      </c>
      <c r="AX287" s="196">
        <f t="shared" si="239"/>
        <v>7.9999975166354382E-5</v>
      </c>
      <c r="AY287" s="196">
        <f t="shared" si="239"/>
        <v>7.9999975166354382E-5</v>
      </c>
      <c r="AZ287" s="196">
        <f t="shared" si="239"/>
        <v>7.9999975166354382E-5</v>
      </c>
      <c r="BA287" s="196">
        <f t="shared" si="239"/>
        <v>7.9999975166354382E-5</v>
      </c>
      <c r="BB287" s="196">
        <f t="shared" si="239"/>
        <v>7.9999975166354382E-5</v>
      </c>
      <c r="BC287" s="196">
        <f t="shared" si="239"/>
        <v>7.9999975166354382E-5</v>
      </c>
      <c r="BD287" s="196">
        <f t="shared" si="239"/>
        <v>7.9999975166354382E-5</v>
      </c>
      <c r="BE287" s="196">
        <f t="shared" si="239"/>
        <v>7.9999975166354382E-5</v>
      </c>
      <c r="BF287" s="196">
        <f t="shared" si="239"/>
        <v>7.9999975166354382E-5</v>
      </c>
      <c r="BG287" s="196">
        <f t="shared" si="239"/>
        <v>7.9999975166354382E-5</v>
      </c>
      <c r="BH287" s="196">
        <f t="shared" si="239"/>
        <v>7.9999975166354382E-5</v>
      </c>
      <c r="BI287" s="196">
        <f t="shared" si="239"/>
        <v>7.9999975166354382E-5</v>
      </c>
      <c r="BJ287" s="196">
        <f t="shared" si="239"/>
        <v>7.9999975166354382E-5</v>
      </c>
      <c r="BK287" s="196">
        <f t="shared" si="239"/>
        <v>7.9999975166354382E-5</v>
      </c>
      <c r="BL287" s="196">
        <f t="shared" si="239"/>
        <v>7.9999975166354382E-5</v>
      </c>
      <c r="BM287" s="196">
        <f t="shared" si="239"/>
        <v>7.9999975166354382E-5</v>
      </c>
      <c r="BN287" s="196">
        <f t="shared" si="239"/>
        <v>7.9999975166354382E-5</v>
      </c>
      <c r="BO287" s="196">
        <f t="shared" si="239"/>
        <v>7.9999975166354382E-5</v>
      </c>
      <c r="BP287" s="196">
        <f t="shared" si="239"/>
        <v>7.9999975166354382E-5</v>
      </c>
      <c r="BQ287" s="196">
        <f t="shared" si="239"/>
        <v>7.9999975166354382E-5</v>
      </c>
      <c r="BR287" s="196">
        <f t="shared" si="239"/>
        <v>7.9999975166354382E-5</v>
      </c>
      <c r="BS287" s="196">
        <f t="shared" si="239"/>
        <v>7.9999975166354382E-5</v>
      </c>
      <c r="BT287" s="196">
        <f t="shared" si="239"/>
        <v>7.9999975166354382E-5</v>
      </c>
      <c r="BU287" s="196">
        <f t="shared" si="239"/>
        <v>7.9999975166354382E-5</v>
      </c>
      <c r="BV287" s="196">
        <f t="shared" si="239"/>
        <v>7.9999975166354382E-5</v>
      </c>
    </row>
    <row r="288" spans="1:74" x14ac:dyDescent="0.25">
      <c r="A288" s="141" t="s">
        <v>251</v>
      </c>
      <c r="B288" s="142"/>
      <c r="C288" s="142"/>
      <c r="D288" s="177">
        <f t="shared" ref="D288:AR288" si="240">D224*D$47</f>
        <v>8.0517613616244474E-5</v>
      </c>
      <c r="E288" s="177">
        <f t="shared" si="240"/>
        <v>8.0517613516691458E-5</v>
      </c>
      <c r="F288" s="177">
        <f t="shared" si="240"/>
        <v>8.0517613417138429E-5</v>
      </c>
      <c r="G288" s="177">
        <f t="shared" si="240"/>
        <v>8.0517613317585414E-5</v>
      </c>
      <c r="H288" s="177">
        <f t="shared" si="240"/>
        <v>8.0517613218032398E-5</v>
      </c>
      <c r="I288" s="177">
        <f t="shared" si="240"/>
        <v>8.0517613118479355E-5</v>
      </c>
      <c r="J288" s="177">
        <f t="shared" si="240"/>
        <v>8.0517612939877417E-5</v>
      </c>
      <c r="K288" s="177">
        <f t="shared" si="240"/>
        <v>8.051759851078965E-5</v>
      </c>
      <c r="L288" s="177">
        <f t="shared" si="240"/>
        <v>7.9058820503128196E-5</v>
      </c>
      <c r="M288" s="177">
        <f t="shared" si="240"/>
        <v>7.905882158287648E-5</v>
      </c>
      <c r="N288" s="177">
        <f t="shared" si="240"/>
        <v>7.9058820404856247E-5</v>
      </c>
      <c r="O288" s="177">
        <f t="shared" si="240"/>
        <v>7.9058820976406528E-5</v>
      </c>
      <c r="P288" s="177">
        <f t="shared" si="240"/>
        <v>7.9058820081663914E-5</v>
      </c>
      <c r="Q288" s="177">
        <f t="shared" si="240"/>
        <v>7.9058823244405034E-5</v>
      </c>
      <c r="R288" s="177">
        <f t="shared" si="240"/>
        <v>7.9058820635094751E-5</v>
      </c>
      <c r="S288" s="177">
        <f t="shared" si="240"/>
        <v>7.9058833534381953E-5</v>
      </c>
      <c r="T288" s="177">
        <f t="shared" si="240"/>
        <v>7.9058836181789365E-5</v>
      </c>
      <c r="U288" s="177">
        <f t="shared" si="240"/>
        <v>7.9058808769895416E-5</v>
      </c>
      <c r="V288" s="177">
        <f t="shared" si="240"/>
        <v>7.9058816269879476E-5</v>
      </c>
      <c r="W288" s="177">
        <f t="shared" si="240"/>
        <v>7.9058812502170688E-5</v>
      </c>
      <c r="X288" s="177">
        <f t="shared" si="240"/>
        <v>7.9058830871158687E-5</v>
      </c>
      <c r="Y288" s="177">
        <f t="shared" si="240"/>
        <v>7.9058808493807616E-5</v>
      </c>
      <c r="Z288" s="177">
        <f t="shared" si="240"/>
        <v>7.9058773832284818E-5</v>
      </c>
      <c r="AA288" s="177">
        <f t="shared" si="240"/>
        <v>7.9058813211287983E-5</v>
      </c>
      <c r="AB288" s="177">
        <f t="shared" si="240"/>
        <v>7.9058813211287983E-5</v>
      </c>
      <c r="AC288" s="177">
        <f t="shared" si="240"/>
        <v>7.9058813211287983E-5</v>
      </c>
      <c r="AD288" s="177">
        <f t="shared" si="240"/>
        <v>7.9058783606214395E-5</v>
      </c>
      <c r="AE288" s="177">
        <f t="shared" si="240"/>
        <v>7.9058783606214395E-5</v>
      </c>
      <c r="AF288" s="177">
        <f t="shared" si="240"/>
        <v>7.9058783606214395E-5</v>
      </c>
      <c r="AG288" s="177">
        <f t="shared" si="240"/>
        <v>7.9058783606214395E-5</v>
      </c>
      <c r="AH288" s="177">
        <f t="shared" si="240"/>
        <v>7.9058783606214395E-5</v>
      </c>
      <c r="AI288" s="177">
        <f t="shared" si="240"/>
        <v>7.9058783606214395E-5</v>
      </c>
      <c r="AJ288" s="177">
        <f t="shared" si="240"/>
        <v>7.9058783606214395E-5</v>
      </c>
      <c r="AK288" s="177">
        <f t="shared" si="240"/>
        <v>7.9058783606214395E-5</v>
      </c>
      <c r="AL288" s="177">
        <f t="shared" si="240"/>
        <v>7.9058783606214395E-5</v>
      </c>
      <c r="AM288" s="177">
        <f t="shared" si="240"/>
        <v>7.9058783606214395E-5</v>
      </c>
      <c r="AN288" s="177">
        <f t="shared" si="240"/>
        <v>7.9058783606214395E-5</v>
      </c>
      <c r="AO288" s="177">
        <f t="shared" si="240"/>
        <v>7.9058783606214395E-5</v>
      </c>
      <c r="AP288" s="177">
        <f t="shared" si="240"/>
        <v>7.9058783606214395E-5</v>
      </c>
      <c r="AQ288" s="177">
        <f t="shared" si="240"/>
        <v>7.9058783606214395E-5</v>
      </c>
      <c r="AR288" s="177">
        <f t="shared" si="240"/>
        <v>7.9058783606214395E-5</v>
      </c>
      <c r="AS288" s="196">
        <f t="shared" ref="AS288:BV288" si="241">AR288</f>
        <v>7.9058783606214395E-5</v>
      </c>
      <c r="AT288" s="196">
        <f t="shared" si="241"/>
        <v>7.9058783606214395E-5</v>
      </c>
      <c r="AU288" s="196">
        <f t="shared" si="241"/>
        <v>7.9058783606214395E-5</v>
      </c>
      <c r="AV288" s="196">
        <f t="shared" si="241"/>
        <v>7.9058783606214395E-5</v>
      </c>
      <c r="AW288" s="196">
        <f t="shared" si="241"/>
        <v>7.9058783606214395E-5</v>
      </c>
      <c r="AX288" s="196">
        <f t="shared" si="241"/>
        <v>7.9058783606214395E-5</v>
      </c>
      <c r="AY288" s="196">
        <f t="shared" si="241"/>
        <v>7.9058783606214395E-5</v>
      </c>
      <c r="AZ288" s="196">
        <f t="shared" si="241"/>
        <v>7.9058783606214395E-5</v>
      </c>
      <c r="BA288" s="196">
        <f t="shared" si="241"/>
        <v>7.9058783606214395E-5</v>
      </c>
      <c r="BB288" s="196">
        <f t="shared" si="241"/>
        <v>7.9058783606214395E-5</v>
      </c>
      <c r="BC288" s="196">
        <f t="shared" si="241"/>
        <v>7.9058783606214395E-5</v>
      </c>
      <c r="BD288" s="196">
        <f t="shared" si="241"/>
        <v>7.9058783606214395E-5</v>
      </c>
      <c r="BE288" s="196">
        <f t="shared" si="241"/>
        <v>7.9058783606214395E-5</v>
      </c>
      <c r="BF288" s="196">
        <f t="shared" si="241"/>
        <v>7.9058783606214395E-5</v>
      </c>
      <c r="BG288" s="196">
        <f t="shared" si="241"/>
        <v>7.9058783606214395E-5</v>
      </c>
      <c r="BH288" s="196">
        <f t="shared" si="241"/>
        <v>7.9058783606214395E-5</v>
      </c>
      <c r="BI288" s="196">
        <f t="shared" si="241"/>
        <v>7.9058783606214395E-5</v>
      </c>
      <c r="BJ288" s="196">
        <f t="shared" si="241"/>
        <v>7.9058783606214395E-5</v>
      </c>
      <c r="BK288" s="196">
        <f t="shared" si="241"/>
        <v>7.9058783606214395E-5</v>
      </c>
      <c r="BL288" s="196">
        <f t="shared" si="241"/>
        <v>7.9058783606214395E-5</v>
      </c>
      <c r="BM288" s="196">
        <f t="shared" si="241"/>
        <v>7.9058783606214395E-5</v>
      </c>
      <c r="BN288" s="196">
        <f t="shared" si="241"/>
        <v>7.9058783606214395E-5</v>
      </c>
      <c r="BO288" s="196">
        <f t="shared" si="241"/>
        <v>7.9058783606214395E-5</v>
      </c>
      <c r="BP288" s="196">
        <f t="shared" si="241"/>
        <v>7.9058783606214395E-5</v>
      </c>
      <c r="BQ288" s="196">
        <f t="shared" si="241"/>
        <v>7.9058783606214395E-5</v>
      </c>
      <c r="BR288" s="196">
        <f t="shared" si="241"/>
        <v>7.9058783606214395E-5</v>
      </c>
      <c r="BS288" s="196">
        <f t="shared" si="241"/>
        <v>7.9058783606214395E-5</v>
      </c>
      <c r="BT288" s="196">
        <f t="shared" si="241"/>
        <v>7.9058783606214395E-5</v>
      </c>
      <c r="BU288" s="196">
        <f t="shared" si="241"/>
        <v>7.9058783606214395E-5</v>
      </c>
      <c r="BV288" s="196">
        <f t="shared" si="241"/>
        <v>7.9058783606214395E-5</v>
      </c>
    </row>
    <row r="289" spans="1:74" x14ac:dyDescent="0.25">
      <c r="A289" s="141" t="s">
        <v>196</v>
      </c>
      <c r="B289" s="142"/>
      <c r="C289" s="142"/>
      <c r="D289" s="177">
        <f t="shared" ref="D289:AR289" si="242">D225*D$47</f>
        <v>4.3433299723996804E-6</v>
      </c>
      <c r="E289" s="177">
        <f t="shared" si="242"/>
        <v>4.3433300662485E-6</v>
      </c>
      <c r="F289" s="177">
        <f t="shared" si="242"/>
        <v>4.3433301600973238E-6</v>
      </c>
      <c r="G289" s="177">
        <f t="shared" si="242"/>
        <v>4.343330253946151E-6</v>
      </c>
      <c r="H289" s="177">
        <f t="shared" si="242"/>
        <v>4.3433303477949824E-6</v>
      </c>
      <c r="I289" s="177">
        <f t="shared" si="242"/>
        <v>4.3433304416438164E-6</v>
      </c>
      <c r="J289" s="177">
        <f t="shared" si="242"/>
        <v>4.3433299274878226E-6</v>
      </c>
      <c r="K289" s="177">
        <f t="shared" si="242"/>
        <v>4.3433295990380833E-6</v>
      </c>
      <c r="L289" s="177">
        <f t="shared" si="242"/>
        <v>4.3433305607216232E-6</v>
      </c>
      <c r="M289" s="177">
        <f t="shared" si="242"/>
        <v>4.3433300672273617E-6</v>
      </c>
      <c r="N289" s="177">
        <f t="shared" si="242"/>
        <v>4.3433298583206673E-6</v>
      </c>
      <c r="O289" s="177">
        <f t="shared" si="242"/>
        <v>4.3433297792695014E-6</v>
      </c>
      <c r="P289" s="177">
        <f t="shared" si="242"/>
        <v>4.3433301489790838E-6</v>
      </c>
      <c r="Q289" s="177">
        <f t="shared" si="242"/>
        <v>4.343329972318278E-6</v>
      </c>
      <c r="R289" s="177">
        <f t="shared" si="242"/>
        <v>4.3433293797879443E-6</v>
      </c>
      <c r="S289" s="177">
        <f t="shared" si="242"/>
        <v>4.3433285731156045E-6</v>
      </c>
      <c r="T289" s="177">
        <f t="shared" si="242"/>
        <v>4.3433339969334765E-6</v>
      </c>
      <c r="U289" s="177">
        <f t="shared" si="242"/>
        <v>4.3433325364634082E-6</v>
      </c>
      <c r="V289" s="177">
        <f t="shared" si="242"/>
        <v>4.3433283598983026E-6</v>
      </c>
      <c r="W289" s="177">
        <f t="shared" si="242"/>
        <v>4.3433314621896731E-6</v>
      </c>
      <c r="X289" s="177">
        <f t="shared" si="242"/>
        <v>4.3433297421225971E-6</v>
      </c>
      <c r="Y289" s="177">
        <f t="shared" si="242"/>
        <v>4.3433306037691666E-6</v>
      </c>
      <c r="Z289" s="177">
        <f t="shared" si="242"/>
        <v>4.3433271078170401E-6</v>
      </c>
      <c r="AA289" s="177">
        <f t="shared" si="242"/>
        <v>4.3433288692263255E-6</v>
      </c>
      <c r="AB289" s="177">
        <f t="shared" si="242"/>
        <v>4.3607741004389726E-6</v>
      </c>
      <c r="AC289" s="177">
        <f t="shared" si="242"/>
        <v>4.360044982774807E-6</v>
      </c>
      <c r="AD289" s="177">
        <f t="shared" si="242"/>
        <v>4.3683367345804224E-6</v>
      </c>
      <c r="AE289" s="177">
        <f t="shared" si="242"/>
        <v>4.3709836536494278E-6</v>
      </c>
      <c r="AF289" s="177">
        <f t="shared" si="242"/>
        <v>4.3709836536494278E-6</v>
      </c>
      <c r="AG289" s="177">
        <f t="shared" si="242"/>
        <v>4.3709836536494278E-6</v>
      </c>
      <c r="AH289" s="177">
        <f t="shared" si="242"/>
        <v>4.3709836536494278E-6</v>
      </c>
      <c r="AI289" s="177">
        <f t="shared" si="242"/>
        <v>4.3709836536494278E-6</v>
      </c>
      <c r="AJ289" s="177">
        <f t="shared" si="242"/>
        <v>4.3709836536494278E-6</v>
      </c>
      <c r="AK289" s="177">
        <f t="shared" si="242"/>
        <v>4.3709836536494278E-6</v>
      </c>
      <c r="AL289" s="177">
        <f t="shared" si="242"/>
        <v>4.3709836536494278E-6</v>
      </c>
      <c r="AM289" s="177">
        <f t="shared" si="242"/>
        <v>4.3709836536494278E-6</v>
      </c>
      <c r="AN289" s="177">
        <f t="shared" si="242"/>
        <v>4.3709836536494278E-6</v>
      </c>
      <c r="AO289" s="177">
        <f t="shared" si="242"/>
        <v>4.3709836536494278E-6</v>
      </c>
      <c r="AP289" s="177">
        <f t="shared" si="242"/>
        <v>4.3709836536494278E-6</v>
      </c>
      <c r="AQ289" s="177">
        <f t="shared" si="242"/>
        <v>4.3709836536494278E-6</v>
      </c>
      <c r="AR289" s="177">
        <f t="shared" si="242"/>
        <v>4.3709836536494278E-6</v>
      </c>
      <c r="AS289" s="196">
        <f t="shared" ref="AS289:BV289" si="243">AR289</f>
        <v>4.3709836536494278E-6</v>
      </c>
      <c r="AT289" s="196">
        <f t="shared" si="243"/>
        <v>4.3709836536494278E-6</v>
      </c>
      <c r="AU289" s="196">
        <f t="shared" si="243"/>
        <v>4.3709836536494278E-6</v>
      </c>
      <c r="AV289" s="196">
        <f t="shared" si="243"/>
        <v>4.3709836536494278E-6</v>
      </c>
      <c r="AW289" s="196">
        <f t="shared" si="243"/>
        <v>4.3709836536494278E-6</v>
      </c>
      <c r="AX289" s="196">
        <f t="shared" si="243"/>
        <v>4.3709836536494278E-6</v>
      </c>
      <c r="AY289" s="196">
        <f t="shared" si="243"/>
        <v>4.3709836536494278E-6</v>
      </c>
      <c r="AZ289" s="196">
        <f t="shared" si="243"/>
        <v>4.3709836536494278E-6</v>
      </c>
      <c r="BA289" s="196">
        <f t="shared" si="243"/>
        <v>4.3709836536494278E-6</v>
      </c>
      <c r="BB289" s="196">
        <f t="shared" si="243"/>
        <v>4.3709836536494278E-6</v>
      </c>
      <c r="BC289" s="196">
        <f t="shared" si="243"/>
        <v>4.3709836536494278E-6</v>
      </c>
      <c r="BD289" s="196">
        <f t="shared" si="243"/>
        <v>4.3709836536494278E-6</v>
      </c>
      <c r="BE289" s="196">
        <f t="shared" si="243"/>
        <v>4.3709836536494278E-6</v>
      </c>
      <c r="BF289" s="196">
        <f t="shared" si="243"/>
        <v>4.3709836536494278E-6</v>
      </c>
      <c r="BG289" s="196">
        <f t="shared" si="243"/>
        <v>4.3709836536494278E-6</v>
      </c>
      <c r="BH289" s="196">
        <f t="shared" si="243"/>
        <v>4.3709836536494278E-6</v>
      </c>
      <c r="BI289" s="196">
        <f t="shared" si="243"/>
        <v>4.3709836536494278E-6</v>
      </c>
      <c r="BJ289" s="196">
        <f t="shared" si="243"/>
        <v>4.3709836536494278E-6</v>
      </c>
      <c r="BK289" s="196">
        <f t="shared" si="243"/>
        <v>4.3709836536494278E-6</v>
      </c>
      <c r="BL289" s="196">
        <f t="shared" si="243"/>
        <v>4.3709836536494278E-6</v>
      </c>
      <c r="BM289" s="196">
        <f t="shared" si="243"/>
        <v>4.3709836536494278E-6</v>
      </c>
      <c r="BN289" s="196">
        <f t="shared" si="243"/>
        <v>4.3709836536494278E-6</v>
      </c>
      <c r="BO289" s="196">
        <f t="shared" si="243"/>
        <v>4.3709836536494278E-6</v>
      </c>
      <c r="BP289" s="196">
        <f t="shared" si="243"/>
        <v>4.3709836536494278E-6</v>
      </c>
      <c r="BQ289" s="196">
        <f t="shared" si="243"/>
        <v>4.3709836536494278E-6</v>
      </c>
      <c r="BR289" s="196">
        <f t="shared" si="243"/>
        <v>4.3709836536494278E-6</v>
      </c>
      <c r="BS289" s="196">
        <f t="shared" si="243"/>
        <v>4.3709836536494278E-6</v>
      </c>
      <c r="BT289" s="196">
        <f t="shared" si="243"/>
        <v>4.3709836536494278E-6</v>
      </c>
      <c r="BU289" s="196">
        <f t="shared" si="243"/>
        <v>4.3709836536494278E-6</v>
      </c>
      <c r="BV289" s="196">
        <f t="shared" si="243"/>
        <v>4.3709836536494278E-6</v>
      </c>
    </row>
    <row r="290" spans="1:74" x14ac:dyDescent="0.25">
      <c r="A290" s="147" t="s">
        <v>13</v>
      </c>
      <c r="C290" s="142"/>
      <c r="D290" s="177">
        <f t="shared" ref="D290:AR290" si="244">D226*D$47</f>
        <v>4.3433299723996804E-6</v>
      </c>
      <c r="E290" s="177">
        <f t="shared" si="244"/>
        <v>4.3433300662485E-6</v>
      </c>
      <c r="F290" s="177">
        <f t="shared" si="244"/>
        <v>4.3433301600973238E-6</v>
      </c>
      <c r="G290" s="177">
        <f t="shared" si="244"/>
        <v>4.343330253946151E-6</v>
      </c>
      <c r="H290" s="177">
        <f t="shared" si="244"/>
        <v>4.3433303477949824E-6</v>
      </c>
      <c r="I290" s="177">
        <f t="shared" si="244"/>
        <v>4.3433304416438164E-6</v>
      </c>
      <c r="J290" s="177">
        <f t="shared" si="244"/>
        <v>4.3433299274878226E-6</v>
      </c>
      <c r="K290" s="177">
        <f t="shared" si="244"/>
        <v>4.3433295990380833E-6</v>
      </c>
      <c r="L290" s="177">
        <f t="shared" si="244"/>
        <v>4.3433305607216232E-6</v>
      </c>
      <c r="M290" s="177">
        <f t="shared" si="244"/>
        <v>4.3433300672273617E-6</v>
      </c>
      <c r="N290" s="177">
        <f t="shared" si="244"/>
        <v>4.3433298583206673E-6</v>
      </c>
      <c r="O290" s="177">
        <f t="shared" si="244"/>
        <v>4.3433297792695014E-6</v>
      </c>
      <c r="P290" s="177">
        <f t="shared" si="244"/>
        <v>4.3433301489790838E-6</v>
      </c>
      <c r="Q290" s="177">
        <f t="shared" si="244"/>
        <v>4.343329972318278E-6</v>
      </c>
      <c r="R290" s="177">
        <f t="shared" si="244"/>
        <v>4.3433293797879443E-6</v>
      </c>
      <c r="S290" s="177">
        <f t="shared" si="244"/>
        <v>4.3433285731156045E-6</v>
      </c>
      <c r="T290" s="177">
        <f t="shared" si="244"/>
        <v>4.3433339969334765E-6</v>
      </c>
      <c r="U290" s="177">
        <f t="shared" si="244"/>
        <v>4.3433325364634082E-6</v>
      </c>
      <c r="V290" s="177">
        <f t="shared" si="244"/>
        <v>4.3433283598983026E-6</v>
      </c>
      <c r="W290" s="177">
        <f t="shared" si="244"/>
        <v>4.3433314621896731E-6</v>
      </c>
      <c r="X290" s="177">
        <f t="shared" si="244"/>
        <v>4.3433297421225971E-6</v>
      </c>
      <c r="Y290" s="177">
        <f t="shared" si="244"/>
        <v>4.3433306037691666E-6</v>
      </c>
      <c r="Z290" s="177">
        <f t="shared" si="244"/>
        <v>4.3433271078170401E-6</v>
      </c>
      <c r="AA290" s="177">
        <f t="shared" si="244"/>
        <v>4.3433288692263255E-6</v>
      </c>
      <c r="AB290" s="177">
        <f t="shared" si="244"/>
        <v>4.3607741004389726E-6</v>
      </c>
      <c r="AC290" s="177">
        <f t="shared" si="244"/>
        <v>4.360044982774807E-6</v>
      </c>
      <c r="AD290" s="177">
        <f t="shared" si="244"/>
        <v>4.3683367345804224E-6</v>
      </c>
      <c r="AE290" s="177">
        <f t="shared" si="244"/>
        <v>4.3709836536494278E-6</v>
      </c>
      <c r="AF290" s="177">
        <f t="shared" si="244"/>
        <v>4.3709836536494278E-6</v>
      </c>
      <c r="AG290" s="177">
        <f t="shared" si="244"/>
        <v>4.3709836536494278E-6</v>
      </c>
      <c r="AH290" s="177">
        <f t="shared" si="244"/>
        <v>4.3709836536494278E-6</v>
      </c>
      <c r="AI290" s="177">
        <f t="shared" si="244"/>
        <v>4.3709836536494278E-6</v>
      </c>
      <c r="AJ290" s="177">
        <f t="shared" si="244"/>
        <v>4.3709836536494278E-6</v>
      </c>
      <c r="AK290" s="177">
        <f t="shared" si="244"/>
        <v>4.3709836536494278E-6</v>
      </c>
      <c r="AL290" s="177">
        <f t="shared" si="244"/>
        <v>4.3709836536494278E-6</v>
      </c>
      <c r="AM290" s="177">
        <f t="shared" si="244"/>
        <v>4.3709836536494278E-6</v>
      </c>
      <c r="AN290" s="177">
        <f t="shared" si="244"/>
        <v>4.3709836536494278E-6</v>
      </c>
      <c r="AO290" s="177">
        <f t="shared" si="244"/>
        <v>4.3709836536494278E-6</v>
      </c>
      <c r="AP290" s="177">
        <f t="shared" si="244"/>
        <v>4.3709836536494278E-6</v>
      </c>
      <c r="AQ290" s="177">
        <f t="shared" si="244"/>
        <v>4.3709836536494278E-6</v>
      </c>
      <c r="AR290" s="177">
        <f t="shared" si="244"/>
        <v>4.3709836536494278E-6</v>
      </c>
      <c r="AS290" s="196">
        <f t="shared" ref="AS290:BV290" si="245">AR290</f>
        <v>4.3709836536494278E-6</v>
      </c>
      <c r="AT290" s="196">
        <f t="shared" si="245"/>
        <v>4.3709836536494278E-6</v>
      </c>
      <c r="AU290" s="196">
        <f t="shared" si="245"/>
        <v>4.3709836536494278E-6</v>
      </c>
      <c r="AV290" s="196">
        <f t="shared" si="245"/>
        <v>4.3709836536494278E-6</v>
      </c>
      <c r="AW290" s="196">
        <f t="shared" si="245"/>
        <v>4.3709836536494278E-6</v>
      </c>
      <c r="AX290" s="196">
        <f t="shared" si="245"/>
        <v>4.3709836536494278E-6</v>
      </c>
      <c r="AY290" s="196">
        <f t="shared" si="245"/>
        <v>4.3709836536494278E-6</v>
      </c>
      <c r="AZ290" s="196">
        <f t="shared" si="245"/>
        <v>4.3709836536494278E-6</v>
      </c>
      <c r="BA290" s="196">
        <f t="shared" si="245"/>
        <v>4.3709836536494278E-6</v>
      </c>
      <c r="BB290" s="196">
        <f t="shared" si="245"/>
        <v>4.3709836536494278E-6</v>
      </c>
      <c r="BC290" s="196">
        <f t="shared" si="245"/>
        <v>4.3709836536494278E-6</v>
      </c>
      <c r="BD290" s="196">
        <f t="shared" si="245"/>
        <v>4.3709836536494278E-6</v>
      </c>
      <c r="BE290" s="196">
        <f t="shared" si="245"/>
        <v>4.3709836536494278E-6</v>
      </c>
      <c r="BF290" s="196">
        <f t="shared" si="245"/>
        <v>4.3709836536494278E-6</v>
      </c>
      <c r="BG290" s="196">
        <f t="shared" si="245"/>
        <v>4.3709836536494278E-6</v>
      </c>
      <c r="BH290" s="196">
        <f t="shared" si="245"/>
        <v>4.3709836536494278E-6</v>
      </c>
      <c r="BI290" s="196">
        <f t="shared" si="245"/>
        <v>4.3709836536494278E-6</v>
      </c>
      <c r="BJ290" s="196">
        <f t="shared" si="245"/>
        <v>4.3709836536494278E-6</v>
      </c>
      <c r="BK290" s="196">
        <f t="shared" si="245"/>
        <v>4.3709836536494278E-6</v>
      </c>
      <c r="BL290" s="196">
        <f t="shared" si="245"/>
        <v>4.3709836536494278E-6</v>
      </c>
      <c r="BM290" s="196">
        <f t="shared" si="245"/>
        <v>4.3709836536494278E-6</v>
      </c>
      <c r="BN290" s="196">
        <f t="shared" si="245"/>
        <v>4.3709836536494278E-6</v>
      </c>
      <c r="BO290" s="196">
        <f t="shared" si="245"/>
        <v>4.3709836536494278E-6</v>
      </c>
      <c r="BP290" s="196">
        <f t="shared" si="245"/>
        <v>4.3709836536494278E-6</v>
      </c>
      <c r="BQ290" s="196">
        <f t="shared" si="245"/>
        <v>4.3709836536494278E-6</v>
      </c>
      <c r="BR290" s="196">
        <f t="shared" si="245"/>
        <v>4.3709836536494278E-6</v>
      </c>
      <c r="BS290" s="196">
        <f t="shared" si="245"/>
        <v>4.3709836536494278E-6</v>
      </c>
      <c r="BT290" s="196">
        <f t="shared" si="245"/>
        <v>4.3709836536494278E-6</v>
      </c>
      <c r="BU290" s="196">
        <f t="shared" si="245"/>
        <v>4.3709836536494278E-6</v>
      </c>
      <c r="BV290" s="196">
        <f t="shared" si="245"/>
        <v>4.3709836536494278E-6</v>
      </c>
    </row>
    <row r="291" spans="1:74" x14ac:dyDescent="0.25">
      <c r="A291" s="147" t="s">
        <v>199</v>
      </c>
      <c r="C291" s="142"/>
      <c r="D291" s="177">
        <f t="shared" ref="D291:AR291" si="246">D227*D$47</f>
        <v>2.5029694555112883E-5</v>
      </c>
      <c r="E291" s="177">
        <f t="shared" si="246"/>
        <v>2.5029694555112883E-5</v>
      </c>
      <c r="F291" s="177">
        <f t="shared" si="246"/>
        <v>2.5029694555112883E-5</v>
      </c>
      <c r="G291" s="177">
        <f t="shared" si="246"/>
        <v>2.5029694555112883E-5</v>
      </c>
      <c r="H291" s="177">
        <f t="shared" si="246"/>
        <v>2.5029694555112883E-5</v>
      </c>
      <c r="I291" s="177">
        <f t="shared" si="246"/>
        <v>2.5029694555112883E-5</v>
      </c>
      <c r="J291" s="177">
        <f t="shared" si="246"/>
        <v>2.5029694555112883E-5</v>
      </c>
      <c r="K291" s="177">
        <f t="shared" si="246"/>
        <v>2.5029694555112883E-5</v>
      </c>
      <c r="L291" s="177">
        <f t="shared" si="246"/>
        <v>2.5029694555112883E-5</v>
      </c>
      <c r="M291" s="177">
        <f t="shared" si="246"/>
        <v>2.5029694555112883E-5</v>
      </c>
      <c r="N291" s="177">
        <f t="shared" si="246"/>
        <v>2.5029694555112883E-5</v>
      </c>
      <c r="O291" s="177">
        <f t="shared" si="246"/>
        <v>2.5029694555112883E-5</v>
      </c>
      <c r="P291" s="177">
        <f t="shared" si="246"/>
        <v>2.5029694555112883E-5</v>
      </c>
      <c r="Q291" s="177">
        <f t="shared" si="246"/>
        <v>2.5074549573848311E-5</v>
      </c>
      <c r="R291" s="177">
        <f t="shared" si="246"/>
        <v>2.5074723164565066E-5</v>
      </c>
      <c r="S291" s="177">
        <f t="shared" si="246"/>
        <v>2.5074723164565066E-5</v>
      </c>
      <c r="T291" s="177">
        <f t="shared" si="246"/>
        <v>2.5074723164565066E-5</v>
      </c>
      <c r="U291" s="177">
        <f t="shared" si="246"/>
        <v>2.5074723164565066E-5</v>
      </c>
      <c r="V291" s="177">
        <f t="shared" si="246"/>
        <v>2.5074723164565066E-5</v>
      </c>
      <c r="W291" s="177">
        <f t="shared" si="246"/>
        <v>2.5074723164565066E-5</v>
      </c>
      <c r="X291" s="177">
        <f t="shared" si="246"/>
        <v>2.5074723164565066E-5</v>
      </c>
      <c r="Y291" s="177">
        <f t="shared" si="246"/>
        <v>2.5074723164565066E-5</v>
      </c>
      <c r="Z291" s="177">
        <f t="shared" si="246"/>
        <v>2.5074723164565066E-5</v>
      </c>
      <c r="AA291" s="177">
        <f t="shared" si="246"/>
        <v>2.5074723164565066E-5</v>
      </c>
      <c r="AB291" s="177">
        <f t="shared" si="246"/>
        <v>2.5074723164565066E-5</v>
      </c>
      <c r="AC291" s="177">
        <f t="shared" si="246"/>
        <v>2.5074723164565066E-5</v>
      </c>
      <c r="AD291" s="177">
        <f t="shared" si="246"/>
        <v>2.5074723164565066E-5</v>
      </c>
      <c r="AE291" s="177">
        <f t="shared" si="246"/>
        <v>2.5074723164565066E-5</v>
      </c>
      <c r="AF291" s="177">
        <f t="shared" si="246"/>
        <v>2.5074723164565066E-5</v>
      </c>
      <c r="AG291" s="177">
        <f t="shared" si="246"/>
        <v>2.5074723164565066E-5</v>
      </c>
      <c r="AH291" s="177">
        <f t="shared" si="246"/>
        <v>2.5074723164565066E-5</v>
      </c>
      <c r="AI291" s="177">
        <f t="shared" si="246"/>
        <v>2.5074723164565066E-5</v>
      </c>
      <c r="AJ291" s="177">
        <f t="shared" si="246"/>
        <v>2.5074723164565066E-5</v>
      </c>
      <c r="AK291" s="177">
        <f t="shared" si="246"/>
        <v>2.5074723164565066E-5</v>
      </c>
      <c r="AL291" s="177">
        <f t="shared" si="246"/>
        <v>2.5074723164565066E-5</v>
      </c>
      <c r="AM291" s="177">
        <f t="shared" si="246"/>
        <v>2.5074723164565066E-5</v>
      </c>
      <c r="AN291" s="177">
        <f t="shared" si="246"/>
        <v>2.5074723164565066E-5</v>
      </c>
      <c r="AO291" s="177">
        <f t="shared" si="246"/>
        <v>2.5074723164565066E-5</v>
      </c>
      <c r="AP291" s="177">
        <f t="shared" si="246"/>
        <v>2.5074723164565066E-5</v>
      </c>
      <c r="AQ291" s="177">
        <f t="shared" si="246"/>
        <v>2.5074723164565066E-5</v>
      </c>
      <c r="AR291" s="177">
        <f t="shared" si="246"/>
        <v>2.5074723164565066E-5</v>
      </c>
      <c r="AS291" s="196">
        <f t="shared" ref="AS291:BV291" si="247">AR291</f>
        <v>2.5074723164565066E-5</v>
      </c>
      <c r="AT291" s="196">
        <f t="shared" si="247"/>
        <v>2.5074723164565066E-5</v>
      </c>
      <c r="AU291" s="196">
        <f t="shared" si="247"/>
        <v>2.5074723164565066E-5</v>
      </c>
      <c r="AV291" s="196">
        <f t="shared" si="247"/>
        <v>2.5074723164565066E-5</v>
      </c>
      <c r="AW291" s="196">
        <f t="shared" si="247"/>
        <v>2.5074723164565066E-5</v>
      </c>
      <c r="AX291" s="196">
        <f t="shared" si="247"/>
        <v>2.5074723164565066E-5</v>
      </c>
      <c r="AY291" s="196">
        <f t="shared" si="247"/>
        <v>2.5074723164565066E-5</v>
      </c>
      <c r="AZ291" s="196">
        <f t="shared" si="247"/>
        <v>2.5074723164565066E-5</v>
      </c>
      <c r="BA291" s="196">
        <f t="shared" si="247"/>
        <v>2.5074723164565066E-5</v>
      </c>
      <c r="BB291" s="196">
        <f t="shared" si="247"/>
        <v>2.5074723164565066E-5</v>
      </c>
      <c r="BC291" s="196">
        <f t="shared" si="247"/>
        <v>2.5074723164565066E-5</v>
      </c>
      <c r="BD291" s="196">
        <f t="shared" si="247"/>
        <v>2.5074723164565066E-5</v>
      </c>
      <c r="BE291" s="196">
        <f t="shared" si="247"/>
        <v>2.5074723164565066E-5</v>
      </c>
      <c r="BF291" s="196">
        <f t="shared" si="247"/>
        <v>2.5074723164565066E-5</v>
      </c>
      <c r="BG291" s="196">
        <f t="shared" si="247"/>
        <v>2.5074723164565066E-5</v>
      </c>
      <c r="BH291" s="196">
        <f t="shared" si="247"/>
        <v>2.5074723164565066E-5</v>
      </c>
      <c r="BI291" s="196">
        <f t="shared" si="247"/>
        <v>2.5074723164565066E-5</v>
      </c>
      <c r="BJ291" s="196">
        <f t="shared" si="247"/>
        <v>2.5074723164565066E-5</v>
      </c>
      <c r="BK291" s="196">
        <f t="shared" si="247"/>
        <v>2.5074723164565066E-5</v>
      </c>
      <c r="BL291" s="196">
        <f t="shared" si="247"/>
        <v>2.5074723164565066E-5</v>
      </c>
      <c r="BM291" s="196">
        <f t="shared" si="247"/>
        <v>2.5074723164565066E-5</v>
      </c>
      <c r="BN291" s="196">
        <f t="shared" si="247"/>
        <v>2.5074723164565066E-5</v>
      </c>
      <c r="BO291" s="196">
        <f t="shared" si="247"/>
        <v>2.5074723164565066E-5</v>
      </c>
      <c r="BP291" s="196">
        <f t="shared" si="247"/>
        <v>2.5074723164565066E-5</v>
      </c>
      <c r="BQ291" s="196">
        <f t="shared" si="247"/>
        <v>2.5074723164565066E-5</v>
      </c>
      <c r="BR291" s="196">
        <f t="shared" si="247"/>
        <v>2.5074723164565066E-5</v>
      </c>
      <c r="BS291" s="196">
        <f t="shared" si="247"/>
        <v>2.5074723164565066E-5</v>
      </c>
      <c r="BT291" s="196">
        <f t="shared" si="247"/>
        <v>2.5074723164565066E-5</v>
      </c>
      <c r="BU291" s="196">
        <f t="shared" si="247"/>
        <v>2.5074723164565066E-5</v>
      </c>
      <c r="BV291" s="196">
        <f t="shared" si="247"/>
        <v>2.5074723164565066E-5</v>
      </c>
    </row>
    <row r="292" spans="1:74" x14ac:dyDescent="0.25">
      <c r="A292" s="147" t="s">
        <v>197</v>
      </c>
      <c r="C292" s="142"/>
      <c r="D292" s="177">
        <f t="shared" ref="D292:AR292" si="248">D228*D$47</f>
        <v>4.3433299723996804E-6</v>
      </c>
      <c r="E292" s="177">
        <f t="shared" si="248"/>
        <v>4.3433300662485E-6</v>
      </c>
      <c r="F292" s="177">
        <f t="shared" si="248"/>
        <v>4.3433301600973238E-6</v>
      </c>
      <c r="G292" s="177">
        <f t="shared" si="248"/>
        <v>4.343330253946151E-6</v>
      </c>
      <c r="H292" s="177">
        <f t="shared" si="248"/>
        <v>4.3433303477949824E-6</v>
      </c>
      <c r="I292" s="177">
        <f t="shared" si="248"/>
        <v>4.3433304416438164E-6</v>
      </c>
      <c r="J292" s="177">
        <f t="shared" si="248"/>
        <v>4.3433299274878226E-6</v>
      </c>
      <c r="K292" s="177">
        <f t="shared" si="248"/>
        <v>4.3433295990380833E-6</v>
      </c>
      <c r="L292" s="177">
        <f t="shared" si="248"/>
        <v>4.3433305607216232E-6</v>
      </c>
      <c r="M292" s="177">
        <f t="shared" si="248"/>
        <v>4.3433300672273617E-6</v>
      </c>
      <c r="N292" s="177">
        <f t="shared" si="248"/>
        <v>4.3433298583206673E-6</v>
      </c>
      <c r="O292" s="177">
        <f t="shared" si="248"/>
        <v>4.3433297792695014E-6</v>
      </c>
      <c r="P292" s="177">
        <f t="shared" si="248"/>
        <v>4.3433301489790838E-6</v>
      </c>
      <c r="Q292" s="177">
        <f t="shared" si="248"/>
        <v>4.343329972318278E-6</v>
      </c>
      <c r="R292" s="177">
        <f t="shared" si="248"/>
        <v>4.3433293797879443E-6</v>
      </c>
      <c r="S292" s="177">
        <f t="shared" si="248"/>
        <v>4.3433285731156045E-6</v>
      </c>
      <c r="T292" s="177">
        <f t="shared" si="248"/>
        <v>4.3433339969334765E-6</v>
      </c>
      <c r="U292" s="177">
        <f t="shared" si="248"/>
        <v>4.3433325364634082E-6</v>
      </c>
      <c r="V292" s="177">
        <f t="shared" si="248"/>
        <v>4.3433283598983026E-6</v>
      </c>
      <c r="W292" s="177">
        <f t="shared" si="248"/>
        <v>4.3433314621896731E-6</v>
      </c>
      <c r="X292" s="177">
        <f t="shared" si="248"/>
        <v>4.3433297421225971E-6</v>
      </c>
      <c r="Y292" s="177">
        <f t="shared" si="248"/>
        <v>4.3433306037691666E-6</v>
      </c>
      <c r="Z292" s="177">
        <f t="shared" si="248"/>
        <v>4.3433271078170401E-6</v>
      </c>
      <c r="AA292" s="177">
        <f t="shared" si="248"/>
        <v>4.3433288692263255E-6</v>
      </c>
      <c r="AB292" s="177">
        <f t="shared" si="248"/>
        <v>4.3607741004389726E-6</v>
      </c>
      <c r="AC292" s="177">
        <f t="shared" si="248"/>
        <v>4.360044982774807E-6</v>
      </c>
      <c r="AD292" s="177">
        <f t="shared" si="248"/>
        <v>4.3683367345804224E-6</v>
      </c>
      <c r="AE292" s="177">
        <f t="shared" si="248"/>
        <v>4.3709836536494278E-6</v>
      </c>
      <c r="AF292" s="177">
        <f t="shared" si="248"/>
        <v>4.3709836536494278E-6</v>
      </c>
      <c r="AG292" s="177">
        <f t="shared" si="248"/>
        <v>4.3709836536494278E-6</v>
      </c>
      <c r="AH292" s="177">
        <f t="shared" si="248"/>
        <v>4.3709836536494278E-6</v>
      </c>
      <c r="AI292" s="177">
        <f t="shared" si="248"/>
        <v>4.3709836536494278E-6</v>
      </c>
      <c r="AJ292" s="177">
        <f t="shared" si="248"/>
        <v>4.3709836536494278E-6</v>
      </c>
      <c r="AK292" s="177">
        <f t="shared" si="248"/>
        <v>4.3709836536494278E-6</v>
      </c>
      <c r="AL292" s="177">
        <f t="shared" si="248"/>
        <v>4.3709836536494278E-6</v>
      </c>
      <c r="AM292" s="177">
        <f t="shared" si="248"/>
        <v>4.3709836536494278E-6</v>
      </c>
      <c r="AN292" s="177">
        <f t="shared" si="248"/>
        <v>4.3709836536494278E-6</v>
      </c>
      <c r="AO292" s="177">
        <f t="shared" si="248"/>
        <v>4.3709836536494278E-6</v>
      </c>
      <c r="AP292" s="177">
        <f t="shared" si="248"/>
        <v>4.3709836536494278E-6</v>
      </c>
      <c r="AQ292" s="177">
        <f t="shared" si="248"/>
        <v>4.3709836536494278E-6</v>
      </c>
      <c r="AR292" s="177">
        <f t="shared" si="248"/>
        <v>4.3709836536494278E-6</v>
      </c>
      <c r="AS292" s="196">
        <f t="shared" ref="AS292:BV292" si="249">AR292</f>
        <v>4.3709836536494278E-6</v>
      </c>
      <c r="AT292" s="196">
        <f t="shared" si="249"/>
        <v>4.3709836536494278E-6</v>
      </c>
      <c r="AU292" s="196">
        <f t="shared" si="249"/>
        <v>4.3709836536494278E-6</v>
      </c>
      <c r="AV292" s="196">
        <f t="shared" si="249"/>
        <v>4.3709836536494278E-6</v>
      </c>
      <c r="AW292" s="196">
        <f t="shared" si="249"/>
        <v>4.3709836536494278E-6</v>
      </c>
      <c r="AX292" s="196">
        <f t="shared" si="249"/>
        <v>4.3709836536494278E-6</v>
      </c>
      <c r="AY292" s="196">
        <f t="shared" si="249"/>
        <v>4.3709836536494278E-6</v>
      </c>
      <c r="AZ292" s="196">
        <f t="shared" si="249"/>
        <v>4.3709836536494278E-6</v>
      </c>
      <c r="BA292" s="196">
        <f t="shared" si="249"/>
        <v>4.3709836536494278E-6</v>
      </c>
      <c r="BB292" s="196">
        <f t="shared" si="249"/>
        <v>4.3709836536494278E-6</v>
      </c>
      <c r="BC292" s="196">
        <f t="shared" si="249"/>
        <v>4.3709836536494278E-6</v>
      </c>
      <c r="BD292" s="196">
        <f t="shared" si="249"/>
        <v>4.3709836536494278E-6</v>
      </c>
      <c r="BE292" s="196">
        <f t="shared" si="249"/>
        <v>4.3709836536494278E-6</v>
      </c>
      <c r="BF292" s="196">
        <f t="shared" si="249"/>
        <v>4.3709836536494278E-6</v>
      </c>
      <c r="BG292" s="196">
        <f t="shared" si="249"/>
        <v>4.3709836536494278E-6</v>
      </c>
      <c r="BH292" s="196">
        <f t="shared" si="249"/>
        <v>4.3709836536494278E-6</v>
      </c>
      <c r="BI292" s="196">
        <f t="shared" si="249"/>
        <v>4.3709836536494278E-6</v>
      </c>
      <c r="BJ292" s="196">
        <f t="shared" si="249"/>
        <v>4.3709836536494278E-6</v>
      </c>
      <c r="BK292" s="196">
        <f t="shared" si="249"/>
        <v>4.3709836536494278E-6</v>
      </c>
      <c r="BL292" s="196">
        <f t="shared" si="249"/>
        <v>4.3709836536494278E-6</v>
      </c>
      <c r="BM292" s="196">
        <f t="shared" si="249"/>
        <v>4.3709836536494278E-6</v>
      </c>
      <c r="BN292" s="196">
        <f t="shared" si="249"/>
        <v>4.3709836536494278E-6</v>
      </c>
      <c r="BO292" s="196">
        <f t="shared" si="249"/>
        <v>4.3709836536494278E-6</v>
      </c>
      <c r="BP292" s="196">
        <f t="shared" si="249"/>
        <v>4.3709836536494278E-6</v>
      </c>
      <c r="BQ292" s="196">
        <f t="shared" si="249"/>
        <v>4.3709836536494278E-6</v>
      </c>
      <c r="BR292" s="196">
        <f t="shared" si="249"/>
        <v>4.3709836536494278E-6</v>
      </c>
      <c r="BS292" s="196">
        <f t="shared" si="249"/>
        <v>4.3709836536494278E-6</v>
      </c>
      <c r="BT292" s="196">
        <f t="shared" si="249"/>
        <v>4.3709836536494278E-6</v>
      </c>
      <c r="BU292" s="196">
        <f t="shared" si="249"/>
        <v>4.3709836536494278E-6</v>
      </c>
      <c r="BV292" s="196">
        <f t="shared" si="249"/>
        <v>4.3709836536494278E-6</v>
      </c>
    </row>
    <row r="293" spans="1:74" x14ac:dyDescent="0.25">
      <c r="A293" s="141" t="s">
        <v>14</v>
      </c>
      <c r="B293" s="148"/>
      <c r="C293" s="142"/>
      <c r="D293" s="177">
        <f t="shared" ref="D293:AR293" si="250">D229*D$47</f>
        <v>2.7421916441116344E-5</v>
      </c>
      <c r="E293" s="177">
        <f t="shared" si="250"/>
        <v>2.7381330020968159E-5</v>
      </c>
      <c r="F293" s="177">
        <f t="shared" si="250"/>
        <v>2.7340863564940422E-5</v>
      </c>
      <c r="G293" s="177">
        <f t="shared" si="250"/>
        <v>2.7300516541938508E-5</v>
      </c>
      <c r="H293" s="177">
        <f t="shared" si="250"/>
        <v>2.7260288423998148E-5</v>
      </c>
      <c r="I293" s="177">
        <f t="shared" si="250"/>
        <v>2.7220178686262361E-5</v>
      </c>
      <c r="J293" s="177">
        <f t="shared" si="250"/>
        <v>2.7191601015852149E-5</v>
      </c>
      <c r="K293" s="177">
        <f t="shared" si="250"/>
        <v>2.7177334754827524E-5</v>
      </c>
      <c r="L293" s="177">
        <f t="shared" si="250"/>
        <v>2.7141734340889796E-5</v>
      </c>
      <c r="M293" s="177">
        <f t="shared" si="250"/>
        <v>2.7170207195631338E-5</v>
      </c>
      <c r="N293" s="177">
        <f t="shared" si="250"/>
        <v>2.727033434518255E-5</v>
      </c>
      <c r="O293" s="177">
        <f t="shared" si="250"/>
        <v>2.7198739778499933E-5</v>
      </c>
      <c r="P293" s="177">
        <f t="shared" si="250"/>
        <v>2.719873986679523E-5</v>
      </c>
      <c r="Q293" s="177">
        <f t="shared" si="250"/>
        <v>2.7120418848167532E-5</v>
      </c>
      <c r="R293" s="177">
        <f t="shared" si="250"/>
        <v>2.7113321080325714E-5</v>
      </c>
      <c r="S293" s="177">
        <f t="shared" si="250"/>
        <v>2.7077888871239459E-5</v>
      </c>
      <c r="T293" s="177">
        <f t="shared" si="250"/>
        <v>2.7077888005918938E-5</v>
      </c>
      <c r="U293" s="177">
        <f t="shared" si="250"/>
        <v>2.7184465585479339E-5</v>
      </c>
      <c r="V293" s="177">
        <f t="shared" si="250"/>
        <v>2.6972143412561949E-5</v>
      </c>
      <c r="W293" s="177">
        <f t="shared" si="250"/>
        <v>2.6958105004664386E-5</v>
      </c>
      <c r="X293" s="177">
        <f t="shared" si="250"/>
        <v>2.6895119460728506E-5</v>
      </c>
      <c r="Y293" s="177">
        <f t="shared" si="250"/>
        <v>2.6867219158563552E-5</v>
      </c>
      <c r="Z293" s="177">
        <f t="shared" si="250"/>
        <v>2.6742384461495272E-5</v>
      </c>
      <c r="AA293" s="177">
        <f t="shared" si="250"/>
        <v>2.6666665996349268E-5</v>
      </c>
      <c r="AB293" s="177">
        <f t="shared" si="250"/>
        <v>2.6564103093349221E-5</v>
      </c>
      <c r="AC293" s="177">
        <f t="shared" si="250"/>
        <v>2.6401631335667657E-5</v>
      </c>
      <c r="AD293" s="177">
        <f t="shared" si="250"/>
        <v>2.6543689071785498E-5</v>
      </c>
      <c r="AE293" s="177">
        <f t="shared" si="250"/>
        <v>2.6415100071115674E-5</v>
      </c>
      <c r="AF293" s="177">
        <f t="shared" si="250"/>
        <v>2.6415100071115674E-5</v>
      </c>
      <c r="AG293" s="177">
        <f t="shared" si="250"/>
        <v>2.6415100071115674E-5</v>
      </c>
      <c r="AH293" s="177">
        <f t="shared" si="250"/>
        <v>2.6415100071115674E-5</v>
      </c>
      <c r="AI293" s="177">
        <f t="shared" si="250"/>
        <v>2.6415100071115674E-5</v>
      </c>
      <c r="AJ293" s="177">
        <f t="shared" si="250"/>
        <v>2.6415100071115674E-5</v>
      </c>
      <c r="AK293" s="177">
        <f t="shared" si="250"/>
        <v>2.6415100071115674E-5</v>
      </c>
      <c r="AL293" s="177">
        <f t="shared" si="250"/>
        <v>2.6415100071115674E-5</v>
      </c>
      <c r="AM293" s="177">
        <f t="shared" si="250"/>
        <v>2.6415100071115674E-5</v>
      </c>
      <c r="AN293" s="177">
        <f t="shared" si="250"/>
        <v>2.6415100071115674E-5</v>
      </c>
      <c r="AO293" s="177">
        <f t="shared" si="250"/>
        <v>2.6415100071115674E-5</v>
      </c>
      <c r="AP293" s="177">
        <f t="shared" si="250"/>
        <v>2.6415100071115674E-5</v>
      </c>
      <c r="AQ293" s="177">
        <f t="shared" si="250"/>
        <v>2.6415100071115674E-5</v>
      </c>
      <c r="AR293" s="177">
        <f t="shared" si="250"/>
        <v>2.6415100071115674E-5</v>
      </c>
      <c r="AS293" s="196">
        <f t="shared" ref="AS293:BV293" si="251">AR293</f>
        <v>2.6415100071115674E-5</v>
      </c>
      <c r="AT293" s="196">
        <f t="shared" si="251"/>
        <v>2.6415100071115674E-5</v>
      </c>
      <c r="AU293" s="196">
        <f t="shared" si="251"/>
        <v>2.6415100071115674E-5</v>
      </c>
      <c r="AV293" s="196">
        <f t="shared" si="251"/>
        <v>2.6415100071115674E-5</v>
      </c>
      <c r="AW293" s="196">
        <f t="shared" si="251"/>
        <v>2.6415100071115674E-5</v>
      </c>
      <c r="AX293" s="196">
        <f t="shared" si="251"/>
        <v>2.6415100071115674E-5</v>
      </c>
      <c r="AY293" s="196">
        <f t="shared" si="251"/>
        <v>2.6415100071115674E-5</v>
      </c>
      <c r="AZ293" s="196">
        <f t="shared" si="251"/>
        <v>2.6415100071115674E-5</v>
      </c>
      <c r="BA293" s="196">
        <f t="shared" si="251"/>
        <v>2.6415100071115674E-5</v>
      </c>
      <c r="BB293" s="196">
        <f t="shared" si="251"/>
        <v>2.6415100071115674E-5</v>
      </c>
      <c r="BC293" s="196">
        <f t="shared" si="251"/>
        <v>2.6415100071115674E-5</v>
      </c>
      <c r="BD293" s="196">
        <f t="shared" si="251"/>
        <v>2.6415100071115674E-5</v>
      </c>
      <c r="BE293" s="196">
        <f t="shared" si="251"/>
        <v>2.6415100071115674E-5</v>
      </c>
      <c r="BF293" s="196">
        <f t="shared" si="251"/>
        <v>2.6415100071115674E-5</v>
      </c>
      <c r="BG293" s="196">
        <f t="shared" si="251"/>
        <v>2.6415100071115674E-5</v>
      </c>
      <c r="BH293" s="196">
        <f t="shared" si="251"/>
        <v>2.6415100071115674E-5</v>
      </c>
      <c r="BI293" s="196">
        <f t="shared" si="251"/>
        <v>2.6415100071115674E-5</v>
      </c>
      <c r="BJ293" s="196">
        <f t="shared" si="251"/>
        <v>2.6415100071115674E-5</v>
      </c>
      <c r="BK293" s="196">
        <f t="shared" si="251"/>
        <v>2.6415100071115674E-5</v>
      </c>
      <c r="BL293" s="196">
        <f t="shared" si="251"/>
        <v>2.6415100071115674E-5</v>
      </c>
      <c r="BM293" s="196">
        <f t="shared" si="251"/>
        <v>2.6415100071115674E-5</v>
      </c>
      <c r="BN293" s="196">
        <f t="shared" si="251"/>
        <v>2.6415100071115674E-5</v>
      </c>
      <c r="BO293" s="196">
        <f t="shared" si="251"/>
        <v>2.6415100071115674E-5</v>
      </c>
      <c r="BP293" s="196">
        <f t="shared" si="251"/>
        <v>2.6415100071115674E-5</v>
      </c>
      <c r="BQ293" s="196">
        <f t="shared" si="251"/>
        <v>2.6415100071115674E-5</v>
      </c>
      <c r="BR293" s="196">
        <f t="shared" si="251"/>
        <v>2.6415100071115674E-5</v>
      </c>
      <c r="BS293" s="196">
        <f t="shared" si="251"/>
        <v>2.6415100071115674E-5</v>
      </c>
      <c r="BT293" s="196">
        <f t="shared" si="251"/>
        <v>2.6415100071115674E-5</v>
      </c>
      <c r="BU293" s="196">
        <f t="shared" si="251"/>
        <v>2.6415100071115674E-5</v>
      </c>
      <c r="BV293" s="196">
        <f t="shared" si="251"/>
        <v>2.6415100071115674E-5</v>
      </c>
    </row>
    <row r="294" spans="1:74" x14ac:dyDescent="0.25">
      <c r="A294" s="141" t="s">
        <v>188</v>
      </c>
      <c r="B294" s="142"/>
      <c r="C294" s="142"/>
      <c r="D294" s="177">
        <f t="shared" ref="D294:AR294" si="252">D230*D$47</f>
        <v>7.5539568600920088E-5</v>
      </c>
      <c r="E294" s="177">
        <f t="shared" si="252"/>
        <v>7.5539568690668785E-5</v>
      </c>
      <c r="F294" s="177">
        <f t="shared" si="252"/>
        <v>7.5539568780417482E-5</v>
      </c>
      <c r="G294" s="177">
        <f t="shared" si="252"/>
        <v>7.5539568870166179E-5</v>
      </c>
      <c r="H294" s="177">
        <f t="shared" si="252"/>
        <v>7.5539568959914877E-5</v>
      </c>
      <c r="I294" s="177">
        <f t="shared" si="252"/>
        <v>7.5539569049663588E-5</v>
      </c>
      <c r="J294" s="177">
        <f t="shared" si="252"/>
        <v>7.5539566959364435E-5</v>
      </c>
      <c r="K294" s="177">
        <f t="shared" si="252"/>
        <v>7.5539567619222075E-5</v>
      </c>
      <c r="L294" s="177">
        <f t="shared" si="252"/>
        <v>7.2351419988604372E-5</v>
      </c>
      <c r="M294" s="177">
        <f t="shared" si="252"/>
        <v>7.2491908059125378E-5</v>
      </c>
      <c r="N294" s="177">
        <f t="shared" si="252"/>
        <v>7.2491909090205561E-5</v>
      </c>
      <c r="O294" s="177">
        <f t="shared" si="252"/>
        <v>7.2491909189027092E-5</v>
      </c>
      <c r="P294" s="177">
        <f t="shared" si="252"/>
        <v>7.2491908926267402E-5</v>
      </c>
      <c r="Q294" s="177">
        <f t="shared" si="252"/>
        <v>7.2491909417516859E-5</v>
      </c>
      <c r="R294" s="177">
        <f t="shared" si="252"/>
        <v>7.2491909082715418E-5</v>
      </c>
      <c r="S294" s="177">
        <f t="shared" si="252"/>
        <v>7.2491909521157168E-5</v>
      </c>
      <c r="T294" s="177">
        <f t="shared" si="252"/>
        <v>7.2491920707871185E-5</v>
      </c>
      <c r="U294" s="177">
        <f t="shared" si="252"/>
        <v>7.249193193296421E-5</v>
      </c>
      <c r="V294" s="177">
        <f t="shared" si="252"/>
        <v>7.2491924224218825E-5</v>
      </c>
      <c r="W294" s="177">
        <f t="shared" si="252"/>
        <v>7.2491922159283417E-5</v>
      </c>
      <c r="X294" s="177">
        <f t="shared" si="252"/>
        <v>7.2491931806978387E-5</v>
      </c>
      <c r="Y294" s="177">
        <f t="shared" si="252"/>
        <v>7.2491914227608501E-5</v>
      </c>
      <c r="Z294" s="177">
        <f t="shared" si="252"/>
        <v>7.2491925586123921E-5</v>
      </c>
      <c r="AA294" s="177">
        <f t="shared" si="252"/>
        <v>7.2491892117631498E-5</v>
      </c>
      <c r="AB294" s="177">
        <f t="shared" si="252"/>
        <v>7.2487305647370693E-5</v>
      </c>
      <c r="AC294" s="177">
        <f t="shared" si="252"/>
        <v>7.2487293594872005E-5</v>
      </c>
      <c r="AD294" s="177">
        <f t="shared" si="252"/>
        <v>7.2487317144627385E-5</v>
      </c>
      <c r="AE294" s="177">
        <f t="shared" si="252"/>
        <v>7.2487317144627385E-5</v>
      </c>
      <c r="AF294" s="177">
        <f t="shared" si="252"/>
        <v>7.2487317144627385E-5</v>
      </c>
      <c r="AG294" s="177">
        <f t="shared" si="252"/>
        <v>7.2487317144627385E-5</v>
      </c>
      <c r="AH294" s="177">
        <f t="shared" si="252"/>
        <v>7.2487317144627385E-5</v>
      </c>
      <c r="AI294" s="177">
        <f t="shared" si="252"/>
        <v>7.2487317144627385E-5</v>
      </c>
      <c r="AJ294" s="177">
        <f t="shared" si="252"/>
        <v>7.2487317144627385E-5</v>
      </c>
      <c r="AK294" s="177">
        <f t="shared" si="252"/>
        <v>7.2487317144627385E-5</v>
      </c>
      <c r="AL294" s="177">
        <f t="shared" si="252"/>
        <v>7.2487317144627385E-5</v>
      </c>
      <c r="AM294" s="177">
        <f t="shared" si="252"/>
        <v>7.2487317144627385E-5</v>
      </c>
      <c r="AN294" s="177">
        <f t="shared" si="252"/>
        <v>7.2487317144627385E-5</v>
      </c>
      <c r="AO294" s="177">
        <f t="shared" si="252"/>
        <v>7.2487317144627385E-5</v>
      </c>
      <c r="AP294" s="177">
        <f t="shared" si="252"/>
        <v>7.2487317144627385E-5</v>
      </c>
      <c r="AQ294" s="177">
        <f t="shared" si="252"/>
        <v>7.2487317144627385E-5</v>
      </c>
      <c r="AR294" s="177">
        <f t="shared" si="252"/>
        <v>7.2487317144627385E-5</v>
      </c>
      <c r="AS294" s="196">
        <f t="shared" ref="AS294:BV294" si="253">AR294</f>
        <v>7.2487317144627385E-5</v>
      </c>
      <c r="AT294" s="196">
        <f t="shared" si="253"/>
        <v>7.2487317144627385E-5</v>
      </c>
      <c r="AU294" s="196">
        <f t="shared" si="253"/>
        <v>7.2487317144627385E-5</v>
      </c>
      <c r="AV294" s="196">
        <f t="shared" si="253"/>
        <v>7.2487317144627385E-5</v>
      </c>
      <c r="AW294" s="196">
        <f t="shared" si="253"/>
        <v>7.2487317144627385E-5</v>
      </c>
      <c r="AX294" s="196">
        <f t="shared" si="253"/>
        <v>7.2487317144627385E-5</v>
      </c>
      <c r="AY294" s="196">
        <f t="shared" si="253"/>
        <v>7.2487317144627385E-5</v>
      </c>
      <c r="AZ294" s="196">
        <f t="shared" si="253"/>
        <v>7.2487317144627385E-5</v>
      </c>
      <c r="BA294" s="196">
        <f t="shared" si="253"/>
        <v>7.2487317144627385E-5</v>
      </c>
      <c r="BB294" s="196">
        <f t="shared" si="253"/>
        <v>7.2487317144627385E-5</v>
      </c>
      <c r="BC294" s="196">
        <f t="shared" si="253"/>
        <v>7.2487317144627385E-5</v>
      </c>
      <c r="BD294" s="196">
        <f t="shared" si="253"/>
        <v>7.2487317144627385E-5</v>
      </c>
      <c r="BE294" s="196">
        <f t="shared" si="253"/>
        <v>7.2487317144627385E-5</v>
      </c>
      <c r="BF294" s="196">
        <f t="shared" si="253"/>
        <v>7.2487317144627385E-5</v>
      </c>
      <c r="BG294" s="196">
        <f t="shared" si="253"/>
        <v>7.2487317144627385E-5</v>
      </c>
      <c r="BH294" s="196">
        <f t="shared" si="253"/>
        <v>7.2487317144627385E-5</v>
      </c>
      <c r="BI294" s="196">
        <f t="shared" si="253"/>
        <v>7.2487317144627385E-5</v>
      </c>
      <c r="BJ294" s="196">
        <f t="shared" si="253"/>
        <v>7.2487317144627385E-5</v>
      </c>
      <c r="BK294" s="196">
        <f t="shared" si="253"/>
        <v>7.2487317144627385E-5</v>
      </c>
      <c r="BL294" s="196">
        <f t="shared" si="253"/>
        <v>7.2487317144627385E-5</v>
      </c>
      <c r="BM294" s="196">
        <f t="shared" si="253"/>
        <v>7.2487317144627385E-5</v>
      </c>
      <c r="BN294" s="196">
        <f t="shared" si="253"/>
        <v>7.2487317144627385E-5</v>
      </c>
      <c r="BO294" s="196">
        <f t="shared" si="253"/>
        <v>7.2487317144627385E-5</v>
      </c>
      <c r="BP294" s="196">
        <f t="shared" si="253"/>
        <v>7.2487317144627385E-5</v>
      </c>
      <c r="BQ294" s="196">
        <f t="shared" si="253"/>
        <v>7.2487317144627385E-5</v>
      </c>
      <c r="BR294" s="196">
        <f t="shared" si="253"/>
        <v>7.2487317144627385E-5</v>
      </c>
      <c r="BS294" s="196">
        <f t="shared" si="253"/>
        <v>7.2487317144627385E-5</v>
      </c>
      <c r="BT294" s="196">
        <f t="shared" si="253"/>
        <v>7.2487317144627385E-5</v>
      </c>
      <c r="BU294" s="196">
        <f t="shared" si="253"/>
        <v>7.2487317144627385E-5</v>
      </c>
      <c r="BV294" s="196">
        <f t="shared" si="253"/>
        <v>7.2487317144627385E-5</v>
      </c>
    </row>
    <row r="295" spans="1:74" x14ac:dyDescent="0.25">
      <c r="A295" s="147" t="s">
        <v>200</v>
      </c>
      <c r="C295" s="142"/>
      <c r="D295" s="177">
        <f t="shared" ref="D295:AR295" si="254">D231*D$47</f>
        <v>2.6321971944495198E-5</v>
      </c>
      <c r="E295" s="177">
        <f t="shared" si="254"/>
        <v>2.6321972841809881E-5</v>
      </c>
      <c r="F295" s="177">
        <f t="shared" si="254"/>
        <v>2.6321973739124628E-5</v>
      </c>
      <c r="G295" s="177">
        <f t="shared" si="254"/>
        <v>2.6321974636439437E-5</v>
      </c>
      <c r="H295" s="177">
        <f t="shared" si="254"/>
        <v>2.6321975533754303E-5</v>
      </c>
      <c r="I295" s="177">
        <f t="shared" si="254"/>
        <v>2.6321976431069227E-5</v>
      </c>
      <c r="J295" s="177">
        <f t="shared" si="254"/>
        <v>2.6321973125526867E-5</v>
      </c>
      <c r="K295" s="177">
        <f t="shared" si="254"/>
        <v>2.6321974758503966E-5</v>
      </c>
      <c r="L295" s="177">
        <f t="shared" si="254"/>
        <v>2.6550776427885023E-5</v>
      </c>
      <c r="M295" s="177">
        <f t="shared" si="254"/>
        <v>2.6550771630717088E-5</v>
      </c>
      <c r="N295" s="177">
        <f t="shared" si="254"/>
        <v>2.6550771629672747E-5</v>
      </c>
      <c r="O295" s="177">
        <f t="shared" si="254"/>
        <v>2.655076944374248E-5</v>
      </c>
      <c r="P295" s="177">
        <f t="shared" si="254"/>
        <v>2.6550774437620808E-5</v>
      </c>
      <c r="Q295" s="177">
        <f t="shared" si="254"/>
        <v>2.6550769761827323E-5</v>
      </c>
      <c r="R295" s="177">
        <f t="shared" si="254"/>
        <v>2.6550770727469701E-5</v>
      </c>
      <c r="S295" s="177">
        <f t="shared" si="254"/>
        <v>2.6550765569690007E-5</v>
      </c>
      <c r="T295" s="177">
        <f t="shared" si="254"/>
        <v>2.6550761070570177E-5</v>
      </c>
      <c r="U295" s="177">
        <f t="shared" si="254"/>
        <v>2.6550807134903982E-5</v>
      </c>
      <c r="V295" s="177">
        <f t="shared" si="254"/>
        <v>2.655075355713391E-5</v>
      </c>
      <c r="W295" s="177">
        <f t="shared" si="254"/>
        <v>2.6550817199185415E-5</v>
      </c>
      <c r="X295" s="177">
        <f t="shared" si="254"/>
        <v>2.6550791213193567E-5</v>
      </c>
      <c r="Y295" s="177">
        <f t="shared" si="254"/>
        <v>2.6550756098347616E-5</v>
      </c>
      <c r="Z295" s="177">
        <f t="shared" si="254"/>
        <v>2.6550792758207524E-5</v>
      </c>
      <c r="AA295" s="177">
        <f t="shared" si="254"/>
        <v>2.6550792758207524E-5</v>
      </c>
      <c r="AB295" s="177">
        <f t="shared" si="254"/>
        <v>2.6550792758207524E-5</v>
      </c>
      <c r="AC295" s="177">
        <f t="shared" si="254"/>
        <v>2.6550792758207524E-5</v>
      </c>
      <c r="AD295" s="177">
        <f t="shared" si="254"/>
        <v>2.6550957712459096E-5</v>
      </c>
      <c r="AE295" s="177">
        <f t="shared" si="254"/>
        <v>2.6550921544773507E-5</v>
      </c>
      <c r="AF295" s="177">
        <f t="shared" si="254"/>
        <v>2.6550921544773507E-5</v>
      </c>
      <c r="AG295" s="177">
        <f t="shared" si="254"/>
        <v>2.6550921544773507E-5</v>
      </c>
      <c r="AH295" s="177">
        <f t="shared" si="254"/>
        <v>2.6550921544773507E-5</v>
      </c>
      <c r="AI295" s="177">
        <f t="shared" si="254"/>
        <v>2.6550921544773507E-5</v>
      </c>
      <c r="AJ295" s="177">
        <f t="shared" si="254"/>
        <v>2.6550921544773507E-5</v>
      </c>
      <c r="AK295" s="177">
        <f t="shared" si="254"/>
        <v>2.6550921544773507E-5</v>
      </c>
      <c r="AL295" s="177">
        <f t="shared" si="254"/>
        <v>2.6550921544773507E-5</v>
      </c>
      <c r="AM295" s="177">
        <f t="shared" si="254"/>
        <v>2.6550921544773507E-5</v>
      </c>
      <c r="AN295" s="177">
        <f t="shared" si="254"/>
        <v>2.6550921544773507E-5</v>
      </c>
      <c r="AO295" s="177">
        <f t="shared" si="254"/>
        <v>2.6550921544773507E-5</v>
      </c>
      <c r="AP295" s="177">
        <f t="shared" si="254"/>
        <v>2.6550921544773507E-5</v>
      </c>
      <c r="AQ295" s="177">
        <f t="shared" si="254"/>
        <v>2.6550921544773507E-5</v>
      </c>
      <c r="AR295" s="177">
        <f t="shared" si="254"/>
        <v>2.6550921544773507E-5</v>
      </c>
      <c r="AS295" s="196">
        <f t="shared" ref="AS295:BV295" si="255">AR295</f>
        <v>2.6550921544773507E-5</v>
      </c>
      <c r="AT295" s="196">
        <f t="shared" si="255"/>
        <v>2.6550921544773507E-5</v>
      </c>
      <c r="AU295" s="196">
        <f t="shared" si="255"/>
        <v>2.6550921544773507E-5</v>
      </c>
      <c r="AV295" s="196">
        <f t="shared" si="255"/>
        <v>2.6550921544773507E-5</v>
      </c>
      <c r="AW295" s="196">
        <f t="shared" si="255"/>
        <v>2.6550921544773507E-5</v>
      </c>
      <c r="AX295" s="196">
        <f t="shared" si="255"/>
        <v>2.6550921544773507E-5</v>
      </c>
      <c r="AY295" s="196">
        <f t="shared" si="255"/>
        <v>2.6550921544773507E-5</v>
      </c>
      <c r="AZ295" s="196">
        <f t="shared" si="255"/>
        <v>2.6550921544773507E-5</v>
      </c>
      <c r="BA295" s="196">
        <f t="shared" si="255"/>
        <v>2.6550921544773507E-5</v>
      </c>
      <c r="BB295" s="196">
        <f t="shared" si="255"/>
        <v>2.6550921544773507E-5</v>
      </c>
      <c r="BC295" s="196">
        <f t="shared" si="255"/>
        <v>2.6550921544773507E-5</v>
      </c>
      <c r="BD295" s="196">
        <f t="shared" si="255"/>
        <v>2.6550921544773507E-5</v>
      </c>
      <c r="BE295" s="196">
        <f t="shared" si="255"/>
        <v>2.6550921544773507E-5</v>
      </c>
      <c r="BF295" s="196">
        <f t="shared" si="255"/>
        <v>2.6550921544773507E-5</v>
      </c>
      <c r="BG295" s="196">
        <f t="shared" si="255"/>
        <v>2.6550921544773507E-5</v>
      </c>
      <c r="BH295" s="196">
        <f t="shared" si="255"/>
        <v>2.6550921544773507E-5</v>
      </c>
      <c r="BI295" s="196">
        <f t="shared" si="255"/>
        <v>2.6550921544773507E-5</v>
      </c>
      <c r="BJ295" s="196">
        <f t="shared" si="255"/>
        <v>2.6550921544773507E-5</v>
      </c>
      <c r="BK295" s="196">
        <f t="shared" si="255"/>
        <v>2.6550921544773507E-5</v>
      </c>
      <c r="BL295" s="196">
        <f t="shared" si="255"/>
        <v>2.6550921544773507E-5</v>
      </c>
      <c r="BM295" s="196">
        <f t="shared" si="255"/>
        <v>2.6550921544773507E-5</v>
      </c>
      <c r="BN295" s="196">
        <f t="shared" si="255"/>
        <v>2.6550921544773507E-5</v>
      </c>
      <c r="BO295" s="196">
        <f t="shared" si="255"/>
        <v>2.6550921544773507E-5</v>
      </c>
      <c r="BP295" s="196">
        <f t="shared" si="255"/>
        <v>2.6550921544773507E-5</v>
      </c>
      <c r="BQ295" s="196">
        <f t="shared" si="255"/>
        <v>2.6550921544773507E-5</v>
      </c>
      <c r="BR295" s="196">
        <f t="shared" si="255"/>
        <v>2.6550921544773507E-5</v>
      </c>
      <c r="BS295" s="196">
        <f t="shared" si="255"/>
        <v>2.6550921544773507E-5</v>
      </c>
      <c r="BT295" s="196">
        <f t="shared" si="255"/>
        <v>2.6550921544773507E-5</v>
      </c>
      <c r="BU295" s="196">
        <f t="shared" si="255"/>
        <v>2.6550921544773507E-5</v>
      </c>
      <c r="BV295" s="196">
        <f t="shared" si="255"/>
        <v>2.6550921544773507E-5</v>
      </c>
    </row>
    <row r="296" spans="1:74" x14ac:dyDescent="0.25">
      <c r="A296" s="141" t="s">
        <v>194</v>
      </c>
      <c r="B296" s="148"/>
      <c r="C296" s="142"/>
      <c r="D296" s="177">
        <f t="shared" ref="D296:AR296" si="256">D232*D$47</f>
        <v>2.1873951552929095E-5</v>
      </c>
      <c r="E296" s="177">
        <f t="shared" si="256"/>
        <v>2.1994727981065728E-5</v>
      </c>
      <c r="F296" s="177">
        <f t="shared" si="256"/>
        <v>2.2115504409295925E-5</v>
      </c>
      <c r="G296" s="177">
        <f t="shared" si="256"/>
        <v>2.2236280837619682E-5</v>
      </c>
      <c r="H296" s="177">
        <f t="shared" si="256"/>
        <v>2.2357057266037001E-5</v>
      </c>
      <c r="I296" s="177">
        <f t="shared" si="256"/>
        <v>2.2477833694547874E-5</v>
      </c>
      <c r="J296" s="177">
        <f t="shared" si="256"/>
        <v>2.2518092465058956E-5</v>
      </c>
      <c r="K296" s="177">
        <f t="shared" si="256"/>
        <v>2.2558351302916563E-5</v>
      </c>
      <c r="L296" s="177">
        <f t="shared" si="256"/>
        <v>2.2189176470588238E-5</v>
      </c>
      <c r="M296" s="177">
        <f t="shared" si="256"/>
        <v>2.2228705805873902E-5</v>
      </c>
      <c r="N296" s="177">
        <f t="shared" si="256"/>
        <v>2.2268235220572455E-5</v>
      </c>
      <c r="O296" s="177">
        <f t="shared" si="256"/>
        <v>2.2031058759868132E-5</v>
      </c>
      <c r="P296" s="177">
        <f t="shared" si="256"/>
        <v>2.1793882290725942E-5</v>
      </c>
      <c r="Q296" s="177">
        <f t="shared" si="256"/>
        <v>2.1556705882352937E-5</v>
      </c>
      <c r="R296" s="177">
        <f t="shared" si="256"/>
        <v>2.1319529411764695E-5</v>
      </c>
      <c r="S296" s="177">
        <f t="shared" si="256"/>
        <v>2.108235288462726E-5</v>
      </c>
      <c r="T296" s="177">
        <f t="shared" si="256"/>
        <v>2.108235288785678E-5</v>
      </c>
      <c r="U296" s="177">
        <f t="shared" si="256"/>
        <v>2.121411774653503E-5</v>
      </c>
      <c r="V296" s="177">
        <f t="shared" si="256"/>
        <v>2.0818822793889217E-5</v>
      </c>
      <c r="W296" s="177">
        <f t="shared" si="256"/>
        <v>2.1082350754587412E-5</v>
      </c>
      <c r="X296" s="177">
        <f t="shared" si="256"/>
        <v>2.1148237503736741E-5</v>
      </c>
      <c r="Y296" s="177">
        <f t="shared" si="256"/>
        <v>2.1477646669763424E-5</v>
      </c>
      <c r="Z296" s="177">
        <f t="shared" si="256"/>
        <v>2.3669624825336229E-5</v>
      </c>
      <c r="AA296" s="177">
        <f t="shared" si="256"/>
        <v>2.4057646834226084E-5</v>
      </c>
      <c r="AB296" s="177">
        <f t="shared" si="256"/>
        <v>2.4057646834226084E-5</v>
      </c>
      <c r="AC296" s="177">
        <f t="shared" si="256"/>
        <v>2.4057646834226084E-5</v>
      </c>
      <c r="AD296" s="177">
        <f t="shared" si="256"/>
        <v>2.4057649873707521E-5</v>
      </c>
      <c r="AE296" s="177">
        <f t="shared" si="256"/>
        <v>2.4057649873707521E-5</v>
      </c>
      <c r="AF296" s="177">
        <f t="shared" si="256"/>
        <v>2.4057649873707521E-5</v>
      </c>
      <c r="AG296" s="177">
        <f t="shared" si="256"/>
        <v>2.4057649873707521E-5</v>
      </c>
      <c r="AH296" s="177">
        <f t="shared" si="256"/>
        <v>2.4057649873707521E-5</v>
      </c>
      <c r="AI296" s="177">
        <f t="shared" si="256"/>
        <v>2.4057649873707521E-5</v>
      </c>
      <c r="AJ296" s="177">
        <f t="shared" si="256"/>
        <v>2.4057649873707521E-5</v>
      </c>
      <c r="AK296" s="177">
        <f t="shared" si="256"/>
        <v>2.4057649873707521E-5</v>
      </c>
      <c r="AL296" s="177">
        <f t="shared" si="256"/>
        <v>2.4057649873707521E-5</v>
      </c>
      <c r="AM296" s="177">
        <f t="shared" si="256"/>
        <v>2.4057649873707521E-5</v>
      </c>
      <c r="AN296" s="177">
        <f t="shared" si="256"/>
        <v>2.4057649873707521E-5</v>
      </c>
      <c r="AO296" s="177">
        <f t="shared" si="256"/>
        <v>2.4057649873707521E-5</v>
      </c>
      <c r="AP296" s="177">
        <f t="shared" si="256"/>
        <v>2.4057649873707521E-5</v>
      </c>
      <c r="AQ296" s="177">
        <f t="shared" si="256"/>
        <v>2.4057649873707521E-5</v>
      </c>
      <c r="AR296" s="177">
        <f t="shared" si="256"/>
        <v>2.4057649873707521E-5</v>
      </c>
      <c r="AS296" s="196">
        <f t="shared" ref="AS296:BV296" si="257">AR296</f>
        <v>2.4057649873707521E-5</v>
      </c>
      <c r="AT296" s="196">
        <f t="shared" si="257"/>
        <v>2.4057649873707521E-5</v>
      </c>
      <c r="AU296" s="196">
        <f t="shared" si="257"/>
        <v>2.4057649873707521E-5</v>
      </c>
      <c r="AV296" s="196">
        <f t="shared" si="257"/>
        <v>2.4057649873707521E-5</v>
      </c>
      <c r="AW296" s="196">
        <f t="shared" si="257"/>
        <v>2.4057649873707521E-5</v>
      </c>
      <c r="AX296" s="196">
        <f t="shared" si="257"/>
        <v>2.4057649873707521E-5</v>
      </c>
      <c r="AY296" s="196">
        <f t="shared" si="257"/>
        <v>2.4057649873707521E-5</v>
      </c>
      <c r="AZ296" s="196">
        <f t="shared" si="257"/>
        <v>2.4057649873707521E-5</v>
      </c>
      <c r="BA296" s="196">
        <f t="shared" si="257"/>
        <v>2.4057649873707521E-5</v>
      </c>
      <c r="BB296" s="196">
        <f t="shared" si="257"/>
        <v>2.4057649873707521E-5</v>
      </c>
      <c r="BC296" s="196">
        <f t="shared" si="257"/>
        <v>2.4057649873707521E-5</v>
      </c>
      <c r="BD296" s="196">
        <f t="shared" si="257"/>
        <v>2.4057649873707521E-5</v>
      </c>
      <c r="BE296" s="196">
        <f t="shared" si="257"/>
        <v>2.4057649873707521E-5</v>
      </c>
      <c r="BF296" s="196">
        <f t="shared" si="257"/>
        <v>2.4057649873707521E-5</v>
      </c>
      <c r="BG296" s="196">
        <f t="shared" si="257"/>
        <v>2.4057649873707521E-5</v>
      </c>
      <c r="BH296" s="196">
        <f t="shared" si="257"/>
        <v>2.4057649873707521E-5</v>
      </c>
      <c r="BI296" s="196">
        <f t="shared" si="257"/>
        <v>2.4057649873707521E-5</v>
      </c>
      <c r="BJ296" s="196">
        <f t="shared" si="257"/>
        <v>2.4057649873707521E-5</v>
      </c>
      <c r="BK296" s="196">
        <f t="shared" si="257"/>
        <v>2.4057649873707521E-5</v>
      </c>
      <c r="BL296" s="196">
        <f t="shared" si="257"/>
        <v>2.4057649873707521E-5</v>
      </c>
      <c r="BM296" s="196">
        <f t="shared" si="257"/>
        <v>2.4057649873707521E-5</v>
      </c>
      <c r="BN296" s="196">
        <f t="shared" si="257"/>
        <v>2.4057649873707521E-5</v>
      </c>
      <c r="BO296" s="196">
        <f t="shared" si="257"/>
        <v>2.4057649873707521E-5</v>
      </c>
      <c r="BP296" s="196">
        <f t="shared" si="257"/>
        <v>2.4057649873707521E-5</v>
      </c>
      <c r="BQ296" s="196">
        <f t="shared" si="257"/>
        <v>2.4057649873707521E-5</v>
      </c>
      <c r="BR296" s="196">
        <f t="shared" si="257"/>
        <v>2.4057649873707521E-5</v>
      </c>
      <c r="BS296" s="196">
        <f t="shared" si="257"/>
        <v>2.4057649873707521E-5</v>
      </c>
      <c r="BT296" s="196">
        <f t="shared" si="257"/>
        <v>2.4057649873707521E-5</v>
      </c>
      <c r="BU296" s="196">
        <f t="shared" si="257"/>
        <v>2.4057649873707521E-5</v>
      </c>
      <c r="BV296" s="196">
        <f t="shared" si="257"/>
        <v>2.4057649873707521E-5</v>
      </c>
    </row>
    <row r="297" spans="1:74" x14ac:dyDescent="0.25">
      <c r="A297" s="147" t="s">
        <v>201</v>
      </c>
      <c r="C297" s="142"/>
      <c r="D297" s="177">
        <f t="shared" ref="D297:AR297" si="258">D233*D$47</f>
        <v>5.3486150907354344E-5</v>
      </c>
      <c r="E297" s="177">
        <f t="shared" si="258"/>
        <v>5.3486150907354344E-5</v>
      </c>
      <c r="F297" s="177">
        <f t="shared" si="258"/>
        <v>5.3486150907354344E-5</v>
      </c>
      <c r="G297" s="177">
        <f t="shared" si="258"/>
        <v>5.3486150907354344E-5</v>
      </c>
      <c r="H297" s="177">
        <f t="shared" si="258"/>
        <v>5.3486150907354344E-5</v>
      </c>
      <c r="I297" s="177">
        <f t="shared" si="258"/>
        <v>5.3486150907354344E-5</v>
      </c>
      <c r="J297" s="177">
        <f t="shared" si="258"/>
        <v>5.3486150907354344E-5</v>
      </c>
      <c r="K297" s="177">
        <f t="shared" si="258"/>
        <v>5.3486150907354344E-5</v>
      </c>
      <c r="L297" s="177">
        <f t="shared" si="258"/>
        <v>5.3486150907354344E-5</v>
      </c>
      <c r="M297" s="177">
        <f t="shared" si="258"/>
        <v>5.3486150907354344E-5</v>
      </c>
      <c r="N297" s="177">
        <f t="shared" si="258"/>
        <v>5.3486150907354344E-5</v>
      </c>
      <c r="O297" s="177">
        <f t="shared" si="258"/>
        <v>5.3486150907354344E-5</v>
      </c>
      <c r="P297" s="177">
        <f t="shared" si="258"/>
        <v>5.3486150907354344E-5</v>
      </c>
      <c r="Q297" s="177">
        <f t="shared" si="258"/>
        <v>5.3486150907354344E-5</v>
      </c>
      <c r="R297" s="177">
        <f t="shared" si="258"/>
        <v>5.3486150907354344E-5</v>
      </c>
      <c r="S297" s="177">
        <f t="shared" si="258"/>
        <v>5.3486150493543458E-5</v>
      </c>
      <c r="T297" s="177">
        <f t="shared" si="258"/>
        <v>5.3486151648104592E-5</v>
      </c>
      <c r="U297" s="177">
        <f t="shared" si="258"/>
        <v>5.3486151866335543E-5</v>
      </c>
      <c r="V297" s="177">
        <f t="shared" si="258"/>
        <v>5.3486149455892367E-5</v>
      </c>
      <c r="W297" s="177">
        <f t="shared" si="258"/>
        <v>5.3486149787605627E-5</v>
      </c>
      <c r="X297" s="177">
        <f t="shared" si="258"/>
        <v>5.3486152783005047E-5</v>
      </c>
      <c r="Y297" s="177">
        <f t="shared" si="258"/>
        <v>5.3486152526972588E-5</v>
      </c>
      <c r="Z297" s="177">
        <f t="shared" si="258"/>
        <v>5.3486151434099421E-5</v>
      </c>
      <c r="AA297" s="177">
        <f t="shared" si="258"/>
        <v>5.3486149536230467E-5</v>
      </c>
      <c r="AB297" s="177">
        <f t="shared" si="258"/>
        <v>5.3486151174333518E-5</v>
      </c>
      <c r="AC297" s="177">
        <f t="shared" si="258"/>
        <v>5.3486149901948272E-5</v>
      </c>
      <c r="AD297" s="177">
        <f t="shared" si="258"/>
        <v>5.3486152243013629E-5</v>
      </c>
      <c r="AE297" s="177">
        <f t="shared" si="258"/>
        <v>5.3486149340335836E-5</v>
      </c>
      <c r="AF297" s="177">
        <f t="shared" si="258"/>
        <v>5.3486149340335836E-5</v>
      </c>
      <c r="AG297" s="177">
        <f t="shared" si="258"/>
        <v>5.3486149340335836E-5</v>
      </c>
      <c r="AH297" s="177">
        <f t="shared" si="258"/>
        <v>5.3486149340335836E-5</v>
      </c>
      <c r="AI297" s="177">
        <f t="shared" si="258"/>
        <v>5.3486149340335836E-5</v>
      </c>
      <c r="AJ297" s="177">
        <f t="shared" si="258"/>
        <v>5.3486149340335836E-5</v>
      </c>
      <c r="AK297" s="177">
        <f t="shared" si="258"/>
        <v>5.3486149340335836E-5</v>
      </c>
      <c r="AL297" s="177">
        <f t="shared" si="258"/>
        <v>5.3486149340335836E-5</v>
      </c>
      <c r="AM297" s="177">
        <f t="shared" si="258"/>
        <v>5.3486149340335836E-5</v>
      </c>
      <c r="AN297" s="177">
        <f t="shared" si="258"/>
        <v>5.3486149340335836E-5</v>
      </c>
      <c r="AO297" s="177">
        <f t="shared" si="258"/>
        <v>5.3486149340335836E-5</v>
      </c>
      <c r="AP297" s="177">
        <f t="shared" si="258"/>
        <v>5.3486149340335836E-5</v>
      </c>
      <c r="AQ297" s="177">
        <f t="shared" si="258"/>
        <v>5.3486149340335836E-5</v>
      </c>
      <c r="AR297" s="177">
        <f t="shared" si="258"/>
        <v>5.3486149340335836E-5</v>
      </c>
      <c r="AS297" s="196">
        <f t="shared" ref="AS297:BV297" si="259">AR297</f>
        <v>5.3486149340335836E-5</v>
      </c>
      <c r="AT297" s="196">
        <f t="shared" si="259"/>
        <v>5.3486149340335836E-5</v>
      </c>
      <c r="AU297" s="196">
        <f t="shared" si="259"/>
        <v>5.3486149340335836E-5</v>
      </c>
      <c r="AV297" s="196">
        <f t="shared" si="259"/>
        <v>5.3486149340335836E-5</v>
      </c>
      <c r="AW297" s="196">
        <f t="shared" si="259"/>
        <v>5.3486149340335836E-5</v>
      </c>
      <c r="AX297" s="196">
        <f t="shared" si="259"/>
        <v>5.3486149340335836E-5</v>
      </c>
      <c r="AY297" s="196">
        <f t="shared" si="259"/>
        <v>5.3486149340335836E-5</v>
      </c>
      <c r="AZ297" s="196">
        <f t="shared" si="259"/>
        <v>5.3486149340335836E-5</v>
      </c>
      <c r="BA297" s="196">
        <f t="shared" si="259"/>
        <v>5.3486149340335836E-5</v>
      </c>
      <c r="BB297" s="196">
        <f t="shared" si="259"/>
        <v>5.3486149340335836E-5</v>
      </c>
      <c r="BC297" s="196">
        <f t="shared" si="259"/>
        <v>5.3486149340335836E-5</v>
      </c>
      <c r="BD297" s="196">
        <f t="shared" si="259"/>
        <v>5.3486149340335836E-5</v>
      </c>
      <c r="BE297" s="196">
        <f t="shared" si="259"/>
        <v>5.3486149340335836E-5</v>
      </c>
      <c r="BF297" s="196">
        <f t="shared" si="259"/>
        <v>5.3486149340335836E-5</v>
      </c>
      <c r="BG297" s="196">
        <f t="shared" si="259"/>
        <v>5.3486149340335836E-5</v>
      </c>
      <c r="BH297" s="196">
        <f t="shared" si="259"/>
        <v>5.3486149340335836E-5</v>
      </c>
      <c r="BI297" s="196">
        <f t="shared" si="259"/>
        <v>5.3486149340335836E-5</v>
      </c>
      <c r="BJ297" s="196">
        <f t="shared" si="259"/>
        <v>5.3486149340335836E-5</v>
      </c>
      <c r="BK297" s="196">
        <f t="shared" si="259"/>
        <v>5.3486149340335836E-5</v>
      </c>
      <c r="BL297" s="196">
        <f t="shared" si="259"/>
        <v>5.3486149340335836E-5</v>
      </c>
      <c r="BM297" s="196">
        <f t="shared" si="259"/>
        <v>5.3486149340335836E-5</v>
      </c>
      <c r="BN297" s="196">
        <f t="shared" si="259"/>
        <v>5.3486149340335836E-5</v>
      </c>
      <c r="BO297" s="196">
        <f t="shared" si="259"/>
        <v>5.3486149340335836E-5</v>
      </c>
      <c r="BP297" s="196">
        <f t="shared" si="259"/>
        <v>5.3486149340335836E-5</v>
      </c>
      <c r="BQ297" s="196">
        <f t="shared" si="259"/>
        <v>5.3486149340335836E-5</v>
      </c>
      <c r="BR297" s="196">
        <f t="shared" si="259"/>
        <v>5.3486149340335836E-5</v>
      </c>
      <c r="BS297" s="196">
        <f t="shared" si="259"/>
        <v>5.3486149340335836E-5</v>
      </c>
      <c r="BT297" s="196">
        <f t="shared" si="259"/>
        <v>5.3486149340335836E-5</v>
      </c>
      <c r="BU297" s="196">
        <f t="shared" si="259"/>
        <v>5.3486149340335836E-5</v>
      </c>
      <c r="BV297" s="196">
        <f t="shared" si="259"/>
        <v>5.3486149340335836E-5</v>
      </c>
    </row>
    <row r="298" spans="1:74" x14ac:dyDescent="0.25">
      <c r="A298" s="147" t="s">
        <v>202</v>
      </c>
      <c r="C298" s="142"/>
      <c r="D298" s="177">
        <f t="shared" ref="D298:AR298" si="260">D234*D$47</f>
        <v>0</v>
      </c>
      <c r="E298" s="177">
        <f t="shared" si="260"/>
        <v>0</v>
      </c>
      <c r="F298" s="177">
        <f t="shared" si="260"/>
        <v>0</v>
      </c>
      <c r="G298" s="177">
        <f t="shared" si="260"/>
        <v>0</v>
      </c>
      <c r="H298" s="177">
        <f t="shared" si="260"/>
        <v>0</v>
      </c>
      <c r="I298" s="177">
        <f t="shared" si="260"/>
        <v>0</v>
      </c>
      <c r="J298" s="177">
        <f t="shared" si="260"/>
        <v>0</v>
      </c>
      <c r="K298" s="177">
        <f t="shared" si="260"/>
        <v>0</v>
      </c>
      <c r="L298" s="177">
        <f t="shared" si="260"/>
        <v>0</v>
      </c>
      <c r="M298" s="177">
        <f t="shared" si="260"/>
        <v>0</v>
      </c>
      <c r="N298" s="177">
        <f t="shared" si="260"/>
        <v>0</v>
      </c>
      <c r="O298" s="177">
        <f t="shared" si="260"/>
        <v>0</v>
      </c>
      <c r="P298" s="177">
        <f t="shared" si="260"/>
        <v>0</v>
      </c>
      <c r="Q298" s="177">
        <f t="shared" si="260"/>
        <v>0</v>
      </c>
      <c r="R298" s="177">
        <f t="shared" si="260"/>
        <v>0</v>
      </c>
      <c r="S298" s="177">
        <f t="shared" si="260"/>
        <v>0</v>
      </c>
      <c r="T298" s="177">
        <f t="shared" si="260"/>
        <v>0</v>
      </c>
      <c r="U298" s="177">
        <f t="shared" si="260"/>
        <v>0</v>
      </c>
      <c r="V298" s="177">
        <f t="shared" si="260"/>
        <v>0</v>
      </c>
      <c r="W298" s="177">
        <f t="shared" si="260"/>
        <v>0</v>
      </c>
      <c r="X298" s="177">
        <f t="shared" si="260"/>
        <v>0</v>
      </c>
      <c r="Y298" s="177">
        <f t="shared" si="260"/>
        <v>0</v>
      </c>
      <c r="Z298" s="177">
        <f t="shared" si="260"/>
        <v>0</v>
      </c>
      <c r="AA298" s="177">
        <f t="shared" si="260"/>
        <v>0</v>
      </c>
      <c r="AB298" s="177">
        <f t="shared" si="260"/>
        <v>0</v>
      </c>
      <c r="AC298" s="177">
        <f t="shared" si="260"/>
        <v>0</v>
      </c>
      <c r="AD298" s="177">
        <f t="shared" si="260"/>
        <v>0</v>
      </c>
      <c r="AE298" s="177">
        <f t="shared" si="260"/>
        <v>0</v>
      </c>
      <c r="AF298" s="177">
        <f t="shared" si="260"/>
        <v>0</v>
      </c>
      <c r="AG298" s="177">
        <f t="shared" si="260"/>
        <v>0</v>
      </c>
      <c r="AH298" s="177">
        <f t="shared" si="260"/>
        <v>0</v>
      </c>
      <c r="AI298" s="177">
        <f t="shared" si="260"/>
        <v>0</v>
      </c>
      <c r="AJ298" s="177">
        <f t="shared" si="260"/>
        <v>0</v>
      </c>
      <c r="AK298" s="177">
        <f t="shared" si="260"/>
        <v>0</v>
      </c>
      <c r="AL298" s="177">
        <f t="shared" si="260"/>
        <v>0</v>
      </c>
      <c r="AM298" s="177">
        <f t="shared" si="260"/>
        <v>0</v>
      </c>
      <c r="AN298" s="177">
        <f t="shared" si="260"/>
        <v>0</v>
      </c>
      <c r="AO298" s="177">
        <f t="shared" si="260"/>
        <v>0</v>
      </c>
      <c r="AP298" s="177">
        <f t="shared" si="260"/>
        <v>0</v>
      </c>
      <c r="AQ298" s="177">
        <f t="shared" si="260"/>
        <v>0</v>
      </c>
      <c r="AR298" s="177">
        <f t="shared" si="260"/>
        <v>0</v>
      </c>
      <c r="AS298" s="196">
        <f t="shared" ref="AS298:BV298" si="261">AR298</f>
        <v>0</v>
      </c>
      <c r="AT298" s="196">
        <f t="shared" si="261"/>
        <v>0</v>
      </c>
      <c r="AU298" s="196">
        <f t="shared" si="261"/>
        <v>0</v>
      </c>
      <c r="AV298" s="196">
        <f t="shared" si="261"/>
        <v>0</v>
      </c>
      <c r="AW298" s="196">
        <f t="shared" si="261"/>
        <v>0</v>
      </c>
      <c r="AX298" s="196">
        <f t="shared" si="261"/>
        <v>0</v>
      </c>
      <c r="AY298" s="196">
        <f t="shared" si="261"/>
        <v>0</v>
      </c>
      <c r="AZ298" s="196">
        <f t="shared" si="261"/>
        <v>0</v>
      </c>
      <c r="BA298" s="196">
        <f t="shared" si="261"/>
        <v>0</v>
      </c>
      <c r="BB298" s="196">
        <f t="shared" si="261"/>
        <v>0</v>
      </c>
      <c r="BC298" s="196">
        <f t="shared" si="261"/>
        <v>0</v>
      </c>
      <c r="BD298" s="196">
        <f t="shared" si="261"/>
        <v>0</v>
      </c>
      <c r="BE298" s="196">
        <f t="shared" si="261"/>
        <v>0</v>
      </c>
      <c r="BF298" s="196">
        <f t="shared" si="261"/>
        <v>0</v>
      </c>
      <c r="BG298" s="196">
        <f t="shared" si="261"/>
        <v>0</v>
      </c>
      <c r="BH298" s="196">
        <f t="shared" si="261"/>
        <v>0</v>
      </c>
      <c r="BI298" s="196">
        <f t="shared" si="261"/>
        <v>0</v>
      </c>
      <c r="BJ298" s="196">
        <f t="shared" si="261"/>
        <v>0</v>
      </c>
      <c r="BK298" s="196">
        <f t="shared" si="261"/>
        <v>0</v>
      </c>
      <c r="BL298" s="196">
        <f t="shared" si="261"/>
        <v>0</v>
      </c>
      <c r="BM298" s="196">
        <f t="shared" si="261"/>
        <v>0</v>
      </c>
      <c r="BN298" s="196">
        <f t="shared" si="261"/>
        <v>0</v>
      </c>
      <c r="BO298" s="196">
        <f t="shared" si="261"/>
        <v>0</v>
      </c>
      <c r="BP298" s="196">
        <f t="shared" si="261"/>
        <v>0</v>
      </c>
      <c r="BQ298" s="196">
        <f t="shared" si="261"/>
        <v>0</v>
      </c>
      <c r="BR298" s="196">
        <f t="shared" si="261"/>
        <v>0</v>
      </c>
      <c r="BS298" s="196">
        <f t="shared" si="261"/>
        <v>0</v>
      </c>
      <c r="BT298" s="196">
        <f t="shared" si="261"/>
        <v>0</v>
      </c>
      <c r="BU298" s="196">
        <f t="shared" si="261"/>
        <v>0</v>
      </c>
      <c r="BV298" s="196">
        <f t="shared" si="261"/>
        <v>0</v>
      </c>
    </row>
    <row r="299" spans="1:74" x14ac:dyDescent="0.25">
      <c r="A299" s="147" t="s">
        <v>204</v>
      </c>
      <c r="B299" s="148"/>
      <c r="C299" s="142"/>
      <c r="D299" s="177">
        <f t="shared" ref="D299:AR299" si="262">D235*D$47</f>
        <v>2.4484978540772529E-5</v>
      </c>
      <c r="E299" s="177">
        <f t="shared" si="262"/>
        <v>2.4620171673819743E-5</v>
      </c>
      <c r="F299" s="177">
        <f t="shared" si="262"/>
        <v>2.4755364806866955E-5</v>
      </c>
      <c r="G299" s="177">
        <f t="shared" si="262"/>
        <v>2.4890557939914166E-5</v>
      </c>
      <c r="H299" s="177">
        <f t="shared" si="262"/>
        <v>2.5025751072961378E-5</v>
      </c>
      <c r="I299" s="177">
        <f t="shared" si="262"/>
        <v>2.5160944206008589E-5</v>
      </c>
      <c r="J299" s="177">
        <f t="shared" si="262"/>
        <v>2.5206008583690984E-5</v>
      </c>
      <c r="K299" s="177">
        <f t="shared" si="262"/>
        <v>2.5251072961373392E-5</v>
      </c>
      <c r="L299" s="177">
        <f t="shared" si="262"/>
        <v>2.5014323607427057E-5</v>
      </c>
      <c r="M299" s="177">
        <f t="shared" si="262"/>
        <v>2.6184035476718404E-5</v>
      </c>
      <c r="N299" s="177">
        <f t="shared" si="262"/>
        <v>2.6230598669623062E-5</v>
      </c>
      <c r="O299" s="177">
        <f t="shared" si="262"/>
        <v>2.5951219512195123E-5</v>
      </c>
      <c r="P299" s="177">
        <f t="shared" si="262"/>
        <v>2.5671840354767183E-5</v>
      </c>
      <c r="Q299" s="177">
        <f t="shared" si="262"/>
        <v>2.539246119733924E-5</v>
      </c>
      <c r="R299" s="177">
        <f t="shared" si="262"/>
        <v>2.5113082039911301E-5</v>
      </c>
      <c r="S299" s="177">
        <f t="shared" si="262"/>
        <v>2.4833702882483361E-5</v>
      </c>
      <c r="T299" s="177">
        <f t="shared" si="262"/>
        <v>2.4833702882483371E-5</v>
      </c>
      <c r="U299" s="177">
        <f t="shared" si="262"/>
        <v>2.4988913525498891E-5</v>
      </c>
      <c r="V299" s="177">
        <f t="shared" si="262"/>
        <v>2.4523281596452332E-5</v>
      </c>
      <c r="W299" s="177">
        <f t="shared" si="262"/>
        <v>2.4833702882483371E-5</v>
      </c>
      <c r="X299" s="177">
        <f t="shared" si="262"/>
        <v>2.4911308203991133E-5</v>
      </c>
      <c r="Y299" s="177">
        <f t="shared" si="262"/>
        <v>2.5299334811529934E-5</v>
      </c>
      <c r="Z299" s="177">
        <f t="shared" si="262"/>
        <v>2.3669623059866965E-5</v>
      </c>
      <c r="AA299" s="177">
        <f t="shared" si="262"/>
        <v>2.4057649667405766E-5</v>
      </c>
      <c r="AB299" s="177">
        <f t="shared" si="262"/>
        <v>2.4057649667405766E-5</v>
      </c>
      <c r="AC299" s="177">
        <f t="shared" si="262"/>
        <v>2.4057649667405766E-5</v>
      </c>
      <c r="AD299" s="177">
        <f t="shared" si="262"/>
        <v>2.4057649667405766E-5</v>
      </c>
      <c r="AE299" s="177">
        <f t="shared" si="262"/>
        <v>2.4057649667405766E-5</v>
      </c>
      <c r="AF299" s="177">
        <f t="shared" si="262"/>
        <v>2.4057649667405766E-5</v>
      </c>
      <c r="AG299" s="177">
        <f t="shared" si="262"/>
        <v>2.4057649667405766E-5</v>
      </c>
      <c r="AH299" s="177">
        <f t="shared" si="262"/>
        <v>2.4057649667405766E-5</v>
      </c>
      <c r="AI299" s="177">
        <f t="shared" si="262"/>
        <v>2.4057649667405766E-5</v>
      </c>
      <c r="AJ299" s="177">
        <f t="shared" si="262"/>
        <v>2.4057649667405766E-5</v>
      </c>
      <c r="AK299" s="177">
        <f t="shared" si="262"/>
        <v>2.4057649667405766E-5</v>
      </c>
      <c r="AL299" s="177">
        <f t="shared" si="262"/>
        <v>2.4057649667405766E-5</v>
      </c>
      <c r="AM299" s="177">
        <f t="shared" si="262"/>
        <v>2.4057649667405766E-5</v>
      </c>
      <c r="AN299" s="177">
        <f t="shared" si="262"/>
        <v>2.4057649667405766E-5</v>
      </c>
      <c r="AO299" s="177">
        <f t="shared" si="262"/>
        <v>2.4057649667405766E-5</v>
      </c>
      <c r="AP299" s="177">
        <f t="shared" si="262"/>
        <v>2.4057649667405766E-5</v>
      </c>
      <c r="AQ299" s="177">
        <f t="shared" si="262"/>
        <v>2.4057649667405766E-5</v>
      </c>
      <c r="AR299" s="177">
        <f t="shared" si="262"/>
        <v>2.4057649667405766E-5</v>
      </c>
      <c r="AS299" s="196">
        <f>AR299</f>
        <v>2.4057649667405766E-5</v>
      </c>
      <c r="AT299" s="196">
        <f t="shared" ref="AT299:BV299" si="263">AS299</f>
        <v>2.4057649667405766E-5</v>
      </c>
      <c r="AU299" s="196">
        <f t="shared" si="263"/>
        <v>2.4057649667405766E-5</v>
      </c>
      <c r="AV299" s="196">
        <f t="shared" si="263"/>
        <v>2.4057649667405766E-5</v>
      </c>
      <c r="AW299" s="196">
        <f t="shared" si="263"/>
        <v>2.4057649667405766E-5</v>
      </c>
      <c r="AX299" s="196">
        <f t="shared" si="263"/>
        <v>2.4057649667405766E-5</v>
      </c>
      <c r="AY299" s="196">
        <f t="shared" si="263"/>
        <v>2.4057649667405766E-5</v>
      </c>
      <c r="AZ299" s="196">
        <f t="shared" si="263"/>
        <v>2.4057649667405766E-5</v>
      </c>
      <c r="BA299" s="196">
        <f t="shared" si="263"/>
        <v>2.4057649667405766E-5</v>
      </c>
      <c r="BB299" s="196">
        <f t="shared" si="263"/>
        <v>2.4057649667405766E-5</v>
      </c>
      <c r="BC299" s="196">
        <f t="shared" si="263"/>
        <v>2.4057649667405766E-5</v>
      </c>
      <c r="BD299" s="196">
        <f t="shared" si="263"/>
        <v>2.4057649667405766E-5</v>
      </c>
      <c r="BE299" s="196">
        <f t="shared" si="263"/>
        <v>2.4057649667405766E-5</v>
      </c>
      <c r="BF299" s="196">
        <f t="shared" si="263"/>
        <v>2.4057649667405766E-5</v>
      </c>
      <c r="BG299" s="196">
        <f t="shared" si="263"/>
        <v>2.4057649667405766E-5</v>
      </c>
      <c r="BH299" s="196">
        <f t="shared" si="263"/>
        <v>2.4057649667405766E-5</v>
      </c>
      <c r="BI299" s="196">
        <f t="shared" si="263"/>
        <v>2.4057649667405766E-5</v>
      </c>
      <c r="BJ299" s="196">
        <f t="shared" si="263"/>
        <v>2.4057649667405766E-5</v>
      </c>
      <c r="BK299" s="196">
        <f t="shared" si="263"/>
        <v>2.4057649667405766E-5</v>
      </c>
      <c r="BL299" s="196">
        <f t="shared" si="263"/>
        <v>2.4057649667405766E-5</v>
      </c>
      <c r="BM299" s="196">
        <f t="shared" si="263"/>
        <v>2.4057649667405766E-5</v>
      </c>
      <c r="BN299" s="196">
        <f t="shared" si="263"/>
        <v>2.4057649667405766E-5</v>
      </c>
      <c r="BO299" s="196">
        <f t="shared" si="263"/>
        <v>2.4057649667405766E-5</v>
      </c>
      <c r="BP299" s="196">
        <f t="shared" si="263"/>
        <v>2.4057649667405766E-5</v>
      </c>
      <c r="BQ299" s="196">
        <f t="shared" si="263"/>
        <v>2.4057649667405766E-5</v>
      </c>
      <c r="BR299" s="196">
        <f t="shared" si="263"/>
        <v>2.4057649667405766E-5</v>
      </c>
      <c r="BS299" s="196">
        <f t="shared" si="263"/>
        <v>2.4057649667405766E-5</v>
      </c>
      <c r="BT299" s="196">
        <f t="shared" si="263"/>
        <v>2.4057649667405766E-5</v>
      </c>
      <c r="BU299" s="196">
        <f t="shared" si="263"/>
        <v>2.4057649667405766E-5</v>
      </c>
      <c r="BV299" s="196">
        <f t="shared" si="263"/>
        <v>2.4057649667405766E-5</v>
      </c>
    </row>
    <row r="300" spans="1:74" x14ac:dyDescent="0.25">
      <c r="A300" s="147" t="s">
        <v>205</v>
      </c>
      <c r="B300" s="148"/>
      <c r="C300" s="142"/>
      <c r="D300" s="177">
        <f t="shared" ref="D300:AR300" si="264">D236*D$47</f>
        <v>0</v>
      </c>
      <c r="E300" s="177">
        <f t="shared" si="264"/>
        <v>0</v>
      </c>
      <c r="F300" s="177">
        <f t="shared" si="264"/>
        <v>0</v>
      </c>
      <c r="G300" s="177">
        <f t="shared" si="264"/>
        <v>0</v>
      </c>
      <c r="H300" s="177">
        <f t="shared" si="264"/>
        <v>0</v>
      </c>
      <c r="I300" s="177">
        <f t="shared" si="264"/>
        <v>0</v>
      </c>
      <c r="J300" s="177">
        <f t="shared" si="264"/>
        <v>0</v>
      </c>
      <c r="K300" s="177">
        <f t="shared" si="264"/>
        <v>0</v>
      </c>
      <c r="L300" s="177">
        <f t="shared" si="264"/>
        <v>0</v>
      </c>
      <c r="M300" s="177">
        <f t="shared" si="264"/>
        <v>0</v>
      </c>
      <c r="N300" s="177">
        <f t="shared" si="264"/>
        <v>0</v>
      </c>
      <c r="O300" s="177">
        <f t="shared" si="264"/>
        <v>0</v>
      </c>
      <c r="P300" s="177">
        <f t="shared" si="264"/>
        <v>0</v>
      </c>
      <c r="Q300" s="177">
        <f t="shared" si="264"/>
        <v>0</v>
      </c>
      <c r="R300" s="177">
        <f t="shared" si="264"/>
        <v>0</v>
      </c>
      <c r="S300" s="177">
        <f t="shared" si="264"/>
        <v>0</v>
      </c>
      <c r="T300" s="177">
        <f t="shared" si="264"/>
        <v>0</v>
      </c>
      <c r="U300" s="177">
        <f t="shared" si="264"/>
        <v>0</v>
      </c>
      <c r="V300" s="177">
        <f t="shared" si="264"/>
        <v>0</v>
      </c>
      <c r="W300" s="177">
        <f t="shared" si="264"/>
        <v>0</v>
      </c>
      <c r="X300" s="177">
        <f t="shared" si="264"/>
        <v>0</v>
      </c>
      <c r="Y300" s="177">
        <f t="shared" si="264"/>
        <v>0</v>
      </c>
      <c r="Z300" s="177">
        <f t="shared" si="264"/>
        <v>0</v>
      </c>
      <c r="AA300" s="177">
        <f t="shared" si="264"/>
        <v>0</v>
      </c>
      <c r="AB300" s="177">
        <f t="shared" si="264"/>
        <v>0</v>
      </c>
      <c r="AC300" s="177">
        <f t="shared" si="264"/>
        <v>0</v>
      </c>
      <c r="AD300" s="177">
        <f t="shared" si="264"/>
        <v>0</v>
      </c>
      <c r="AE300" s="177">
        <f t="shared" si="264"/>
        <v>0</v>
      </c>
      <c r="AF300" s="177">
        <f t="shared" si="264"/>
        <v>0</v>
      </c>
      <c r="AG300" s="177">
        <f t="shared" si="264"/>
        <v>0</v>
      </c>
      <c r="AH300" s="177">
        <f t="shared" si="264"/>
        <v>0</v>
      </c>
      <c r="AI300" s="177">
        <f t="shared" si="264"/>
        <v>0</v>
      </c>
      <c r="AJ300" s="177">
        <f t="shared" si="264"/>
        <v>0</v>
      </c>
      <c r="AK300" s="177">
        <f t="shared" si="264"/>
        <v>0</v>
      </c>
      <c r="AL300" s="177">
        <f t="shared" si="264"/>
        <v>0</v>
      </c>
      <c r="AM300" s="177">
        <f t="shared" si="264"/>
        <v>0</v>
      </c>
      <c r="AN300" s="177">
        <f t="shared" si="264"/>
        <v>0</v>
      </c>
      <c r="AO300" s="177">
        <f t="shared" si="264"/>
        <v>0</v>
      </c>
      <c r="AP300" s="177">
        <f t="shared" si="264"/>
        <v>0</v>
      </c>
      <c r="AQ300" s="177">
        <f t="shared" si="264"/>
        <v>0</v>
      </c>
      <c r="AR300" s="177">
        <f t="shared" si="264"/>
        <v>0</v>
      </c>
      <c r="AS300" s="196">
        <f t="shared" ref="AS300:BV300" si="265">AR300</f>
        <v>0</v>
      </c>
      <c r="AT300" s="196">
        <f t="shared" si="265"/>
        <v>0</v>
      </c>
      <c r="AU300" s="196">
        <f t="shared" si="265"/>
        <v>0</v>
      </c>
      <c r="AV300" s="196">
        <f t="shared" si="265"/>
        <v>0</v>
      </c>
      <c r="AW300" s="196">
        <f t="shared" si="265"/>
        <v>0</v>
      </c>
      <c r="AX300" s="196">
        <f t="shared" si="265"/>
        <v>0</v>
      </c>
      <c r="AY300" s="196">
        <f t="shared" si="265"/>
        <v>0</v>
      </c>
      <c r="AZ300" s="196">
        <f t="shared" si="265"/>
        <v>0</v>
      </c>
      <c r="BA300" s="196">
        <f t="shared" si="265"/>
        <v>0</v>
      </c>
      <c r="BB300" s="196">
        <f t="shared" si="265"/>
        <v>0</v>
      </c>
      <c r="BC300" s="196">
        <f t="shared" si="265"/>
        <v>0</v>
      </c>
      <c r="BD300" s="196">
        <f t="shared" si="265"/>
        <v>0</v>
      </c>
      <c r="BE300" s="196">
        <f t="shared" si="265"/>
        <v>0</v>
      </c>
      <c r="BF300" s="196">
        <f t="shared" si="265"/>
        <v>0</v>
      </c>
      <c r="BG300" s="196">
        <f t="shared" si="265"/>
        <v>0</v>
      </c>
      <c r="BH300" s="196">
        <f t="shared" si="265"/>
        <v>0</v>
      </c>
      <c r="BI300" s="196">
        <f t="shared" si="265"/>
        <v>0</v>
      </c>
      <c r="BJ300" s="196">
        <f t="shared" si="265"/>
        <v>0</v>
      </c>
      <c r="BK300" s="196">
        <f t="shared" si="265"/>
        <v>0</v>
      </c>
      <c r="BL300" s="196">
        <f t="shared" si="265"/>
        <v>0</v>
      </c>
      <c r="BM300" s="196">
        <f t="shared" si="265"/>
        <v>0</v>
      </c>
      <c r="BN300" s="196">
        <f t="shared" si="265"/>
        <v>0</v>
      </c>
      <c r="BO300" s="196">
        <f t="shared" si="265"/>
        <v>0</v>
      </c>
      <c r="BP300" s="196">
        <f t="shared" si="265"/>
        <v>0</v>
      </c>
      <c r="BQ300" s="196">
        <f t="shared" si="265"/>
        <v>0</v>
      </c>
      <c r="BR300" s="196">
        <f t="shared" si="265"/>
        <v>0</v>
      </c>
      <c r="BS300" s="196">
        <f t="shared" si="265"/>
        <v>0</v>
      </c>
      <c r="BT300" s="196">
        <f t="shared" si="265"/>
        <v>0</v>
      </c>
      <c r="BU300" s="196">
        <f t="shared" si="265"/>
        <v>0</v>
      </c>
      <c r="BV300" s="196">
        <f t="shared" si="265"/>
        <v>0</v>
      </c>
    </row>
    <row r="301" spans="1:74" x14ac:dyDescent="0.25">
      <c r="A301" s="147" t="s">
        <v>207</v>
      </c>
      <c r="B301" s="148"/>
      <c r="C301" s="142"/>
      <c r="D301" s="177">
        <f t="shared" ref="D301:AR301" si="266">D237*D$47</f>
        <v>8.4000000000000003E-4</v>
      </c>
      <c r="E301" s="177">
        <f t="shared" si="266"/>
        <v>8.4000000000000003E-4</v>
      </c>
      <c r="F301" s="177">
        <f t="shared" si="266"/>
        <v>8.4000000000000003E-4</v>
      </c>
      <c r="G301" s="177">
        <f t="shared" si="266"/>
        <v>8.4000000000000003E-4</v>
      </c>
      <c r="H301" s="177">
        <f t="shared" si="266"/>
        <v>8.4000000000000003E-4</v>
      </c>
      <c r="I301" s="177">
        <f t="shared" si="266"/>
        <v>8.4000000000000003E-4</v>
      </c>
      <c r="J301" s="177">
        <f t="shared" si="266"/>
        <v>8.4000000000000003E-4</v>
      </c>
      <c r="K301" s="177">
        <f t="shared" si="266"/>
        <v>8.4000000000000003E-4</v>
      </c>
      <c r="L301" s="177">
        <f t="shared" si="266"/>
        <v>8.4000000000000003E-4</v>
      </c>
      <c r="M301" s="177">
        <f t="shared" si="266"/>
        <v>8.4000000000000003E-4</v>
      </c>
      <c r="N301" s="177">
        <f t="shared" si="266"/>
        <v>8.4000000000000003E-4</v>
      </c>
      <c r="O301" s="177">
        <f t="shared" si="266"/>
        <v>8.4000000000000003E-4</v>
      </c>
      <c r="P301" s="177">
        <f t="shared" si="266"/>
        <v>8.4000000000000003E-4</v>
      </c>
      <c r="Q301" s="177">
        <f t="shared" si="266"/>
        <v>8.4000000000000003E-4</v>
      </c>
      <c r="R301" s="177">
        <f t="shared" si="266"/>
        <v>8.4000000000000003E-4</v>
      </c>
      <c r="S301" s="177">
        <f t="shared" si="266"/>
        <v>8.4000000000000003E-4</v>
      </c>
      <c r="T301" s="177">
        <f t="shared" si="266"/>
        <v>8.4000000000000003E-4</v>
      </c>
      <c r="U301" s="177">
        <f t="shared" si="266"/>
        <v>8.4000000000000003E-4</v>
      </c>
      <c r="V301" s="177">
        <f t="shared" si="266"/>
        <v>8.4000000000000003E-4</v>
      </c>
      <c r="W301" s="177">
        <f t="shared" si="266"/>
        <v>8.4000000000000003E-4</v>
      </c>
      <c r="X301" s="177">
        <f t="shared" si="266"/>
        <v>8.4000000000000003E-4</v>
      </c>
      <c r="Y301" s="177">
        <f t="shared" si="266"/>
        <v>8.4000000000000003E-4</v>
      </c>
      <c r="Z301" s="177">
        <f t="shared" si="266"/>
        <v>8.4000000000000003E-4</v>
      </c>
      <c r="AA301" s="177">
        <f t="shared" si="266"/>
        <v>8.4000000000000003E-4</v>
      </c>
      <c r="AB301" s="177">
        <f t="shared" si="266"/>
        <v>8.4000000000000003E-4</v>
      </c>
      <c r="AC301" s="177">
        <f t="shared" si="266"/>
        <v>8.4000000000000003E-4</v>
      </c>
      <c r="AD301" s="177">
        <f t="shared" si="266"/>
        <v>8.4000000000000003E-4</v>
      </c>
      <c r="AE301" s="177">
        <f t="shared" si="266"/>
        <v>8.4000000000000003E-4</v>
      </c>
      <c r="AF301" s="177">
        <f t="shared" si="266"/>
        <v>8.4000000000000003E-4</v>
      </c>
      <c r="AG301" s="177">
        <f t="shared" si="266"/>
        <v>8.4000000000000003E-4</v>
      </c>
      <c r="AH301" s="177">
        <f t="shared" si="266"/>
        <v>8.4000000000000003E-4</v>
      </c>
      <c r="AI301" s="177">
        <f t="shared" si="266"/>
        <v>8.4000000000000003E-4</v>
      </c>
      <c r="AJ301" s="177">
        <f t="shared" si="266"/>
        <v>8.4000000000000003E-4</v>
      </c>
      <c r="AK301" s="177">
        <f t="shared" si="266"/>
        <v>8.4000000000000003E-4</v>
      </c>
      <c r="AL301" s="177">
        <f t="shared" si="266"/>
        <v>8.4000000000000003E-4</v>
      </c>
      <c r="AM301" s="177">
        <f t="shared" si="266"/>
        <v>8.4000000000000003E-4</v>
      </c>
      <c r="AN301" s="177">
        <f t="shared" si="266"/>
        <v>8.4000000000000003E-4</v>
      </c>
      <c r="AO301" s="177">
        <f t="shared" si="266"/>
        <v>8.4000000000000003E-4</v>
      </c>
      <c r="AP301" s="177">
        <f t="shared" si="266"/>
        <v>8.4000000000000003E-4</v>
      </c>
      <c r="AQ301" s="177">
        <f t="shared" si="266"/>
        <v>8.4000000000000003E-4</v>
      </c>
      <c r="AR301" s="177">
        <f t="shared" si="266"/>
        <v>8.4000000000000003E-4</v>
      </c>
      <c r="AS301" s="196">
        <f>AR301</f>
        <v>8.4000000000000003E-4</v>
      </c>
      <c r="AT301" s="196">
        <f t="shared" ref="AT301:BV301" si="267">AS301</f>
        <v>8.4000000000000003E-4</v>
      </c>
      <c r="AU301" s="196">
        <f t="shared" si="267"/>
        <v>8.4000000000000003E-4</v>
      </c>
      <c r="AV301" s="196">
        <f t="shared" si="267"/>
        <v>8.4000000000000003E-4</v>
      </c>
      <c r="AW301" s="196">
        <f t="shared" si="267"/>
        <v>8.4000000000000003E-4</v>
      </c>
      <c r="AX301" s="196">
        <f t="shared" si="267"/>
        <v>8.4000000000000003E-4</v>
      </c>
      <c r="AY301" s="196">
        <f t="shared" si="267"/>
        <v>8.4000000000000003E-4</v>
      </c>
      <c r="AZ301" s="196">
        <f t="shared" si="267"/>
        <v>8.4000000000000003E-4</v>
      </c>
      <c r="BA301" s="196">
        <f t="shared" si="267"/>
        <v>8.4000000000000003E-4</v>
      </c>
      <c r="BB301" s="196">
        <f t="shared" si="267"/>
        <v>8.4000000000000003E-4</v>
      </c>
      <c r="BC301" s="196">
        <f t="shared" si="267"/>
        <v>8.4000000000000003E-4</v>
      </c>
      <c r="BD301" s="196">
        <f t="shared" si="267"/>
        <v>8.4000000000000003E-4</v>
      </c>
      <c r="BE301" s="196">
        <f t="shared" si="267"/>
        <v>8.4000000000000003E-4</v>
      </c>
      <c r="BF301" s="196">
        <f t="shared" si="267"/>
        <v>8.4000000000000003E-4</v>
      </c>
      <c r="BG301" s="196">
        <f t="shared" si="267"/>
        <v>8.4000000000000003E-4</v>
      </c>
      <c r="BH301" s="196">
        <f t="shared" si="267"/>
        <v>8.4000000000000003E-4</v>
      </c>
      <c r="BI301" s="196">
        <f t="shared" si="267"/>
        <v>8.4000000000000003E-4</v>
      </c>
      <c r="BJ301" s="196">
        <f t="shared" si="267"/>
        <v>8.4000000000000003E-4</v>
      </c>
      <c r="BK301" s="196">
        <f t="shared" si="267"/>
        <v>8.4000000000000003E-4</v>
      </c>
      <c r="BL301" s="196">
        <f t="shared" si="267"/>
        <v>8.4000000000000003E-4</v>
      </c>
      <c r="BM301" s="196">
        <f t="shared" si="267"/>
        <v>8.4000000000000003E-4</v>
      </c>
      <c r="BN301" s="196">
        <f t="shared" si="267"/>
        <v>8.4000000000000003E-4</v>
      </c>
      <c r="BO301" s="196">
        <f t="shared" si="267"/>
        <v>8.4000000000000003E-4</v>
      </c>
      <c r="BP301" s="196">
        <f t="shared" si="267"/>
        <v>8.4000000000000003E-4</v>
      </c>
      <c r="BQ301" s="196">
        <f t="shared" si="267"/>
        <v>8.4000000000000003E-4</v>
      </c>
      <c r="BR301" s="196">
        <f t="shared" si="267"/>
        <v>8.4000000000000003E-4</v>
      </c>
      <c r="BS301" s="196">
        <f t="shared" si="267"/>
        <v>8.4000000000000003E-4</v>
      </c>
      <c r="BT301" s="196">
        <f t="shared" si="267"/>
        <v>8.4000000000000003E-4</v>
      </c>
      <c r="BU301" s="196">
        <f t="shared" si="267"/>
        <v>8.4000000000000003E-4</v>
      </c>
      <c r="BV301" s="196">
        <f t="shared" si="267"/>
        <v>8.4000000000000003E-4</v>
      </c>
    </row>
    <row r="302" spans="1:74" x14ac:dyDescent="0.25">
      <c r="A302" s="147" t="s">
        <v>15</v>
      </c>
      <c r="C302" s="142"/>
      <c r="D302" s="177">
        <f t="shared" ref="D302:AR302" si="268">D238*D$47</f>
        <v>2.4068767908309448E-4</v>
      </c>
      <c r="E302" s="177">
        <f t="shared" si="268"/>
        <v>2.4068767908309448E-4</v>
      </c>
      <c r="F302" s="177">
        <f t="shared" si="268"/>
        <v>2.4068767908309448E-4</v>
      </c>
      <c r="G302" s="177">
        <f t="shared" si="268"/>
        <v>2.4068767908309448E-4</v>
      </c>
      <c r="H302" s="177">
        <f t="shared" si="268"/>
        <v>2.4068767908309448E-4</v>
      </c>
      <c r="I302" s="177">
        <f t="shared" si="268"/>
        <v>2.4068767908309448E-4</v>
      </c>
      <c r="J302" s="177">
        <f t="shared" si="268"/>
        <v>2.4068767908309448E-4</v>
      </c>
      <c r="K302" s="177">
        <f t="shared" si="268"/>
        <v>2.4068767908309448E-4</v>
      </c>
      <c r="L302" s="177">
        <f t="shared" si="268"/>
        <v>2.4068767908309448E-4</v>
      </c>
      <c r="M302" s="177">
        <f t="shared" si="268"/>
        <v>2.4068767908309448E-4</v>
      </c>
      <c r="N302" s="177">
        <f t="shared" si="268"/>
        <v>2.4068767908309448E-4</v>
      </c>
      <c r="O302" s="177">
        <f t="shared" si="268"/>
        <v>2.4068767908309448E-4</v>
      </c>
      <c r="P302" s="177">
        <f t="shared" si="268"/>
        <v>2.4068767908309448E-4</v>
      </c>
      <c r="Q302" s="177">
        <f t="shared" si="268"/>
        <v>2.4068767908309448E-4</v>
      </c>
      <c r="R302" s="177">
        <f t="shared" si="268"/>
        <v>2.4068767908309448E-4</v>
      </c>
      <c r="S302" s="177">
        <f t="shared" si="268"/>
        <v>2.4068767679983602E-4</v>
      </c>
      <c r="T302" s="177">
        <f t="shared" si="268"/>
        <v>2.4068767449014232E-4</v>
      </c>
      <c r="U302" s="177">
        <f t="shared" si="268"/>
        <v>2.4068768288472382E-4</v>
      </c>
      <c r="V302" s="177">
        <f t="shared" si="268"/>
        <v>2.4068768545467331E-4</v>
      </c>
      <c r="W302" s="177">
        <f t="shared" si="268"/>
        <v>2.4068768472715007E-4</v>
      </c>
      <c r="X302" s="177">
        <f t="shared" si="268"/>
        <v>2.4068768307922985E-4</v>
      </c>
      <c r="Y302" s="177">
        <f t="shared" si="268"/>
        <v>2.4068768042202621E-4</v>
      </c>
      <c r="Z302" s="177">
        <f t="shared" si="268"/>
        <v>2.4068767079205396E-4</v>
      </c>
      <c r="AA302" s="177">
        <f t="shared" si="268"/>
        <v>2.406876735924745E-4</v>
      </c>
      <c r="AB302" s="177">
        <f t="shared" si="268"/>
        <v>2.4068768312915986E-4</v>
      </c>
      <c r="AC302" s="177">
        <f t="shared" si="268"/>
        <v>2.4068768037582052E-4</v>
      </c>
      <c r="AD302" s="177">
        <f t="shared" si="268"/>
        <v>2.4068768619328886E-4</v>
      </c>
      <c r="AE302" s="177">
        <f t="shared" si="268"/>
        <v>2.4068767908309448E-4</v>
      </c>
      <c r="AF302" s="177">
        <f t="shared" si="268"/>
        <v>2.4068767908309448E-4</v>
      </c>
      <c r="AG302" s="177">
        <f t="shared" si="268"/>
        <v>2.4068767908309448E-4</v>
      </c>
      <c r="AH302" s="177">
        <f t="shared" si="268"/>
        <v>2.4068767908309448E-4</v>
      </c>
      <c r="AI302" s="177">
        <f t="shared" si="268"/>
        <v>2.4068767908309448E-4</v>
      </c>
      <c r="AJ302" s="177">
        <f t="shared" si="268"/>
        <v>2.4068767908309448E-4</v>
      </c>
      <c r="AK302" s="177">
        <f t="shared" si="268"/>
        <v>2.4068767908309448E-4</v>
      </c>
      <c r="AL302" s="177">
        <f t="shared" si="268"/>
        <v>2.4068767908309448E-4</v>
      </c>
      <c r="AM302" s="177">
        <f t="shared" si="268"/>
        <v>2.4068767908309448E-4</v>
      </c>
      <c r="AN302" s="177">
        <f t="shared" si="268"/>
        <v>2.4068767908309448E-4</v>
      </c>
      <c r="AO302" s="177">
        <f t="shared" si="268"/>
        <v>2.4068767908309448E-4</v>
      </c>
      <c r="AP302" s="177">
        <f t="shared" si="268"/>
        <v>2.4068767908309448E-4</v>
      </c>
      <c r="AQ302" s="177">
        <f t="shared" si="268"/>
        <v>2.4068767908309448E-4</v>
      </c>
      <c r="AR302" s="177">
        <f t="shared" si="268"/>
        <v>2.4068767908309448E-4</v>
      </c>
      <c r="AS302" s="196">
        <f>AR302</f>
        <v>2.4068767908309448E-4</v>
      </c>
      <c r="AT302" s="196">
        <f t="shared" ref="AT302:BV302" si="269">AS302</f>
        <v>2.4068767908309448E-4</v>
      </c>
      <c r="AU302" s="196">
        <f t="shared" si="269"/>
        <v>2.4068767908309448E-4</v>
      </c>
      <c r="AV302" s="196">
        <f t="shared" si="269"/>
        <v>2.4068767908309448E-4</v>
      </c>
      <c r="AW302" s="196">
        <f t="shared" si="269"/>
        <v>2.4068767908309448E-4</v>
      </c>
      <c r="AX302" s="196">
        <f t="shared" si="269"/>
        <v>2.4068767908309448E-4</v>
      </c>
      <c r="AY302" s="196">
        <f t="shared" si="269"/>
        <v>2.4068767908309448E-4</v>
      </c>
      <c r="AZ302" s="196">
        <f t="shared" si="269"/>
        <v>2.4068767908309448E-4</v>
      </c>
      <c r="BA302" s="196">
        <f t="shared" si="269"/>
        <v>2.4068767908309448E-4</v>
      </c>
      <c r="BB302" s="196">
        <f t="shared" si="269"/>
        <v>2.4068767908309448E-4</v>
      </c>
      <c r="BC302" s="196">
        <f t="shared" si="269"/>
        <v>2.4068767908309448E-4</v>
      </c>
      <c r="BD302" s="196">
        <f t="shared" si="269"/>
        <v>2.4068767908309448E-4</v>
      </c>
      <c r="BE302" s="196">
        <f t="shared" si="269"/>
        <v>2.4068767908309448E-4</v>
      </c>
      <c r="BF302" s="196">
        <f t="shared" si="269"/>
        <v>2.4068767908309448E-4</v>
      </c>
      <c r="BG302" s="196">
        <f t="shared" si="269"/>
        <v>2.4068767908309448E-4</v>
      </c>
      <c r="BH302" s="196">
        <f t="shared" si="269"/>
        <v>2.4068767908309448E-4</v>
      </c>
      <c r="BI302" s="196">
        <f t="shared" si="269"/>
        <v>2.4068767908309448E-4</v>
      </c>
      <c r="BJ302" s="196">
        <f t="shared" si="269"/>
        <v>2.4068767908309448E-4</v>
      </c>
      <c r="BK302" s="196">
        <f t="shared" si="269"/>
        <v>2.4068767908309448E-4</v>
      </c>
      <c r="BL302" s="196">
        <f t="shared" si="269"/>
        <v>2.4068767908309448E-4</v>
      </c>
      <c r="BM302" s="196">
        <f t="shared" si="269"/>
        <v>2.4068767908309448E-4</v>
      </c>
      <c r="BN302" s="196">
        <f t="shared" si="269"/>
        <v>2.4068767908309448E-4</v>
      </c>
      <c r="BO302" s="196">
        <f t="shared" si="269"/>
        <v>2.4068767908309448E-4</v>
      </c>
      <c r="BP302" s="196">
        <f t="shared" si="269"/>
        <v>2.4068767908309448E-4</v>
      </c>
      <c r="BQ302" s="196">
        <f t="shared" si="269"/>
        <v>2.4068767908309448E-4</v>
      </c>
      <c r="BR302" s="196">
        <f t="shared" si="269"/>
        <v>2.4068767908309448E-4</v>
      </c>
      <c r="BS302" s="196">
        <f t="shared" si="269"/>
        <v>2.4068767908309448E-4</v>
      </c>
      <c r="BT302" s="196">
        <f t="shared" si="269"/>
        <v>2.4068767908309448E-4</v>
      </c>
      <c r="BU302" s="196">
        <f t="shared" si="269"/>
        <v>2.4068767908309448E-4</v>
      </c>
      <c r="BV302" s="196">
        <f t="shared" si="269"/>
        <v>2.4068767908309448E-4</v>
      </c>
    </row>
    <row r="303" spans="1:74" x14ac:dyDescent="0.25">
      <c r="A303" s="147"/>
      <c r="C303" s="142"/>
      <c r="D303" s="157"/>
      <c r="E303" s="157"/>
      <c r="F303" s="157"/>
      <c r="G303" s="157"/>
      <c r="H303" s="157"/>
      <c r="I303" s="157"/>
      <c r="J303" s="157"/>
      <c r="K303" s="157"/>
      <c r="L303" s="157"/>
      <c r="M303" s="157"/>
      <c r="N303" s="157"/>
      <c r="O303" s="157"/>
      <c r="P303" s="157"/>
      <c r="Q303" s="157"/>
      <c r="R303" s="157"/>
      <c r="S303" s="157"/>
      <c r="T303" s="157"/>
      <c r="U303" s="157"/>
      <c r="V303" s="157"/>
      <c r="W303" s="157"/>
      <c r="X303" s="157"/>
      <c r="Y303" s="157"/>
      <c r="Z303" s="157"/>
      <c r="AA303" s="157"/>
      <c r="AB303" s="157"/>
      <c r="AC303" s="157"/>
      <c r="AD303" s="157"/>
      <c r="AE303" s="157"/>
      <c r="AF303" s="157"/>
      <c r="AG303" s="157"/>
      <c r="AH303" s="157"/>
      <c r="AI303" s="157"/>
      <c r="AJ303" s="157"/>
      <c r="AK303" s="157"/>
      <c r="AL303" s="157"/>
      <c r="AM303" s="157"/>
      <c r="AN303" s="157"/>
      <c r="AO303" s="157"/>
      <c r="AP303" s="157"/>
      <c r="AQ303" s="157"/>
      <c r="AR303" s="157"/>
      <c r="AS303" s="157"/>
    </row>
    <row r="304" spans="1:74" x14ac:dyDescent="0.25">
      <c r="A304" s="147"/>
      <c r="C304" s="142"/>
      <c r="D304" s="157"/>
      <c r="E304" s="157"/>
      <c r="F304" s="157"/>
      <c r="G304" s="157"/>
      <c r="H304" s="157"/>
      <c r="I304" s="157"/>
      <c r="J304" s="157"/>
      <c r="K304" s="157"/>
      <c r="L304" s="157"/>
      <c r="M304" s="157"/>
      <c r="N304" s="157"/>
      <c r="O304" s="157"/>
      <c r="P304" s="157"/>
      <c r="Q304" s="157"/>
      <c r="R304" s="157"/>
      <c r="S304" s="157"/>
      <c r="T304" s="157"/>
      <c r="U304" s="157"/>
      <c r="V304" s="157"/>
      <c r="W304" s="157"/>
      <c r="X304" s="157"/>
      <c r="Y304" s="157"/>
      <c r="Z304" s="157"/>
      <c r="AA304" s="157"/>
      <c r="AB304" s="157"/>
      <c r="AC304" s="157"/>
      <c r="AD304" s="157"/>
      <c r="AE304" s="157"/>
      <c r="AF304" s="157"/>
      <c r="AG304" s="157"/>
      <c r="AH304" s="157"/>
      <c r="AI304" s="157"/>
      <c r="AJ304" s="157"/>
      <c r="AK304" s="157"/>
      <c r="AL304" s="157"/>
      <c r="AM304" s="157"/>
      <c r="AN304" s="157"/>
      <c r="AO304" s="157"/>
      <c r="AP304" s="157"/>
      <c r="AQ304" s="157"/>
      <c r="AR304" s="157"/>
      <c r="AS304" s="157"/>
    </row>
    <row r="305" spans="1:74" s="187" customFormat="1" x14ac:dyDescent="0.25">
      <c r="A305" s="185" t="s">
        <v>247</v>
      </c>
      <c r="B305" s="186"/>
      <c r="I305" s="186"/>
      <c r="J305" s="186"/>
      <c r="K305" s="186"/>
      <c r="L305" s="186"/>
      <c r="M305" s="186"/>
      <c r="N305" s="186"/>
      <c r="O305" s="186"/>
      <c r="P305" s="186"/>
      <c r="Q305" s="186"/>
      <c r="R305" s="186"/>
      <c r="S305" s="186"/>
      <c r="T305" s="186"/>
      <c r="U305" s="186"/>
      <c r="V305" s="186"/>
      <c r="W305" s="186"/>
      <c r="X305" s="186"/>
      <c r="Y305" s="186"/>
      <c r="Z305" s="186"/>
      <c r="AA305" s="186"/>
      <c r="AB305" s="186"/>
      <c r="AC305" s="186"/>
      <c r="AD305" s="186"/>
      <c r="AE305" s="186"/>
      <c r="AF305" s="186"/>
      <c r="AG305" s="186"/>
      <c r="AH305" s="186"/>
      <c r="AI305" s="186"/>
      <c r="AJ305" s="186"/>
      <c r="AK305" s="186"/>
      <c r="AL305" s="186"/>
      <c r="AM305" s="186"/>
      <c r="AN305" s="186"/>
      <c r="AO305" s="186"/>
      <c r="AP305" s="186"/>
      <c r="AQ305" s="186"/>
      <c r="AR305" s="186"/>
      <c r="AS305" s="186"/>
    </row>
    <row r="306" spans="1:74" s="187" customFormat="1" x14ac:dyDescent="0.25">
      <c r="A306" s="185"/>
      <c r="B306" s="185" t="s">
        <v>250</v>
      </c>
      <c r="I306" s="186"/>
      <c r="J306" s="186"/>
      <c r="K306" s="186"/>
      <c r="L306" s="186"/>
      <c r="M306" s="186"/>
      <c r="N306" s="186"/>
      <c r="O306" s="186"/>
      <c r="P306" s="186"/>
      <c r="Q306" s="186"/>
      <c r="R306" s="186"/>
      <c r="S306" s="186"/>
      <c r="T306" s="186"/>
      <c r="U306" s="186"/>
      <c r="V306" s="186"/>
      <c r="W306" s="186"/>
      <c r="X306" s="186"/>
      <c r="Y306" s="186"/>
      <c r="Z306" s="186"/>
      <c r="AA306" s="186"/>
      <c r="AB306" s="186"/>
      <c r="AC306" s="186"/>
      <c r="AD306" s="186"/>
      <c r="AE306" s="186"/>
      <c r="AF306" s="186"/>
      <c r="AG306" s="186"/>
      <c r="AH306" s="186"/>
      <c r="AI306" s="186"/>
      <c r="AJ306" s="186"/>
      <c r="AK306" s="186"/>
      <c r="AL306" s="186"/>
      <c r="AM306" s="186"/>
      <c r="AN306" s="186"/>
      <c r="AO306" s="186"/>
      <c r="AP306" s="186"/>
      <c r="AQ306" s="186"/>
      <c r="AR306" s="186"/>
      <c r="AS306" s="186"/>
    </row>
    <row r="307" spans="1:74" x14ac:dyDescent="0.25">
      <c r="A307" s="147" t="s">
        <v>178</v>
      </c>
      <c r="C307" s="142"/>
      <c r="D307" s="177">
        <f>D243*D$48</f>
        <v>1.8180546549328392E-3</v>
      </c>
      <c r="E307" s="177">
        <f t="shared" ref="E307:AR307" si="270">E243*E$48</f>
        <v>1.8180546549328392E-3</v>
      </c>
      <c r="F307" s="177">
        <f t="shared" si="270"/>
        <v>1.8180546549328392E-3</v>
      </c>
      <c r="G307" s="177">
        <f t="shared" si="270"/>
        <v>1.8180546549328392E-3</v>
      </c>
      <c r="H307" s="177">
        <f t="shared" si="270"/>
        <v>1.8180546549328392E-3</v>
      </c>
      <c r="I307" s="177">
        <f t="shared" si="270"/>
        <v>1.8180546549328392E-3</v>
      </c>
      <c r="J307" s="177">
        <f t="shared" si="270"/>
        <v>1.8178603491271819E-3</v>
      </c>
      <c r="K307" s="177">
        <f t="shared" si="270"/>
        <v>1.8183443533456756E-3</v>
      </c>
      <c r="L307" s="177">
        <f t="shared" si="270"/>
        <v>1.8177002745195909E-3</v>
      </c>
      <c r="M307" s="177">
        <f t="shared" si="270"/>
        <v>1.8188864353312303E-3</v>
      </c>
      <c r="N307" s="177">
        <f t="shared" si="270"/>
        <v>1.8180880420499343E-3</v>
      </c>
      <c r="O307" s="177">
        <f t="shared" si="270"/>
        <v>1.8181924036595508E-3</v>
      </c>
      <c r="P307" s="177">
        <f t="shared" si="270"/>
        <v>1.818485154223119E-3</v>
      </c>
      <c r="Q307" s="177">
        <f t="shared" si="270"/>
        <v>1.8181434864694779E-3</v>
      </c>
      <c r="R307" s="177">
        <f t="shared" si="270"/>
        <v>1.8185692464358452E-3</v>
      </c>
      <c r="S307" s="177">
        <f t="shared" si="270"/>
        <v>1.8190023712737126E-3</v>
      </c>
      <c r="T307" s="177">
        <f t="shared" si="270"/>
        <v>1.8182043918918919E-3</v>
      </c>
      <c r="U307" s="177">
        <f t="shared" si="270"/>
        <v>1.81822308690013E-3</v>
      </c>
      <c r="V307" s="177">
        <f t="shared" si="270"/>
        <v>1.8183754152823919E-3</v>
      </c>
      <c r="W307" s="177">
        <f t="shared" si="270"/>
        <v>1.8188931698774082E-3</v>
      </c>
      <c r="X307" s="177">
        <f t="shared" si="270"/>
        <v>1.8185547785547786E-3</v>
      </c>
      <c r="Y307" s="177">
        <f t="shared" si="270"/>
        <v>1.8186693548387096E-3</v>
      </c>
      <c r="Z307" s="177">
        <f t="shared" si="270"/>
        <v>1.817428001772264E-3</v>
      </c>
      <c r="AA307" s="177">
        <f t="shared" si="270"/>
        <v>1.8189110127826943E-3</v>
      </c>
      <c r="AB307" s="177">
        <f t="shared" si="270"/>
        <v>1.8188451711803782E-3</v>
      </c>
      <c r="AC307" s="177">
        <f t="shared" si="270"/>
        <v>1.8184278695846359E-3</v>
      </c>
      <c r="AD307" s="177">
        <f t="shared" si="270"/>
        <v>1.8187332178432227E-3</v>
      </c>
      <c r="AE307" s="177">
        <f t="shared" si="270"/>
        <v>1.8181334496293064E-3</v>
      </c>
      <c r="AF307" s="177">
        <f t="shared" si="270"/>
        <v>1.8181334496293064E-3</v>
      </c>
      <c r="AG307" s="177">
        <f t="shared" si="270"/>
        <v>1.8181334496293064E-3</v>
      </c>
      <c r="AH307" s="177">
        <f t="shared" si="270"/>
        <v>1.8181334496293064E-3</v>
      </c>
      <c r="AI307" s="177">
        <f t="shared" si="270"/>
        <v>1.8181334496293064E-3</v>
      </c>
      <c r="AJ307" s="177">
        <f t="shared" si="270"/>
        <v>1.8181334496293064E-3</v>
      </c>
      <c r="AK307" s="177">
        <f t="shared" si="270"/>
        <v>1.8181334496293064E-3</v>
      </c>
      <c r="AL307" s="177">
        <f t="shared" si="270"/>
        <v>1.8181334496293064E-3</v>
      </c>
      <c r="AM307" s="177">
        <f t="shared" si="270"/>
        <v>1.8181334496293064E-3</v>
      </c>
      <c r="AN307" s="177">
        <f t="shared" si="270"/>
        <v>1.8181334496293064E-3</v>
      </c>
      <c r="AO307" s="177">
        <f t="shared" si="270"/>
        <v>1.8181334496293064E-3</v>
      </c>
      <c r="AP307" s="177">
        <f t="shared" si="270"/>
        <v>1.8181334496293064E-3</v>
      </c>
      <c r="AQ307" s="177">
        <f t="shared" si="270"/>
        <v>1.8181334496293064E-3</v>
      </c>
      <c r="AR307" s="177">
        <f t="shared" si="270"/>
        <v>1.8181334496293064E-3</v>
      </c>
      <c r="AS307" s="197">
        <f t="shared" ref="AS307:BV307" si="271">AR307</f>
        <v>1.8181334496293064E-3</v>
      </c>
      <c r="AT307" s="197">
        <f t="shared" si="271"/>
        <v>1.8181334496293064E-3</v>
      </c>
      <c r="AU307" s="197">
        <f t="shared" si="271"/>
        <v>1.8181334496293064E-3</v>
      </c>
      <c r="AV307" s="197">
        <f t="shared" si="271"/>
        <v>1.8181334496293064E-3</v>
      </c>
      <c r="AW307" s="197">
        <f t="shared" si="271"/>
        <v>1.8181334496293064E-3</v>
      </c>
      <c r="AX307" s="197">
        <f t="shared" si="271"/>
        <v>1.8181334496293064E-3</v>
      </c>
      <c r="AY307" s="197">
        <f t="shared" si="271"/>
        <v>1.8181334496293064E-3</v>
      </c>
      <c r="AZ307" s="197">
        <f t="shared" si="271"/>
        <v>1.8181334496293064E-3</v>
      </c>
      <c r="BA307" s="197">
        <f t="shared" si="271"/>
        <v>1.8181334496293064E-3</v>
      </c>
      <c r="BB307" s="197">
        <f t="shared" si="271"/>
        <v>1.8181334496293064E-3</v>
      </c>
      <c r="BC307" s="197">
        <f t="shared" si="271"/>
        <v>1.8181334496293064E-3</v>
      </c>
      <c r="BD307" s="197">
        <f t="shared" si="271"/>
        <v>1.8181334496293064E-3</v>
      </c>
      <c r="BE307" s="197">
        <f t="shared" si="271"/>
        <v>1.8181334496293064E-3</v>
      </c>
      <c r="BF307" s="197">
        <f t="shared" si="271"/>
        <v>1.8181334496293064E-3</v>
      </c>
      <c r="BG307" s="197">
        <f t="shared" si="271"/>
        <v>1.8181334496293064E-3</v>
      </c>
      <c r="BH307" s="197">
        <f t="shared" si="271"/>
        <v>1.8181334496293064E-3</v>
      </c>
      <c r="BI307" s="197">
        <f t="shared" si="271"/>
        <v>1.8181334496293064E-3</v>
      </c>
      <c r="BJ307" s="197">
        <f t="shared" si="271"/>
        <v>1.8181334496293064E-3</v>
      </c>
      <c r="BK307" s="197">
        <f t="shared" si="271"/>
        <v>1.8181334496293064E-3</v>
      </c>
      <c r="BL307" s="197">
        <f t="shared" si="271"/>
        <v>1.8181334496293064E-3</v>
      </c>
      <c r="BM307" s="197">
        <f t="shared" si="271"/>
        <v>1.8181334496293064E-3</v>
      </c>
      <c r="BN307" s="197">
        <f t="shared" si="271"/>
        <v>1.8181334496293064E-3</v>
      </c>
      <c r="BO307" s="197">
        <f t="shared" si="271"/>
        <v>1.8181334496293064E-3</v>
      </c>
      <c r="BP307" s="197">
        <f t="shared" si="271"/>
        <v>1.8181334496293064E-3</v>
      </c>
      <c r="BQ307" s="197">
        <f t="shared" si="271"/>
        <v>1.8181334496293064E-3</v>
      </c>
      <c r="BR307" s="197">
        <f t="shared" si="271"/>
        <v>1.8181334496293064E-3</v>
      </c>
      <c r="BS307" s="197">
        <f t="shared" si="271"/>
        <v>1.8181334496293064E-3</v>
      </c>
      <c r="BT307" s="197">
        <f t="shared" si="271"/>
        <v>1.8181334496293064E-3</v>
      </c>
      <c r="BU307" s="197">
        <f t="shared" si="271"/>
        <v>1.8181334496293064E-3</v>
      </c>
      <c r="BV307" s="197">
        <f t="shared" si="271"/>
        <v>1.8181334496293064E-3</v>
      </c>
    </row>
    <row r="308" spans="1:74" x14ac:dyDescent="0.25">
      <c r="A308" s="147" t="s">
        <v>180</v>
      </c>
      <c r="C308" s="142"/>
      <c r="D308" s="177">
        <f t="shared" ref="D308:AR308" si="272">D244*D$48</f>
        <v>5.1732082198212564E-4</v>
      </c>
      <c r="E308" s="177">
        <f t="shared" si="272"/>
        <v>5.1732082198212564E-4</v>
      </c>
      <c r="F308" s="177">
        <f t="shared" si="272"/>
        <v>5.1732082198212564E-4</v>
      </c>
      <c r="G308" s="177">
        <f t="shared" si="272"/>
        <v>5.1732082198212564E-4</v>
      </c>
      <c r="H308" s="177">
        <f t="shared" si="272"/>
        <v>5.1732082198212564E-4</v>
      </c>
      <c r="I308" s="177">
        <f t="shared" si="272"/>
        <v>5.1732082198212564E-4</v>
      </c>
      <c r="J308" s="177">
        <f t="shared" si="272"/>
        <v>5.173221070811744E-4</v>
      </c>
      <c r="K308" s="177">
        <f t="shared" si="272"/>
        <v>5.1732107845461016E-4</v>
      </c>
      <c r="L308" s="177">
        <f t="shared" si="272"/>
        <v>5.173213336409784E-4</v>
      </c>
      <c r="M308" s="177">
        <f t="shared" si="272"/>
        <v>5.1732510580099103E-4</v>
      </c>
      <c r="N308" s="177">
        <f t="shared" si="272"/>
        <v>5.1732328806865918E-4</v>
      </c>
      <c r="O308" s="177">
        <f t="shared" si="272"/>
        <v>5.1732181792576992E-4</v>
      </c>
      <c r="P308" s="177">
        <f t="shared" si="272"/>
        <v>5.0307419436702503E-4</v>
      </c>
      <c r="Q308" s="177">
        <f t="shared" si="272"/>
        <v>5.030739618774524E-4</v>
      </c>
      <c r="R308" s="177">
        <f t="shared" si="272"/>
        <v>5.0307511641781155E-4</v>
      </c>
      <c r="S308" s="177">
        <f t="shared" si="272"/>
        <v>5.0307238306040905E-4</v>
      </c>
      <c r="T308" s="177">
        <f t="shared" si="272"/>
        <v>5.0307406790218979E-4</v>
      </c>
      <c r="U308" s="177">
        <f t="shared" si="272"/>
        <v>5.0307274424490499E-4</v>
      </c>
      <c r="V308" s="177">
        <f t="shared" si="272"/>
        <v>5.0307432241377878E-4</v>
      </c>
      <c r="W308" s="177">
        <f t="shared" si="272"/>
        <v>5.0307394798450214E-4</v>
      </c>
      <c r="X308" s="177">
        <f t="shared" si="272"/>
        <v>5.0307247924080668E-4</v>
      </c>
      <c r="Y308" s="177">
        <f t="shared" si="272"/>
        <v>5.030716537842404E-4</v>
      </c>
      <c r="Z308" s="177">
        <f t="shared" si="272"/>
        <v>5.0307569331426414E-4</v>
      </c>
      <c r="AA308" s="177">
        <f t="shared" si="272"/>
        <v>5.0307269878303569E-4</v>
      </c>
      <c r="AB308" s="177">
        <f t="shared" si="272"/>
        <v>5.0307377629547662E-4</v>
      </c>
      <c r="AC308" s="177">
        <f t="shared" si="272"/>
        <v>5.0307256356509457E-4</v>
      </c>
      <c r="AD308" s="177">
        <f t="shared" si="272"/>
        <v>5.0307240158766224E-4</v>
      </c>
      <c r="AE308" s="177">
        <f t="shared" si="272"/>
        <v>5.0307335817895669E-4</v>
      </c>
      <c r="AF308" s="177">
        <f t="shared" si="272"/>
        <v>5.0307335817895669E-4</v>
      </c>
      <c r="AG308" s="177">
        <f t="shared" si="272"/>
        <v>5.0307335817895669E-4</v>
      </c>
      <c r="AH308" s="177">
        <f t="shared" si="272"/>
        <v>5.0307335817895669E-4</v>
      </c>
      <c r="AI308" s="177">
        <f t="shared" si="272"/>
        <v>5.0307335817895669E-4</v>
      </c>
      <c r="AJ308" s="177">
        <f t="shared" si="272"/>
        <v>5.0307335817895669E-4</v>
      </c>
      <c r="AK308" s="177">
        <f t="shared" si="272"/>
        <v>5.0307335817895669E-4</v>
      </c>
      <c r="AL308" s="177">
        <f t="shared" si="272"/>
        <v>5.0307335817895669E-4</v>
      </c>
      <c r="AM308" s="177">
        <f t="shared" si="272"/>
        <v>5.0307335817895669E-4</v>
      </c>
      <c r="AN308" s="177">
        <f t="shared" si="272"/>
        <v>5.0307335817895669E-4</v>
      </c>
      <c r="AO308" s="177">
        <f t="shared" si="272"/>
        <v>5.0307335817895669E-4</v>
      </c>
      <c r="AP308" s="177">
        <f t="shared" si="272"/>
        <v>5.0307335817895669E-4</v>
      </c>
      <c r="AQ308" s="177">
        <f t="shared" si="272"/>
        <v>5.0307335817895669E-4</v>
      </c>
      <c r="AR308" s="177">
        <f t="shared" si="272"/>
        <v>5.0307335817895669E-4</v>
      </c>
      <c r="AS308" s="197">
        <f t="shared" ref="AS308:BV308" si="273">AR308</f>
        <v>5.0307335817895669E-4</v>
      </c>
      <c r="AT308" s="197">
        <f t="shared" si="273"/>
        <v>5.0307335817895669E-4</v>
      </c>
      <c r="AU308" s="197">
        <f t="shared" si="273"/>
        <v>5.0307335817895669E-4</v>
      </c>
      <c r="AV308" s="197">
        <f t="shared" si="273"/>
        <v>5.0307335817895669E-4</v>
      </c>
      <c r="AW308" s="197">
        <f t="shared" si="273"/>
        <v>5.0307335817895669E-4</v>
      </c>
      <c r="AX308" s="197">
        <f t="shared" si="273"/>
        <v>5.0307335817895669E-4</v>
      </c>
      <c r="AY308" s="197">
        <f t="shared" si="273"/>
        <v>5.0307335817895669E-4</v>
      </c>
      <c r="AZ308" s="197">
        <f t="shared" si="273"/>
        <v>5.0307335817895669E-4</v>
      </c>
      <c r="BA308" s="197">
        <f t="shared" si="273"/>
        <v>5.0307335817895669E-4</v>
      </c>
      <c r="BB308" s="197">
        <f t="shared" si="273"/>
        <v>5.0307335817895669E-4</v>
      </c>
      <c r="BC308" s="197">
        <f t="shared" si="273"/>
        <v>5.0307335817895669E-4</v>
      </c>
      <c r="BD308" s="197">
        <f t="shared" si="273"/>
        <v>5.0307335817895669E-4</v>
      </c>
      <c r="BE308" s="197">
        <f t="shared" si="273"/>
        <v>5.0307335817895669E-4</v>
      </c>
      <c r="BF308" s="197">
        <f t="shared" si="273"/>
        <v>5.0307335817895669E-4</v>
      </c>
      <c r="BG308" s="197">
        <f t="shared" si="273"/>
        <v>5.0307335817895669E-4</v>
      </c>
      <c r="BH308" s="197">
        <f t="shared" si="273"/>
        <v>5.0307335817895669E-4</v>
      </c>
      <c r="BI308" s="197">
        <f t="shared" si="273"/>
        <v>5.0307335817895669E-4</v>
      </c>
      <c r="BJ308" s="197">
        <f t="shared" si="273"/>
        <v>5.0307335817895669E-4</v>
      </c>
      <c r="BK308" s="197">
        <f t="shared" si="273"/>
        <v>5.0307335817895669E-4</v>
      </c>
      <c r="BL308" s="197">
        <f t="shared" si="273"/>
        <v>5.0307335817895669E-4</v>
      </c>
      <c r="BM308" s="197">
        <f t="shared" si="273"/>
        <v>5.0307335817895669E-4</v>
      </c>
      <c r="BN308" s="197">
        <f t="shared" si="273"/>
        <v>5.0307335817895669E-4</v>
      </c>
      <c r="BO308" s="197">
        <f t="shared" si="273"/>
        <v>5.0307335817895669E-4</v>
      </c>
      <c r="BP308" s="197">
        <f t="shared" si="273"/>
        <v>5.0307335817895669E-4</v>
      </c>
      <c r="BQ308" s="197">
        <f t="shared" si="273"/>
        <v>5.0307335817895669E-4</v>
      </c>
      <c r="BR308" s="197">
        <f t="shared" si="273"/>
        <v>5.0307335817895669E-4</v>
      </c>
      <c r="BS308" s="197">
        <f t="shared" si="273"/>
        <v>5.0307335817895669E-4</v>
      </c>
      <c r="BT308" s="197">
        <f t="shared" si="273"/>
        <v>5.0307335817895669E-4</v>
      </c>
      <c r="BU308" s="197">
        <f t="shared" si="273"/>
        <v>5.0307335817895669E-4</v>
      </c>
      <c r="BV308" s="197">
        <f t="shared" si="273"/>
        <v>5.0307335817895669E-4</v>
      </c>
    </row>
    <row r="309" spans="1:74" x14ac:dyDescent="0.25">
      <c r="A309" s="141" t="s">
        <v>181</v>
      </c>
      <c r="B309" s="142"/>
      <c r="C309" s="142"/>
      <c r="D309" s="177">
        <f t="shared" ref="D309:AR309" si="274">D245*D$48</f>
        <v>3.1810442397537373E-3</v>
      </c>
      <c r="E309" s="177">
        <f t="shared" si="274"/>
        <v>3.1810442397537373E-3</v>
      </c>
      <c r="F309" s="177">
        <f t="shared" si="274"/>
        <v>3.1810442397537373E-3</v>
      </c>
      <c r="G309" s="177">
        <f t="shared" si="274"/>
        <v>3.1810442397537373E-3</v>
      </c>
      <c r="H309" s="177">
        <f t="shared" si="274"/>
        <v>3.1810442397537373E-3</v>
      </c>
      <c r="I309" s="177">
        <f t="shared" si="274"/>
        <v>3.1810442397537373E-3</v>
      </c>
      <c r="J309" s="177">
        <f t="shared" si="274"/>
        <v>3.1810442397537373E-3</v>
      </c>
      <c r="K309" s="177">
        <f t="shared" si="274"/>
        <v>3.1810442397537373E-3</v>
      </c>
      <c r="L309" s="177">
        <f t="shared" si="274"/>
        <v>3.1810442397537373E-3</v>
      </c>
      <c r="M309" s="177">
        <f t="shared" si="274"/>
        <v>3.1810442397537373E-3</v>
      </c>
      <c r="N309" s="177">
        <f t="shared" si="274"/>
        <v>3.1810442397537373E-3</v>
      </c>
      <c r="O309" s="177">
        <f t="shared" si="274"/>
        <v>3.1810442397537373E-3</v>
      </c>
      <c r="P309" s="177">
        <f t="shared" si="274"/>
        <v>3.1810442397537373E-3</v>
      </c>
      <c r="Q309" s="177">
        <f t="shared" si="274"/>
        <v>3.1810442397537373E-3</v>
      </c>
      <c r="R309" s="177">
        <f t="shared" si="274"/>
        <v>3.1810442397537373E-3</v>
      </c>
      <c r="S309" s="177">
        <f t="shared" si="274"/>
        <v>3.1810442397537373E-3</v>
      </c>
      <c r="T309" s="177">
        <f t="shared" si="274"/>
        <v>3.1810442397537373E-3</v>
      </c>
      <c r="U309" s="177">
        <f t="shared" si="274"/>
        <v>3.1810442397537373E-3</v>
      </c>
      <c r="V309" s="177">
        <f t="shared" si="274"/>
        <v>3.1810442397537373E-3</v>
      </c>
      <c r="W309" s="177">
        <f t="shared" si="274"/>
        <v>3.1810442397537373E-3</v>
      </c>
      <c r="X309" s="177">
        <f t="shared" si="274"/>
        <v>3.1810442397537373E-3</v>
      </c>
      <c r="Y309" s="177">
        <f t="shared" si="274"/>
        <v>3.1810442397537373E-3</v>
      </c>
      <c r="Z309" s="177">
        <f t="shared" si="274"/>
        <v>3.1810442397537373E-3</v>
      </c>
      <c r="AA309" s="177">
        <f t="shared" si="274"/>
        <v>3.1810442397537373E-3</v>
      </c>
      <c r="AB309" s="177">
        <f t="shared" si="274"/>
        <v>3.1810442397537373E-3</v>
      </c>
      <c r="AC309" s="177">
        <f t="shared" si="274"/>
        <v>3.1810442397537373E-3</v>
      </c>
      <c r="AD309" s="177">
        <f t="shared" si="274"/>
        <v>3.1810442397537373E-3</v>
      </c>
      <c r="AE309" s="177">
        <f t="shared" si="274"/>
        <v>3.1810442397537373E-3</v>
      </c>
      <c r="AF309" s="177">
        <f t="shared" si="274"/>
        <v>3.1810442397537373E-3</v>
      </c>
      <c r="AG309" s="177">
        <f t="shared" si="274"/>
        <v>3.1810442397537373E-3</v>
      </c>
      <c r="AH309" s="177">
        <f t="shared" si="274"/>
        <v>3.1810442397537373E-3</v>
      </c>
      <c r="AI309" s="177">
        <f t="shared" si="274"/>
        <v>3.1810442397537373E-3</v>
      </c>
      <c r="AJ309" s="177">
        <f t="shared" si="274"/>
        <v>3.1810442397537373E-3</v>
      </c>
      <c r="AK309" s="177">
        <f t="shared" si="274"/>
        <v>3.1810442397537373E-3</v>
      </c>
      <c r="AL309" s="177">
        <f t="shared" si="274"/>
        <v>3.1810442397537373E-3</v>
      </c>
      <c r="AM309" s="177">
        <f t="shared" si="274"/>
        <v>3.1810442397537373E-3</v>
      </c>
      <c r="AN309" s="177">
        <f t="shared" si="274"/>
        <v>3.1810442397537373E-3</v>
      </c>
      <c r="AO309" s="177">
        <f t="shared" si="274"/>
        <v>3.1810442397537373E-3</v>
      </c>
      <c r="AP309" s="177">
        <f t="shared" si="274"/>
        <v>3.1810442397537373E-3</v>
      </c>
      <c r="AQ309" s="177">
        <f t="shared" si="274"/>
        <v>3.1810442397537373E-3</v>
      </c>
      <c r="AR309" s="177">
        <f t="shared" si="274"/>
        <v>3.1810442397537373E-3</v>
      </c>
      <c r="AS309" s="197">
        <f t="shared" ref="AS309:BV309" si="275">AR309</f>
        <v>3.1810442397537373E-3</v>
      </c>
      <c r="AT309" s="197">
        <f t="shared" si="275"/>
        <v>3.1810442397537373E-3</v>
      </c>
      <c r="AU309" s="197">
        <f t="shared" si="275"/>
        <v>3.1810442397537373E-3</v>
      </c>
      <c r="AV309" s="197">
        <f t="shared" si="275"/>
        <v>3.1810442397537373E-3</v>
      </c>
      <c r="AW309" s="197">
        <f t="shared" si="275"/>
        <v>3.1810442397537373E-3</v>
      </c>
      <c r="AX309" s="197">
        <f t="shared" si="275"/>
        <v>3.1810442397537373E-3</v>
      </c>
      <c r="AY309" s="197">
        <f t="shared" si="275"/>
        <v>3.1810442397537373E-3</v>
      </c>
      <c r="AZ309" s="197">
        <f t="shared" si="275"/>
        <v>3.1810442397537373E-3</v>
      </c>
      <c r="BA309" s="197">
        <f t="shared" si="275"/>
        <v>3.1810442397537373E-3</v>
      </c>
      <c r="BB309" s="197">
        <f t="shared" si="275"/>
        <v>3.1810442397537373E-3</v>
      </c>
      <c r="BC309" s="197">
        <f t="shared" si="275"/>
        <v>3.1810442397537373E-3</v>
      </c>
      <c r="BD309" s="197">
        <f t="shared" si="275"/>
        <v>3.1810442397537373E-3</v>
      </c>
      <c r="BE309" s="197">
        <f t="shared" si="275"/>
        <v>3.1810442397537373E-3</v>
      </c>
      <c r="BF309" s="197">
        <f t="shared" si="275"/>
        <v>3.1810442397537373E-3</v>
      </c>
      <c r="BG309" s="197">
        <f t="shared" si="275"/>
        <v>3.1810442397537373E-3</v>
      </c>
      <c r="BH309" s="197">
        <f t="shared" si="275"/>
        <v>3.1810442397537373E-3</v>
      </c>
      <c r="BI309" s="197">
        <f t="shared" si="275"/>
        <v>3.1810442397537373E-3</v>
      </c>
      <c r="BJ309" s="197">
        <f t="shared" si="275"/>
        <v>3.1810442397537373E-3</v>
      </c>
      <c r="BK309" s="197">
        <f t="shared" si="275"/>
        <v>3.1810442397537373E-3</v>
      </c>
      <c r="BL309" s="197">
        <f t="shared" si="275"/>
        <v>3.1810442397537373E-3</v>
      </c>
      <c r="BM309" s="197">
        <f t="shared" si="275"/>
        <v>3.1810442397537373E-3</v>
      </c>
      <c r="BN309" s="197">
        <f t="shared" si="275"/>
        <v>3.1810442397537373E-3</v>
      </c>
      <c r="BO309" s="197">
        <f t="shared" si="275"/>
        <v>3.1810442397537373E-3</v>
      </c>
      <c r="BP309" s="197">
        <f t="shared" si="275"/>
        <v>3.1810442397537373E-3</v>
      </c>
      <c r="BQ309" s="197">
        <f t="shared" si="275"/>
        <v>3.1810442397537373E-3</v>
      </c>
      <c r="BR309" s="197">
        <f t="shared" si="275"/>
        <v>3.1810442397537373E-3</v>
      </c>
      <c r="BS309" s="197">
        <f t="shared" si="275"/>
        <v>3.1810442397537373E-3</v>
      </c>
      <c r="BT309" s="197">
        <f t="shared" si="275"/>
        <v>3.1810442397537373E-3</v>
      </c>
      <c r="BU309" s="197">
        <f t="shared" si="275"/>
        <v>3.1810442397537373E-3</v>
      </c>
      <c r="BV309" s="197">
        <f t="shared" si="275"/>
        <v>3.1810442397537373E-3</v>
      </c>
    </row>
    <row r="310" spans="1:74" x14ac:dyDescent="0.25">
      <c r="A310" s="141" t="s">
        <v>183</v>
      </c>
      <c r="B310" s="142"/>
      <c r="C310" s="142"/>
      <c r="D310" s="177">
        <f t="shared" ref="D310:AR310" si="276">D246*D$48</f>
        <v>1.0063265142847228E-3</v>
      </c>
      <c r="E310" s="177">
        <f t="shared" si="276"/>
        <v>1.0063265142847228E-3</v>
      </c>
      <c r="F310" s="177">
        <f t="shared" si="276"/>
        <v>1.0063265142847228E-3</v>
      </c>
      <c r="G310" s="177">
        <f t="shared" si="276"/>
        <v>1.0063265142847228E-3</v>
      </c>
      <c r="H310" s="177">
        <f t="shared" si="276"/>
        <v>1.0063265142847228E-3</v>
      </c>
      <c r="I310" s="177">
        <f t="shared" si="276"/>
        <v>1.0063265142847228E-3</v>
      </c>
      <c r="J310" s="177">
        <f t="shared" si="276"/>
        <v>1.0063265142847228E-3</v>
      </c>
      <c r="K310" s="177">
        <f t="shared" si="276"/>
        <v>1.0063265142847228E-3</v>
      </c>
      <c r="L310" s="177">
        <f t="shared" si="276"/>
        <v>1.0063265142847228E-3</v>
      </c>
      <c r="M310" s="177">
        <f t="shared" si="276"/>
        <v>1.0063265142847228E-3</v>
      </c>
      <c r="N310" s="177">
        <f t="shared" si="276"/>
        <v>1.0063265142847228E-3</v>
      </c>
      <c r="O310" s="177">
        <f t="shared" si="276"/>
        <v>1.0063265142847228E-3</v>
      </c>
      <c r="P310" s="177">
        <f t="shared" si="276"/>
        <v>1.0063265142847228E-3</v>
      </c>
      <c r="Q310" s="177">
        <f t="shared" si="276"/>
        <v>1.0063265142847228E-3</v>
      </c>
      <c r="R310" s="177">
        <f t="shared" si="276"/>
        <v>1.0063265142847228E-3</v>
      </c>
      <c r="S310" s="177">
        <f t="shared" si="276"/>
        <v>1.0063265142847228E-3</v>
      </c>
      <c r="T310" s="177">
        <f t="shared" si="276"/>
        <v>1.0063265142847228E-3</v>
      </c>
      <c r="U310" s="177">
        <f t="shared" si="276"/>
        <v>1.0063265142847228E-3</v>
      </c>
      <c r="V310" s="177">
        <f t="shared" si="276"/>
        <v>1.0063265142847228E-3</v>
      </c>
      <c r="W310" s="177">
        <f t="shared" si="276"/>
        <v>1.0063265142847228E-3</v>
      </c>
      <c r="X310" s="177">
        <f t="shared" si="276"/>
        <v>1.0063265142847228E-3</v>
      </c>
      <c r="Y310" s="177">
        <f t="shared" si="276"/>
        <v>1.0063265142847228E-3</v>
      </c>
      <c r="Z310" s="177">
        <f t="shared" si="276"/>
        <v>1.0063318945635002E-3</v>
      </c>
      <c r="AA310" s="177">
        <f t="shared" si="276"/>
        <v>1.0063318945635002E-3</v>
      </c>
      <c r="AB310" s="177">
        <f t="shared" si="276"/>
        <v>1.0063318945635002E-3</v>
      </c>
      <c r="AC310" s="177">
        <f t="shared" si="276"/>
        <v>1.0063318945635002E-3</v>
      </c>
      <c r="AD310" s="177">
        <f t="shared" si="276"/>
        <v>1.0063092028788365E-3</v>
      </c>
      <c r="AE310" s="177">
        <f t="shared" si="276"/>
        <v>1.0063092028788365E-3</v>
      </c>
      <c r="AF310" s="177">
        <f t="shared" si="276"/>
        <v>1.0063092028788365E-3</v>
      </c>
      <c r="AG310" s="177">
        <f t="shared" si="276"/>
        <v>1.0063092028788365E-3</v>
      </c>
      <c r="AH310" s="177">
        <f t="shared" si="276"/>
        <v>1.0063092028788365E-3</v>
      </c>
      <c r="AI310" s="177">
        <f t="shared" si="276"/>
        <v>1.0063092028788365E-3</v>
      </c>
      <c r="AJ310" s="177">
        <f t="shared" si="276"/>
        <v>1.0063092028788365E-3</v>
      </c>
      <c r="AK310" s="177">
        <f t="shared" si="276"/>
        <v>1.0063092028788365E-3</v>
      </c>
      <c r="AL310" s="177">
        <f t="shared" si="276"/>
        <v>1.0063092028788365E-3</v>
      </c>
      <c r="AM310" s="177">
        <f t="shared" si="276"/>
        <v>1.0063092028788365E-3</v>
      </c>
      <c r="AN310" s="177">
        <f t="shared" si="276"/>
        <v>1.0063092028788365E-3</v>
      </c>
      <c r="AO310" s="177">
        <f t="shared" si="276"/>
        <v>1.0063092028788365E-3</v>
      </c>
      <c r="AP310" s="177">
        <f t="shared" si="276"/>
        <v>1.0063092028788365E-3</v>
      </c>
      <c r="AQ310" s="177">
        <f t="shared" si="276"/>
        <v>1.0063092028788365E-3</v>
      </c>
      <c r="AR310" s="177">
        <f t="shared" si="276"/>
        <v>1.0063092028788365E-3</v>
      </c>
      <c r="AS310" s="197">
        <f t="shared" ref="AS310:BV310" si="277">AR310</f>
        <v>1.0063092028788365E-3</v>
      </c>
      <c r="AT310" s="197">
        <f t="shared" si="277"/>
        <v>1.0063092028788365E-3</v>
      </c>
      <c r="AU310" s="197">
        <f t="shared" si="277"/>
        <v>1.0063092028788365E-3</v>
      </c>
      <c r="AV310" s="197">
        <f t="shared" si="277"/>
        <v>1.0063092028788365E-3</v>
      </c>
      <c r="AW310" s="197">
        <f t="shared" si="277"/>
        <v>1.0063092028788365E-3</v>
      </c>
      <c r="AX310" s="197">
        <f t="shared" si="277"/>
        <v>1.0063092028788365E-3</v>
      </c>
      <c r="AY310" s="197">
        <f t="shared" si="277"/>
        <v>1.0063092028788365E-3</v>
      </c>
      <c r="AZ310" s="197">
        <f t="shared" si="277"/>
        <v>1.0063092028788365E-3</v>
      </c>
      <c r="BA310" s="197">
        <f t="shared" si="277"/>
        <v>1.0063092028788365E-3</v>
      </c>
      <c r="BB310" s="197">
        <f t="shared" si="277"/>
        <v>1.0063092028788365E-3</v>
      </c>
      <c r="BC310" s="197">
        <f t="shared" si="277"/>
        <v>1.0063092028788365E-3</v>
      </c>
      <c r="BD310" s="197">
        <f t="shared" si="277"/>
        <v>1.0063092028788365E-3</v>
      </c>
      <c r="BE310" s="197">
        <f t="shared" si="277"/>
        <v>1.0063092028788365E-3</v>
      </c>
      <c r="BF310" s="197">
        <f t="shared" si="277"/>
        <v>1.0063092028788365E-3</v>
      </c>
      <c r="BG310" s="197">
        <f t="shared" si="277"/>
        <v>1.0063092028788365E-3</v>
      </c>
      <c r="BH310" s="197">
        <f t="shared" si="277"/>
        <v>1.0063092028788365E-3</v>
      </c>
      <c r="BI310" s="197">
        <f t="shared" si="277"/>
        <v>1.0063092028788365E-3</v>
      </c>
      <c r="BJ310" s="197">
        <f t="shared" si="277"/>
        <v>1.0063092028788365E-3</v>
      </c>
      <c r="BK310" s="197">
        <f t="shared" si="277"/>
        <v>1.0063092028788365E-3</v>
      </c>
      <c r="BL310" s="197">
        <f t="shared" si="277"/>
        <v>1.0063092028788365E-3</v>
      </c>
      <c r="BM310" s="197">
        <f t="shared" si="277"/>
        <v>1.0063092028788365E-3</v>
      </c>
      <c r="BN310" s="197">
        <f t="shared" si="277"/>
        <v>1.0063092028788365E-3</v>
      </c>
      <c r="BO310" s="197">
        <f t="shared" si="277"/>
        <v>1.0063092028788365E-3</v>
      </c>
      <c r="BP310" s="197">
        <f t="shared" si="277"/>
        <v>1.0063092028788365E-3</v>
      </c>
      <c r="BQ310" s="197">
        <f t="shared" si="277"/>
        <v>1.0063092028788365E-3</v>
      </c>
      <c r="BR310" s="197">
        <f t="shared" si="277"/>
        <v>1.0063092028788365E-3</v>
      </c>
      <c r="BS310" s="197">
        <f t="shared" si="277"/>
        <v>1.0063092028788365E-3</v>
      </c>
      <c r="BT310" s="197">
        <f t="shared" si="277"/>
        <v>1.0063092028788365E-3</v>
      </c>
      <c r="BU310" s="197">
        <f t="shared" si="277"/>
        <v>1.0063092028788365E-3</v>
      </c>
      <c r="BV310" s="197">
        <f t="shared" si="277"/>
        <v>1.0063092028788365E-3</v>
      </c>
    </row>
    <row r="311" spans="1:74" x14ac:dyDescent="0.25">
      <c r="A311" s="147" t="s">
        <v>184</v>
      </c>
      <c r="C311" s="142"/>
      <c r="D311" s="177">
        <f t="shared" ref="D311:AR311" si="278">D247*D$48</f>
        <v>1.9179373779274603E-4</v>
      </c>
      <c r="E311" s="177">
        <f t="shared" si="278"/>
        <v>1.9151327056259469E-4</v>
      </c>
      <c r="F311" s="177">
        <f t="shared" si="278"/>
        <v>1.912336224103323E-4</v>
      </c>
      <c r="G311" s="177">
        <f t="shared" si="278"/>
        <v>1.9095478975313188E-4</v>
      </c>
      <c r="H311" s="177">
        <f t="shared" si="278"/>
        <v>1.9067676902903203E-4</v>
      </c>
      <c r="I311" s="177">
        <f t="shared" si="278"/>
        <v>1.9039955669678546E-4</v>
      </c>
      <c r="J311" s="177">
        <f t="shared" si="278"/>
        <v>1.9522560211946051E-4</v>
      </c>
      <c r="K311" s="177">
        <f t="shared" si="278"/>
        <v>1.9752599308755763E-4</v>
      </c>
      <c r="L311" s="177">
        <f t="shared" si="278"/>
        <v>1.8969145221630203E-4</v>
      </c>
      <c r="M311" s="177">
        <f t="shared" si="278"/>
        <v>1.9241833602222822E-4</v>
      </c>
      <c r="N311" s="177">
        <f t="shared" si="278"/>
        <v>1.9427344205483641E-4</v>
      </c>
      <c r="O311" s="177">
        <f t="shared" si="278"/>
        <v>1.9395076814376363E-4</v>
      </c>
      <c r="P311" s="177">
        <f t="shared" si="278"/>
        <v>1.9435985640670376E-4</v>
      </c>
      <c r="Q311" s="177">
        <f t="shared" si="278"/>
        <v>1.9887701194257602E-4</v>
      </c>
      <c r="R311" s="177">
        <f t="shared" si="278"/>
        <v>2.004791412784043E-4</v>
      </c>
      <c r="S311" s="177">
        <f t="shared" si="278"/>
        <v>2.0333776992026534E-4</v>
      </c>
      <c r="T311" s="177">
        <f t="shared" si="278"/>
        <v>2.0414848905852764E-4</v>
      </c>
      <c r="U311" s="177">
        <f t="shared" si="278"/>
        <v>2.075906543113267E-4</v>
      </c>
      <c r="V311" s="177">
        <f t="shared" si="278"/>
        <v>2.0508317716700085E-4</v>
      </c>
      <c r="W311" s="177">
        <f t="shared" si="278"/>
        <v>1.9781270173852567E-4</v>
      </c>
      <c r="X311" s="177">
        <f t="shared" si="278"/>
        <v>1.9786220531486088E-4</v>
      </c>
      <c r="Y311" s="177">
        <f t="shared" si="278"/>
        <v>2.0253251548087045E-4</v>
      </c>
      <c r="Z311" s="177">
        <f t="shared" si="278"/>
        <v>1.9879995350736285E-4</v>
      </c>
      <c r="AA311" s="177">
        <f t="shared" si="278"/>
        <v>1.9617829544617634E-4</v>
      </c>
      <c r="AB311" s="177">
        <f t="shared" si="278"/>
        <v>1.9646040978255031E-4</v>
      </c>
      <c r="AC311" s="177">
        <f t="shared" si="278"/>
        <v>1.9591085236023183E-4</v>
      </c>
      <c r="AD311" s="177">
        <f t="shared" si="278"/>
        <v>1.9511575868347495E-4</v>
      </c>
      <c r="AE311" s="177">
        <f t="shared" si="278"/>
        <v>1.9788204881820233E-4</v>
      </c>
      <c r="AF311" s="177">
        <f t="shared" si="278"/>
        <v>1.9788204881820233E-4</v>
      </c>
      <c r="AG311" s="177">
        <f t="shared" si="278"/>
        <v>1.9788204881820233E-4</v>
      </c>
      <c r="AH311" s="177">
        <f t="shared" si="278"/>
        <v>1.9788204881820233E-4</v>
      </c>
      <c r="AI311" s="177">
        <f t="shared" si="278"/>
        <v>1.9788204881820233E-4</v>
      </c>
      <c r="AJ311" s="177">
        <f t="shared" si="278"/>
        <v>1.9788204881820233E-4</v>
      </c>
      <c r="AK311" s="177">
        <f t="shared" si="278"/>
        <v>1.9788204881820233E-4</v>
      </c>
      <c r="AL311" s="177">
        <f t="shared" si="278"/>
        <v>1.9788204881820233E-4</v>
      </c>
      <c r="AM311" s="177">
        <f t="shared" si="278"/>
        <v>1.9788204881820233E-4</v>
      </c>
      <c r="AN311" s="177">
        <f t="shared" si="278"/>
        <v>1.9788204881820233E-4</v>
      </c>
      <c r="AO311" s="177">
        <f t="shared" si="278"/>
        <v>1.9788204881820233E-4</v>
      </c>
      <c r="AP311" s="177">
        <f t="shared" si="278"/>
        <v>1.9788204881820233E-4</v>
      </c>
      <c r="AQ311" s="177">
        <f t="shared" si="278"/>
        <v>1.9788204881820233E-4</v>
      </c>
      <c r="AR311" s="177">
        <f t="shared" si="278"/>
        <v>1.9788204881820233E-4</v>
      </c>
      <c r="AS311" s="197">
        <f t="shared" ref="AS311:BV311" si="279">AR311</f>
        <v>1.9788204881820233E-4</v>
      </c>
      <c r="AT311" s="197">
        <f t="shared" si="279"/>
        <v>1.9788204881820233E-4</v>
      </c>
      <c r="AU311" s="197">
        <f t="shared" si="279"/>
        <v>1.9788204881820233E-4</v>
      </c>
      <c r="AV311" s="197">
        <f t="shared" si="279"/>
        <v>1.9788204881820233E-4</v>
      </c>
      <c r="AW311" s="197">
        <f t="shared" si="279"/>
        <v>1.9788204881820233E-4</v>
      </c>
      <c r="AX311" s="197">
        <f t="shared" si="279"/>
        <v>1.9788204881820233E-4</v>
      </c>
      <c r="AY311" s="197">
        <f t="shared" si="279"/>
        <v>1.9788204881820233E-4</v>
      </c>
      <c r="AZ311" s="197">
        <f t="shared" si="279"/>
        <v>1.9788204881820233E-4</v>
      </c>
      <c r="BA311" s="197">
        <f t="shared" si="279"/>
        <v>1.9788204881820233E-4</v>
      </c>
      <c r="BB311" s="197">
        <f t="shared" si="279"/>
        <v>1.9788204881820233E-4</v>
      </c>
      <c r="BC311" s="197">
        <f t="shared" si="279"/>
        <v>1.9788204881820233E-4</v>
      </c>
      <c r="BD311" s="197">
        <f t="shared" si="279"/>
        <v>1.9788204881820233E-4</v>
      </c>
      <c r="BE311" s="197">
        <f t="shared" si="279"/>
        <v>1.9788204881820233E-4</v>
      </c>
      <c r="BF311" s="197">
        <f t="shared" si="279"/>
        <v>1.9788204881820233E-4</v>
      </c>
      <c r="BG311" s="197">
        <f t="shared" si="279"/>
        <v>1.9788204881820233E-4</v>
      </c>
      <c r="BH311" s="197">
        <f t="shared" si="279"/>
        <v>1.9788204881820233E-4</v>
      </c>
      <c r="BI311" s="197">
        <f t="shared" si="279"/>
        <v>1.9788204881820233E-4</v>
      </c>
      <c r="BJ311" s="197">
        <f t="shared" si="279"/>
        <v>1.9788204881820233E-4</v>
      </c>
      <c r="BK311" s="197">
        <f t="shared" si="279"/>
        <v>1.9788204881820233E-4</v>
      </c>
      <c r="BL311" s="197">
        <f t="shared" si="279"/>
        <v>1.9788204881820233E-4</v>
      </c>
      <c r="BM311" s="197">
        <f t="shared" si="279"/>
        <v>1.9788204881820233E-4</v>
      </c>
      <c r="BN311" s="197">
        <f t="shared" si="279"/>
        <v>1.9788204881820233E-4</v>
      </c>
      <c r="BO311" s="197">
        <f t="shared" si="279"/>
        <v>1.9788204881820233E-4</v>
      </c>
      <c r="BP311" s="197">
        <f t="shared" si="279"/>
        <v>1.9788204881820233E-4</v>
      </c>
      <c r="BQ311" s="197">
        <f t="shared" si="279"/>
        <v>1.9788204881820233E-4</v>
      </c>
      <c r="BR311" s="197">
        <f t="shared" si="279"/>
        <v>1.9788204881820233E-4</v>
      </c>
      <c r="BS311" s="197">
        <f t="shared" si="279"/>
        <v>1.9788204881820233E-4</v>
      </c>
      <c r="BT311" s="197">
        <f t="shared" si="279"/>
        <v>1.9788204881820233E-4</v>
      </c>
      <c r="BU311" s="197">
        <f t="shared" si="279"/>
        <v>1.9788204881820233E-4</v>
      </c>
      <c r="BV311" s="197">
        <f t="shared" si="279"/>
        <v>1.9788204881820233E-4</v>
      </c>
    </row>
    <row r="312" spans="1:74" x14ac:dyDescent="0.25">
      <c r="A312" s="147" t="s">
        <v>186</v>
      </c>
      <c r="C312" s="142"/>
      <c r="D312" s="177">
        <f t="shared" ref="D312:AR312" si="280">D248*D$48</f>
        <v>1.8383628252762482E-4</v>
      </c>
      <c r="E312" s="177">
        <f t="shared" si="280"/>
        <v>1.8383628285239474E-4</v>
      </c>
      <c r="F312" s="177">
        <f t="shared" si="280"/>
        <v>1.8383628317716465E-4</v>
      </c>
      <c r="G312" s="177">
        <f t="shared" si="280"/>
        <v>1.8383628350193459E-4</v>
      </c>
      <c r="H312" s="177">
        <f t="shared" si="280"/>
        <v>1.8383628382670448E-4</v>
      </c>
      <c r="I312" s="177">
        <f t="shared" si="280"/>
        <v>1.838362841514744E-4</v>
      </c>
      <c r="J312" s="177">
        <f t="shared" si="280"/>
        <v>1.8383628223742464E-4</v>
      </c>
      <c r="K312" s="177">
        <f t="shared" si="280"/>
        <v>1.8383628232913668E-4</v>
      </c>
      <c r="L312" s="177">
        <f t="shared" si="280"/>
        <v>1.8383628200058024E-4</v>
      </c>
      <c r="M312" s="177">
        <f t="shared" si="280"/>
        <v>1.8383628088162877E-4</v>
      </c>
      <c r="N312" s="177">
        <f t="shared" si="280"/>
        <v>1.8383628012248523E-4</v>
      </c>
      <c r="O312" s="177">
        <f t="shared" si="280"/>
        <v>1.8383628193729295E-4</v>
      </c>
      <c r="P312" s="177">
        <f t="shared" si="280"/>
        <v>1.838362815525376E-4</v>
      </c>
      <c r="Q312" s="177">
        <f t="shared" si="280"/>
        <v>1.8383628198988703E-4</v>
      </c>
      <c r="R312" s="177">
        <f t="shared" si="280"/>
        <v>1.8383628228097715E-4</v>
      </c>
      <c r="S312" s="177">
        <f t="shared" si="280"/>
        <v>1.8383628125515311E-4</v>
      </c>
      <c r="T312" s="177">
        <f t="shared" si="280"/>
        <v>1.8383630211115713E-4</v>
      </c>
      <c r="U312" s="177">
        <f t="shared" si="280"/>
        <v>1.8383630525806041E-4</v>
      </c>
      <c r="V312" s="177">
        <f t="shared" si="280"/>
        <v>1.8383629303125488E-4</v>
      </c>
      <c r="W312" s="177">
        <f t="shared" si="280"/>
        <v>1.8383626841444285E-4</v>
      </c>
      <c r="X312" s="177">
        <f t="shared" si="280"/>
        <v>1.8383631320866998E-4</v>
      </c>
      <c r="Y312" s="177">
        <f t="shared" si="280"/>
        <v>1.8383630234556373E-4</v>
      </c>
      <c r="Z312" s="177">
        <f t="shared" si="280"/>
        <v>1.8383628755891073E-4</v>
      </c>
      <c r="AA312" s="177">
        <f t="shared" si="280"/>
        <v>1.8383624900484327E-4</v>
      </c>
      <c r="AB312" s="177">
        <f t="shared" si="280"/>
        <v>1.8383626630534691E-4</v>
      </c>
      <c r="AC312" s="177">
        <f t="shared" si="280"/>
        <v>1.8383628715417492E-4</v>
      </c>
      <c r="AD312" s="177">
        <f t="shared" si="280"/>
        <v>1.838362519660154E-4</v>
      </c>
      <c r="AE312" s="177">
        <f t="shared" si="280"/>
        <v>1.8383629705433867E-4</v>
      </c>
      <c r="AF312" s="177">
        <f t="shared" si="280"/>
        <v>1.8383629705433867E-4</v>
      </c>
      <c r="AG312" s="177">
        <f t="shared" si="280"/>
        <v>1.8383629705433867E-4</v>
      </c>
      <c r="AH312" s="177">
        <f t="shared" si="280"/>
        <v>1.8383629705433867E-4</v>
      </c>
      <c r="AI312" s="177">
        <f t="shared" si="280"/>
        <v>1.8383629705433867E-4</v>
      </c>
      <c r="AJ312" s="177">
        <f t="shared" si="280"/>
        <v>1.8383629705433867E-4</v>
      </c>
      <c r="AK312" s="177">
        <f t="shared" si="280"/>
        <v>1.8383629705433867E-4</v>
      </c>
      <c r="AL312" s="177">
        <f t="shared" si="280"/>
        <v>1.8383629705433867E-4</v>
      </c>
      <c r="AM312" s="177">
        <f t="shared" si="280"/>
        <v>1.8383629705433867E-4</v>
      </c>
      <c r="AN312" s="177">
        <f t="shared" si="280"/>
        <v>1.8383629705433867E-4</v>
      </c>
      <c r="AO312" s="177">
        <f t="shared" si="280"/>
        <v>1.8383629705433867E-4</v>
      </c>
      <c r="AP312" s="177">
        <f t="shared" si="280"/>
        <v>1.8383629705433867E-4</v>
      </c>
      <c r="AQ312" s="177">
        <f t="shared" si="280"/>
        <v>1.8383629705433867E-4</v>
      </c>
      <c r="AR312" s="177">
        <f t="shared" si="280"/>
        <v>1.8383629705433867E-4</v>
      </c>
      <c r="AS312" s="197">
        <f t="shared" ref="AS312:BV312" si="281">AR312</f>
        <v>1.8383629705433867E-4</v>
      </c>
      <c r="AT312" s="197">
        <f t="shared" si="281"/>
        <v>1.8383629705433867E-4</v>
      </c>
      <c r="AU312" s="197">
        <f t="shared" si="281"/>
        <v>1.8383629705433867E-4</v>
      </c>
      <c r="AV312" s="197">
        <f t="shared" si="281"/>
        <v>1.8383629705433867E-4</v>
      </c>
      <c r="AW312" s="197">
        <f t="shared" si="281"/>
        <v>1.8383629705433867E-4</v>
      </c>
      <c r="AX312" s="197">
        <f t="shared" si="281"/>
        <v>1.8383629705433867E-4</v>
      </c>
      <c r="AY312" s="197">
        <f t="shared" si="281"/>
        <v>1.8383629705433867E-4</v>
      </c>
      <c r="AZ312" s="197">
        <f t="shared" si="281"/>
        <v>1.8383629705433867E-4</v>
      </c>
      <c r="BA312" s="197">
        <f t="shared" si="281"/>
        <v>1.8383629705433867E-4</v>
      </c>
      <c r="BB312" s="197">
        <f t="shared" si="281"/>
        <v>1.8383629705433867E-4</v>
      </c>
      <c r="BC312" s="197">
        <f t="shared" si="281"/>
        <v>1.8383629705433867E-4</v>
      </c>
      <c r="BD312" s="197">
        <f t="shared" si="281"/>
        <v>1.8383629705433867E-4</v>
      </c>
      <c r="BE312" s="197">
        <f t="shared" si="281"/>
        <v>1.8383629705433867E-4</v>
      </c>
      <c r="BF312" s="197">
        <f t="shared" si="281"/>
        <v>1.8383629705433867E-4</v>
      </c>
      <c r="BG312" s="197">
        <f t="shared" si="281"/>
        <v>1.8383629705433867E-4</v>
      </c>
      <c r="BH312" s="197">
        <f t="shared" si="281"/>
        <v>1.8383629705433867E-4</v>
      </c>
      <c r="BI312" s="197">
        <f t="shared" si="281"/>
        <v>1.8383629705433867E-4</v>
      </c>
      <c r="BJ312" s="197">
        <f t="shared" si="281"/>
        <v>1.8383629705433867E-4</v>
      </c>
      <c r="BK312" s="197">
        <f t="shared" si="281"/>
        <v>1.8383629705433867E-4</v>
      </c>
      <c r="BL312" s="197">
        <f t="shared" si="281"/>
        <v>1.8383629705433867E-4</v>
      </c>
      <c r="BM312" s="197">
        <f t="shared" si="281"/>
        <v>1.8383629705433867E-4</v>
      </c>
      <c r="BN312" s="197">
        <f t="shared" si="281"/>
        <v>1.8383629705433867E-4</v>
      </c>
      <c r="BO312" s="197">
        <f t="shared" si="281"/>
        <v>1.8383629705433867E-4</v>
      </c>
      <c r="BP312" s="197">
        <f t="shared" si="281"/>
        <v>1.8383629705433867E-4</v>
      </c>
      <c r="BQ312" s="197">
        <f t="shared" si="281"/>
        <v>1.8383629705433867E-4</v>
      </c>
      <c r="BR312" s="197">
        <f t="shared" si="281"/>
        <v>1.8383629705433867E-4</v>
      </c>
      <c r="BS312" s="197">
        <f t="shared" si="281"/>
        <v>1.8383629705433867E-4</v>
      </c>
      <c r="BT312" s="197">
        <f t="shared" si="281"/>
        <v>1.8383629705433867E-4</v>
      </c>
      <c r="BU312" s="197">
        <f t="shared" si="281"/>
        <v>1.8383629705433867E-4</v>
      </c>
      <c r="BV312" s="197">
        <f t="shared" si="281"/>
        <v>1.8383629705433867E-4</v>
      </c>
    </row>
    <row r="313" spans="1:74" x14ac:dyDescent="0.25">
      <c r="A313" s="141" t="s">
        <v>187</v>
      </c>
      <c r="B313" s="142"/>
      <c r="C313" s="142"/>
      <c r="D313" s="177">
        <f t="shared" ref="D313:AR313" si="282">D249*D$48</f>
        <v>1.465602522944637E-4</v>
      </c>
      <c r="E313" s="177">
        <f t="shared" si="282"/>
        <v>1.4775179923662952E-4</v>
      </c>
      <c r="F313" s="177">
        <f t="shared" si="282"/>
        <v>1.4894334618162673E-4</v>
      </c>
      <c r="G313" s="177">
        <f t="shared" si="282"/>
        <v>1.5013489312945528E-4</v>
      </c>
      <c r="H313" s="177">
        <f t="shared" si="282"/>
        <v>1.5192221346625737E-4</v>
      </c>
      <c r="I313" s="177">
        <f t="shared" si="282"/>
        <v>1.5192221364675645E-4</v>
      </c>
      <c r="J313" s="177">
        <f t="shared" si="282"/>
        <v>1.5132643607246483E-4</v>
      </c>
      <c r="K313" s="177">
        <f t="shared" si="282"/>
        <v>1.5370953089661351E-4</v>
      </c>
      <c r="L313" s="177">
        <f t="shared" si="282"/>
        <v>1.540697648864477E-4</v>
      </c>
      <c r="M313" s="177">
        <f t="shared" si="282"/>
        <v>1.5494066599006217E-4</v>
      </c>
      <c r="N313" s="177">
        <f t="shared" si="282"/>
        <v>1.5779935210885821E-4</v>
      </c>
      <c r="O313" s="177">
        <f t="shared" si="282"/>
        <v>1.5722761554018899E-4</v>
      </c>
      <c r="P313" s="177">
        <f t="shared" si="282"/>
        <v>1.572276149702898E-4</v>
      </c>
      <c r="Q313" s="177">
        <f t="shared" si="282"/>
        <v>1.5722761603576015E-4</v>
      </c>
      <c r="R313" s="177">
        <f t="shared" si="282"/>
        <v>1.5722761530960971E-4</v>
      </c>
      <c r="S313" s="177">
        <f t="shared" si="282"/>
        <v>1.5722761626054549E-4</v>
      </c>
      <c r="T313" s="177">
        <f t="shared" si="282"/>
        <v>1.5722764052339619E-4</v>
      </c>
      <c r="U313" s="177">
        <f t="shared" si="282"/>
        <v>1.5722766486948712E-4</v>
      </c>
      <c r="V313" s="177">
        <f t="shared" si="282"/>
        <v>1.5722764814999843E-4</v>
      </c>
      <c r="W313" s="177">
        <f t="shared" si="282"/>
        <v>1.5722764367136246E-4</v>
      </c>
      <c r="X313" s="177">
        <f t="shared" si="282"/>
        <v>1.572276645962366E-4</v>
      </c>
      <c r="Y313" s="177">
        <f t="shared" si="282"/>
        <v>1.5722762646836218E-4</v>
      </c>
      <c r="Z313" s="177">
        <f t="shared" si="282"/>
        <v>1.5722765110383273E-4</v>
      </c>
      <c r="AA313" s="177">
        <f t="shared" si="282"/>
        <v>1.5722757851405935E-4</v>
      </c>
      <c r="AB313" s="177">
        <f t="shared" si="282"/>
        <v>1.5721763092417081E-4</v>
      </c>
      <c r="AC313" s="177">
        <f t="shared" si="282"/>
        <v>1.5721760478352076E-4</v>
      </c>
      <c r="AD313" s="177">
        <f t="shared" si="282"/>
        <v>1.5721765586055716E-4</v>
      </c>
      <c r="AE313" s="177">
        <f t="shared" si="282"/>
        <v>1.5721765586055716E-4</v>
      </c>
      <c r="AF313" s="177">
        <f t="shared" si="282"/>
        <v>1.5721765586055716E-4</v>
      </c>
      <c r="AG313" s="177">
        <f t="shared" si="282"/>
        <v>1.5721765586055716E-4</v>
      </c>
      <c r="AH313" s="177">
        <f t="shared" si="282"/>
        <v>1.5721765586055716E-4</v>
      </c>
      <c r="AI313" s="177">
        <f t="shared" si="282"/>
        <v>1.5721765586055716E-4</v>
      </c>
      <c r="AJ313" s="177">
        <f t="shared" si="282"/>
        <v>1.5721765586055716E-4</v>
      </c>
      <c r="AK313" s="177">
        <f t="shared" si="282"/>
        <v>1.5721765586055716E-4</v>
      </c>
      <c r="AL313" s="177">
        <f t="shared" si="282"/>
        <v>1.5721765586055716E-4</v>
      </c>
      <c r="AM313" s="177">
        <f t="shared" si="282"/>
        <v>1.5721765586055716E-4</v>
      </c>
      <c r="AN313" s="177">
        <f t="shared" si="282"/>
        <v>1.5721765586055716E-4</v>
      </c>
      <c r="AO313" s="177">
        <f t="shared" si="282"/>
        <v>1.5721765586055716E-4</v>
      </c>
      <c r="AP313" s="177">
        <f t="shared" si="282"/>
        <v>1.5721765586055716E-4</v>
      </c>
      <c r="AQ313" s="177">
        <f t="shared" si="282"/>
        <v>1.5721765586055716E-4</v>
      </c>
      <c r="AR313" s="177">
        <f t="shared" si="282"/>
        <v>1.5721765586055716E-4</v>
      </c>
      <c r="AS313" s="197">
        <f t="shared" ref="AS313:BV313" si="283">AR313</f>
        <v>1.5721765586055716E-4</v>
      </c>
      <c r="AT313" s="197">
        <f t="shared" si="283"/>
        <v>1.5721765586055716E-4</v>
      </c>
      <c r="AU313" s="197">
        <f t="shared" si="283"/>
        <v>1.5721765586055716E-4</v>
      </c>
      <c r="AV313" s="197">
        <f t="shared" si="283"/>
        <v>1.5721765586055716E-4</v>
      </c>
      <c r="AW313" s="197">
        <f t="shared" si="283"/>
        <v>1.5721765586055716E-4</v>
      </c>
      <c r="AX313" s="197">
        <f t="shared" si="283"/>
        <v>1.5721765586055716E-4</v>
      </c>
      <c r="AY313" s="197">
        <f t="shared" si="283"/>
        <v>1.5721765586055716E-4</v>
      </c>
      <c r="AZ313" s="197">
        <f t="shared" si="283"/>
        <v>1.5721765586055716E-4</v>
      </c>
      <c r="BA313" s="197">
        <f t="shared" si="283"/>
        <v>1.5721765586055716E-4</v>
      </c>
      <c r="BB313" s="197">
        <f t="shared" si="283"/>
        <v>1.5721765586055716E-4</v>
      </c>
      <c r="BC313" s="197">
        <f t="shared" si="283"/>
        <v>1.5721765586055716E-4</v>
      </c>
      <c r="BD313" s="197">
        <f t="shared" si="283"/>
        <v>1.5721765586055716E-4</v>
      </c>
      <c r="BE313" s="197">
        <f t="shared" si="283"/>
        <v>1.5721765586055716E-4</v>
      </c>
      <c r="BF313" s="197">
        <f t="shared" si="283"/>
        <v>1.5721765586055716E-4</v>
      </c>
      <c r="BG313" s="197">
        <f t="shared" si="283"/>
        <v>1.5721765586055716E-4</v>
      </c>
      <c r="BH313" s="197">
        <f t="shared" si="283"/>
        <v>1.5721765586055716E-4</v>
      </c>
      <c r="BI313" s="197">
        <f t="shared" si="283"/>
        <v>1.5721765586055716E-4</v>
      </c>
      <c r="BJ313" s="197">
        <f t="shared" si="283"/>
        <v>1.5721765586055716E-4</v>
      </c>
      <c r="BK313" s="197">
        <f t="shared" si="283"/>
        <v>1.5721765586055716E-4</v>
      </c>
      <c r="BL313" s="197">
        <f t="shared" si="283"/>
        <v>1.5721765586055716E-4</v>
      </c>
      <c r="BM313" s="197">
        <f t="shared" si="283"/>
        <v>1.5721765586055716E-4</v>
      </c>
      <c r="BN313" s="197">
        <f t="shared" si="283"/>
        <v>1.5721765586055716E-4</v>
      </c>
      <c r="BO313" s="197">
        <f t="shared" si="283"/>
        <v>1.5721765586055716E-4</v>
      </c>
      <c r="BP313" s="197">
        <f t="shared" si="283"/>
        <v>1.5721765586055716E-4</v>
      </c>
      <c r="BQ313" s="197">
        <f t="shared" si="283"/>
        <v>1.5721765586055716E-4</v>
      </c>
      <c r="BR313" s="197">
        <f t="shared" si="283"/>
        <v>1.5721765586055716E-4</v>
      </c>
      <c r="BS313" s="197">
        <f t="shared" si="283"/>
        <v>1.5721765586055716E-4</v>
      </c>
      <c r="BT313" s="197">
        <f t="shared" si="283"/>
        <v>1.5721765586055716E-4</v>
      </c>
      <c r="BU313" s="197">
        <f t="shared" si="283"/>
        <v>1.5721765586055716E-4</v>
      </c>
      <c r="BV313" s="197">
        <f t="shared" si="283"/>
        <v>1.5721765586055716E-4</v>
      </c>
    </row>
    <row r="314" spans="1:74" x14ac:dyDescent="0.25">
      <c r="A314" s="147" t="s">
        <v>189</v>
      </c>
      <c r="C314" s="142"/>
      <c r="D314" s="177">
        <f t="shared" ref="D314:AR314" si="284">D250*D$48</f>
        <v>5.69586243954863E-4</v>
      </c>
      <c r="E314" s="177">
        <f t="shared" si="284"/>
        <v>5.695862429575824E-4</v>
      </c>
      <c r="F314" s="177">
        <f t="shared" si="284"/>
        <v>5.695862419603018E-4</v>
      </c>
      <c r="G314" s="177">
        <f t="shared" si="284"/>
        <v>5.6958624096302109E-4</v>
      </c>
      <c r="H314" s="177">
        <f t="shared" si="284"/>
        <v>5.6958623996574049E-4</v>
      </c>
      <c r="I314" s="177">
        <f t="shared" si="284"/>
        <v>5.6958623896845957E-4</v>
      </c>
      <c r="J314" s="177">
        <f t="shared" si="284"/>
        <v>5.6958623785260617E-4</v>
      </c>
      <c r="K314" s="177">
        <f t="shared" si="284"/>
        <v>5.6958624266260449E-4</v>
      </c>
      <c r="L314" s="177">
        <f t="shared" si="284"/>
        <v>5.5381401127358593E-4</v>
      </c>
      <c r="M314" s="177">
        <f t="shared" si="284"/>
        <v>5.5381399631648451E-4</v>
      </c>
      <c r="N314" s="177">
        <f t="shared" si="284"/>
        <v>5.5381400331511546E-4</v>
      </c>
      <c r="O314" s="177">
        <f t="shared" si="284"/>
        <v>5.5381400864485124E-4</v>
      </c>
      <c r="P314" s="177">
        <f t="shared" si="284"/>
        <v>5.53814011587284E-4</v>
      </c>
      <c r="Q314" s="177">
        <f t="shared" si="284"/>
        <v>5.538139941835597E-4</v>
      </c>
      <c r="R314" s="177">
        <f t="shared" si="284"/>
        <v>5.5381400052610923E-4</v>
      </c>
      <c r="S314" s="177">
        <f t="shared" si="284"/>
        <v>5.5381399421308957E-4</v>
      </c>
      <c r="T314" s="177">
        <f t="shared" si="284"/>
        <v>5.5381404814874022E-4</v>
      </c>
      <c r="U314" s="177">
        <f t="shared" si="284"/>
        <v>5.5381386290093929E-4</v>
      </c>
      <c r="V314" s="177">
        <f t="shared" si="284"/>
        <v>5.5381411544727459E-4</v>
      </c>
      <c r="W314" s="177">
        <f t="shared" si="284"/>
        <v>5.5381423147221132E-4</v>
      </c>
      <c r="X314" s="177">
        <f t="shared" si="284"/>
        <v>5.538140281143789E-4</v>
      </c>
      <c r="Y314" s="177">
        <f t="shared" si="284"/>
        <v>5.5381404263780379E-4</v>
      </c>
      <c r="Z314" s="177">
        <f t="shared" si="284"/>
        <v>5.5381407374255624E-4</v>
      </c>
      <c r="AA314" s="177">
        <f t="shared" si="284"/>
        <v>5.5381387053813605E-4</v>
      </c>
      <c r="AB314" s="177">
        <f t="shared" si="284"/>
        <v>5.5381396104184019E-4</v>
      </c>
      <c r="AC314" s="177">
        <f t="shared" si="284"/>
        <v>5.5381375631170034E-4</v>
      </c>
      <c r="AD314" s="177">
        <f t="shared" si="284"/>
        <v>5.5381419875358143E-4</v>
      </c>
      <c r="AE314" s="177">
        <f t="shared" si="284"/>
        <v>5.5381373281331893E-4</v>
      </c>
      <c r="AF314" s="177">
        <f t="shared" si="284"/>
        <v>5.5381373281331893E-4</v>
      </c>
      <c r="AG314" s="177">
        <f t="shared" si="284"/>
        <v>5.5381373281331893E-4</v>
      </c>
      <c r="AH314" s="177">
        <f t="shared" si="284"/>
        <v>5.5381373281331893E-4</v>
      </c>
      <c r="AI314" s="177">
        <f t="shared" si="284"/>
        <v>5.5381373281331893E-4</v>
      </c>
      <c r="AJ314" s="177">
        <f t="shared" si="284"/>
        <v>5.5381373281331893E-4</v>
      </c>
      <c r="AK314" s="177">
        <f t="shared" si="284"/>
        <v>5.5381373281331893E-4</v>
      </c>
      <c r="AL314" s="177">
        <f t="shared" si="284"/>
        <v>5.5381373281331893E-4</v>
      </c>
      <c r="AM314" s="177">
        <f t="shared" si="284"/>
        <v>5.5381373281331893E-4</v>
      </c>
      <c r="AN314" s="177">
        <f t="shared" si="284"/>
        <v>5.5381373281331893E-4</v>
      </c>
      <c r="AO314" s="177">
        <f t="shared" si="284"/>
        <v>5.5381373281331893E-4</v>
      </c>
      <c r="AP314" s="177">
        <f t="shared" si="284"/>
        <v>5.5381373281331893E-4</v>
      </c>
      <c r="AQ314" s="177">
        <f t="shared" si="284"/>
        <v>5.5381373281331893E-4</v>
      </c>
      <c r="AR314" s="177">
        <f t="shared" si="284"/>
        <v>5.5381373281331893E-4</v>
      </c>
      <c r="AS314" s="197">
        <f t="shared" ref="AS314:BV314" si="285">AR314</f>
        <v>5.5381373281331893E-4</v>
      </c>
      <c r="AT314" s="197">
        <f t="shared" si="285"/>
        <v>5.5381373281331893E-4</v>
      </c>
      <c r="AU314" s="197">
        <f t="shared" si="285"/>
        <v>5.5381373281331893E-4</v>
      </c>
      <c r="AV314" s="197">
        <f t="shared" si="285"/>
        <v>5.5381373281331893E-4</v>
      </c>
      <c r="AW314" s="197">
        <f t="shared" si="285"/>
        <v>5.5381373281331893E-4</v>
      </c>
      <c r="AX314" s="197">
        <f t="shared" si="285"/>
        <v>5.5381373281331893E-4</v>
      </c>
      <c r="AY314" s="197">
        <f t="shared" si="285"/>
        <v>5.5381373281331893E-4</v>
      </c>
      <c r="AZ314" s="197">
        <f t="shared" si="285"/>
        <v>5.5381373281331893E-4</v>
      </c>
      <c r="BA314" s="197">
        <f t="shared" si="285"/>
        <v>5.5381373281331893E-4</v>
      </c>
      <c r="BB314" s="197">
        <f t="shared" si="285"/>
        <v>5.5381373281331893E-4</v>
      </c>
      <c r="BC314" s="197">
        <f t="shared" si="285"/>
        <v>5.5381373281331893E-4</v>
      </c>
      <c r="BD314" s="197">
        <f t="shared" si="285"/>
        <v>5.5381373281331893E-4</v>
      </c>
      <c r="BE314" s="197">
        <f t="shared" si="285"/>
        <v>5.5381373281331893E-4</v>
      </c>
      <c r="BF314" s="197">
        <f t="shared" si="285"/>
        <v>5.5381373281331893E-4</v>
      </c>
      <c r="BG314" s="197">
        <f t="shared" si="285"/>
        <v>5.5381373281331893E-4</v>
      </c>
      <c r="BH314" s="197">
        <f t="shared" si="285"/>
        <v>5.5381373281331893E-4</v>
      </c>
      <c r="BI314" s="197">
        <f t="shared" si="285"/>
        <v>5.5381373281331893E-4</v>
      </c>
      <c r="BJ314" s="197">
        <f t="shared" si="285"/>
        <v>5.5381373281331893E-4</v>
      </c>
      <c r="BK314" s="197">
        <f t="shared" si="285"/>
        <v>5.5381373281331893E-4</v>
      </c>
      <c r="BL314" s="197">
        <f t="shared" si="285"/>
        <v>5.5381373281331893E-4</v>
      </c>
      <c r="BM314" s="197">
        <f t="shared" si="285"/>
        <v>5.5381373281331893E-4</v>
      </c>
      <c r="BN314" s="197">
        <f t="shared" si="285"/>
        <v>5.5381373281331893E-4</v>
      </c>
      <c r="BO314" s="197">
        <f t="shared" si="285"/>
        <v>5.5381373281331893E-4</v>
      </c>
      <c r="BP314" s="197">
        <f t="shared" si="285"/>
        <v>5.5381373281331893E-4</v>
      </c>
      <c r="BQ314" s="197">
        <f t="shared" si="285"/>
        <v>5.5381373281331893E-4</v>
      </c>
      <c r="BR314" s="197">
        <f t="shared" si="285"/>
        <v>5.5381373281331893E-4</v>
      </c>
      <c r="BS314" s="197">
        <f t="shared" si="285"/>
        <v>5.5381373281331893E-4</v>
      </c>
      <c r="BT314" s="197">
        <f t="shared" si="285"/>
        <v>5.5381373281331893E-4</v>
      </c>
      <c r="BU314" s="197">
        <f t="shared" si="285"/>
        <v>5.5381373281331893E-4</v>
      </c>
      <c r="BV314" s="197">
        <f t="shared" si="285"/>
        <v>5.5381373281331893E-4</v>
      </c>
    </row>
    <row r="315" spans="1:74" x14ac:dyDescent="0.25">
      <c r="A315" s="147" t="s">
        <v>12</v>
      </c>
      <c r="C315" s="142"/>
      <c r="D315" s="177">
        <f t="shared" ref="D315:AR315" si="286">D251*D$48</f>
        <v>2.7404361180987688E-3</v>
      </c>
      <c r="E315" s="177">
        <f t="shared" si="286"/>
        <v>2.7404361180987688E-3</v>
      </c>
      <c r="F315" s="177">
        <f t="shared" si="286"/>
        <v>2.7404361180987688E-3</v>
      </c>
      <c r="G315" s="177">
        <f t="shared" si="286"/>
        <v>2.7404361180987688E-3</v>
      </c>
      <c r="H315" s="177">
        <f t="shared" si="286"/>
        <v>2.7404361180987688E-3</v>
      </c>
      <c r="I315" s="177">
        <f t="shared" si="286"/>
        <v>2.7404361180987688E-3</v>
      </c>
      <c r="J315" s="177">
        <f t="shared" si="286"/>
        <v>2.7404381624360438E-3</v>
      </c>
      <c r="K315" s="177">
        <f t="shared" si="286"/>
        <v>2.7404342383562826E-3</v>
      </c>
      <c r="L315" s="177">
        <f t="shared" si="286"/>
        <v>2.740432422295738E-3</v>
      </c>
      <c r="M315" s="177">
        <f t="shared" si="286"/>
        <v>2.7404312491966527E-3</v>
      </c>
      <c r="N315" s="177">
        <f t="shared" si="286"/>
        <v>2.7404396157776792E-3</v>
      </c>
      <c r="O315" s="177">
        <f t="shared" si="286"/>
        <v>2.7404296942746746E-3</v>
      </c>
      <c r="P315" s="177">
        <f t="shared" si="286"/>
        <v>2.7676272241085524E-3</v>
      </c>
      <c r="Q315" s="177">
        <f t="shared" si="286"/>
        <v>2.7676226215168427E-3</v>
      </c>
      <c r="R315" s="177">
        <f t="shared" si="286"/>
        <v>2.7676241365120415E-3</v>
      </c>
      <c r="S315" s="177">
        <f t="shared" si="286"/>
        <v>2.7676293321445781E-3</v>
      </c>
      <c r="T315" s="177">
        <f t="shared" si="286"/>
        <v>2.7676238280950681E-3</v>
      </c>
      <c r="U315" s="177">
        <f t="shared" si="286"/>
        <v>2.767622921755016E-3</v>
      </c>
      <c r="V315" s="177">
        <f t="shared" si="286"/>
        <v>2.7676282994799337E-3</v>
      </c>
      <c r="W315" s="177">
        <f t="shared" si="286"/>
        <v>2.7676258502856324E-3</v>
      </c>
      <c r="X315" s="177">
        <f t="shared" si="286"/>
        <v>2.767627860384586E-3</v>
      </c>
      <c r="Y315" s="177">
        <f t="shared" si="286"/>
        <v>2.7676211654702391E-3</v>
      </c>
      <c r="Z315" s="177">
        <f t="shared" si="286"/>
        <v>2.767620271631526E-3</v>
      </c>
      <c r="AA315" s="177">
        <f t="shared" si="286"/>
        <v>2.7676267349281687E-3</v>
      </c>
      <c r="AB315" s="177">
        <f t="shared" si="286"/>
        <v>2.7676201427411602E-3</v>
      </c>
      <c r="AC315" s="177">
        <f t="shared" si="286"/>
        <v>2.7676288311671111E-3</v>
      </c>
      <c r="AD315" s="177">
        <f t="shared" si="286"/>
        <v>2.7676261566847438E-3</v>
      </c>
      <c r="AE315" s="177">
        <f t="shared" si="286"/>
        <v>2.7676253700797135E-3</v>
      </c>
      <c r="AF315" s="177">
        <f t="shared" si="286"/>
        <v>2.7676253700797135E-3</v>
      </c>
      <c r="AG315" s="177">
        <f t="shared" si="286"/>
        <v>2.7676253700797135E-3</v>
      </c>
      <c r="AH315" s="177">
        <f t="shared" si="286"/>
        <v>2.7676253700797135E-3</v>
      </c>
      <c r="AI315" s="177">
        <f t="shared" si="286"/>
        <v>2.7676253700797135E-3</v>
      </c>
      <c r="AJ315" s="177">
        <f t="shared" si="286"/>
        <v>2.7676253700797135E-3</v>
      </c>
      <c r="AK315" s="177">
        <f t="shared" si="286"/>
        <v>2.7676253700797135E-3</v>
      </c>
      <c r="AL315" s="177">
        <f t="shared" si="286"/>
        <v>2.7676253700797135E-3</v>
      </c>
      <c r="AM315" s="177">
        <f t="shared" si="286"/>
        <v>2.7676253700797135E-3</v>
      </c>
      <c r="AN315" s="177">
        <f t="shared" si="286"/>
        <v>2.7676253700797135E-3</v>
      </c>
      <c r="AO315" s="177">
        <f t="shared" si="286"/>
        <v>2.7676253700797135E-3</v>
      </c>
      <c r="AP315" s="177">
        <f t="shared" si="286"/>
        <v>2.7676253700797135E-3</v>
      </c>
      <c r="AQ315" s="177">
        <f t="shared" si="286"/>
        <v>2.7676253700797135E-3</v>
      </c>
      <c r="AR315" s="177">
        <f t="shared" si="286"/>
        <v>2.7676253700797135E-3</v>
      </c>
      <c r="AS315" s="197">
        <f t="shared" ref="AS315:BV315" si="287">AR315</f>
        <v>2.7676253700797135E-3</v>
      </c>
      <c r="AT315" s="197">
        <f t="shared" si="287"/>
        <v>2.7676253700797135E-3</v>
      </c>
      <c r="AU315" s="197">
        <f t="shared" si="287"/>
        <v>2.7676253700797135E-3</v>
      </c>
      <c r="AV315" s="197">
        <f t="shared" si="287"/>
        <v>2.7676253700797135E-3</v>
      </c>
      <c r="AW315" s="197">
        <f t="shared" si="287"/>
        <v>2.7676253700797135E-3</v>
      </c>
      <c r="AX315" s="197">
        <f t="shared" si="287"/>
        <v>2.7676253700797135E-3</v>
      </c>
      <c r="AY315" s="197">
        <f t="shared" si="287"/>
        <v>2.7676253700797135E-3</v>
      </c>
      <c r="AZ315" s="197">
        <f t="shared" si="287"/>
        <v>2.7676253700797135E-3</v>
      </c>
      <c r="BA315" s="197">
        <f t="shared" si="287"/>
        <v>2.7676253700797135E-3</v>
      </c>
      <c r="BB315" s="197">
        <f t="shared" si="287"/>
        <v>2.7676253700797135E-3</v>
      </c>
      <c r="BC315" s="197">
        <f t="shared" si="287"/>
        <v>2.7676253700797135E-3</v>
      </c>
      <c r="BD315" s="197">
        <f t="shared" si="287"/>
        <v>2.7676253700797135E-3</v>
      </c>
      <c r="BE315" s="197">
        <f t="shared" si="287"/>
        <v>2.7676253700797135E-3</v>
      </c>
      <c r="BF315" s="197">
        <f t="shared" si="287"/>
        <v>2.7676253700797135E-3</v>
      </c>
      <c r="BG315" s="197">
        <f t="shared" si="287"/>
        <v>2.7676253700797135E-3</v>
      </c>
      <c r="BH315" s="197">
        <f t="shared" si="287"/>
        <v>2.7676253700797135E-3</v>
      </c>
      <c r="BI315" s="197">
        <f t="shared" si="287"/>
        <v>2.7676253700797135E-3</v>
      </c>
      <c r="BJ315" s="197">
        <f t="shared" si="287"/>
        <v>2.7676253700797135E-3</v>
      </c>
      <c r="BK315" s="197">
        <f t="shared" si="287"/>
        <v>2.7676253700797135E-3</v>
      </c>
      <c r="BL315" s="197">
        <f t="shared" si="287"/>
        <v>2.7676253700797135E-3</v>
      </c>
      <c r="BM315" s="197">
        <f t="shared" si="287"/>
        <v>2.7676253700797135E-3</v>
      </c>
      <c r="BN315" s="197">
        <f t="shared" si="287"/>
        <v>2.7676253700797135E-3</v>
      </c>
      <c r="BO315" s="197">
        <f t="shared" si="287"/>
        <v>2.7676253700797135E-3</v>
      </c>
      <c r="BP315" s="197">
        <f t="shared" si="287"/>
        <v>2.7676253700797135E-3</v>
      </c>
      <c r="BQ315" s="197">
        <f t="shared" si="287"/>
        <v>2.7676253700797135E-3</v>
      </c>
      <c r="BR315" s="197">
        <f t="shared" si="287"/>
        <v>2.7676253700797135E-3</v>
      </c>
      <c r="BS315" s="197">
        <f t="shared" si="287"/>
        <v>2.7676253700797135E-3</v>
      </c>
      <c r="BT315" s="197">
        <f t="shared" si="287"/>
        <v>2.7676253700797135E-3</v>
      </c>
      <c r="BU315" s="197">
        <f t="shared" si="287"/>
        <v>2.7676253700797135E-3</v>
      </c>
      <c r="BV315" s="197">
        <f t="shared" si="287"/>
        <v>2.7676253700797135E-3</v>
      </c>
    </row>
    <row r="316" spans="1:74" x14ac:dyDescent="0.25">
      <c r="A316" s="147" t="s">
        <v>2</v>
      </c>
      <c r="C316" s="142"/>
      <c r="D316" s="177">
        <f t="shared" ref="D316:AR316" si="288">D252*D$48</f>
        <v>0</v>
      </c>
      <c r="E316" s="177">
        <f t="shared" si="288"/>
        <v>0</v>
      </c>
      <c r="F316" s="177">
        <f t="shared" si="288"/>
        <v>0</v>
      </c>
      <c r="G316" s="177">
        <f t="shared" si="288"/>
        <v>0</v>
      </c>
      <c r="H316" s="177">
        <f t="shared" si="288"/>
        <v>0</v>
      </c>
      <c r="I316" s="177">
        <f t="shared" si="288"/>
        <v>0</v>
      </c>
      <c r="J316" s="177">
        <f t="shared" si="288"/>
        <v>0</v>
      </c>
      <c r="K316" s="177">
        <f t="shared" si="288"/>
        <v>0</v>
      </c>
      <c r="L316" s="177">
        <f t="shared" si="288"/>
        <v>0</v>
      </c>
      <c r="M316" s="177">
        <f t="shared" si="288"/>
        <v>0</v>
      </c>
      <c r="N316" s="177">
        <f t="shared" si="288"/>
        <v>0</v>
      </c>
      <c r="O316" s="177">
        <f t="shared" si="288"/>
        <v>0</v>
      </c>
      <c r="P316" s="177">
        <f t="shared" si="288"/>
        <v>0</v>
      </c>
      <c r="Q316" s="177">
        <f t="shared" si="288"/>
        <v>0</v>
      </c>
      <c r="R316" s="177">
        <f t="shared" si="288"/>
        <v>0</v>
      </c>
      <c r="S316" s="177">
        <f t="shared" si="288"/>
        <v>0</v>
      </c>
      <c r="T316" s="177">
        <f t="shared" si="288"/>
        <v>0</v>
      </c>
      <c r="U316" s="177">
        <f t="shared" si="288"/>
        <v>0</v>
      </c>
      <c r="V316" s="177">
        <f t="shared" si="288"/>
        <v>0</v>
      </c>
      <c r="W316" s="177">
        <f t="shared" si="288"/>
        <v>0</v>
      </c>
      <c r="X316" s="177">
        <f t="shared" si="288"/>
        <v>0</v>
      </c>
      <c r="Y316" s="177">
        <f t="shared" si="288"/>
        <v>0</v>
      </c>
      <c r="Z316" s="177">
        <f t="shared" si="288"/>
        <v>0</v>
      </c>
      <c r="AA316" s="177">
        <f t="shared" si="288"/>
        <v>0</v>
      </c>
      <c r="AB316" s="177">
        <f t="shared" si="288"/>
        <v>0</v>
      </c>
      <c r="AC316" s="177">
        <f t="shared" si="288"/>
        <v>0</v>
      </c>
      <c r="AD316" s="177">
        <f t="shared" si="288"/>
        <v>0</v>
      </c>
      <c r="AE316" s="177">
        <f t="shared" si="288"/>
        <v>0</v>
      </c>
      <c r="AF316" s="177">
        <f t="shared" si="288"/>
        <v>0</v>
      </c>
      <c r="AG316" s="177">
        <f t="shared" si="288"/>
        <v>0</v>
      </c>
      <c r="AH316" s="177">
        <f t="shared" si="288"/>
        <v>0</v>
      </c>
      <c r="AI316" s="177">
        <f t="shared" si="288"/>
        <v>0</v>
      </c>
      <c r="AJ316" s="177">
        <f t="shared" si="288"/>
        <v>0</v>
      </c>
      <c r="AK316" s="177">
        <f t="shared" si="288"/>
        <v>0</v>
      </c>
      <c r="AL316" s="177">
        <f t="shared" si="288"/>
        <v>0</v>
      </c>
      <c r="AM316" s="177">
        <f t="shared" si="288"/>
        <v>0</v>
      </c>
      <c r="AN316" s="177">
        <f t="shared" si="288"/>
        <v>0</v>
      </c>
      <c r="AO316" s="177">
        <f t="shared" si="288"/>
        <v>0</v>
      </c>
      <c r="AP316" s="177">
        <f t="shared" si="288"/>
        <v>0</v>
      </c>
      <c r="AQ316" s="177">
        <f t="shared" si="288"/>
        <v>0</v>
      </c>
      <c r="AR316" s="177">
        <f t="shared" si="288"/>
        <v>0</v>
      </c>
      <c r="AS316" s="197">
        <f t="shared" ref="AS316:BV316" si="289">AR316</f>
        <v>0</v>
      </c>
      <c r="AT316" s="197">
        <f t="shared" si="289"/>
        <v>0</v>
      </c>
      <c r="AU316" s="197">
        <f t="shared" si="289"/>
        <v>0</v>
      </c>
      <c r="AV316" s="197">
        <f t="shared" si="289"/>
        <v>0</v>
      </c>
      <c r="AW316" s="197">
        <f t="shared" si="289"/>
        <v>0</v>
      </c>
      <c r="AX316" s="197">
        <f t="shared" si="289"/>
        <v>0</v>
      </c>
      <c r="AY316" s="197">
        <f t="shared" si="289"/>
        <v>0</v>
      </c>
      <c r="AZ316" s="197">
        <f t="shared" si="289"/>
        <v>0</v>
      </c>
      <c r="BA316" s="197">
        <f t="shared" si="289"/>
        <v>0</v>
      </c>
      <c r="BB316" s="197">
        <f t="shared" si="289"/>
        <v>0</v>
      </c>
      <c r="BC316" s="197">
        <f t="shared" si="289"/>
        <v>0</v>
      </c>
      <c r="BD316" s="197">
        <f t="shared" si="289"/>
        <v>0</v>
      </c>
      <c r="BE316" s="197">
        <f t="shared" si="289"/>
        <v>0</v>
      </c>
      <c r="BF316" s="197">
        <f t="shared" si="289"/>
        <v>0</v>
      </c>
      <c r="BG316" s="197">
        <f t="shared" si="289"/>
        <v>0</v>
      </c>
      <c r="BH316" s="197">
        <f t="shared" si="289"/>
        <v>0</v>
      </c>
      <c r="BI316" s="197">
        <f t="shared" si="289"/>
        <v>0</v>
      </c>
      <c r="BJ316" s="197">
        <f t="shared" si="289"/>
        <v>0</v>
      </c>
      <c r="BK316" s="197">
        <f t="shared" si="289"/>
        <v>0</v>
      </c>
      <c r="BL316" s="197">
        <f t="shared" si="289"/>
        <v>0</v>
      </c>
      <c r="BM316" s="197">
        <f t="shared" si="289"/>
        <v>0</v>
      </c>
      <c r="BN316" s="197">
        <f t="shared" si="289"/>
        <v>0</v>
      </c>
      <c r="BO316" s="197">
        <f t="shared" si="289"/>
        <v>0</v>
      </c>
      <c r="BP316" s="197">
        <f t="shared" si="289"/>
        <v>0</v>
      </c>
      <c r="BQ316" s="197">
        <f t="shared" si="289"/>
        <v>0</v>
      </c>
      <c r="BR316" s="197">
        <f t="shared" si="289"/>
        <v>0</v>
      </c>
      <c r="BS316" s="197">
        <f t="shared" si="289"/>
        <v>0</v>
      </c>
      <c r="BT316" s="197">
        <f t="shared" si="289"/>
        <v>0</v>
      </c>
      <c r="BU316" s="197">
        <f t="shared" si="289"/>
        <v>0</v>
      </c>
      <c r="BV316" s="197">
        <f t="shared" si="289"/>
        <v>0</v>
      </c>
    </row>
    <row r="317" spans="1:74" x14ac:dyDescent="0.25">
      <c r="A317" s="141" t="s">
        <v>192</v>
      </c>
      <c r="B317" s="148"/>
      <c r="C317" s="142"/>
      <c r="D317" s="177">
        <f t="shared" ref="D317:AR317" si="290">D253*D$48</f>
        <v>2.4911164605172231E-4</v>
      </c>
      <c r="E317" s="177">
        <f t="shared" si="290"/>
        <v>2.4911164605172231E-4</v>
      </c>
      <c r="F317" s="177">
        <f t="shared" si="290"/>
        <v>2.4911164605172231E-4</v>
      </c>
      <c r="G317" s="177">
        <f t="shared" si="290"/>
        <v>2.4911164605172231E-4</v>
      </c>
      <c r="H317" s="177">
        <f t="shared" si="290"/>
        <v>2.4911164605172231E-4</v>
      </c>
      <c r="I317" s="177">
        <f t="shared" si="290"/>
        <v>2.4911164605172231E-4</v>
      </c>
      <c r="J317" s="177">
        <f t="shared" si="290"/>
        <v>2.4911164605172231E-4</v>
      </c>
      <c r="K317" s="177">
        <f t="shared" si="290"/>
        <v>2.4911164605172231E-4</v>
      </c>
      <c r="L317" s="177">
        <f t="shared" si="290"/>
        <v>2.4911164605172231E-4</v>
      </c>
      <c r="M317" s="177">
        <f t="shared" si="290"/>
        <v>2.4911164605172231E-4</v>
      </c>
      <c r="N317" s="177">
        <f t="shared" si="290"/>
        <v>2.4911164605172231E-4</v>
      </c>
      <c r="O317" s="177">
        <f t="shared" si="290"/>
        <v>2.4911164605172231E-4</v>
      </c>
      <c r="P317" s="177">
        <f t="shared" si="290"/>
        <v>2.4911164605172231E-4</v>
      </c>
      <c r="Q317" s="177">
        <f t="shared" si="290"/>
        <v>2.4911164605172231E-4</v>
      </c>
      <c r="R317" s="177">
        <f t="shared" si="290"/>
        <v>2.4911164605172231E-4</v>
      </c>
      <c r="S317" s="177">
        <f t="shared" si="290"/>
        <v>2.4911164605172231E-4</v>
      </c>
      <c r="T317" s="177">
        <f t="shared" si="290"/>
        <v>2.4911164605172231E-4</v>
      </c>
      <c r="U317" s="177">
        <f t="shared" si="290"/>
        <v>2.4911164605172231E-4</v>
      </c>
      <c r="V317" s="177">
        <f t="shared" si="290"/>
        <v>2.4911164605172231E-4</v>
      </c>
      <c r="W317" s="177">
        <f t="shared" si="290"/>
        <v>2.4911164605172231E-4</v>
      </c>
      <c r="X317" s="177">
        <f t="shared" si="290"/>
        <v>2.4911164605172231E-4</v>
      </c>
      <c r="Y317" s="177">
        <f t="shared" si="290"/>
        <v>2.4911164605172231E-4</v>
      </c>
      <c r="Z317" s="177">
        <f t="shared" si="290"/>
        <v>2.4911164605172231E-4</v>
      </c>
      <c r="AA317" s="177">
        <f t="shared" si="290"/>
        <v>2.4911164605172231E-4</v>
      </c>
      <c r="AB317" s="177">
        <f t="shared" si="290"/>
        <v>2.4911164605172231E-4</v>
      </c>
      <c r="AC317" s="177">
        <f t="shared" si="290"/>
        <v>2.4911164605172231E-4</v>
      </c>
      <c r="AD317" s="177">
        <f t="shared" si="290"/>
        <v>2.4911164605172231E-4</v>
      </c>
      <c r="AE317" s="177">
        <f t="shared" si="290"/>
        <v>2.4911164605172231E-4</v>
      </c>
      <c r="AF317" s="177">
        <f t="shared" si="290"/>
        <v>2.4911164605172231E-4</v>
      </c>
      <c r="AG317" s="177">
        <f t="shared" si="290"/>
        <v>2.4911164605172231E-4</v>
      </c>
      <c r="AH317" s="177">
        <f t="shared" si="290"/>
        <v>2.4911164605172231E-4</v>
      </c>
      <c r="AI317" s="177">
        <f t="shared" si="290"/>
        <v>2.4911164605172231E-4</v>
      </c>
      <c r="AJ317" s="177">
        <f t="shared" si="290"/>
        <v>2.4911164605172231E-4</v>
      </c>
      <c r="AK317" s="177">
        <f t="shared" si="290"/>
        <v>2.4911164605172231E-4</v>
      </c>
      <c r="AL317" s="177">
        <f t="shared" si="290"/>
        <v>2.4911164605172231E-4</v>
      </c>
      <c r="AM317" s="177">
        <f t="shared" si="290"/>
        <v>2.4911164605172231E-4</v>
      </c>
      <c r="AN317" s="177">
        <f t="shared" si="290"/>
        <v>2.4911164605172231E-4</v>
      </c>
      <c r="AO317" s="177">
        <f t="shared" si="290"/>
        <v>2.4911164605172231E-4</v>
      </c>
      <c r="AP317" s="177">
        <f t="shared" si="290"/>
        <v>2.4911164605172231E-4</v>
      </c>
      <c r="AQ317" s="177">
        <f t="shared" si="290"/>
        <v>2.4911164605172231E-4</v>
      </c>
      <c r="AR317" s="177">
        <f t="shared" si="290"/>
        <v>2.4911164605172231E-4</v>
      </c>
      <c r="AS317" s="197">
        <f t="shared" ref="AS317:BV317" si="291">AR317</f>
        <v>2.4911164605172231E-4</v>
      </c>
      <c r="AT317" s="197">
        <f t="shared" si="291"/>
        <v>2.4911164605172231E-4</v>
      </c>
      <c r="AU317" s="197">
        <f t="shared" si="291"/>
        <v>2.4911164605172231E-4</v>
      </c>
      <c r="AV317" s="197">
        <f t="shared" si="291"/>
        <v>2.4911164605172231E-4</v>
      </c>
      <c r="AW317" s="197">
        <f t="shared" si="291"/>
        <v>2.4911164605172231E-4</v>
      </c>
      <c r="AX317" s="197">
        <f t="shared" si="291"/>
        <v>2.4911164605172231E-4</v>
      </c>
      <c r="AY317" s="197">
        <f t="shared" si="291"/>
        <v>2.4911164605172231E-4</v>
      </c>
      <c r="AZ317" s="197">
        <f t="shared" si="291"/>
        <v>2.4911164605172231E-4</v>
      </c>
      <c r="BA317" s="197">
        <f t="shared" si="291"/>
        <v>2.4911164605172231E-4</v>
      </c>
      <c r="BB317" s="197">
        <f t="shared" si="291"/>
        <v>2.4911164605172231E-4</v>
      </c>
      <c r="BC317" s="197">
        <f t="shared" si="291"/>
        <v>2.4911164605172231E-4</v>
      </c>
      <c r="BD317" s="197">
        <f t="shared" si="291"/>
        <v>2.4911164605172231E-4</v>
      </c>
      <c r="BE317" s="197">
        <f t="shared" si="291"/>
        <v>2.4911164605172231E-4</v>
      </c>
      <c r="BF317" s="197">
        <f t="shared" si="291"/>
        <v>2.4911164605172231E-4</v>
      </c>
      <c r="BG317" s="197">
        <f t="shared" si="291"/>
        <v>2.4911164605172231E-4</v>
      </c>
      <c r="BH317" s="197">
        <f t="shared" si="291"/>
        <v>2.4911164605172231E-4</v>
      </c>
      <c r="BI317" s="197">
        <f t="shared" si="291"/>
        <v>2.4911164605172231E-4</v>
      </c>
      <c r="BJ317" s="197">
        <f t="shared" si="291"/>
        <v>2.4911164605172231E-4</v>
      </c>
      <c r="BK317" s="197">
        <f t="shared" si="291"/>
        <v>2.4911164605172231E-4</v>
      </c>
      <c r="BL317" s="197">
        <f t="shared" si="291"/>
        <v>2.4911164605172231E-4</v>
      </c>
      <c r="BM317" s="197">
        <f t="shared" si="291"/>
        <v>2.4911164605172231E-4</v>
      </c>
      <c r="BN317" s="197">
        <f t="shared" si="291"/>
        <v>2.4911164605172231E-4</v>
      </c>
      <c r="BO317" s="197">
        <f t="shared" si="291"/>
        <v>2.4911164605172231E-4</v>
      </c>
      <c r="BP317" s="197">
        <f t="shared" si="291"/>
        <v>2.4911164605172231E-4</v>
      </c>
      <c r="BQ317" s="197">
        <f t="shared" si="291"/>
        <v>2.4911164605172231E-4</v>
      </c>
      <c r="BR317" s="197">
        <f t="shared" si="291"/>
        <v>2.4911164605172231E-4</v>
      </c>
      <c r="BS317" s="197">
        <f t="shared" si="291"/>
        <v>2.4911164605172231E-4</v>
      </c>
      <c r="BT317" s="197">
        <f t="shared" si="291"/>
        <v>2.4911164605172231E-4</v>
      </c>
      <c r="BU317" s="197">
        <f t="shared" si="291"/>
        <v>2.4911164605172231E-4</v>
      </c>
      <c r="BV317" s="197">
        <f t="shared" si="291"/>
        <v>2.4911164605172231E-4</v>
      </c>
    </row>
    <row r="318" spans="1:74" x14ac:dyDescent="0.25">
      <c r="A318" s="141" t="s">
        <v>193</v>
      </c>
      <c r="B318" s="148"/>
      <c r="C318" s="142"/>
      <c r="D318" s="177">
        <f t="shared" ref="D318:AR318" si="292">D254*D$48</f>
        <v>1.270069492008372E-7</v>
      </c>
      <c r="E318" s="177">
        <f t="shared" si="292"/>
        <v>1.2700694925003091E-7</v>
      </c>
      <c r="F318" s="177">
        <f t="shared" si="292"/>
        <v>1.270069492992246E-7</v>
      </c>
      <c r="G318" s="177">
        <f t="shared" si="292"/>
        <v>1.2700694934841829E-7</v>
      </c>
      <c r="H318" s="177">
        <f t="shared" si="292"/>
        <v>1.27006949397612E-7</v>
      </c>
      <c r="I318" s="177">
        <f t="shared" si="292"/>
        <v>1.2700694944680564E-7</v>
      </c>
      <c r="J318" s="177">
        <f t="shared" si="292"/>
        <v>1.2700694924315989E-7</v>
      </c>
      <c r="K318" s="177">
        <f t="shared" si="292"/>
        <v>1.2700694941941212E-7</v>
      </c>
      <c r="L318" s="177">
        <f t="shared" si="292"/>
        <v>1.2470588235294119E-7</v>
      </c>
      <c r="M318" s="177">
        <f t="shared" si="292"/>
        <v>1.2470588192388398E-7</v>
      </c>
      <c r="N318" s="177">
        <f t="shared" si="292"/>
        <v>1.2470588194107565E-7</v>
      </c>
      <c r="O318" s="177">
        <f t="shared" si="292"/>
        <v>1.247058819925892E-7</v>
      </c>
      <c r="P318" s="177">
        <f t="shared" si="292"/>
        <v>1.2470588199694195E-7</v>
      </c>
      <c r="Q318" s="177">
        <f t="shared" si="292"/>
        <v>1.2470588235294119E-7</v>
      </c>
      <c r="R318" s="177">
        <f t="shared" si="292"/>
        <v>1.2470588235294119E-7</v>
      </c>
      <c r="S318" s="177">
        <f t="shared" si="292"/>
        <v>1.2470588201844253E-7</v>
      </c>
      <c r="T318" s="177">
        <f t="shared" si="292"/>
        <v>1.2470588203754569E-7</v>
      </c>
      <c r="U318" s="177">
        <f t="shared" si="292"/>
        <v>1.2470588293770595E-7</v>
      </c>
      <c r="V318" s="177">
        <f t="shared" si="292"/>
        <v>1.2470587794712123E-7</v>
      </c>
      <c r="W318" s="177">
        <f t="shared" si="292"/>
        <v>1.2470586941887643E-7</v>
      </c>
      <c r="X318" s="177">
        <f t="shared" si="292"/>
        <v>1.2470589538251528E-7</v>
      </c>
      <c r="Y318" s="177">
        <f t="shared" si="292"/>
        <v>1.2470588009393751E-7</v>
      </c>
      <c r="Z318" s="177">
        <f t="shared" si="292"/>
        <v>1.4689579809634897E-7</v>
      </c>
      <c r="AA318" s="177">
        <f t="shared" si="292"/>
        <v>1.4689576984032056E-7</v>
      </c>
      <c r="AB318" s="177">
        <f t="shared" si="292"/>
        <v>1.4689576984032056E-7</v>
      </c>
      <c r="AC318" s="177">
        <f t="shared" si="292"/>
        <v>1.4689576984032056E-7</v>
      </c>
      <c r="AD318" s="177">
        <f t="shared" si="292"/>
        <v>1.4689578839936621E-7</v>
      </c>
      <c r="AE318" s="177">
        <f t="shared" si="292"/>
        <v>1.4689578839936621E-7</v>
      </c>
      <c r="AF318" s="177">
        <f t="shared" si="292"/>
        <v>1.4689578839936621E-7</v>
      </c>
      <c r="AG318" s="177">
        <f t="shared" si="292"/>
        <v>1.4689578839936621E-7</v>
      </c>
      <c r="AH318" s="177">
        <f t="shared" si="292"/>
        <v>1.4689578839936621E-7</v>
      </c>
      <c r="AI318" s="177">
        <f t="shared" si="292"/>
        <v>1.4689578839936621E-7</v>
      </c>
      <c r="AJ318" s="177">
        <f t="shared" si="292"/>
        <v>1.4689578839936621E-7</v>
      </c>
      <c r="AK318" s="177">
        <f t="shared" si="292"/>
        <v>1.4689578839936621E-7</v>
      </c>
      <c r="AL318" s="177">
        <f t="shared" si="292"/>
        <v>1.4689578839936621E-7</v>
      </c>
      <c r="AM318" s="177">
        <f t="shared" si="292"/>
        <v>1.4689578839936621E-7</v>
      </c>
      <c r="AN318" s="177">
        <f t="shared" si="292"/>
        <v>1.4689578839936621E-7</v>
      </c>
      <c r="AO318" s="177">
        <f t="shared" si="292"/>
        <v>1.4689578839936621E-7</v>
      </c>
      <c r="AP318" s="177">
        <f t="shared" si="292"/>
        <v>1.4689578839936621E-7</v>
      </c>
      <c r="AQ318" s="177">
        <f t="shared" si="292"/>
        <v>1.4689578839936621E-7</v>
      </c>
      <c r="AR318" s="177">
        <f t="shared" si="292"/>
        <v>1.4689578839936621E-7</v>
      </c>
      <c r="AS318" s="197">
        <f t="shared" ref="AS318:BV318" si="293">AR318</f>
        <v>1.4689578839936621E-7</v>
      </c>
      <c r="AT318" s="197">
        <f t="shared" si="293"/>
        <v>1.4689578839936621E-7</v>
      </c>
      <c r="AU318" s="197">
        <f t="shared" si="293"/>
        <v>1.4689578839936621E-7</v>
      </c>
      <c r="AV318" s="197">
        <f t="shared" si="293"/>
        <v>1.4689578839936621E-7</v>
      </c>
      <c r="AW318" s="197">
        <f t="shared" si="293"/>
        <v>1.4689578839936621E-7</v>
      </c>
      <c r="AX318" s="197">
        <f t="shared" si="293"/>
        <v>1.4689578839936621E-7</v>
      </c>
      <c r="AY318" s="197">
        <f t="shared" si="293"/>
        <v>1.4689578839936621E-7</v>
      </c>
      <c r="AZ318" s="197">
        <f t="shared" si="293"/>
        <v>1.4689578839936621E-7</v>
      </c>
      <c r="BA318" s="197">
        <f t="shared" si="293"/>
        <v>1.4689578839936621E-7</v>
      </c>
      <c r="BB318" s="197">
        <f t="shared" si="293"/>
        <v>1.4689578839936621E-7</v>
      </c>
      <c r="BC318" s="197">
        <f t="shared" si="293"/>
        <v>1.4689578839936621E-7</v>
      </c>
      <c r="BD318" s="197">
        <f t="shared" si="293"/>
        <v>1.4689578839936621E-7</v>
      </c>
      <c r="BE318" s="197">
        <f t="shared" si="293"/>
        <v>1.4689578839936621E-7</v>
      </c>
      <c r="BF318" s="197">
        <f t="shared" si="293"/>
        <v>1.4689578839936621E-7</v>
      </c>
      <c r="BG318" s="197">
        <f t="shared" si="293"/>
        <v>1.4689578839936621E-7</v>
      </c>
      <c r="BH318" s="197">
        <f t="shared" si="293"/>
        <v>1.4689578839936621E-7</v>
      </c>
      <c r="BI318" s="197">
        <f t="shared" si="293"/>
        <v>1.4689578839936621E-7</v>
      </c>
      <c r="BJ318" s="197">
        <f t="shared" si="293"/>
        <v>1.4689578839936621E-7</v>
      </c>
      <c r="BK318" s="197">
        <f t="shared" si="293"/>
        <v>1.4689578839936621E-7</v>
      </c>
      <c r="BL318" s="197">
        <f t="shared" si="293"/>
        <v>1.4689578839936621E-7</v>
      </c>
      <c r="BM318" s="197">
        <f t="shared" si="293"/>
        <v>1.4689578839936621E-7</v>
      </c>
      <c r="BN318" s="197">
        <f t="shared" si="293"/>
        <v>1.4689578839936621E-7</v>
      </c>
      <c r="BO318" s="197">
        <f t="shared" si="293"/>
        <v>1.4689578839936621E-7</v>
      </c>
      <c r="BP318" s="197">
        <f t="shared" si="293"/>
        <v>1.4689578839936621E-7</v>
      </c>
      <c r="BQ318" s="197">
        <f t="shared" si="293"/>
        <v>1.4689578839936621E-7</v>
      </c>
      <c r="BR318" s="197">
        <f t="shared" si="293"/>
        <v>1.4689578839936621E-7</v>
      </c>
      <c r="BS318" s="197">
        <f t="shared" si="293"/>
        <v>1.4689578839936621E-7</v>
      </c>
      <c r="BT318" s="197">
        <f t="shared" si="293"/>
        <v>1.4689578839936621E-7</v>
      </c>
      <c r="BU318" s="197">
        <f t="shared" si="293"/>
        <v>1.4689578839936621E-7</v>
      </c>
      <c r="BV318" s="197">
        <f t="shared" si="293"/>
        <v>1.4689578839936621E-7</v>
      </c>
    </row>
    <row r="319" spans="1:74" x14ac:dyDescent="0.25">
      <c r="A319" s="141" t="s">
        <v>195</v>
      </c>
      <c r="B319" s="148"/>
      <c r="C319" s="148"/>
      <c r="D319" s="177">
        <f t="shared" ref="D319:AR319" si="294">D255*D$48</f>
        <v>1.5291386987653565E-4</v>
      </c>
      <c r="E319" s="177">
        <f t="shared" si="294"/>
        <v>1.5291386987653565E-4</v>
      </c>
      <c r="F319" s="177">
        <f t="shared" si="294"/>
        <v>1.5291386987653565E-4</v>
      </c>
      <c r="G319" s="177">
        <f t="shared" si="294"/>
        <v>1.5291386987653565E-4</v>
      </c>
      <c r="H319" s="177">
        <f t="shared" si="294"/>
        <v>1.5291386987653565E-4</v>
      </c>
      <c r="I319" s="177">
        <f t="shared" si="294"/>
        <v>1.5291386987653565E-4</v>
      </c>
      <c r="J319" s="177">
        <f t="shared" si="294"/>
        <v>1.5291389904877915E-4</v>
      </c>
      <c r="K319" s="177">
        <f t="shared" si="294"/>
        <v>1.5291388802392465E-4</v>
      </c>
      <c r="L319" s="177">
        <f t="shared" si="294"/>
        <v>1.5291393689823138E-4</v>
      </c>
      <c r="M319" s="177">
        <f t="shared" si="294"/>
        <v>1.5291392492182475E-4</v>
      </c>
      <c r="N319" s="177">
        <f t="shared" si="294"/>
        <v>1.5291402559567945E-4</v>
      </c>
      <c r="O319" s="177">
        <f t="shared" si="294"/>
        <v>1.5291423135436064E-4</v>
      </c>
      <c r="P319" s="177">
        <f t="shared" si="294"/>
        <v>1.514287907469176E-4</v>
      </c>
      <c r="Q319" s="177">
        <f t="shared" si="294"/>
        <v>1.5142846350712727E-4</v>
      </c>
      <c r="R319" s="177">
        <f t="shared" si="294"/>
        <v>1.5142857142857145E-4</v>
      </c>
      <c r="S319" s="177">
        <f t="shared" si="294"/>
        <v>1.5142862442862445E-4</v>
      </c>
      <c r="T319" s="177">
        <f t="shared" si="294"/>
        <v>1.5142857142857145E-4</v>
      </c>
      <c r="U319" s="177">
        <f t="shared" si="294"/>
        <v>1.5142857142857145E-4</v>
      </c>
      <c r="V319" s="177">
        <f t="shared" si="294"/>
        <v>1.514285195620469E-4</v>
      </c>
      <c r="W319" s="177">
        <f t="shared" si="294"/>
        <v>1.5142867386034028E-4</v>
      </c>
      <c r="X319" s="177">
        <f t="shared" si="294"/>
        <v>1.5142847170268589E-4</v>
      </c>
      <c r="Y319" s="177">
        <f t="shared" si="294"/>
        <v>1.5142857142857145E-4</v>
      </c>
      <c r="Z319" s="177">
        <f t="shared" si="294"/>
        <v>1.5142867197968639E-4</v>
      </c>
      <c r="AA319" s="177">
        <f t="shared" si="294"/>
        <v>1.514286205839886E-4</v>
      </c>
      <c r="AB319" s="177">
        <f t="shared" si="294"/>
        <v>1.514286668106997E-4</v>
      </c>
      <c r="AC319" s="177">
        <f t="shared" si="294"/>
        <v>1.5142871586111911E-4</v>
      </c>
      <c r="AD319" s="177">
        <f t="shared" si="294"/>
        <v>1.5142852473171335E-4</v>
      </c>
      <c r="AE319" s="177">
        <f t="shared" si="294"/>
        <v>1.5142852442202794E-4</v>
      </c>
      <c r="AF319" s="177">
        <f t="shared" si="294"/>
        <v>1.5142852442202794E-4</v>
      </c>
      <c r="AG319" s="177">
        <f t="shared" si="294"/>
        <v>1.5142852442202794E-4</v>
      </c>
      <c r="AH319" s="177">
        <f t="shared" si="294"/>
        <v>1.5142852442202794E-4</v>
      </c>
      <c r="AI319" s="177">
        <f t="shared" si="294"/>
        <v>1.5142852442202794E-4</v>
      </c>
      <c r="AJ319" s="177">
        <f t="shared" si="294"/>
        <v>1.5142852442202794E-4</v>
      </c>
      <c r="AK319" s="177">
        <f t="shared" si="294"/>
        <v>1.5142852442202794E-4</v>
      </c>
      <c r="AL319" s="177">
        <f t="shared" si="294"/>
        <v>1.5142852442202794E-4</v>
      </c>
      <c r="AM319" s="177">
        <f t="shared" si="294"/>
        <v>1.5142852442202794E-4</v>
      </c>
      <c r="AN319" s="177">
        <f t="shared" si="294"/>
        <v>1.5142852442202794E-4</v>
      </c>
      <c r="AO319" s="177">
        <f t="shared" si="294"/>
        <v>1.5142852442202794E-4</v>
      </c>
      <c r="AP319" s="177">
        <f t="shared" si="294"/>
        <v>1.5142852442202794E-4</v>
      </c>
      <c r="AQ319" s="177">
        <f t="shared" si="294"/>
        <v>1.5142852442202794E-4</v>
      </c>
      <c r="AR319" s="177">
        <f t="shared" si="294"/>
        <v>1.5142852442202794E-4</v>
      </c>
      <c r="AS319" s="197">
        <f t="shared" ref="AS319:BV319" si="295">AR319</f>
        <v>1.5142852442202794E-4</v>
      </c>
      <c r="AT319" s="197">
        <f t="shared" si="295"/>
        <v>1.5142852442202794E-4</v>
      </c>
      <c r="AU319" s="197">
        <f t="shared" si="295"/>
        <v>1.5142852442202794E-4</v>
      </c>
      <c r="AV319" s="197">
        <f t="shared" si="295"/>
        <v>1.5142852442202794E-4</v>
      </c>
      <c r="AW319" s="197">
        <f t="shared" si="295"/>
        <v>1.5142852442202794E-4</v>
      </c>
      <c r="AX319" s="197">
        <f t="shared" si="295"/>
        <v>1.5142852442202794E-4</v>
      </c>
      <c r="AY319" s="197">
        <f t="shared" si="295"/>
        <v>1.5142852442202794E-4</v>
      </c>
      <c r="AZ319" s="197">
        <f t="shared" si="295"/>
        <v>1.5142852442202794E-4</v>
      </c>
      <c r="BA319" s="197">
        <f t="shared" si="295"/>
        <v>1.5142852442202794E-4</v>
      </c>
      <c r="BB319" s="197">
        <f t="shared" si="295"/>
        <v>1.5142852442202794E-4</v>
      </c>
      <c r="BC319" s="197">
        <f t="shared" si="295"/>
        <v>1.5142852442202794E-4</v>
      </c>
      <c r="BD319" s="197">
        <f t="shared" si="295"/>
        <v>1.5142852442202794E-4</v>
      </c>
      <c r="BE319" s="197">
        <f t="shared" si="295"/>
        <v>1.5142852442202794E-4</v>
      </c>
      <c r="BF319" s="197">
        <f t="shared" si="295"/>
        <v>1.5142852442202794E-4</v>
      </c>
      <c r="BG319" s="197">
        <f t="shared" si="295"/>
        <v>1.5142852442202794E-4</v>
      </c>
      <c r="BH319" s="197">
        <f t="shared" si="295"/>
        <v>1.5142852442202794E-4</v>
      </c>
      <c r="BI319" s="197">
        <f t="shared" si="295"/>
        <v>1.5142852442202794E-4</v>
      </c>
      <c r="BJ319" s="197">
        <f t="shared" si="295"/>
        <v>1.5142852442202794E-4</v>
      </c>
      <c r="BK319" s="197">
        <f t="shared" si="295"/>
        <v>1.5142852442202794E-4</v>
      </c>
      <c r="BL319" s="197">
        <f t="shared" si="295"/>
        <v>1.5142852442202794E-4</v>
      </c>
      <c r="BM319" s="197">
        <f t="shared" si="295"/>
        <v>1.5142852442202794E-4</v>
      </c>
      <c r="BN319" s="197">
        <f t="shared" si="295"/>
        <v>1.5142852442202794E-4</v>
      </c>
      <c r="BO319" s="197">
        <f t="shared" si="295"/>
        <v>1.5142852442202794E-4</v>
      </c>
      <c r="BP319" s="197">
        <f t="shared" si="295"/>
        <v>1.5142852442202794E-4</v>
      </c>
      <c r="BQ319" s="197">
        <f t="shared" si="295"/>
        <v>1.5142852442202794E-4</v>
      </c>
      <c r="BR319" s="197">
        <f t="shared" si="295"/>
        <v>1.5142852442202794E-4</v>
      </c>
      <c r="BS319" s="197">
        <f t="shared" si="295"/>
        <v>1.5142852442202794E-4</v>
      </c>
      <c r="BT319" s="197">
        <f t="shared" si="295"/>
        <v>1.5142852442202794E-4</v>
      </c>
      <c r="BU319" s="197">
        <f t="shared" si="295"/>
        <v>1.5142852442202794E-4</v>
      </c>
      <c r="BV319" s="197">
        <f t="shared" si="295"/>
        <v>1.5142852442202794E-4</v>
      </c>
    </row>
    <row r="320" spans="1:74" x14ac:dyDescent="0.25">
      <c r="A320" s="141" t="s">
        <v>251</v>
      </c>
      <c r="B320" s="142"/>
      <c r="C320" s="142"/>
      <c r="D320" s="177">
        <f t="shared" ref="D320:AR320" si="296">D256*D$48</f>
        <v>4.0642224015818634E-4</v>
      </c>
      <c r="E320" s="177">
        <f t="shared" si="296"/>
        <v>4.0642223965568064E-4</v>
      </c>
      <c r="F320" s="177">
        <f t="shared" si="296"/>
        <v>4.0642223915317494E-4</v>
      </c>
      <c r="G320" s="177">
        <f t="shared" si="296"/>
        <v>4.0642223865066919E-4</v>
      </c>
      <c r="H320" s="177">
        <f t="shared" si="296"/>
        <v>4.0642223814816349E-4</v>
      </c>
      <c r="I320" s="177">
        <f t="shared" si="296"/>
        <v>4.0642223764565763E-4</v>
      </c>
      <c r="J320" s="177">
        <f t="shared" si="296"/>
        <v>4.0642223674414315E-4</v>
      </c>
      <c r="K320" s="177">
        <f t="shared" si="296"/>
        <v>4.0642216391160486E-4</v>
      </c>
      <c r="L320" s="177">
        <f t="shared" si="296"/>
        <v>3.9905880825388519E-4</v>
      </c>
      <c r="M320" s="177">
        <f t="shared" si="296"/>
        <v>3.990588137040431E-4</v>
      </c>
      <c r="N320" s="177">
        <f t="shared" si="296"/>
        <v>3.9905880775784579E-4</v>
      </c>
      <c r="O320" s="177">
        <f t="shared" si="296"/>
        <v>3.9905881064281393E-4</v>
      </c>
      <c r="P320" s="177">
        <f t="shared" si="296"/>
        <v>3.9905880612649399E-4</v>
      </c>
      <c r="Q320" s="177">
        <f t="shared" si="296"/>
        <v>3.9905882209080628E-4</v>
      </c>
      <c r="R320" s="177">
        <f t="shared" si="296"/>
        <v>3.9905880892000204E-4</v>
      </c>
      <c r="S320" s="177">
        <f t="shared" si="296"/>
        <v>3.9905887403068982E-4</v>
      </c>
      <c r="T320" s="177">
        <f t="shared" si="296"/>
        <v>3.9905888739379396E-4</v>
      </c>
      <c r="U320" s="177">
        <f t="shared" si="296"/>
        <v>3.9905874902899593E-4</v>
      </c>
      <c r="V320" s="177">
        <f t="shared" si="296"/>
        <v>3.9905878688605825E-4</v>
      </c>
      <c r="W320" s="177">
        <f t="shared" si="296"/>
        <v>3.9905876786809966E-4</v>
      </c>
      <c r="X320" s="177">
        <f t="shared" si="296"/>
        <v>3.9905886058775334E-4</v>
      </c>
      <c r="Y320" s="177">
        <f t="shared" si="296"/>
        <v>3.9905874763540984E-4</v>
      </c>
      <c r="Z320" s="177">
        <f t="shared" si="296"/>
        <v>3.9905857267724714E-4</v>
      </c>
      <c r="AA320" s="177">
        <f t="shared" si="296"/>
        <v>3.9905877144745359E-4</v>
      </c>
      <c r="AB320" s="177">
        <f t="shared" si="296"/>
        <v>3.9905877144745359E-4</v>
      </c>
      <c r="AC320" s="177">
        <f t="shared" si="296"/>
        <v>3.9905877144745359E-4</v>
      </c>
      <c r="AD320" s="177">
        <f t="shared" si="296"/>
        <v>3.9905862201232022E-4</v>
      </c>
      <c r="AE320" s="177">
        <f t="shared" si="296"/>
        <v>3.9905862201232022E-4</v>
      </c>
      <c r="AF320" s="177">
        <f t="shared" si="296"/>
        <v>3.9905862201232022E-4</v>
      </c>
      <c r="AG320" s="177">
        <f t="shared" si="296"/>
        <v>3.9905862201232022E-4</v>
      </c>
      <c r="AH320" s="177">
        <f t="shared" si="296"/>
        <v>3.9905862201232022E-4</v>
      </c>
      <c r="AI320" s="177">
        <f t="shared" si="296"/>
        <v>3.9905862201232022E-4</v>
      </c>
      <c r="AJ320" s="177">
        <f t="shared" si="296"/>
        <v>3.9905862201232022E-4</v>
      </c>
      <c r="AK320" s="177">
        <f t="shared" si="296"/>
        <v>3.9905862201232022E-4</v>
      </c>
      <c r="AL320" s="177">
        <f t="shared" si="296"/>
        <v>3.9905862201232022E-4</v>
      </c>
      <c r="AM320" s="177">
        <f t="shared" si="296"/>
        <v>3.9905862201232022E-4</v>
      </c>
      <c r="AN320" s="177">
        <f t="shared" si="296"/>
        <v>3.9905862201232022E-4</v>
      </c>
      <c r="AO320" s="177">
        <f t="shared" si="296"/>
        <v>3.9905862201232022E-4</v>
      </c>
      <c r="AP320" s="177">
        <f t="shared" si="296"/>
        <v>3.9905862201232022E-4</v>
      </c>
      <c r="AQ320" s="177">
        <f t="shared" si="296"/>
        <v>3.9905862201232022E-4</v>
      </c>
      <c r="AR320" s="177">
        <f t="shared" si="296"/>
        <v>3.9905862201232022E-4</v>
      </c>
      <c r="AS320" s="197">
        <f t="shared" ref="AS320:BV320" si="297">AR320</f>
        <v>3.9905862201232022E-4</v>
      </c>
      <c r="AT320" s="197">
        <f t="shared" si="297"/>
        <v>3.9905862201232022E-4</v>
      </c>
      <c r="AU320" s="197">
        <f t="shared" si="297"/>
        <v>3.9905862201232022E-4</v>
      </c>
      <c r="AV320" s="197">
        <f t="shared" si="297"/>
        <v>3.9905862201232022E-4</v>
      </c>
      <c r="AW320" s="197">
        <f t="shared" si="297"/>
        <v>3.9905862201232022E-4</v>
      </c>
      <c r="AX320" s="197">
        <f t="shared" si="297"/>
        <v>3.9905862201232022E-4</v>
      </c>
      <c r="AY320" s="197">
        <f t="shared" si="297"/>
        <v>3.9905862201232022E-4</v>
      </c>
      <c r="AZ320" s="197">
        <f t="shared" si="297"/>
        <v>3.9905862201232022E-4</v>
      </c>
      <c r="BA320" s="197">
        <f t="shared" si="297"/>
        <v>3.9905862201232022E-4</v>
      </c>
      <c r="BB320" s="197">
        <f t="shared" si="297"/>
        <v>3.9905862201232022E-4</v>
      </c>
      <c r="BC320" s="197">
        <f t="shared" si="297"/>
        <v>3.9905862201232022E-4</v>
      </c>
      <c r="BD320" s="197">
        <f t="shared" si="297"/>
        <v>3.9905862201232022E-4</v>
      </c>
      <c r="BE320" s="197">
        <f t="shared" si="297"/>
        <v>3.9905862201232022E-4</v>
      </c>
      <c r="BF320" s="197">
        <f t="shared" si="297"/>
        <v>3.9905862201232022E-4</v>
      </c>
      <c r="BG320" s="197">
        <f t="shared" si="297"/>
        <v>3.9905862201232022E-4</v>
      </c>
      <c r="BH320" s="197">
        <f t="shared" si="297"/>
        <v>3.9905862201232022E-4</v>
      </c>
      <c r="BI320" s="197">
        <f t="shared" si="297"/>
        <v>3.9905862201232022E-4</v>
      </c>
      <c r="BJ320" s="197">
        <f t="shared" si="297"/>
        <v>3.9905862201232022E-4</v>
      </c>
      <c r="BK320" s="197">
        <f t="shared" si="297"/>
        <v>3.9905862201232022E-4</v>
      </c>
      <c r="BL320" s="197">
        <f t="shared" si="297"/>
        <v>3.9905862201232022E-4</v>
      </c>
      <c r="BM320" s="197">
        <f t="shared" si="297"/>
        <v>3.9905862201232022E-4</v>
      </c>
      <c r="BN320" s="197">
        <f t="shared" si="297"/>
        <v>3.9905862201232022E-4</v>
      </c>
      <c r="BO320" s="197">
        <f t="shared" si="297"/>
        <v>3.9905862201232022E-4</v>
      </c>
      <c r="BP320" s="197">
        <f t="shared" si="297"/>
        <v>3.9905862201232022E-4</v>
      </c>
      <c r="BQ320" s="197">
        <f t="shared" si="297"/>
        <v>3.9905862201232022E-4</v>
      </c>
      <c r="BR320" s="197">
        <f t="shared" si="297"/>
        <v>3.9905862201232022E-4</v>
      </c>
      <c r="BS320" s="197">
        <f t="shared" si="297"/>
        <v>3.9905862201232022E-4</v>
      </c>
      <c r="BT320" s="197">
        <f t="shared" si="297"/>
        <v>3.9905862201232022E-4</v>
      </c>
      <c r="BU320" s="197">
        <f t="shared" si="297"/>
        <v>3.9905862201232022E-4</v>
      </c>
      <c r="BV320" s="197">
        <f t="shared" si="297"/>
        <v>3.9905862201232022E-4</v>
      </c>
    </row>
    <row r="321" spans="1:74" x14ac:dyDescent="0.25">
      <c r="A321" s="141" t="s">
        <v>196</v>
      </c>
      <c r="B321" s="142"/>
      <c r="C321" s="142"/>
      <c r="D321" s="177">
        <f t="shared" ref="D321:AR321" si="298">D257*D$48</f>
        <v>2.1238366501942485E-4</v>
      </c>
      <c r="E321" s="177">
        <f t="shared" si="298"/>
        <v>2.1238366960852042E-4</v>
      </c>
      <c r="F321" s="177">
        <f t="shared" si="298"/>
        <v>2.1238367419761615E-4</v>
      </c>
      <c r="G321" s="177">
        <f t="shared" si="298"/>
        <v>2.1238367878671208E-4</v>
      </c>
      <c r="H321" s="177">
        <f t="shared" si="298"/>
        <v>2.1238368337580821E-4</v>
      </c>
      <c r="I321" s="177">
        <f t="shared" si="298"/>
        <v>2.1238368796490449E-4</v>
      </c>
      <c r="J321" s="177">
        <f t="shared" si="298"/>
        <v>2.1238366282328846E-4</v>
      </c>
      <c r="K321" s="177">
        <f t="shared" si="298"/>
        <v>2.1238364676248725E-4</v>
      </c>
      <c r="L321" s="177">
        <f t="shared" si="298"/>
        <v>2.1238369378766747E-4</v>
      </c>
      <c r="M321" s="177">
        <f t="shared" si="298"/>
        <v>2.1238366965638556E-4</v>
      </c>
      <c r="N321" s="177">
        <f t="shared" si="298"/>
        <v>2.1238365944109691E-4</v>
      </c>
      <c r="O321" s="177">
        <f t="shared" si="298"/>
        <v>2.1238365557558903E-4</v>
      </c>
      <c r="P321" s="177">
        <f t="shared" si="298"/>
        <v>2.1238367365394745E-4</v>
      </c>
      <c r="Q321" s="177">
        <f t="shared" si="298"/>
        <v>2.1238366501544439E-4</v>
      </c>
      <c r="R321" s="177">
        <f t="shared" si="298"/>
        <v>2.1238363604141644E-4</v>
      </c>
      <c r="S321" s="177">
        <f t="shared" si="298"/>
        <v>2.1238359659609939E-4</v>
      </c>
      <c r="T321" s="177">
        <f t="shared" si="298"/>
        <v>2.1238386181433636E-4</v>
      </c>
      <c r="U321" s="177">
        <f t="shared" si="298"/>
        <v>2.1238379039908867E-4</v>
      </c>
      <c r="V321" s="177">
        <f t="shared" si="298"/>
        <v>2.1238358617002711E-4</v>
      </c>
      <c r="W321" s="177">
        <f t="shared" si="298"/>
        <v>2.1238373786838192E-4</v>
      </c>
      <c r="X321" s="177">
        <f t="shared" si="298"/>
        <v>2.1238365375914964E-4</v>
      </c>
      <c r="Y321" s="177">
        <f t="shared" si="298"/>
        <v>2.1238369589264111E-4</v>
      </c>
      <c r="Z321" s="177">
        <f t="shared" si="298"/>
        <v>2.1238352494474397E-4</v>
      </c>
      <c r="AA321" s="177">
        <f t="shared" si="298"/>
        <v>2.1238361107556107E-4</v>
      </c>
      <c r="AB321" s="177">
        <f t="shared" si="298"/>
        <v>2.1323666211372713E-4</v>
      </c>
      <c r="AC321" s="177">
        <f t="shared" si="298"/>
        <v>2.1320100912794666E-4</v>
      </c>
      <c r="AD321" s="177">
        <f t="shared" si="298"/>
        <v>2.1360646592010813E-4</v>
      </c>
      <c r="AE321" s="177">
        <f t="shared" si="298"/>
        <v>2.1373589711148842E-4</v>
      </c>
      <c r="AF321" s="177">
        <f t="shared" si="298"/>
        <v>2.1373589711148842E-4</v>
      </c>
      <c r="AG321" s="177">
        <f t="shared" si="298"/>
        <v>2.1373589711148842E-4</v>
      </c>
      <c r="AH321" s="177">
        <f t="shared" si="298"/>
        <v>2.1373589711148842E-4</v>
      </c>
      <c r="AI321" s="177">
        <f t="shared" si="298"/>
        <v>2.1373589711148842E-4</v>
      </c>
      <c r="AJ321" s="177">
        <f t="shared" si="298"/>
        <v>2.1373589711148842E-4</v>
      </c>
      <c r="AK321" s="177">
        <f t="shared" si="298"/>
        <v>2.1373589711148842E-4</v>
      </c>
      <c r="AL321" s="177">
        <f t="shared" si="298"/>
        <v>2.1373589711148842E-4</v>
      </c>
      <c r="AM321" s="177">
        <f t="shared" si="298"/>
        <v>2.1373589711148842E-4</v>
      </c>
      <c r="AN321" s="177">
        <f t="shared" si="298"/>
        <v>2.1373589711148842E-4</v>
      </c>
      <c r="AO321" s="177">
        <f t="shared" si="298"/>
        <v>2.1373589711148842E-4</v>
      </c>
      <c r="AP321" s="177">
        <f t="shared" si="298"/>
        <v>2.1373589711148842E-4</v>
      </c>
      <c r="AQ321" s="177">
        <f t="shared" si="298"/>
        <v>2.1373589711148842E-4</v>
      </c>
      <c r="AR321" s="177">
        <f t="shared" si="298"/>
        <v>2.1373589711148842E-4</v>
      </c>
      <c r="AS321" s="197">
        <f t="shared" ref="AS321:BV321" si="299">AR321</f>
        <v>2.1373589711148842E-4</v>
      </c>
      <c r="AT321" s="197">
        <f t="shared" si="299"/>
        <v>2.1373589711148842E-4</v>
      </c>
      <c r="AU321" s="197">
        <f t="shared" si="299"/>
        <v>2.1373589711148842E-4</v>
      </c>
      <c r="AV321" s="197">
        <f t="shared" si="299"/>
        <v>2.1373589711148842E-4</v>
      </c>
      <c r="AW321" s="197">
        <f t="shared" si="299"/>
        <v>2.1373589711148842E-4</v>
      </c>
      <c r="AX321" s="197">
        <f t="shared" si="299"/>
        <v>2.1373589711148842E-4</v>
      </c>
      <c r="AY321" s="197">
        <f t="shared" si="299"/>
        <v>2.1373589711148842E-4</v>
      </c>
      <c r="AZ321" s="197">
        <f t="shared" si="299"/>
        <v>2.1373589711148842E-4</v>
      </c>
      <c r="BA321" s="197">
        <f t="shared" si="299"/>
        <v>2.1373589711148842E-4</v>
      </c>
      <c r="BB321" s="197">
        <f t="shared" si="299"/>
        <v>2.1373589711148842E-4</v>
      </c>
      <c r="BC321" s="197">
        <f t="shared" si="299"/>
        <v>2.1373589711148842E-4</v>
      </c>
      <c r="BD321" s="197">
        <f t="shared" si="299"/>
        <v>2.1373589711148842E-4</v>
      </c>
      <c r="BE321" s="197">
        <f t="shared" si="299"/>
        <v>2.1373589711148842E-4</v>
      </c>
      <c r="BF321" s="197">
        <f t="shared" si="299"/>
        <v>2.1373589711148842E-4</v>
      </c>
      <c r="BG321" s="197">
        <f t="shared" si="299"/>
        <v>2.1373589711148842E-4</v>
      </c>
      <c r="BH321" s="197">
        <f t="shared" si="299"/>
        <v>2.1373589711148842E-4</v>
      </c>
      <c r="BI321" s="197">
        <f t="shared" si="299"/>
        <v>2.1373589711148842E-4</v>
      </c>
      <c r="BJ321" s="197">
        <f t="shared" si="299"/>
        <v>2.1373589711148842E-4</v>
      </c>
      <c r="BK321" s="197">
        <f t="shared" si="299"/>
        <v>2.1373589711148842E-4</v>
      </c>
      <c r="BL321" s="197">
        <f t="shared" si="299"/>
        <v>2.1373589711148842E-4</v>
      </c>
      <c r="BM321" s="197">
        <f t="shared" si="299"/>
        <v>2.1373589711148842E-4</v>
      </c>
      <c r="BN321" s="197">
        <f t="shared" si="299"/>
        <v>2.1373589711148842E-4</v>
      </c>
      <c r="BO321" s="197">
        <f t="shared" si="299"/>
        <v>2.1373589711148842E-4</v>
      </c>
      <c r="BP321" s="197">
        <f t="shared" si="299"/>
        <v>2.1373589711148842E-4</v>
      </c>
      <c r="BQ321" s="197">
        <f t="shared" si="299"/>
        <v>2.1373589711148842E-4</v>
      </c>
      <c r="BR321" s="197">
        <f t="shared" si="299"/>
        <v>2.1373589711148842E-4</v>
      </c>
      <c r="BS321" s="197">
        <f t="shared" si="299"/>
        <v>2.1373589711148842E-4</v>
      </c>
      <c r="BT321" s="197">
        <f t="shared" si="299"/>
        <v>2.1373589711148842E-4</v>
      </c>
      <c r="BU321" s="197">
        <f t="shared" si="299"/>
        <v>2.1373589711148842E-4</v>
      </c>
      <c r="BV321" s="197">
        <f t="shared" si="299"/>
        <v>2.1373589711148842E-4</v>
      </c>
    </row>
    <row r="322" spans="1:74" x14ac:dyDescent="0.25">
      <c r="A322" s="147" t="s">
        <v>13</v>
      </c>
      <c r="C322" s="142"/>
      <c r="D322" s="177">
        <f t="shared" ref="D322:AR322" si="300">D258*D$48</f>
        <v>2.1238366501942485E-4</v>
      </c>
      <c r="E322" s="177">
        <f t="shared" si="300"/>
        <v>2.1238366960852042E-4</v>
      </c>
      <c r="F322" s="177">
        <f t="shared" si="300"/>
        <v>2.1238367419761615E-4</v>
      </c>
      <c r="G322" s="177">
        <f t="shared" si="300"/>
        <v>2.1238367878671208E-4</v>
      </c>
      <c r="H322" s="177">
        <f t="shared" si="300"/>
        <v>2.1238368337580821E-4</v>
      </c>
      <c r="I322" s="177">
        <f t="shared" si="300"/>
        <v>2.1238368796490449E-4</v>
      </c>
      <c r="J322" s="177">
        <f t="shared" si="300"/>
        <v>2.1238366282328846E-4</v>
      </c>
      <c r="K322" s="177">
        <f t="shared" si="300"/>
        <v>2.1238364676248725E-4</v>
      </c>
      <c r="L322" s="177">
        <f t="shared" si="300"/>
        <v>2.1238369378766747E-4</v>
      </c>
      <c r="M322" s="177">
        <f t="shared" si="300"/>
        <v>2.1238366965638556E-4</v>
      </c>
      <c r="N322" s="177">
        <f t="shared" si="300"/>
        <v>2.1238365944109691E-4</v>
      </c>
      <c r="O322" s="177">
        <f t="shared" si="300"/>
        <v>2.1238365557558903E-4</v>
      </c>
      <c r="P322" s="177">
        <f t="shared" si="300"/>
        <v>2.1238367365394745E-4</v>
      </c>
      <c r="Q322" s="177">
        <f t="shared" si="300"/>
        <v>2.1238366501544439E-4</v>
      </c>
      <c r="R322" s="177">
        <f t="shared" si="300"/>
        <v>2.1238363604141644E-4</v>
      </c>
      <c r="S322" s="177">
        <f t="shared" si="300"/>
        <v>2.1238359659609939E-4</v>
      </c>
      <c r="T322" s="177">
        <f t="shared" si="300"/>
        <v>2.1238386181433636E-4</v>
      </c>
      <c r="U322" s="177">
        <f t="shared" si="300"/>
        <v>2.1238379039908867E-4</v>
      </c>
      <c r="V322" s="177">
        <f t="shared" si="300"/>
        <v>2.1238358617002711E-4</v>
      </c>
      <c r="W322" s="177">
        <f t="shared" si="300"/>
        <v>2.1238373786838192E-4</v>
      </c>
      <c r="X322" s="177">
        <f t="shared" si="300"/>
        <v>2.1238365375914964E-4</v>
      </c>
      <c r="Y322" s="177">
        <f t="shared" si="300"/>
        <v>2.1238369589264111E-4</v>
      </c>
      <c r="Z322" s="177">
        <f t="shared" si="300"/>
        <v>2.1238352494474397E-4</v>
      </c>
      <c r="AA322" s="177">
        <f t="shared" si="300"/>
        <v>2.1238361107556107E-4</v>
      </c>
      <c r="AB322" s="177">
        <f t="shared" si="300"/>
        <v>2.1323666211372713E-4</v>
      </c>
      <c r="AC322" s="177">
        <f t="shared" si="300"/>
        <v>2.1320100912794666E-4</v>
      </c>
      <c r="AD322" s="177">
        <f t="shared" si="300"/>
        <v>2.1360646592010813E-4</v>
      </c>
      <c r="AE322" s="177">
        <f t="shared" si="300"/>
        <v>2.1373589711148842E-4</v>
      </c>
      <c r="AF322" s="177">
        <f t="shared" si="300"/>
        <v>2.1373589711148842E-4</v>
      </c>
      <c r="AG322" s="177">
        <f t="shared" si="300"/>
        <v>2.1373589711148842E-4</v>
      </c>
      <c r="AH322" s="177">
        <f t="shared" si="300"/>
        <v>2.1373589711148842E-4</v>
      </c>
      <c r="AI322" s="177">
        <f t="shared" si="300"/>
        <v>2.1373589711148842E-4</v>
      </c>
      <c r="AJ322" s="177">
        <f t="shared" si="300"/>
        <v>2.1373589711148842E-4</v>
      </c>
      <c r="AK322" s="177">
        <f t="shared" si="300"/>
        <v>2.1373589711148842E-4</v>
      </c>
      <c r="AL322" s="177">
        <f t="shared" si="300"/>
        <v>2.1373589711148842E-4</v>
      </c>
      <c r="AM322" s="177">
        <f t="shared" si="300"/>
        <v>2.1373589711148842E-4</v>
      </c>
      <c r="AN322" s="177">
        <f t="shared" si="300"/>
        <v>2.1373589711148842E-4</v>
      </c>
      <c r="AO322" s="177">
        <f t="shared" si="300"/>
        <v>2.1373589711148842E-4</v>
      </c>
      <c r="AP322" s="177">
        <f t="shared" si="300"/>
        <v>2.1373589711148842E-4</v>
      </c>
      <c r="AQ322" s="177">
        <f t="shared" si="300"/>
        <v>2.1373589711148842E-4</v>
      </c>
      <c r="AR322" s="177">
        <f t="shared" si="300"/>
        <v>2.1373589711148842E-4</v>
      </c>
      <c r="AS322" s="197">
        <f t="shared" ref="AS322:BV322" si="301">AR322</f>
        <v>2.1373589711148842E-4</v>
      </c>
      <c r="AT322" s="197">
        <f t="shared" si="301"/>
        <v>2.1373589711148842E-4</v>
      </c>
      <c r="AU322" s="197">
        <f t="shared" si="301"/>
        <v>2.1373589711148842E-4</v>
      </c>
      <c r="AV322" s="197">
        <f t="shared" si="301"/>
        <v>2.1373589711148842E-4</v>
      </c>
      <c r="AW322" s="197">
        <f t="shared" si="301"/>
        <v>2.1373589711148842E-4</v>
      </c>
      <c r="AX322" s="197">
        <f t="shared" si="301"/>
        <v>2.1373589711148842E-4</v>
      </c>
      <c r="AY322" s="197">
        <f t="shared" si="301"/>
        <v>2.1373589711148842E-4</v>
      </c>
      <c r="AZ322" s="197">
        <f t="shared" si="301"/>
        <v>2.1373589711148842E-4</v>
      </c>
      <c r="BA322" s="197">
        <f t="shared" si="301"/>
        <v>2.1373589711148842E-4</v>
      </c>
      <c r="BB322" s="197">
        <f t="shared" si="301"/>
        <v>2.1373589711148842E-4</v>
      </c>
      <c r="BC322" s="197">
        <f t="shared" si="301"/>
        <v>2.1373589711148842E-4</v>
      </c>
      <c r="BD322" s="197">
        <f t="shared" si="301"/>
        <v>2.1373589711148842E-4</v>
      </c>
      <c r="BE322" s="197">
        <f t="shared" si="301"/>
        <v>2.1373589711148842E-4</v>
      </c>
      <c r="BF322" s="197">
        <f t="shared" si="301"/>
        <v>2.1373589711148842E-4</v>
      </c>
      <c r="BG322" s="197">
        <f t="shared" si="301"/>
        <v>2.1373589711148842E-4</v>
      </c>
      <c r="BH322" s="197">
        <f t="shared" si="301"/>
        <v>2.1373589711148842E-4</v>
      </c>
      <c r="BI322" s="197">
        <f t="shared" si="301"/>
        <v>2.1373589711148842E-4</v>
      </c>
      <c r="BJ322" s="197">
        <f t="shared" si="301"/>
        <v>2.1373589711148842E-4</v>
      </c>
      <c r="BK322" s="197">
        <f t="shared" si="301"/>
        <v>2.1373589711148842E-4</v>
      </c>
      <c r="BL322" s="197">
        <f t="shared" si="301"/>
        <v>2.1373589711148842E-4</v>
      </c>
      <c r="BM322" s="197">
        <f t="shared" si="301"/>
        <v>2.1373589711148842E-4</v>
      </c>
      <c r="BN322" s="197">
        <f t="shared" si="301"/>
        <v>2.1373589711148842E-4</v>
      </c>
      <c r="BO322" s="197">
        <f t="shared" si="301"/>
        <v>2.1373589711148842E-4</v>
      </c>
      <c r="BP322" s="197">
        <f t="shared" si="301"/>
        <v>2.1373589711148842E-4</v>
      </c>
      <c r="BQ322" s="197">
        <f t="shared" si="301"/>
        <v>2.1373589711148842E-4</v>
      </c>
      <c r="BR322" s="197">
        <f t="shared" si="301"/>
        <v>2.1373589711148842E-4</v>
      </c>
      <c r="BS322" s="197">
        <f t="shared" si="301"/>
        <v>2.1373589711148842E-4</v>
      </c>
      <c r="BT322" s="197">
        <f t="shared" si="301"/>
        <v>2.1373589711148842E-4</v>
      </c>
      <c r="BU322" s="197">
        <f t="shared" si="301"/>
        <v>2.1373589711148842E-4</v>
      </c>
      <c r="BV322" s="197">
        <f t="shared" si="301"/>
        <v>2.1373589711148842E-4</v>
      </c>
    </row>
    <row r="323" spans="1:74" x14ac:dyDescent="0.25">
      <c r="A323" s="147" t="s">
        <v>199</v>
      </c>
      <c r="C323" s="142"/>
      <c r="D323" s="177">
        <f t="shared" ref="D323:AR323" si="302">D259*D$48</f>
        <v>1.0659968127490038E-3</v>
      </c>
      <c r="E323" s="177">
        <f t="shared" si="302"/>
        <v>1.0659968127490038E-3</v>
      </c>
      <c r="F323" s="177">
        <f t="shared" si="302"/>
        <v>1.0659968127490038E-3</v>
      </c>
      <c r="G323" s="177">
        <f t="shared" si="302"/>
        <v>1.0659968127490038E-3</v>
      </c>
      <c r="H323" s="177">
        <f t="shared" si="302"/>
        <v>1.0659968127490038E-3</v>
      </c>
      <c r="I323" s="177">
        <f t="shared" si="302"/>
        <v>1.0659968127490038E-3</v>
      </c>
      <c r="J323" s="177">
        <f t="shared" si="302"/>
        <v>1.0659968127490038E-3</v>
      </c>
      <c r="K323" s="177">
        <f t="shared" si="302"/>
        <v>1.0659968127490038E-3</v>
      </c>
      <c r="L323" s="177">
        <f t="shared" si="302"/>
        <v>1.0659968127490038E-3</v>
      </c>
      <c r="M323" s="177">
        <f t="shared" si="302"/>
        <v>1.0659968127490038E-3</v>
      </c>
      <c r="N323" s="177">
        <f t="shared" si="302"/>
        <v>1.0659968127490038E-3</v>
      </c>
      <c r="O323" s="177">
        <f t="shared" si="302"/>
        <v>1.0659968127490038E-3</v>
      </c>
      <c r="P323" s="177">
        <f t="shared" si="302"/>
        <v>1.0659968127490038E-3</v>
      </c>
      <c r="Q323" s="177">
        <f t="shared" si="302"/>
        <v>1.0679071559576469E-3</v>
      </c>
      <c r="R323" s="177">
        <f t="shared" si="302"/>
        <v>1.0679145490622799E-3</v>
      </c>
      <c r="S323" s="177">
        <f t="shared" si="302"/>
        <v>1.0679145490622799E-3</v>
      </c>
      <c r="T323" s="177">
        <f t="shared" si="302"/>
        <v>1.0679145490622799E-3</v>
      </c>
      <c r="U323" s="177">
        <f t="shared" si="302"/>
        <v>1.0679145490622799E-3</v>
      </c>
      <c r="V323" s="177">
        <f t="shared" si="302"/>
        <v>1.0679145490622799E-3</v>
      </c>
      <c r="W323" s="177">
        <f t="shared" si="302"/>
        <v>1.0679145490622799E-3</v>
      </c>
      <c r="X323" s="177">
        <f t="shared" si="302"/>
        <v>1.0679145490622799E-3</v>
      </c>
      <c r="Y323" s="177">
        <f t="shared" si="302"/>
        <v>1.0679145490622799E-3</v>
      </c>
      <c r="Z323" s="177">
        <f t="shared" si="302"/>
        <v>1.0679145490622799E-3</v>
      </c>
      <c r="AA323" s="177">
        <f t="shared" si="302"/>
        <v>1.0679145490622799E-3</v>
      </c>
      <c r="AB323" s="177">
        <f t="shared" si="302"/>
        <v>1.0679145490622799E-3</v>
      </c>
      <c r="AC323" s="177">
        <f t="shared" si="302"/>
        <v>1.0679145490622799E-3</v>
      </c>
      <c r="AD323" s="177">
        <f t="shared" si="302"/>
        <v>1.0679145490622799E-3</v>
      </c>
      <c r="AE323" s="177">
        <f t="shared" si="302"/>
        <v>1.0679145490622799E-3</v>
      </c>
      <c r="AF323" s="177">
        <f t="shared" si="302"/>
        <v>1.0679145490622799E-3</v>
      </c>
      <c r="AG323" s="177">
        <f t="shared" si="302"/>
        <v>1.0679145490622799E-3</v>
      </c>
      <c r="AH323" s="177">
        <f t="shared" si="302"/>
        <v>1.0679145490622799E-3</v>
      </c>
      <c r="AI323" s="177">
        <f t="shared" si="302"/>
        <v>1.0679145490622799E-3</v>
      </c>
      <c r="AJ323" s="177">
        <f t="shared" si="302"/>
        <v>1.0679145490622799E-3</v>
      </c>
      <c r="AK323" s="177">
        <f t="shared" si="302"/>
        <v>1.0679145490622799E-3</v>
      </c>
      <c r="AL323" s="177">
        <f t="shared" si="302"/>
        <v>1.0679145490622799E-3</v>
      </c>
      <c r="AM323" s="177">
        <f t="shared" si="302"/>
        <v>1.0679145490622799E-3</v>
      </c>
      <c r="AN323" s="177">
        <f t="shared" si="302"/>
        <v>1.0679145490622799E-3</v>
      </c>
      <c r="AO323" s="177">
        <f t="shared" si="302"/>
        <v>1.0679145490622799E-3</v>
      </c>
      <c r="AP323" s="177">
        <f t="shared" si="302"/>
        <v>1.0679145490622799E-3</v>
      </c>
      <c r="AQ323" s="177">
        <f t="shared" si="302"/>
        <v>1.0679145490622799E-3</v>
      </c>
      <c r="AR323" s="177">
        <f t="shared" si="302"/>
        <v>1.0679145490622799E-3</v>
      </c>
      <c r="AS323" s="197">
        <f t="shared" ref="AS323:BV323" si="303">AR323</f>
        <v>1.0679145490622799E-3</v>
      </c>
      <c r="AT323" s="197">
        <f t="shared" si="303"/>
        <v>1.0679145490622799E-3</v>
      </c>
      <c r="AU323" s="197">
        <f t="shared" si="303"/>
        <v>1.0679145490622799E-3</v>
      </c>
      <c r="AV323" s="197">
        <f t="shared" si="303"/>
        <v>1.0679145490622799E-3</v>
      </c>
      <c r="AW323" s="197">
        <f t="shared" si="303"/>
        <v>1.0679145490622799E-3</v>
      </c>
      <c r="AX323" s="197">
        <f t="shared" si="303"/>
        <v>1.0679145490622799E-3</v>
      </c>
      <c r="AY323" s="197">
        <f t="shared" si="303"/>
        <v>1.0679145490622799E-3</v>
      </c>
      <c r="AZ323" s="197">
        <f t="shared" si="303"/>
        <v>1.0679145490622799E-3</v>
      </c>
      <c r="BA323" s="197">
        <f t="shared" si="303"/>
        <v>1.0679145490622799E-3</v>
      </c>
      <c r="BB323" s="197">
        <f t="shared" si="303"/>
        <v>1.0679145490622799E-3</v>
      </c>
      <c r="BC323" s="197">
        <f t="shared" si="303"/>
        <v>1.0679145490622799E-3</v>
      </c>
      <c r="BD323" s="197">
        <f t="shared" si="303"/>
        <v>1.0679145490622799E-3</v>
      </c>
      <c r="BE323" s="197">
        <f t="shared" si="303"/>
        <v>1.0679145490622799E-3</v>
      </c>
      <c r="BF323" s="197">
        <f t="shared" si="303"/>
        <v>1.0679145490622799E-3</v>
      </c>
      <c r="BG323" s="197">
        <f t="shared" si="303"/>
        <v>1.0679145490622799E-3</v>
      </c>
      <c r="BH323" s="197">
        <f t="shared" si="303"/>
        <v>1.0679145490622799E-3</v>
      </c>
      <c r="BI323" s="197">
        <f t="shared" si="303"/>
        <v>1.0679145490622799E-3</v>
      </c>
      <c r="BJ323" s="197">
        <f t="shared" si="303"/>
        <v>1.0679145490622799E-3</v>
      </c>
      <c r="BK323" s="197">
        <f t="shared" si="303"/>
        <v>1.0679145490622799E-3</v>
      </c>
      <c r="BL323" s="197">
        <f t="shared" si="303"/>
        <v>1.0679145490622799E-3</v>
      </c>
      <c r="BM323" s="197">
        <f t="shared" si="303"/>
        <v>1.0679145490622799E-3</v>
      </c>
      <c r="BN323" s="197">
        <f t="shared" si="303"/>
        <v>1.0679145490622799E-3</v>
      </c>
      <c r="BO323" s="197">
        <f t="shared" si="303"/>
        <v>1.0679145490622799E-3</v>
      </c>
      <c r="BP323" s="197">
        <f t="shared" si="303"/>
        <v>1.0679145490622799E-3</v>
      </c>
      <c r="BQ323" s="197">
        <f t="shared" si="303"/>
        <v>1.0679145490622799E-3</v>
      </c>
      <c r="BR323" s="197">
        <f t="shared" si="303"/>
        <v>1.0679145490622799E-3</v>
      </c>
      <c r="BS323" s="197">
        <f t="shared" si="303"/>
        <v>1.0679145490622799E-3</v>
      </c>
      <c r="BT323" s="197">
        <f t="shared" si="303"/>
        <v>1.0679145490622799E-3</v>
      </c>
      <c r="BU323" s="197">
        <f t="shared" si="303"/>
        <v>1.0679145490622799E-3</v>
      </c>
      <c r="BV323" s="197">
        <f t="shared" si="303"/>
        <v>1.0679145490622799E-3</v>
      </c>
    </row>
    <row r="324" spans="1:74" x14ac:dyDescent="0.25">
      <c r="A324" s="147" t="s">
        <v>197</v>
      </c>
      <c r="C324" s="142"/>
      <c r="D324" s="177">
        <f t="shared" ref="D324:AR324" si="304">D260*D$48</f>
        <v>2.1238366501942485E-4</v>
      </c>
      <c r="E324" s="177">
        <f t="shared" si="304"/>
        <v>2.1238366960852042E-4</v>
      </c>
      <c r="F324" s="177">
        <f t="shared" si="304"/>
        <v>2.1238367419761615E-4</v>
      </c>
      <c r="G324" s="177">
        <f t="shared" si="304"/>
        <v>2.1238367878671208E-4</v>
      </c>
      <c r="H324" s="177">
        <f t="shared" si="304"/>
        <v>2.1238368337580821E-4</v>
      </c>
      <c r="I324" s="177">
        <f t="shared" si="304"/>
        <v>2.1238368796490449E-4</v>
      </c>
      <c r="J324" s="177">
        <f t="shared" si="304"/>
        <v>2.1238366282328846E-4</v>
      </c>
      <c r="K324" s="177">
        <f t="shared" si="304"/>
        <v>2.1238364676248725E-4</v>
      </c>
      <c r="L324" s="177">
        <f t="shared" si="304"/>
        <v>2.1238369378766747E-4</v>
      </c>
      <c r="M324" s="177">
        <f t="shared" si="304"/>
        <v>2.1238366965638556E-4</v>
      </c>
      <c r="N324" s="177">
        <f t="shared" si="304"/>
        <v>2.1238365944109691E-4</v>
      </c>
      <c r="O324" s="177">
        <f t="shared" si="304"/>
        <v>2.1238365557558903E-4</v>
      </c>
      <c r="P324" s="177">
        <f t="shared" si="304"/>
        <v>2.1238367365394745E-4</v>
      </c>
      <c r="Q324" s="177">
        <f t="shared" si="304"/>
        <v>2.1238366501544439E-4</v>
      </c>
      <c r="R324" s="177">
        <f t="shared" si="304"/>
        <v>2.1238363604141644E-4</v>
      </c>
      <c r="S324" s="177">
        <f t="shared" si="304"/>
        <v>2.1238359659609939E-4</v>
      </c>
      <c r="T324" s="177">
        <f t="shared" si="304"/>
        <v>2.1238386181433636E-4</v>
      </c>
      <c r="U324" s="177">
        <f t="shared" si="304"/>
        <v>2.1238379039908867E-4</v>
      </c>
      <c r="V324" s="177">
        <f t="shared" si="304"/>
        <v>2.1238358617002711E-4</v>
      </c>
      <c r="W324" s="177">
        <f t="shared" si="304"/>
        <v>2.1238373786838192E-4</v>
      </c>
      <c r="X324" s="177">
        <f t="shared" si="304"/>
        <v>2.1238365375914964E-4</v>
      </c>
      <c r="Y324" s="177">
        <f t="shared" si="304"/>
        <v>2.1238369589264111E-4</v>
      </c>
      <c r="Z324" s="177">
        <f t="shared" si="304"/>
        <v>2.1238352494474397E-4</v>
      </c>
      <c r="AA324" s="177">
        <f t="shared" si="304"/>
        <v>2.1238361107556107E-4</v>
      </c>
      <c r="AB324" s="177">
        <f t="shared" si="304"/>
        <v>2.1323666211372713E-4</v>
      </c>
      <c r="AC324" s="177">
        <f t="shared" si="304"/>
        <v>2.1320100912794666E-4</v>
      </c>
      <c r="AD324" s="177">
        <f t="shared" si="304"/>
        <v>2.1360646592010813E-4</v>
      </c>
      <c r="AE324" s="177">
        <f t="shared" si="304"/>
        <v>2.1373589711148842E-4</v>
      </c>
      <c r="AF324" s="177">
        <f t="shared" si="304"/>
        <v>2.1373589711148842E-4</v>
      </c>
      <c r="AG324" s="177">
        <f t="shared" si="304"/>
        <v>2.1373589711148842E-4</v>
      </c>
      <c r="AH324" s="177">
        <f t="shared" si="304"/>
        <v>2.1373589711148842E-4</v>
      </c>
      <c r="AI324" s="177">
        <f t="shared" si="304"/>
        <v>2.1373589711148842E-4</v>
      </c>
      <c r="AJ324" s="177">
        <f t="shared" si="304"/>
        <v>2.1373589711148842E-4</v>
      </c>
      <c r="AK324" s="177">
        <f t="shared" si="304"/>
        <v>2.1373589711148842E-4</v>
      </c>
      <c r="AL324" s="177">
        <f t="shared" si="304"/>
        <v>2.1373589711148842E-4</v>
      </c>
      <c r="AM324" s="177">
        <f t="shared" si="304"/>
        <v>2.1373589711148842E-4</v>
      </c>
      <c r="AN324" s="177">
        <f t="shared" si="304"/>
        <v>2.1373589711148842E-4</v>
      </c>
      <c r="AO324" s="177">
        <f t="shared" si="304"/>
        <v>2.1373589711148842E-4</v>
      </c>
      <c r="AP324" s="177">
        <f t="shared" si="304"/>
        <v>2.1373589711148842E-4</v>
      </c>
      <c r="AQ324" s="177">
        <f t="shared" si="304"/>
        <v>2.1373589711148842E-4</v>
      </c>
      <c r="AR324" s="177">
        <f t="shared" si="304"/>
        <v>2.1373589711148842E-4</v>
      </c>
      <c r="AS324" s="197">
        <f t="shared" ref="AS324:BV324" si="305">AR324</f>
        <v>2.1373589711148842E-4</v>
      </c>
      <c r="AT324" s="197">
        <f t="shared" si="305"/>
        <v>2.1373589711148842E-4</v>
      </c>
      <c r="AU324" s="197">
        <f t="shared" si="305"/>
        <v>2.1373589711148842E-4</v>
      </c>
      <c r="AV324" s="197">
        <f t="shared" si="305"/>
        <v>2.1373589711148842E-4</v>
      </c>
      <c r="AW324" s="197">
        <f t="shared" si="305"/>
        <v>2.1373589711148842E-4</v>
      </c>
      <c r="AX324" s="197">
        <f t="shared" si="305"/>
        <v>2.1373589711148842E-4</v>
      </c>
      <c r="AY324" s="197">
        <f t="shared" si="305"/>
        <v>2.1373589711148842E-4</v>
      </c>
      <c r="AZ324" s="197">
        <f t="shared" si="305"/>
        <v>2.1373589711148842E-4</v>
      </c>
      <c r="BA324" s="197">
        <f t="shared" si="305"/>
        <v>2.1373589711148842E-4</v>
      </c>
      <c r="BB324" s="197">
        <f t="shared" si="305"/>
        <v>2.1373589711148842E-4</v>
      </c>
      <c r="BC324" s="197">
        <f t="shared" si="305"/>
        <v>2.1373589711148842E-4</v>
      </c>
      <c r="BD324" s="197">
        <f t="shared" si="305"/>
        <v>2.1373589711148842E-4</v>
      </c>
      <c r="BE324" s="197">
        <f t="shared" si="305"/>
        <v>2.1373589711148842E-4</v>
      </c>
      <c r="BF324" s="197">
        <f t="shared" si="305"/>
        <v>2.1373589711148842E-4</v>
      </c>
      <c r="BG324" s="197">
        <f t="shared" si="305"/>
        <v>2.1373589711148842E-4</v>
      </c>
      <c r="BH324" s="197">
        <f t="shared" si="305"/>
        <v>2.1373589711148842E-4</v>
      </c>
      <c r="BI324" s="197">
        <f t="shared" si="305"/>
        <v>2.1373589711148842E-4</v>
      </c>
      <c r="BJ324" s="197">
        <f t="shared" si="305"/>
        <v>2.1373589711148842E-4</v>
      </c>
      <c r="BK324" s="197">
        <f t="shared" si="305"/>
        <v>2.1373589711148842E-4</v>
      </c>
      <c r="BL324" s="197">
        <f t="shared" si="305"/>
        <v>2.1373589711148842E-4</v>
      </c>
      <c r="BM324" s="197">
        <f t="shared" si="305"/>
        <v>2.1373589711148842E-4</v>
      </c>
      <c r="BN324" s="197">
        <f t="shared" si="305"/>
        <v>2.1373589711148842E-4</v>
      </c>
      <c r="BO324" s="197">
        <f t="shared" si="305"/>
        <v>2.1373589711148842E-4</v>
      </c>
      <c r="BP324" s="197">
        <f t="shared" si="305"/>
        <v>2.1373589711148842E-4</v>
      </c>
      <c r="BQ324" s="197">
        <f t="shared" si="305"/>
        <v>2.1373589711148842E-4</v>
      </c>
      <c r="BR324" s="197">
        <f t="shared" si="305"/>
        <v>2.1373589711148842E-4</v>
      </c>
      <c r="BS324" s="197">
        <f t="shared" si="305"/>
        <v>2.1373589711148842E-4</v>
      </c>
      <c r="BT324" s="197">
        <f t="shared" si="305"/>
        <v>2.1373589711148842E-4</v>
      </c>
      <c r="BU324" s="197">
        <f t="shared" si="305"/>
        <v>2.1373589711148842E-4</v>
      </c>
      <c r="BV324" s="197">
        <f t="shared" si="305"/>
        <v>2.1373589711148842E-4</v>
      </c>
    </row>
    <row r="325" spans="1:74" x14ac:dyDescent="0.25">
      <c r="A325" s="141" t="s">
        <v>14</v>
      </c>
      <c r="B325" s="148"/>
      <c r="C325" s="142"/>
      <c r="D325" s="177">
        <f t="shared" ref="D325:AR325" si="306">D261*D$48</f>
        <v>2.3147167883934598E-4</v>
      </c>
      <c r="E325" s="177">
        <f t="shared" si="306"/>
        <v>2.311290840090411E-4</v>
      </c>
      <c r="F325" s="177">
        <f t="shared" si="306"/>
        <v>2.3078750181023552E-4</v>
      </c>
      <c r="G325" s="177">
        <f t="shared" si="306"/>
        <v>2.3044692775989604E-4</v>
      </c>
      <c r="H325" s="177">
        <f t="shared" si="306"/>
        <v>2.3010735740141297E-4</v>
      </c>
      <c r="I325" s="177">
        <f t="shared" si="306"/>
        <v>2.297687863044058E-4</v>
      </c>
      <c r="J325" s="177">
        <f t="shared" si="306"/>
        <v>2.2952755876797982E-4</v>
      </c>
      <c r="K325" s="177">
        <f t="shared" si="306"/>
        <v>2.294071355511262E-4</v>
      </c>
      <c r="L325" s="177">
        <f t="shared" si="306"/>
        <v>2.2910662819602441E-4</v>
      </c>
      <c r="M325" s="177">
        <f t="shared" si="306"/>
        <v>2.2934697097084562E-4</v>
      </c>
      <c r="N325" s="177">
        <f t="shared" si="306"/>
        <v>2.3019215622453807E-4</v>
      </c>
      <c r="O325" s="177">
        <f t="shared" si="306"/>
        <v>2.2958781791793624E-4</v>
      </c>
      <c r="P325" s="177">
        <f t="shared" si="306"/>
        <v>2.2958781866324739E-4</v>
      </c>
      <c r="Q325" s="177">
        <f t="shared" si="306"/>
        <v>2.2892670157068063E-4</v>
      </c>
      <c r="R325" s="177">
        <f t="shared" si="306"/>
        <v>2.2886678846278802E-4</v>
      </c>
      <c r="S325" s="177">
        <f t="shared" si="306"/>
        <v>2.2856770094497014E-4</v>
      </c>
      <c r="T325" s="177">
        <f t="shared" si="306"/>
        <v>2.2856769364069609E-4</v>
      </c>
      <c r="U325" s="177">
        <f t="shared" si="306"/>
        <v>2.2946732774615524E-4</v>
      </c>
      <c r="V325" s="177">
        <f t="shared" si="306"/>
        <v>2.2767509087148093E-4</v>
      </c>
      <c r="W325" s="177">
        <f t="shared" si="306"/>
        <v>2.2755659099014486E-4</v>
      </c>
      <c r="X325" s="177">
        <f t="shared" si="306"/>
        <v>2.270249224749718E-4</v>
      </c>
      <c r="Y325" s="177">
        <f t="shared" si="306"/>
        <v>2.2678941268497904E-4</v>
      </c>
      <c r="Z325" s="177">
        <f t="shared" si="306"/>
        <v>2.2573566806542106E-4</v>
      </c>
      <c r="AA325" s="177">
        <f t="shared" si="306"/>
        <v>2.2509651943829575E-4</v>
      </c>
      <c r="AB325" s="177">
        <f t="shared" si="306"/>
        <v>2.2423077369820363E-4</v>
      </c>
      <c r="AC325" s="177">
        <f t="shared" si="306"/>
        <v>2.2285933014518699E-4</v>
      </c>
      <c r="AD325" s="177">
        <f t="shared" si="306"/>
        <v>2.2405845649880717E-4</v>
      </c>
      <c r="AE325" s="177">
        <f t="shared" si="306"/>
        <v>2.2297302135319168E-4</v>
      </c>
      <c r="AF325" s="177">
        <f t="shared" si="306"/>
        <v>2.2297302135319168E-4</v>
      </c>
      <c r="AG325" s="177">
        <f t="shared" si="306"/>
        <v>2.2297302135319168E-4</v>
      </c>
      <c r="AH325" s="177">
        <f t="shared" si="306"/>
        <v>2.2297302135319168E-4</v>
      </c>
      <c r="AI325" s="177">
        <f t="shared" si="306"/>
        <v>2.2297302135319168E-4</v>
      </c>
      <c r="AJ325" s="177">
        <f t="shared" si="306"/>
        <v>2.2297302135319168E-4</v>
      </c>
      <c r="AK325" s="177">
        <f t="shared" si="306"/>
        <v>2.2297302135319168E-4</v>
      </c>
      <c r="AL325" s="177">
        <f t="shared" si="306"/>
        <v>2.2297302135319168E-4</v>
      </c>
      <c r="AM325" s="177">
        <f t="shared" si="306"/>
        <v>2.2297302135319168E-4</v>
      </c>
      <c r="AN325" s="177">
        <f t="shared" si="306"/>
        <v>2.2297302135319168E-4</v>
      </c>
      <c r="AO325" s="177">
        <f t="shared" si="306"/>
        <v>2.2297302135319168E-4</v>
      </c>
      <c r="AP325" s="177">
        <f t="shared" si="306"/>
        <v>2.2297302135319168E-4</v>
      </c>
      <c r="AQ325" s="177">
        <f t="shared" si="306"/>
        <v>2.2297302135319168E-4</v>
      </c>
      <c r="AR325" s="177">
        <f t="shared" si="306"/>
        <v>2.2297302135319168E-4</v>
      </c>
      <c r="AS325" s="197">
        <f t="shared" ref="AS325:BV325" si="307">AR325</f>
        <v>2.2297302135319168E-4</v>
      </c>
      <c r="AT325" s="197">
        <f t="shared" si="307"/>
        <v>2.2297302135319168E-4</v>
      </c>
      <c r="AU325" s="197">
        <f t="shared" si="307"/>
        <v>2.2297302135319168E-4</v>
      </c>
      <c r="AV325" s="197">
        <f t="shared" si="307"/>
        <v>2.2297302135319168E-4</v>
      </c>
      <c r="AW325" s="197">
        <f t="shared" si="307"/>
        <v>2.2297302135319168E-4</v>
      </c>
      <c r="AX325" s="197">
        <f t="shared" si="307"/>
        <v>2.2297302135319168E-4</v>
      </c>
      <c r="AY325" s="197">
        <f t="shared" si="307"/>
        <v>2.2297302135319168E-4</v>
      </c>
      <c r="AZ325" s="197">
        <f t="shared" si="307"/>
        <v>2.2297302135319168E-4</v>
      </c>
      <c r="BA325" s="197">
        <f t="shared" si="307"/>
        <v>2.2297302135319168E-4</v>
      </c>
      <c r="BB325" s="197">
        <f t="shared" si="307"/>
        <v>2.2297302135319168E-4</v>
      </c>
      <c r="BC325" s="197">
        <f t="shared" si="307"/>
        <v>2.2297302135319168E-4</v>
      </c>
      <c r="BD325" s="197">
        <f t="shared" si="307"/>
        <v>2.2297302135319168E-4</v>
      </c>
      <c r="BE325" s="197">
        <f t="shared" si="307"/>
        <v>2.2297302135319168E-4</v>
      </c>
      <c r="BF325" s="197">
        <f t="shared" si="307"/>
        <v>2.2297302135319168E-4</v>
      </c>
      <c r="BG325" s="197">
        <f t="shared" si="307"/>
        <v>2.2297302135319168E-4</v>
      </c>
      <c r="BH325" s="197">
        <f t="shared" si="307"/>
        <v>2.2297302135319168E-4</v>
      </c>
      <c r="BI325" s="197">
        <f t="shared" si="307"/>
        <v>2.2297302135319168E-4</v>
      </c>
      <c r="BJ325" s="197">
        <f t="shared" si="307"/>
        <v>2.2297302135319168E-4</v>
      </c>
      <c r="BK325" s="197">
        <f t="shared" si="307"/>
        <v>2.2297302135319168E-4</v>
      </c>
      <c r="BL325" s="197">
        <f t="shared" si="307"/>
        <v>2.2297302135319168E-4</v>
      </c>
      <c r="BM325" s="197">
        <f t="shared" si="307"/>
        <v>2.2297302135319168E-4</v>
      </c>
      <c r="BN325" s="197">
        <f t="shared" si="307"/>
        <v>2.2297302135319168E-4</v>
      </c>
      <c r="BO325" s="197">
        <f t="shared" si="307"/>
        <v>2.2297302135319168E-4</v>
      </c>
      <c r="BP325" s="197">
        <f t="shared" si="307"/>
        <v>2.2297302135319168E-4</v>
      </c>
      <c r="BQ325" s="197">
        <f t="shared" si="307"/>
        <v>2.2297302135319168E-4</v>
      </c>
      <c r="BR325" s="197">
        <f t="shared" si="307"/>
        <v>2.2297302135319168E-4</v>
      </c>
      <c r="BS325" s="197">
        <f t="shared" si="307"/>
        <v>2.2297302135319168E-4</v>
      </c>
      <c r="BT325" s="197">
        <f t="shared" si="307"/>
        <v>2.2297302135319168E-4</v>
      </c>
      <c r="BU325" s="197">
        <f t="shared" si="307"/>
        <v>2.2297302135319168E-4</v>
      </c>
      <c r="BV325" s="197">
        <f t="shared" si="307"/>
        <v>2.2297302135319168E-4</v>
      </c>
    </row>
    <row r="326" spans="1:74" x14ac:dyDescent="0.25">
      <c r="A326" s="141" t="s">
        <v>188</v>
      </c>
      <c r="B326" s="142"/>
      <c r="C326" s="142"/>
      <c r="D326" s="177">
        <f t="shared" ref="D326:AR326" si="308">D262*D$48</f>
        <v>1.465602522944637E-4</v>
      </c>
      <c r="E326" s="177">
        <f t="shared" si="308"/>
        <v>1.4775179923662952E-4</v>
      </c>
      <c r="F326" s="177">
        <f t="shared" si="308"/>
        <v>1.4894334618162673E-4</v>
      </c>
      <c r="G326" s="177">
        <f t="shared" si="308"/>
        <v>1.5013489312945528E-4</v>
      </c>
      <c r="H326" s="177">
        <f t="shared" si="308"/>
        <v>1.5192221346625737E-4</v>
      </c>
      <c r="I326" s="177">
        <f t="shared" si="308"/>
        <v>1.5192221364675645E-4</v>
      </c>
      <c r="J326" s="177">
        <f t="shared" si="308"/>
        <v>1.5132643607246483E-4</v>
      </c>
      <c r="K326" s="177">
        <f t="shared" si="308"/>
        <v>1.5370953089661351E-4</v>
      </c>
      <c r="L326" s="177">
        <f t="shared" si="308"/>
        <v>1.540697648864477E-4</v>
      </c>
      <c r="M326" s="177">
        <f t="shared" si="308"/>
        <v>1.5494066599006217E-4</v>
      </c>
      <c r="N326" s="177">
        <f t="shared" si="308"/>
        <v>1.5779935210885821E-4</v>
      </c>
      <c r="O326" s="177">
        <f t="shared" si="308"/>
        <v>1.5722761554018899E-4</v>
      </c>
      <c r="P326" s="177">
        <f t="shared" si="308"/>
        <v>1.572276149702898E-4</v>
      </c>
      <c r="Q326" s="177">
        <f t="shared" si="308"/>
        <v>1.5722761603576015E-4</v>
      </c>
      <c r="R326" s="177">
        <f t="shared" si="308"/>
        <v>1.5722761530960971E-4</v>
      </c>
      <c r="S326" s="177">
        <f t="shared" si="308"/>
        <v>1.5722761626054549E-4</v>
      </c>
      <c r="T326" s="177">
        <f t="shared" si="308"/>
        <v>1.5722764052339619E-4</v>
      </c>
      <c r="U326" s="177">
        <f t="shared" si="308"/>
        <v>1.5722766486948712E-4</v>
      </c>
      <c r="V326" s="177">
        <f t="shared" si="308"/>
        <v>1.5722764814999843E-4</v>
      </c>
      <c r="W326" s="177">
        <f t="shared" si="308"/>
        <v>1.5722764367136246E-4</v>
      </c>
      <c r="X326" s="177">
        <f t="shared" si="308"/>
        <v>1.572276645962366E-4</v>
      </c>
      <c r="Y326" s="177">
        <f t="shared" si="308"/>
        <v>1.5722762646836218E-4</v>
      </c>
      <c r="Z326" s="177">
        <f t="shared" si="308"/>
        <v>1.5722765110383273E-4</v>
      </c>
      <c r="AA326" s="177">
        <f t="shared" si="308"/>
        <v>1.5722757851405935E-4</v>
      </c>
      <c r="AB326" s="177">
        <f t="shared" si="308"/>
        <v>1.5721763092417081E-4</v>
      </c>
      <c r="AC326" s="177">
        <f t="shared" si="308"/>
        <v>1.5721760478352076E-4</v>
      </c>
      <c r="AD326" s="177">
        <f t="shared" si="308"/>
        <v>1.5721765586055716E-4</v>
      </c>
      <c r="AE326" s="177">
        <f t="shared" si="308"/>
        <v>1.5721765586055716E-4</v>
      </c>
      <c r="AF326" s="177">
        <f t="shared" si="308"/>
        <v>1.5721765586055716E-4</v>
      </c>
      <c r="AG326" s="177">
        <f t="shared" si="308"/>
        <v>1.5721765586055716E-4</v>
      </c>
      <c r="AH326" s="177">
        <f t="shared" si="308"/>
        <v>1.5721765586055716E-4</v>
      </c>
      <c r="AI326" s="177">
        <f t="shared" si="308"/>
        <v>1.5721765586055716E-4</v>
      </c>
      <c r="AJ326" s="177">
        <f t="shared" si="308"/>
        <v>1.5721765586055716E-4</v>
      </c>
      <c r="AK326" s="177">
        <f t="shared" si="308"/>
        <v>1.5721765586055716E-4</v>
      </c>
      <c r="AL326" s="177">
        <f t="shared" si="308"/>
        <v>1.5721765586055716E-4</v>
      </c>
      <c r="AM326" s="177">
        <f t="shared" si="308"/>
        <v>1.5721765586055716E-4</v>
      </c>
      <c r="AN326" s="177">
        <f t="shared" si="308"/>
        <v>1.5721765586055716E-4</v>
      </c>
      <c r="AO326" s="177">
        <f t="shared" si="308"/>
        <v>1.5721765586055716E-4</v>
      </c>
      <c r="AP326" s="177">
        <f t="shared" si="308"/>
        <v>1.5721765586055716E-4</v>
      </c>
      <c r="AQ326" s="177">
        <f t="shared" si="308"/>
        <v>1.5721765586055716E-4</v>
      </c>
      <c r="AR326" s="177">
        <f t="shared" si="308"/>
        <v>1.5721765586055716E-4</v>
      </c>
      <c r="AS326" s="197">
        <f t="shared" ref="AS326:BV326" si="309">AR326</f>
        <v>1.5721765586055716E-4</v>
      </c>
      <c r="AT326" s="197">
        <f t="shared" si="309"/>
        <v>1.5721765586055716E-4</v>
      </c>
      <c r="AU326" s="197">
        <f t="shared" si="309"/>
        <v>1.5721765586055716E-4</v>
      </c>
      <c r="AV326" s="197">
        <f t="shared" si="309"/>
        <v>1.5721765586055716E-4</v>
      </c>
      <c r="AW326" s="197">
        <f t="shared" si="309"/>
        <v>1.5721765586055716E-4</v>
      </c>
      <c r="AX326" s="197">
        <f t="shared" si="309"/>
        <v>1.5721765586055716E-4</v>
      </c>
      <c r="AY326" s="197">
        <f t="shared" si="309"/>
        <v>1.5721765586055716E-4</v>
      </c>
      <c r="AZ326" s="197">
        <f t="shared" si="309"/>
        <v>1.5721765586055716E-4</v>
      </c>
      <c r="BA326" s="197">
        <f t="shared" si="309"/>
        <v>1.5721765586055716E-4</v>
      </c>
      <c r="BB326" s="197">
        <f t="shared" si="309"/>
        <v>1.5721765586055716E-4</v>
      </c>
      <c r="BC326" s="197">
        <f t="shared" si="309"/>
        <v>1.5721765586055716E-4</v>
      </c>
      <c r="BD326" s="197">
        <f t="shared" si="309"/>
        <v>1.5721765586055716E-4</v>
      </c>
      <c r="BE326" s="197">
        <f t="shared" si="309"/>
        <v>1.5721765586055716E-4</v>
      </c>
      <c r="BF326" s="197">
        <f t="shared" si="309"/>
        <v>1.5721765586055716E-4</v>
      </c>
      <c r="BG326" s="197">
        <f t="shared" si="309"/>
        <v>1.5721765586055716E-4</v>
      </c>
      <c r="BH326" s="197">
        <f t="shared" si="309"/>
        <v>1.5721765586055716E-4</v>
      </c>
      <c r="BI326" s="197">
        <f t="shared" si="309"/>
        <v>1.5721765586055716E-4</v>
      </c>
      <c r="BJ326" s="197">
        <f t="shared" si="309"/>
        <v>1.5721765586055716E-4</v>
      </c>
      <c r="BK326" s="197">
        <f t="shared" si="309"/>
        <v>1.5721765586055716E-4</v>
      </c>
      <c r="BL326" s="197">
        <f t="shared" si="309"/>
        <v>1.5721765586055716E-4</v>
      </c>
      <c r="BM326" s="197">
        <f t="shared" si="309"/>
        <v>1.5721765586055716E-4</v>
      </c>
      <c r="BN326" s="197">
        <f t="shared" si="309"/>
        <v>1.5721765586055716E-4</v>
      </c>
      <c r="BO326" s="197">
        <f t="shared" si="309"/>
        <v>1.5721765586055716E-4</v>
      </c>
      <c r="BP326" s="197">
        <f t="shared" si="309"/>
        <v>1.5721765586055716E-4</v>
      </c>
      <c r="BQ326" s="197">
        <f t="shared" si="309"/>
        <v>1.5721765586055716E-4</v>
      </c>
      <c r="BR326" s="197">
        <f t="shared" si="309"/>
        <v>1.5721765586055716E-4</v>
      </c>
      <c r="BS326" s="197">
        <f t="shared" si="309"/>
        <v>1.5721765586055716E-4</v>
      </c>
      <c r="BT326" s="197">
        <f t="shared" si="309"/>
        <v>1.5721765586055716E-4</v>
      </c>
      <c r="BU326" s="197">
        <f t="shared" si="309"/>
        <v>1.5721765586055716E-4</v>
      </c>
      <c r="BV326" s="197">
        <f t="shared" si="309"/>
        <v>1.5721765586055716E-4</v>
      </c>
    </row>
    <row r="327" spans="1:74" x14ac:dyDescent="0.25">
      <c r="A327" s="147" t="s">
        <v>200</v>
      </c>
      <c r="C327" s="142"/>
      <c r="D327" s="177">
        <f t="shared" ref="D327:AR327" si="310">D263*D$48</f>
        <v>1.1210339837075187E-3</v>
      </c>
      <c r="E327" s="177">
        <f t="shared" si="310"/>
        <v>1.12103402192351E-3</v>
      </c>
      <c r="F327" s="177">
        <f t="shared" si="310"/>
        <v>1.1210340601395042E-3</v>
      </c>
      <c r="G327" s="177">
        <f t="shared" si="310"/>
        <v>1.121034098355501E-3</v>
      </c>
      <c r="H327" s="177">
        <f t="shared" si="310"/>
        <v>1.1210341365715003E-3</v>
      </c>
      <c r="I327" s="177">
        <f t="shared" si="310"/>
        <v>1.1210341747875019E-3</v>
      </c>
      <c r="J327" s="177">
        <f t="shared" si="310"/>
        <v>1.1210340340068138E-3</v>
      </c>
      <c r="K327" s="177">
        <f t="shared" si="310"/>
        <v>1.121034103554142E-3</v>
      </c>
      <c r="L327" s="177">
        <f t="shared" si="310"/>
        <v>1.1307786032233175E-3</v>
      </c>
      <c r="M327" s="177">
        <f t="shared" si="310"/>
        <v>1.1307783989153617E-3</v>
      </c>
      <c r="N327" s="177">
        <f t="shared" si="310"/>
        <v>1.1307783988708838E-3</v>
      </c>
      <c r="O327" s="177">
        <f t="shared" si="310"/>
        <v>1.1307783057736753E-3</v>
      </c>
      <c r="P327" s="177">
        <f t="shared" si="310"/>
        <v>1.1307785184593859E-3</v>
      </c>
      <c r="Q327" s="177">
        <f t="shared" si="310"/>
        <v>1.1307783193206813E-3</v>
      </c>
      <c r="R327" s="177">
        <f t="shared" si="310"/>
        <v>1.1307783604467005E-3</v>
      </c>
      <c r="S327" s="177">
        <f t="shared" si="310"/>
        <v>1.1307781407805476E-3</v>
      </c>
      <c r="T327" s="177">
        <f t="shared" si="310"/>
        <v>1.1307779491662477E-3</v>
      </c>
      <c r="U327" s="177">
        <f t="shared" si="310"/>
        <v>1.1307799110133211E-3</v>
      </c>
      <c r="V327" s="177">
        <f t="shared" si="310"/>
        <v>1.1307776291743638E-3</v>
      </c>
      <c r="W327" s="177">
        <f t="shared" si="310"/>
        <v>1.1307803396438786E-3</v>
      </c>
      <c r="X327" s="177">
        <f t="shared" si="310"/>
        <v>1.1307792329190473E-3</v>
      </c>
      <c r="Y327" s="177">
        <f t="shared" si="310"/>
        <v>1.1307777374028403E-3</v>
      </c>
      <c r="Z327" s="177">
        <f t="shared" si="310"/>
        <v>1.1307792987200881E-3</v>
      </c>
      <c r="AA327" s="177">
        <f t="shared" si="310"/>
        <v>1.1307792987200881E-3</v>
      </c>
      <c r="AB327" s="177">
        <f t="shared" si="310"/>
        <v>1.1307792987200881E-3</v>
      </c>
      <c r="AC327" s="177">
        <f t="shared" si="310"/>
        <v>1.1307792987200881E-3</v>
      </c>
      <c r="AD327" s="177">
        <f t="shared" si="310"/>
        <v>1.1307863240038382E-3</v>
      </c>
      <c r="AE327" s="177">
        <f t="shared" si="310"/>
        <v>1.1307847836479429E-3</v>
      </c>
      <c r="AF327" s="177">
        <f t="shared" si="310"/>
        <v>1.1307847836479429E-3</v>
      </c>
      <c r="AG327" s="177">
        <f t="shared" si="310"/>
        <v>1.1307847836479429E-3</v>
      </c>
      <c r="AH327" s="177">
        <f t="shared" si="310"/>
        <v>1.1307847836479429E-3</v>
      </c>
      <c r="AI327" s="177">
        <f t="shared" si="310"/>
        <v>1.1307847836479429E-3</v>
      </c>
      <c r="AJ327" s="177">
        <f t="shared" si="310"/>
        <v>1.1307847836479429E-3</v>
      </c>
      <c r="AK327" s="177">
        <f t="shared" si="310"/>
        <v>1.1307847836479429E-3</v>
      </c>
      <c r="AL327" s="177">
        <f t="shared" si="310"/>
        <v>1.1307847836479429E-3</v>
      </c>
      <c r="AM327" s="177">
        <f t="shared" si="310"/>
        <v>1.1307847836479429E-3</v>
      </c>
      <c r="AN327" s="177">
        <f t="shared" si="310"/>
        <v>1.1307847836479429E-3</v>
      </c>
      <c r="AO327" s="177">
        <f t="shared" si="310"/>
        <v>1.1307847836479429E-3</v>
      </c>
      <c r="AP327" s="177">
        <f t="shared" si="310"/>
        <v>1.1307847836479429E-3</v>
      </c>
      <c r="AQ327" s="177">
        <f t="shared" si="310"/>
        <v>1.1307847836479429E-3</v>
      </c>
      <c r="AR327" s="177">
        <f t="shared" si="310"/>
        <v>1.1307847836479429E-3</v>
      </c>
      <c r="AS327" s="197">
        <f t="shared" ref="AS327:BV327" si="311">AR327</f>
        <v>1.1307847836479429E-3</v>
      </c>
      <c r="AT327" s="197">
        <f t="shared" si="311"/>
        <v>1.1307847836479429E-3</v>
      </c>
      <c r="AU327" s="197">
        <f t="shared" si="311"/>
        <v>1.1307847836479429E-3</v>
      </c>
      <c r="AV327" s="197">
        <f t="shared" si="311"/>
        <v>1.1307847836479429E-3</v>
      </c>
      <c r="AW327" s="197">
        <f t="shared" si="311"/>
        <v>1.1307847836479429E-3</v>
      </c>
      <c r="AX327" s="197">
        <f t="shared" si="311"/>
        <v>1.1307847836479429E-3</v>
      </c>
      <c r="AY327" s="197">
        <f t="shared" si="311"/>
        <v>1.1307847836479429E-3</v>
      </c>
      <c r="AZ327" s="197">
        <f t="shared" si="311"/>
        <v>1.1307847836479429E-3</v>
      </c>
      <c r="BA327" s="197">
        <f t="shared" si="311"/>
        <v>1.1307847836479429E-3</v>
      </c>
      <c r="BB327" s="197">
        <f t="shared" si="311"/>
        <v>1.1307847836479429E-3</v>
      </c>
      <c r="BC327" s="197">
        <f t="shared" si="311"/>
        <v>1.1307847836479429E-3</v>
      </c>
      <c r="BD327" s="197">
        <f t="shared" si="311"/>
        <v>1.1307847836479429E-3</v>
      </c>
      <c r="BE327" s="197">
        <f t="shared" si="311"/>
        <v>1.1307847836479429E-3</v>
      </c>
      <c r="BF327" s="197">
        <f t="shared" si="311"/>
        <v>1.1307847836479429E-3</v>
      </c>
      <c r="BG327" s="197">
        <f t="shared" si="311"/>
        <v>1.1307847836479429E-3</v>
      </c>
      <c r="BH327" s="197">
        <f t="shared" si="311"/>
        <v>1.1307847836479429E-3</v>
      </c>
      <c r="BI327" s="197">
        <f t="shared" si="311"/>
        <v>1.1307847836479429E-3</v>
      </c>
      <c r="BJ327" s="197">
        <f t="shared" si="311"/>
        <v>1.1307847836479429E-3</v>
      </c>
      <c r="BK327" s="197">
        <f t="shared" si="311"/>
        <v>1.1307847836479429E-3</v>
      </c>
      <c r="BL327" s="197">
        <f t="shared" si="311"/>
        <v>1.1307847836479429E-3</v>
      </c>
      <c r="BM327" s="197">
        <f t="shared" si="311"/>
        <v>1.1307847836479429E-3</v>
      </c>
      <c r="BN327" s="197">
        <f t="shared" si="311"/>
        <v>1.1307847836479429E-3</v>
      </c>
      <c r="BO327" s="197">
        <f t="shared" si="311"/>
        <v>1.1307847836479429E-3</v>
      </c>
      <c r="BP327" s="197">
        <f t="shared" si="311"/>
        <v>1.1307847836479429E-3</v>
      </c>
      <c r="BQ327" s="197">
        <f t="shared" si="311"/>
        <v>1.1307847836479429E-3</v>
      </c>
      <c r="BR327" s="197">
        <f t="shared" si="311"/>
        <v>1.1307847836479429E-3</v>
      </c>
      <c r="BS327" s="197">
        <f t="shared" si="311"/>
        <v>1.1307847836479429E-3</v>
      </c>
      <c r="BT327" s="197">
        <f t="shared" si="311"/>
        <v>1.1307847836479429E-3</v>
      </c>
      <c r="BU327" s="197">
        <f t="shared" si="311"/>
        <v>1.1307847836479429E-3</v>
      </c>
      <c r="BV327" s="197">
        <f t="shared" si="311"/>
        <v>1.1307847836479429E-3</v>
      </c>
    </row>
    <row r="328" spans="1:74" x14ac:dyDescent="0.25">
      <c r="A328" s="141" t="s">
        <v>194</v>
      </c>
      <c r="B328" s="148"/>
      <c r="C328" s="142"/>
      <c r="D328" s="177">
        <f t="shared" ref="D328:AR328" si="312">D264*D$48</f>
        <v>1.270069492008372E-7</v>
      </c>
      <c r="E328" s="177">
        <f t="shared" si="312"/>
        <v>1.2700694925003091E-7</v>
      </c>
      <c r="F328" s="177">
        <f t="shared" si="312"/>
        <v>1.270069492992246E-7</v>
      </c>
      <c r="G328" s="177">
        <f t="shared" si="312"/>
        <v>1.2700694934841829E-7</v>
      </c>
      <c r="H328" s="177">
        <f t="shared" si="312"/>
        <v>1.27006949397612E-7</v>
      </c>
      <c r="I328" s="177">
        <f t="shared" si="312"/>
        <v>1.2700694944680564E-7</v>
      </c>
      <c r="J328" s="177">
        <f t="shared" si="312"/>
        <v>1.2700694924315989E-7</v>
      </c>
      <c r="K328" s="177">
        <f t="shared" si="312"/>
        <v>1.2700694941941212E-7</v>
      </c>
      <c r="L328" s="177">
        <f t="shared" si="312"/>
        <v>1.2470588235294119E-7</v>
      </c>
      <c r="M328" s="177">
        <f t="shared" si="312"/>
        <v>1.2470588192388398E-7</v>
      </c>
      <c r="N328" s="177">
        <f t="shared" si="312"/>
        <v>1.2470588194107565E-7</v>
      </c>
      <c r="O328" s="177">
        <f t="shared" si="312"/>
        <v>1.247058819925892E-7</v>
      </c>
      <c r="P328" s="177">
        <f t="shared" si="312"/>
        <v>1.2470588199694195E-7</v>
      </c>
      <c r="Q328" s="177">
        <f t="shared" si="312"/>
        <v>1.2470588235294119E-7</v>
      </c>
      <c r="R328" s="177">
        <f t="shared" si="312"/>
        <v>1.2470588235294119E-7</v>
      </c>
      <c r="S328" s="177">
        <f t="shared" si="312"/>
        <v>1.2470588201844253E-7</v>
      </c>
      <c r="T328" s="177">
        <f t="shared" si="312"/>
        <v>1.2470588203754569E-7</v>
      </c>
      <c r="U328" s="177">
        <f t="shared" si="312"/>
        <v>1.2470588293770595E-7</v>
      </c>
      <c r="V328" s="177">
        <f t="shared" si="312"/>
        <v>1.2470587794712123E-7</v>
      </c>
      <c r="W328" s="177">
        <f t="shared" si="312"/>
        <v>1.2470586941887643E-7</v>
      </c>
      <c r="X328" s="177">
        <f t="shared" si="312"/>
        <v>1.2470589538251528E-7</v>
      </c>
      <c r="Y328" s="177">
        <f t="shared" si="312"/>
        <v>1.2470588009393751E-7</v>
      </c>
      <c r="Z328" s="177">
        <f t="shared" si="312"/>
        <v>1.4689579809634897E-7</v>
      </c>
      <c r="AA328" s="177">
        <f t="shared" si="312"/>
        <v>1.4689576984032056E-7</v>
      </c>
      <c r="AB328" s="177">
        <f t="shared" si="312"/>
        <v>1.4689576984032056E-7</v>
      </c>
      <c r="AC328" s="177">
        <f t="shared" si="312"/>
        <v>1.4689576984032056E-7</v>
      </c>
      <c r="AD328" s="177">
        <f t="shared" si="312"/>
        <v>1.4689578839936621E-7</v>
      </c>
      <c r="AE328" s="177">
        <f t="shared" si="312"/>
        <v>1.4689578839936621E-7</v>
      </c>
      <c r="AF328" s="177">
        <f t="shared" si="312"/>
        <v>1.4689578839936621E-7</v>
      </c>
      <c r="AG328" s="177">
        <f t="shared" si="312"/>
        <v>1.4689578839936621E-7</v>
      </c>
      <c r="AH328" s="177">
        <f t="shared" si="312"/>
        <v>1.4689578839936621E-7</v>
      </c>
      <c r="AI328" s="177">
        <f t="shared" si="312"/>
        <v>1.4689578839936621E-7</v>
      </c>
      <c r="AJ328" s="177">
        <f t="shared" si="312"/>
        <v>1.4689578839936621E-7</v>
      </c>
      <c r="AK328" s="177">
        <f t="shared" si="312"/>
        <v>1.4689578839936621E-7</v>
      </c>
      <c r="AL328" s="177">
        <f t="shared" si="312"/>
        <v>1.4689578839936621E-7</v>
      </c>
      <c r="AM328" s="177">
        <f t="shared" si="312"/>
        <v>1.4689578839936621E-7</v>
      </c>
      <c r="AN328" s="177">
        <f t="shared" si="312"/>
        <v>1.4689578839936621E-7</v>
      </c>
      <c r="AO328" s="177">
        <f t="shared" si="312"/>
        <v>1.4689578839936621E-7</v>
      </c>
      <c r="AP328" s="177">
        <f t="shared" si="312"/>
        <v>1.4689578839936621E-7</v>
      </c>
      <c r="AQ328" s="177">
        <f t="shared" si="312"/>
        <v>1.4689578839936621E-7</v>
      </c>
      <c r="AR328" s="177">
        <f t="shared" si="312"/>
        <v>1.4689578839936621E-7</v>
      </c>
      <c r="AS328" s="197">
        <f t="shared" ref="AS328:BV328" si="313">AR328</f>
        <v>1.4689578839936621E-7</v>
      </c>
      <c r="AT328" s="197">
        <f t="shared" si="313"/>
        <v>1.4689578839936621E-7</v>
      </c>
      <c r="AU328" s="197">
        <f t="shared" si="313"/>
        <v>1.4689578839936621E-7</v>
      </c>
      <c r="AV328" s="197">
        <f t="shared" si="313"/>
        <v>1.4689578839936621E-7</v>
      </c>
      <c r="AW328" s="197">
        <f t="shared" si="313"/>
        <v>1.4689578839936621E-7</v>
      </c>
      <c r="AX328" s="197">
        <f t="shared" si="313"/>
        <v>1.4689578839936621E-7</v>
      </c>
      <c r="AY328" s="197">
        <f t="shared" si="313"/>
        <v>1.4689578839936621E-7</v>
      </c>
      <c r="AZ328" s="197">
        <f t="shared" si="313"/>
        <v>1.4689578839936621E-7</v>
      </c>
      <c r="BA328" s="197">
        <f t="shared" si="313"/>
        <v>1.4689578839936621E-7</v>
      </c>
      <c r="BB328" s="197">
        <f t="shared" si="313"/>
        <v>1.4689578839936621E-7</v>
      </c>
      <c r="BC328" s="197">
        <f t="shared" si="313"/>
        <v>1.4689578839936621E-7</v>
      </c>
      <c r="BD328" s="197">
        <f t="shared" si="313"/>
        <v>1.4689578839936621E-7</v>
      </c>
      <c r="BE328" s="197">
        <f t="shared" si="313"/>
        <v>1.4689578839936621E-7</v>
      </c>
      <c r="BF328" s="197">
        <f t="shared" si="313"/>
        <v>1.4689578839936621E-7</v>
      </c>
      <c r="BG328" s="197">
        <f t="shared" si="313"/>
        <v>1.4689578839936621E-7</v>
      </c>
      <c r="BH328" s="197">
        <f t="shared" si="313"/>
        <v>1.4689578839936621E-7</v>
      </c>
      <c r="BI328" s="197">
        <f t="shared" si="313"/>
        <v>1.4689578839936621E-7</v>
      </c>
      <c r="BJ328" s="197">
        <f t="shared" si="313"/>
        <v>1.4689578839936621E-7</v>
      </c>
      <c r="BK328" s="197">
        <f t="shared" si="313"/>
        <v>1.4689578839936621E-7</v>
      </c>
      <c r="BL328" s="197">
        <f t="shared" si="313"/>
        <v>1.4689578839936621E-7</v>
      </c>
      <c r="BM328" s="197">
        <f t="shared" si="313"/>
        <v>1.4689578839936621E-7</v>
      </c>
      <c r="BN328" s="197">
        <f t="shared" si="313"/>
        <v>1.4689578839936621E-7</v>
      </c>
      <c r="BO328" s="197">
        <f t="shared" si="313"/>
        <v>1.4689578839936621E-7</v>
      </c>
      <c r="BP328" s="197">
        <f t="shared" si="313"/>
        <v>1.4689578839936621E-7</v>
      </c>
      <c r="BQ328" s="197">
        <f t="shared" si="313"/>
        <v>1.4689578839936621E-7</v>
      </c>
      <c r="BR328" s="197">
        <f t="shared" si="313"/>
        <v>1.4689578839936621E-7</v>
      </c>
      <c r="BS328" s="197">
        <f t="shared" si="313"/>
        <v>1.4689578839936621E-7</v>
      </c>
      <c r="BT328" s="197">
        <f t="shared" si="313"/>
        <v>1.4689578839936621E-7</v>
      </c>
      <c r="BU328" s="197">
        <f t="shared" si="313"/>
        <v>1.4689578839936621E-7</v>
      </c>
      <c r="BV328" s="197">
        <f t="shared" si="313"/>
        <v>1.4689578839936621E-7</v>
      </c>
    </row>
    <row r="329" spans="1:74" x14ac:dyDescent="0.25">
      <c r="A329" s="147" t="s">
        <v>201</v>
      </c>
      <c r="C329" s="142"/>
      <c r="D329" s="177">
        <f t="shared" ref="D329:AR329" si="314">D265*D$48</f>
        <v>5.0620821394460353E-4</v>
      </c>
      <c r="E329" s="177">
        <f t="shared" si="314"/>
        <v>5.0620821394460353E-4</v>
      </c>
      <c r="F329" s="177">
        <f t="shared" si="314"/>
        <v>5.0620821394460353E-4</v>
      </c>
      <c r="G329" s="177">
        <f t="shared" si="314"/>
        <v>5.0620821394460353E-4</v>
      </c>
      <c r="H329" s="177">
        <f t="shared" si="314"/>
        <v>5.0620821394460353E-4</v>
      </c>
      <c r="I329" s="177">
        <f t="shared" si="314"/>
        <v>5.0620821394460353E-4</v>
      </c>
      <c r="J329" s="177">
        <f t="shared" si="314"/>
        <v>5.0620821394460353E-4</v>
      </c>
      <c r="K329" s="177">
        <f t="shared" si="314"/>
        <v>5.0620821394460353E-4</v>
      </c>
      <c r="L329" s="177">
        <f t="shared" si="314"/>
        <v>5.0620821394460353E-4</v>
      </c>
      <c r="M329" s="177">
        <f t="shared" si="314"/>
        <v>5.0620821394460353E-4</v>
      </c>
      <c r="N329" s="177">
        <f t="shared" si="314"/>
        <v>5.0620821394460353E-4</v>
      </c>
      <c r="O329" s="177">
        <f t="shared" si="314"/>
        <v>5.0620821394460353E-4</v>
      </c>
      <c r="P329" s="177">
        <f t="shared" si="314"/>
        <v>5.0620821394460353E-4</v>
      </c>
      <c r="Q329" s="177">
        <f t="shared" si="314"/>
        <v>5.0620821394460353E-4</v>
      </c>
      <c r="R329" s="177">
        <f t="shared" si="314"/>
        <v>5.0620821394460353E-4</v>
      </c>
      <c r="S329" s="177">
        <f t="shared" si="314"/>
        <v>5.0620821002817916E-4</v>
      </c>
      <c r="T329" s="177">
        <f t="shared" si="314"/>
        <v>5.0620822095527563E-4</v>
      </c>
      <c r="U329" s="177">
        <f t="shared" si="314"/>
        <v>5.0620822302067567E-4</v>
      </c>
      <c r="V329" s="177">
        <f t="shared" si="314"/>
        <v>5.0620820020755276E-4</v>
      </c>
      <c r="W329" s="177">
        <f t="shared" si="314"/>
        <v>5.0620820334698179E-4</v>
      </c>
      <c r="X329" s="177">
        <f t="shared" si="314"/>
        <v>5.0620823169629774E-4</v>
      </c>
      <c r="Y329" s="177">
        <f t="shared" si="314"/>
        <v>5.0620822927313343E-4</v>
      </c>
      <c r="Z329" s="177">
        <f t="shared" si="314"/>
        <v>5.0620821892986953E-4</v>
      </c>
      <c r="AA329" s="177">
        <f t="shared" si="314"/>
        <v>5.062082009678955E-4</v>
      </c>
      <c r="AB329" s="177">
        <f t="shared" si="314"/>
        <v>5.0620821647137085E-4</v>
      </c>
      <c r="AC329" s="177">
        <f t="shared" si="314"/>
        <v>5.0620820442915325E-4</v>
      </c>
      <c r="AD329" s="177">
        <f t="shared" si="314"/>
        <v>5.0620822658566469E-4</v>
      </c>
      <c r="AE329" s="177">
        <f t="shared" si="314"/>
        <v>5.0620819911389276E-4</v>
      </c>
      <c r="AF329" s="177">
        <f t="shared" si="314"/>
        <v>5.0620819911389276E-4</v>
      </c>
      <c r="AG329" s="177">
        <f t="shared" si="314"/>
        <v>5.0620819911389276E-4</v>
      </c>
      <c r="AH329" s="177">
        <f t="shared" si="314"/>
        <v>5.0620819911389276E-4</v>
      </c>
      <c r="AI329" s="177">
        <f t="shared" si="314"/>
        <v>5.0620819911389276E-4</v>
      </c>
      <c r="AJ329" s="177">
        <f t="shared" si="314"/>
        <v>5.0620819911389276E-4</v>
      </c>
      <c r="AK329" s="177">
        <f t="shared" si="314"/>
        <v>5.0620819911389276E-4</v>
      </c>
      <c r="AL329" s="177">
        <f t="shared" si="314"/>
        <v>5.0620819911389276E-4</v>
      </c>
      <c r="AM329" s="177">
        <f t="shared" si="314"/>
        <v>5.0620819911389276E-4</v>
      </c>
      <c r="AN329" s="177">
        <f t="shared" si="314"/>
        <v>5.0620819911389276E-4</v>
      </c>
      <c r="AO329" s="177">
        <f t="shared" si="314"/>
        <v>5.0620819911389276E-4</v>
      </c>
      <c r="AP329" s="177">
        <f t="shared" si="314"/>
        <v>5.0620819911389276E-4</v>
      </c>
      <c r="AQ329" s="177">
        <f t="shared" si="314"/>
        <v>5.0620819911389276E-4</v>
      </c>
      <c r="AR329" s="177">
        <f t="shared" si="314"/>
        <v>5.0620819911389276E-4</v>
      </c>
      <c r="AS329" s="197">
        <f t="shared" ref="AS329:BV329" si="315">AR329</f>
        <v>5.0620819911389276E-4</v>
      </c>
      <c r="AT329" s="197">
        <f t="shared" si="315"/>
        <v>5.0620819911389276E-4</v>
      </c>
      <c r="AU329" s="197">
        <f t="shared" si="315"/>
        <v>5.0620819911389276E-4</v>
      </c>
      <c r="AV329" s="197">
        <f t="shared" si="315"/>
        <v>5.0620819911389276E-4</v>
      </c>
      <c r="AW329" s="197">
        <f t="shared" si="315"/>
        <v>5.0620819911389276E-4</v>
      </c>
      <c r="AX329" s="197">
        <f t="shared" si="315"/>
        <v>5.0620819911389276E-4</v>
      </c>
      <c r="AY329" s="197">
        <f t="shared" si="315"/>
        <v>5.0620819911389276E-4</v>
      </c>
      <c r="AZ329" s="197">
        <f t="shared" si="315"/>
        <v>5.0620819911389276E-4</v>
      </c>
      <c r="BA329" s="197">
        <f t="shared" si="315"/>
        <v>5.0620819911389276E-4</v>
      </c>
      <c r="BB329" s="197">
        <f t="shared" si="315"/>
        <v>5.0620819911389276E-4</v>
      </c>
      <c r="BC329" s="197">
        <f t="shared" si="315"/>
        <v>5.0620819911389276E-4</v>
      </c>
      <c r="BD329" s="197">
        <f t="shared" si="315"/>
        <v>5.0620819911389276E-4</v>
      </c>
      <c r="BE329" s="197">
        <f t="shared" si="315"/>
        <v>5.0620819911389276E-4</v>
      </c>
      <c r="BF329" s="197">
        <f t="shared" si="315"/>
        <v>5.0620819911389276E-4</v>
      </c>
      <c r="BG329" s="197">
        <f t="shared" si="315"/>
        <v>5.0620819911389276E-4</v>
      </c>
      <c r="BH329" s="197">
        <f t="shared" si="315"/>
        <v>5.0620819911389276E-4</v>
      </c>
      <c r="BI329" s="197">
        <f t="shared" si="315"/>
        <v>5.0620819911389276E-4</v>
      </c>
      <c r="BJ329" s="197">
        <f t="shared" si="315"/>
        <v>5.0620819911389276E-4</v>
      </c>
      <c r="BK329" s="197">
        <f t="shared" si="315"/>
        <v>5.0620819911389276E-4</v>
      </c>
      <c r="BL329" s="197">
        <f t="shared" si="315"/>
        <v>5.0620819911389276E-4</v>
      </c>
      <c r="BM329" s="197">
        <f t="shared" si="315"/>
        <v>5.0620819911389276E-4</v>
      </c>
      <c r="BN329" s="197">
        <f t="shared" si="315"/>
        <v>5.0620819911389276E-4</v>
      </c>
      <c r="BO329" s="197">
        <f t="shared" si="315"/>
        <v>5.0620819911389276E-4</v>
      </c>
      <c r="BP329" s="197">
        <f t="shared" si="315"/>
        <v>5.0620819911389276E-4</v>
      </c>
      <c r="BQ329" s="197">
        <f t="shared" si="315"/>
        <v>5.0620819911389276E-4</v>
      </c>
      <c r="BR329" s="197">
        <f t="shared" si="315"/>
        <v>5.0620819911389276E-4</v>
      </c>
      <c r="BS329" s="197">
        <f t="shared" si="315"/>
        <v>5.0620819911389276E-4</v>
      </c>
      <c r="BT329" s="197">
        <f t="shared" si="315"/>
        <v>5.0620819911389276E-4</v>
      </c>
      <c r="BU329" s="197">
        <f t="shared" si="315"/>
        <v>5.0620819911389276E-4</v>
      </c>
      <c r="BV329" s="197">
        <f t="shared" si="315"/>
        <v>5.0620819911389276E-4</v>
      </c>
    </row>
    <row r="330" spans="1:74" x14ac:dyDescent="0.25">
      <c r="A330" s="147" t="s">
        <v>202</v>
      </c>
      <c r="C330" s="142"/>
      <c r="D330" s="177">
        <f t="shared" ref="D330:AR330" si="316">D266*D$48</f>
        <v>0</v>
      </c>
      <c r="E330" s="177">
        <f t="shared" si="316"/>
        <v>0</v>
      </c>
      <c r="F330" s="177">
        <f t="shared" si="316"/>
        <v>0</v>
      </c>
      <c r="G330" s="177">
        <f t="shared" si="316"/>
        <v>0</v>
      </c>
      <c r="H330" s="177">
        <f t="shared" si="316"/>
        <v>0</v>
      </c>
      <c r="I330" s="177">
        <f t="shared" si="316"/>
        <v>0</v>
      </c>
      <c r="J330" s="177">
        <f t="shared" si="316"/>
        <v>0</v>
      </c>
      <c r="K330" s="177">
        <f t="shared" si="316"/>
        <v>0</v>
      </c>
      <c r="L330" s="177">
        <f t="shared" si="316"/>
        <v>0</v>
      </c>
      <c r="M330" s="177">
        <f t="shared" si="316"/>
        <v>0</v>
      </c>
      <c r="N330" s="177">
        <f t="shared" si="316"/>
        <v>0</v>
      </c>
      <c r="O330" s="177">
        <f t="shared" si="316"/>
        <v>0</v>
      </c>
      <c r="P330" s="177">
        <f t="shared" si="316"/>
        <v>0</v>
      </c>
      <c r="Q330" s="177">
        <f t="shared" si="316"/>
        <v>0</v>
      </c>
      <c r="R330" s="177">
        <f t="shared" si="316"/>
        <v>0</v>
      </c>
      <c r="S330" s="177">
        <f t="shared" si="316"/>
        <v>0</v>
      </c>
      <c r="T330" s="177">
        <f t="shared" si="316"/>
        <v>0</v>
      </c>
      <c r="U330" s="177">
        <f t="shared" si="316"/>
        <v>0</v>
      </c>
      <c r="V330" s="177">
        <f t="shared" si="316"/>
        <v>0</v>
      </c>
      <c r="W330" s="177">
        <f t="shared" si="316"/>
        <v>0</v>
      </c>
      <c r="X330" s="177">
        <f t="shared" si="316"/>
        <v>0</v>
      </c>
      <c r="Y330" s="177">
        <f t="shared" si="316"/>
        <v>0</v>
      </c>
      <c r="Z330" s="177">
        <f t="shared" si="316"/>
        <v>0</v>
      </c>
      <c r="AA330" s="177">
        <f t="shared" si="316"/>
        <v>0</v>
      </c>
      <c r="AB330" s="177">
        <f t="shared" si="316"/>
        <v>0</v>
      </c>
      <c r="AC330" s="177">
        <f t="shared" si="316"/>
        <v>0</v>
      </c>
      <c r="AD330" s="177">
        <f t="shared" si="316"/>
        <v>0</v>
      </c>
      <c r="AE330" s="177">
        <f t="shared" si="316"/>
        <v>0</v>
      </c>
      <c r="AF330" s="177">
        <f t="shared" si="316"/>
        <v>0</v>
      </c>
      <c r="AG330" s="177">
        <f t="shared" si="316"/>
        <v>0</v>
      </c>
      <c r="AH330" s="177">
        <f t="shared" si="316"/>
        <v>0</v>
      </c>
      <c r="AI330" s="177">
        <f t="shared" si="316"/>
        <v>0</v>
      </c>
      <c r="AJ330" s="177">
        <f t="shared" si="316"/>
        <v>0</v>
      </c>
      <c r="AK330" s="177">
        <f t="shared" si="316"/>
        <v>0</v>
      </c>
      <c r="AL330" s="177">
        <f t="shared" si="316"/>
        <v>0</v>
      </c>
      <c r="AM330" s="177">
        <f t="shared" si="316"/>
        <v>0</v>
      </c>
      <c r="AN330" s="177">
        <f t="shared" si="316"/>
        <v>0</v>
      </c>
      <c r="AO330" s="177">
        <f t="shared" si="316"/>
        <v>0</v>
      </c>
      <c r="AP330" s="177">
        <f t="shared" si="316"/>
        <v>0</v>
      </c>
      <c r="AQ330" s="177">
        <f t="shared" si="316"/>
        <v>0</v>
      </c>
      <c r="AR330" s="177">
        <f t="shared" si="316"/>
        <v>0</v>
      </c>
      <c r="AS330" s="197">
        <f t="shared" ref="AS330:BV330" si="317">AR330</f>
        <v>0</v>
      </c>
      <c r="AT330" s="197">
        <f t="shared" si="317"/>
        <v>0</v>
      </c>
      <c r="AU330" s="197">
        <f t="shared" si="317"/>
        <v>0</v>
      </c>
      <c r="AV330" s="197">
        <f t="shared" si="317"/>
        <v>0</v>
      </c>
      <c r="AW330" s="197">
        <f t="shared" si="317"/>
        <v>0</v>
      </c>
      <c r="AX330" s="197">
        <f t="shared" si="317"/>
        <v>0</v>
      </c>
      <c r="AY330" s="197">
        <f t="shared" si="317"/>
        <v>0</v>
      </c>
      <c r="AZ330" s="197">
        <f t="shared" si="317"/>
        <v>0</v>
      </c>
      <c r="BA330" s="197">
        <f t="shared" si="317"/>
        <v>0</v>
      </c>
      <c r="BB330" s="197">
        <f t="shared" si="317"/>
        <v>0</v>
      </c>
      <c r="BC330" s="197">
        <f t="shared" si="317"/>
        <v>0</v>
      </c>
      <c r="BD330" s="197">
        <f t="shared" si="317"/>
        <v>0</v>
      </c>
      <c r="BE330" s="197">
        <f t="shared" si="317"/>
        <v>0</v>
      </c>
      <c r="BF330" s="197">
        <f t="shared" si="317"/>
        <v>0</v>
      </c>
      <c r="BG330" s="197">
        <f t="shared" si="317"/>
        <v>0</v>
      </c>
      <c r="BH330" s="197">
        <f t="shared" si="317"/>
        <v>0</v>
      </c>
      <c r="BI330" s="197">
        <f t="shared" si="317"/>
        <v>0</v>
      </c>
      <c r="BJ330" s="197">
        <f t="shared" si="317"/>
        <v>0</v>
      </c>
      <c r="BK330" s="197">
        <f t="shared" si="317"/>
        <v>0</v>
      </c>
      <c r="BL330" s="197">
        <f t="shared" si="317"/>
        <v>0</v>
      </c>
      <c r="BM330" s="197">
        <f t="shared" si="317"/>
        <v>0</v>
      </c>
      <c r="BN330" s="197">
        <f t="shared" si="317"/>
        <v>0</v>
      </c>
      <c r="BO330" s="197">
        <f t="shared" si="317"/>
        <v>0</v>
      </c>
      <c r="BP330" s="197">
        <f t="shared" si="317"/>
        <v>0</v>
      </c>
      <c r="BQ330" s="197">
        <f t="shared" si="317"/>
        <v>0</v>
      </c>
      <c r="BR330" s="197">
        <f t="shared" si="317"/>
        <v>0</v>
      </c>
      <c r="BS330" s="197">
        <f t="shared" si="317"/>
        <v>0</v>
      </c>
      <c r="BT330" s="197">
        <f t="shared" si="317"/>
        <v>0</v>
      </c>
      <c r="BU330" s="197">
        <f t="shared" si="317"/>
        <v>0</v>
      </c>
      <c r="BV330" s="197">
        <f t="shared" si="317"/>
        <v>0</v>
      </c>
    </row>
    <row r="331" spans="1:74" x14ac:dyDescent="0.25">
      <c r="A331" s="147" t="s">
        <v>204</v>
      </c>
      <c r="B331" s="148"/>
      <c r="C331" s="142"/>
      <c r="D331" s="177">
        <f t="shared" ref="D331:AR331" si="318">D267*D$48</f>
        <v>1.4216738197424894E-7</v>
      </c>
      <c r="E331" s="177">
        <f t="shared" si="318"/>
        <v>1.4216738197424894E-7</v>
      </c>
      <c r="F331" s="177">
        <f t="shared" si="318"/>
        <v>1.4216738197424894E-7</v>
      </c>
      <c r="G331" s="177">
        <f t="shared" si="318"/>
        <v>1.4216738197424894E-7</v>
      </c>
      <c r="H331" s="177">
        <f t="shared" si="318"/>
        <v>1.4216738197424894E-7</v>
      </c>
      <c r="I331" s="177">
        <f t="shared" si="318"/>
        <v>1.4216738197424894E-7</v>
      </c>
      <c r="J331" s="177">
        <f t="shared" si="318"/>
        <v>1.4216738197424894E-7</v>
      </c>
      <c r="K331" s="177">
        <f t="shared" si="318"/>
        <v>1.4216738197424894E-7</v>
      </c>
      <c r="L331" s="177">
        <f t="shared" si="318"/>
        <v>1.405835543766578E-7</v>
      </c>
      <c r="M331" s="177">
        <f t="shared" si="318"/>
        <v>1.4689578713968959E-7</v>
      </c>
      <c r="N331" s="177">
        <f t="shared" si="318"/>
        <v>1.4689578713968959E-7</v>
      </c>
      <c r="O331" s="177">
        <f t="shared" si="318"/>
        <v>1.4689578713968959E-7</v>
      </c>
      <c r="P331" s="177">
        <f t="shared" si="318"/>
        <v>1.4689578713968959E-7</v>
      </c>
      <c r="Q331" s="177">
        <f t="shared" si="318"/>
        <v>1.4689578713968959E-7</v>
      </c>
      <c r="R331" s="177">
        <f t="shared" si="318"/>
        <v>1.4689578713968959E-7</v>
      </c>
      <c r="S331" s="177">
        <f t="shared" si="318"/>
        <v>1.4689578713968959E-7</v>
      </c>
      <c r="T331" s="177">
        <f t="shared" si="318"/>
        <v>1.4689578713968959E-7</v>
      </c>
      <c r="U331" s="177">
        <f t="shared" si="318"/>
        <v>1.4689578713968959E-7</v>
      </c>
      <c r="V331" s="177">
        <f t="shared" si="318"/>
        <v>1.4689578713968959E-7</v>
      </c>
      <c r="W331" s="177">
        <f t="shared" si="318"/>
        <v>1.4689578713968959E-7</v>
      </c>
      <c r="X331" s="177">
        <f t="shared" si="318"/>
        <v>1.4689578713968959E-7</v>
      </c>
      <c r="Y331" s="177">
        <f t="shared" si="318"/>
        <v>1.4689578713968959E-7</v>
      </c>
      <c r="Z331" s="177">
        <f t="shared" si="318"/>
        <v>1.4689578713968959E-7</v>
      </c>
      <c r="AA331" s="177">
        <f t="shared" si="318"/>
        <v>1.4689578713968959E-7</v>
      </c>
      <c r="AB331" s="177">
        <f t="shared" si="318"/>
        <v>1.4689578713968959E-7</v>
      </c>
      <c r="AC331" s="177">
        <f t="shared" si="318"/>
        <v>1.4689578713968959E-7</v>
      </c>
      <c r="AD331" s="177">
        <f t="shared" si="318"/>
        <v>1.4689578713968959E-7</v>
      </c>
      <c r="AE331" s="177">
        <f t="shared" si="318"/>
        <v>1.4689578713968959E-7</v>
      </c>
      <c r="AF331" s="177">
        <f t="shared" si="318"/>
        <v>1.4689578713968959E-7</v>
      </c>
      <c r="AG331" s="177">
        <f t="shared" si="318"/>
        <v>1.4689578713968959E-7</v>
      </c>
      <c r="AH331" s="177">
        <f t="shared" si="318"/>
        <v>1.4689578713968959E-7</v>
      </c>
      <c r="AI331" s="177">
        <f t="shared" si="318"/>
        <v>1.4689578713968959E-7</v>
      </c>
      <c r="AJ331" s="177">
        <f t="shared" si="318"/>
        <v>1.4689578713968959E-7</v>
      </c>
      <c r="AK331" s="177">
        <f t="shared" si="318"/>
        <v>1.4689578713968959E-7</v>
      </c>
      <c r="AL331" s="177">
        <f t="shared" si="318"/>
        <v>1.4689578713968959E-7</v>
      </c>
      <c r="AM331" s="177">
        <f t="shared" si="318"/>
        <v>1.4689578713968959E-7</v>
      </c>
      <c r="AN331" s="177">
        <f t="shared" si="318"/>
        <v>1.4689578713968959E-7</v>
      </c>
      <c r="AO331" s="177">
        <f t="shared" si="318"/>
        <v>1.4689578713968959E-7</v>
      </c>
      <c r="AP331" s="177">
        <f t="shared" si="318"/>
        <v>1.4689578713968959E-7</v>
      </c>
      <c r="AQ331" s="177">
        <f t="shared" si="318"/>
        <v>1.4689578713968959E-7</v>
      </c>
      <c r="AR331" s="177">
        <f t="shared" si="318"/>
        <v>1.4689578713968959E-7</v>
      </c>
      <c r="AS331" s="197">
        <f>AR331</f>
        <v>1.4689578713968959E-7</v>
      </c>
      <c r="AT331" s="197">
        <f t="shared" ref="AT331:BV331" si="319">AS331</f>
        <v>1.4689578713968959E-7</v>
      </c>
      <c r="AU331" s="197">
        <f t="shared" si="319"/>
        <v>1.4689578713968959E-7</v>
      </c>
      <c r="AV331" s="197">
        <f t="shared" si="319"/>
        <v>1.4689578713968959E-7</v>
      </c>
      <c r="AW331" s="197">
        <f t="shared" si="319"/>
        <v>1.4689578713968959E-7</v>
      </c>
      <c r="AX331" s="197">
        <f t="shared" si="319"/>
        <v>1.4689578713968959E-7</v>
      </c>
      <c r="AY331" s="197">
        <f t="shared" si="319"/>
        <v>1.4689578713968959E-7</v>
      </c>
      <c r="AZ331" s="197">
        <f t="shared" si="319"/>
        <v>1.4689578713968959E-7</v>
      </c>
      <c r="BA331" s="197">
        <f t="shared" si="319"/>
        <v>1.4689578713968959E-7</v>
      </c>
      <c r="BB331" s="197">
        <f t="shared" si="319"/>
        <v>1.4689578713968959E-7</v>
      </c>
      <c r="BC331" s="197">
        <f t="shared" si="319"/>
        <v>1.4689578713968959E-7</v>
      </c>
      <c r="BD331" s="197">
        <f t="shared" si="319"/>
        <v>1.4689578713968959E-7</v>
      </c>
      <c r="BE331" s="197">
        <f t="shared" si="319"/>
        <v>1.4689578713968959E-7</v>
      </c>
      <c r="BF331" s="197">
        <f t="shared" si="319"/>
        <v>1.4689578713968959E-7</v>
      </c>
      <c r="BG331" s="197">
        <f t="shared" si="319"/>
        <v>1.4689578713968959E-7</v>
      </c>
      <c r="BH331" s="197">
        <f t="shared" si="319"/>
        <v>1.4689578713968959E-7</v>
      </c>
      <c r="BI331" s="197">
        <f t="shared" si="319"/>
        <v>1.4689578713968959E-7</v>
      </c>
      <c r="BJ331" s="197">
        <f t="shared" si="319"/>
        <v>1.4689578713968959E-7</v>
      </c>
      <c r="BK331" s="197">
        <f t="shared" si="319"/>
        <v>1.4689578713968959E-7</v>
      </c>
      <c r="BL331" s="197">
        <f t="shared" si="319"/>
        <v>1.4689578713968959E-7</v>
      </c>
      <c r="BM331" s="197">
        <f t="shared" si="319"/>
        <v>1.4689578713968959E-7</v>
      </c>
      <c r="BN331" s="197">
        <f t="shared" si="319"/>
        <v>1.4689578713968959E-7</v>
      </c>
      <c r="BO331" s="197">
        <f t="shared" si="319"/>
        <v>1.4689578713968959E-7</v>
      </c>
      <c r="BP331" s="197">
        <f t="shared" si="319"/>
        <v>1.4689578713968959E-7</v>
      </c>
      <c r="BQ331" s="197">
        <f t="shared" si="319"/>
        <v>1.4689578713968959E-7</v>
      </c>
      <c r="BR331" s="197">
        <f t="shared" si="319"/>
        <v>1.4689578713968959E-7</v>
      </c>
      <c r="BS331" s="197">
        <f t="shared" si="319"/>
        <v>1.4689578713968959E-7</v>
      </c>
      <c r="BT331" s="197">
        <f t="shared" si="319"/>
        <v>1.4689578713968959E-7</v>
      </c>
      <c r="BU331" s="197">
        <f t="shared" si="319"/>
        <v>1.4689578713968959E-7</v>
      </c>
      <c r="BV331" s="197">
        <f t="shared" si="319"/>
        <v>1.4689578713968959E-7</v>
      </c>
    </row>
    <row r="332" spans="1:74" x14ac:dyDescent="0.25">
      <c r="A332" s="147" t="s">
        <v>205</v>
      </c>
      <c r="B332" s="148"/>
      <c r="C332" s="142"/>
      <c r="D332" s="177">
        <f t="shared" ref="D332:AR332" si="320">D268*D$48</f>
        <v>0</v>
      </c>
      <c r="E332" s="177">
        <f t="shared" si="320"/>
        <v>0</v>
      </c>
      <c r="F332" s="177">
        <f t="shared" si="320"/>
        <v>0</v>
      </c>
      <c r="G332" s="177">
        <f t="shared" si="320"/>
        <v>0</v>
      </c>
      <c r="H332" s="177">
        <f t="shared" si="320"/>
        <v>0</v>
      </c>
      <c r="I332" s="177">
        <f t="shared" si="320"/>
        <v>0</v>
      </c>
      <c r="J332" s="177">
        <f t="shared" si="320"/>
        <v>0</v>
      </c>
      <c r="K332" s="177">
        <f t="shared" si="320"/>
        <v>0</v>
      </c>
      <c r="L332" s="177">
        <f t="shared" si="320"/>
        <v>0</v>
      </c>
      <c r="M332" s="177">
        <f t="shared" si="320"/>
        <v>0</v>
      </c>
      <c r="N332" s="177">
        <f t="shared" si="320"/>
        <v>0</v>
      </c>
      <c r="O332" s="177">
        <f t="shared" si="320"/>
        <v>0</v>
      </c>
      <c r="P332" s="177">
        <f t="shared" si="320"/>
        <v>0</v>
      </c>
      <c r="Q332" s="177">
        <f t="shared" si="320"/>
        <v>0</v>
      </c>
      <c r="R332" s="177">
        <f t="shared" si="320"/>
        <v>0</v>
      </c>
      <c r="S332" s="177">
        <f t="shared" si="320"/>
        <v>0</v>
      </c>
      <c r="T332" s="177">
        <f t="shared" si="320"/>
        <v>0</v>
      </c>
      <c r="U332" s="177">
        <f t="shared" si="320"/>
        <v>0</v>
      </c>
      <c r="V332" s="177">
        <f t="shared" si="320"/>
        <v>0</v>
      </c>
      <c r="W332" s="177">
        <f t="shared" si="320"/>
        <v>0</v>
      </c>
      <c r="X332" s="177">
        <f t="shared" si="320"/>
        <v>0</v>
      </c>
      <c r="Y332" s="177">
        <f t="shared" si="320"/>
        <v>0</v>
      </c>
      <c r="Z332" s="177">
        <f t="shared" si="320"/>
        <v>0</v>
      </c>
      <c r="AA332" s="177">
        <f t="shared" si="320"/>
        <v>0</v>
      </c>
      <c r="AB332" s="177">
        <f t="shared" si="320"/>
        <v>0</v>
      </c>
      <c r="AC332" s="177">
        <f t="shared" si="320"/>
        <v>0</v>
      </c>
      <c r="AD332" s="177">
        <f t="shared" si="320"/>
        <v>0</v>
      </c>
      <c r="AE332" s="177">
        <f t="shared" si="320"/>
        <v>0</v>
      </c>
      <c r="AF332" s="177">
        <f t="shared" si="320"/>
        <v>0</v>
      </c>
      <c r="AG332" s="177">
        <f t="shared" si="320"/>
        <v>0</v>
      </c>
      <c r="AH332" s="177">
        <f t="shared" si="320"/>
        <v>0</v>
      </c>
      <c r="AI332" s="177">
        <f t="shared" si="320"/>
        <v>0</v>
      </c>
      <c r="AJ332" s="177">
        <f t="shared" si="320"/>
        <v>0</v>
      </c>
      <c r="AK332" s="177">
        <f t="shared" si="320"/>
        <v>0</v>
      </c>
      <c r="AL332" s="177">
        <f t="shared" si="320"/>
        <v>0</v>
      </c>
      <c r="AM332" s="177">
        <f t="shared" si="320"/>
        <v>0</v>
      </c>
      <c r="AN332" s="177">
        <f t="shared" si="320"/>
        <v>0</v>
      </c>
      <c r="AO332" s="177">
        <f t="shared" si="320"/>
        <v>0</v>
      </c>
      <c r="AP332" s="177">
        <f t="shared" si="320"/>
        <v>0</v>
      </c>
      <c r="AQ332" s="177">
        <f t="shared" si="320"/>
        <v>0</v>
      </c>
      <c r="AR332" s="177">
        <f t="shared" si="320"/>
        <v>0</v>
      </c>
      <c r="AS332" s="197">
        <f t="shared" ref="AS332:BV332" si="321">AR332</f>
        <v>0</v>
      </c>
      <c r="AT332" s="197">
        <f t="shared" si="321"/>
        <v>0</v>
      </c>
      <c r="AU332" s="197">
        <f t="shared" si="321"/>
        <v>0</v>
      </c>
      <c r="AV332" s="197">
        <f t="shared" si="321"/>
        <v>0</v>
      </c>
      <c r="AW332" s="197">
        <f t="shared" si="321"/>
        <v>0</v>
      </c>
      <c r="AX332" s="197">
        <f t="shared" si="321"/>
        <v>0</v>
      </c>
      <c r="AY332" s="197">
        <f t="shared" si="321"/>
        <v>0</v>
      </c>
      <c r="AZ332" s="197">
        <f t="shared" si="321"/>
        <v>0</v>
      </c>
      <c r="BA332" s="197">
        <f t="shared" si="321"/>
        <v>0</v>
      </c>
      <c r="BB332" s="197">
        <f t="shared" si="321"/>
        <v>0</v>
      </c>
      <c r="BC332" s="197">
        <f t="shared" si="321"/>
        <v>0</v>
      </c>
      <c r="BD332" s="197">
        <f t="shared" si="321"/>
        <v>0</v>
      </c>
      <c r="BE332" s="197">
        <f t="shared" si="321"/>
        <v>0</v>
      </c>
      <c r="BF332" s="197">
        <f t="shared" si="321"/>
        <v>0</v>
      </c>
      <c r="BG332" s="197">
        <f t="shared" si="321"/>
        <v>0</v>
      </c>
      <c r="BH332" s="197">
        <f t="shared" si="321"/>
        <v>0</v>
      </c>
      <c r="BI332" s="197">
        <f t="shared" si="321"/>
        <v>0</v>
      </c>
      <c r="BJ332" s="197">
        <f t="shared" si="321"/>
        <v>0</v>
      </c>
      <c r="BK332" s="197">
        <f t="shared" si="321"/>
        <v>0</v>
      </c>
      <c r="BL332" s="197">
        <f t="shared" si="321"/>
        <v>0</v>
      </c>
      <c r="BM332" s="197">
        <f t="shared" si="321"/>
        <v>0</v>
      </c>
      <c r="BN332" s="197">
        <f t="shared" si="321"/>
        <v>0</v>
      </c>
      <c r="BO332" s="197">
        <f t="shared" si="321"/>
        <v>0</v>
      </c>
      <c r="BP332" s="197">
        <f t="shared" si="321"/>
        <v>0</v>
      </c>
      <c r="BQ332" s="197">
        <f t="shared" si="321"/>
        <v>0</v>
      </c>
      <c r="BR332" s="197">
        <f t="shared" si="321"/>
        <v>0</v>
      </c>
      <c r="BS332" s="197">
        <f t="shared" si="321"/>
        <v>0</v>
      </c>
      <c r="BT332" s="197">
        <f t="shared" si="321"/>
        <v>0</v>
      </c>
      <c r="BU332" s="197">
        <f t="shared" si="321"/>
        <v>0</v>
      </c>
      <c r="BV332" s="197">
        <f t="shared" si="321"/>
        <v>0</v>
      </c>
    </row>
    <row r="333" spans="1:74" x14ac:dyDescent="0.25">
      <c r="A333" s="147" t="s">
        <v>207</v>
      </c>
      <c r="B333" s="148"/>
      <c r="C333" s="142"/>
      <c r="D333" s="177">
        <f t="shared" ref="D333:AR333" si="322">D269*D$48</f>
        <v>1.06E-3</v>
      </c>
      <c r="E333" s="177">
        <f t="shared" si="322"/>
        <v>1.06E-3</v>
      </c>
      <c r="F333" s="177">
        <f t="shared" si="322"/>
        <v>1.06E-3</v>
      </c>
      <c r="G333" s="177">
        <f t="shared" si="322"/>
        <v>1.06E-3</v>
      </c>
      <c r="H333" s="177">
        <f t="shared" si="322"/>
        <v>1.06E-3</v>
      </c>
      <c r="I333" s="177">
        <f t="shared" si="322"/>
        <v>1.06E-3</v>
      </c>
      <c r="J333" s="177">
        <f t="shared" si="322"/>
        <v>1.06E-3</v>
      </c>
      <c r="K333" s="177">
        <f t="shared" si="322"/>
        <v>1.06E-3</v>
      </c>
      <c r="L333" s="177">
        <f t="shared" si="322"/>
        <v>1.06E-3</v>
      </c>
      <c r="M333" s="177">
        <f t="shared" si="322"/>
        <v>1.06E-3</v>
      </c>
      <c r="N333" s="177">
        <f t="shared" si="322"/>
        <v>1.06E-3</v>
      </c>
      <c r="O333" s="177">
        <f t="shared" si="322"/>
        <v>1.06E-3</v>
      </c>
      <c r="P333" s="177">
        <f t="shared" si="322"/>
        <v>1.06E-3</v>
      </c>
      <c r="Q333" s="177">
        <f t="shared" si="322"/>
        <v>1.06E-3</v>
      </c>
      <c r="R333" s="177">
        <f t="shared" si="322"/>
        <v>1.06E-3</v>
      </c>
      <c r="S333" s="177">
        <f t="shared" si="322"/>
        <v>1.06E-3</v>
      </c>
      <c r="T333" s="177">
        <f t="shared" si="322"/>
        <v>1.06E-3</v>
      </c>
      <c r="U333" s="177">
        <f t="shared" si="322"/>
        <v>1.06E-3</v>
      </c>
      <c r="V333" s="177">
        <f t="shared" si="322"/>
        <v>1.06E-3</v>
      </c>
      <c r="W333" s="177">
        <f t="shared" si="322"/>
        <v>1.06E-3</v>
      </c>
      <c r="X333" s="177">
        <f t="shared" si="322"/>
        <v>1.06E-3</v>
      </c>
      <c r="Y333" s="177">
        <f t="shared" si="322"/>
        <v>1.06E-3</v>
      </c>
      <c r="Z333" s="177">
        <f t="shared" si="322"/>
        <v>1.06E-3</v>
      </c>
      <c r="AA333" s="177">
        <f t="shared" si="322"/>
        <v>1.06E-3</v>
      </c>
      <c r="AB333" s="177">
        <f t="shared" si="322"/>
        <v>1.06E-3</v>
      </c>
      <c r="AC333" s="177">
        <f t="shared" si="322"/>
        <v>1.06E-3</v>
      </c>
      <c r="AD333" s="177">
        <f t="shared" si="322"/>
        <v>1.06E-3</v>
      </c>
      <c r="AE333" s="177">
        <f t="shared" si="322"/>
        <v>1.06E-3</v>
      </c>
      <c r="AF333" s="177">
        <f t="shared" si="322"/>
        <v>1.06E-3</v>
      </c>
      <c r="AG333" s="177">
        <f t="shared" si="322"/>
        <v>1.06E-3</v>
      </c>
      <c r="AH333" s="177">
        <f t="shared" si="322"/>
        <v>1.06E-3</v>
      </c>
      <c r="AI333" s="177">
        <f t="shared" si="322"/>
        <v>1.06E-3</v>
      </c>
      <c r="AJ333" s="177">
        <f t="shared" si="322"/>
        <v>1.06E-3</v>
      </c>
      <c r="AK333" s="177">
        <f t="shared" si="322"/>
        <v>1.06E-3</v>
      </c>
      <c r="AL333" s="177">
        <f t="shared" si="322"/>
        <v>1.06E-3</v>
      </c>
      <c r="AM333" s="177">
        <f t="shared" si="322"/>
        <v>1.06E-3</v>
      </c>
      <c r="AN333" s="177">
        <f t="shared" si="322"/>
        <v>1.06E-3</v>
      </c>
      <c r="AO333" s="177">
        <f t="shared" si="322"/>
        <v>1.06E-3</v>
      </c>
      <c r="AP333" s="177">
        <f t="shared" si="322"/>
        <v>1.06E-3</v>
      </c>
      <c r="AQ333" s="177">
        <f t="shared" si="322"/>
        <v>1.06E-3</v>
      </c>
      <c r="AR333" s="177">
        <f t="shared" si="322"/>
        <v>1.06E-3</v>
      </c>
      <c r="AS333" s="197">
        <f>AR333</f>
        <v>1.06E-3</v>
      </c>
      <c r="AT333" s="197">
        <f t="shared" ref="AT333:BV333" si="323">AS333</f>
        <v>1.06E-3</v>
      </c>
      <c r="AU333" s="197">
        <f t="shared" si="323"/>
        <v>1.06E-3</v>
      </c>
      <c r="AV333" s="197">
        <f t="shared" si="323"/>
        <v>1.06E-3</v>
      </c>
      <c r="AW333" s="197">
        <f t="shared" si="323"/>
        <v>1.06E-3</v>
      </c>
      <c r="AX333" s="197">
        <f t="shared" si="323"/>
        <v>1.06E-3</v>
      </c>
      <c r="AY333" s="197">
        <f t="shared" si="323"/>
        <v>1.06E-3</v>
      </c>
      <c r="AZ333" s="197">
        <f t="shared" si="323"/>
        <v>1.06E-3</v>
      </c>
      <c r="BA333" s="197">
        <f t="shared" si="323"/>
        <v>1.06E-3</v>
      </c>
      <c r="BB333" s="197">
        <f t="shared" si="323"/>
        <v>1.06E-3</v>
      </c>
      <c r="BC333" s="197">
        <f t="shared" si="323"/>
        <v>1.06E-3</v>
      </c>
      <c r="BD333" s="197">
        <f t="shared" si="323"/>
        <v>1.06E-3</v>
      </c>
      <c r="BE333" s="197">
        <f t="shared" si="323"/>
        <v>1.06E-3</v>
      </c>
      <c r="BF333" s="197">
        <f t="shared" si="323"/>
        <v>1.06E-3</v>
      </c>
      <c r="BG333" s="197">
        <f t="shared" si="323"/>
        <v>1.06E-3</v>
      </c>
      <c r="BH333" s="197">
        <f t="shared" si="323"/>
        <v>1.06E-3</v>
      </c>
      <c r="BI333" s="197">
        <f t="shared" si="323"/>
        <v>1.06E-3</v>
      </c>
      <c r="BJ333" s="197">
        <f t="shared" si="323"/>
        <v>1.06E-3</v>
      </c>
      <c r="BK333" s="197">
        <f t="shared" si="323"/>
        <v>1.06E-3</v>
      </c>
      <c r="BL333" s="197">
        <f t="shared" si="323"/>
        <v>1.06E-3</v>
      </c>
      <c r="BM333" s="197">
        <f t="shared" si="323"/>
        <v>1.06E-3</v>
      </c>
      <c r="BN333" s="197">
        <f t="shared" si="323"/>
        <v>1.06E-3</v>
      </c>
      <c r="BO333" s="197">
        <f t="shared" si="323"/>
        <v>1.06E-3</v>
      </c>
      <c r="BP333" s="197">
        <f t="shared" si="323"/>
        <v>1.06E-3</v>
      </c>
      <c r="BQ333" s="197">
        <f t="shared" si="323"/>
        <v>1.06E-3</v>
      </c>
      <c r="BR333" s="197">
        <f t="shared" si="323"/>
        <v>1.06E-3</v>
      </c>
      <c r="BS333" s="197">
        <f t="shared" si="323"/>
        <v>1.06E-3</v>
      </c>
      <c r="BT333" s="197">
        <f t="shared" si="323"/>
        <v>1.06E-3</v>
      </c>
      <c r="BU333" s="197">
        <f t="shared" si="323"/>
        <v>1.06E-3</v>
      </c>
      <c r="BV333" s="197">
        <f t="shared" si="323"/>
        <v>1.06E-3</v>
      </c>
    </row>
    <row r="334" spans="1:74" x14ac:dyDescent="0.25">
      <c r="A334" s="147" t="s">
        <v>15</v>
      </c>
      <c r="C334" s="142"/>
      <c r="D334" s="177">
        <f t="shared" ref="D334:AR334" si="324">D270*D$48</f>
        <v>1.518624641833811E-3</v>
      </c>
      <c r="E334" s="177">
        <f t="shared" si="324"/>
        <v>1.518624641833811E-3</v>
      </c>
      <c r="F334" s="177">
        <f t="shared" si="324"/>
        <v>1.518624641833811E-3</v>
      </c>
      <c r="G334" s="177">
        <f t="shared" si="324"/>
        <v>1.518624641833811E-3</v>
      </c>
      <c r="H334" s="177">
        <f t="shared" si="324"/>
        <v>1.518624641833811E-3</v>
      </c>
      <c r="I334" s="177">
        <f t="shared" si="324"/>
        <v>1.518624641833811E-3</v>
      </c>
      <c r="J334" s="177">
        <f t="shared" si="324"/>
        <v>1.518624641833811E-3</v>
      </c>
      <c r="K334" s="177">
        <f t="shared" si="324"/>
        <v>1.518624641833811E-3</v>
      </c>
      <c r="L334" s="177">
        <f t="shared" si="324"/>
        <v>1.518624641833811E-3</v>
      </c>
      <c r="M334" s="177">
        <f t="shared" si="324"/>
        <v>1.518624641833811E-3</v>
      </c>
      <c r="N334" s="177">
        <f t="shared" si="324"/>
        <v>1.518624641833811E-3</v>
      </c>
      <c r="O334" s="177">
        <f t="shared" si="324"/>
        <v>1.518624641833811E-3</v>
      </c>
      <c r="P334" s="177">
        <f t="shared" si="324"/>
        <v>1.518624641833811E-3</v>
      </c>
      <c r="Q334" s="177">
        <f t="shared" si="324"/>
        <v>1.518624641833811E-3</v>
      </c>
      <c r="R334" s="177">
        <f t="shared" si="324"/>
        <v>1.518624641833811E-3</v>
      </c>
      <c r="S334" s="177">
        <f t="shared" si="324"/>
        <v>1.5186246274275375E-3</v>
      </c>
      <c r="T334" s="177">
        <f t="shared" si="324"/>
        <v>1.5186246128544697E-3</v>
      </c>
      <c r="U334" s="177">
        <f t="shared" si="324"/>
        <v>1.5186246658202816E-3</v>
      </c>
      <c r="V334" s="177">
        <f t="shared" si="324"/>
        <v>1.5186246820354391E-3</v>
      </c>
      <c r="W334" s="177">
        <f t="shared" si="324"/>
        <v>1.5186246774451138E-3</v>
      </c>
      <c r="X334" s="177">
        <f t="shared" si="324"/>
        <v>1.5186246670475221E-3</v>
      </c>
      <c r="Y334" s="177">
        <f t="shared" si="324"/>
        <v>1.5186246502818326E-3</v>
      </c>
      <c r="Z334" s="177">
        <f t="shared" si="324"/>
        <v>1.5186245895212934E-3</v>
      </c>
      <c r="AA334" s="177">
        <f t="shared" si="324"/>
        <v>1.5186246071906134E-3</v>
      </c>
      <c r="AB334" s="177">
        <f t="shared" si="324"/>
        <v>1.5186246673625566E-3</v>
      </c>
      <c r="AC334" s="177">
        <f t="shared" si="324"/>
        <v>1.5186246499902965E-3</v>
      </c>
      <c r="AD334" s="177">
        <f t="shared" si="324"/>
        <v>1.5186246866957516E-3</v>
      </c>
      <c r="AE334" s="177">
        <f t="shared" si="324"/>
        <v>1.518624641833811E-3</v>
      </c>
      <c r="AF334" s="177">
        <f t="shared" si="324"/>
        <v>1.518624641833811E-3</v>
      </c>
      <c r="AG334" s="177">
        <f t="shared" si="324"/>
        <v>1.518624641833811E-3</v>
      </c>
      <c r="AH334" s="177">
        <f t="shared" si="324"/>
        <v>1.518624641833811E-3</v>
      </c>
      <c r="AI334" s="177">
        <f t="shared" si="324"/>
        <v>1.518624641833811E-3</v>
      </c>
      <c r="AJ334" s="177">
        <f t="shared" si="324"/>
        <v>1.518624641833811E-3</v>
      </c>
      <c r="AK334" s="177">
        <f t="shared" si="324"/>
        <v>1.518624641833811E-3</v>
      </c>
      <c r="AL334" s="177">
        <f t="shared" si="324"/>
        <v>1.518624641833811E-3</v>
      </c>
      <c r="AM334" s="177">
        <f t="shared" si="324"/>
        <v>1.518624641833811E-3</v>
      </c>
      <c r="AN334" s="177">
        <f t="shared" si="324"/>
        <v>1.518624641833811E-3</v>
      </c>
      <c r="AO334" s="177">
        <f t="shared" si="324"/>
        <v>1.518624641833811E-3</v>
      </c>
      <c r="AP334" s="177">
        <f t="shared" si="324"/>
        <v>1.518624641833811E-3</v>
      </c>
      <c r="AQ334" s="177">
        <f t="shared" si="324"/>
        <v>1.518624641833811E-3</v>
      </c>
      <c r="AR334" s="177">
        <f t="shared" si="324"/>
        <v>1.518624641833811E-3</v>
      </c>
      <c r="AS334" s="197">
        <f>AR334</f>
        <v>1.518624641833811E-3</v>
      </c>
      <c r="AT334" s="197">
        <f t="shared" ref="AT334:BV334" si="325">AS334</f>
        <v>1.518624641833811E-3</v>
      </c>
      <c r="AU334" s="197">
        <f t="shared" si="325"/>
        <v>1.518624641833811E-3</v>
      </c>
      <c r="AV334" s="197">
        <f t="shared" si="325"/>
        <v>1.518624641833811E-3</v>
      </c>
      <c r="AW334" s="197">
        <f t="shared" si="325"/>
        <v>1.518624641833811E-3</v>
      </c>
      <c r="AX334" s="197">
        <f t="shared" si="325"/>
        <v>1.518624641833811E-3</v>
      </c>
      <c r="AY334" s="197">
        <f t="shared" si="325"/>
        <v>1.518624641833811E-3</v>
      </c>
      <c r="AZ334" s="197">
        <f t="shared" si="325"/>
        <v>1.518624641833811E-3</v>
      </c>
      <c r="BA334" s="197">
        <f t="shared" si="325"/>
        <v>1.518624641833811E-3</v>
      </c>
      <c r="BB334" s="197">
        <f t="shared" si="325"/>
        <v>1.518624641833811E-3</v>
      </c>
      <c r="BC334" s="197">
        <f t="shared" si="325"/>
        <v>1.518624641833811E-3</v>
      </c>
      <c r="BD334" s="197">
        <f t="shared" si="325"/>
        <v>1.518624641833811E-3</v>
      </c>
      <c r="BE334" s="197">
        <f t="shared" si="325"/>
        <v>1.518624641833811E-3</v>
      </c>
      <c r="BF334" s="197">
        <f t="shared" si="325"/>
        <v>1.518624641833811E-3</v>
      </c>
      <c r="BG334" s="197">
        <f t="shared" si="325"/>
        <v>1.518624641833811E-3</v>
      </c>
      <c r="BH334" s="197">
        <f t="shared" si="325"/>
        <v>1.518624641833811E-3</v>
      </c>
      <c r="BI334" s="197">
        <f t="shared" si="325"/>
        <v>1.518624641833811E-3</v>
      </c>
      <c r="BJ334" s="197">
        <f t="shared" si="325"/>
        <v>1.518624641833811E-3</v>
      </c>
      <c r="BK334" s="197">
        <f t="shared" si="325"/>
        <v>1.518624641833811E-3</v>
      </c>
      <c r="BL334" s="197">
        <f t="shared" si="325"/>
        <v>1.518624641833811E-3</v>
      </c>
      <c r="BM334" s="197">
        <f t="shared" si="325"/>
        <v>1.518624641833811E-3</v>
      </c>
      <c r="BN334" s="197">
        <f t="shared" si="325"/>
        <v>1.518624641833811E-3</v>
      </c>
      <c r="BO334" s="197">
        <f t="shared" si="325"/>
        <v>1.518624641833811E-3</v>
      </c>
      <c r="BP334" s="197">
        <f t="shared" si="325"/>
        <v>1.518624641833811E-3</v>
      </c>
      <c r="BQ334" s="197">
        <f t="shared" si="325"/>
        <v>1.518624641833811E-3</v>
      </c>
      <c r="BR334" s="197">
        <f t="shared" si="325"/>
        <v>1.518624641833811E-3</v>
      </c>
      <c r="BS334" s="197">
        <f t="shared" si="325"/>
        <v>1.518624641833811E-3</v>
      </c>
      <c r="BT334" s="197">
        <f t="shared" si="325"/>
        <v>1.518624641833811E-3</v>
      </c>
      <c r="BU334" s="197">
        <f t="shared" si="325"/>
        <v>1.518624641833811E-3</v>
      </c>
      <c r="BV334" s="197">
        <f t="shared" si="325"/>
        <v>1.518624641833811E-3</v>
      </c>
    </row>
    <row r="335" spans="1:74" x14ac:dyDescent="0.25">
      <c r="A335" s="147"/>
      <c r="C335" s="142"/>
      <c r="D335" s="157"/>
      <c r="E335" s="157"/>
      <c r="F335" s="157"/>
      <c r="G335" s="157"/>
      <c r="H335" s="157"/>
      <c r="I335" s="157"/>
      <c r="J335" s="157"/>
      <c r="K335" s="157"/>
      <c r="L335" s="157"/>
      <c r="M335" s="157"/>
      <c r="N335" s="157"/>
      <c r="O335" s="157"/>
      <c r="P335" s="157"/>
      <c r="Q335" s="157"/>
      <c r="R335" s="157"/>
      <c r="S335" s="157"/>
      <c r="T335" s="157"/>
      <c r="U335" s="157"/>
      <c r="V335" s="157"/>
      <c r="W335" s="157"/>
      <c r="X335" s="157"/>
      <c r="Y335" s="157"/>
      <c r="Z335" s="157"/>
      <c r="AA335" s="157"/>
      <c r="AB335" s="157"/>
      <c r="AC335" s="157"/>
      <c r="AD335" s="157"/>
      <c r="AE335" s="157"/>
      <c r="AF335" s="157"/>
      <c r="AG335" s="157"/>
      <c r="AH335" s="157"/>
      <c r="AI335" s="157"/>
      <c r="AJ335" s="157"/>
      <c r="AK335" s="157"/>
      <c r="AL335" s="157"/>
      <c r="AM335" s="157"/>
      <c r="AN335" s="157"/>
      <c r="AO335" s="157"/>
      <c r="AP335" s="157"/>
      <c r="AQ335" s="157"/>
      <c r="AR335" s="157"/>
      <c r="AS335" s="157"/>
    </row>
    <row r="336" spans="1:74" x14ac:dyDescent="0.25">
      <c r="A336" s="147"/>
      <c r="C336" s="142"/>
      <c r="D336" s="157"/>
      <c r="E336" s="157"/>
      <c r="F336" s="157"/>
      <c r="G336" s="157"/>
      <c r="H336" s="157"/>
      <c r="I336" s="157"/>
      <c r="J336" s="157"/>
      <c r="K336" s="157"/>
      <c r="L336" s="157"/>
      <c r="M336" s="157"/>
      <c r="N336" s="157"/>
      <c r="O336" s="157"/>
      <c r="P336" s="157"/>
      <c r="Q336" s="157"/>
      <c r="R336" s="157"/>
      <c r="S336" s="157"/>
      <c r="T336" s="157"/>
      <c r="U336" s="157"/>
      <c r="V336" s="157"/>
      <c r="W336" s="157"/>
      <c r="X336" s="157"/>
      <c r="Y336" s="157"/>
      <c r="Z336" s="157"/>
      <c r="AA336" s="157"/>
      <c r="AB336" s="157"/>
      <c r="AC336" s="157"/>
      <c r="AD336" s="157"/>
      <c r="AE336" s="157"/>
      <c r="AF336" s="157"/>
      <c r="AG336" s="157"/>
      <c r="AH336" s="157"/>
      <c r="AI336" s="157"/>
      <c r="AJ336" s="157"/>
      <c r="AK336" s="157"/>
      <c r="AL336" s="157"/>
      <c r="AM336" s="157"/>
      <c r="AN336" s="157"/>
      <c r="AO336" s="157"/>
      <c r="AP336" s="157"/>
      <c r="AQ336" s="157"/>
      <c r="AR336" s="157"/>
      <c r="AS336" s="157"/>
    </row>
    <row r="337" spans="1:74" s="187" customFormat="1" x14ac:dyDescent="0.25">
      <c r="A337" s="185" t="s">
        <v>249</v>
      </c>
      <c r="B337" s="186"/>
      <c r="I337" s="186"/>
      <c r="J337" s="186"/>
      <c r="K337" s="186"/>
      <c r="L337" s="186"/>
      <c r="M337" s="186"/>
      <c r="N337" s="186"/>
      <c r="O337" s="186"/>
      <c r="P337" s="186"/>
      <c r="Q337" s="186"/>
      <c r="R337" s="186"/>
      <c r="S337" s="186"/>
      <c r="T337" s="186"/>
      <c r="U337" s="186"/>
      <c r="V337" s="186"/>
      <c r="W337" s="186"/>
      <c r="X337" s="186"/>
      <c r="Y337" s="186"/>
      <c r="Z337" s="186"/>
      <c r="AA337" s="186"/>
      <c r="AB337" s="186"/>
      <c r="AC337" s="186"/>
      <c r="AD337" s="186"/>
      <c r="AE337" s="186"/>
      <c r="AF337" s="186"/>
      <c r="AG337" s="186"/>
      <c r="AH337" s="186"/>
      <c r="AI337" s="186"/>
      <c r="AJ337" s="186"/>
      <c r="AK337" s="186"/>
      <c r="AL337" s="186"/>
      <c r="AM337" s="186"/>
      <c r="AN337" s="186"/>
      <c r="AO337" s="186"/>
      <c r="AP337" s="186"/>
      <c r="AQ337" s="186"/>
      <c r="AR337" s="186"/>
      <c r="AS337" s="186"/>
    </row>
    <row r="338" spans="1:74" s="187" customFormat="1" x14ac:dyDescent="0.25">
      <c r="A338" s="185"/>
      <c r="B338" s="185" t="s">
        <v>250</v>
      </c>
      <c r="I338" s="186"/>
      <c r="J338" s="186"/>
      <c r="K338" s="186"/>
      <c r="L338" s="186"/>
      <c r="M338" s="186"/>
      <c r="N338" s="186"/>
      <c r="O338" s="186"/>
      <c r="P338" s="186"/>
      <c r="Q338" s="186"/>
      <c r="R338" s="186"/>
      <c r="S338" s="186"/>
      <c r="T338" s="186"/>
      <c r="U338" s="186"/>
      <c r="V338" s="186"/>
      <c r="W338" s="186"/>
      <c r="X338" s="186"/>
      <c r="Y338" s="186"/>
      <c r="Z338" s="186"/>
      <c r="AA338" s="186"/>
      <c r="AB338" s="186"/>
      <c r="AC338" s="186"/>
      <c r="AD338" s="186"/>
      <c r="AE338" s="186"/>
      <c r="AF338" s="186"/>
      <c r="AG338" s="186"/>
      <c r="AH338" s="186"/>
      <c r="AI338" s="186"/>
      <c r="AJ338" s="186"/>
      <c r="AK338" s="186"/>
      <c r="AL338" s="186"/>
      <c r="AM338" s="186"/>
      <c r="AN338" s="186"/>
      <c r="AO338" s="186"/>
      <c r="AP338" s="186"/>
      <c r="AQ338" s="186"/>
      <c r="AR338" s="186"/>
      <c r="AS338" s="186"/>
    </row>
    <row r="339" spans="1:74" x14ac:dyDescent="0.25">
      <c r="A339" s="147" t="s">
        <v>178</v>
      </c>
      <c r="C339" s="142"/>
      <c r="D339" s="157">
        <f>D168+D275+D307</f>
        <v>7.4200194534506728E-2</v>
      </c>
      <c r="E339" s="157">
        <f t="shared" ref="E339:AR339" si="326">E168+E275+E307</f>
        <v>7.4200194534506728E-2</v>
      </c>
      <c r="F339" s="157">
        <f t="shared" si="326"/>
        <v>7.4200194534506728E-2</v>
      </c>
      <c r="G339" s="157">
        <f t="shared" si="326"/>
        <v>7.4200194534506728E-2</v>
      </c>
      <c r="H339" s="157">
        <f t="shared" si="326"/>
        <v>7.4200194534506728E-2</v>
      </c>
      <c r="I339" s="157">
        <f t="shared" si="326"/>
        <v>7.4200194534506728E-2</v>
      </c>
      <c r="J339" s="157">
        <f t="shared" si="326"/>
        <v>7.4192264339152117E-2</v>
      </c>
      <c r="K339" s="157">
        <f t="shared" si="326"/>
        <v>7.4212017984660136E-2</v>
      </c>
      <c r="L339" s="157">
        <f t="shared" si="326"/>
        <v>7.4185731220364384E-2</v>
      </c>
      <c r="M339" s="157">
        <f t="shared" si="326"/>
        <v>7.4234141955835983E-2</v>
      </c>
      <c r="N339" s="157">
        <f t="shared" si="326"/>
        <v>7.4201557161629433E-2</v>
      </c>
      <c r="O339" s="157">
        <f t="shared" si="326"/>
        <v>7.4205816467978927E-2</v>
      </c>
      <c r="P339" s="157">
        <f t="shared" si="326"/>
        <v>7.4217764485442497E-2</v>
      </c>
      <c r="Q339" s="157">
        <f t="shared" si="326"/>
        <v>7.4203820012586547E-2</v>
      </c>
      <c r="R339" s="157">
        <f t="shared" si="326"/>
        <v>7.4221196537678225E-2</v>
      </c>
      <c r="S339" s="157">
        <f t="shared" si="326"/>
        <v>7.423887364498645E-2</v>
      </c>
      <c r="T339" s="157">
        <f t="shared" si="326"/>
        <v>7.4206305743243259E-2</v>
      </c>
      <c r="U339" s="157">
        <f t="shared" si="326"/>
        <v>7.4207068741893659E-2</v>
      </c>
      <c r="V339" s="157">
        <f t="shared" si="326"/>
        <v>7.4213285714285718E-2</v>
      </c>
      <c r="W339" s="157">
        <f t="shared" si="326"/>
        <v>7.4234416812609449E-2</v>
      </c>
      <c r="X339" s="157">
        <f t="shared" si="326"/>
        <v>7.422060606060607E-2</v>
      </c>
      <c r="Y339" s="157">
        <f t="shared" si="326"/>
        <v>7.4225282258064518E-2</v>
      </c>
      <c r="Z339" s="157">
        <f t="shared" si="326"/>
        <v>7.4174618963225511E-2</v>
      </c>
      <c r="AA339" s="157">
        <f t="shared" si="326"/>
        <v>7.4235145034414945E-2</v>
      </c>
      <c r="AB339" s="157">
        <f t="shared" si="326"/>
        <v>7.423245784363823E-2</v>
      </c>
      <c r="AC339" s="157">
        <f t="shared" si="326"/>
        <v>7.421542652970077E-2</v>
      </c>
      <c r="AD339" s="157">
        <f t="shared" si="326"/>
        <v>7.4227888696405384E-2</v>
      </c>
      <c r="AE339" s="157">
        <f t="shared" si="326"/>
        <v>7.4203410379415607E-2</v>
      </c>
      <c r="AF339" s="157">
        <f t="shared" si="326"/>
        <v>7.4203410379415607E-2</v>
      </c>
      <c r="AG339" s="157">
        <f t="shared" si="326"/>
        <v>7.4203410379415607E-2</v>
      </c>
      <c r="AH339" s="157">
        <f t="shared" si="326"/>
        <v>7.4203410379415607E-2</v>
      </c>
      <c r="AI339" s="157">
        <f t="shared" si="326"/>
        <v>7.4203410379415607E-2</v>
      </c>
      <c r="AJ339" s="157">
        <f t="shared" si="326"/>
        <v>7.4203410379415607E-2</v>
      </c>
      <c r="AK339" s="157">
        <f t="shared" si="326"/>
        <v>7.4203410379415607E-2</v>
      </c>
      <c r="AL339" s="157">
        <f t="shared" si="326"/>
        <v>7.4203410379415607E-2</v>
      </c>
      <c r="AM339" s="157">
        <f t="shared" si="326"/>
        <v>7.4203410379415607E-2</v>
      </c>
      <c r="AN339" s="157">
        <f t="shared" si="326"/>
        <v>7.4203410379415607E-2</v>
      </c>
      <c r="AO339" s="157">
        <f t="shared" si="326"/>
        <v>7.4203410379415607E-2</v>
      </c>
      <c r="AP339" s="157">
        <f t="shared" si="326"/>
        <v>7.4203410379415607E-2</v>
      </c>
      <c r="AQ339" s="157">
        <f t="shared" si="326"/>
        <v>7.4203410379415607E-2</v>
      </c>
      <c r="AR339" s="157">
        <f t="shared" si="326"/>
        <v>7.4203410379415607E-2</v>
      </c>
      <c r="AS339" s="149">
        <f t="shared" ref="AS339:BV339" si="327">AR339</f>
        <v>7.4203410379415607E-2</v>
      </c>
      <c r="AT339" s="149">
        <f t="shared" si="327"/>
        <v>7.4203410379415607E-2</v>
      </c>
      <c r="AU339" s="149">
        <f t="shared" si="327"/>
        <v>7.4203410379415607E-2</v>
      </c>
      <c r="AV339" s="149">
        <f t="shared" si="327"/>
        <v>7.4203410379415607E-2</v>
      </c>
      <c r="AW339" s="149">
        <f t="shared" si="327"/>
        <v>7.4203410379415607E-2</v>
      </c>
      <c r="AX339" s="149">
        <f t="shared" si="327"/>
        <v>7.4203410379415607E-2</v>
      </c>
      <c r="AY339" s="149">
        <f t="shared" si="327"/>
        <v>7.4203410379415607E-2</v>
      </c>
      <c r="AZ339" s="149">
        <f t="shared" si="327"/>
        <v>7.4203410379415607E-2</v>
      </c>
      <c r="BA339" s="149">
        <f t="shared" si="327"/>
        <v>7.4203410379415607E-2</v>
      </c>
      <c r="BB339" s="149">
        <f t="shared" si="327"/>
        <v>7.4203410379415607E-2</v>
      </c>
      <c r="BC339" s="149">
        <f t="shared" si="327"/>
        <v>7.4203410379415607E-2</v>
      </c>
      <c r="BD339" s="149">
        <f t="shared" si="327"/>
        <v>7.4203410379415607E-2</v>
      </c>
      <c r="BE339" s="149">
        <f t="shared" si="327"/>
        <v>7.4203410379415607E-2</v>
      </c>
      <c r="BF339" s="149">
        <f t="shared" si="327"/>
        <v>7.4203410379415607E-2</v>
      </c>
      <c r="BG339" s="149">
        <f t="shared" si="327"/>
        <v>7.4203410379415607E-2</v>
      </c>
      <c r="BH339" s="149">
        <f t="shared" si="327"/>
        <v>7.4203410379415607E-2</v>
      </c>
      <c r="BI339" s="149">
        <f t="shared" si="327"/>
        <v>7.4203410379415607E-2</v>
      </c>
      <c r="BJ339" s="149">
        <f t="shared" si="327"/>
        <v>7.4203410379415607E-2</v>
      </c>
      <c r="BK339" s="149">
        <f t="shared" si="327"/>
        <v>7.4203410379415607E-2</v>
      </c>
      <c r="BL339" s="149">
        <f t="shared" si="327"/>
        <v>7.4203410379415607E-2</v>
      </c>
      <c r="BM339" s="149">
        <f t="shared" si="327"/>
        <v>7.4203410379415607E-2</v>
      </c>
      <c r="BN339" s="149">
        <f t="shared" si="327"/>
        <v>7.4203410379415607E-2</v>
      </c>
      <c r="BO339" s="149">
        <f t="shared" si="327"/>
        <v>7.4203410379415607E-2</v>
      </c>
      <c r="BP339" s="149">
        <f t="shared" si="327"/>
        <v>7.4203410379415607E-2</v>
      </c>
      <c r="BQ339" s="149">
        <f t="shared" si="327"/>
        <v>7.4203410379415607E-2</v>
      </c>
      <c r="BR339" s="149">
        <f t="shared" si="327"/>
        <v>7.4203410379415607E-2</v>
      </c>
      <c r="BS339" s="149">
        <f t="shared" si="327"/>
        <v>7.4203410379415607E-2</v>
      </c>
      <c r="BT339" s="149">
        <f t="shared" si="327"/>
        <v>7.4203410379415607E-2</v>
      </c>
      <c r="BU339" s="149">
        <f t="shared" si="327"/>
        <v>7.4203410379415607E-2</v>
      </c>
      <c r="BV339" s="149">
        <f t="shared" si="327"/>
        <v>7.4203410379415607E-2</v>
      </c>
    </row>
    <row r="340" spans="1:74" x14ac:dyDescent="0.25">
      <c r="A340" s="147" t="s">
        <v>180</v>
      </c>
      <c r="C340" s="142"/>
      <c r="D340" s="157">
        <f t="shared" ref="D340:AR340" si="328">D169+D276+D308</f>
        <v>7.0927173002778884E-2</v>
      </c>
      <c r="E340" s="157">
        <f t="shared" si="328"/>
        <v>7.0927173002778884E-2</v>
      </c>
      <c r="F340" s="157">
        <f t="shared" si="328"/>
        <v>7.0927173002778884E-2</v>
      </c>
      <c r="G340" s="157">
        <f t="shared" si="328"/>
        <v>7.0927173002778884E-2</v>
      </c>
      <c r="H340" s="157">
        <f t="shared" si="328"/>
        <v>7.0927173002778884E-2</v>
      </c>
      <c r="I340" s="157">
        <f t="shared" si="328"/>
        <v>7.0927173002778884E-2</v>
      </c>
      <c r="J340" s="157">
        <f t="shared" si="328"/>
        <v>7.092734919603981E-2</v>
      </c>
      <c r="K340" s="157">
        <f t="shared" si="328"/>
        <v>7.0927208166390143E-2</v>
      </c>
      <c r="L340" s="157">
        <f t="shared" si="328"/>
        <v>7.0927243153668662E-2</v>
      </c>
      <c r="M340" s="157">
        <f t="shared" si="328"/>
        <v>7.0927760334950463E-2</v>
      </c>
      <c r="N340" s="157">
        <f t="shared" si="328"/>
        <v>7.092751111510448E-2</v>
      </c>
      <c r="O340" s="157">
        <f t="shared" si="328"/>
        <v>7.0927309551442996E-2</v>
      </c>
      <c r="P340" s="157">
        <f t="shared" si="328"/>
        <v>6.8973891830583334E-2</v>
      </c>
      <c r="Q340" s="157">
        <f t="shared" si="328"/>
        <v>6.8973859955144656E-2</v>
      </c>
      <c r="R340" s="157">
        <f t="shared" si="328"/>
        <v>6.8974018248181238E-2</v>
      </c>
      <c r="S340" s="157">
        <f t="shared" si="328"/>
        <v>6.8973643491733932E-2</v>
      </c>
      <c r="T340" s="157">
        <f t="shared" si="328"/>
        <v>6.8973874491646131E-2</v>
      </c>
      <c r="U340" s="157">
        <f t="shared" si="328"/>
        <v>6.8973693011865622E-2</v>
      </c>
      <c r="V340" s="157">
        <f t="shared" si="328"/>
        <v>6.8973909386409196E-2</v>
      </c>
      <c r="W340" s="157">
        <f t="shared" si="328"/>
        <v>6.8973858050354359E-2</v>
      </c>
      <c r="X340" s="157">
        <f t="shared" si="328"/>
        <v>6.8973656678529061E-2</v>
      </c>
      <c r="Y340" s="157">
        <f t="shared" si="328"/>
        <v>6.8973543504463386E-2</v>
      </c>
      <c r="Z340" s="157">
        <f t="shared" si="328"/>
        <v>6.8974097343459745E-2</v>
      </c>
      <c r="AA340" s="157">
        <f t="shared" si="328"/>
        <v>6.8973686778824678E-2</v>
      </c>
      <c r="AB340" s="157">
        <f t="shared" si="328"/>
        <v>6.8973834510963145E-2</v>
      </c>
      <c r="AC340" s="157">
        <f t="shared" si="328"/>
        <v>6.8973668239794533E-2</v>
      </c>
      <c r="AD340" s="157">
        <f t="shared" si="328"/>
        <v>6.8973646031909461E-2</v>
      </c>
      <c r="AE340" s="157">
        <f t="shared" si="328"/>
        <v>6.897377718517711E-2</v>
      </c>
      <c r="AF340" s="157">
        <f t="shared" si="328"/>
        <v>6.897377718517711E-2</v>
      </c>
      <c r="AG340" s="157">
        <f t="shared" si="328"/>
        <v>6.897377718517711E-2</v>
      </c>
      <c r="AH340" s="157">
        <f t="shared" si="328"/>
        <v>6.897377718517711E-2</v>
      </c>
      <c r="AI340" s="157">
        <f t="shared" si="328"/>
        <v>6.897377718517711E-2</v>
      </c>
      <c r="AJ340" s="157">
        <f t="shared" si="328"/>
        <v>6.897377718517711E-2</v>
      </c>
      <c r="AK340" s="157">
        <f t="shared" si="328"/>
        <v>6.897377718517711E-2</v>
      </c>
      <c r="AL340" s="157">
        <f t="shared" si="328"/>
        <v>6.897377718517711E-2</v>
      </c>
      <c r="AM340" s="157">
        <f t="shared" si="328"/>
        <v>6.897377718517711E-2</v>
      </c>
      <c r="AN340" s="157">
        <f t="shared" si="328"/>
        <v>6.897377718517711E-2</v>
      </c>
      <c r="AO340" s="157">
        <f t="shared" si="328"/>
        <v>6.897377718517711E-2</v>
      </c>
      <c r="AP340" s="157">
        <f t="shared" si="328"/>
        <v>6.897377718517711E-2</v>
      </c>
      <c r="AQ340" s="157">
        <f t="shared" si="328"/>
        <v>6.897377718517711E-2</v>
      </c>
      <c r="AR340" s="157">
        <f t="shared" si="328"/>
        <v>6.897377718517711E-2</v>
      </c>
      <c r="AS340" s="149">
        <f t="shared" ref="AS340:BV340" si="329">AR340</f>
        <v>6.897377718517711E-2</v>
      </c>
      <c r="AT340" s="149">
        <f t="shared" si="329"/>
        <v>6.897377718517711E-2</v>
      </c>
      <c r="AU340" s="149">
        <f t="shared" si="329"/>
        <v>6.897377718517711E-2</v>
      </c>
      <c r="AV340" s="149">
        <f t="shared" si="329"/>
        <v>6.897377718517711E-2</v>
      </c>
      <c r="AW340" s="149">
        <f t="shared" si="329"/>
        <v>6.897377718517711E-2</v>
      </c>
      <c r="AX340" s="149">
        <f t="shared" si="329"/>
        <v>6.897377718517711E-2</v>
      </c>
      <c r="AY340" s="149">
        <f t="shared" si="329"/>
        <v>6.897377718517711E-2</v>
      </c>
      <c r="AZ340" s="149">
        <f t="shared" si="329"/>
        <v>6.897377718517711E-2</v>
      </c>
      <c r="BA340" s="149">
        <f t="shared" si="329"/>
        <v>6.897377718517711E-2</v>
      </c>
      <c r="BB340" s="149">
        <f t="shared" si="329"/>
        <v>6.897377718517711E-2</v>
      </c>
      <c r="BC340" s="149">
        <f t="shared" si="329"/>
        <v>6.897377718517711E-2</v>
      </c>
      <c r="BD340" s="149">
        <f t="shared" si="329"/>
        <v>6.897377718517711E-2</v>
      </c>
      <c r="BE340" s="149">
        <f t="shared" si="329"/>
        <v>6.897377718517711E-2</v>
      </c>
      <c r="BF340" s="149">
        <f t="shared" si="329"/>
        <v>6.897377718517711E-2</v>
      </c>
      <c r="BG340" s="149">
        <f t="shared" si="329"/>
        <v>6.897377718517711E-2</v>
      </c>
      <c r="BH340" s="149">
        <f t="shared" si="329"/>
        <v>6.897377718517711E-2</v>
      </c>
      <c r="BI340" s="149">
        <f t="shared" si="329"/>
        <v>6.897377718517711E-2</v>
      </c>
      <c r="BJ340" s="149">
        <f t="shared" si="329"/>
        <v>6.897377718517711E-2</v>
      </c>
      <c r="BK340" s="149">
        <f t="shared" si="329"/>
        <v>6.897377718517711E-2</v>
      </c>
      <c r="BL340" s="149">
        <f t="shared" si="329"/>
        <v>6.897377718517711E-2</v>
      </c>
      <c r="BM340" s="149">
        <f t="shared" si="329"/>
        <v>6.897377718517711E-2</v>
      </c>
      <c r="BN340" s="149">
        <f t="shared" si="329"/>
        <v>6.897377718517711E-2</v>
      </c>
      <c r="BO340" s="149">
        <f t="shared" si="329"/>
        <v>6.897377718517711E-2</v>
      </c>
      <c r="BP340" s="149">
        <f t="shared" si="329"/>
        <v>6.897377718517711E-2</v>
      </c>
      <c r="BQ340" s="149">
        <f t="shared" si="329"/>
        <v>6.897377718517711E-2</v>
      </c>
      <c r="BR340" s="149">
        <f t="shared" si="329"/>
        <v>6.897377718517711E-2</v>
      </c>
      <c r="BS340" s="149">
        <f t="shared" si="329"/>
        <v>6.897377718517711E-2</v>
      </c>
      <c r="BT340" s="149">
        <f t="shared" si="329"/>
        <v>6.897377718517711E-2</v>
      </c>
      <c r="BU340" s="149">
        <f t="shared" si="329"/>
        <v>6.897377718517711E-2</v>
      </c>
      <c r="BV340" s="149">
        <f t="shared" si="329"/>
        <v>6.897377718517711E-2</v>
      </c>
    </row>
    <row r="341" spans="1:74" x14ac:dyDescent="0.25">
      <c r="A341" s="141" t="s">
        <v>181</v>
      </c>
      <c r="B341" s="142"/>
      <c r="C341" s="142"/>
      <c r="D341" s="157">
        <f t="shared" ref="D341:AR341" si="330">D170+D277+D309</f>
        <v>7.7537173087863065E-2</v>
      </c>
      <c r="E341" s="157">
        <f t="shared" si="330"/>
        <v>7.7537173087863065E-2</v>
      </c>
      <c r="F341" s="157">
        <f t="shared" si="330"/>
        <v>7.7537173087863065E-2</v>
      </c>
      <c r="G341" s="157">
        <f t="shared" si="330"/>
        <v>7.7537173087863065E-2</v>
      </c>
      <c r="H341" s="157">
        <f t="shared" si="330"/>
        <v>7.7537173087863065E-2</v>
      </c>
      <c r="I341" s="157">
        <f t="shared" si="330"/>
        <v>7.7537173087863065E-2</v>
      </c>
      <c r="J341" s="157">
        <f t="shared" si="330"/>
        <v>7.7537173087863065E-2</v>
      </c>
      <c r="K341" s="157">
        <f t="shared" si="330"/>
        <v>7.7537173087863065E-2</v>
      </c>
      <c r="L341" s="157">
        <f t="shared" si="330"/>
        <v>7.7537173087863065E-2</v>
      </c>
      <c r="M341" s="157">
        <f t="shared" si="330"/>
        <v>7.7537173087863065E-2</v>
      </c>
      <c r="N341" s="157">
        <f t="shared" si="330"/>
        <v>7.7537173087863065E-2</v>
      </c>
      <c r="O341" s="157">
        <f t="shared" si="330"/>
        <v>7.7537173087863065E-2</v>
      </c>
      <c r="P341" s="157">
        <f t="shared" si="330"/>
        <v>7.7537173087863065E-2</v>
      </c>
      <c r="Q341" s="157">
        <f t="shared" si="330"/>
        <v>7.7537173087863065E-2</v>
      </c>
      <c r="R341" s="157">
        <f t="shared" si="330"/>
        <v>7.7537173087863065E-2</v>
      </c>
      <c r="S341" s="157">
        <f t="shared" si="330"/>
        <v>7.7537173087863065E-2</v>
      </c>
      <c r="T341" s="157">
        <f t="shared" si="330"/>
        <v>7.7537173087863065E-2</v>
      </c>
      <c r="U341" s="157">
        <f t="shared" si="330"/>
        <v>7.7537173087863065E-2</v>
      </c>
      <c r="V341" s="157">
        <f t="shared" si="330"/>
        <v>7.7537173087863065E-2</v>
      </c>
      <c r="W341" s="157">
        <f t="shared" si="330"/>
        <v>7.7537173087863065E-2</v>
      </c>
      <c r="X341" s="157">
        <f t="shared" si="330"/>
        <v>7.7537173087863065E-2</v>
      </c>
      <c r="Y341" s="157">
        <f t="shared" si="330"/>
        <v>7.7537173087863065E-2</v>
      </c>
      <c r="Z341" s="157">
        <f t="shared" si="330"/>
        <v>7.7537173087863065E-2</v>
      </c>
      <c r="AA341" s="157">
        <f t="shared" si="330"/>
        <v>7.7537173087863065E-2</v>
      </c>
      <c r="AB341" s="157">
        <f t="shared" si="330"/>
        <v>7.7537173087863065E-2</v>
      </c>
      <c r="AC341" s="157">
        <f t="shared" si="330"/>
        <v>7.7537173087863065E-2</v>
      </c>
      <c r="AD341" s="157">
        <f t="shared" si="330"/>
        <v>7.7537173087863065E-2</v>
      </c>
      <c r="AE341" s="157">
        <f t="shared" si="330"/>
        <v>7.7537173087863065E-2</v>
      </c>
      <c r="AF341" s="157">
        <f t="shared" si="330"/>
        <v>7.7537173087863065E-2</v>
      </c>
      <c r="AG341" s="157">
        <f t="shared" si="330"/>
        <v>7.7537173087863065E-2</v>
      </c>
      <c r="AH341" s="157">
        <f t="shared" si="330"/>
        <v>7.7537173087863065E-2</v>
      </c>
      <c r="AI341" s="157">
        <f t="shared" si="330"/>
        <v>7.7537173087863065E-2</v>
      </c>
      <c r="AJ341" s="157">
        <f t="shared" si="330"/>
        <v>7.7537173087863065E-2</v>
      </c>
      <c r="AK341" s="157">
        <f t="shared" si="330"/>
        <v>7.7537173087863065E-2</v>
      </c>
      <c r="AL341" s="157">
        <f t="shared" si="330"/>
        <v>7.7537173087863065E-2</v>
      </c>
      <c r="AM341" s="157">
        <f t="shared" si="330"/>
        <v>7.7537173087863065E-2</v>
      </c>
      <c r="AN341" s="157">
        <f t="shared" si="330"/>
        <v>7.7537173087863065E-2</v>
      </c>
      <c r="AO341" s="157">
        <f t="shared" si="330"/>
        <v>7.7537173087863065E-2</v>
      </c>
      <c r="AP341" s="157">
        <f t="shared" si="330"/>
        <v>7.7537173087863065E-2</v>
      </c>
      <c r="AQ341" s="157">
        <f t="shared" si="330"/>
        <v>7.7537173087863065E-2</v>
      </c>
      <c r="AR341" s="157">
        <f t="shared" si="330"/>
        <v>7.7537173087863065E-2</v>
      </c>
      <c r="AS341" s="149">
        <f t="shared" ref="AS341:BV341" si="331">AR341</f>
        <v>7.7537173087863065E-2</v>
      </c>
      <c r="AT341" s="149">
        <f t="shared" si="331"/>
        <v>7.7537173087863065E-2</v>
      </c>
      <c r="AU341" s="149">
        <f t="shared" si="331"/>
        <v>7.7537173087863065E-2</v>
      </c>
      <c r="AV341" s="149">
        <f t="shared" si="331"/>
        <v>7.7537173087863065E-2</v>
      </c>
      <c r="AW341" s="149">
        <f t="shared" si="331"/>
        <v>7.7537173087863065E-2</v>
      </c>
      <c r="AX341" s="149">
        <f t="shared" si="331"/>
        <v>7.7537173087863065E-2</v>
      </c>
      <c r="AY341" s="149">
        <f t="shared" si="331"/>
        <v>7.7537173087863065E-2</v>
      </c>
      <c r="AZ341" s="149">
        <f t="shared" si="331"/>
        <v>7.7537173087863065E-2</v>
      </c>
      <c r="BA341" s="149">
        <f t="shared" si="331"/>
        <v>7.7537173087863065E-2</v>
      </c>
      <c r="BB341" s="149">
        <f t="shared" si="331"/>
        <v>7.7537173087863065E-2</v>
      </c>
      <c r="BC341" s="149">
        <f t="shared" si="331"/>
        <v>7.7537173087863065E-2</v>
      </c>
      <c r="BD341" s="149">
        <f t="shared" si="331"/>
        <v>7.7537173087863065E-2</v>
      </c>
      <c r="BE341" s="149">
        <f t="shared" si="331"/>
        <v>7.7537173087863065E-2</v>
      </c>
      <c r="BF341" s="149">
        <f t="shared" si="331"/>
        <v>7.7537173087863065E-2</v>
      </c>
      <c r="BG341" s="149">
        <f t="shared" si="331"/>
        <v>7.7537173087863065E-2</v>
      </c>
      <c r="BH341" s="149">
        <f t="shared" si="331"/>
        <v>7.7537173087863065E-2</v>
      </c>
      <c r="BI341" s="149">
        <f t="shared" si="331"/>
        <v>7.7537173087863065E-2</v>
      </c>
      <c r="BJ341" s="149">
        <f t="shared" si="331"/>
        <v>7.7537173087863065E-2</v>
      </c>
      <c r="BK341" s="149">
        <f t="shared" si="331"/>
        <v>7.7537173087863065E-2</v>
      </c>
      <c r="BL341" s="149">
        <f t="shared" si="331"/>
        <v>7.7537173087863065E-2</v>
      </c>
      <c r="BM341" s="149">
        <f t="shared" si="331"/>
        <v>7.7537173087863065E-2</v>
      </c>
      <c r="BN341" s="149">
        <f t="shared" si="331"/>
        <v>7.7537173087863065E-2</v>
      </c>
      <c r="BO341" s="149">
        <f t="shared" si="331"/>
        <v>7.7537173087863065E-2</v>
      </c>
      <c r="BP341" s="149">
        <f t="shared" si="331"/>
        <v>7.7537173087863065E-2</v>
      </c>
      <c r="BQ341" s="149">
        <f t="shared" si="331"/>
        <v>7.7537173087863065E-2</v>
      </c>
      <c r="BR341" s="149">
        <f t="shared" si="331"/>
        <v>7.7537173087863065E-2</v>
      </c>
      <c r="BS341" s="149">
        <f t="shared" si="331"/>
        <v>7.7537173087863065E-2</v>
      </c>
      <c r="BT341" s="149">
        <f t="shared" si="331"/>
        <v>7.7537173087863065E-2</v>
      </c>
      <c r="BU341" s="149">
        <f t="shared" si="331"/>
        <v>7.7537173087863065E-2</v>
      </c>
      <c r="BV341" s="149">
        <f t="shared" si="331"/>
        <v>7.7537173087863065E-2</v>
      </c>
    </row>
    <row r="342" spans="1:74" x14ac:dyDescent="0.25">
      <c r="A342" s="141" t="s">
        <v>183</v>
      </c>
      <c r="B342" s="142"/>
      <c r="C342" s="142"/>
      <c r="D342" s="157">
        <f t="shared" ref="D342:AR342" si="332">D171+D278+D310</f>
        <v>6.2457363267359844E-2</v>
      </c>
      <c r="E342" s="157">
        <f t="shared" si="332"/>
        <v>6.2457363267359844E-2</v>
      </c>
      <c r="F342" s="157">
        <f t="shared" si="332"/>
        <v>6.2457363267359844E-2</v>
      </c>
      <c r="G342" s="157">
        <f t="shared" si="332"/>
        <v>6.2457363267359844E-2</v>
      </c>
      <c r="H342" s="157">
        <f t="shared" si="332"/>
        <v>6.2457363267359844E-2</v>
      </c>
      <c r="I342" s="157">
        <f t="shared" si="332"/>
        <v>6.2457363267359844E-2</v>
      </c>
      <c r="J342" s="157">
        <f t="shared" si="332"/>
        <v>6.2457363267359844E-2</v>
      </c>
      <c r="K342" s="157">
        <f t="shared" si="332"/>
        <v>6.2457363267359844E-2</v>
      </c>
      <c r="L342" s="157">
        <f t="shared" si="332"/>
        <v>6.2457363267359844E-2</v>
      </c>
      <c r="M342" s="157">
        <f t="shared" si="332"/>
        <v>6.2457363267359844E-2</v>
      </c>
      <c r="N342" s="157">
        <f t="shared" si="332"/>
        <v>6.2457363267359844E-2</v>
      </c>
      <c r="O342" s="157">
        <f t="shared" si="332"/>
        <v>6.2457363267359844E-2</v>
      </c>
      <c r="P342" s="157">
        <f t="shared" si="332"/>
        <v>6.2457363267359844E-2</v>
      </c>
      <c r="Q342" s="157">
        <f t="shared" si="332"/>
        <v>6.2457363267359844E-2</v>
      </c>
      <c r="R342" s="157">
        <f t="shared" si="332"/>
        <v>6.2457363267359844E-2</v>
      </c>
      <c r="S342" s="157">
        <f t="shared" si="332"/>
        <v>6.2457363267359844E-2</v>
      </c>
      <c r="T342" s="157">
        <f t="shared" si="332"/>
        <v>6.2457363267359844E-2</v>
      </c>
      <c r="U342" s="157">
        <f t="shared" si="332"/>
        <v>6.2457363267359844E-2</v>
      </c>
      <c r="V342" s="157">
        <f t="shared" si="332"/>
        <v>6.2457363267359844E-2</v>
      </c>
      <c r="W342" s="157">
        <f t="shared" si="332"/>
        <v>6.2457363267359844E-2</v>
      </c>
      <c r="X342" s="157">
        <f t="shared" si="332"/>
        <v>6.2457363267359844E-2</v>
      </c>
      <c r="Y342" s="157">
        <f t="shared" si="332"/>
        <v>6.2457363267359844E-2</v>
      </c>
      <c r="Z342" s="157">
        <f t="shared" si="332"/>
        <v>6.245769719280185E-2</v>
      </c>
      <c r="AA342" s="157">
        <f t="shared" si="332"/>
        <v>6.245769719280185E-2</v>
      </c>
      <c r="AB342" s="157">
        <f t="shared" si="332"/>
        <v>6.245769719280185E-2</v>
      </c>
      <c r="AC342" s="157">
        <f t="shared" si="332"/>
        <v>6.245769719280185E-2</v>
      </c>
      <c r="AD342" s="157">
        <f t="shared" si="332"/>
        <v>6.2456288839973957E-2</v>
      </c>
      <c r="AE342" s="157">
        <f t="shared" si="332"/>
        <v>6.2456288839973957E-2</v>
      </c>
      <c r="AF342" s="157">
        <f t="shared" si="332"/>
        <v>6.2456288839973957E-2</v>
      </c>
      <c r="AG342" s="157">
        <f t="shared" si="332"/>
        <v>6.2456288839973957E-2</v>
      </c>
      <c r="AH342" s="157">
        <f t="shared" si="332"/>
        <v>6.2456288839973957E-2</v>
      </c>
      <c r="AI342" s="157">
        <f t="shared" si="332"/>
        <v>6.2456288839973957E-2</v>
      </c>
      <c r="AJ342" s="157">
        <f t="shared" si="332"/>
        <v>6.2456288839973957E-2</v>
      </c>
      <c r="AK342" s="157">
        <f t="shared" si="332"/>
        <v>6.2456288839973957E-2</v>
      </c>
      <c r="AL342" s="157">
        <f t="shared" si="332"/>
        <v>6.2456288839973957E-2</v>
      </c>
      <c r="AM342" s="157">
        <f t="shared" si="332"/>
        <v>6.2456288839973957E-2</v>
      </c>
      <c r="AN342" s="157">
        <f t="shared" si="332"/>
        <v>6.2456288839973957E-2</v>
      </c>
      <c r="AO342" s="157">
        <f t="shared" si="332"/>
        <v>6.2456288839973957E-2</v>
      </c>
      <c r="AP342" s="157">
        <f t="shared" si="332"/>
        <v>6.2456288839973957E-2</v>
      </c>
      <c r="AQ342" s="157">
        <f t="shared" si="332"/>
        <v>6.2456288839973957E-2</v>
      </c>
      <c r="AR342" s="157">
        <f t="shared" si="332"/>
        <v>6.2456288839973957E-2</v>
      </c>
      <c r="AS342" s="149">
        <f t="shared" ref="AS342:BV342" si="333">AR342</f>
        <v>6.2456288839973957E-2</v>
      </c>
      <c r="AT342" s="149">
        <f t="shared" si="333"/>
        <v>6.2456288839973957E-2</v>
      </c>
      <c r="AU342" s="149">
        <f t="shared" si="333"/>
        <v>6.2456288839973957E-2</v>
      </c>
      <c r="AV342" s="149">
        <f t="shared" si="333"/>
        <v>6.2456288839973957E-2</v>
      </c>
      <c r="AW342" s="149">
        <f t="shared" si="333"/>
        <v>6.2456288839973957E-2</v>
      </c>
      <c r="AX342" s="149">
        <f t="shared" si="333"/>
        <v>6.2456288839973957E-2</v>
      </c>
      <c r="AY342" s="149">
        <f t="shared" si="333"/>
        <v>6.2456288839973957E-2</v>
      </c>
      <c r="AZ342" s="149">
        <f t="shared" si="333"/>
        <v>6.2456288839973957E-2</v>
      </c>
      <c r="BA342" s="149">
        <f t="shared" si="333"/>
        <v>6.2456288839973957E-2</v>
      </c>
      <c r="BB342" s="149">
        <f t="shared" si="333"/>
        <v>6.2456288839973957E-2</v>
      </c>
      <c r="BC342" s="149">
        <f t="shared" si="333"/>
        <v>6.2456288839973957E-2</v>
      </c>
      <c r="BD342" s="149">
        <f t="shared" si="333"/>
        <v>6.2456288839973957E-2</v>
      </c>
      <c r="BE342" s="149">
        <f t="shared" si="333"/>
        <v>6.2456288839973957E-2</v>
      </c>
      <c r="BF342" s="149">
        <f t="shared" si="333"/>
        <v>6.2456288839973957E-2</v>
      </c>
      <c r="BG342" s="149">
        <f t="shared" si="333"/>
        <v>6.2456288839973957E-2</v>
      </c>
      <c r="BH342" s="149">
        <f t="shared" si="333"/>
        <v>6.2456288839973957E-2</v>
      </c>
      <c r="BI342" s="149">
        <f t="shared" si="333"/>
        <v>6.2456288839973957E-2</v>
      </c>
      <c r="BJ342" s="149">
        <f t="shared" si="333"/>
        <v>6.2456288839973957E-2</v>
      </c>
      <c r="BK342" s="149">
        <f t="shared" si="333"/>
        <v>6.2456288839973957E-2</v>
      </c>
      <c r="BL342" s="149">
        <f t="shared" si="333"/>
        <v>6.2456288839973957E-2</v>
      </c>
      <c r="BM342" s="149">
        <f t="shared" si="333"/>
        <v>6.2456288839973957E-2</v>
      </c>
      <c r="BN342" s="149">
        <f t="shared" si="333"/>
        <v>6.2456288839973957E-2</v>
      </c>
      <c r="BO342" s="149">
        <f t="shared" si="333"/>
        <v>6.2456288839973957E-2</v>
      </c>
      <c r="BP342" s="149">
        <f t="shared" si="333"/>
        <v>6.2456288839973957E-2</v>
      </c>
      <c r="BQ342" s="149">
        <f t="shared" si="333"/>
        <v>6.2456288839973957E-2</v>
      </c>
      <c r="BR342" s="149">
        <f t="shared" si="333"/>
        <v>6.2456288839973957E-2</v>
      </c>
      <c r="BS342" s="149">
        <f t="shared" si="333"/>
        <v>6.2456288839973957E-2</v>
      </c>
      <c r="BT342" s="149">
        <f t="shared" si="333"/>
        <v>6.2456288839973957E-2</v>
      </c>
      <c r="BU342" s="149">
        <f t="shared" si="333"/>
        <v>6.2456288839973957E-2</v>
      </c>
      <c r="BV342" s="149">
        <f t="shared" si="333"/>
        <v>6.2456288839973957E-2</v>
      </c>
    </row>
    <row r="343" spans="1:74" x14ac:dyDescent="0.25">
      <c r="A343" s="147" t="s">
        <v>184</v>
      </c>
      <c r="C343" s="142"/>
      <c r="D343" s="157">
        <f t="shared" ref="D343:AR343" si="334">D172+D279+D311</f>
        <v>7.9291873703244808E-2</v>
      </c>
      <c r="E343" s="157">
        <f t="shared" si="334"/>
        <v>7.9175922200098808E-2</v>
      </c>
      <c r="F343" s="157">
        <f t="shared" si="334"/>
        <v>7.9060309322297254E-2</v>
      </c>
      <c r="G343" s="157">
        <f t="shared" si="334"/>
        <v>7.8945033588618374E-2</v>
      </c>
      <c r="H343" s="157">
        <f t="shared" si="334"/>
        <v>7.8830093526466652E-2</v>
      </c>
      <c r="I343" s="157">
        <f t="shared" si="334"/>
        <v>7.8715487671810275E-2</v>
      </c>
      <c r="J343" s="157">
        <f t="shared" si="334"/>
        <v>8.0710684118497106E-2</v>
      </c>
      <c r="K343" s="157">
        <f t="shared" si="334"/>
        <v>8.1661717829032268E-2</v>
      </c>
      <c r="L343" s="157">
        <f t="shared" si="334"/>
        <v>7.8422741247024141E-2</v>
      </c>
      <c r="M343" s="157">
        <f t="shared" si="334"/>
        <v>7.9550096753159438E-2</v>
      </c>
      <c r="N343" s="157">
        <f t="shared" si="334"/>
        <v>8.0317039589440434E-2</v>
      </c>
      <c r="O343" s="157">
        <f t="shared" si="334"/>
        <v>8.0183638888778538E-2</v>
      </c>
      <c r="P343" s="157">
        <f t="shared" si="334"/>
        <v>8.0352765239053728E-2</v>
      </c>
      <c r="Q343" s="157">
        <f t="shared" si="334"/>
        <v>8.2220259612803021E-2</v>
      </c>
      <c r="R343" s="157">
        <f t="shared" si="334"/>
        <v>8.2882616154860908E-2</v>
      </c>
      <c r="S343" s="157">
        <f t="shared" si="334"/>
        <v>8.4064437959073618E-2</v>
      </c>
      <c r="T343" s="157">
        <f t="shared" si="334"/>
        <v>8.4399607606736274E-2</v>
      </c>
      <c r="U343" s="157">
        <f t="shared" si="334"/>
        <v>8.582267665806044E-2</v>
      </c>
      <c r="V343" s="157">
        <f t="shared" si="334"/>
        <v>8.4786028833528718E-2</v>
      </c>
      <c r="W343" s="157">
        <f t="shared" si="334"/>
        <v>8.1780249676859068E-2</v>
      </c>
      <c r="X343" s="157">
        <f t="shared" si="334"/>
        <v>8.1800715576151733E-2</v>
      </c>
      <c r="Y343" s="157">
        <f t="shared" si="334"/>
        <v>8.3731527541651793E-2</v>
      </c>
      <c r="Z343" s="157">
        <f t="shared" si="334"/>
        <v>8.2188401910966602E-2</v>
      </c>
      <c r="AA343" s="157">
        <f t="shared" si="334"/>
        <v>8.110454911017638E-2</v>
      </c>
      <c r="AB343" s="157">
        <f t="shared" si="334"/>
        <v>8.1221181564327782E-2</v>
      </c>
      <c r="AC343" s="157">
        <f t="shared" si="334"/>
        <v>8.0993982083131758E-2</v>
      </c>
      <c r="AD343" s="157">
        <f t="shared" si="334"/>
        <v>8.066527235503948E-2</v>
      </c>
      <c r="AE343" s="157">
        <f t="shared" si="334"/>
        <v>8.1808919329719967E-2</v>
      </c>
      <c r="AF343" s="157">
        <f t="shared" si="334"/>
        <v>8.1808919329719967E-2</v>
      </c>
      <c r="AG343" s="157">
        <f t="shared" si="334"/>
        <v>8.1808919329719967E-2</v>
      </c>
      <c r="AH343" s="157">
        <f t="shared" si="334"/>
        <v>8.1808919329719967E-2</v>
      </c>
      <c r="AI343" s="157">
        <f t="shared" si="334"/>
        <v>8.1808919329719967E-2</v>
      </c>
      <c r="AJ343" s="157">
        <f t="shared" si="334"/>
        <v>8.1808919329719967E-2</v>
      </c>
      <c r="AK343" s="157">
        <f t="shared" si="334"/>
        <v>8.1808919329719967E-2</v>
      </c>
      <c r="AL343" s="157">
        <f t="shared" si="334"/>
        <v>8.1808919329719967E-2</v>
      </c>
      <c r="AM343" s="157">
        <f t="shared" si="334"/>
        <v>8.1808919329719967E-2</v>
      </c>
      <c r="AN343" s="157">
        <f t="shared" si="334"/>
        <v>8.1808919329719967E-2</v>
      </c>
      <c r="AO343" s="157">
        <f t="shared" si="334"/>
        <v>8.1808919329719967E-2</v>
      </c>
      <c r="AP343" s="157">
        <f t="shared" si="334"/>
        <v>8.1808919329719967E-2</v>
      </c>
      <c r="AQ343" s="157">
        <f t="shared" si="334"/>
        <v>8.1808919329719967E-2</v>
      </c>
      <c r="AR343" s="157">
        <f t="shared" si="334"/>
        <v>8.1808919329719967E-2</v>
      </c>
      <c r="AS343" s="149">
        <f t="shared" ref="AS343:BV343" si="335">AR343</f>
        <v>8.1808919329719967E-2</v>
      </c>
      <c r="AT343" s="149">
        <f t="shared" si="335"/>
        <v>8.1808919329719967E-2</v>
      </c>
      <c r="AU343" s="149">
        <f t="shared" si="335"/>
        <v>8.1808919329719967E-2</v>
      </c>
      <c r="AV343" s="149">
        <f t="shared" si="335"/>
        <v>8.1808919329719967E-2</v>
      </c>
      <c r="AW343" s="149">
        <f t="shared" si="335"/>
        <v>8.1808919329719967E-2</v>
      </c>
      <c r="AX343" s="149">
        <f t="shared" si="335"/>
        <v>8.1808919329719967E-2</v>
      </c>
      <c r="AY343" s="149">
        <f t="shared" si="335"/>
        <v>8.1808919329719967E-2</v>
      </c>
      <c r="AZ343" s="149">
        <f t="shared" si="335"/>
        <v>8.1808919329719967E-2</v>
      </c>
      <c r="BA343" s="149">
        <f t="shared" si="335"/>
        <v>8.1808919329719967E-2</v>
      </c>
      <c r="BB343" s="149">
        <f t="shared" si="335"/>
        <v>8.1808919329719967E-2</v>
      </c>
      <c r="BC343" s="149">
        <f t="shared" si="335"/>
        <v>8.1808919329719967E-2</v>
      </c>
      <c r="BD343" s="149">
        <f t="shared" si="335"/>
        <v>8.1808919329719967E-2</v>
      </c>
      <c r="BE343" s="149">
        <f t="shared" si="335"/>
        <v>8.1808919329719967E-2</v>
      </c>
      <c r="BF343" s="149">
        <f t="shared" si="335"/>
        <v>8.1808919329719967E-2</v>
      </c>
      <c r="BG343" s="149">
        <f t="shared" si="335"/>
        <v>8.1808919329719967E-2</v>
      </c>
      <c r="BH343" s="149">
        <f t="shared" si="335"/>
        <v>8.1808919329719967E-2</v>
      </c>
      <c r="BI343" s="149">
        <f t="shared" si="335"/>
        <v>8.1808919329719967E-2</v>
      </c>
      <c r="BJ343" s="149">
        <f t="shared" si="335"/>
        <v>8.1808919329719967E-2</v>
      </c>
      <c r="BK343" s="149">
        <f t="shared" si="335"/>
        <v>8.1808919329719967E-2</v>
      </c>
      <c r="BL343" s="149">
        <f t="shared" si="335"/>
        <v>8.1808919329719967E-2</v>
      </c>
      <c r="BM343" s="149">
        <f t="shared" si="335"/>
        <v>8.1808919329719967E-2</v>
      </c>
      <c r="BN343" s="149">
        <f t="shared" si="335"/>
        <v>8.1808919329719967E-2</v>
      </c>
      <c r="BO343" s="149">
        <f t="shared" si="335"/>
        <v>8.1808919329719967E-2</v>
      </c>
      <c r="BP343" s="149">
        <f t="shared" si="335"/>
        <v>8.1808919329719967E-2</v>
      </c>
      <c r="BQ343" s="149">
        <f t="shared" si="335"/>
        <v>8.1808919329719967E-2</v>
      </c>
      <c r="BR343" s="149">
        <f t="shared" si="335"/>
        <v>8.1808919329719967E-2</v>
      </c>
      <c r="BS343" s="149">
        <f t="shared" si="335"/>
        <v>8.1808919329719967E-2</v>
      </c>
      <c r="BT343" s="149">
        <f t="shared" si="335"/>
        <v>8.1808919329719967E-2</v>
      </c>
      <c r="BU343" s="149">
        <f t="shared" si="335"/>
        <v>8.1808919329719967E-2</v>
      </c>
      <c r="BV343" s="149">
        <f t="shared" si="335"/>
        <v>8.1808919329719967E-2</v>
      </c>
    </row>
    <row r="344" spans="1:74" x14ac:dyDescent="0.25">
      <c r="A344" s="147" t="s">
        <v>186</v>
      </c>
      <c r="C344" s="142"/>
      <c r="D344" s="157">
        <f t="shared" ref="D344:AR344" si="336">D173+D280+D312</f>
        <v>0.11027193947827796</v>
      </c>
      <c r="E344" s="157">
        <f t="shared" si="336"/>
        <v>0.11027193967308721</v>
      </c>
      <c r="F344" s="157">
        <f t="shared" si="336"/>
        <v>0.11027193986789646</v>
      </c>
      <c r="G344" s="157">
        <f t="shared" si="336"/>
        <v>0.11027194006270571</v>
      </c>
      <c r="H344" s="157">
        <f t="shared" si="336"/>
        <v>0.11027194025751497</v>
      </c>
      <c r="I344" s="157">
        <f t="shared" si="336"/>
        <v>0.11027194045232422</v>
      </c>
      <c r="J344" s="157">
        <f t="shared" si="336"/>
        <v>0.11027193930420492</v>
      </c>
      <c r="K344" s="157">
        <f t="shared" si="336"/>
        <v>0.11027193935921728</v>
      </c>
      <c r="L344" s="157">
        <f t="shared" si="336"/>
        <v>0.11027193916213673</v>
      </c>
      <c r="M344" s="157">
        <f t="shared" si="336"/>
        <v>0.11027193849094741</v>
      </c>
      <c r="N344" s="157">
        <f t="shared" si="336"/>
        <v>0.11027193803558447</v>
      </c>
      <c r="O344" s="157">
        <f t="shared" si="336"/>
        <v>0.11027193912417463</v>
      </c>
      <c r="P344" s="157">
        <f t="shared" si="336"/>
        <v>0.11027193889338384</v>
      </c>
      <c r="Q344" s="157">
        <f t="shared" si="336"/>
        <v>0.11027193915572252</v>
      </c>
      <c r="R344" s="157">
        <f t="shared" si="336"/>
        <v>0.11027193933032937</v>
      </c>
      <c r="S344" s="157">
        <f t="shared" si="336"/>
        <v>0.11027193871500141</v>
      </c>
      <c r="T344" s="157">
        <f t="shared" si="336"/>
        <v>0.11027195122521964</v>
      </c>
      <c r="U344" s="157">
        <f t="shared" si="336"/>
        <v>0.11027195311285097</v>
      </c>
      <c r="V344" s="157">
        <f t="shared" si="336"/>
        <v>0.11027194577875163</v>
      </c>
      <c r="W344" s="157">
        <f t="shared" si="336"/>
        <v>0.11027193101265882</v>
      </c>
      <c r="X344" s="157">
        <f t="shared" si="336"/>
        <v>0.11027195788192662</v>
      </c>
      <c r="Y344" s="157">
        <f t="shared" si="336"/>
        <v>0.11027195136582553</v>
      </c>
      <c r="Z344" s="157">
        <f t="shared" si="336"/>
        <v>0.11027194249623308</v>
      </c>
      <c r="AA344" s="157">
        <f t="shared" si="336"/>
        <v>0.11027191937004856</v>
      </c>
      <c r="AB344" s="157">
        <f t="shared" si="336"/>
        <v>0.1102719297475435</v>
      </c>
      <c r="AC344" s="157">
        <f t="shared" si="336"/>
        <v>0.11027194225345728</v>
      </c>
      <c r="AD344" s="157">
        <f t="shared" si="336"/>
        <v>0.11027192114627135</v>
      </c>
      <c r="AE344" s="157">
        <f t="shared" si="336"/>
        <v>0.11027194819194906</v>
      </c>
      <c r="AF344" s="157">
        <f t="shared" si="336"/>
        <v>0.11027194819194906</v>
      </c>
      <c r="AG344" s="157">
        <f t="shared" si="336"/>
        <v>0.11027194819194906</v>
      </c>
      <c r="AH344" s="157">
        <f t="shared" si="336"/>
        <v>0.11027194819194906</v>
      </c>
      <c r="AI344" s="157">
        <f t="shared" si="336"/>
        <v>0.11027194819194906</v>
      </c>
      <c r="AJ344" s="157">
        <f t="shared" si="336"/>
        <v>0.11027194819194906</v>
      </c>
      <c r="AK344" s="157">
        <f t="shared" si="336"/>
        <v>0.11027194819194906</v>
      </c>
      <c r="AL344" s="157">
        <f t="shared" si="336"/>
        <v>0.11027194819194906</v>
      </c>
      <c r="AM344" s="157">
        <f t="shared" si="336"/>
        <v>0.11027194819194906</v>
      </c>
      <c r="AN344" s="157">
        <f t="shared" si="336"/>
        <v>0.11027194819194906</v>
      </c>
      <c r="AO344" s="157">
        <f t="shared" si="336"/>
        <v>0.11027194819194906</v>
      </c>
      <c r="AP344" s="157">
        <f t="shared" si="336"/>
        <v>0.11027194819194906</v>
      </c>
      <c r="AQ344" s="157">
        <f t="shared" si="336"/>
        <v>0.11027194819194906</v>
      </c>
      <c r="AR344" s="157">
        <f t="shared" si="336"/>
        <v>0.11027194819194906</v>
      </c>
      <c r="AS344" s="149">
        <f t="shared" ref="AS344:BV344" si="337">AR344</f>
        <v>0.11027194819194906</v>
      </c>
      <c r="AT344" s="149">
        <f t="shared" si="337"/>
        <v>0.11027194819194906</v>
      </c>
      <c r="AU344" s="149">
        <f t="shared" si="337"/>
        <v>0.11027194819194906</v>
      </c>
      <c r="AV344" s="149">
        <f t="shared" si="337"/>
        <v>0.11027194819194906</v>
      </c>
      <c r="AW344" s="149">
        <f t="shared" si="337"/>
        <v>0.11027194819194906</v>
      </c>
      <c r="AX344" s="149">
        <f t="shared" si="337"/>
        <v>0.11027194819194906</v>
      </c>
      <c r="AY344" s="149">
        <f t="shared" si="337"/>
        <v>0.11027194819194906</v>
      </c>
      <c r="AZ344" s="149">
        <f t="shared" si="337"/>
        <v>0.11027194819194906</v>
      </c>
      <c r="BA344" s="149">
        <f t="shared" si="337"/>
        <v>0.11027194819194906</v>
      </c>
      <c r="BB344" s="149">
        <f t="shared" si="337"/>
        <v>0.11027194819194906</v>
      </c>
      <c r="BC344" s="149">
        <f t="shared" si="337"/>
        <v>0.11027194819194906</v>
      </c>
      <c r="BD344" s="149">
        <f t="shared" si="337"/>
        <v>0.11027194819194906</v>
      </c>
      <c r="BE344" s="149">
        <f t="shared" si="337"/>
        <v>0.11027194819194906</v>
      </c>
      <c r="BF344" s="149">
        <f t="shared" si="337"/>
        <v>0.11027194819194906</v>
      </c>
      <c r="BG344" s="149">
        <f t="shared" si="337"/>
        <v>0.11027194819194906</v>
      </c>
      <c r="BH344" s="149">
        <f t="shared" si="337"/>
        <v>0.11027194819194906</v>
      </c>
      <c r="BI344" s="149">
        <f t="shared" si="337"/>
        <v>0.11027194819194906</v>
      </c>
      <c r="BJ344" s="149">
        <f t="shared" si="337"/>
        <v>0.11027194819194906</v>
      </c>
      <c r="BK344" s="149">
        <f t="shared" si="337"/>
        <v>0.11027194819194906</v>
      </c>
      <c r="BL344" s="149">
        <f t="shared" si="337"/>
        <v>0.11027194819194906</v>
      </c>
      <c r="BM344" s="149">
        <f t="shared" si="337"/>
        <v>0.11027194819194906</v>
      </c>
      <c r="BN344" s="149">
        <f t="shared" si="337"/>
        <v>0.11027194819194906</v>
      </c>
      <c r="BO344" s="149">
        <f t="shared" si="337"/>
        <v>0.11027194819194906</v>
      </c>
      <c r="BP344" s="149">
        <f t="shared" si="337"/>
        <v>0.11027194819194906</v>
      </c>
      <c r="BQ344" s="149">
        <f t="shared" si="337"/>
        <v>0.11027194819194906</v>
      </c>
      <c r="BR344" s="149">
        <f t="shared" si="337"/>
        <v>0.11027194819194906</v>
      </c>
      <c r="BS344" s="149">
        <f t="shared" si="337"/>
        <v>0.11027194819194906</v>
      </c>
      <c r="BT344" s="149">
        <f t="shared" si="337"/>
        <v>0.11027194819194906</v>
      </c>
      <c r="BU344" s="149">
        <f t="shared" si="337"/>
        <v>0.11027194819194906</v>
      </c>
      <c r="BV344" s="149">
        <f t="shared" si="337"/>
        <v>0.11027194819194906</v>
      </c>
    </row>
    <row r="345" spans="1:74" x14ac:dyDescent="0.25">
      <c r="A345" s="141" t="s">
        <v>187</v>
      </c>
      <c r="B345" s="142"/>
      <c r="C345" s="142"/>
      <c r="D345" s="157">
        <f t="shared" ref="D345:AR345" si="338">D174+D281+D313</f>
        <v>8.4891747833875181E-2</v>
      </c>
      <c r="E345" s="157">
        <f t="shared" si="338"/>
        <v>8.4986910101050653E-2</v>
      </c>
      <c r="F345" s="157">
        <f t="shared" si="338"/>
        <v>8.508207236845225E-2</v>
      </c>
      <c r="G345" s="157">
        <f t="shared" si="338"/>
        <v>8.5177234636079999E-2</v>
      </c>
      <c r="H345" s="157">
        <f t="shared" si="338"/>
        <v>8.5272992677319984E-2</v>
      </c>
      <c r="I345" s="157">
        <f t="shared" si="338"/>
        <v>8.5366963398626955E-2</v>
      </c>
      <c r="J345" s="157">
        <f t="shared" si="338"/>
        <v>8.4361310558826064E-2</v>
      </c>
      <c r="K345" s="157">
        <f t="shared" si="338"/>
        <v>8.4679460810668905E-2</v>
      </c>
      <c r="L345" s="157">
        <f t="shared" si="338"/>
        <v>8.1189242893495411E-2</v>
      </c>
      <c r="M345" s="157">
        <f t="shared" si="338"/>
        <v>8.17104833445009E-2</v>
      </c>
      <c r="N345" s="157">
        <f t="shared" si="338"/>
        <v>8.029027777142414E-2</v>
      </c>
      <c r="O345" s="157">
        <f t="shared" si="338"/>
        <v>8.2348901695247723E-2</v>
      </c>
      <c r="P345" s="157">
        <f t="shared" si="338"/>
        <v>8.3356525344359181E-2</v>
      </c>
      <c r="Q345" s="157">
        <f t="shared" si="338"/>
        <v>8.3881252551208013E-2</v>
      </c>
      <c r="R345" s="157">
        <f t="shared" si="338"/>
        <v>8.3402953332796667E-2</v>
      </c>
      <c r="S345" s="157">
        <f t="shared" si="338"/>
        <v>8.3532770718151211E-2</v>
      </c>
      <c r="T345" s="157">
        <f t="shared" si="338"/>
        <v>8.3623049784786518E-2</v>
      </c>
      <c r="U345" s="157">
        <f t="shared" si="338"/>
        <v>8.3607283502650107E-2</v>
      </c>
      <c r="V345" s="157">
        <f t="shared" si="338"/>
        <v>8.3641398931932412E-2</v>
      </c>
      <c r="W345" s="157">
        <f t="shared" si="338"/>
        <v>8.3610701394064971E-2</v>
      </c>
      <c r="X345" s="157">
        <f t="shared" si="338"/>
        <v>8.373773318329758E-2</v>
      </c>
      <c r="Y345" s="157">
        <f t="shared" si="338"/>
        <v>8.3539544081031619E-2</v>
      </c>
      <c r="Z345" s="157">
        <f t="shared" si="338"/>
        <v>8.350800379341089E-2</v>
      </c>
      <c r="AA345" s="157">
        <f t="shared" si="338"/>
        <v>8.4858180485292423E-2</v>
      </c>
      <c r="AB345" s="157">
        <f t="shared" si="338"/>
        <v>8.147256003314135E-2</v>
      </c>
      <c r="AC345" s="157">
        <f t="shared" si="338"/>
        <v>8.1906681195556455E-2</v>
      </c>
      <c r="AD345" s="157">
        <f t="shared" si="338"/>
        <v>8.1994383724488945E-2</v>
      </c>
      <c r="AE345" s="157">
        <f t="shared" si="338"/>
        <v>8.2425812397980497E-2</v>
      </c>
      <c r="AF345" s="157">
        <f t="shared" si="338"/>
        <v>8.2425812397980497E-2</v>
      </c>
      <c r="AG345" s="157">
        <f t="shared" si="338"/>
        <v>8.2425812397980497E-2</v>
      </c>
      <c r="AH345" s="157">
        <f t="shared" si="338"/>
        <v>8.2425812397980497E-2</v>
      </c>
      <c r="AI345" s="157">
        <f t="shared" si="338"/>
        <v>8.2425812397980497E-2</v>
      </c>
      <c r="AJ345" s="157">
        <f t="shared" si="338"/>
        <v>8.2425812397980497E-2</v>
      </c>
      <c r="AK345" s="157">
        <f t="shared" si="338"/>
        <v>8.2425812397980497E-2</v>
      </c>
      <c r="AL345" s="157">
        <f t="shared" si="338"/>
        <v>8.2425812397980497E-2</v>
      </c>
      <c r="AM345" s="157">
        <f t="shared" si="338"/>
        <v>8.2425812397980497E-2</v>
      </c>
      <c r="AN345" s="157">
        <f t="shared" si="338"/>
        <v>8.2425812397980497E-2</v>
      </c>
      <c r="AO345" s="157">
        <f t="shared" si="338"/>
        <v>8.2425812397980497E-2</v>
      </c>
      <c r="AP345" s="157">
        <f t="shared" si="338"/>
        <v>8.2425812397980497E-2</v>
      </c>
      <c r="AQ345" s="157">
        <f t="shared" si="338"/>
        <v>8.2425812397980497E-2</v>
      </c>
      <c r="AR345" s="157">
        <f t="shared" si="338"/>
        <v>8.2425812397980497E-2</v>
      </c>
      <c r="AS345" s="149">
        <f t="shared" ref="AS345:BV345" si="339">AR345</f>
        <v>8.2425812397980497E-2</v>
      </c>
      <c r="AT345" s="149">
        <f t="shared" si="339"/>
        <v>8.2425812397980497E-2</v>
      </c>
      <c r="AU345" s="149">
        <f t="shared" si="339"/>
        <v>8.2425812397980497E-2</v>
      </c>
      <c r="AV345" s="149">
        <f t="shared" si="339"/>
        <v>8.2425812397980497E-2</v>
      </c>
      <c r="AW345" s="149">
        <f t="shared" si="339"/>
        <v>8.2425812397980497E-2</v>
      </c>
      <c r="AX345" s="149">
        <f t="shared" si="339"/>
        <v>8.2425812397980497E-2</v>
      </c>
      <c r="AY345" s="149">
        <f t="shared" si="339"/>
        <v>8.2425812397980497E-2</v>
      </c>
      <c r="AZ345" s="149">
        <f t="shared" si="339"/>
        <v>8.2425812397980497E-2</v>
      </c>
      <c r="BA345" s="149">
        <f t="shared" si="339"/>
        <v>8.2425812397980497E-2</v>
      </c>
      <c r="BB345" s="149">
        <f t="shared" si="339"/>
        <v>8.2425812397980497E-2</v>
      </c>
      <c r="BC345" s="149">
        <f t="shared" si="339"/>
        <v>8.2425812397980497E-2</v>
      </c>
      <c r="BD345" s="149">
        <f t="shared" si="339"/>
        <v>8.2425812397980497E-2</v>
      </c>
      <c r="BE345" s="149">
        <f t="shared" si="339"/>
        <v>8.2425812397980497E-2</v>
      </c>
      <c r="BF345" s="149">
        <f t="shared" si="339"/>
        <v>8.2425812397980497E-2</v>
      </c>
      <c r="BG345" s="149">
        <f t="shared" si="339"/>
        <v>8.2425812397980497E-2</v>
      </c>
      <c r="BH345" s="149">
        <f t="shared" si="339"/>
        <v>8.2425812397980497E-2</v>
      </c>
      <c r="BI345" s="149">
        <f t="shared" si="339"/>
        <v>8.2425812397980497E-2</v>
      </c>
      <c r="BJ345" s="149">
        <f t="shared" si="339"/>
        <v>8.2425812397980497E-2</v>
      </c>
      <c r="BK345" s="149">
        <f t="shared" si="339"/>
        <v>8.2425812397980497E-2</v>
      </c>
      <c r="BL345" s="149">
        <f t="shared" si="339"/>
        <v>8.2425812397980497E-2</v>
      </c>
      <c r="BM345" s="149">
        <f t="shared" si="339"/>
        <v>8.2425812397980497E-2</v>
      </c>
      <c r="BN345" s="149">
        <f t="shared" si="339"/>
        <v>8.2425812397980497E-2</v>
      </c>
      <c r="BO345" s="149">
        <f t="shared" si="339"/>
        <v>8.2425812397980497E-2</v>
      </c>
      <c r="BP345" s="149">
        <f t="shared" si="339"/>
        <v>8.2425812397980497E-2</v>
      </c>
      <c r="BQ345" s="149">
        <f t="shared" si="339"/>
        <v>8.2425812397980497E-2</v>
      </c>
      <c r="BR345" s="149">
        <f t="shared" si="339"/>
        <v>8.2425812397980497E-2</v>
      </c>
      <c r="BS345" s="149">
        <f t="shared" si="339"/>
        <v>8.2425812397980497E-2</v>
      </c>
      <c r="BT345" s="149">
        <f t="shared" si="339"/>
        <v>8.2425812397980497E-2</v>
      </c>
      <c r="BU345" s="149">
        <f t="shared" si="339"/>
        <v>8.2425812397980497E-2</v>
      </c>
      <c r="BV345" s="149">
        <f t="shared" si="339"/>
        <v>8.2425812397980497E-2</v>
      </c>
    </row>
    <row r="346" spans="1:74" x14ac:dyDescent="0.25">
      <c r="A346" s="147" t="s">
        <v>189</v>
      </c>
      <c r="C346" s="142"/>
      <c r="D346" s="157">
        <f t="shared" ref="D346:AR346" si="340">D175+D282+D314</f>
        <v>3.7545405695862441E-2</v>
      </c>
      <c r="E346" s="157">
        <f t="shared" si="340"/>
        <v>3.7545405630124713E-2</v>
      </c>
      <c r="F346" s="157">
        <f t="shared" si="340"/>
        <v>3.7545405564386986E-2</v>
      </c>
      <c r="G346" s="157">
        <f t="shared" si="340"/>
        <v>3.7545405498649258E-2</v>
      </c>
      <c r="H346" s="157">
        <f t="shared" si="340"/>
        <v>3.7545405432911523E-2</v>
      </c>
      <c r="I346" s="157">
        <f t="shared" si="340"/>
        <v>3.7545405367173781E-2</v>
      </c>
      <c r="J346" s="157">
        <f t="shared" si="340"/>
        <v>3.7545405293620097E-2</v>
      </c>
      <c r="K346" s="157">
        <f t="shared" si="340"/>
        <v>3.7545405610680656E-2</v>
      </c>
      <c r="L346" s="157">
        <f t="shared" si="340"/>
        <v>3.6505747731799987E-2</v>
      </c>
      <c r="M346" s="157">
        <f t="shared" si="340"/>
        <v>3.6505746745873029E-2</v>
      </c>
      <c r="N346" s="157">
        <f t="shared" si="340"/>
        <v>3.6505747207201657E-2</v>
      </c>
      <c r="O346" s="157">
        <f t="shared" si="340"/>
        <v>3.6505747558521741E-2</v>
      </c>
      <c r="P346" s="157">
        <f t="shared" si="340"/>
        <v>3.6505747752478029E-2</v>
      </c>
      <c r="Q346" s="157">
        <f t="shared" si="340"/>
        <v>3.6505746605277056E-2</v>
      </c>
      <c r="R346" s="157">
        <f t="shared" si="340"/>
        <v>3.6505747023358778E-2</v>
      </c>
      <c r="S346" s="157">
        <f t="shared" si="340"/>
        <v>3.6505746607223576E-2</v>
      </c>
      <c r="T346" s="157">
        <f t="shared" si="340"/>
        <v>3.6505750162498851E-2</v>
      </c>
      <c r="U346" s="157">
        <f t="shared" si="340"/>
        <v>3.6505737951523051E-2</v>
      </c>
      <c r="V346" s="157">
        <f t="shared" si="340"/>
        <v>3.6505754598615069E-2</v>
      </c>
      <c r="W346" s="157">
        <f t="shared" si="340"/>
        <v>3.6505762246628624E-2</v>
      </c>
      <c r="X346" s="157">
        <f t="shared" si="340"/>
        <v>3.6505748841894226E-2</v>
      </c>
      <c r="Y346" s="157">
        <f t="shared" si="340"/>
        <v>3.6505749799234551E-2</v>
      </c>
      <c r="Z346" s="157">
        <f t="shared" si="340"/>
        <v>3.6505751849565934E-2</v>
      </c>
      <c r="AA346" s="157">
        <f t="shared" si="340"/>
        <v>3.6505738454943995E-2</v>
      </c>
      <c r="AB346" s="157">
        <f t="shared" si="340"/>
        <v>3.650574442067496E-2</v>
      </c>
      <c r="AC346" s="157">
        <f t="shared" si="340"/>
        <v>3.6505730925482198E-2</v>
      </c>
      <c r="AD346" s="157">
        <f t="shared" si="340"/>
        <v>3.6505760089915323E-2</v>
      </c>
      <c r="AE346" s="157">
        <f t="shared" si="340"/>
        <v>3.6505729376539835E-2</v>
      </c>
      <c r="AF346" s="157">
        <f t="shared" si="340"/>
        <v>3.6505729376539835E-2</v>
      </c>
      <c r="AG346" s="157">
        <f t="shared" si="340"/>
        <v>3.6505729376539835E-2</v>
      </c>
      <c r="AH346" s="157">
        <f t="shared" si="340"/>
        <v>3.6505729376539835E-2</v>
      </c>
      <c r="AI346" s="157">
        <f t="shared" si="340"/>
        <v>3.6505729376539835E-2</v>
      </c>
      <c r="AJ346" s="157">
        <f t="shared" si="340"/>
        <v>3.6505729376539835E-2</v>
      </c>
      <c r="AK346" s="157">
        <f t="shared" si="340"/>
        <v>3.6505729376539835E-2</v>
      </c>
      <c r="AL346" s="157">
        <f t="shared" si="340"/>
        <v>3.6505729376539835E-2</v>
      </c>
      <c r="AM346" s="157">
        <f t="shared" si="340"/>
        <v>3.6505729376539835E-2</v>
      </c>
      <c r="AN346" s="157">
        <f t="shared" si="340"/>
        <v>3.6505729376539835E-2</v>
      </c>
      <c r="AO346" s="157">
        <f t="shared" si="340"/>
        <v>3.6505729376539835E-2</v>
      </c>
      <c r="AP346" s="157">
        <f t="shared" si="340"/>
        <v>3.6505729376539835E-2</v>
      </c>
      <c r="AQ346" s="157">
        <f t="shared" si="340"/>
        <v>3.6505729376539835E-2</v>
      </c>
      <c r="AR346" s="157">
        <f t="shared" si="340"/>
        <v>3.6505729376539835E-2</v>
      </c>
      <c r="AS346" s="149">
        <f t="shared" ref="AS346:BV346" si="341">AR346</f>
        <v>3.6505729376539835E-2</v>
      </c>
      <c r="AT346" s="149">
        <f t="shared" si="341"/>
        <v>3.6505729376539835E-2</v>
      </c>
      <c r="AU346" s="149">
        <f t="shared" si="341"/>
        <v>3.6505729376539835E-2</v>
      </c>
      <c r="AV346" s="149">
        <f t="shared" si="341"/>
        <v>3.6505729376539835E-2</v>
      </c>
      <c r="AW346" s="149">
        <f t="shared" si="341"/>
        <v>3.6505729376539835E-2</v>
      </c>
      <c r="AX346" s="149">
        <f t="shared" si="341"/>
        <v>3.6505729376539835E-2</v>
      </c>
      <c r="AY346" s="149">
        <f t="shared" si="341"/>
        <v>3.6505729376539835E-2</v>
      </c>
      <c r="AZ346" s="149">
        <f t="shared" si="341"/>
        <v>3.6505729376539835E-2</v>
      </c>
      <c r="BA346" s="149">
        <f t="shared" si="341"/>
        <v>3.6505729376539835E-2</v>
      </c>
      <c r="BB346" s="149">
        <f t="shared" si="341"/>
        <v>3.6505729376539835E-2</v>
      </c>
      <c r="BC346" s="149">
        <f t="shared" si="341"/>
        <v>3.6505729376539835E-2</v>
      </c>
      <c r="BD346" s="149">
        <f t="shared" si="341"/>
        <v>3.6505729376539835E-2</v>
      </c>
      <c r="BE346" s="149">
        <f t="shared" si="341"/>
        <v>3.6505729376539835E-2</v>
      </c>
      <c r="BF346" s="149">
        <f t="shared" si="341"/>
        <v>3.6505729376539835E-2</v>
      </c>
      <c r="BG346" s="149">
        <f t="shared" si="341"/>
        <v>3.6505729376539835E-2</v>
      </c>
      <c r="BH346" s="149">
        <f t="shared" si="341"/>
        <v>3.6505729376539835E-2</v>
      </c>
      <c r="BI346" s="149">
        <f t="shared" si="341"/>
        <v>3.6505729376539835E-2</v>
      </c>
      <c r="BJ346" s="149">
        <f t="shared" si="341"/>
        <v>3.6505729376539835E-2</v>
      </c>
      <c r="BK346" s="149">
        <f t="shared" si="341"/>
        <v>3.6505729376539835E-2</v>
      </c>
      <c r="BL346" s="149">
        <f t="shared" si="341"/>
        <v>3.6505729376539835E-2</v>
      </c>
      <c r="BM346" s="149">
        <f t="shared" si="341"/>
        <v>3.6505729376539835E-2</v>
      </c>
      <c r="BN346" s="149">
        <f t="shared" si="341"/>
        <v>3.6505729376539835E-2</v>
      </c>
      <c r="BO346" s="149">
        <f t="shared" si="341"/>
        <v>3.6505729376539835E-2</v>
      </c>
      <c r="BP346" s="149">
        <f t="shared" si="341"/>
        <v>3.6505729376539835E-2</v>
      </c>
      <c r="BQ346" s="149">
        <f t="shared" si="341"/>
        <v>3.6505729376539835E-2</v>
      </c>
      <c r="BR346" s="149">
        <f t="shared" si="341"/>
        <v>3.6505729376539835E-2</v>
      </c>
      <c r="BS346" s="149">
        <f t="shared" si="341"/>
        <v>3.6505729376539835E-2</v>
      </c>
      <c r="BT346" s="149">
        <f t="shared" si="341"/>
        <v>3.6505729376539835E-2</v>
      </c>
      <c r="BU346" s="149">
        <f t="shared" si="341"/>
        <v>3.6505729376539835E-2</v>
      </c>
      <c r="BV346" s="149">
        <f t="shared" si="341"/>
        <v>3.6505729376539835E-2</v>
      </c>
    </row>
    <row r="347" spans="1:74" x14ac:dyDescent="0.25">
      <c r="A347" s="147" t="s">
        <v>12</v>
      </c>
      <c r="C347" s="142"/>
      <c r="D347" s="157">
        <f t="shared" ref="D347:AR347" si="342">D176+D283+D315</f>
        <v>7.2381743116112798E-2</v>
      </c>
      <c r="E347" s="157">
        <f t="shared" si="342"/>
        <v>7.2381743116112798E-2</v>
      </c>
      <c r="F347" s="157">
        <f t="shared" si="342"/>
        <v>7.2381743116112798E-2</v>
      </c>
      <c r="G347" s="157">
        <f t="shared" si="342"/>
        <v>7.2381743116112798E-2</v>
      </c>
      <c r="H347" s="157">
        <f t="shared" si="342"/>
        <v>7.2381743116112798E-2</v>
      </c>
      <c r="I347" s="157">
        <f t="shared" si="342"/>
        <v>7.2381743116112798E-2</v>
      </c>
      <c r="J347" s="157">
        <f t="shared" si="342"/>
        <v>7.2381797112151786E-2</v>
      </c>
      <c r="K347" s="157">
        <f t="shared" si="342"/>
        <v>7.2381693467432118E-2</v>
      </c>
      <c r="L347" s="157">
        <f t="shared" si="342"/>
        <v>7.2381645500750116E-2</v>
      </c>
      <c r="M347" s="157">
        <f t="shared" si="342"/>
        <v>7.2381614516281598E-2</v>
      </c>
      <c r="N347" s="157">
        <f t="shared" si="342"/>
        <v>7.2381835498524019E-2</v>
      </c>
      <c r="O347" s="157">
        <f t="shared" si="342"/>
        <v>7.2381573446919506E-2</v>
      </c>
      <c r="P347" s="157">
        <f t="shared" si="342"/>
        <v>7.3099927947076329E-2</v>
      </c>
      <c r="Q347" s="157">
        <f t="shared" si="342"/>
        <v>7.3099806381166255E-2</v>
      </c>
      <c r="R347" s="157">
        <f t="shared" si="342"/>
        <v>7.3099846395962634E-2</v>
      </c>
      <c r="S347" s="157">
        <f t="shared" si="342"/>
        <v>7.3099983625557974E-2</v>
      </c>
      <c r="T347" s="157">
        <f t="shared" si="342"/>
        <v>7.3099838249902224E-2</v>
      </c>
      <c r="U347" s="157">
        <f t="shared" si="342"/>
        <v>7.3099814311204145E-2</v>
      </c>
      <c r="V347" s="157">
        <f t="shared" si="342"/>
        <v>7.3099956350312814E-2</v>
      </c>
      <c r="W347" s="157">
        <f t="shared" si="342"/>
        <v>7.3099891660991415E-2</v>
      </c>
      <c r="X347" s="157">
        <f t="shared" si="342"/>
        <v>7.3099944752711074E-2</v>
      </c>
      <c r="Y347" s="157">
        <f t="shared" si="342"/>
        <v>7.3099767923349046E-2</v>
      </c>
      <c r="Z347" s="157">
        <f t="shared" si="342"/>
        <v>7.309974431484248E-2</v>
      </c>
      <c r="AA347" s="157">
        <f t="shared" si="342"/>
        <v>7.3099915026604068E-2</v>
      </c>
      <c r="AB347" s="157">
        <f t="shared" si="342"/>
        <v>7.3099740910526914E-2</v>
      </c>
      <c r="AC347" s="157">
        <f t="shared" si="342"/>
        <v>7.3099970393495375E-2</v>
      </c>
      <c r="AD347" s="157">
        <f t="shared" si="342"/>
        <v>7.3099899753755054E-2</v>
      </c>
      <c r="AE347" s="157">
        <f t="shared" si="342"/>
        <v>7.3099878977557126E-2</v>
      </c>
      <c r="AF347" s="157">
        <f t="shared" si="342"/>
        <v>7.3099878977557126E-2</v>
      </c>
      <c r="AG347" s="157">
        <f t="shared" si="342"/>
        <v>7.3099878977557126E-2</v>
      </c>
      <c r="AH347" s="157">
        <f t="shared" si="342"/>
        <v>7.3099878977557126E-2</v>
      </c>
      <c r="AI347" s="157">
        <f t="shared" si="342"/>
        <v>7.3099878977557126E-2</v>
      </c>
      <c r="AJ347" s="157">
        <f t="shared" si="342"/>
        <v>7.3099878977557126E-2</v>
      </c>
      <c r="AK347" s="157">
        <f t="shared" si="342"/>
        <v>7.3099878977557126E-2</v>
      </c>
      <c r="AL347" s="157">
        <f t="shared" si="342"/>
        <v>7.3099878977557126E-2</v>
      </c>
      <c r="AM347" s="157">
        <f t="shared" si="342"/>
        <v>7.3099878977557126E-2</v>
      </c>
      <c r="AN347" s="157">
        <f t="shared" si="342"/>
        <v>7.3099878977557126E-2</v>
      </c>
      <c r="AO347" s="157">
        <f t="shared" si="342"/>
        <v>7.3099878977557126E-2</v>
      </c>
      <c r="AP347" s="157">
        <f t="shared" si="342"/>
        <v>7.3099878977557126E-2</v>
      </c>
      <c r="AQ347" s="157">
        <f t="shared" si="342"/>
        <v>7.3099878977557126E-2</v>
      </c>
      <c r="AR347" s="157">
        <f t="shared" si="342"/>
        <v>7.3099878977557126E-2</v>
      </c>
      <c r="AS347" s="149">
        <f t="shared" ref="AS347:BV347" si="343">AR347</f>
        <v>7.3099878977557126E-2</v>
      </c>
      <c r="AT347" s="149">
        <f t="shared" si="343"/>
        <v>7.3099878977557126E-2</v>
      </c>
      <c r="AU347" s="149">
        <f t="shared" si="343"/>
        <v>7.3099878977557126E-2</v>
      </c>
      <c r="AV347" s="149">
        <f t="shared" si="343"/>
        <v>7.3099878977557126E-2</v>
      </c>
      <c r="AW347" s="149">
        <f t="shared" si="343"/>
        <v>7.3099878977557126E-2</v>
      </c>
      <c r="AX347" s="149">
        <f t="shared" si="343"/>
        <v>7.3099878977557126E-2</v>
      </c>
      <c r="AY347" s="149">
        <f t="shared" si="343"/>
        <v>7.3099878977557126E-2</v>
      </c>
      <c r="AZ347" s="149">
        <f t="shared" si="343"/>
        <v>7.3099878977557126E-2</v>
      </c>
      <c r="BA347" s="149">
        <f t="shared" si="343"/>
        <v>7.3099878977557126E-2</v>
      </c>
      <c r="BB347" s="149">
        <f t="shared" si="343"/>
        <v>7.3099878977557126E-2</v>
      </c>
      <c r="BC347" s="149">
        <f t="shared" si="343"/>
        <v>7.3099878977557126E-2</v>
      </c>
      <c r="BD347" s="149">
        <f t="shared" si="343"/>
        <v>7.3099878977557126E-2</v>
      </c>
      <c r="BE347" s="149">
        <f t="shared" si="343"/>
        <v>7.3099878977557126E-2</v>
      </c>
      <c r="BF347" s="149">
        <f t="shared" si="343"/>
        <v>7.3099878977557126E-2</v>
      </c>
      <c r="BG347" s="149">
        <f t="shared" si="343"/>
        <v>7.3099878977557126E-2</v>
      </c>
      <c r="BH347" s="149">
        <f t="shared" si="343"/>
        <v>7.3099878977557126E-2</v>
      </c>
      <c r="BI347" s="149">
        <f t="shared" si="343"/>
        <v>7.3099878977557126E-2</v>
      </c>
      <c r="BJ347" s="149">
        <f t="shared" si="343"/>
        <v>7.3099878977557126E-2</v>
      </c>
      <c r="BK347" s="149">
        <f t="shared" si="343"/>
        <v>7.3099878977557126E-2</v>
      </c>
      <c r="BL347" s="149">
        <f t="shared" si="343"/>
        <v>7.3099878977557126E-2</v>
      </c>
      <c r="BM347" s="149">
        <f t="shared" si="343"/>
        <v>7.3099878977557126E-2</v>
      </c>
      <c r="BN347" s="149">
        <f t="shared" si="343"/>
        <v>7.3099878977557126E-2</v>
      </c>
      <c r="BO347" s="149">
        <f t="shared" si="343"/>
        <v>7.3099878977557126E-2</v>
      </c>
      <c r="BP347" s="149">
        <f t="shared" si="343"/>
        <v>7.3099878977557126E-2</v>
      </c>
      <c r="BQ347" s="149">
        <f t="shared" si="343"/>
        <v>7.3099878977557126E-2</v>
      </c>
      <c r="BR347" s="149">
        <f t="shared" si="343"/>
        <v>7.3099878977557126E-2</v>
      </c>
      <c r="BS347" s="149">
        <f t="shared" si="343"/>
        <v>7.3099878977557126E-2</v>
      </c>
      <c r="BT347" s="149">
        <f t="shared" si="343"/>
        <v>7.3099878977557126E-2</v>
      </c>
      <c r="BU347" s="149">
        <f t="shared" si="343"/>
        <v>7.3099878977557126E-2</v>
      </c>
      <c r="BV347" s="149">
        <f t="shared" si="343"/>
        <v>7.3099878977557126E-2</v>
      </c>
    </row>
    <row r="348" spans="1:74" x14ac:dyDescent="0.25">
      <c r="A348" s="147" t="s">
        <v>2</v>
      </c>
      <c r="C348" s="142"/>
      <c r="D348" s="157">
        <f t="shared" ref="D348:AR348" si="344">D177+D284+D316</f>
        <v>0</v>
      </c>
      <c r="E348" s="157">
        <f t="shared" si="344"/>
        <v>0</v>
      </c>
      <c r="F348" s="157">
        <f t="shared" si="344"/>
        <v>0</v>
      </c>
      <c r="G348" s="157">
        <f t="shared" si="344"/>
        <v>0</v>
      </c>
      <c r="H348" s="157">
        <f t="shared" si="344"/>
        <v>0</v>
      </c>
      <c r="I348" s="157">
        <f t="shared" si="344"/>
        <v>0</v>
      </c>
      <c r="J348" s="157">
        <f t="shared" si="344"/>
        <v>0</v>
      </c>
      <c r="K348" s="157">
        <f t="shared" si="344"/>
        <v>0</v>
      </c>
      <c r="L348" s="157">
        <f t="shared" si="344"/>
        <v>0</v>
      </c>
      <c r="M348" s="157">
        <f t="shared" si="344"/>
        <v>0</v>
      </c>
      <c r="N348" s="157">
        <f t="shared" si="344"/>
        <v>0</v>
      </c>
      <c r="O348" s="157">
        <f t="shared" si="344"/>
        <v>0</v>
      </c>
      <c r="P348" s="157">
        <f t="shared" si="344"/>
        <v>0</v>
      </c>
      <c r="Q348" s="157">
        <f t="shared" si="344"/>
        <v>0</v>
      </c>
      <c r="R348" s="157">
        <f t="shared" si="344"/>
        <v>0</v>
      </c>
      <c r="S348" s="157">
        <f t="shared" si="344"/>
        <v>0</v>
      </c>
      <c r="T348" s="157">
        <f t="shared" si="344"/>
        <v>0</v>
      </c>
      <c r="U348" s="157">
        <f t="shared" si="344"/>
        <v>0</v>
      </c>
      <c r="V348" s="157">
        <f t="shared" si="344"/>
        <v>0</v>
      </c>
      <c r="W348" s="157">
        <f t="shared" si="344"/>
        <v>0</v>
      </c>
      <c r="X348" s="157">
        <f t="shared" si="344"/>
        <v>0</v>
      </c>
      <c r="Y348" s="157">
        <f t="shared" si="344"/>
        <v>0</v>
      </c>
      <c r="Z348" s="157">
        <f t="shared" si="344"/>
        <v>0</v>
      </c>
      <c r="AA348" s="157">
        <f t="shared" si="344"/>
        <v>0</v>
      </c>
      <c r="AB348" s="157">
        <f t="shared" si="344"/>
        <v>0</v>
      </c>
      <c r="AC348" s="157">
        <f t="shared" si="344"/>
        <v>0</v>
      </c>
      <c r="AD348" s="157">
        <f t="shared" si="344"/>
        <v>0</v>
      </c>
      <c r="AE348" s="157">
        <f t="shared" si="344"/>
        <v>0</v>
      </c>
      <c r="AF348" s="157">
        <f t="shared" si="344"/>
        <v>0</v>
      </c>
      <c r="AG348" s="157">
        <f t="shared" si="344"/>
        <v>0</v>
      </c>
      <c r="AH348" s="157">
        <f t="shared" si="344"/>
        <v>0</v>
      </c>
      <c r="AI348" s="157">
        <f t="shared" si="344"/>
        <v>0</v>
      </c>
      <c r="AJ348" s="157">
        <f t="shared" si="344"/>
        <v>0</v>
      </c>
      <c r="AK348" s="157">
        <f t="shared" si="344"/>
        <v>0</v>
      </c>
      <c r="AL348" s="157">
        <f t="shared" si="344"/>
        <v>0</v>
      </c>
      <c r="AM348" s="157">
        <f t="shared" si="344"/>
        <v>0</v>
      </c>
      <c r="AN348" s="157">
        <f t="shared" si="344"/>
        <v>0</v>
      </c>
      <c r="AO348" s="157">
        <f t="shared" si="344"/>
        <v>0</v>
      </c>
      <c r="AP348" s="157">
        <f t="shared" si="344"/>
        <v>0</v>
      </c>
      <c r="AQ348" s="157">
        <f t="shared" si="344"/>
        <v>0</v>
      </c>
      <c r="AR348" s="157">
        <f t="shared" si="344"/>
        <v>0</v>
      </c>
      <c r="AS348" s="149">
        <f t="shared" ref="AS348:BV348" si="345">AR348</f>
        <v>0</v>
      </c>
      <c r="AT348" s="149">
        <f t="shared" si="345"/>
        <v>0</v>
      </c>
      <c r="AU348" s="149">
        <f t="shared" si="345"/>
        <v>0</v>
      </c>
      <c r="AV348" s="149">
        <f t="shared" si="345"/>
        <v>0</v>
      </c>
      <c r="AW348" s="149">
        <f t="shared" si="345"/>
        <v>0</v>
      </c>
      <c r="AX348" s="149">
        <f t="shared" si="345"/>
        <v>0</v>
      </c>
      <c r="AY348" s="149">
        <f t="shared" si="345"/>
        <v>0</v>
      </c>
      <c r="AZ348" s="149">
        <f t="shared" si="345"/>
        <v>0</v>
      </c>
      <c r="BA348" s="149">
        <f t="shared" si="345"/>
        <v>0</v>
      </c>
      <c r="BB348" s="149">
        <f t="shared" si="345"/>
        <v>0</v>
      </c>
      <c r="BC348" s="149">
        <f t="shared" si="345"/>
        <v>0</v>
      </c>
      <c r="BD348" s="149">
        <f t="shared" si="345"/>
        <v>0</v>
      </c>
      <c r="BE348" s="149">
        <f t="shared" si="345"/>
        <v>0</v>
      </c>
      <c r="BF348" s="149">
        <f t="shared" si="345"/>
        <v>0</v>
      </c>
      <c r="BG348" s="149">
        <f t="shared" si="345"/>
        <v>0</v>
      </c>
      <c r="BH348" s="149">
        <f t="shared" si="345"/>
        <v>0</v>
      </c>
      <c r="BI348" s="149">
        <f t="shared" si="345"/>
        <v>0</v>
      </c>
      <c r="BJ348" s="149">
        <f t="shared" si="345"/>
        <v>0</v>
      </c>
      <c r="BK348" s="149">
        <f t="shared" si="345"/>
        <v>0</v>
      </c>
      <c r="BL348" s="149">
        <f t="shared" si="345"/>
        <v>0</v>
      </c>
      <c r="BM348" s="149">
        <f t="shared" si="345"/>
        <v>0</v>
      </c>
      <c r="BN348" s="149">
        <f t="shared" si="345"/>
        <v>0</v>
      </c>
      <c r="BO348" s="149">
        <f t="shared" si="345"/>
        <v>0</v>
      </c>
      <c r="BP348" s="149">
        <f t="shared" si="345"/>
        <v>0</v>
      </c>
      <c r="BQ348" s="149">
        <f t="shared" si="345"/>
        <v>0</v>
      </c>
      <c r="BR348" s="149">
        <f t="shared" si="345"/>
        <v>0</v>
      </c>
      <c r="BS348" s="149">
        <f t="shared" si="345"/>
        <v>0</v>
      </c>
      <c r="BT348" s="149">
        <f t="shared" si="345"/>
        <v>0</v>
      </c>
      <c r="BU348" s="149">
        <f t="shared" si="345"/>
        <v>0</v>
      </c>
      <c r="BV348" s="149">
        <f t="shared" si="345"/>
        <v>0</v>
      </c>
    </row>
    <row r="349" spans="1:74" x14ac:dyDescent="0.25">
      <c r="A349" s="141" t="s">
        <v>192</v>
      </c>
      <c r="B349" s="148"/>
      <c r="C349" s="142"/>
      <c r="D349" s="157">
        <f t="shared" ref="D349:AR349" si="346">D178+D285+D317</f>
        <v>7.13070336273713E-2</v>
      </c>
      <c r="E349" s="157">
        <f t="shared" si="346"/>
        <v>7.13070336273713E-2</v>
      </c>
      <c r="F349" s="157">
        <f t="shared" si="346"/>
        <v>7.13070336273713E-2</v>
      </c>
      <c r="G349" s="157">
        <f t="shared" si="346"/>
        <v>7.13070336273713E-2</v>
      </c>
      <c r="H349" s="157">
        <f t="shared" si="346"/>
        <v>7.13070336273713E-2</v>
      </c>
      <c r="I349" s="157">
        <f t="shared" si="346"/>
        <v>7.13070336273713E-2</v>
      </c>
      <c r="J349" s="157">
        <f t="shared" si="346"/>
        <v>7.13070336273713E-2</v>
      </c>
      <c r="K349" s="157">
        <f t="shared" si="346"/>
        <v>7.13070336273713E-2</v>
      </c>
      <c r="L349" s="157">
        <f t="shared" si="346"/>
        <v>7.13070336273713E-2</v>
      </c>
      <c r="M349" s="157">
        <f t="shared" si="346"/>
        <v>7.13070336273713E-2</v>
      </c>
      <c r="N349" s="157">
        <f t="shared" si="346"/>
        <v>7.13070336273713E-2</v>
      </c>
      <c r="O349" s="157">
        <f t="shared" si="346"/>
        <v>7.13070336273713E-2</v>
      </c>
      <c r="P349" s="157">
        <f t="shared" si="346"/>
        <v>7.13070336273713E-2</v>
      </c>
      <c r="Q349" s="157">
        <f t="shared" si="346"/>
        <v>7.13070336273713E-2</v>
      </c>
      <c r="R349" s="157">
        <f t="shared" si="346"/>
        <v>7.13070336273713E-2</v>
      </c>
      <c r="S349" s="157">
        <f t="shared" si="346"/>
        <v>7.13070336273713E-2</v>
      </c>
      <c r="T349" s="157">
        <f t="shared" si="346"/>
        <v>7.13070336273713E-2</v>
      </c>
      <c r="U349" s="157">
        <f t="shared" si="346"/>
        <v>7.13070336273713E-2</v>
      </c>
      <c r="V349" s="157">
        <f t="shared" si="346"/>
        <v>7.13070336273713E-2</v>
      </c>
      <c r="W349" s="157">
        <f t="shared" si="346"/>
        <v>7.13070336273713E-2</v>
      </c>
      <c r="X349" s="157">
        <f t="shared" si="346"/>
        <v>7.13070336273713E-2</v>
      </c>
      <c r="Y349" s="157">
        <f t="shared" si="346"/>
        <v>7.13070336273713E-2</v>
      </c>
      <c r="Z349" s="157">
        <f t="shared" si="346"/>
        <v>7.13070336273713E-2</v>
      </c>
      <c r="AA349" s="157">
        <f t="shared" si="346"/>
        <v>7.13070336273713E-2</v>
      </c>
      <c r="AB349" s="157">
        <f t="shared" si="346"/>
        <v>7.13070336273713E-2</v>
      </c>
      <c r="AC349" s="157">
        <f t="shared" si="346"/>
        <v>7.13070336273713E-2</v>
      </c>
      <c r="AD349" s="157">
        <f t="shared" si="346"/>
        <v>7.13070336273713E-2</v>
      </c>
      <c r="AE349" s="157">
        <f t="shared" si="346"/>
        <v>7.13070336273713E-2</v>
      </c>
      <c r="AF349" s="157">
        <f t="shared" si="346"/>
        <v>7.13070336273713E-2</v>
      </c>
      <c r="AG349" s="157">
        <f t="shared" si="346"/>
        <v>7.13070336273713E-2</v>
      </c>
      <c r="AH349" s="157">
        <f t="shared" si="346"/>
        <v>7.13070336273713E-2</v>
      </c>
      <c r="AI349" s="157">
        <f t="shared" si="346"/>
        <v>7.13070336273713E-2</v>
      </c>
      <c r="AJ349" s="157">
        <f t="shared" si="346"/>
        <v>7.13070336273713E-2</v>
      </c>
      <c r="AK349" s="157">
        <f t="shared" si="346"/>
        <v>7.13070336273713E-2</v>
      </c>
      <c r="AL349" s="157">
        <f t="shared" si="346"/>
        <v>7.13070336273713E-2</v>
      </c>
      <c r="AM349" s="157">
        <f t="shared" si="346"/>
        <v>7.13070336273713E-2</v>
      </c>
      <c r="AN349" s="157">
        <f t="shared" si="346"/>
        <v>7.13070336273713E-2</v>
      </c>
      <c r="AO349" s="157">
        <f t="shared" si="346"/>
        <v>7.13070336273713E-2</v>
      </c>
      <c r="AP349" s="157">
        <f t="shared" si="346"/>
        <v>7.13070336273713E-2</v>
      </c>
      <c r="AQ349" s="157">
        <f t="shared" si="346"/>
        <v>7.13070336273713E-2</v>
      </c>
      <c r="AR349" s="157">
        <f t="shared" si="346"/>
        <v>7.13070336273713E-2</v>
      </c>
      <c r="AS349" s="149">
        <f t="shared" ref="AS349:BV349" si="347">AR349</f>
        <v>7.13070336273713E-2</v>
      </c>
      <c r="AT349" s="149">
        <f t="shared" si="347"/>
        <v>7.13070336273713E-2</v>
      </c>
      <c r="AU349" s="149">
        <f t="shared" si="347"/>
        <v>7.13070336273713E-2</v>
      </c>
      <c r="AV349" s="149">
        <f t="shared" si="347"/>
        <v>7.13070336273713E-2</v>
      </c>
      <c r="AW349" s="149">
        <f t="shared" si="347"/>
        <v>7.13070336273713E-2</v>
      </c>
      <c r="AX349" s="149">
        <f t="shared" si="347"/>
        <v>7.13070336273713E-2</v>
      </c>
      <c r="AY349" s="149">
        <f t="shared" si="347"/>
        <v>7.13070336273713E-2</v>
      </c>
      <c r="AZ349" s="149">
        <f t="shared" si="347"/>
        <v>7.13070336273713E-2</v>
      </c>
      <c r="BA349" s="149">
        <f t="shared" si="347"/>
        <v>7.13070336273713E-2</v>
      </c>
      <c r="BB349" s="149">
        <f t="shared" si="347"/>
        <v>7.13070336273713E-2</v>
      </c>
      <c r="BC349" s="149">
        <f t="shared" si="347"/>
        <v>7.13070336273713E-2</v>
      </c>
      <c r="BD349" s="149">
        <f t="shared" si="347"/>
        <v>7.13070336273713E-2</v>
      </c>
      <c r="BE349" s="149">
        <f t="shared" si="347"/>
        <v>7.13070336273713E-2</v>
      </c>
      <c r="BF349" s="149">
        <f t="shared" si="347"/>
        <v>7.13070336273713E-2</v>
      </c>
      <c r="BG349" s="149">
        <f t="shared" si="347"/>
        <v>7.13070336273713E-2</v>
      </c>
      <c r="BH349" s="149">
        <f t="shared" si="347"/>
        <v>7.13070336273713E-2</v>
      </c>
      <c r="BI349" s="149">
        <f t="shared" si="347"/>
        <v>7.13070336273713E-2</v>
      </c>
      <c r="BJ349" s="149">
        <f t="shared" si="347"/>
        <v>7.13070336273713E-2</v>
      </c>
      <c r="BK349" s="149">
        <f t="shared" si="347"/>
        <v>7.13070336273713E-2</v>
      </c>
      <c r="BL349" s="149">
        <f t="shared" si="347"/>
        <v>7.13070336273713E-2</v>
      </c>
      <c r="BM349" s="149">
        <f t="shared" si="347"/>
        <v>7.13070336273713E-2</v>
      </c>
      <c r="BN349" s="149">
        <f t="shared" si="347"/>
        <v>7.13070336273713E-2</v>
      </c>
      <c r="BO349" s="149">
        <f t="shared" si="347"/>
        <v>7.13070336273713E-2</v>
      </c>
      <c r="BP349" s="149">
        <f t="shared" si="347"/>
        <v>7.13070336273713E-2</v>
      </c>
      <c r="BQ349" s="149">
        <f t="shared" si="347"/>
        <v>7.13070336273713E-2</v>
      </c>
      <c r="BR349" s="149">
        <f t="shared" si="347"/>
        <v>7.13070336273713E-2</v>
      </c>
      <c r="BS349" s="149">
        <f t="shared" si="347"/>
        <v>7.13070336273713E-2</v>
      </c>
      <c r="BT349" s="149">
        <f t="shared" si="347"/>
        <v>7.13070336273713E-2</v>
      </c>
      <c r="BU349" s="149">
        <f t="shared" si="347"/>
        <v>7.13070336273713E-2</v>
      </c>
      <c r="BV349" s="149">
        <f t="shared" si="347"/>
        <v>7.13070336273713E-2</v>
      </c>
    </row>
    <row r="350" spans="1:74" x14ac:dyDescent="0.25">
      <c r="A350" s="141" t="s">
        <v>193</v>
      </c>
      <c r="B350" s="148"/>
      <c r="C350" s="142"/>
      <c r="D350" s="157">
        <f t="shared" ref="D350:AR350" si="348">D179+D286+D318</f>
        <v>4.3382870772439977E-2</v>
      </c>
      <c r="E350" s="157">
        <f t="shared" si="348"/>
        <v>4.3565500710343957E-2</v>
      </c>
      <c r="F350" s="157">
        <f t="shared" si="348"/>
        <v>4.3748130648389408E-2</v>
      </c>
      <c r="G350" s="157">
        <f t="shared" si="348"/>
        <v>4.3930760586576342E-2</v>
      </c>
      <c r="H350" s="157">
        <f t="shared" si="348"/>
        <v>4.4113390524904754E-2</v>
      </c>
      <c r="I350" s="157">
        <f t="shared" si="348"/>
        <v>4.4296020463374629E-2</v>
      </c>
      <c r="J350" s="157">
        <f t="shared" si="348"/>
        <v>4.3299889498746261E-2</v>
      </c>
      <c r="K350" s="157">
        <f t="shared" si="348"/>
        <v>4.2774086874704187E-2</v>
      </c>
      <c r="L350" s="157">
        <f t="shared" si="348"/>
        <v>3.9585730597648118E-2</v>
      </c>
      <c r="M350" s="157">
        <f t="shared" si="348"/>
        <v>4.2529053868538398E-2</v>
      </c>
      <c r="N350" s="157">
        <f t="shared" si="348"/>
        <v>3.9720068966493466E-2</v>
      </c>
      <c r="O350" s="157">
        <f t="shared" si="348"/>
        <v>3.8820253578444555E-2</v>
      </c>
      <c r="P350" s="157">
        <f t="shared" si="348"/>
        <v>3.9155400276096639E-2</v>
      </c>
      <c r="Q350" s="157">
        <f t="shared" si="348"/>
        <v>3.9956671906995048E-2</v>
      </c>
      <c r="R350" s="157">
        <f t="shared" si="348"/>
        <v>4.0138702101787618E-2</v>
      </c>
      <c r="S350" s="157">
        <f t="shared" si="348"/>
        <v>4.0414734210349849E-2</v>
      </c>
      <c r="T350" s="157">
        <f t="shared" si="348"/>
        <v>4.1254995376714183E-2</v>
      </c>
      <c r="U350" s="157">
        <f t="shared" si="348"/>
        <v>4.1455777634972574E-2</v>
      </c>
      <c r="V350" s="157">
        <f t="shared" si="348"/>
        <v>4.0091880127959563E-2</v>
      </c>
      <c r="W350" s="157">
        <f t="shared" si="348"/>
        <v>4.0551459898583567E-2</v>
      </c>
      <c r="X350" s="157">
        <f t="shared" si="348"/>
        <v>4.3376118326634336E-2</v>
      </c>
      <c r="Y350" s="157">
        <f t="shared" si="348"/>
        <v>4.3246573245160486E-2</v>
      </c>
      <c r="Z350" s="157">
        <f t="shared" si="348"/>
        <v>4.8180542106403886E-2</v>
      </c>
      <c r="AA350" s="157">
        <f t="shared" si="348"/>
        <v>4.8849475803514231E-2</v>
      </c>
      <c r="AB350" s="157">
        <f t="shared" si="348"/>
        <v>4.8572170208526937E-2</v>
      </c>
      <c r="AC350" s="157">
        <f t="shared" si="348"/>
        <v>4.9199256263197343E-2</v>
      </c>
      <c r="AD350" s="157">
        <f t="shared" si="348"/>
        <v>4.9945898502875563E-2</v>
      </c>
      <c r="AE350" s="157">
        <f t="shared" si="348"/>
        <v>5.0590535585973311E-2</v>
      </c>
      <c r="AF350" s="157">
        <f t="shared" si="348"/>
        <v>5.0590535585973311E-2</v>
      </c>
      <c r="AG350" s="157">
        <f t="shared" si="348"/>
        <v>5.0590535585973311E-2</v>
      </c>
      <c r="AH350" s="157">
        <f t="shared" si="348"/>
        <v>5.0590535585973311E-2</v>
      </c>
      <c r="AI350" s="157">
        <f t="shared" si="348"/>
        <v>5.0590535585973311E-2</v>
      </c>
      <c r="AJ350" s="157">
        <f t="shared" si="348"/>
        <v>5.0590535585973311E-2</v>
      </c>
      <c r="AK350" s="157">
        <f t="shared" si="348"/>
        <v>5.0590535585973311E-2</v>
      </c>
      <c r="AL350" s="157">
        <f t="shared" si="348"/>
        <v>5.0590535585973311E-2</v>
      </c>
      <c r="AM350" s="157">
        <f t="shared" si="348"/>
        <v>5.0590535585973311E-2</v>
      </c>
      <c r="AN350" s="157">
        <f t="shared" si="348"/>
        <v>5.0590535585973311E-2</v>
      </c>
      <c r="AO350" s="157">
        <f t="shared" si="348"/>
        <v>5.0590535585973311E-2</v>
      </c>
      <c r="AP350" s="157">
        <f t="shared" si="348"/>
        <v>5.0590535585973311E-2</v>
      </c>
      <c r="AQ350" s="157">
        <f t="shared" si="348"/>
        <v>5.0590535585973311E-2</v>
      </c>
      <c r="AR350" s="157">
        <f t="shared" si="348"/>
        <v>5.0590535585973311E-2</v>
      </c>
      <c r="AS350" s="149">
        <f t="shared" ref="AS350:BV350" si="349">AR350</f>
        <v>5.0590535585973311E-2</v>
      </c>
      <c r="AT350" s="149">
        <f t="shared" si="349"/>
        <v>5.0590535585973311E-2</v>
      </c>
      <c r="AU350" s="149">
        <f t="shared" si="349"/>
        <v>5.0590535585973311E-2</v>
      </c>
      <c r="AV350" s="149">
        <f t="shared" si="349"/>
        <v>5.0590535585973311E-2</v>
      </c>
      <c r="AW350" s="149">
        <f t="shared" si="349"/>
        <v>5.0590535585973311E-2</v>
      </c>
      <c r="AX350" s="149">
        <f t="shared" si="349"/>
        <v>5.0590535585973311E-2</v>
      </c>
      <c r="AY350" s="149">
        <f t="shared" si="349"/>
        <v>5.0590535585973311E-2</v>
      </c>
      <c r="AZ350" s="149">
        <f t="shared" si="349"/>
        <v>5.0590535585973311E-2</v>
      </c>
      <c r="BA350" s="149">
        <f t="shared" si="349"/>
        <v>5.0590535585973311E-2</v>
      </c>
      <c r="BB350" s="149">
        <f t="shared" si="349"/>
        <v>5.0590535585973311E-2</v>
      </c>
      <c r="BC350" s="149">
        <f t="shared" si="349"/>
        <v>5.0590535585973311E-2</v>
      </c>
      <c r="BD350" s="149">
        <f t="shared" si="349"/>
        <v>5.0590535585973311E-2</v>
      </c>
      <c r="BE350" s="149">
        <f t="shared" si="349"/>
        <v>5.0590535585973311E-2</v>
      </c>
      <c r="BF350" s="149">
        <f t="shared" si="349"/>
        <v>5.0590535585973311E-2</v>
      </c>
      <c r="BG350" s="149">
        <f t="shared" si="349"/>
        <v>5.0590535585973311E-2</v>
      </c>
      <c r="BH350" s="149">
        <f t="shared" si="349"/>
        <v>5.0590535585973311E-2</v>
      </c>
      <c r="BI350" s="149">
        <f t="shared" si="349"/>
        <v>5.0590535585973311E-2</v>
      </c>
      <c r="BJ350" s="149">
        <f t="shared" si="349"/>
        <v>5.0590535585973311E-2</v>
      </c>
      <c r="BK350" s="149">
        <f t="shared" si="349"/>
        <v>5.0590535585973311E-2</v>
      </c>
      <c r="BL350" s="149">
        <f t="shared" si="349"/>
        <v>5.0590535585973311E-2</v>
      </c>
      <c r="BM350" s="149">
        <f t="shared" si="349"/>
        <v>5.0590535585973311E-2</v>
      </c>
      <c r="BN350" s="149">
        <f t="shared" si="349"/>
        <v>5.0590535585973311E-2</v>
      </c>
      <c r="BO350" s="149">
        <f t="shared" si="349"/>
        <v>5.0590535585973311E-2</v>
      </c>
      <c r="BP350" s="149">
        <f t="shared" si="349"/>
        <v>5.0590535585973311E-2</v>
      </c>
      <c r="BQ350" s="149">
        <f t="shared" si="349"/>
        <v>5.0590535585973311E-2</v>
      </c>
      <c r="BR350" s="149">
        <f t="shared" si="349"/>
        <v>5.0590535585973311E-2</v>
      </c>
      <c r="BS350" s="149">
        <f t="shared" si="349"/>
        <v>5.0590535585973311E-2</v>
      </c>
      <c r="BT350" s="149">
        <f t="shared" si="349"/>
        <v>5.0590535585973311E-2</v>
      </c>
      <c r="BU350" s="149">
        <f t="shared" si="349"/>
        <v>5.0590535585973311E-2</v>
      </c>
      <c r="BV350" s="149">
        <f t="shared" si="349"/>
        <v>5.0590535585973311E-2</v>
      </c>
    </row>
    <row r="351" spans="1:74" x14ac:dyDescent="0.25">
      <c r="A351" s="141" t="s">
        <v>195</v>
      </c>
      <c r="B351" s="148"/>
      <c r="C351" s="148"/>
      <c r="D351" s="157">
        <f t="shared" ref="D351:AR351" si="350">D180+D287+D319</f>
        <v>6.7054174524538962E-2</v>
      </c>
      <c r="E351" s="157">
        <f t="shared" si="350"/>
        <v>6.7054174524538962E-2</v>
      </c>
      <c r="F351" s="157">
        <f t="shared" si="350"/>
        <v>6.7054174524538962E-2</v>
      </c>
      <c r="G351" s="157">
        <f t="shared" si="350"/>
        <v>6.7054174524538962E-2</v>
      </c>
      <c r="H351" s="157">
        <f t="shared" si="350"/>
        <v>6.7054174524538962E-2</v>
      </c>
      <c r="I351" s="157">
        <f t="shared" si="350"/>
        <v>6.7054174524538962E-2</v>
      </c>
      <c r="J351" s="157">
        <f t="shared" si="350"/>
        <v>6.7054187316842942E-2</v>
      </c>
      <c r="K351" s="157">
        <f t="shared" si="350"/>
        <v>6.7054182482340227E-2</v>
      </c>
      <c r="L351" s="157">
        <f t="shared" si="350"/>
        <v>6.7054203914184804E-2</v>
      </c>
      <c r="M351" s="157">
        <f t="shared" si="350"/>
        <v>6.7054198662417519E-2</v>
      </c>
      <c r="N351" s="157">
        <f t="shared" si="350"/>
        <v>6.7054242808852554E-2</v>
      </c>
      <c r="O351" s="157">
        <f t="shared" si="350"/>
        <v>6.7054333035975369E-2</v>
      </c>
      <c r="P351" s="157">
        <f t="shared" si="350"/>
        <v>6.6402953316020974E-2</v>
      </c>
      <c r="Q351" s="157">
        <f t="shared" si="350"/>
        <v>6.6402809818285738E-2</v>
      </c>
      <c r="R351" s="157">
        <f t="shared" si="350"/>
        <v>6.6402857142857125E-2</v>
      </c>
      <c r="S351" s="157">
        <f t="shared" si="350"/>
        <v>6.6402880383880383E-2</v>
      </c>
      <c r="T351" s="157">
        <f t="shared" si="350"/>
        <v>6.6402857142857125E-2</v>
      </c>
      <c r="U351" s="157">
        <f t="shared" si="350"/>
        <v>6.6402857142857125E-2</v>
      </c>
      <c r="V351" s="157">
        <f t="shared" si="350"/>
        <v>6.6402834398896812E-2</v>
      </c>
      <c r="W351" s="157">
        <f t="shared" si="350"/>
        <v>6.6402902060154104E-2</v>
      </c>
      <c r="X351" s="157">
        <f t="shared" si="350"/>
        <v>6.6402813412115527E-2</v>
      </c>
      <c r="Y351" s="157">
        <f t="shared" si="350"/>
        <v>6.6402857142857125E-2</v>
      </c>
      <c r="Z351" s="157">
        <f t="shared" si="350"/>
        <v>6.6402901235469644E-2</v>
      </c>
      <c r="AA351" s="157">
        <f t="shared" si="350"/>
        <v>6.640287869797129E-2</v>
      </c>
      <c r="AB351" s="157">
        <f t="shared" si="350"/>
        <v>6.640289896882022E-2</v>
      </c>
      <c r="AC351" s="157">
        <f t="shared" si="350"/>
        <v>6.6402920477891869E-2</v>
      </c>
      <c r="AD351" s="157">
        <f t="shared" si="350"/>
        <v>6.6402836665844331E-2</v>
      </c>
      <c r="AE351" s="157">
        <f t="shared" si="350"/>
        <v>6.6402836530044362E-2</v>
      </c>
      <c r="AF351" s="157">
        <f t="shared" si="350"/>
        <v>6.6402836530044362E-2</v>
      </c>
      <c r="AG351" s="157">
        <f t="shared" si="350"/>
        <v>6.6402836530044362E-2</v>
      </c>
      <c r="AH351" s="157">
        <f t="shared" si="350"/>
        <v>6.6402836530044362E-2</v>
      </c>
      <c r="AI351" s="157">
        <f t="shared" si="350"/>
        <v>6.6402836530044362E-2</v>
      </c>
      <c r="AJ351" s="157">
        <f t="shared" si="350"/>
        <v>6.6402836530044362E-2</v>
      </c>
      <c r="AK351" s="157">
        <f t="shared" si="350"/>
        <v>6.6402836530044362E-2</v>
      </c>
      <c r="AL351" s="157">
        <f t="shared" si="350"/>
        <v>6.6402836530044362E-2</v>
      </c>
      <c r="AM351" s="157">
        <f t="shared" si="350"/>
        <v>6.6402836530044362E-2</v>
      </c>
      <c r="AN351" s="157">
        <f t="shared" si="350"/>
        <v>6.6402836530044362E-2</v>
      </c>
      <c r="AO351" s="157">
        <f t="shared" si="350"/>
        <v>6.6402836530044362E-2</v>
      </c>
      <c r="AP351" s="157">
        <f t="shared" si="350"/>
        <v>6.6402836530044362E-2</v>
      </c>
      <c r="AQ351" s="157">
        <f t="shared" si="350"/>
        <v>6.6402836530044362E-2</v>
      </c>
      <c r="AR351" s="157">
        <f t="shared" si="350"/>
        <v>6.6402836530044362E-2</v>
      </c>
      <c r="AS351" s="149">
        <f t="shared" ref="AS351:BV351" si="351">AR351</f>
        <v>6.6402836530044362E-2</v>
      </c>
      <c r="AT351" s="149">
        <f t="shared" si="351"/>
        <v>6.6402836530044362E-2</v>
      </c>
      <c r="AU351" s="149">
        <f t="shared" si="351"/>
        <v>6.6402836530044362E-2</v>
      </c>
      <c r="AV351" s="149">
        <f t="shared" si="351"/>
        <v>6.6402836530044362E-2</v>
      </c>
      <c r="AW351" s="149">
        <f t="shared" si="351"/>
        <v>6.6402836530044362E-2</v>
      </c>
      <c r="AX351" s="149">
        <f t="shared" si="351"/>
        <v>6.6402836530044362E-2</v>
      </c>
      <c r="AY351" s="149">
        <f t="shared" si="351"/>
        <v>6.6402836530044362E-2</v>
      </c>
      <c r="AZ351" s="149">
        <f t="shared" si="351"/>
        <v>6.6402836530044362E-2</v>
      </c>
      <c r="BA351" s="149">
        <f t="shared" si="351"/>
        <v>6.6402836530044362E-2</v>
      </c>
      <c r="BB351" s="149">
        <f t="shared" si="351"/>
        <v>6.6402836530044362E-2</v>
      </c>
      <c r="BC351" s="149">
        <f t="shared" si="351"/>
        <v>6.6402836530044362E-2</v>
      </c>
      <c r="BD351" s="149">
        <f t="shared" si="351"/>
        <v>6.6402836530044362E-2</v>
      </c>
      <c r="BE351" s="149">
        <f t="shared" si="351"/>
        <v>6.6402836530044362E-2</v>
      </c>
      <c r="BF351" s="149">
        <f t="shared" si="351"/>
        <v>6.6402836530044362E-2</v>
      </c>
      <c r="BG351" s="149">
        <f t="shared" si="351"/>
        <v>6.6402836530044362E-2</v>
      </c>
      <c r="BH351" s="149">
        <f t="shared" si="351"/>
        <v>6.6402836530044362E-2</v>
      </c>
      <c r="BI351" s="149">
        <f t="shared" si="351"/>
        <v>6.6402836530044362E-2</v>
      </c>
      <c r="BJ351" s="149">
        <f t="shared" si="351"/>
        <v>6.6402836530044362E-2</v>
      </c>
      <c r="BK351" s="149">
        <f t="shared" si="351"/>
        <v>6.6402836530044362E-2</v>
      </c>
      <c r="BL351" s="149">
        <f t="shared" si="351"/>
        <v>6.6402836530044362E-2</v>
      </c>
      <c r="BM351" s="149">
        <f t="shared" si="351"/>
        <v>6.6402836530044362E-2</v>
      </c>
      <c r="BN351" s="149">
        <f t="shared" si="351"/>
        <v>6.6402836530044362E-2</v>
      </c>
      <c r="BO351" s="149">
        <f t="shared" si="351"/>
        <v>6.6402836530044362E-2</v>
      </c>
      <c r="BP351" s="149">
        <f t="shared" si="351"/>
        <v>6.6402836530044362E-2</v>
      </c>
      <c r="BQ351" s="149">
        <f t="shared" si="351"/>
        <v>6.6402836530044362E-2</v>
      </c>
      <c r="BR351" s="149">
        <f t="shared" si="351"/>
        <v>6.6402836530044362E-2</v>
      </c>
      <c r="BS351" s="149">
        <f t="shared" si="351"/>
        <v>6.6402836530044362E-2</v>
      </c>
      <c r="BT351" s="149">
        <f t="shared" si="351"/>
        <v>6.6402836530044362E-2</v>
      </c>
      <c r="BU351" s="149">
        <f t="shared" si="351"/>
        <v>6.6402836530044362E-2</v>
      </c>
      <c r="BV351" s="149">
        <f t="shared" si="351"/>
        <v>6.6402836530044362E-2</v>
      </c>
    </row>
    <row r="352" spans="1:74" x14ac:dyDescent="0.25">
      <c r="A352" s="141" t="s">
        <v>251</v>
      </c>
      <c r="B352" s="142"/>
      <c r="C352" s="142"/>
      <c r="D352" s="157">
        <f t="shared" ref="D352:AR352" si="352">D181+D288+D320</f>
        <v>7.6115984071889783E-2</v>
      </c>
      <c r="E352" s="157">
        <f t="shared" si="352"/>
        <v>7.6115983977778995E-2</v>
      </c>
      <c r="F352" s="157">
        <f t="shared" si="352"/>
        <v>7.6115983883668192E-2</v>
      </c>
      <c r="G352" s="157">
        <f t="shared" si="352"/>
        <v>7.6115983789557404E-2</v>
      </c>
      <c r="H352" s="157">
        <f t="shared" si="352"/>
        <v>7.6115983695446615E-2</v>
      </c>
      <c r="I352" s="157">
        <f t="shared" si="352"/>
        <v>7.6115983601335813E-2</v>
      </c>
      <c r="J352" s="157">
        <f t="shared" si="352"/>
        <v>7.6115983432497453E-2</v>
      </c>
      <c r="K352" s="157">
        <f t="shared" si="352"/>
        <v>7.6115969792199811E-2</v>
      </c>
      <c r="L352" s="157">
        <f t="shared" si="352"/>
        <v>7.4736938315623863E-2</v>
      </c>
      <c r="M352" s="157">
        <f t="shared" si="352"/>
        <v>7.4736939336345898E-2</v>
      </c>
      <c r="N352" s="157">
        <f t="shared" si="352"/>
        <v>7.4736938222724106E-2</v>
      </c>
      <c r="O352" s="157">
        <f t="shared" si="352"/>
        <v>7.4736938763029642E-2</v>
      </c>
      <c r="P352" s="157">
        <f t="shared" si="352"/>
        <v>7.4736937917199611E-2</v>
      </c>
      <c r="Q352" s="157">
        <f t="shared" si="352"/>
        <v>7.4736940907044233E-2</v>
      </c>
      <c r="R352" s="157">
        <f t="shared" si="352"/>
        <v>7.4736938440376238E-2</v>
      </c>
      <c r="S352" s="157">
        <f t="shared" si="352"/>
        <v>7.4736950634502405E-2</v>
      </c>
      <c r="T352" s="157">
        <f t="shared" si="352"/>
        <v>7.4736953137184883E-2</v>
      </c>
      <c r="U352" s="157">
        <f t="shared" si="352"/>
        <v>7.4736927223807814E-2</v>
      </c>
      <c r="V352" s="157">
        <f t="shared" si="352"/>
        <v>7.4736934313792747E-2</v>
      </c>
      <c r="W352" s="157">
        <f t="shared" si="352"/>
        <v>7.4736930752052025E-2</v>
      </c>
      <c r="X352" s="157">
        <f t="shared" si="352"/>
        <v>7.4736948116868679E-2</v>
      </c>
      <c r="Y352" s="157">
        <f t="shared" si="352"/>
        <v>7.4736926962812797E-2</v>
      </c>
      <c r="Z352" s="157">
        <f t="shared" si="352"/>
        <v>7.473689419611991E-2</v>
      </c>
      <c r="AA352" s="157">
        <f t="shared" si="352"/>
        <v>7.4736931422404229E-2</v>
      </c>
      <c r="AB352" s="157">
        <f t="shared" si="352"/>
        <v>7.4736931422404229E-2</v>
      </c>
      <c r="AC352" s="157">
        <f t="shared" si="352"/>
        <v>7.4736931422404229E-2</v>
      </c>
      <c r="AD352" s="157">
        <f t="shared" si="352"/>
        <v>7.4736903435741339E-2</v>
      </c>
      <c r="AE352" s="157">
        <f t="shared" si="352"/>
        <v>7.4736903435741339E-2</v>
      </c>
      <c r="AF352" s="157">
        <f t="shared" si="352"/>
        <v>7.4736903435741339E-2</v>
      </c>
      <c r="AG352" s="157">
        <f t="shared" si="352"/>
        <v>7.4736903435741339E-2</v>
      </c>
      <c r="AH352" s="157">
        <f t="shared" si="352"/>
        <v>7.4736903435741339E-2</v>
      </c>
      <c r="AI352" s="157">
        <f t="shared" si="352"/>
        <v>7.4736903435741339E-2</v>
      </c>
      <c r="AJ352" s="157">
        <f t="shared" si="352"/>
        <v>7.4736903435741339E-2</v>
      </c>
      <c r="AK352" s="157">
        <f t="shared" si="352"/>
        <v>7.4736903435741339E-2</v>
      </c>
      <c r="AL352" s="157">
        <f t="shared" si="352"/>
        <v>7.4736903435741339E-2</v>
      </c>
      <c r="AM352" s="157">
        <f t="shared" si="352"/>
        <v>7.4736903435741339E-2</v>
      </c>
      <c r="AN352" s="157">
        <f t="shared" si="352"/>
        <v>7.4736903435741339E-2</v>
      </c>
      <c r="AO352" s="157">
        <f t="shared" si="352"/>
        <v>7.4736903435741339E-2</v>
      </c>
      <c r="AP352" s="157">
        <f t="shared" si="352"/>
        <v>7.4736903435741339E-2</v>
      </c>
      <c r="AQ352" s="157">
        <f t="shared" si="352"/>
        <v>7.4736903435741339E-2</v>
      </c>
      <c r="AR352" s="157">
        <f t="shared" si="352"/>
        <v>7.4736903435741339E-2</v>
      </c>
      <c r="AS352" s="149">
        <f t="shared" ref="AS352:BV352" si="353">AR352</f>
        <v>7.4736903435741339E-2</v>
      </c>
      <c r="AT352" s="149">
        <f t="shared" si="353"/>
        <v>7.4736903435741339E-2</v>
      </c>
      <c r="AU352" s="149">
        <f t="shared" si="353"/>
        <v>7.4736903435741339E-2</v>
      </c>
      <c r="AV352" s="149">
        <f t="shared" si="353"/>
        <v>7.4736903435741339E-2</v>
      </c>
      <c r="AW352" s="149">
        <f t="shared" si="353"/>
        <v>7.4736903435741339E-2</v>
      </c>
      <c r="AX352" s="149">
        <f t="shared" si="353"/>
        <v>7.4736903435741339E-2</v>
      </c>
      <c r="AY352" s="149">
        <f t="shared" si="353"/>
        <v>7.4736903435741339E-2</v>
      </c>
      <c r="AZ352" s="149">
        <f t="shared" si="353"/>
        <v>7.4736903435741339E-2</v>
      </c>
      <c r="BA352" s="149">
        <f t="shared" si="353"/>
        <v>7.4736903435741339E-2</v>
      </c>
      <c r="BB352" s="149">
        <f t="shared" si="353"/>
        <v>7.4736903435741339E-2</v>
      </c>
      <c r="BC352" s="149">
        <f t="shared" si="353"/>
        <v>7.4736903435741339E-2</v>
      </c>
      <c r="BD352" s="149">
        <f t="shared" si="353"/>
        <v>7.4736903435741339E-2</v>
      </c>
      <c r="BE352" s="149">
        <f t="shared" si="353"/>
        <v>7.4736903435741339E-2</v>
      </c>
      <c r="BF352" s="149">
        <f t="shared" si="353"/>
        <v>7.4736903435741339E-2</v>
      </c>
      <c r="BG352" s="149">
        <f t="shared" si="353"/>
        <v>7.4736903435741339E-2</v>
      </c>
      <c r="BH352" s="149">
        <f t="shared" si="353"/>
        <v>7.4736903435741339E-2</v>
      </c>
      <c r="BI352" s="149">
        <f t="shared" si="353"/>
        <v>7.4736903435741339E-2</v>
      </c>
      <c r="BJ352" s="149">
        <f t="shared" si="353"/>
        <v>7.4736903435741339E-2</v>
      </c>
      <c r="BK352" s="149">
        <f t="shared" si="353"/>
        <v>7.4736903435741339E-2</v>
      </c>
      <c r="BL352" s="149">
        <f t="shared" si="353"/>
        <v>7.4736903435741339E-2</v>
      </c>
      <c r="BM352" s="149">
        <f t="shared" si="353"/>
        <v>7.4736903435741339E-2</v>
      </c>
      <c r="BN352" s="149">
        <f t="shared" si="353"/>
        <v>7.4736903435741339E-2</v>
      </c>
      <c r="BO352" s="149">
        <f t="shared" si="353"/>
        <v>7.4736903435741339E-2</v>
      </c>
      <c r="BP352" s="149">
        <f t="shared" si="353"/>
        <v>7.4736903435741339E-2</v>
      </c>
      <c r="BQ352" s="149">
        <f t="shared" si="353"/>
        <v>7.4736903435741339E-2</v>
      </c>
      <c r="BR352" s="149">
        <f t="shared" si="353"/>
        <v>7.4736903435741339E-2</v>
      </c>
      <c r="BS352" s="149">
        <f t="shared" si="353"/>
        <v>7.4736903435741339E-2</v>
      </c>
      <c r="BT352" s="149">
        <f t="shared" si="353"/>
        <v>7.4736903435741339E-2</v>
      </c>
      <c r="BU352" s="149">
        <f t="shared" si="353"/>
        <v>7.4736903435741339E-2</v>
      </c>
      <c r="BV352" s="149">
        <f t="shared" si="353"/>
        <v>7.4736903435741339E-2</v>
      </c>
    </row>
    <row r="353" spans="1:74" x14ac:dyDescent="0.25">
      <c r="A353" s="141" t="s">
        <v>196</v>
      </c>
      <c r="B353" s="142"/>
      <c r="C353" s="142"/>
      <c r="D353" s="157">
        <f t="shared" ref="D353:AR353" si="354">D182+D289+D321</f>
        <v>6.6400802764891728E-2</v>
      </c>
      <c r="E353" s="157">
        <f t="shared" si="354"/>
        <v>6.64008041996519E-2</v>
      </c>
      <c r="F353" s="157">
        <f t="shared" si="354"/>
        <v>6.6400805634412155E-2</v>
      </c>
      <c r="G353" s="157">
        <f t="shared" si="354"/>
        <v>6.6400807069172493E-2</v>
      </c>
      <c r="H353" s="157">
        <f t="shared" si="354"/>
        <v>6.6400808503932859E-2</v>
      </c>
      <c r="I353" s="157">
        <f t="shared" si="354"/>
        <v>6.6400809938693281E-2</v>
      </c>
      <c r="J353" s="157">
        <f t="shared" si="354"/>
        <v>6.6400802078279503E-2</v>
      </c>
      <c r="K353" s="157">
        <f t="shared" si="354"/>
        <v>6.6400797056941838E-2</v>
      </c>
      <c r="L353" s="157">
        <f t="shared" si="354"/>
        <v>6.6400811759154077E-2</v>
      </c>
      <c r="M353" s="157">
        <f t="shared" si="354"/>
        <v>6.6400804214616735E-2</v>
      </c>
      <c r="N353" s="157">
        <f t="shared" si="354"/>
        <v>6.6400801020852454E-2</v>
      </c>
      <c r="O353" s="157">
        <f t="shared" si="354"/>
        <v>6.6400799812318695E-2</v>
      </c>
      <c r="P353" s="157">
        <f t="shared" si="354"/>
        <v>6.640080546443658E-2</v>
      </c>
      <c r="Q353" s="157">
        <f t="shared" si="354"/>
        <v>6.6400802763647238E-2</v>
      </c>
      <c r="R353" s="157">
        <f t="shared" si="354"/>
        <v>6.640079370504702E-2</v>
      </c>
      <c r="S353" s="157">
        <f t="shared" si="354"/>
        <v>6.6400781372645101E-2</v>
      </c>
      <c r="T353" s="157">
        <f t="shared" si="354"/>
        <v>6.6400864291940434E-2</v>
      </c>
      <c r="U353" s="157">
        <f t="shared" si="354"/>
        <v>6.6400841964282711E-2</v>
      </c>
      <c r="V353" s="157">
        <f t="shared" si="354"/>
        <v>6.6400778112980244E-2</v>
      </c>
      <c r="W353" s="157">
        <f t="shared" si="354"/>
        <v>6.6400825540792255E-2</v>
      </c>
      <c r="X353" s="157">
        <f t="shared" si="354"/>
        <v>6.6400799244417053E-2</v>
      </c>
      <c r="Y353" s="157">
        <f t="shared" si="354"/>
        <v>6.6400812417264671E-2</v>
      </c>
      <c r="Z353" s="157">
        <f t="shared" si="354"/>
        <v>6.6400758971169371E-2</v>
      </c>
      <c r="AA353" s="157">
        <f t="shared" si="354"/>
        <v>6.6400785899584022E-2</v>
      </c>
      <c r="AB353" s="157">
        <f t="shared" si="354"/>
        <v>6.6667488490522328E-2</v>
      </c>
      <c r="AC353" s="157">
        <f t="shared" si="354"/>
        <v>6.665634174401254E-2</v>
      </c>
      <c r="AD353" s="157">
        <f t="shared" si="354"/>
        <v>6.6783105996261125E-2</v>
      </c>
      <c r="AE353" s="157">
        <f t="shared" si="354"/>
        <v>6.6823572079232618E-2</v>
      </c>
      <c r="AF353" s="157">
        <f t="shared" si="354"/>
        <v>6.6823572079232618E-2</v>
      </c>
      <c r="AG353" s="157">
        <f t="shared" si="354"/>
        <v>6.6823572079232618E-2</v>
      </c>
      <c r="AH353" s="157">
        <f t="shared" si="354"/>
        <v>6.6823572079232618E-2</v>
      </c>
      <c r="AI353" s="157">
        <f t="shared" si="354"/>
        <v>6.6823572079232618E-2</v>
      </c>
      <c r="AJ353" s="157">
        <f t="shared" si="354"/>
        <v>6.6823572079232618E-2</v>
      </c>
      <c r="AK353" s="157">
        <f t="shared" si="354"/>
        <v>6.6823572079232618E-2</v>
      </c>
      <c r="AL353" s="157">
        <f t="shared" si="354"/>
        <v>6.6823572079232618E-2</v>
      </c>
      <c r="AM353" s="157">
        <f t="shared" si="354"/>
        <v>6.6823572079232618E-2</v>
      </c>
      <c r="AN353" s="157">
        <f t="shared" si="354"/>
        <v>6.6823572079232618E-2</v>
      </c>
      <c r="AO353" s="157">
        <f t="shared" si="354"/>
        <v>6.6823572079232618E-2</v>
      </c>
      <c r="AP353" s="157">
        <f t="shared" si="354"/>
        <v>6.6823572079232618E-2</v>
      </c>
      <c r="AQ353" s="157">
        <f t="shared" si="354"/>
        <v>6.6823572079232618E-2</v>
      </c>
      <c r="AR353" s="157">
        <f t="shared" si="354"/>
        <v>6.6823572079232618E-2</v>
      </c>
      <c r="AS353" s="149">
        <f t="shared" ref="AS353:BV353" si="355">AR353</f>
        <v>6.6823572079232618E-2</v>
      </c>
      <c r="AT353" s="149">
        <f t="shared" si="355"/>
        <v>6.6823572079232618E-2</v>
      </c>
      <c r="AU353" s="149">
        <f t="shared" si="355"/>
        <v>6.6823572079232618E-2</v>
      </c>
      <c r="AV353" s="149">
        <f t="shared" si="355"/>
        <v>6.6823572079232618E-2</v>
      </c>
      <c r="AW353" s="149">
        <f t="shared" si="355"/>
        <v>6.6823572079232618E-2</v>
      </c>
      <c r="AX353" s="149">
        <f t="shared" si="355"/>
        <v>6.6823572079232618E-2</v>
      </c>
      <c r="AY353" s="149">
        <f t="shared" si="355"/>
        <v>6.6823572079232618E-2</v>
      </c>
      <c r="AZ353" s="149">
        <f t="shared" si="355"/>
        <v>6.6823572079232618E-2</v>
      </c>
      <c r="BA353" s="149">
        <f t="shared" si="355"/>
        <v>6.6823572079232618E-2</v>
      </c>
      <c r="BB353" s="149">
        <f t="shared" si="355"/>
        <v>6.6823572079232618E-2</v>
      </c>
      <c r="BC353" s="149">
        <f t="shared" si="355"/>
        <v>6.6823572079232618E-2</v>
      </c>
      <c r="BD353" s="149">
        <f t="shared" si="355"/>
        <v>6.6823572079232618E-2</v>
      </c>
      <c r="BE353" s="149">
        <f t="shared" si="355"/>
        <v>6.6823572079232618E-2</v>
      </c>
      <c r="BF353" s="149">
        <f t="shared" si="355"/>
        <v>6.6823572079232618E-2</v>
      </c>
      <c r="BG353" s="149">
        <f t="shared" si="355"/>
        <v>6.6823572079232618E-2</v>
      </c>
      <c r="BH353" s="149">
        <f t="shared" si="355"/>
        <v>6.6823572079232618E-2</v>
      </c>
      <c r="BI353" s="149">
        <f t="shared" si="355"/>
        <v>6.6823572079232618E-2</v>
      </c>
      <c r="BJ353" s="149">
        <f t="shared" si="355"/>
        <v>6.6823572079232618E-2</v>
      </c>
      <c r="BK353" s="149">
        <f t="shared" si="355"/>
        <v>6.6823572079232618E-2</v>
      </c>
      <c r="BL353" s="149">
        <f t="shared" si="355"/>
        <v>6.6823572079232618E-2</v>
      </c>
      <c r="BM353" s="149">
        <f t="shared" si="355"/>
        <v>6.6823572079232618E-2</v>
      </c>
      <c r="BN353" s="149">
        <f t="shared" si="355"/>
        <v>6.6823572079232618E-2</v>
      </c>
      <c r="BO353" s="149">
        <f t="shared" si="355"/>
        <v>6.6823572079232618E-2</v>
      </c>
      <c r="BP353" s="149">
        <f t="shared" si="355"/>
        <v>6.6823572079232618E-2</v>
      </c>
      <c r="BQ353" s="149">
        <f t="shared" si="355"/>
        <v>6.6823572079232618E-2</v>
      </c>
      <c r="BR353" s="149">
        <f t="shared" si="355"/>
        <v>6.6823572079232618E-2</v>
      </c>
      <c r="BS353" s="149">
        <f t="shared" si="355"/>
        <v>6.6823572079232618E-2</v>
      </c>
      <c r="BT353" s="149">
        <f t="shared" si="355"/>
        <v>6.6823572079232618E-2</v>
      </c>
      <c r="BU353" s="149">
        <f t="shared" si="355"/>
        <v>6.6823572079232618E-2</v>
      </c>
      <c r="BV353" s="149">
        <f t="shared" si="355"/>
        <v>6.6823572079232618E-2</v>
      </c>
    </row>
    <row r="354" spans="1:74" x14ac:dyDescent="0.25">
      <c r="A354" s="147" t="s">
        <v>13</v>
      </c>
      <c r="C354" s="142"/>
      <c r="D354" s="157">
        <f t="shared" ref="D354:AR354" si="356">D183+D290+D322</f>
        <v>7.1390461602231836E-2</v>
      </c>
      <c r="E354" s="157">
        <f t="shared" si="356"/>
        <v>7.1390463144806432E-2</v>
      </c>
      <c r="F354" s="157">
        <f t="shared" si="356"/>
        <v>7.1390464687381111E-2</v>
      </c>
      <c r="G354" s="157">
        <f t="shared" si="356"/>
        <v>7.1390466229955873E-2</v>
      </c>
      <c r="H354" s="157">
        <f t="shared" si="356"/>
        <v>7.1390467772530664E-2</v>
      </c>
      <c r="I354" s="157">
        <f t="shared" si="356"/>
        <v>7.1390469315105523E-2</v>
      </c>
      <c r="J354" s="157">
        <f t="shared" si="356"/>
        <v>7.1390460864024452E-2</v>
      </c>
      <c r="K354" s="157">
        <f t="shared" si="356"/>
        <v>7.1390455465360589E-2</v>
      </c>
      <c r="L354" s="157">
        <f t="shared" si="356"/>
        <v>7.1390471272364031E-2</v>
      </c>
      <c r="M354" s="157">
        <f t="shared" si="356"/>
        <v>7.1390463160895798E-2</v>
      </c>
      <c r="N354" s="157">
        <f t="shared" si="356"/>
        <v>7.1390459727137506E-2</v>
      </c>
      <c r="O354" s="157">
        <f t="shared" si="356"/>
        <v>7.1390458427789016E-2</v>
      </c>
      <c r="P354" s="157">
        <f t="shared" si="356"/>
        <v>7.1390464504632795E-2</v>
      </c>
      <c r="Q354" s="157">
        <f t="shared" si="356"/>
        <v>7.1390461600893837E-2</v>
      </c>
      <c r="R354" s="157">
        <f t="shared" si="356"/>
        <v>7.1390451861589113E-2</v>
      </c>
      <c r="S354" s="157">
        <f t="shared" si="356"/>
        <v>7.1390438602474335E-2</v>
      </c>
      <c r="T354" s="157">
        <f t="shared" si="356"/>
        <v>7.1390527752703298E-2</v>
      </c>
      <c r="U354" s="157">
        <f t="shared" si="356"/>
        <v>7.1390503747243664E-2</v>
      </c>
      <c r="V354" s="157">
        <f t="shared" si="356"/>
        <v>7.1390435097863414E-2</v>
      </c>
      <c r="W354" s="157">
        <f t="shared" si="356"/>
        <v>7.1390486089617303E-2</v>
      </c>
      <c r="X354" s="157">
        <f t="shared" si="356"/>
        <v>7.1390457817212649E-2</v>
      </c>
      <c r="Y354" s="157">
        <f t="shared" si="356"/>
        <v>7.1390471979928066E-2</v>
      </c>
      <c r="Z354" s="157">
        <f t="shared" si="356"/>
        <v>7.1390414517649659E-2</v>
      </c>
      <c r="AA354" s="157">
        <f t="shared" si="356"/>
        <v>7.1390443469588075E-2</v>
      </c>
      <c r="AB354" s="157">
        <f t="shared" si="356"/>
        <v>7.1677187308288523E-2</v>
      </c>
      <c r="AC354" s="157">
        <f t="shared" si="356"/>
        <v>7.1665202944462172E-2</v>
      </c>
      <c r="AD354" s="157">
        <f t="shared" si="356"/>
        <v>7.1801492840154107E-2</v>
      </c>
      <c r="AE354" s="157">
        <f t="shared" si="356"/>
        <v>7.1844999728960829E-2</v>
      </c>
      <c r="AF354" s="157">
        <f t="shared" si="356"/>
        <v>7.1844999728960829E-2</v>
      </c>
      <c r="AG354" s="157">
        <f t="shared" si="356"/>
        <v>7.1844999728960829E-2</v>
      </c>
      <c r="AH354" s="157">
        <f t="shared" si="356"/>
        <v>7.1844999728960829E-2</v>
      </c>
      <c r="AI354" s="157">
        <f t="shared" si="356"/>
        <v>7.1844999728960829E-2</v>
      </c>
      <c r="AJ354" s="157">
        <f t="shared" si="356"/>
        <v>7.1844999728960829E-2</v>
      </c>
      <c r="AK354" s="157">
        <f t="shared" si="356"/>
        <v>7.1844999728960829E-2</v>
      </c>
      <c r="AL354" s="157">
        <f t="shared" si="356"/>
        <v>7.1844999728960829E-2</v>
      </c>
      <c r="AM354" s="157">
        <f t="shared" si="356"/>
        <v>7.1844999728960829E-2</v>
      </c>
      <c r="AN354" s="157">
        <f t="shared" si="356"/>
        <v>7.1844999728960829E-2</v>
      </c>
      <c r="AO354" s="157">
        <f t="shared" si="356"/>
        <v>7.1844999728960829E-2</v>
      </c>
      <c r="AP354" s="157">
        <f t="shared" si="356"/>
        <v>7.1844999728960829E-2</v>
      </c>
      <c r="AQ354" s="157">
        <f t="shared" si="356"/>
        <v>7.1844999728960829E-2</v>
      </c>
      <c r="AR354" s="157">
        <f t="shared" si="356"/>
        <v>7.1844999728960829E-2</v>
      </c>
      <c r="AS354" s="149">
        <f t="shared" ref="AS354:BV354" si="357">AR354</f>
        <v>7.1844999728960829E-2</v>
      </c>
      <c r="AT354" s="149">
        <f t="shared" si="357"/>
        <v>7.1844999728960829E-2</v>
      </c>
      <c r="AU354" s="149">
        <f t="shared" si="357"/>
        <v>7.1844999728960829E-2</v>
      </c>
      <c r="AV354" s="149">
        <f t="shared" si="357"/>
        <v>7.1844999728960829E-2</v>
      </c>
      <c r="AW354" s="149">
        <f t="shared" si="357"/>
        <v>7.1844999728960829E-2</v>
      </c>
      <c r="AX354" s="149">
        <f t="shared" si="357"/>
        <v>7.1844999728960829E-2</v>
      </c>
      <c r="AY354" s="149">
        <f t="shared" si="357"/>
        <v>7.1844999728960829E-2</v>
      </c>
      <c r="AZ354" s="149">
        <f t="shared" si="357"/>
        <v>7.1844999728960829E-2</v>
      </c>
      <c r="BA354" s="149">
        <f t="shared" si="357"/>
        <v>7.1844999728960829E-2</v>
      </c>
      <c r="BB354" s="149">
        <f t="shared" si="357"/>
        <v>7.1844999728960829E-2</v>
      </c>
      <c r="BC354" s="149">
        <f t="shared" si="357"/>
        <v>7.1844999728960829E-2</v>
      </c>
      <c r="BD354" s="149">
        <f t="shared" si="357"/>
        <v>7.1844999728960829E-2</v>
      </c>
      <c r="BE354" s="149">
        <f t="shared" si="357"/>
        <v>7.1844999728960829E-2</v>
      </c>
      <c r="BF354" s="149">
        <f t="shared" si="357"/>
        <v>7.1844999728960829E-2</v>
      </c>
      <c r="BG354" s="149">
        <f t="shared" si="357"/>
        <v>7.1844999728960829E-2</v>
      </c>
      <c r="BH354" s="149">
        <f t="shared" si="357"/>
        <v>7.1844999728960829E-2</v>
      </c>
      <c r="BI354" s="149">
        <f t="shared" si="357"/>
        <v>7.1844999728960829E-2</v>
      </c>
      <c r="BJ354" s="149">
        <f t="shared" si="357"/>
        <v>7.1844999728960829E-2</v>
      </c>
      <c r="BK354" s="149">
        <f t="shared" si="357"/>
        <v>7.1844999728960829E-2</v>
      </c>
      <c r="BL354" s="149">
        <f t="shared" si="357"/>
        <v>7.1844999728960829E-2</v>
      </c>
      <c r="BM354" s="149">
        <f t="shared" si="357"/>
        <v>7.1844999728960829E-2</v>
      </c>
      <c r="BN354" s="149">
        <f t="shared" si="357"/>
        <v>7.1844999728960829E-2</v>
      </c>
      <c r="BO354" s="149">
        <f t="shared" si="357"/>
        <v>7.1844999728960829E-2</v>
      </c>
      <c r="BP354" s="149">
        <f t="shared" si="357"/>
        <v>7.1844999728960829E-2</v>
      </c>
      <c r="BQ354" s="149">
        <f t="shared" si="357"/>
        <v>7.1844999728960829E-2</v>
      </c>
      <c r="BR354" s="149">
        <f t="shared" si="357"/>
        <v>7.1844999728960829E-2</v>
      </c>
      <c r="BS354" s="149">
        <f t="shared" si="357"/>
        <v>7.1844999728960829E-2</v>
      </c>
      <c r="BT354" s="149">
        <f t="shared" si="357"/>
        <v>7.1844999728960829E-2</v>
      </c>
      <c r="BU354" s="149">
        <f t="shared" si="357"/>
        <v>7.1844999728960829E-2</v>
      </c>
      <c r="BV354" s="149">
        <f t="shared" si="357"/>
        <v>7.1844999728960829E-2</v>
      </c>
    </row>
    <row r="355" spans="1:74" x14ac:dyDescent="0.25">
      <c r="A355" s="147" t="s">
        <v>199</v>
      </c>
      <c r="C355" s="142"/>
      <c r="D355" s="157">
        <f t="shared" ref="D355:AR355" si="358">D184+D291+D323</f>
        <v>5.751957896414342E-2</v>
      </c>
      <c r="E355" s="157">
        <f t="shared" si="358"/>
        <v>5.751957896414342E-2</v>
      </c>
      <c r="F355" s="157">
        <f t="shared" si="358"/>
        <v>5.751957896414342E-2</v>
      </c>
      <c r="G355" s="157">
        <f t="shared" si="358"/>
        <v>5.751957896414342E-2</v>
      </c>
      <c r="H355" s="157">
        <f t="shared" si="358"/>
        <v>5.751957896414342E-2</v>
      </c>
      <c r="I355" s="157">
        <f t="shared" si="358"/>
        <v>5.751957896414342E-2</v>
      </c>
      <c r="J355" s="157">
        <f t="shared" si="358"/>
        <v>5.751957896414342E-2</v>
      </c>
      <c r="K355" s="157">
        <f t="shared" si="358"/>
        <v>5.751957896414342E-2</v>
      </c>
      <c r="L355" s="157">
        <f t="shared" si="358"/>
        <v>5.751957896414342E-2</v>
      </c>
      <c r="M355" s="157">
        <f t="shared" si="358"/>
        <v>5.751957896414342E-2</v>
      </c>
      <c r="N355" s="157">
        <f t="shared" si="358"/>
        <v>5.751957896414342E-2</v>
      </c>
      <c r="O355" s="157">
        <f t="shared" si="358"/>
        <v>5.751957896414342E-2</v>
      </c>
      <c r="P355" s="157">
        <f t="shared" si="358"/>
        <v>5.751957896414342E-2</v>
      </c>
      <c r="Q355" s="157">
        <f t="shared" si="358"/>
        <v>5.762265820014488E-2</v>
      </c>
      <c r="R355" s="157">
        <f t="shared" si="358"/>
        <v>5.7623057120911474E-2</v>
      </c>
      <c r="S355" s="157">
        <f t="shared" si="358"/>
        <v>5.7623057120911474E-2</v>
      </c>
      <c r="T355" s="157">
        <f t="shared" si="358"/>
        <v>5.7623057120911474E-2</v>
      </c>
      <c r="U355" s="157">
        <f t="shared" si="358"/>
        <v>5.7623057120911474E-2</v>
      </c>
      <c r="V355" s="157">
        <f t="shared" si="358"/>
        <v>5.7623057120911474E-2</v>
      </c>
      <c r="W355" s="157">
        <f t="shared" si="358"/>
        <v>5.7623057120911474E-2</v>
      </c>
      <c r="X355" s="157">
        <f t="shared" si="358"/>
        <v>5.7623057120911474E-2</v>
      </c>
      <c r="Y355" s="157">
        <f t="shared" si="358"/>
        <v>5.7623057120911474E-2</v>
      </c>
      <c r="Z355" s="157">
        <f t="shared" si="358"/>
        <v>5.7623057120911474E-2</v>
      </c>
      <c r="AA355" s="157">
        <f t="shared" si="358"/>
        <v>5.7623057120911474E-2</v>
      </c>
      <c r="AB355" s="157">
        <f t="shared" si="358"/>
        <v>5.7623057120911474E-2</v>
      </c>
      <c r="AC355" s="157">
        <f t="shared" si="358"/>
        <v>5.7623057120911474E-2</v>
      </c>
      <c r="AD355" s="157">
        <f t="shared" si="358"/>
        <v>5.7623057120911474E-2</v>
      </c>
      <c r="AE355" s="157">
        <f t="shared" si="358"/>
        <v>5.7623057120911474E-2</v>
      </c>
      <c r="AF355" s="157">
        <f t="shared" si="358"/>
        <v>5.7623057120911474E-2</v>
      </c>
      <c r="AG355" s="157">
        <f t="shared" si="358"/>
        <v>5.7623057120911474E-2</v>
      </c>
      <c r="AH355" s="157">
        <f t="shared" si="358"/>
        <v>5.7623057120911474E-2</v>
      </c>
      <c r="AI355" s="157">
        <f t="shared" si="358"/>
        <v>5.7623057120911474E-2</v>
      </c>
      <c r="AJ355" s="157">
        <f t="shared" si="358"/>
        <v>5.7623057120911474E-2</v>
      </c>
      <c r="AK355" s="157">
        <f t="shared" si="358"/>
        <v>5.7623057120911474E-2</v>
      </c>
      <c r="AL355" s="157">
        <f t="shared" si="358"/>
        <v>5.7623057120911474E-2</v>
      </c>
      <c r="AM355" s="157">
        <f t="shared" si="358"/>
        <v>5.7623057120911474E-2</v>
      </c>
      <c r="AN355" s="157">
        <f t="shared" si="358"/>
        <v>5.7623057120911474E-2</v>
      </c>
      <c r="AO355" s="157">
        <f t="shared" si="358"/>
        <v>5.7623057120911474E-2</v>
      </c>
      <c r="AP355" s="157">
        <f t="shared" si="358"/>
        <v>5.7623057120911474E-2</v>
      </c>
      <c r="AQ355" s="157">
        <f t="shared" si="358"/>
        <v>5.7623057120911474E-2</v>
      </c>
      <c r="AR355" s="157">
        <f t="shared" si="358"/>
        <v>5.7623057120911474E-2</v>
      </c>
      <c r="AS355" s="149">
        <f t="shared" ref="AS355:BV355" si="359">AR355</f>
        <v>5.7623057120911474E-2</v>
      </c>
      <c r="AT355" s="149">
        <f t="shared" si="359"/>
        <v>5.7623057120911474E-2</v>
      </c>
      <c r="AU355" s="149">
        <f t="shared" si="359"/>
        <v>5.7623057120911474E-2</v>
      </c>
      <c r="AV355" s="149">
        <f t="shared" si="359"/>
        <v>5.7623057120911474E-2</v>
      </c>
      <c r="AW355" s="149">
        <f t="shared" si="359"/>
        <v>5.7623057120911474E-2</v>
      </c>
      <c r="AX355" s="149">
        <f t="shared" si="359"/>
        <v>5.7623057120911474E-2</v>
      </c>
      <c r="AY355" s="149">
        <f t="shared" si="359"/>
        <v>5.7623057120911474E-2</v>
      </c>
      <c r="AZ355" s="149">
        <f t="shared" si="359"/>
        <v>5.7623057120911474E-2</v>
      </c>
      <c r="BA355" s="149">
        <f t="shared" si="359"/>
        <v>5.7623057120911474E-2</v>
      </c>
      <c r="BB355" s="149">
        <f t="shared" si="359"/>
        <v>5.7623057120911474E-2</v>
      </c>
      <c r="BC355" s="149">
        <f t="shared" si="359"/>
        <v>5.7623057120911474E-2</v>
      </c>
      <c r="BD355" s="149">
        <f t="shared" si="359"/>
        <v>5.7623057120911474E-2</v>
      </c>
      <c r="BE355" s="149">
        <f t="shared" si="359"/>
        <v>5.7623057120911474E-2</v>
      </c>
      <c r="BF355" s="149">
        <f t="shared" si="359"/>
        <v>5.7623057120911474E-2</v>
      </c>
      <c r="BG355" s="149">
        <f t="shared" si="359"/>
        <v>5.7623057120911474E-2</v>
      </c>
      <c r="BH355" s="149">
        <f t="shared" si="359"/>
        <v>5.7623057120911474E-2</v>
      </c>
      <c r="BI355" s="149">
        <f t="shared" si="359"/>
        <v>5.7623057120911474E-2</v>
      </c>
      <c r="BJ355" s="149">
        <f t="shared" si="359"/>
        <v>5.7623057120911474E-2</v>
      </c>
      <c r="BK355" s="149">
        <f t="shared" si="359"/>
        <v>5.7623057120911474E-2</v>
      </c>
      <c r="BL355" s="149">
        <f t="shared" si="359"/>
        <v>5.7623057120911474E-2</v>
      </c>
      <c r="BM355" s="149">
        <f t="shared" si="359"/>
        <v>5.7623057120911474E-2</v>
      </c>
      <c r="BN355" s="149">
        <f t="shared" si="359"/>
        <v>5.7623057120911474E-2</v>
      </c>
      <c r="BO355" s="149">
        <f t="shared" si="359"/>
        <v>5.7623057120911474E-2</v>
      </c>
      <c r="BP355" s="149">
        <f t="shared" si="359"/>
        <v>5.7623057120911474E-2</v>
      </c>
      <c r="BQ355" s="149">
        <f t="shared" si="359"/>
        <v>5.7623057120911474E-2</v>
      </c>
      <c r="BR355" s="149">
        <f t="shared" si="359"/>
        <v>5.7623057120911474E-2</v>
      </c>
      <c r="BS355" s="149">
        <f t="shared" si="359"/>
        <v>5.7623057120911474E-2</v>
      </c>
      <c r="BT355" s="149">
        <f t="shared" si="359"/>
        <v>5.7623057120911474E-2</v>
      </c>
      <c r="BU355" s="149">
        <f t="shared" si="359"/>
        <v>5.7623057120911474E-2</v>
      </c>
      <c r="BV355" s="149">
        <f t="shared" si="359"/>
        <v>5.7623057120911474E-2</v>
      </c>
    </row>
    <row r="356" spans="1:74" x14ac:dyDescent="0.25">
      <c r="A356" s="147" t="s">
        <v>197</v>
      </c>
      <c r="C356" s="142"/>
      <c r="D356" s="157">
        <f t="shared" ref="D356:AR356" si="360">D185+D292+D324</f>
        <v>7.1390461602231836E-2</v>
      </c>
      <c r="E356" s="157">
        <f t="shared" si="360"/>
        <v>7.1390463144806432E-2</v>
      </c>
      <c r="F356" s="157">
        <f t="shared" si="360"/>
        <v>7.1390464687381111E-2</v>
      </c>
      <c r="G356" s="157">
        <f t="shared" si="360"/>
        <v>7.1390466229955873E-2</v>
      </c>
      <c r="H356" s="157">
        <f t="shared" si="360"/>
        <v>7.1390467772530664E-2</v>
      </c>
      <c r="I356" s="157">
        <f t="shared" si="360"/>
        <v>7.1390469315105523E-2</v>
      </c>
      <c r="J356" s="157">
        <f t="shared" si="360"/>
        <v>7.1390460864024452E-2</v>
      </c>
      <c r="K356" s="157">
        <f t="shared" si="360"/>
        <v>7.1390455465360589E-2</v>
      </c>
      <c r="L356" s="157">
        <f t="shared" si="360"/>
        <v>7.1390471272364031E-2</v>
      </c>
      <c r="M356" s="157">
        <f t="shared" si="360"/>
        <v>7.1390463160895798E-2</v>
      </c>
      <c r="N356" s="157">
        <f t="shared" si="360"/>
        <v>7.1390459727137506E-2</v>
      </c>
      <c r="O356" s="157">
        <f t="shared" si="360"/>
        <v>7.1390458427789016E-2</v>
      </c>
      <c r="P356" s="157">
        <f t="shared" si="360"/>
        <v>7.1390464504632795E-2</v>
      </c>
      <c r="Q356" s="157">
        <f t="shared" si="360"/>
        <v>7.1390461600893837E-2</v>
      </c>
      <c r="R356" s="157">
        <f t="shared" si="360"/>
        <v>7.1390451861589113E-2</v>
      </c>
      <c r="S356" s="157">
        <f t="shared" si="360"/>
        <v>7.1390438602474335E-2</v>
      </c>
      <c r="T356" s="157">
        <f t="shared" si="360"/>
        <v>7.1390527752703298E-2</v>
      </c>
      <c r="U356" s="157">
        <f t="shared" si="360"/>
        <v>7.1390503747243664E-2</v>
      </c>
      <c r="V356" s="157">
        <f t="shared" si="360"/>
        <v>7.1390435097863414E-2</v>
      </c>
      <c r="W356" s="157">
        <f t="shared" si="360"/>
        <v>7.1390486089617303E-2</v>
      </c>
      <c r="X356" s="157">
        <f t="shared" si="360"/>
        <v>7.1390457817212649E-2</v>
      </c>
      <c r="Y356" s="157">
        <f t="shared" si="360"/>
        <v>7.1390471979928066E-2</v>
      </c>
      <c r="Z356" s="157">
        <f t="shared" si="360"/>
        <v>7.1390414517649659E-2</v>
      </c>
      <c r="AA356" s="157">
        <f t="shared" si="360"/>
        <v>7.1390443469588075E-2</v>
      </c>
      <c r="AB356" s="157">
        <f t="shared" si="360"/>
        <v>7.1677187308288523E-2</v>
      </c>
      <c r="AC356" s="157">
        <f t="shared" si="360"/>
        <v>7.1665202944462172E-2</v>
      </c>
      <c r="AD356" s="157">
        <f t="shared" si="360"/>
        <v>7.1801492840154107E-2</v>
      </c>
      <c r="AE356" s="157">
        <f t="shared" si="360"/>
        <v>7.1844999728960829E-2</v>
      </c>
      <c r="AF356" s="157">
        <f t="shared" si="360"/>
        <v>7.1844999728960829E-2</v>
      </c>
      <c r="AG356" s="157">
        <f t="shared" si="360"/>
        <v>7.1844999728960829E-2</v>
      </c>
      <c r="AH356" s="157">
        <f t="shared" si="360"/>
        <v>7.1844999728960829E-2</v>
      </c>
      <c r="AI356" s="157">
        <f t="shared" si="360"/>
        <v>7.1844999728960829E-2</v>
      </c>
      <c r="AJ356" s="157">
        <f t="shared" si="360"/>
        <v>7.1844999728960829E-2</v>
      </c>
      <c r="AK356" s="157">
        <f t="shared" si="360"/>
        <v>7.1844999728960829E-2</v>
      </c>
      <c r="AL356" s="157">
        <f t="shared" si="360"/>
        <v>7.1844999728960829E-2</v>
      </c>
      <c r="AM356" s="157">
        <f t="shared" si="360"/>
        <v>7.1844999728960829E-2</v>
      </c>
      <c r="AN356" s="157">
        <f t="shared" si="360"/>
        <v>7.1844999728960829E-2</v>
      </c>
      <c r="AO356" s="157">
        <f t="shared" si="360"/>
        <v>7.1844999728960829E-2</v>
      </c>
      <c r="AP356" s="157">
        <f t="shared" si="360"/>
        <v>7.1844999728960829E-2</v>
      </c>
      <c r="AQ356" s="157">
        <f t="shared" si="360"/>
        <v>7.1844999728960829E-2</v>
      </c>
      <c r="AR356" s="157">
        <f t="shared" si="360"/>
        <v>7.1844999728960829E-2</v>
      </c>
      <c r="AS356" s="149">
        <f t="shared" ref="AS356:BV356" si="361">AR356</f>
        <v>7.1844999728960829E-2</v>
      </c>
      <c r="AT356" s="149">
        <f t="shared" si="361"/>
        <v>7.1844999728960829E-2</v>
      </c>
      <c r="AU356" s="149">
        <f t="shared" si="361"/>
        <v>7.1844999728960829E-2</v>
      </c>
      <c r="AV356" s="149">
        <f t="shared" si="361"/>
        <v>7.1844999728960829E-2</v>
      </c>
      <c r="AW356" s="149">
        <f t="shared" si="361"/>
        <v>7.1844999728960829E-2</v>
      </c>
      <c r="AX356" s="149">
        <f t="shared" si="361"/>
        <v>7.1844999728960829E-2</v>
      </c>
      <c r="AY356" s="149">
        <f t="shared" si="361"/>
        <v>7.1844999728960829E-2</v>
      </c>
      <c r="AZ356" s="149">
        <f t="shared" si="361"/>
        <v>7.1844999728960829E-2</v>
      </c>
      <c r="BA356" s="149">
        <f t="shared" si="361"/>
        <v>7.1844999728960829E-2</v>
      </c>
      <c r="BB356" s="149">
        <f t="shared" si="361"/>
        <v>7.1844999728960829E-2</v>
      </c>
      <c r="BC356" s="149">
        <f t="shared" si="361"/>
        <v>7.1844999728960829E-2</v>
      </c>
      <c r="BD356" s="149">
        <f t="shared" si="361"/>
        <v>7.1844999728960829E-2</v>
      </c>
      <c r="BE356" s="149">
        <f t="shared" si="361"/>
        <v>7.1844999728960829E-2</v>
      </c>
      <c r="BF356" s="149">
        <f t="shared" si="361"/>
        <v>7.1844999728960829E-2</v>
      </c>
      <c r="BG356" s="149">
        <f t="shared" si="361"/>
        <v>7.1844999728960829E-2</v>
      </c>
      <c r="BH356" s="149">
        <f t="shared" si="361"/>
        <v>7.1844999728960829E-2</v>
      </c>
      <c r="BI356" s="149">
        <f t="shared" si="361"/>
        <v>7.1844999728960829E-2</v>
      </c>
      <c r="BJ356" s="149">
        <f t="shared" si="361"/>
        <v>7.1844999728960829E-2</v>
      </c>
      <c r="BK356" s="149">
        <f t="shared" si="361"/>
        <v>7.1844999728960829E-2</v>
      </c>
      <c r="BL356" s="149">
        <f t="shared" si="361"/>
        <v>7.1844999728960829E-2</v>
      </c>
      <c r="BM356" s="149">
        <f t="shared" si="361"/>
        <v>7.1844999728960829E-2</v>
      </c>
      <c r="BN356" s="149">
        <f t="shared" si="361"/>
        <v>7.1844999728960829E-2</v>
      </c>
      <c r="BO356" s="149">
        <f t="shared" si="361"/>
        <v>7.1844999728960829E-2</v>
      </c>
      <c r="BP356" s="149">
        <f t="shared" si="361"/>
        <v>7.1844999728960829E-2</v>
      </c>
      <c r="BQ356" s="149">
        <f t="shared" si="361"/>
        <v>7.1844999728960829E-2</v>
      </c>
      <c r="BR356" s="149">
        <f t="shared" si="361"/>
        <v>7.1844999728960829E-2</v>
      </c>
      <c r="BS356" s="149">
        <f t="shared" si="361"/>
        <v>7.1844999728960829E-2</v>
      </c>
      <c r="BT356" s="149">
        <f t="shared" si="361"/>
        <v>7.1844999728960829E-2</v>
      </c>
      <c r="BU356" s="149">
        <f t="shared" si="361"/>
        <v>7.1844999728960829E-2</v>
      </c>
      <c r="BV356" s="149">
        <f t="shared" si="361"/>
        <v>7.1844999728960829E-2</v>
      </c>
    </row>
    <row r="357" spans="1:74" x14ac:dyDescent="0.25">
      <c r="A357" s="141" t="s">
        <v>14</v>
      </c>
      <c r="B357" s="148"/>
      <c r="C357" s="142"/>
      <c r="D357" s="157">
        <f t="shared" ref="D357:AR357" si="362">D186+D293+D325</f>
        <v>5.1142927656068121E-2</v>
      </c>
      <c r="E357" s="157">
        <f t="shared" si="362"/>
        <v>5.1067232423245339E-2</v>
      </c>
      <c r="F357" s="157">
        <f t="shared" si="362"/>
        <v>5.0991760928115956E-2</v>
      </c>
      <c r="G357" s="157">
        <f t="shared" si="362"/>
        <v>5.0916512180168107E-2</v>
      </c>
      <c r="H357" s="157">
        <f t="shared" si="362"/>
        <v>5.0841485194728142E-2</v>
      </c>
      <c r="I357" s="157">
        <f t="shared" si="362"/>
        <v>5.0766678992917633E-2</v>
      </c>
      <c r="J357" s="157">
        <f t="shared" si="362"/>
        <v>5.0729484804808184E-2</v>
      </c>
      <c r="K357" s="157">
        <f t="shared" si="362"/>
        <v>5.0709284896611431E-2</v>
      </c>
      <c r="L357" s="157">
        <f t="shared" si="362"/>
        <v>5.0641798652407595E-2</v>
      </c>
      <c r="M357" s="157">
        <f t="shared" si="362"/>
        <v>5.0700478747650053E-2</v>
      </c>
      <c r="N357" s="157">
        <f t="shared" si="362"/>
        <v>5.0916968883826567E-2</v>
      </c>
      <c r="O357" s="157">
        <f t="shared" si="362"/>
        <v>5.0820331700165852E-2</v>
      </c>
      <c r="P357" s="157">
        <f t="shared" si="362"/>
        <v>5.0803502255552607E-2</v>
      </c>
      <c r="Q357" s="157">
        <f t="shared" si="362"/>
        <v>5.0641365729922609E-2</v>
      </c>
      <c r="R357" s="157">
        <f t="shared" si="362"/>
        <v>5.0603638579936036E-2</v>
      </c>
      <c r="S357" s="157">
        <f t="shared" si="362"/>
        <v>5.0524740995476207E-2</v>
      </c>
      <c r="T357" s="157">
        <f t="shared" si="362"/>
        <v>5.0510537403877245E-2</v>
      </c>
      <c r="U357" s="157">
        <f t="shared" si="362"/>
        <v>5.0719317220882007E-2</v>
      </c>
      <c r="V357" s="157">
        <f t="shared" si="362"/>
        <v>5.0312498560015559E-2</v>
      </c>
      <c r="W357" s="157">
        <f t="shared" si="362"/>
        <v>5.0289421572195847E-2</v>
      </c>
      <c r="X357" s="157">
        <f t="shared" si="362"/>
        <v>5.0180635366051989E-2</v>
      </c>
      <c r="Y357" s="157">
        <f t="shared" si="362"/>
        <v>5.0139033420351357E-2</v>
      </c>
      <c r="Z357" s="157">
        <f t="shared" si="362"/>
        <v>4.9917171800043444E-2</v>
      </c>
      <c r="AA357" s="157">
        <f t="shared" si="362"/>
        <v>4.9777160500924705E-2</v>
      </c>
      <c r="AB357" s="157">
        <f t="shared" si="362"/>
        <v>4.9575822377979382E-2</v>
      </c>
      <c r="AC357" s="157">
        <f t="shared" si="362"/>
        <v>4.9271851644357136E-2</v>
      </c>
      <c r="AD357" s="157">
        <f t="shared" si="362"/>
        <v>4.9536965856806406E-2</v>
      </c>
      <c r="AE357" s="157">
        <f t="shared" si="362"/>
        <v>4.929698757351221E-2</v>
      </c>
      <c r="AF357" s="157">
        <f t="shared" si="362"/>
        <v>4.929698757351221E-2</v>
      </c>
      <c r="AG357" s="157">
        <f t="shared" si="362"/>
        <v>4.929698757351221E-2</v>
      </c>
      <c r="AH357" s="157">
        <f t="shared" si="362"/>
        <v>4.929698757351221E-2</v>
      </c>
      <c r="AI357" s="157">
        <f t="shared" si="362"/>
        <v>4.929698757351221E-2</v>
      </c>
      <c r="AJ357" s="157">
        <f t="shared" si="362"/>
        <v>4.929698757351221E-2</v>
      </c>
      <c r="AK357" s="157">
        <f t="shared" si="362"/>
        <v>4.929698757351221E-2</v>
      </c>
      <c r="AL357" s="157">
        <f t="shared" si="362"/>
        <v>4.929698757351221E-2</v>
      </c>
      <c r="AM357" s="157">
        <f t="shared" si="362"/>
        <v>4.929698757351221E-2</v>
      </c>
      <c r="AN357" s="157">
        <f t="shared" si="362"/>
        <v>4.929698757351221E-2</v>
      </c>
      <c r="AO357" s="157">
        <f t="shared" si="362"/>
        <v>4.929698757351221E-2</v>
      </c>
      <c r="AP357" s="157">
        <f t="shared" si="362"/>
        <v>4.929698757351221E-2</v>
      </c>
      <c r="AQ357" s="157">
        <f t="shared" si="362"/>
        <v>4.929698757351221E-2</v>
      </c>
      <c r="AR357" s="157">
        <f t="shared" si="362"/>
        <v>4.929698757351221E-2</v>
      </c>
      <c r="AS357" s="149">
        <f t="shared" ref="AS357:BV357" si="363">AR357</f>
        <v>4.929698757351221E-2</v>
      </c>
      <c r="AT357" s="149">
        <f t="shared" si="363"/>
        <v>4.929698757351221E-2</v>
      </c>
      <c r="AU357" s="149">
        <f t="shared" si="363"/>
        <v>4.929698757351221E-2</v>
      </c>
      <c r="AV357" s="149">
        <f t="shared" si="363"/>
        <v>4.929698757351221E-2</v>
      </c>
      <c r="AW357" s="149">
        <f t="shared" si="363"/>
        <v>4.929698757351221E-2</v>
      </c>
      <c r="AX357" s="149">
        <f t="shared" si="363"/>
        <v>4.929698757351221E-2</v>
      </c>
      <c r="AY357" s="149">
        <f t="shared" si="363"/>
        <v>4.929698757351221E-2</v>
      </c>
      <c r="AZ357" s="149">
        <f t="shared" si="363"/>
        <v>4.929698757351221E-2</v>
      </c>
      <c r="BA357" s="149">
        <f t="shared" si="363"/>
        <v>4.929698757351221E-2</v>
      </c>
      <c r="BB357" s="149">
        <f t="shared" si="363"/>
        <v>4.929698757351221E-2</v>
      </c>
      <c r="BC357" s="149">
        <f t="shared" si="363"/>
        <v>4.929698757351221E-2</v>
      </c>
      <c r="BD357" s="149">
        <f t="shared" si="363"/>
        <v>4.929698757351221E-2</v>
      </c>
      <c r="BE357" s="149">
        <f t="shared" si="363"/>
        <v>4.929698757351221E-2</v>
      </c>
      <c r="BF357" s="149">
        <f t="shared" si="363"/>
        <v>4.929698757351221E-2</v>
      </c>
      <c r="BG357" s="149">
        <f t="shared" si="363"/>
        <v>4.929698757351221E-2</v>
      </c>
      <c r="BH357" s="149">
        <f t="shared" si="363"/>
        <v>4.929698757351221E-2</v>
      </c>
      <c r="BI357" s="149">
        <f t="shared" si="363"/>
        <v>4.929698757351221E-2</v>
      </c>
      <c r="BJ357" s="149">
        <f t="shared" si="363"/>
        <v>4.929698757351221E-2</v>
      </c>
      <c r="BK357" s="149">
        <f t="shared" si="363"/>
        <v>4.929698757351221E-2</v>
      </c>
      <c r="BL357" s="149">
        <f t="shared" si="363"/>
        <v>4.929698757351221E-2</v>
      </c>
      <c r="BM357" s="149">
        <f t="shared" si="363"/>
        <v>4.929698757351221E-2</v>
      </c>
      <c r="BN357" s="149">
        <f t="shared" si="363"/>
        <v>4.929698757351221E-2</v>
      </c>
      <c r="BO357" s="149">
        <f t="shared" si="363"/>
        <v>4.929698757351221E-2</v>
      </c>
      <c r="BP357" s="149">
        <f t="shared" si="363"/>
        <v>4.929698757351221E-2</v>
      </c>
      <c r="BQ357" s="149">
        <f t="shared" si="363"/>
        <v>4.929698757351221E-2</v>
      </c>
      <c r="BR357" s="149">
        <f t="shared" si="363"/>
        <v>4.929698757351221E-2</v>
      </c>
      <c r="BS357" s="149">
        <f t="shared" si="363"/>
        <v>4.929698757351221E-2</v>
      </c>
      <c r="BT357" s="149">
        <f t="shared" si="363"/>
        <v>4.929698757351221E-2</v>
      </c>
      <c r="BU357" s="149">
        <f t="shared" si="363"/>
        <v>4.929698757351221E-2</v>
      </c>
      <c r="BV357" s="149">
        <f t="shared" si="363"/>
        <v>4.929698757351221E-2</v>
      </c>
    </row>
    <row r="358" spans="1:74" x14ac:dyDescent="0.25">
      <c r="A358" s="141" t="s">
        <v>188</v>
      </c>
      <c r="B358" s="142"/>
      <c r="C358" s="142"/>
      <c r="D358" s="157">
        <f t="shared" ref="D358:AR358" si="364">D187+D294+D326</f>
        <v>8.4891747833875181E-2</v>
      </c>
      <c r="E358" s="157">
        <f t="shared" si="364"/>
        <v>8.4986910101050653E-2</v>
      </c>
      <c r="F358" s="157">
        <f t="shared" si="364"/>
        <v>8.508207236845225E-2</v>
      </c>
      <c r="G358" s="157">
        <f t="shared" si="364"/>
        <v>8.5177234636079999E-2</v>
      </c>
      <c r="H358" s="157">
        <f t="shared" si="364"/>
        <v>8.5272992677319984E-2</v>
      </c>
      <c r="I358" s="157">
        <f t="shared" si="364"/>
        <v>8.5366963398626955E-2</v>
      </c>
      <c r="J358" s="157">
        <f t="shared" si="364"/>
        <v>8.4361310558826064E-2</v>
      </c>
      <c r="K358" s="157">
        <f t="shared" si="364"/>
        <v>8.4679460810668905E-2</v>
      </c>
      <c r="L358" s="157">
        <f t="shared" si="364"/>
        <v>8.1189242893495411E-2</v>
      </c>
      <c r="M358" s="157">
        <f t="shared" si="364"/>
        <v>8.17104833445009E-2</v>
      </c>
      <c r="N358" s="157">
        <f t="shared" si="364"/>
        <v>8.029027777142414E-2</v>
      </c>
      <c r="O358" s="157">
        <f t="shared" si="364"/>
        <v>8.2348901695247723E-2</v>
      </c>
      <c r="P358" s="157">
        <f t="shared" si="364"/>
        <v>8.3356525344359181E-2</v>
      </c>
      <c r="Q358" s="157">
        <f t="shared" si="364"/>
        <v>8.3881252551208013E-2</v>
      </c>
      <c r="R358" s="157">
        <f t="shared" si="364"/>
        <v>8.3402953332796667E-2</v>
      </c>
      <c r="S358" s="157">
        <f t="shared" si="364"/>
        <v>8.3532770718151211E-2</v>
      </c>
      <c r="T358" s="157">
        <f t="shared" si="364"/>
        <v>8.3623049784786518E-2</v>
      </c>
      <c r="U358" s="157">
        <f t="shared" si="364"/>
        <v>8.3607283502650107E-2</v>
      </c>
      <c r="V358" s="157">
        <f t="shared" si="364"/>
        <v>8.3641398931932412E-2</v>
      </c>
      <c r="W358" s="157">
        <f t="shared" si="364"/>
        <v>8.3610701394064971E-2</v>
      </c>
      <c r="X358" s="157">
        <f t="shared" si="364"/>
        <v>8.373773318329758E-2</v>
      </c>
      <c r="Y358" s="157">
        <f t="shared" si="364"/>
        <v>8.3539544081031619E-2</v>
      </c>
      <c r="Z358" s="157">
        <f t="shared" si="364"/>
        <v>8.350800379341089E-2</v>
      </c>
      <c r="AA358" s="157">
        <f t="shared" si="364"/>
        <v>8.4858180485292423E-2</v>
      </c>
      <c r="AB358" s="157">
        <f t="shared" si="364"/>
        <v>8.147256003314135E-2</v>
      </c>
      <c r="AC358" s="157">
        <f t="shared" si="364"/>
        <v>8.1906681195556455E-2</v>
      </c>
      <c r="AD358" s="157">
        <f t="shared" si="364"/>
        <v>8.1994383724488945E-2</v>
      </c>
      <c r="AE358" s="157">
        <f t="shared" si="364"/>
        <v>8.2425812397980497E-2</v>
      </c>
      <c r="AF358" s="157">
        <f t="shared" si="364"/>
        <v>8.2425812397980497E-2</v>
      </c>
      <c r="AG358" s="157">
        <f t="shared" si="364"/>
        <v>8.2425812397980497E-2</v>
      </c>
      <c r="AH358" s="157">
        <f t="shared" si="364"/>
        <v>8.2425812397980497E-2</v>
      </c>
      <c r="AI358" s="157">
        <f t="shared" si="364"/>
        <v>8.2425812397980497E-2</v>
      </c>
      <c r="AJ358" s="157">
        <f t="shared" si="364"/>
        <v>8.2425812397980497E-2</v>
      </c>
      <c r="AK358" s="157">
        <f t="shared" si="364"/>
        <v>8.2425812397980497E-2</v>
      </c>
      <c r="AL358" s="157">
        <f t="shared" si="364"/>
        <v>8.2425812397980497E-2</v>
      </c>
      <c r="AM358" s="157">
        <f t="shared" si="364"/>
        <v>8.2425812397980497E-2</v>
      </c>
      <c r="AN358" s="157">
        <f t="shared" si="364"/>
        <v>8.2425812397980497E-2</v>
      </c>
      <c r="AO358" s="157">
        <f t="shared" si="364"/>
        <v>8.2425812397980497E-2</v>
      </c>
      <c r="AP358" s="157">
        <f t="shared" si="364"/>
        <v>8.2425812397980497E-2</v>
      </c>
      <c r="AQ358" s="157">
        <f t="shared" si="364"/>
        <v>8.2425812397980497E-2</v>
      </c>
      <c r="AR358" s="157">
        <f t="shared" si="364"/>
        <v>8.2425812397980497E-2</v>
      </c>
      <c r="AS358" s="149">
        <f t="shared" ref="AS358:BV358" si="365">AR358</f>
        <v>8.2425812397980497E-2</v>
      </c>
      <c r="AT358" s="149">
        <f t="shared" si="365"/>
        <v>8.2425812397980497E-2</v>
      </c>
      <c r="AU358" s="149">
        <f t="shared" si="365"/>
        <v>8.2425812397980497E-2</v>
      </c>
      <c r="AV358" s="149">
        <f t="shared" si="365"/>
        <v>8.2425812397980497E-2</v>
      </c>
      <c r="AW358" s="149">
        <f t="shared" si="365"/>
        <v>8.2425812397980497E-2</v>
      </c>
      <c r="AX358" s="149">
        <f t="shared" si="365"/>
        <v>8.2425812397980497E-2</v>
      </c>
      <c r="AY358" s="149">
        <f t="shared" si="365"/>
        <v>8.2425812397980497E-2</v>
      </c>
      <c r="AZ358" s="149">
        <f t="shared" si="365"/>
        <v>8.2425812397980497E-2</v>
      </c>
      <c r="BA358" s="149">
        <f t="shared" si="365"/>
        <v>8.2425812397980497E-2</v>
      </c>
      <c r="BB358" s="149">
        <f t="shared" si="365"/>
        <v>8.2425812397980497E-2</v>
      </c>
      <c r="BC358" s="149">
        <f t="shared" si="365"/>
        <v>8.2425812397980497E-2</v>
      </c>
      <c r="BD358" s="149">
        <f t="shared" si="365"/>
        <v>8.2425812397980497E-2</v>
      </c>
      <c r="BE358" s="149">
        <f t="shared" si="365"/>
        <v>8.2425812397980497E-2</v>
      </c>
      <c r="BF358" s="149">
        <f t="shared" si="365"/>
        <v>8.2425812397980497E-2</v>
      </c>
      <c r="BG358" s="149">
        <f t="shared" si="365"/>
        <v>8.2425812397980497E-2</v>
      </c>
      <c r="BH358" s="149">
        <f t="shared" si="365"/>
        <v>8.2425812397980497E-2</v>
      </c>
      <c r="BI358" s="149">
        <f t="shared" si="365"/>
        <v>8.2425812397980497E-2</v>
      </c>
      <c r="BJ358" s="149">
        <f t="shared" si="365"/>
        <v>8.2425812397980497E-2</v>
      </c>
      <c r="BK358" s="149">
        <f t="shared" si="365"/>
        <v>8.2425812397980497E-2</v>
      </c>
      <c r="BL358" s="149">
        <f t="shared" si="365"/>
        <v>8.2425812397980497E-2</v>
      </c>
      <c r="BM358" s="149">
        <f t="shared" si="365"/>
        <v>8.2425812397980497E-2</v>
      </c>
      <c r="BN358" s="149">
        <f t="shared" si="365"/>
        <v>8.2425812397980497E-2</v>
      </c>
      <c r="BO358" s="149">
        <f t="shared" si="365"/>
        <v>8.2425812397980497E-2</v>
      </c>
      <c r="BP358" s="149">
        <f t="shared" si="365"/>
        <v>8.2425812397980497E-2</v>
      </c>
      <c r="BQ358" s="149">
        <f t="shared" si="365"/>
        <v>8.2425812397980497E-2</v>
      </c>
      <c r="BR358" s="149">
        <f t="shared" si="365"/>
        <v>8.2425812397980497E-2</v>
      </c>
      <c r="BS358" s="149">
        <f t="shared" si="365"/>
        <v>8.2425812397980497E-2</v>
      </c>
      <c r="BT358" s="149">
        <f t="shared" si="365"/>
        <v>8.2425812397980497E-2</v>
      </c>
      <c r="BU358" s="149">
        <f t="shared" si="365"/>
        <v>8.2425812397980497E-2</v>
      </c>
      <c r="BV358" s="149">
        <f t="shared" si="365"/>
        <v>8.2425812397980497E-2</v>
      </c>
    </row>
    <row r="359" spans="1:74" x14ac:dyDescent="0.25">
      <c r="A359" s="147" t="s">
        <v>200</v>
      </c>
      <c r="C359" s="142"/>
      <c r="D359" s="157">
        <f t="shared" ref="D359:AR359" si="366">D188+D295+D327</f>
        <v>6.0489301634089838E-2</v>
      </c>
      <c r="E359" s="157">
        <f t="shared" si="366"/>
        <v>6.0489303696167063E-2</v>
      </c>
      <c r="F359" s="157">
        <f t="shared" si="366"/>
        <v>6.0489305758244419E-2</v>
      </c>
      <c r="G359" s="157">
        <f t="shared" si="366"/>
        <v>6.0489307820321914E-2</v>
      </c>
      <c r="H359" s="157">
        <f t="shared" si="366"/>
        <v>6.0489309882399547E-2</v>
      </c>
      <c r="I359" s="157">
        <f t="shared" si="366"/>
        <v>6.0489311944477313E-2</v>
      </c>
      <c r="J359" s="157">
        <f t="shared" si="366"/>
        <v>6.0489304348163887E-2</v>
      </c>
      <c r="K359" s="157">
        <f t="shared" si="366"/>
        <v>6.0489308100832744E-2</v>
      </c>
      <c r="L359" s="157">
        <f t="shared" si="366"/>
        <v>6.1015106594302704E-2</v>
      </c>
      <c r="M359" s="157">
        <f t="shared" si="366"/>
        <v>6.1015095570153798E-2</v>
      </c>
      <c r="N359" s="157">
        <f t="shared" si="366"/>
        <v>6.1015095567753835E-2</v>
      </c>
      <c r="O359" s="157">
        <f t="shared" si="366"/>
        <v>6.1015090544368988E-2</v>
      </c>
      <c r="P359" s="157">
        <f t="shared" si="366"/>
        <v>6.1015102020568909E-2</v>
      </c>
      <c r="Q359" s="157">
        <f t="shared" si="366"/>
        <v>6.101509127534499E-2</v>
      </c>
      <c r="R359" s="157">
        <f t="shared" si="366"/>
        <v>6.1015093494442903E-2</v>
      </c>
      <c r="S359" s="157">
        <f t="shared" si="366"/>
        <v>6.1015081641588857E-2</v>
      </c>
      <c r="T359" s="157">
        <f t="shared" si="366"/>
        <v>6.1015071302370466E-2</v>
      </c>
      <c r="U359" s="157">
        <f t="shared" si="366"/>
        <v>6.1015177160677281E-2</v>
      </c>
      <c r="V359" s="157">
        <f t="shared" si="366"/>
        <v>6.1015054036091421E-2</v>
      </c>
      <c r="W359" s="157">
        <f t="shared" si="366"/>
        <v>6.1015200288935173E-2</v>
      </c>
      <c r="X359" s="157">
        <f t="shared" si="366"/>
        <v>6.1015140571733802E-2</v>
      </c>
      <c r="Y359" s="157">
        <f t="shared" si="366"/>
        <v>6.1015059875936653E-2</v>
      </c>
      <c r="Z359" s="157">
        <f t="shared" si="366"/>
        <v>6.1015144122258641E-2</v>
      </c>
      <c r="AA359" s="157">
        <f t="shared" si="366"/>
        <v>6.1015144122258641E-2</v>
      </c>
      <c r="AB359" s="157">
        <f t="shared" si="366"/>
        <v>6.1015144122258641E-2</v>
      </c>
      <c r="AC359" s="157">
        <f t="shared" si="366"/>
        <v>6.1015144122258641E-2</v>
      </c>
      <c r="AD359" s="157">
        <f t="shared" si="366"/>
        <v>6.1015523195965593E-2</v>
      </c>
      <c r="AE359" s="157">
        <f t="shared" si="366"/>
        <v>6.1015440080686545E-2</v>
      </c>
      <c r="AF359" s="157">
        <f t="shared" si="366"/>
        <v>6.1015440080686545E-2</v>
      </c>
      <c r="AG359" s="157">
        <f t="shared" si="366"/>
        <v>6.1015440080686545E-2</v>
      </c>
      <c r="AH359" s="157">
        <f t="shared" si="366"/>
        <v>6.1015440080686545E-2</v>
      </c>
      <c r="AI359" s="157">
        <f t="shared" si="366"/>
        <v>6.1015440080686545E-2</v>
      </c>
      <c r="AJ359" s="157">
        <f t="shared" si="366"/>
        <v>6.1015440080686545E-2</v>
      </c>
      <c r="AK359" s="157">
        <f t="shared" si="366"/>
        <v>6.1015440080686545E-2</v>
      </c>
      <c r="AL359" s="157">
        <f t="shared" si="366"/>
        <v>6.1015440080686545E-2</v>
      </c>
      <c r="AM359" s="157">
        <f t="shared" si="366"/>
        <v>6.1015440080686545E-2</v>
      </c>
      <c r="AN359" s="157">
        <f t="shared" si="366"/>
        <v>6.1015440080686545E-2</v>
      </c>
      <c r="AO359" s="157">
        <f t="shared" si="366"/>
        <v>6.1015440080686545E-2</v>
      </c>
      <c r="AP359" s="157">
        <f t="shared" si="366"/>
        <v>6.1015440080686545E-2</v>
      </c>
      <c r="AQ359" s="157">
        <f t="shared" si="366"/>
        <v>6.1015440080686545E-2</v>
      </c>
      <c r="AR359" s="157">
        <f t="shared" si="366"/>
        <v>6.1015440080686545E-2</v>
      </c>
      <c r="AS359" s="149">
        <f t="shared" ref="AS359:BV359" si="367">AR359</f>
        <v>6.1015440080686545E-2</v>
      </c>
      <c r="AT359" s="149">
        <f t="shared" si="367"/>
        <v>6.1015440080686545E-2</v>
      </c>
      <c r="AU359" s="149">
        <f t="shared" si="367"/>
        <v>6.1015440080686545E-2</v>
      </c>
      <c r="AV359" s="149">
        <f t="shared" si="367"/>
        <v>6.1015440080686545E-2</v>
      </c>
      <c r="AW359" s="149">
        <f t="shared" si="367"/>
        <v>6.1015440080686545E-2</v>
      </c>
      <c r="AX359" s="149">
        <f t="shared" si="367"/>
        <v>6.1015440080686545E-2</v>
      </c>
      <c r="AY359" s="149">
        <f t="shared" si="367"/>
        <v>6.1015440080686545E-2</v>
      </c>
      <c r="AZ359" s="149">
        <f t="shared" si="367"/>
        <v>6.1015440080686545E-2</v>
      </c>
      <c r="BA359" s="149">
        <f t="shared" si="367"/>
        <v>6.1015440080686545E-2</v>
      </c>
      <c r="BB359" s="149">
        <f t="shared" si="367"/>
        <v>6.1015440080686545E-2</v>
      </c>
      <c r="BC359" s="149">
        <f t="shared" si="367"/>
        <v>6.1015440080686545E-2</v>
      </c>
      <c r="BD359" s="149">
        <f t="shared" si="367"/>
        <v>6.1015440080686545E-2</v>
      </c>
      <c r="BE359" s="149">
        <f t="shared" si="367"/>
        <v>6.1015440080686545E-2</v>
      </c>
      <c r="BF359" s="149">
        <f t="shared" si="367"/>
        <v>6.1015440080686545E-2</v>
      </c>
      <c r="BG359" s="149">
        <f t="shared" si="367"/>
        <v>6.1015440080686545E-2</v>
      </c>
      <c r="BH359" s="149">
        <f t="shared" si="367"/>
        <v>6.1015440080686545E-2</v>
      </c>
      <c r="BI359" s="149">
        <f t="shared" si="367"/>
        <v>6.1015440080686545E-2</v>
      </c>
      <c r="BJ359" s="149">
        <f t="shared" si="367"/>
        <v>6.1015440080686545E-2</v>
      </c>
      <c r="BK359" s="149">
        <f t="shared" si="367"/>
        <v>6.1015440080686545E-2</v>
      </c>
      <c r="BL359" s="149">
        <f t="shared" si="367"/>
        <v>6.1015440080686545E-2</v>
      </c>
      <c r="BM359" s="149">
        <f t="shared" si="367"/>
        <v>6.1015440080686545E-2</v>
      </c>
      <c r="BN359" s="149">
        <f t="shared" si="367"/>
        <v>6.1015440080686545E-2</v>
      </c>
      <c r="BO359" s="149">
        <f t="shared" si="367"/>
        <v>6.1015440080686545E-2</v>
      </c>
      <c r="BP359" s="149">
        <f t="shared" si="367"/>
        <v>6.1015440080686545E-2</v>
      </c>
      <c r="BQ359" s="149">
        <f t="shared" si="367"/>
        <v>6.1015440080686545E-2</v>
      </c>
      <c r="BR359" s="149">
        <f t="shared" si="367"/>
        <v>6.1015440080686545E-2</v>
      </c>
      <c r="BS359" s="149">
        <f t="shared" si="367"/>
        <v>6.1015440080686545E-2</v>
      </c>
      <c r="BT359" s="149">
        <f t="shared" si="367"/>
        <v>6.1015440080686545E-2</v>
      </c>
      <c r="BU359" s="149">
        <f t="shared" si="367"/>
        <v>6.1015440080686545E-2</v>
      </c>
      <c r="BV359" s="149">
        <f t="shared" si="367"/>
        <v>6.1015440080686545E-2</v>
      </c>
    </row>
    <row r="360" spans="1:74" x14ac:dyDescent="0.25">
      <c r="A360" s="141" t="s">
        <v>194</v>
      </c>
      <c r="B360" s="148"/>
      <c r="C360" s="142"/>
      <c r="D360" s="157">
        <f t="shared" ref="D360:AR360" si="368">D189+D296+D328</f>
        <v>4.3382870772439977E-2</v>
      </c>
      <c r="E360" s="157">
        <f t="shared" si="368"/>
        <v>4.3565500710343957E-2</v>
      </c>
      <c r="F360" s="157">
        <f t="shared" si="368"/>
        <v>4.3748130648389408E-2</v>
      </c>
      <c r="G360" s="157">
        <f t="shared" si="368"/>
        <v>4.3930760586576342E-2</v>
      </c>
      <c r="H360" s="157">
        <f t="shared" si="368"/>
        <v>4.4113390524904754E-2</v>
      </c>
      <c r="I360" s="157">
        <f t="shared" si="368"/>
        <v>4.4296020463374629E-2</v>
      </c>
      <c r="J360" s="157">
        <f t="shared" si="368"/>
        <v>4.3299889498746261E-2</v>
      </c>
      <c r="K360" s="157">
        <f t="shared" si="368"/>
        <v>4.2774086874704187E-2</v>
      </c>
      <c r="L360" s="157">
        <f t="shared" si="368"/>
        <v>3.9585730597648118E-2</v>
      </c>
      <c r="M360" s="157">
        <f t="shared" si="368"/>
        <v>4.2529053868538398E-2</v>
      </c>
      <c r="N360" s="157">
        <f t="shared" si="368"/>
        <v>3.9720068966493466E-2</v>
      </c>
      <c r="O360" s="157">
        <f t="shared" si="368"/>
        <v>3.8820253578444555E-2</v>
      </c>
      <c r="P360" s="157">
        <f t="shared" si="368"/>
        <v>3.9155400276096639E-2</v>
      </c>
      <c r="Q360" s="157">
        <f t="shared" si="368"/>
        <v>3.9956671906995048E-2</v>
      </c>
      <c r="R360" s="157">
        <f t="shared" si="368"/>
        <v>4.0138702101787618E-2</v>
      </c>
      <c r="S360" s="157">
        <f t="shared" si="368"/>
        <v>4.0414734210349849E-2</v>
      </c>
      <c r="T360" s="157">
        <f t="shared" si="368"/>
        <v>4.1254995376714183E-2</v>
      </c>
      <c r="U360" s="157">
        <f t="shared" si="368"/>
        <v>4.1455777634972574E-2</v>
      </c>
      <c r="V360" s="157">
        <f t="shared" si="368"/>
        <v>4.0091880127959563E-2</v>
      </c>
      <c r="W360" s="157">
        <f t="shared" si="368"/>
        <v>4.0551459898583567E-2</v>
      </c>
      <c r="X360" s="157">
        <f t="shared" si="368"/>
        <v>4.3376118326634336E-2</v>
      </c>
      <c r="Y360" s="157">
        <f t="shared" si="368"/>
        <v>4.3246573245160486E-2</v>
      </c>
      <c r="Z360" s="157">
        <f t="shared" si="368"/>
        <v>4.8180542106403886E-2</v>
      </c>
      <c r="AA360" s="157">
        <f t="shared" si="368"/>
        <v>4.8849475803514231E-2</v>
      </c>
      <c r="AB360" s="157">
        <f t="shared" si="368"/>
        <v>4.8572170208526937E-2</v>
      </c>
      <c r="AC360" s="157">
        <f t="shared" si="368"/>
        <v>4.9199256263197343E-2</v>
      </c>
      <c r="AD360" s="157">
        <f t="shared" si="368"/>
        <v>4.9945898502875563E-2</v>
      </c>
      <c r="AE360" s="157">
        <f t="shared" si="368"/>
        <v>5.0590535585973311E-2</v>
      </c>
      <c r="AF360" s="157">
        <f t="shared" si="368"/>
        <v>5.0590535585973311E-2</v>
      </c>
      <c r="AG360" s="157">
        <f t="shared" si="368"/>
        <v>5.0590535585973311E-2</v>
      </c>
      <c r="AH360" s="157">
        <f t="shared" si="368"/>
        <v>5.0590535585973311E-2</v>
      </c>
      <c r="AI360" s="157">
        <f t="shared" si="368"/>
        <v>5.0590535585973311E-2</v>
      </c>
      <c r="AJ360" s="157">
        <f t="shared" si="368"/>
        <v>5.0590535585973311E-2</v>
      </c>
      <c r="AK360" s="157">
        <f t="shared" si="368"/>
        <v>5.0590535585973311E-2</v>
      </c>
      <c r="AL360" s="157">
        <f t="shared" si="368"/>
        <v>5.0590535585973311E-2</v>
      </c>
      <c r="AM360" s="157">
        <f t="shared" si="368"/>
        <v>5.0590535585973311E-2</v>
      </c>
      <c r="AN360" s="157">
        <f t="shared" si="368"/>
        <v>5.0590535585973311E-2</v>
      </c>
      <c r="AO360" s="157">
        <f t="shared" si="368"/>
        <v>5.0590535585973311E-2</v>
      </c>
      <c r="AP360" s="157">
        <f t="shared" si="368"/>
        <v>5.0590535585973311E-2</v>
      </c>
      <c r="AQ360" s="157">
        <f t="shared" si="368"/>
        <v>5.0590535585973311E-2</v>
      </c>
      <c r="AR360" s="157">
        <f t="shared" si="368"/>
        <v>5.0590535585973311E-2</v>
      </c>
      <c r="AS360" s="149">
        <f t="shared" ref="AS360:BV360" si="369">AR360</f>
        <v>5.0590535585973311E-2</v>
      </c>
      <c r="AT360" s="149">
        <f t="shared" si="369"/>
        <v>5.0590535585973311E-2</v>
      </c>
      <c r="AU360" s="149">
        <f t="shared" si="369"/>
        <v>5.0590535585973311E-2</v>
      </c>
      <c r="AV360" s="149">
        <f t="shared" si="369"/>
        <v>5.0590535585973311E-2</v>
      </c>
      <c r="AW360" s="149">
        <f t="shared" si="369"/>
        <v>5.0590535585973311E-2</v>
      </c>
      <c r="AX360" s="149">
        <f t="shared" si="369"/>
        <v>5.0590535585973311E-2</v>
      </c>
      <c r="AY360" s="149">
        <f t="shared" si="369"/>
        <v>5.0590535585973311E-2</v>
      </c>
      <c r="AZ360" s="149">
        <f t="shared" si="369"/>
        <v>5.0590535585973311E-2</v>
      </c>
      <c r="BA360" s="149">
        <f t="shared" si="369"/>
        <v>5.0590535585973311E-2</v>
      </c>
      <c r="BB360" s="149">
        <f t="shared" si="369"/>
        <v>5.0590535585973311E-2</v>
      </c>
      <c r="BC360" s="149">
        <f t="shared" si="369"/>
        <v>5.0590535585973311E-2</v>
      </c>
      <c r="BD360" s="149">
        <f t="shared" si="369"/>
        <v>5.0590535585973311E-2</v>
      </c>
      <c r="BE360" s="149">
        <f t="shared" si="369"/>
        <v>5.0590535585973311E-2</v>
      </c>
      <c r="BF360" s="149">
        <f t="shared" si="369"/>
        <v>5.0590535585973311E-2</v>
      </c>
      <c r="BG360" s="149">
        <f t="shared" si="369"/>
        <v>5.0590535585973311E-2</v>
      </c>
      <c r="BH360" s="149">
        <f t="shared" si="369"/>
        <v>5.0590535585973311E-2</v>
      </c>
      <c r="BI360" s="149">
        <f t="shared" si="369"/>
        <v>5.0590535585973311E-2</v>
      </c>
      <c r="BJ360" s="149">
        <f t="shared" si="369"/>
        <v>5.0590535585973311E-2</v>
      </c>
      <c r="BK360" s="149">
        <f t="shared" si="369"/>
        <v>5.0590535585973311E-2</v>
      </c>
      <c r="BL360" s="149">
        <f t="shared" si="369"/>
        <v>5.0590535585973311E-2</v>
      </c>
      <c r="BM360" s="149">
        <f t="shared" si="369"/>
        <v>5.0590535585973311E-2</v>
      </c>
      <c r="BN360" s="149">
        <f t="shared" si="369"/>
        <v>5.0590535585973311E-2</v>
      </c>
      <c r="BO360" s="149">
        <f t="shared" si="369"/>
        <v>5.0590535585973311E-2</v>
      </c>
      <c r="BP360" s="149">
        <f t="shared" si="369"/>
        <v>5.0590535585973311E-2</v>
      </c>
      <c r="BQ360" s="149">
        <f t="shared" si="369"/>
        <v>5.0590535585973311E-2</v>
      </c>
      <c r="BR360" s="149">
        <f t="shared" si="369"/>
        <v>5.0590535585973311E-2</v>
      </c>
      <c r="BS360" s="149">
        <f t="shared" si="369"/>
        <v>5.0590535585973311E-2</v>
      </c>
      <c r="BT360" s="149">
        <f t="shared" si="369"/>
        <v>5.0590535585973311E-2</v>
      </c>
      <c r="BU360" s="149">
        <f t="shared" si="369"/>
        <v>5.0590535585973311E-2</v>
      </c>
      <c r="BV360" s="149">
        <f t="shared" si="369"/>
        <v>5.0590535585973311E-2</v>
      </c>
    </row>
    <row r="361" spans="1:74" x14ac:dyDescent="0.25">
      <c r="A361" s="147" t="s">
        <v>201</v>
      </c>
      <c r="C361" s="142"/>
      <c r="D361" s="157">
        <f t="shared" ref="D361:AR361" si="370">D190+D297+D329</f>
        <v>8.5659980897803245E-2</v>
      </c>
      <c r="E361" s="157">
        <f t="shared" si="370"/>
        <v>8.5659980897803245E-2</v>
      </c>
      <c r="F361" s="157">
        <f t="shared" si="370"/>
        <v>8.5659980897803245E-2</v>
      </c>
      <c r="G361" s="157">
        <f t="shared" si="370"/>
        <v>8.5659980897803245E-2</v>
      </c>
      <c r="H361" s="157">
        <f t="shared" si="370"/>
        <v>8.5659980897803245E-2</v>
      </c>
      <c r="I361" s="157">
        <f t="shared" si="370"/>
        <v>8.5659980897803245E-2</v>
      </c>
      <c r="J361" s="157">
        <f t="shared" si="370"/>
        <v>8.5659980897803245E-2</v>
      </c>
      <c r="K361" s="157">
        <f t="shared" si="370"/>
        <v>8.5659980897803245E-2</v>
      </c>
      <c r="L361" s="157">
        <f t="shared" si="370"/>
        <v>8.5659980897803245E-2</v>
      </c>
      <c r="M361" s="157">
        <f t="shared" si="370"/>
        <v>8.5659980897803245E-2</v>
      </c>
      <c r="N361" s="157">
        <f t="shared" si="370"/>
        <v>8.5659980897803245E-2</v>
      </c>
      <c r="O361" s="157">
        <f t="shared" si="370"/>
        <v>8.5659980897803245E-2</v>
      </c>
      <c r="P361" s="157">
        <f t="shared" si="370"/>
        <v>8.5659980897803245E-2</v>
      </c>
      <c r="Q361" s="157">
        <f t="shared" si="370"/>
        <v>8.5659980897803245E-2</v>
      </c>
      <c r="R361" s="157">
        <f t="shared" si="370"/>
        <v>8.5659980897803245E-2</v>
      </c>
      <c r="S361" s="157">
        <f t="shared" si="370"/>
        <v>8.5659980235070321E-2</v>
      </c>
      <c r="T361" s="157">
        <f t="shared" si="370"/>
        <v>8.5659982084141217E-2</v>
      </c>
      <c r="U361" s="157">
        <f t="shared" si="370"/>
        <v>8.5659982433645893E-2</v>
      </c>
      <c r="V361" s="157">
        <f t="shared" si="370"/>
        <v>8.5659978573235054E-2</v>
      </c>
      <c r="W361" s="157">
        <f t="shared" si="370"/>
        <v>8.5659979104485695E-2</v>
      </c>
      <c r="X361" s="157">
        <f t="shared" si="370"/>
        <v>8.5659983901724815E-2</v>
      </c>
      <c r="Y361" s="157">
        <f t="shared" si="370"/>
        <v>8.5659983491679706E-2</v>
      </c>
      <c r="Z361" s="157">
        <f t="shared" si="370"/>
        <v>8.5659981741404295E-2</v>
      </c>
      <c r="AA361" s="157">
        <f t="shared" si="370"/>
        <v>8.5659978701899384E-2</v>
      </c>
      <c r="AB361" s="157">
        <f t="shared" si="370"/>
        <v>8.5659981325379927E-2</v>
      </c>
      <c r="AC361" s="157">
        <f t="shared" si="370"/>
        <v>8.5659979287609503E-2</v>
      </c>
      <c r="AD361" s="157">
        <f t="shared" si="370"/>
        <v>8.5659983036909276E-2</v>
      </c>
      <c r="AE361" s="157">
        <f t="shared" si="370"/>
        <v>8.5659978388167135E-2</v>
      </c>
      <c r="AF361" s="157">
        <f t="shared" si="370"/>
        <v>8.5659978388167135E-2</v>
      </c>
      <c r="AG361" s="157">
        <f t="shared" si="370"/>
        <v>8.5659978388167135E-2</v>
      </c>
      <c r="AH361" s="157">
        <f t="shared" si="370"/>
        <v>8.5659978388167135E-2</v>
      </c>
      <c r="AI361" s="157">
        <f t="shared" si="370"/>
        <v>8.5659978388167135E-2</v>
      </c>
      <c r="AJ361" s="157">
        <f t="shared" si="370"/>
        <v>8.5659978388167135E-2</v>
      </c>
      <c r="AK361" s="157">
        <f t="shared" si="370"/>
        <v>8.5659978388167135E-2</v>
      </c>
      <c r="AL361" s="157">
        <f t="shared" si="370"/>
        <v>8.5659978388167135E-2</v>
      </c>
      <c r="AM361" s="157">
        <f t="shared" si="370"/>
        <v>8.5659978388167135E-2</v>
      </c>
      <c r="AN361" s="157">
        <f t="shared" si="370"/>
        <v>8.5659978388167135E-2</v>
      </c>
      <c r="AO361" s="157">
        <f t="shared" si="370"/>
        <v>8.5659978388167135E-2</v>
      </c>
      <c r="AP361" s="157">
        <f t="shared" si="370"/>
        <v>8.5659978388167135E-2</v>
      </c>
      <c r="AQ361" s="157">
        <f t="shared" si="370"/>
        <v>8.5659978388167135E-2</v>
      </c>
      <c r="AR361" s="157">
        <f t="shared" si="370"/>
        <v>8.5659978388167135E-2</v>
      </c>
      <c r="AS361" s="149">
        <f t="shared" ref="AS361:BV361" si="371">AR361</f>
        <v>8.5659978388167135E-2</v>
      </c>
      <c r="AT361" s="149">
        <f t="shared" si="371"/>
        <v>8.5659978388167135E-2</v>
      </c>
      <c r="AU361" s="149">
        <f t="shared" si="371"/>
        <v>8.5659978388167135E-2</v>
      </c>
      <c r="AV361" s="149">
        <f t="shared" si="371"/>
        <v>8.5659978388167135E-2</v>
      </c>
      <c r="AW361" s="149">
        <f t="shared" si="371"/>
        <v>8.5659978388167135E-2</v>
      </c>
      <c r="AX361" s="149">
        <f t="shared" si="371"/>
        <v>8.5659978388167135E-2</v>
      </c>
      <c r="AY361" s="149">
        <f t="shared" si="371"/>
        <v>8.5659978388167135E-2</v>
      </c>
      <c r="AZ361" s="149">
        <f t="shared" si="371"/>
        <v>8.5659978388167135E-2</v>
      </c>
      <c r="BA361" s="149">
        <f t="shared" si="371"/>
        <v>8.5659978388167135E-2</v>
      </c>
      <c r="BB361" s="149">
        <f t="shared" si="371"/>
        <v>8.5659978388167135E-2</v>
      </c>
      <c r="BC361" s="149">
        <f t="shared" si="371"/>
        <v>8.5659978388167135E-2</v>
      </c>
      <c r="BD361" s="149">
        <f t="shared" si="371"/>
        <v>8.5659978388167135E-2</v>
      </c>
      <c r="BE361" s="149">
        <f t="shared" si="371"/>
        <v>8.5659978388167135E-2</v>
      </c>
      <c r="BF361" s="149">
        <f t="shared" si="371"/>
        <v>8.5659978388167135E-2</v>
      </c>
      <c r="BG361" s="149">
        <f t="shared" si="371"/>
        <v>8.5659978388167135E-2</v>
      </c>
      <c r="BH361" s="149">
        <f t="shared" si="371"/>
        <v>8.5659978388167135E-2</v>
      </c>
      <c r="BI361" s="149">
        <f t="shared" si="371"/>
        <v>8.5659978388167135E-2</v>
      </c>
      <c r="BJ361" s="149">
        <f t="shared" si="371"/>
        <v>8.5659978388167135E-2</v>
      </c>
      <c r="BK361" s="149">
        <f t="shared" si="371"/>
        <v>8.5659978388167135E-2</v>
      </c>
      <c r="BL361" s="149">
        <f t="shared" si="371"/>
        <v>8.5659978388167135E-2</v>
      </c>
      <c r="BM361" s="149">
        <f t="shared" si="371"/>
        <v>8.5659978388167135E-2</v>
      </c>
      <c r="BN361" s="149">
        <f t="shared" si="371"/>
        <v>8.5659978388167135E-2</v>
      </c>
      <c r="BO361" s="149">
        <f t="shared" si="371"/>
        <v>8.5659978388167135E-2</v>
      </c>
      <c r="BP361" s="149">
        <f t="shared" si="371"/>
        <v>8.5659978388167135E-2</v>
      </c>
      <c r="BQ361" s="149">
        <f t="shared" si="371"/>
        <v>8.5659978388167135E-2</v>
      </c>
      <c r="BR361" s="149">
        <f t="shared" si="371"/>
        <v>8.5659978388167135E-2</v>
      </c>
      <c r="BS361" s="149">
        <f t="shared" si="371"/>
        <v>8.5659978388167135E-2</v>
      </c>
      <c r="BT361" s="149">
        <f t="shared" si="371"/>
        <v>8.5659978388167135E-2</v>
      </c>
      <c r="BU361" s="149">
        <f t="shared" si="371"/>
        <v>8.5659978388167135E-2</v>
      </c>
      <c r="BV361" s="149">
        <f t="shared" si="371"/>
        <v>8.5659978388167135E-2</v>
      </c>
    </row>
    <row r="362" spans="1:74" x14ac:dyDescent="0.25">
      <c r="A362" s="147" t="s">
        <v>202</v>
      </c>
      <c r="C362" s="142"/>
      <c r="D362" s="157">
        <f t="shared" ref="D362:AR362" si="372">D191+D298+D330</f>
        <v>0</v>
      </c>
      <c r="E362" s="157">
        <f t="shared" si="372"/>
        <v>0</v>
      </c>
      <c r="F362" s="157">
        <f t="shared" si="372"/>
        <v>0</v>
      </c>
      <c r="G362" s="157">
        <f t="shared" si="372"/>
        <v>0</v>
      </c>
      <c r="H362" s="157">
        <f t="shared" si="372"/>
        <v>0</v>
      </c>
      <c r="I362" s="157">
        <f t="shared" si="372"/>
        <v>0</v>
      </c>
      <c r="J362" s="157">
        <f t="shared" si="372"/>
        <v>0</v>
      </c>
      <c r="K362" s="157">
        <f t="shared" si="372"/>
        <v>0</v>
      </c>
      <c r="L362" s="157">
        <f t="shared" si="372"/>
        <v>0</v>
      </c>
      <c r="M362" s="157">
        <f t="shared" si="372"/>
        <v>0</v>
      </c>
      <c r="N362" s="157">
        <f t="shared" si="372"/>
        <v>0</v>
      </c>
      <c r="O362" s="157">
        <f t="shared" si="372"/>
        <v>0</v>
      </c>
      <c r="P362" s="157">
        <f t="shared" si="372"/>
        <v>0</v>
      </c>
      <c r="Q362" s="157">
        <f t="shared" si="372"/>
        <v>0</v>
      </c>
      <c r="R362" s="157">
        <f t="shared" si="372"/>
        <v>0</v>
      </c>
      <c r="S362" s="157">
        <f t="shared" si="372"/>
        <v>0</v>
      </c>
      <c r="T362" s="157">
        <f t="shared" si="372"/>
        <v>0</v>
      </c>
      <c r="U362" s="157">
        <f t="shared" si="372"/>
        <v>0</v>
      </c>
      <c r="V362" s="157">
        <f t="shared" si="372"/>
        <v>0</v>
      </c>
      <c r="W362" s="157">
        <f t="shared" si="372"/>
        <v>0</v>
      </c>
      <c r="X362" s="157">
        <f t="shared" si="372"/>
        <v>0</v>
      </c>
      <c r="Y362" s="157">
        <f t="shared" si="372"/>
        <v>0</v>
      </c>
      <c r="Z362" s="157">
        <f t="shared" si="372"/>
        <v>0</v>
      </c>
      <c r="AA362" s="157">
        <f t="shared" si="372"/>
        <v>0</v>
      </c>
      <c r="AB362" s="157">
        <f t="shared" si="372"/>
        <v>0</v>
      </c>
      <c r="AC362" s="157">
        <f t="shared" si="372"/>
        <v>0</v>
      </c>
      <c r="AD362" s="157">
        <f t="shared" si="372"/>
        <v>0</v>
      </c>
      <c r="AE362" s="157">
        <f t="shared" si="372"/>
        <v>0</v>
      </c>
      <c r="AF362" s="157">
        <f t="shared" si="372"/>
        <v>0</v>
      </c>
      <c r="AG362" s="157">
        <f t="shared" si="372"/>
        <v>0</v>
      </c>
      <c r="AH362" s="157">
        <f t="shared" si="372"/>
        <v>0</v>
      </c>
      <c r="AI362" s="157">
        <f t="shared" si="372"/>
        <v>0</v>
      </c>
      <c r="AJ362" s="157">
        <f t="shared" si="372"/>
        <v>0</v>
      </c>
      <c r="AK362" s="157">
        <f t="shared" si="372"/>
        <v>0</v>
      </c>
      <c r="AL362" s="157">
        <f t="shared" si="372"/>
        <v>0</v>
      </c>
      <c r="AM362" s="157">
        <f t="shared" si="372"/>
        <v>0</v>
      </c>
      <c r="AN362" s="157">
        <f t="shared" si="372"/>
        <v>0</v>
      </c>
      <c r="AO362" s="157">
        <f t="shared" si="372"/>
        <v>0</v>
      </c>
      <c r="AP362" s="157">
        <f t="shared" si="372"/>
        <v>0</v>
      </c>
      <c r="AQ362" s="157">
        <f t="shared" si="372"/>
        <v>0</v>
      </c>
      <c r="AR362" s="157">
        <f t="shared" si="372"/>
        <v>0</v>
      </c>
      <c r="AS362" s="149">
        <f t="shared" ref="AS362:BV362" si="373">AR362</f>
        <v>0</v>
      </c>
      <c r="AT362" s="149">
        <f t="shared" si="373"/>
        <v>0</v>
      </c>
      <c r="AU362" s="149">
        <f t="shared" si="373"/>
        <v>0</v>
      </c>
      <c r="AV362" s="149">
        <f t="shared" si="373"/>
        <v>0</v>
      </c>
      <c r="AW362" s="149">
        <f t="shared" si="373"/>
        <v>0</v>
      </c>
      <c r="AX362" s="149">
        <f t="shared" si="373"/>
        <v>0</v>
      </c>
      <c r="AY362" s="149">
        <f t="shared" si="373"/>
        <v>0</v>
      </c>
      <c r="AZ362" s="149">
        <f t="shared" si="373"/>
        <v>0</v>
      </c>
      <c r="BA362" s="149">
        <f t="shared" si="373"/>
        <v>0</v>
      </c>
      <c r="BB362" s="149">
        <f t="shared" si="373"/>
        <v>0</v>
      </c>
      <c r="BC362" s="149">
        <f t="shared" si="373"/>
        <v>0</v>
      </c>
      <c r="BD362" s="149">
        <f t="shared" si="373"/>
        <v>0</v>
      </c>
      <c r="BE362" s="149">
        <f t="shared" si="373"/>
        <v>0</v>
      </c>
      <c r="BF362" s="149">
        <f t="shared" si="373"/>
        <v>0</v>
      </c>
      <c r="BG362" s="149">
        <f t="shared" si="373"/>
        <v>0</v>
      </c>
      <c r="BH362" s="149">
        <f t="shared" si="373"/>
        <v>0</v>
      </c>
      <c r="BI362" s="149">
        <f t="shared" si="373"/>
        <v>0</v>
      </c>
      <c r="BJ362" s="149">
        <f t="shared" si="373"/>
        <v>0</v>
      </c>
      <c r="BK362" s="149">
        <f t="shared" si="373"/>
        <v>0</v>
      </c>
      <c r="BL362" s="149">
        <f t="shared" si="373"/>
        <v>0</v>
      </c>
      <c r="BM362" s="149">
        <f t="shared" si="373"/>
        <v>0</v>
      </c>
      <c r="BN362" s="149">
        <f t="shared" si="373"/>
        <v>0</v>
      </c>
      <c r="BO362" s="149">
        <f t="shared" si="373"/>
        <v>0</v>
      </c>
      <c r="BP362" s="149">
        <f t="shared" si="373"/>
        <v>0</v>
      </c>
      <c r="BQ362" s="149">
        <f t="shared" si="373"/>
        <v>0</v>
      </c>
      <c r="BR362" s="149">
        <f t="shared" si="373"/>
        <v>0</v>
      </c>
      <c r="BS362" s="149">
        <f t="shared" si="373"/>
        <v>0</v>
      </c>
      <c r="BT362" s="149">
        <f t="shared" si="373"/>
        <v>0</v>
      </c>
      <c r="BU362" s="149">
        <f t="shared" si="373"/>
        <v>0</v>
      </c>
      <c r="BV362" s="149">
        <f t="shared" si="373"/>
        <v>0</v>
      </c>
    </row>
    <row r="363" spans="1:74" x14ac:dyDescent="0.25">
      <c r="A363" s="147" t="s">
        <v>204</v>
      </c>
      <c r="B363" s="148"/>
      <c r="C363" s="142"/>
      <c r="D363" s="157">
        <f t="shared" ref="D363:AR363" si="374">D192+D299+D331</f>
        <v>4.3385496959860589E-2</v>
      </c>
      <c r="E363" s="157">
        <f t="shared" si="374"/>
        <v>4.3568141314469427E-2</v>
      </c>
      <c r="F363" s="157">
        <f t="shared" si="374"/>
        <v>4.3750785669219652E-2</v>
      </c>
      <c r="G363" s="157">
        <f t="shared" si="374"/>
        <v>4.3933430024111264E-2</v>
      </c>
      <c r="H363" s="157">
        <f t="shared" si="374"/>
        <v>4.4116074379144249E-2</v>
      </c>
      <c r="I363" s="157">
        <f t="shared" si="374"/>
        <v>4.4298718734318614E-2</v>
      </c>
      <c r="J363" s="157">
        <f t="shared" si="374"/>
        <v>4.3302592575297623E-2</v>
      </c>
      <c r="K363" s="157">
        <f t="shared" si="374"/>
        <v>4.2776794756795189E-2</v>
      </c>
      <c r="L363" s="157">
        <f t="shared" si="374"/>
        <v>3.9588571622456985E-2</v>
      </c>
      <c r="M363" s="157">
        <f t="shared" si="374"/>
        <v>4.2533031388114456E-2</v>
      </c>
      <c r="N363" s="157">
        <f t="shared" si="374"/>
        <v>3.9724053519847716E-2</v>
      </c>
      <c r="O363" s="157">
        <f t="shared" si="374"/>
        <v>3.8824195929102023E-2</v>
      </c>
      <c r="P363" s="157">
        <f t="shared" si="374"/>
        <v>3.9159300424065825E-2</v>
      </c>
      <c r="Q363" s="157">
        <f t="shared" si="374"/>
        <v>3.9960529852214821E-2</v>
      </c>
      <c r="R363" s="157">
        <f t="shared" si="374"/>
        <v>4.0142517844320554E-2</v>
      </c>
      <c r="S363" s="157">
        <f t="shared" si="374"/>
        <v>4.0418507750252824E-2</v>
      </c>
      <c r="T363" s="157">
        <f t="shared" si="374"/>
        <v>4.1258768916613911E-2</v>
      </c>
      <c r="U363" s="157">
        <f t="shared" si="374"/>
        <v>4.1459574620655741E-2</v>
      </c>
      <c r="V363" s="157">
        <f t="shared" si="374"/>
        <v>4.0095606776671316E-2</v>
      </c>
      <c r="W363" s="157">
        <f t="shared" si="374"/>
        <v>4.0555233440629182E-2</v>
      </c>
      <c r="X363" s="157">
        <f t="shared" si="374"/>
        <v>4.3379903587226348E-2</v>
      </c>
      <c r="Y363" s="157">
        <f t="shared" si="374"/>
        <v>4.3250417123209296E-2</v>
      </c>
      <c r="Z363" s="157">
        <f t="shared" si="374"/>
        <v>4.8180542104627459E-2</v>
      </c>
      <c r="AA363" s="157">
        <f t="shared" si="374"/>
        <v>4.8849475806364707E-2</v>
      </c>
      <c r="AB363" s="157">
        <f t="shared" si="374"/>
        <v>4.8572170211377413E-2</v>
      </c>
      <c r="AC363" s="157">
        <f t="shared" si="374"/>
        <v>4.9199256266047819E-2</v>
      </c>
      <c r="AD363" s="157">
        <f t="shared" si="374"/>
        <v>4.9945898502668E-2</v>
      </c>
      <c r="AE363" s="157">
        <f t="shared" si="374"/>
        <v>5.0590535585765747E-2</v>
      </c>
      <c r="AF363" s="157">
        <f t="shared" si="374"/>
        <v>5.0590535585765747E-2</v>
      </c>
      <c r="AG363" s="157">
        <f t="shared" si="374"/>
        <v>5.0590535585765747E-2</v>
      </c>
      <c r="AH363" s="157">
        <f t="shared" si="374"/>
        <v>5.0590535585765747E-2</v>
      </c>
      <c r="AI363" s="157">
        <f t="shared" si="374"/>
        <v>5.0590535585765747E-2</v>
      </c>
      <c r="AJ363" s="157">
        <f t="shared" si="374"/>
        <v>5.0590535585765747E-2</v>
      </c>
      <c r="AK363" s="157">
        <f t="shared" si="374"/>
        <v>5.0590535585765747E-2</v>
      </c>
      <c r="AL363" s="157">
        <f t="shared" si="374"/>
        <v>5.0590535585765747E-2</v>
      </c>
      <c r="AM363" s="157">
        <f t="shared" si="374"/>
        <v>5.0590535585765747E-2</v>
      </c>
      <c r="AN363" s="157">
        <f t="shared" si="374"/>
        <v>5.0590535585765747E-2</v>
      </c>
      <c r="AO363" s="157">
        <f t="shared" si="374"/>
        <v>5.0590535585765747E-2</v>
      </c>
      <c r="AP363" s="157">
        <f t="shared" si="374"/>
        <v>5.0590535585765747E-2</v>
      </c>
      <c r="AQ363" s="157">
        <f t="shared" si="374"/>
        <v>5.0590535585765747E-2</v>
      </c>
      <c r="AR363" s="157">
        <f t="shared" si="374"/>
        <v>5.0590535585765747E-2</v>
      </c>
      <c r="AS363" s="149">
        <f>AR363</f>
        <v>5.0590535585765747E-2</v>
      </c>
      <c r="AT363" s="149">
        <f t="shared" ref="AT363:BV363" si="375">AS363</f>
        <v>5.0590535585765747E-2</v>
      </c>
      <c r="AU363" s="149">
        <f t="shared" si="375"/>
        <v>5.0590535585765747E-2</v>
      </c>
      <c r="AV363" s="149">
        <f t="shared" si="375"/>
        <v>5.0590535585765747E-2</v>
      </c>
      <c r="AW363" s="149">
        <f t="shared" si="375"/>
        <v>5.0590535585765747E-2</v>
      </c>
      <c r="AX363" s="149">
        <f t="shared" si="375"/>
        <v>5.0590535585765747E-2</v>
      </c>
      <c r="AY363" s="149">
        <f t="shared" si="375"/>
        <v>5.0590535585765747E-2</v>
      </c>
      <c r="AZ363" s="149">
        <f t="shared" si="375"/>
        <v>5.0590535585765747E-2</v>
      </c>
      <c r="BA363" s="149">
        <f t="shared" si="375"/>
        <v>5.0590535585765747E-2</v>
      </c>
      <c r="BB363" s="149">
        <f t="shared" si="375"/>
        <v>5.0590535585765747E-2</v>
      </c>
      <c r="BC363" s="149">
        <f t="shared" si="375"/>
        <v>5.0590535585765747E-2</v>
      </c>
      <c r="BD363" s="149">
        <f t="shared" si="375"/>
        <v>5.0590535585765747E-2</v>
      </c>
      <c r="BE363" s="149">
        <f t="shared" si="375"/>
        <v>5.0590535585765747E-2</v>
      </c>
      <c r="BF363" s="149">
        <f t="shared" si="375"/>
        <v>5.0590535585765747E-2</v>
      </c>
      <c r="BG363" s="149">
        <f t="shared" si="375"/>
        <v>5.0590535585765747E-2</v>
      </c>
      <c r="BH363" s="149">
        <f t="shared" si="375"/>
        <v>5.0590535585765747E-2</v>
      </c>
      <c r="BI363" s="149">
        <f t="shared" si="375"/>
        <v>5.0590535585765747E-2</v>
      </c>
      <c r="BJ363" s="149">
        <f t="shared" si="375"/>
        <v>5.0590535585765747E-2</v>
      </c>
      <c r="BK363" s="149">
        <f t="shared" si="375"/>
        <v>5.0590535585765747E-2</v>
      </c>
      <c r="BL363" s="149">
        <f t="shared" si="375"/>
        <v>5.0590535585765747E-2</v>
      </c>
      <c r="BM363" s="149">
        <f t="shared" si="375"/>
        <v>5.0590535585765747E-2</v>
      </c>
      <c r="BN363" s="149">
        <f t="shared" si="375"/>
        <v>5.0590535585765747E-2</v>
      </c>
      <c r="BO363" s="149">
        <f t="shared" si="375"/>
        <v>5.0590535585765747E-2</v>
      </c>
      <c r="BP363" s="149">
        <f t="shared" si="375"/>
        <v>5.0590535585765747E-2</v>
      </c>
      <c r="BQ363" s="149">
        <f t="shared" si="375"/>
        <v>5.0590535585765747E-2</v>
      </c>
      <c r="BR363" s="149">
        <f t="shared" si="375"/>
        <v>5.0590535585765747E-2</v>
      </c>
      <c r="BS363" s="149">
        <f t="shared" si="375"/>
        <v>5.0590535585765747E-2</v>
      </c>
      <c r="BT363" s="149">
        <f t="shared" si="375"/>
        <v>5.0590535585765747E-2</v>
      </c>
      <c r="BU363" s="149">
        <f t="shared" si="375"/>
        <v>5.0590535585765747E-2</v>
      </c>
      <c r="BV363" s="149">
        <f t="shared" si="375"/>
        <v>5.0590535585765747E-2</v>
      </c>
    </row>
    <row r="364" spans="1:74" x14ac:dyDescent="0.25">
      <c r="A364" s="147" t="s">
        <v>205</v>
      </c>
      <c r="B364" s="148"/>
      <c r="C364" s="142"/>
      <c r="D364" s="157">
        <f t="shared" ref="D364:AR364" si="376">D193+D300+D332</f>
        <v>0</v>
      </c>
      <c r="E364" s="157">
        <f t="shared" si="376"/>
        <v>0</v>
      </c>
      <c r="F364" s="157">
        <f t="shared" si="376"/>
        <v>0</v>
      </c>
      <c r="G364" s="157">
        <f t="shared" si="376"/>
        <v>0</v>
      </c>
      <c r="H364" s="157">
        <f t="shared" si="376"/>
        <v>0</v>
      </c>
      <c r="I364" s="157">
        <f t="shared" si="376"/>
        <v>0</v>
      </c>
      <c r="J364" s="157">
        <f t="shared" si="376"/>
        <v>0</v>
      </c>
      <c r="K364" s="157">
        <f t="shared" si="376"/>
        <v>0</v>
      </c>
      <c r="L364" s="157">
        <f t="shared" si="376"/>
        <v>0</v>
      </c>
      <c r="M364" s="157">
        <f t="shared" si="376"/>
        <v>0</v>
      </c>
      <c r="N364" s="157">
        <f t="shared" si="376"/>
        <v>0</v>
      </c>
      <c r="O364" s="157">
        <f t="shared" si="376"/>
        <v>0</v>
      </c>
      <c r="P364" s="157">
        <f t="shared" si="376"/>
        <v>0</v>
      </c>
      <c r="Q364" s="157">
        <f t="shared" si="376"/>
        <v>0</v>
      </c>
      <c r="R364" s="157">
        <f t="shared" si="376"/>
        <v>0</v>
      </c>
      <c r="S364" s="157">
        <f t="shared" si="376"/>
        <v>0</v>
      </c>
      <c r="T364" s="157">
        <f t="shared" si="376"/>
        <v>0</v>
      </c>
      <c r="U364" s="157">
        <f t="shared" si="376"/>
        <v>0</v>
      </c>
      <c r="V364" s="157">
        <f t="shared" si="376"/>
        <v>0</v>
      </c>
      <c r="W364" s="157">
        <f t="shared" si="376"/>
        <v>0</v>
      </c>
      <c r="X364" s="157">
        <f t="shared" si="376"/>
        <v>0</v>
      </c>
      <c r="Y364" s="157">
        <f t="shared" si="376"/>
        <v>0</v>
      </c>
      <c r="Z364" s="157">
        <f t="shared" si="376"/>
        <v>0</v>
      </c>
      <c r="AA364" s="157">
        <f t="shared" si="376"/>
        <v>0</v>
      </c>
      <c r="AB364" s="157">
        <f t="shared" si="376"/>
        <v>0</v>
      </c>
      <c r="AC364" s="157">
        <f t="shared" si="376"/>
        <v>0</v>
      </c>
      <c r="AD364" s="157">
        <f t="shared" si="376"/>
        <v>0</v>
      </c>
      <c r="AE364" s="157">
        <f t="shared" si="376"/>
        <v>0</v>
      </c>
      <c r="AF364" s="157">
        <f t="shared" si="376"/>
        <v>0</v>
      </c>
      <c r="AG364" s="157">
        <f t="shared" si="376"/>
        <v>0</v>
      </c>
      <c r="AH364" s="157">
        <f t="shared" si="376"/>
        <v>0</v>
      </c>
      <c r="AI364" s="157">
        <f t="shared" si="376"/>
        <v>0</v>
      </c>
      <c r="AJ364" s="157">
        <f t="shared" si="376"/>
        <v>0</v>
      </c>
      <c r="AK364" s="157">
        <f t="shared" si="376"/>
        <v>0</v>
      </c>
      <c r="AL364" s="157">
        <f t="shared" si="376"/>
        <v>0</v>
      </c>
      <c r="AM364" s="157">
        <f t="shared" si="376"/>
        <v>0</v>
      </c>
      <c r="AN364" s="157">
        <f t="shared" si="376"/>
        <v>0</v>
      </c>
      <c r="AO364" s="157">
        <f t="shared" si="376"/>
        <v>0</v>
      </c>
      <c r="AP364" s="157">
        <f t="shared" si="376"/>
        <v>0</v>
      </c>
      <c r="AQ364" s="157">
        <f t="shared" si="376"/>
        <v>0</v>
      </c>
      <c r="AR364" s="157">
        <f t="shared" si="376"/>
        <v>0</v>
      </c>
      <c r="AS364" s="149">
        <f t="shared" ref="AS364:BV364" si="377">AR364</f>
        <v>0</v>
      </c>
      <c r="AT364" s="149">
        <f t="shared" si="377"/>
        <v>0</v>
      </c>
      <c r="AU364" s="149">
        <f t="shared" si="377"/>
        <v>0</v>
      </c>
      <c r="AV364" s="149">
        <f t="shared" si="377"/>
        <v>0</v>
      </c>
      <c r="AW364" s="149">
        <f t="shared" si="377"/>
        <v>0</v>
      </c>
      <c r="AX364" s="149">
        <f t="shared" si="377"/>
        <v>0</v>
      </c>
      <c r="AY364" s="149">
        <f t="shared" si="377"/>
        <v>0</v>
      </c>
      <c r="AZ364" s="149">
        <f t="shared" si="377"/>
        <v>0</v>
      </c>
      <c r="BA364" s="149">
        <f t="shared" si="377"/>
        <v>0</v>
      </c>
      <c r="BB364" s="149">
        <f t="shared" si="377"/>
        <v>0</v>
      </c>
      <c r="BC364" s="149">
        <f t="shared" si="377"/>
        <v>0</v>
      </c>
      <c r="BD364" s="149">
        <f t="shared" si="377"/>
        <v>0</v>
      </c>
      <c r="BE364" s="149">
        <f t="shared" si="377"/>
        <v>0</v>
      </c>
      <c r="BF364" s="149">
        <f t="shared" si="377"/>
        <v>0</v>
      </c>
      <c r="BG364" s="149">
        <f t="shared" si="377"/>
        <v>0</v>
      </c>
      <c r="BH364" s="149">
        <f t="shared" si="377"/>
        <v>0</v>
      </c>
      <c r="BI364" s="149">
        <f t="shared" si="377"/>
        <v>0</v>
      </c>
      <c r="BJ364" s="149">
        <f t="shared" si="377"/>
        <v>0</v>
      </c>
      <c r="BK364" s="149">
        <f t="shared" si="377"/>
        <v>0</v>
      </c>
      <c r="BL364" s="149">
        <f t="shared" si="377"/>
        <v>0</v>
      </c>
      <c r="BM364" s="149">
        <f t="shared" si="377"/>
        <v>0</v>
      </c>
      <c r="BN364" s="149">
        <f t="shared" si="377"/>
        <v>0</v>
      </c>
      <c r="BO364" s="149">
        <f t="shared" si="377"/>
        <v>0</v>
      </c>
      <c r="BP364" s="149">
        <f t="shared" si="377"/>
        <v>0</v>
      </c>
      <c r="BQ364" s="149">
        <f t="shared" si="377"/>
        <v>0</v>
      </c>
      <c r="BR364" s="149">
        <f t="shared" si="377"/>
        <v>0</v>
      </c>
      <c r="BS364" s="149">
        <f t="shared" si="377"/>
        <v>0</v>
      </c>
      <c r="BT364" s="149">
        <f t="shared" si="377"/>
        <v>0</v>
      </c>
      <c r="BU364" s="149">
        <f t="shared" si="377"/>
        <v>0</v>
      </c>
      <c r="BV364" s="149">
        <f t="shared" si="377"/>
        <v>0</v>
      </c>
    </row>
    <row r="365" spans="1:74" x14ac:dyDescent="0.25">
      <c r="A365" s="147" t="s">
        <v>207</v>
      </c>
      <c r="B365" s="148"/>
      <c r="C365" s="142"/>
      <c r="D365" s="157">
        <f t="shared" ref="D365:AR365" si="378">D194+D301+D333</f>
        <v>8.0699999999999994E-2</v>
      </c>
      <c r="E365" s="157">
        <f t="shared" si="378"/>
        <v>8.0699999999999994E-2</v>
      </c>
      <c r="F365" s="157">
        <f t="shared" si="378"/>
        <v>8.0699999999999994E-2</v>
      </c>
      <c r="G365" s="157">
        <f t="shared" si="378"/>
        <v>8.0699999999999994E-2</v>
      </c>
      <c r="H365" s="157">
        <f t="shared" si="378"/>
        <v>8.0699999999999994E-2</v>
      </c>
      <c r="I365" s="157">
        <f t="shared" si="378"/>
        <v>7.9500000000000001E-2</v>
      </c>
      <c r="J365" s="157">
        <f t="shared" si="378"/>
        <v>7.9500000000000001E-2</v>
      </c>
      <c r="K365" s="157">
        <f t="shared" si="378"/>
        <v>7.9500000000000001E-2</v>
      </c>
      <c r="L365" s="157">
        <f t="shared" si="378"/>
        <v>7.9500000000000001E-2</v>
      </c>
      <c r="M365" s="157">
        <f t="shared" si="378"/>
        <v>7.9500000000000001E-2</v>
      </c>
      <c r="N365" s="157">
        <f t="shared" si="378"/>
        <v>7.9500000000000001E-2</v>
      </c>
      <c r="O365" s="157">
        <f t="shared" si="378"/>
        <v>8.0500000000000002E-2</v>
      </c>
      <c r="P365" s="157">
        <f t="shared" si="378"/>
        <v>8.2500000000000004E-2</v>
      </c>
      <c r="Q365" s="157">
        <f t="shared" si="378"/>
        <v>8.4500000000000006E-2</v>
      </c>
      <c r="R365" s="157">
        <f t="shared" si="378"/>
        <v>8.3400000000000002E-2</v>
      </c>
      <c r="S365" s="157">
        <f t="shared" si="378"/>
        <v>8.3099999999999993E-2</v>
      </c>
      <c r="T365" s="157">
        <f t="shared" si="378"/>
        <v>8.5699999999999998E-2</v>
      </c>
      <c r="U365" s="157">
        <f t="shared" si="378"/>
        <v>8.9599999999999999E-2</v>
      </c>
      <c r="V365" s="157">
        <f t="shared" si="378"/>
        <v>8.8200000000000001E-2</v>
      </c>
      <c r="W365" s="157">
        <f t="shared" si="378"/>
        <v>8.1100000000000005E-2</v>
      </c>
      <c r="X365" s="157">
        <f t="shared" si="378"/>
        <v>8.2000000000000003E-2</v>
      </c>
      <c r="Y365" s="157">
        <f t="shared" si="378"/>
        <v>8.2000000000000003E-2</v>
      </c>
      <c r="Z365" s="157">
        <f t="shared" si="378"/>
        <v>8.2000000000000003E-2</v>
      </c>
      <c r="AA365" s="157">
        <f t="shared" si="378"/>
        <v>8.2000000000000003E-2</v>
      </c>
      <c r="AB365" s="157">
        <f t="shared" si="378"/>
        <v>8.2000000000000003E-2</v>
      </c>
      <c r="AC365" s="157">
        <f t="shared" si="378"/>
        <v>8.2000000000000003E-2</v>
      </c>
      <c r="AD365" s="157">
        <f t="shared" si="378"/>
        <v>8.2000000000000003E-2</v>
      </c>
      <c r="AE365" s="157">
        <f t="shared" si="378"/>
        <v>8.2000000000000003E-2</v>
      </c>
      <c r="AF365" s="157">
        <f t="shared" si="378"/>
        <v>8.2000000000000003E-2</v>
      </c>
      <c r="AG365" s="157">
        <f t="shared" si="378"/>
        <v>8.2000000000000003E-2</v>
      </c>
      <c r="AH365" s="157">
        <f t="shared" si="378"/>
        <v>8.2000000000000003E-2</v>
      </c>
      <c r="AI365" s="157">
        <f t="shared" si="378"/>
        <v>8.2000000000000003E-2</v>
      </c>
      <c r="AJ365" s="157">
        <f t="shared" si="378"/>
        <v>8.2000000000000003E-2</v>
      </c>
      <c r="AK365" s="157">
        <f t="shared" si="378"/>
        <v>8.2000000000000003E-2</v>
      </c>
      <c r="AL365" s="157">
        <f t="shared" si="378"/>
        <v>8.2000000000000003E-2</v>
      </c>
      <c r="AM365" s="157">
        <f t="shared" si="378"/>
        <v>8.2000000000000003E-2</v>
      </c>
      <c r="AN365" s="157">
        <f t="shared" si="378"/>
        <v>8.2000000000000003E-2</v>
      </c>
      <c r="AO365" s="157">
        <f t="shared" si="378"/>
        <v>8.2000000000000003E-2</v>
      </c>
      <c r="AP365" s="157">
        <f t="shared" si="378"/>
        <v>8.2000000000000003E-2</v>
      </c>
      <c r="AQ365" s="157">
        <f t="shared" si="378"/>
        <v>8.2000000000000003E-2</v>
      </c>
      <c r="AR365" s="157">
        <f t="shared" si="378"/>
        <v>8.2000000000000003E-2</v>
      </c>
      <c r="AS365" s="149">
        <f>AR365</f>
        <v>8.2000000000000003E-2</v>
      </c>
      <c r="AT365" s="149">
        <f t="shared" ref="AT365:BV365" si="379">AS365</f>
        <v>8.2000000000000003E-2</v>
      </c>
      <c r="AU365" s="149">
        <f t="shared" si="379"/>
        <v>8.2000000000000003E-2</v>
      </c>
      <c r="AV365" s="149">
        <f t="shared" si="379"/>
        <v>8.2000000000000003E-2</v>
      </c>
      <c r="AW365" s="149">
        <f t="shared" si="379"/>
        <v>8.2000000000000003E-2</v>
      </c>
      <c r="AX365" s="149">
        <f t="shared" si="379"/>
        <v>8.2000000000000003E-2</v>
      </c>
      <c r="AY365" s="149">
        <f t="shared" si="379"/>
        <v>8.2000000000000003E-2</v>
      </c>
      <c r="AZ365" s="149">
        <f t="shared" si="379"/>
        <v>8.2000000000000003E-2</v>
      </c>
      <c r="BA365" s="149">
        <f t="shared" si="379"/>
        <v>8.2000000000000003E-2</v>
      </c>
      <c r="BB365" s="149">
        <f t="shared" si="379"/>
        <v>8.2000000000000003E-2</v>
      </c>
      <c r="BC365" s="149">
        <f t="shared" si="379"/>
        <v>8.2000000000000003E-2</v>
      </c>
      <c r="BD365" s="149">
        <f t="shared" si="379"/>
        <v>8.2000000000000003E-2</v>
      </c>
      <c r="BE365" s="149">
        <f t="shared" si="379"/>
        <v>8.2000000000000003E-2</v>
      </c>
      <c r="BF365" s="149">
        <f t="shared" si="379"/>
        <v>8.2000000000000003E-2</v>
      </c>
      <c r="BG365" s="149">
        <f t="shared" si="379"/>
        <v>8.2000000000000003E-2</v>
      </c>
      <c r="BH365" s="149">
        <f t="shared" si="379"/>
        <v>8.2000000000000003E-2</v>
      </c>
      <c r="BI365" s="149">
        <f t="shared" si="379"/>
        <v>8.2000000000000003E-2</v>
      </c>
      <c r="BJ365" s="149">
        <f t="shared" si="379"/>
        <v>8.2000000000000003E-2</v>
      </c>
      <c r="BK365" s="149">
        <f t="shared" si="379"/>
        <v>8.2000000000000003E-2</v>
      </c>
      <c r="BL365" s="149">
        <f t="shared" si="379"/>
        <v>8.2000000000000003E-2</v>
      </c>
      <c r="BM365" s="149">
        <f t="shared" si="379"/>
        <v>8.2000000000000003E-2</v>
      </c>
      <c r="BN365" s="149">
        <f t="shared" si="379"/>
        <v>8.2000000000000003E-2</v>
      </c>
      <c r="BO365" s="149">
        <f t="shared" si="379"/>
        <v>8.2000000000000003E-2</v>
      </c>
      <c r="BP365" s="149">
        <f t="shared" si="379"/>
        <v>8.2000000000000003E-2</v>
      </c>
      <c r="BQ365" s="149">
        <f t="shared" si="379"/>
        <v>8.2000000000000003E-2</v>
      </c>
      <c r="BR365" s="149">
        <f t="shared" si="379"/>
        <v>8.2000000000000003E-2</v>
      </c>
      <c r="BS365" s="149">
        <f t="shared" si="379"/>
        <v>8.2000000000000003E-2</v>
      </c>
      <c r="BT365" s="149">
        <f t="shared" si="379"/>
        <v>8.2000000000000003E-2</v>
      </c>
      <c r="BU365" s="149">
        <f t="shared" si="379"/>
        <v>8.2000000000000003E-2</v>
      </c>
      <c r="BV365" s="149">
        <f t="shared" si="379"/>
        <v>8.2000000000000003E-2</v>
      </c>
    </row>
    <row r="366" spans="1:74" x14ac:dyDescent="0.25">
      <c r="A366" s="147" t="s">
        <v>15</v>
      </c>
      <c r="C366" s="142"/>
      <c r="D366" s="157">
        <f t="shared" ref="D366:AR366" si="380">D195+D302+D334</f>
        <v>8.1988538681948414E-2</v>
      </c>
      <c r="E366" s="157">
        <f t="shared" si="380"/>
        <v>8.1988538681948414E-2</v>
      </c>
      <c r="F366" s="157">
        <f t="shared" si="380"/>
        <v>8.1988538681948414E-2</v>
      </c>
      <c r="G366" s="157">
        <f t="shared" si="380"/>
        <v>8.1988538681948414E-2</v>
      </c>
      <c r="H366" s="157">
        <f t="shared" si="380"/>
        <v>8.1988538681948414E-2</v>
      </c>
      <c r="I366" s="157">
        <f t="shared" si="380"/>
        <v>8.1988538681948414E-2</v>
      </c>
      <c r="J366" s="157">
        <f t="shared" si="380"/>
        <v>8.1988538681948414E-2</v>
      </c>
      <c r="K366" s="157">
        <f t="shared" si="380"/>
        <v>8.1988538681948414E-2</v>
      </c>
      <c r="L366" s="157">
        <f t="shared" si="380"/>
        <v>8.1988538681948414E-2</v>
      </c>
      <c r="M366" s="157">
        <f t="shared" si="380"/>
        <v>8.1988538681948414E-2</v>
      </c>
      <c r="N366" s="157">
        <f t="shared" si="380"/>
        <v>8.1988538681948414E-2</v>
      </c>
      <c r="O366" s="157">
        <f t="shared" si="380"/>
        <v>8.1988538681948414E-2</v>
      </c>
      <c r="P366" s="157">
        <f t="shared" si="380"/>
        <v>8.1988538681948414E-2</v>
      </c>
      <c r="Q366" s="157">
        <f t="shared" si="380"/>
        <v>8.1988538681948414E-2</v>
      </c>
      <c r="R366" s="157">
        <f t="shared" si="380"/>
        <v>8.1988538681948414E-2</v>
      </c>
      <c r="S366" s="157">
        <f t="shared" si="380"/>
        <v>8.1988537904172737E-2</v>
      </c>
      <c r="T366" s="157">
        <f t="shared" si="380"/>
        <v>8.1988537117392069E-2</v>
      </c>
      <c r="U366" s="157">
        <f t="shared" si="380"/>
        <v>8.1988539976946287E-2</v>
      </c>
      <c r="V366" s="157">
        <f t="shared" si="380"/>
        <v>8.198854085238122E-2</v>
      </c>
      <c r="W366" s="157">
        <f t="shared" si="380"/>
        <v>8.1988540604555626E-2</v>
      </c>
      <c r="X366" s="157">
        <f t="shared" si="380"/>
        <v>8.1988540043203398E-2</v>
      </c>
      <c r="Y366" s="157">
        <f t="shared" si="380"/>
        <v>8.1988539138045949E-2</v>
      </c>
      <c r="Z366" s="157">
        <f t="shared" si="380"/>
        <v>8.1988535857664677E-2</v>
      </c>
      <c r="AA366" s="157">
        <f t="shared" si="380"/>
        <v>8.1988536811607934E-2</v>
      </c>
      <c r="AB366" s="157">
        <f t="shared" si="380"/>
        <v>8.1988540060211654E-2</v>
      </c>
      <c r="AC366" s="157">
        <f t="shared" si="380"/>
        <v>8.1988539122306289E-2</v>
      </c>
      <c r="AD366" s="157">
        <f t="shared" si="380"/>
        <v>8.1988541103985332E-2</v>
      </c>
      <c r="AE366" s="157">
        <f t="shared" si="380"/>
        <v>8.1988538681948414E-2</v>
      </c>
      <c r="AF366" s="157">
        <f t="shared" si="380"/>
        <v>8.1988538681948414E-2</v>
      </c>
      <c r="AG366" s="157">
        <f t="shared" si="380"/>
        <v>8.1988538681948414E-2</v>
      </c>
      <c r="AH366" s="157">
        <f t="shared" si="380"/>
        <v>8.1988538681948414E-2</v>
      </c>
      <c r="AI366" s="157">
        <f t="shared" si="380"/>
        <v>8.1988538681948414E-2</v>
      </c>
      <c r="AJ366" s="157">
        <f t="shared" si="380"/>
        <v>8.1988538681948414E-2</v>
      </c>
      <c r="AK366" s="157">
        <f t="shared" si="380"/>
        <v>8.1988538681948414E-2</v>
      </c>
      <c r="AL366" s="157">
        <f t="shared" si="380"/>
        <v>8.1988538681948414E-2</v>
      </c>
      <c r="AM366" s="157">
        <f t="shared" si="380"/>
        <v>8.1988538681948414E-2</v>
      </c>
      <c r="AN366" s="157">
        <f t="shared" si="380"/>
        <v>8.1988538681948414E-2</v>
      </c>
      <c r="AO366" s="157">
        <f t="shared" si="380"/>
        <v>8.1988538681948414E-2</v>
      </c>
      <c r="AP366" s="157">
        <f t="shared" si="380"/>
        <v>8.1988538681948414E-2</v>
      </c>
      <c r="AQ366" s="157">
        <f t="shared" si="380"/>
        <v>8.1988538681948414E-2</v>
      </c>
      <c r="AR366" s="157">
        <f t="shared" si="380"/>
        <v>8.1988538681948414E-2</v>
      </c>
      <c r="AS366" s="149">
        <f>AR366</f>
        <v>8.1988538681948414E-2</v>
      </c>
      <c r="AT366" s="149">
        <f t="shared" ref="AT366:BV366" si="381">AS366</f>
        <v>8.1988538681948414E-2</v>
      </c>
      <c r="AU366" s="149">
        <f t="shared" si="381"/>
        <v>8.1988538681948414E-2</v>
      </c>
      <c r="AV366" s="149">
        <f t="shared" si="381"/>
        <v>8.1988538681948414E-2</v>
      </c>
      <c r="AW366" s="149">
        <f t="shared" si="381"/>
        <v>8.1988538681948414E-2</v>
      </c>
      <c r="AX366" s="149">
        <f t="shared" si="381"/>
        <v>8.1988538681948414E-2</v>
      </c>
      <c r="AY366" s="149">
        <f t="shared" si="381"/>
        <v>8.1988538681948414E-2</v>
      </c>
      <c r="AZ366" s="149">
        <f t="shared" si="381"/>
        <v>8.1988538681948414E-2</v>
      </c>
      <c r="BA366" s="149">
        <f t="shared" si="381"/>
        <v>8.1988538681948414E-2</v>
      </c>
      <c r="BB366" s="149">
        <f t="shared" si="381"/>
        <v>8.1988538681948414E-2</v>
      </c>
      <c r="BC366" s="149">
        <f t="shared" si="381"/>
        <v>8.1988538681948414E-2</v>
      </c>
      <c r="BD366" s="149">
        <f t="shared" si="381"/>
        <v>8.1988538681948414E-2</v>
      </c>
      <c r="BE366" s="149">
        <f t="shared" si="381"/>
        <v>8.1988538681948414E-2</v>
      </c>
      <c r="BF366" s="149">
        <f t="shared" si="381"/>
        <v>8.1988538681948414E-2</v>
      </c>
      <c r="BG366" s="149">
        <f t="shared" si="381"/>
        <v>8.1988538681948414E-2</v>
      </c>
      <c r="BH366" s="149">
        <f t="shared" si="381"/>
        <v>8.1988538681948414E-2</v>
      </c>
      <c r="BI366" s="149">
        <f t="shared" si="381"/>
        <v>8.1988538681948414E-2</v>
      </c>
      <c r="BJ366" s="149">
        <f t="shared" si="381"/>
        <v>8.1988538681948414E-2</v>
      </c>
      <c r="BK366" s="149">
        <f t="shared" si="381"/>
        <v>8.1988538681948414E-2</v>
      </c>
      <c r="BL366" s="149">
        <f t="shared" si="381"/>
        <v>8.1988538681948414E-2</v>
      </c>
      <c r="BM366" s="149">
        <f t="shared" si="381"/>
        <v>8.1988538681948414E-2</v>
      </c>
      <c r="BN366" s="149">
        <f t="shared" si="381"/>
        <v>8.1988538681948414E-2</v>
      </c>
      <c r="BO366" s="149">
        <f t="shared" si="381"/>
        <v>8.1988538681948414E-2</v>
      </c>
      <c r="BP366" s="149">
        <f t="shared" si="381"/>
        <v>8.1988538681948414E-2</v>
      </c>
      <c r="BQ366" s="149">
        <f t="shared" si="381"/>
        <v>8.1988538681948414E-2</v>
      </c>
      <c r="BR366" s="149">
        <f t="shared" si="381"/>
        <v>8.1988538681948414E-2</v>
      </c>
      <c r="BS366" s="149">
        <f t="shared" si="381"/>
        <v>8.1988538681948414E-2</v>
      </c>
      <c r="BT366" s="149">
        <f t="shared" si="381"/>
        <v>8.1988538681948414E-2</v>
      </c>
      <c r="BU366" s="149">
        <f t="shared" si="381"/>
        <v>8.1988538681948414E-2</v>
      </c>
      <c r="BV366" s="149">
        <f t="shared" si="381"/>
        <v>8.1988538681948414E-2</v>
      </c>
    </row>
  </sheetData>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0F7D2C-B2D6-4AA0-9CCB-5F26D0CE03D9}">
  <sheetPr codeName="Sheet13">
    <tabColor theme="1" tint="0.499984740745262"/>
    <outlinePr summaryBelow="0" summaryRight="0"/>
  </sheetPr>
  <dimension ref="A1:E17"/>
  <sheetViews>
    <sheetView zoomScale="70" zoomScaleNormal="70" workbookViewId="0">
      <pane ySplit="1" topLeftCell="A2" activePane="bottomLeft" state="frozen"/>
      <selection pane="bottomLeft" activeCell="A17" sqref="A17"/>
    </sheetView>
    <sheetView zoomScale="70" zoomScaleNormal="70" workbookViewId="1"/>
  </sheetViews>
  <sheetFormatPr defaultRowHeight="15" x14ac:dyDescent="0.25"/>
  <cols>
    <col min="1" max="1" width="14" style="68" bestFit="1" customWidth="1"/>
    <col min="2" max="2" width="23.140625" style="68" bestFit="1" customWidth="1"/>
    <col min="3" max="3" width="14.42578125" style="267" bestFit="1" customWidth="1"/>
    <col min="4" max="4" width="37.140625" style="69" bestFit="1" customWidth="1"/>
    <col min="5" max="5" width="9.140625" style="268"/>
    <col min="6" max="16384" width="9.140625" style="68"/>
  </cols>
  <sheetData>
    <row r="1" spans="1:5" s="265" customFormat="1" ht="25.5" customHeight="1" x14ac:dyDescent="0.25">
      <c r="A1" s="265" t="s">
        <v>406</v>
      </c>
      <c r="B1" s="265" t="s">
        <v>407</v>
      </c>
      <c r="C1" s="266" t="s">
        <v>408</v>
      </c>
      <c r="D1" s="265" t="s">
        <v>409</v>
      </c>
      <c r="E1" s="269" t="s">
        <v>405</v>
      </c>
    </row>
    <row r="2" spans="1:5" x14ac:dyDescent="0.25">
      <c r="A2" s="68" t="s">
        <v>108</v>
      </c>
      <c r="B2" s="68" t="s">
        <v>25</v>
      </c>
      <c r="C2" s="267" t="s">
        <v>69</v>
      </c>
      <c r="D2" s="69" t="s">
        <v>119</v>
      </c>
    </row>
    <row r="3" spans="1:5" x14ac:dyDescent="0.25">
      <c r="A3" s="68" t="s">
        <v>108</v>
      </c>
      <c r="B3" s="68" t="s">
        <v>25</v>
      </c>
      <c r="C3" s="267" t="s">
        <v>69</v>
      </c>
      <c r="D3" s="69" t="s">
        <v>121</v>
      </c>
    </row>
    <row r="4" spans="1:5" x14ac:dyDescent="0.25">
      <c r="A4" s="68" t="s">
        <v>108</v>
      </c>
      <c r="B4" s="68" t="s">
        <v>25</v>
      </c>
      <c r="C4" s="267" t="s">
        <v>69</v>
      </c>
      <c r="D4" s="69" t="s">
        <v>120</v>
      </c>
    </row>
    <row r="5" spans="1:5" x14ac:dyDescent="0.25">
      <c r="A5" s="68" t="s">
        <v>108</v>
      </c>
      <c r="B5" s="68" t="s">
        <v>25</v>
      </c>
      <c r="C5" s="267" t="s">
        <v>69</v>
      </c>
      <c r="D5" s="69" t="s">
        <v>122</v>
      </c>
    </row>
    <row r="6" spans="1:5" x14ac:dyDescent="0.25">
      <c r="A6" s="68" t="s">
        <v>108</v>
      </c>
      <c r="B6" s="68" t="s">
        <v>23</v>
      </c>
      <c r="C6" s="267" t="s">
        <v>69</v>
      </c>
      <c r="D6" s="68" t="s">
        <v>330</v>
      </c>
    </row>
    <row r="7" spans="1:5" x14ac:dyDescent="0.25">
      <c r="A7" s="68" t="s">
        <v>108</v>
      </c>
      <c r="B7" s="68" t="s">
        <v>23</v>
      </c>
      <c r="C7" s="267" t="s">
        <v>69</v>
      </c>
      <c r="D7" s="69" t="s">
        <v>331</v>
      </c>
    </row>
    <row r="8" spans="1:5" x14ac:dyDescent="0.25">
      <c r="A8" s="68" t="s">
        <v>108</v>
      </c>
      <c r="B8" s="68" t="s">
        <v>23</v>
      </c>
      <c r="C8" s="267" t="s">
        <v>69</v>
      </c>
      <c r="D8" s="69" t="s">
        <v>332</v>
      </c>
    </row>
    <row r="9" spans="1:5" x14ac:dyDescent="0.25">
      <c r="A9" s="68" t="s">
        <v>108</v>
      </c>
      <c r="B9" s="68" t="s">
        <v>23</v>
      </c>
      <c r="C9" s="267" t="s">
        <v>69</v>
      </c>
      <c r="D9" s="69" t="s">
        <v>333</v>
      </c>
    </row>
    <row r="10" spans="1:5" x14ac:dyDescent="0.25">
      <c r="A10" s="68" t="s">
        <v>108</v>
      </c>
      <c r="B10" s="68" t="s">
        <v>24</v>
      </c>
      <c r="C10" s="267" t="s">
        <v>69</v>
      </c>
      <c r="D10" s="68" t="s">
        <v>330</v>
      </c>
    </row>
    <row r="11" spans="1:5" x14ac:dyDescent="0.25">
      <c r="A11" s="68" t="s">
        <v>108</v>
      </c>
      <c r="B11" s="68" t="s">
        <v>24</v>
      </c>
      <c r="C11" s="267" t="s">
        <v>69</v>
      </c>
      <c r="D11" s="69" t="s">
        <v>331</v>
      </c>
    </row>
    <row r="12" spans="1:5" x14ac:dyDescent="0.25">
      <c r="A12" s="68" t="s">
        <v>108</v>
      </c>
      <c r="B12" s="68" t="s">
        <v>24</v>
      </c>
      <c r="C12" s="267" t="s">
        <v>69</v>
      </c>
      <c r="D12" s="69" t="s">
        <v>332</v>
      </c>
    </row>
    <row r="13" spans="1:5" x14ac:dyDescent="0.25">
      <c r="A13" s="68" t="s">
        <v>108</v>
      </c>
      <c r="B13" s="68" t="s">
        <v>24</v>
      </c>
      <c r="C13" s="267" t="s">
        <v>69</v>
      </c>
      <c r="D13" s="69" t="s">
        <v>333</v>
      </c>
    </row>
    <row r="14" spans="1:5" x14ac:dyDescent="0.25">
      <c r="A14" s="68" t="s">
        <v>108</v>
      </c>
      <c r="B14" s="68" t="s">
        <v>26</v>
      </c>
      <c r="C14" s="267" t="s">
        <v>69</v>
      </c>
      <c r="D14" s="68" t="s">
        <v>330</v>
      </c>
    </row>
    <row r="15" spans="1:5" x14ac:dyDescent="0.25">
      <c r="A15" s="68" t="s">
        <v>108</v>
      </c>
      <c r="B15" s="68" t="s">
        <v>26</v>
      </c>
      <c r="C15" s="267" t="s">
        <v>69</v>
      </c>
      <c r="D15" s="69" t="s">
        <v>331</v>
      </c>
    </row>
    <row r="16" spans="1:5" x14ac:dyDescent="0.25">
      <c r="A16" s="68" t="s">
        <v>108</v>
      </c>
      <c r="B16" s="68" t="s">
        <v>26</v>
      </c>
      <c r="C16" s="267" t="s">
        <v>69</v>
      </c>
      <c r="D16" s="69" t="s">
        <v>332</v>
      </c>
    </row>
    <row r="17" spans="1:4" x14ac:dyDescent="0.25">
      <c r="A17" s="68" t="s">
        <v>108</v>
      </c>
      <c r="B17" s="68" t="s">
        <v>26</v>
      </c>
      <c r="C17" s="267" t="s">
        <v>69</v>
      </c>
      <c r="D17" s="69" t="s">
        <v>333</v>
      </c>
    </row>
  </sheetData>
  <sortState xmlns:xlrd2="http://schemas.microsoft.com/office/spreadsheetml/2017/richdata2" ref="B6:B17">
    <sortCondition ref="B6"/>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24ED32-E5FE-4314-9DA0-B00575F8E235}">
  <sheetPr codeName="Map">
    <tabColor theme="1"/>
    <outlinePr summaryBelow="0"/>
  </sheetPr>
  <dimension ref="A1:Z25"/>
  <sheetViews>
    <sheetView showGridLines="0" zoomScale="70" zoomScaleNormal="70" workbookViewId="0">
      <pane ySplit="2" topLeftCell="A3" activePane="bottomLeft" state="frozen"/>
      <selection pane="bottomLeft" activeCell="A3" sqref="A3"/>
    </sheetView>
    <sheetView showGridLines="0" topLeftCell="D1" zoomScale="70" zoomScaleNormal="70" workbookViewId="1">
      <selection activeCell="F4" sqref="F4"/>
    </sheetView>
  </sheetViews>
  <sheetFormatPr defaultRowHeight="15" outlineLevelCol="1" x14ac:dyDescent="0.25"/>
  <cols>
    <col min="1" max="1" width="21" style="64" hidden="1" customWidth="1" outlineLevel="1"/>
    <col min="2" max="2" width="75" style="356" hidden="1" customWidth="1" outlineLevel="1"/>
    <col min="3" max="3" width="21" style="356" hidden="1" customWidth="1" outlineLevel="1"/>
    <col min="4" max="4" width="2.7109375" style="358" customWidth="1" collapsed="1"/>
    <col min="5" max="5" width="13.5703125" style="62" bestFit="1" customWidth="1"/>
    <col min="6" max="6" width="3" style="61" customWidth="1"/>
    <col min="7" max="7" width="10" style="62" customWidth="1"/>
    <col min="8" max="8" width="3" style="61" customWidth="1"/>
    <col min="9" max="9" width="15" style="62" bestFit="1" customWidth="1"/>
    <col min="10" max="10" width="3" style="61" customWidth="1"/>
    <col min="11" max="11" width="25.42578125" style="62" bestFit="1" customWidth="1"/>
    <col min="12" max="12" width="3" style="61" customWidth="1"/>
    <col min="13" max="13" width="20.28515625" style="62" bestFit="1" customWidth="1"/>
    <col min="14" max="14" width="3" style="61" customWidth="1"/>
    <col min="15" max="15" width="18.5703125" style="62" bestFit="1" customWidth="1"/>
    <col min="16" max="16" width="3" style="61" customWidth="1"/>
    <col min="17" max="17" width="11.140625" style="62" bestFit="1" customWidth="1"/>
    <col min="18" max="18" width="3" style="61" customWidth="1"/>
    <col min="19" max="19" width="10.28515625" style="62" bestFit="1" customWidth="1"/>
    <col min="20" max="20" width="3" style="61" customWidth="1"/>
    <col min="21" max="21" width="10.28515625" style="62" bestFit="1" customWidth="1"/>
    <col min="22" max="22" width="3" style="61" customWidth="1"/>
    <col min="23" max="23" width="10.28515625" style="62" bestFit="1" customWidth="1"/>
    <col min="24" max="24" width="3" style="60" customWidth="1"/>
    <col min="25" max="25" width="10.28515625" style="62" bestFit="1" customWidth="1"/>
    <col min="26" max="26" width="2.7109375" style="2" customWidth="1"/>
    <col min="27" max="16384" width="9.140625" style="2"/>
  </cols>
  <sheetData>
    <row r="1" spans="1:26" s="19" customFormat="1" x14ac:dyDescent="0.25">
      <c r="A1" s="351">
        <f>COLUMN($E$1)</f>
        <v>5</v>
      </c>
      <c r="B1" s="349"/>
      <c r="C1" s="354" t="str">
        <f t="array" ref="C1">IFERROR(INDEX(DemandSupply,MATCH(INDEX($I$1:I1,SMALL(ROW($I$1:I1)+(10000*($I$1:I1="")),COUNTA($I$1:I1))),Sectors,0)),"")</f>
        <v/>
      </c>
      <c r="D1" s="357"/>
      <c r="J1" s="59"/>
      <c r="L1" s="200"/>
      <c r="M1" s="58"/>
      <c r="N1" s="59"/>
      <c r="O1" s="58"/>
      <c r="P1" s="59"/>
      <c r="Q1" s="58"/>
      <c r="R1" s="59"/>
      <c r="S1" s="58"/>
      <c r="T1" s="59"/>
      <c r="U1" s="58"/>
      <c r="V1" s="59"/>
      <c r="W1" s="58"/>
      <c r="X1" s="59"/>
      <c r="Y1" s="58"/>
      <c r="Z1" s="20"/>
    </row>
    <row r="2" spans="1:26" s="19" customFormat="1" x14ac:dyDescent="0.25">
      <c r="A2" s="351" t="s">
        <v>451</v>
      </c>
      <c r="B2" s="349" t="s">
        <v>6</v>
      </c>
      <c r="C2" s="349" t="s">
        <v>449</v>
      </c>
      <c r="D2" s="357"/>
      <c r="E2" s="60" t="s">
        <v>67</v>
      </c>
      <c r="F2" s="61"/>
      <c r="G2" s="60" t="s">
        <v>59</v>
      </c>
      <c r="H2" s="61"/>
      <c r="I2" s="60" t="s">
        <v>56</v>
      </c>
      <c r="J2" s="61"/>
      <c r="K2" s="60" t="s">
        <v>74</v>
      </c>
      <c r="L2" s="61"/>
      <c r="M2" s="60" t="s">
        <v>74</v>
      </c>
      <c r="N2" s="61"/>
      <c r="O2" s="60" t="s">
        <v>74</v>
      </c>
      <c r="P2" s="61"/>
      <c r="Q2" s="60" t="s">
        <v>74</v>
      </c>
      <c r="R2" s="61"/>
      <c r="S2" s="60" t="s">
        <v>74</v>
      </c>
      <c r="T2" s="61"/>
      <c r="U2" s="60" t="s">
        <v>74</v>
      </c>
      <c r="V2" s="61"/>
      <c r="W2" s="60" t="s">
        <v>74</v>
      </c>
      <c r="X2" s="61"/>
      <c r="Y2" s="60" t="s">
        <v>74</v>
      </c>
      <c r="Z2" s="20"/>
    </row>
    <row r="3" spans="1:26" s="10" customFormat="1" x14ac:dyDescent="0.25">
      <c r="A3" s="64" t="str">
        <f>IFERROR(INDEX($E3:$Y3,MATCH("*",$E3:$Y3,0)),"")</f>
        <v/>
      </c>
      <c r="B3" s="354"/>
      <c r="C3" s="354"/>
      <c r="D3" s="353" t="s">
        <v>452</v>
      </c>
      <c r="E3" s="346"/>
      <c r="F3" s="347"/>
      <c r="G3" s="346"/>
      <c r="H3" s="347"/>
      <c r="I3" s="346"/>
      <c r="J3" s="347"/>
      <c r="K3" s="346"/>
      <c r="L3" s="347"/>
      <c r="M3" s="346"/>
      <c r="N3" s="347"/>
      <c r="O3" s="346"/>
      <c r="P3" s="347"/>
      <c r="Q3" s="346"/>
      <c r="R3" s="347"/>
      <c r="S3" s="346"/>
      <c r="T3" s="347"/>
      <c r="U3" s="346"/>
      <c r="V3" s="347"/>
      <c r="W3" s="346"/>
      <c r="X3" s="347"/>
      <c r="Y3" s="346"/>
      <c r="Z3" s="11"/>
    </row>
    <row r="4" spans="1:26" s="3" customFormat="1" x14ac:dyDescent="0.25">
      <c r="A4" s="64" t="str">
        <f t="shared" ref="A4:A25" si="0">IFERROR(INDEX($E4:$Y4,MATCH("*",$E4:$Y4,0)),"")</f>
        <v>Canada</v>
      </c>
      <c r="B4" s="355" t="s">
        <v>459</v>
      </c>
      <c r="C4" s="354" t="s">
        <v>111</v>
      </c>
      <c r="D4" s="353" t="s">
        <v>452</v>
      </c>
      <c r="E4" s="23" t="s">
        <v>48</v>
      </c>
      <c r="F4" s="352">
        <v>999</v>
      </c>
      <c r="G4" s="263"/>
      <c r="H4" s="347"/>
      <c r="I4" s="263"/>
      <c r="J4" s="347"/>
      <c r="K4" s="263"/>
      <c r="L4" s="347"/>
      <c r="M4" s="263"/>
      <c r="N4" s="347"/>
      <c r="O4" s="263"/>
      <c r="P4" s="347"/>
      <c r="Q4" s="263"/>
      <c r="R4" s="347"/>
      <c r="S4" s="263"/>
      <c r="T4" s="347"/>
      <c r="U4" s="263"/>
      <c r="V4" s="347"/>
      <c r="W4" s="263"/>
      <c r="X4" s="347"/>
      <c r="Y4" s="263"/>
      <c r="Z4" s="5"/>
    </row>
    <row r="5" spans="1:26" s="3" customFormat="1" x14ac:dyDescent="0.25">
      <c r="A5" s="64" t="str">
        <f t="shared" si="0"/>
        <v>Alberta</v>
      </c>
      <c r="B5" s="355" t="s">
        <v>460</v>
      </c>
      <c r="C5" s="354" t="s">
        <v>111</v>
      </c>
      <c r="D5" s="353" t="s">
        <v>452</v>
      </c>
      <c r="E5" s="263"/>
      <c r="F5" s="348"/>
      <c r="G5" s="199" t="s">
        <v>5</v>
      </c>
      <c r="H5" s="361">
        <v>999</v>
      </c>
      <c r="I5" s="73"/>
      <c r="J5" s="347"/>
      <c r="K5" s="263"/>
      <c r="L5" s="347"/>
      <c r="M5" s="263"/>
      <c r="N5" s="347"/>
      <c r="O5" s="263"/>
      <c r="P5" s="347"/>
      <c r="Q5" s="263"/>
      <c r="R5" s="347"/>
      <c r="S5" s="263"/>
      <c r="T5" s="347"/>
      <c r="U5" s="263"/>
      <c r="V5" s="347"/>
      <c r="W5" s="263"/>
      <c r="X5" s="347"/>
      <c r="Y5" s="263"/>
      <c r="Z5" s="5"/>
    </row>
    <row r="6" spans="1:26" s="3" customFormat="1" hidden="1" x14ac:dyDescent="0.25">
      <c r="A6" s="64" t="str">
        <f t="shared" si="0"/>
        <v>Residential</v>
      </c>
      <c r="B6" s="355" t="s">
        <v>461</v>
      </c>
      <c r="C6" s="354" t="s">
        <v>111</v>
      </c>
      <c r="D6" s="353" t="s">
        <v>452</v>
      </c>
      <c r="E6" s="263"/>
      <c r="F6" s="347"/>
      <c r="G6" s="73"/>
      <c r="H6" s="348"/>
      <c r="I6" s="199" t="s">
        <v>0</v>
      </c>
      <c r="J6" s="352">
        <v>999</v>
      </c>
      <c r="K6" s="73"/>
      <c r="L6" s="347"/>
      <c r="M6" s="263"/>
      <c r="N6" s="347"/>
      <c r="O6" s="263"/>
      <c r="P6" s="347"/>
      <c r="Q6" s="263"/>
      <c r="R6" s="347"/>
      <c r="S6" s="263"/>
      <c r="T6" s="347"/>
      <c r="U6" s="263"/>
      <c r="V6" s="347"/>
      <c r="W6" s="263"/>
      <c r="X6" s="347"/>
      <c r="Y6" s="263"/>
      <c r="Z6" s="5"/>
    </row>
    <row r="7" spans="1:26" s="3" customFormat="1" hidden="1" x14ac:dyDescent="0.25">
      <c r="A7" s="64" t="str">
        <f t="shared" si="0"/>
        <v>Buildings</v>
      </c>
      <c r="B7" s="355" t="s">
        <v>462</v>
      </c>
      <c r="C7" s="354" t="s">
        <v>111</v>
      </c>
      <c r="D7" s="353" t="s">
        <v>452</v>
      </c>
      <c r="E7" s="263"/>
      <c r="F7" s="347"/>
      <c r="G7" s="73"/>
      <c r="H7" s="348"/>
      <c r="I7" s="73"/>
      <c r="J7" s="348"/>
      <c r="K7" s="199" t="s">
        <v>108</v>
      </c>
      <c r="L7" s="352">
        <v>999</v>
      </c>
      <c r="M7" s="73"/>
      <c r="N7" s="347"/>
      <c r="O7" s="263"/>
      <c r="P7" s="347"/>
      <c r="Q7" s="263"/>
      <c r="R7" s="347"/>
      <c r="S7" s="263"/>
      <c r="T7" s="347"/>
      <c r="U7" s="263"/>
      <c r="V7" s="347"/>
      <c r="W7" s="263"/>
      <c r="X7" s="347"/>
      <c r="Y7" s="263"/>
      <c r="Z7" s="5"/>
    </row>
    <row r="8" spans="1:26" s="3" customFormat="1" hidden="1" x14ac:dyDescent="0.25">
      <c r="A8" s="64" t="str">
        <f t="shared" si="0"/>
        <v>Shell</v>
      </c>
      <c r="B8" s="355" t="s">
        <v>463</v>
      </c>
      <c r="C8" s="354" t="s">
        <v>111</v>
      </c>
      <c r="D8" s="353" t="s">
        <v>452</v>
      </c>
      <c r="E8" s="263"/>
      <c r="F8" s="347"/>
      <c r="G8" s="73"/>
      <c r="H8" s="348"/>
      <c r="I8" s="73"/>
      <c r="J8" s="347"/>
      <c r="K8" s="73"/>
      <c r="L8" s="348"/>
      <c r="M8" s="199" t="s">
        <v>1</v>
      </c>
      <c r="N8" s="352">
        <v>999</v>
      </c>
      <c r="O8" s="73"/>
      <c r="P8" s="347"/>
      <c r="Q8" s="263"/>
      <c r="R8" s="347"/>
      <c r="S8" s="263"/>
      <c r="T8" s="347"/>
      <c r="U8" s="263"/>
      <c r="V8" s="347"/>
      <c r="W8" s="263"/>
      <c r="X8" s="347"/>
      <c r="Y8" s="263"/>
      <c r="Z8" s="5"/>
    </row>
    <row r="9" spans="1:26" s="3" customFormat="1" hidden="1" x14ac:dyDescent="0.25">
      <c r="A9" s="64" t="str">
        <f t="shared" si="0"/>
        <v>Space heating</v>
      </c>
      <c r="B9" s="355" t="s">
        <v>464</v>
      </c>
      <c r="C9" s="354" t="s">
        <v>111</v>
      </c>
      <c r="D9" s="353" t="s">
        <v>452</v>
      </c>
      <c r="E9" s="263"/>
      <c r="F9" s="347"/>
      <c r="G9" s="73"/>
      <c r="H9" s="348"/>
      <c r="I9" s="73"/>
      <c r="J9" s="347"/>
      <c r="K9" s="73"/>
      <c r="L9" s="348"/>
      <c r="M9" s="73"/>
      <c r="N9" s="348"/>
      <c r="O9" s="199" t="s">
        <v>70</v>
      </c>
      <c r="P9" s="352">
        <v>999</v>
      </c>
      <c r="Q9" s="263"/>
      <c r="R9" s="347"/>
      <c r="S9" s="263"/>
      <c r="T9" s="347"/>
      <c r="U9" s="263"/>
      <c r="V9" s="347"/>
      <c r="W9" s="263"/>
      <c r="X9" s="347"/>
      <c r="Y9" s="263"/>
      <c r="Z9" s="5"/>
    </row>
    <row r="10" spans="1:26" s="3" customFormat="1" hidden="1" x14ac:dyDescent="0.25">
      <c r="A10" s="64" t="str">
        <f t="shared" si="0"/>
        <v>Furnace</v>
      </c>
      <c r="B10" s="355" t="s">
        <v>465</v>
      </c>
      <c r="C10" s="354" t="s">
        <v>111</v>
      </c>
      <c r="D10" s="353" t="s">
        <v>452</v>
      </c>
      <c r="E10" s="263"/>
      <c r="F10" s="347"/>
      <c r="G10" s="73"/>
      <c r="H10" s="348"/>
      <c r="I10" s="73"/>
      <c r="J10" s="347"/>
      <c r="K10" s="73"/>
      <c r="L10" s="348"/>
      <c r="M10" s="73"/>
      <c r="N10" s="348"/>
      <c r="O10" s="263"/>
      <c r="P10" s="348"/>
      <c r="Q10" s="199" t="s">
        <v>33</v>
      </c>
      <c r="R10" s="360"/>
      <c r="S10" s="263"/>
      <c r="T10" s="347"/>
      <c r="U10" s="263"/>
      <c r="V10" s="347"/>
      <c r="W10" s="263"/>
      <c r="X10" s="347"/>
      <c r="Y10" s="263"/>
      <c r="Z10" s="5"/>
    </row>
    <row r="11" spans="1:26" s="3" customFormat="1" hidden="1" x14ac:dyDescent="0.25">
      <c r="A11" s="64" t="str">
        <f t="shared" si="0"/>
        <v>Water heating</v>
      </c>
      <c r="B11" s="355" t="s">
        <v>466</v>
      </c>
      <c r="C11" s="354" t="s">
        <v>111</v>
      </c>
      <c r="D11" s="353" t="s">
        <v>452</v>
      </c>
      <c r="E11" s="263"/>
      <c r="F11" s="347"/>
      <c r="G11" s="73"/>
      <c r="H11" s="348"/>
      <c r="I11" s="73"/>
      <c r="J11" s="347"/>
      <c r="K11" s="263"/>
      <c r="L11" s="348"/>
      <c r="M11" s="263"/>
      <c r="N11" s="348"/>
      <c r="O11" s="199" t="s">
        <v>69</v>
      </c>
      <c r="P11" s="360"/>
      <c r="Q11" s="263"/>
      <c r="R11" s="347"/>
      <c r="S11" s="263"/>
      <c r="T11" s="347"/>
      <c r="U11" s="263"/>
      <c r="V11" s="347"/>
      <c r="W11" s="263"/>
      <c r="X11" s="347"/>
      <c r="Y11" s="263"/>
      <c r="Z11" s="5"/>
    </row>
    <row r="12" spans="1:26" s="3" customFormat="1" hidden="1" x14ac:dyDescent="0.25">
      <c r="A12" s="64" t="str">
        <f t="shared" si="0"/>
        <v>Dishwashing</v>
      </c>
      <c r="B12" s="355" t="s">
        <v>467</v>
      </c>
      <c r="C12" s="354" t="s">
        <v>111</v>
      </c>
      <c r="D12" s="353" t="s">
        <v>452</v>
      </c>
      <c r="E12" s="263"/>
      <c r="F12" s="347"/>
      <c r="G12" s="73"/>
      <c r="H12" s="348"/>
      <c r="I12" s="73"/>
      <c r="J12" s="347"/>
      <c r="K12" s="73"/>
      <c r="L12" s="348"/>
      <c r="M12" s="199" t="s">
        <v>113</v>
      </c>
      <c r="N12" s="360"/>
      <c r="O12" s="73"/>
      <c r="P12" s="347"/>
      <c r="Q12" s="263"/>
      <c r="R12" s="347"/>
      <c r="S12" s="263"/>
      <c r="T12" s="347"/>
      <c r="U12" s="263"/>
      <c r="V12" s="347"/>
      <c r="W12" s="263"/>
      <c r="X12" s="347"/>
      <c r="Y12" s="263"/>
      <c r="Z12" s="5"/>
    </row>
    <row r="13" spans="1:26" s="3" customFormat="1" hidden="1" x14ac:dyDescent="0.25">
      <c r="A13" s="64" t="str">
        <f t="shared" si="0"/>
        <v>Clothes washing</v>
      </c>
      <c r="B13" s="355" t="s">
        <v>468</v>
      </c>
      <c r="C13" s="354" t="s">
        <v>111</v>
      </c>
      <c r="D13" s="353" t="s">
        <v>452</v>
      </c>
      <c r="E13" s="263"/>
      <c r="F13" s="347"/>
      <c r="G13" s="73"/>
      <c r="H13" s="348"/>
      <c r="I13" s="73"/>
      <c r="J13" s="347"/>
      <c r="K13" s="73"/>
      <c r="L13" s="348"/>
      <c r="M13" s="23" t="s">
        <v>68</v>
      </c>
      <c r="N13" s="360"/>
      <c r="O13" s="263"/>
      <c r="P13" s="347"/>
      <c r="Q13" s="263"/>
      <c r="R13" s="347"/>
      <c r="S13" s="263"/>
      <c r="T13" s="347"/>
      <c r="U13" s="263"/>
      <c r="V13" s="347"/>
      <c r="W13" s="263"/>
      <c r="X13" s="347"/>
      <c r="Y13" s="263"/>
      <c r="Z13" s="5"/>
    </row>
    <row r="14" spans="1:26" s="3" customFormat="1" hidden="1" x14ac:dyDescent="0.25">
      <c r="A14" s="64" t="str">
        <f t="shared" si="0"/>
        <v>Electricity</v>
      </c>
      <c r="B14" s="355" t="s">
        <v>469</v>
      </c>
      <c r="C14" s="354" t="s">
        <v>112</v>
      </c>
      <c r="D14" s="353" t="s">
        <v>452</v>
      </c>
      <c r="E14" s="263"/>
      <c r="F14" s="347"/>
      <c r="G14" s="73"/>
      <c r="H14" s="348"/>
      <c r="I14" s="199" t="s">
        <v>2</v>
      </c>
      <c r="J14" s="352">
        <v>999</v>
      </c>
      <c r="K14" s="73"/>
      <c r="L14" s="347"/>
      <c r="M14" s="263"/>
      <c r="N14" s="347"/>
      <c r="O14" s="263"/>
      <c r="P14" s="347"/>
      <c r="Q14" s="263"/>
      <c r="R14" s="347"/>
      <c r="S14" s="263"/>
      <c r="T14" s="347"/>
      <c r="U14" s="263"/>
      <c r="V14" s="347"/>
      <c r="W14" s="263"/>
      <c r="X14" s="347"/>
      <c r="Y14" s="263"/>
      <c r="Z14" s="5"/>
    </row>
    <row r="15" spans="1:26" s="3" customFormat="1" hidden="1" x14ac:dyDescent="0.25">
      <c r="A15" s="64" t="str">
        <f t="shared" si="0"/>
        <v>Generation</v>
      </c>
      <c r="B15" s="355" t="s">
        <v>470</v>
      </c>
      <c r="C15" s="354" t="s">
        <v>112</v>
      </c>
      <c r="D15" s="353" t="s">
        <v>452</v>
      </c>
      <c r="E15" s="263"/>
      <c r="F15" s="347"/>
      <c r="G15" s="73"/>
      <c r="H15" s="348"/>
      <c r="I15" s="73"/>
      <c r="J15" s="347"/>
      <c r="K15" s="23" t="s">
        <v>4</v>
      </c>
      <c r="L15" s="352">
        <v>999</v>
      </c>
      <c r="M15" s="73"/>
      <c r="N15" s="347"/>
      <c r="O15" s="263"/>
      <c r="P15" s="347"/>
      <c r="Q15" s="263"/>
      <c r="R15" s="347"/>
      <c r="S15" s="263"/>
      <c r="T15" s="347"/>
      <c r="U15" s="263"/>
      <c r="V15" s="347"/>
      <c r="W15" s="263"/>
      <c r="X15" s="347"/>
      <c r="Y15" s="263"/>
      <c r="Z15" s="5"/>
    </row>
    <row r="16" spans="1:26" s="3" customFormat="1" hidden="1" x14ac:dyDescent="0.25">
      <c r="A16" s="64" t="str">
        <f t="shared" si="0"/>
        <v>Base load</v>
      </c>
      <c r="B16" s="355" t="s">
        <v>471</v>
      </c>
      <c r="C16" s="354" t="s">
        <v>112</v>
      </c>
      <c r="D16" s="353" t="s">
        <v>452</v>
      </c>
      <c r="E16" s="263"/>
      <c r="F16" s="347"/>
      <c r="G16" s="73"/>
      <c r="H16" s="348"/>
      <c r="I16" s="73"/>
      <c r="J16" s="347"/>
      <c r="K16" s="211"/>
      <c r="L16" s="348"/>
      <c r="M16" s="199" t="s">
        <v>3</v>
      </c>
      <c r="N16" s="352">
        <v>999</v>
      </c>
      <c r="O16" s="263"/>
      <c r="P16" s="347"/>
      <c r="Q16" s="263"/>
      <c r="R16" s="347"/>
      <c r="S16" s="263"/>
      <c r="T16" s="347"/>
      <c r="U16" s="263"/>
      <c r="V16" s="347"/>
      <c r="W16" s="263"/>
      <c r="X16" s="347"/>
      <c r="Y16" s="263"/>
      <c r="Z16" s="5"/>
    </row>
    <row r="17" spans="1:26" s="3" customFormat="1" hidden="1" x14ac:dyDescent="0.25">
      <c r="A17" s="64" t="str">
        <f t="shared" si="0"/>
        <v>Conventional</v>
      </c>
      <c r="B17" s="355" t="s">
        <v>472</v>
      </c>
      <c r="C17" s="354" t="s">
        <v>112</v>
      </c>
      <c r="D17" s="353" t="s">
        <v>452</v>
      </c>
      <c r="E17" s="263"/>
      <c r="F17" s="347"/>
      <c r="G17" s="73"/>
      <c r="H17" s="348"/>
      <c r="I17" s="73"/>
      <c r="J17" s="347"/>
      <c r="K17" s="211"/>
      <c r="L17" s="347"/>
      <c r="M17" s="73"/>
      <c r="N17" s="348"/>
      <c r="O17" s="199" t="s">
        <v>71</v>
      </c>
      <c r="P17" s="360"/>
      <c r="Q17" s="263"/>
      <c r="R17" s="347"/>
      <c r="S17" s="263"/>
      <c r="T17" s="347"/>
      <c r="U17" s="263"/>
      <c r="V17" s="347"/>
      <c r="W17" s="263"/>
      <c r="X17" s="347"/>
      <c r="Y17" s="263"/>
      <c r="Z17" s="5"/>
    </row>
    <row r="18" spans="1:26" s="3" customFormat="1" hidden="1" x14ac:dyDescent="0.25">
      <c r="A18" s="64" t="str">
        <f t="shared" si="0"/>
        <v>Renewables</v>
      </c>
      <c r="B18" s="355" t="s">
        <v>473</v>
      </c>
      <c r="C18" s="354" t="s">
        <v>112</v>
      </c>
      <c r="D18" s="353" t="s">
        <v>452</v>
      </c>
      <c r="E18" s="263"/>
      <c r="F18" s="347"/>
      <c r="G18" s="73"/>
      <c r="H18" s="348"/>
      <c r="I18" s="73"/>
      <c r="J18" s="347"/>
      <c r="K18" s="211"/>
      <c r="L18" s="347"/>
      <c r="M18" s="73"/>
      <c r="N18" s="348"/>
      <c r="O18" s="199" t="s">
        <v>72</v>
      </c>
      <c r="P18" s="360"/>
      <c r="Q18" s="263"/>
      <c r="R18" s="347"/>
      <c r="S18" s="263"/>
      <c r="T18" s="347"/>
      <c r="U18" s="263"/>
      <c r="V18" s="347"/>
      <c r="W18" s="263"/>
      <c r="X18" s="347"/>
      <c r="Y18" s="263"/>
      <c r="Z18" s="5"/>
    </row>
    <row r="19" spans="1:26" s="3" customFormat="1" hidden="1" x14ac:dyDescent="0.25">
      <c r="A19" s="64" t="str">
        <f t="shared" si="0"/>
        <v>Transmission Losses</v>
      </c>
      <c r="B19" s="355" t="s">
        <v>474</v>
      </c>
      <c r="C19" s="354" t="s">
        <v>112</v>
      </c>
      <c r="D19" s="353" t="s">
        <v>452</v>
      </c>
      <c r="E19" s="263"/>
      <c r="F19" s="347"/>
      <c r="G19" s="73"/>
      <c r="H19" s="348"/>
      <c r="I19" s="73"/>
      <c r="J19" s="347"/>
      <c r="K19" s="23" t="s">
        <v>339</v>
      </c>
      <c r="L19" s="360"/>
      <c r="M19" s="73"/>
      <c r="N19" s="347"/>
      <c r="O19" s="263"/>
      <c r="P19" s="347"/>
      <c r="Q19" s="263"/>
      <c r="R19" s="347"/>
      <c r="S19" s="263"/>
      <c r="T19" s="347"/>
      <c r="U19" s="263"/>
      <c r="V19" s="347"/>
      <c r="W19" s="263"/>
      <c r="X19" s="347"/>
      <c r="Y19" s="263"/>
      <c r="Z19" s="5"/>
    </row>
    <row r="20" spans="1:26" s="3" customFormat="1" hidden="1" x14ac:dyDescent="0.25">
      <c r="A20" s="64" t="str">
        <f t="shared" si="0"/>
        <v>Natural Gas</v>
      </c>
      <c r="B20" s="355" t="s">
        <v>475</v>
      </c>
      <c r="C20" s="354" t="s">
        <v>112</v>
      </c>
      <c r="D20" s="353" t="s">
        <v>452</v>
      </c>
      <c r="E20" s="263"/>
      <c r="F20" s="347"/>
      <c r="G20" s="73"/>
      <c r="H20" s="348"/>
      <c r="I20" s="199" t="s">
        <v>14</v>
      </c>
      <c r="J20" s="360"/>
      <c r="K20" s="73"/>
      <c r="L20" s="347"/>
      <c r="M20" s="73"/>
      <c r="N20" s="347"/>
      <c r="O20" s="263"/>
      <c r="P20" s="347"/>
      <c r="Q20" s="263"/>
      <c r="R20" s="347"/>
      <c r="S20" s="263"/>
      <c r="T20" s="347"/>
      <c r="U20" s="263"/>
      <c r="V20" s="347"/>
      <c r="W20" s="263"/>
      <c r="X20" s="347"/>
      <c r="Y20" s="263"/>
      <c r="Z20" s="5"/>
    </row>
    <row r="21" spans="1:26" s="3" customFormat="1" hidden="1" x14ac:dyDescent="0.25">
      <c r="A21" s="64" t="str">
        <f t="shared" si="0"/>
        <v>Solar</v>
      </c>
      <c r="B21" s="355" t="s">
        <v>476</v>
      </c>
      <c r="C21" s="354" t="s">
        <v>112</v>
      </c>
      <c r="D21" s="353" t="s">
        <v>452</v>
      </c>
      <c r="E21" s="263"/>
      <c r="F21" s="347"/>
      <c r="G21" s="73"/>
      <c r="H21" s="348"/>
      <c r="I21" s="199" t="s">
        <v>253</v>
      </c>
      <c r="J21" s="360"/>
      <c r="K21" s="73"/>
      <c r="L21" s="347"/>
      <c r="M21" s="73"/>
      <c r="N21" s="347"/>
      <c r="O21" s="263"/>
      <c r="P21" s="347"/>
      <c r="Q21" s="263"/>
      <c r="R21" s="347"/>
      <c r="S21" s="263"/>
      <c r="T21" s="347"/>
      <c r="U21" s="263"/>
      <c r="V21" s="347"/>
      <c r="W21" s="263"/>
      <c r="X21" s="347"/>
      <c r="Y21" s="263"/>
      <c r="Z21" s="5"/>
    </row>
    <row r="22" spans="1:26" s="3" customFormat="1" hidden="1" x14ac:dyDescent="0.25">
      <c r="A22" s="64" t="str">
        <f t="shared" si="0"/>
        <v>Wind</v>
      </c>
      <c r="B22" s="355" t="s">
        <v>477</v>
      </c>
      <c r="C22" s="354" t="s">
        <v>112</v>
      </c>
      <c r="D22" s="353" t="s">
        <v>452</v>
      </c>
      <c r="E22" s="263"/>
      <c r="F22" s="347"/>
      <c r="G22" s="73"/>
      <c r="H22" s="348"/>
      <c r="I22" s="199" t="s">
        <v>172</v>
      </c>
      <c r="J22" s="360"/>
      <c r="K22" s="73"/>
      <c r="L22" s="347"/>
      <c r="M22" s="73"/>
      <c r="N22" s="347"/>
      <c r="O22" s="263"/>
      <c r="P22" s="347"/>
      <c r="Q22" s="263"/>
      <c r="R22" s="347"/>
      <c r="S22" s="263"/>
      <c r="T22" s="347"/>
      <c r="U22" s="263"/>
      <c r="V22" s="347"/>
      <c r="W22" s="263"/>
      <c r="X22" s="347"/>
      <c r="Y22" s="263"/>
      <c r="Z22" s="5"/>
    </row>
    <row r="23" spans="1:26" s="3" customFormat="1" hidden="1" x14ac:dyDescent="0.25">
      <c r="A23" s="64" t="str">
        <f t="shared" si="0"/>
        <v>Water</v>
      </c>
      <c r="B23" s="355" t="s">
        <v>478</v>
      </c>
      <c r="C23" s="354" t="s">
        <v>112</v>
      </c>
      <c r="D23" s="353" t="s">
        <v>452</v>
      </c>
      <c r="E23" s="263"/>
      <c r="F23" s="347"/>
      <c r="G23" s="73"/>
      <c r="H23" s="348"/>
      <c r="I23" s="199" t="s">
        <v>419</v>
      </c>
      <c r="J23" s="360"/>
      <c r="K23" s="73"/>
      <c r="L23" s="347"/>
      <c r="M23" s="73"/>
      <c r="N23" s="347"/>
      <c r="O23" s="263"/>
      <c r="P23" s="347"/>
      <c r="Q23" s="263"/>
      <c r="R23" s="347"/>
      <c r="S23" s="263"/>
      <c r="T23" s="347"/>
      <c r="U23" s="263"/>
      <c r="V23" s="347"/>
      <c r="W23" s="263"/>
      <c r="X23" s="347"/>
      <c r="Y23" s="263"/>
      <c r="Z23" s="5"/>
    </row>
    <row r="24" spans="1:26" hidden="1" x14ac:dyDescent="0.25">
      <c r="A24" s="64" t="str">
        <f t="shared" si="0"/>
        <v/>
      </c>
      <c r="B24" s="354"/>
      <c r="C24" s="354"/>
      <c r="D24" s="353" t="s">
        <v>452</v>
      </c>
      <c r="Z24" s="5"/>
    </row>
    <row r="25" spans="1:26" hidden="1" x14ac:dyDescent="0.25">
      <c r="A25" s="64" t="str">
        <f t="shared" si="0"/>
        <v/>
      </c>
      <c r="C25" s="354"/>
      <c r="D25" s="353" t="s">
        <v>452</v>
      </c>
      <c r="Z25" s="5"/>
    </row>
  </sheetData>
  <phoneticPr fontId="22" type="noConversion"/>
  <conditionalFormatting sqref="E3:E100000">
    <cfRule type="cellIs" dxfId="39" priority="2" stopIfTrue="1" operator="notEqual">
      <formula>0</formula>
    </cfRule>
  </conditionalFormatting>
  <conditionalFormatting sqref="D3:D100000">
    <cfRule type="expression" dxfId="38" priority="1" stopIfTrue="1">
      <formula>AND($A3&lt;&gt;"",OR($B3="",$C3=""))</formula>
    </cfRule>
  </conditionalFormatting>
  <conditionalFormatting sqref="I3:I100000">
    <cfRule type="expression" dxfId="37" priority="4" stopIfTrue="1">
      <formula>AND(I3&lt;&gt;0,$C3="Demand")</formula>
    </cfRule>
    <cfRule type="expression" dxfId="36" priority="13" stopIfTrue="1">
      <formula>AND(I3&lt;&gt;0,$C3="Supply")</formula>
    </cfRule>
  </conditionalFormatting>
  <conditionalFormatting sqref="K3:K100000">
    <cfRule type="expression" dxfId="35" priority="5" stopIfTrue="1">
      <formula>AND(K3&lt;&gt;0,$C3="Demand")</formula>
    </cfRule>
    <cfRule type="expression" dxfId="34" priority="14" stopIfTrue="1">
      <formula>AND(K3&lt;&gt;0,$C3="Supply")</formula>
    </cfRule>
  </conditionalFormatting>
  <conditionalFormatting sqref="G3:G100000">
    <cfRule type="cellIs" dxfId="33" priority="3" stopIfTrue="1" operator="notEqual">
      <formula>0</formula>
    </cfRule>
  </conditionalFormatting>
  <conditionalFormatting sqref="M3:M100000">
    <cfRule type="expression" dxfId="32" priority="6" stopIfTrue="1">
      <formula>AND(M3&lt;&gt;0,$C3="Demand")</formula>
    </cfRule>
    <cfRule type="expression" dxfId="31" priority="15" stopIfTrue="1">
      <formula>AND(M3&lt;&gt;0,$C3="Supply")</formula>
    </cfRule>
  </conditionalFormatting>
  <conditionalFormatting sqref="O3:O100000">
    <cfRule type="expression" dxfId="30" priority="7" stopIfTrue="1">
      <formula>AND(O3&lt;&gt;0,$C3="Demand")</formula>
    </cfRule>
    <cfRule type="expression" dxfId="29" priority="16" stopIfTrue="1">
      <formula>AND(O3&lt;&gt;0,$C3="Supply")</formula>
    </cfRule>
  </conditionalFormatting>
  <conditionalFormatting sqref="Q3:Q100000">
    <cfRule type="expression" dxfId="28" priority="8" stopIfTrue="1">
      <formula>AND(Q3&lt;&gt;0,$C3="Demand")</formula>
    </cfRule>
    <cfRule type="expression" dxfId="27" priority="17" stopIfTrue="1">
      <formula>AND(Q3&lt;&gt;0,$C3="Supply")</formula>
    </cfRule>
  </conditionalFormatting>
  <conditionalFormatting sqref="S3:S100000">
    <cfRule type="expression" dxfId="26" priority="9" stopIfTrue="1">
      <formula>AND(S3&lt;&gt;0,$C3="Demand")</formula>
    </cfRule>
    <cfRule type="expression" dxfId="25" priority="18" stopIfTrue="1">
      <formula>AND(S3&lt;&gt;0,$C3="Supply")</formula>
    </cfRule>
  </conditionalFormatting>
  <conditionalFormatting sqref="U3:U100000">
    <cfRule type="expression" dxfId="24" priority="10" stopIfTrue="1">
      <formula>AND(U3&lt;&gt;0,$C3="Demand")</formula>
    </cfRule>
    <cfRule type="expression" dxfId="23" priority="19" stopIfTrue="1">
      <formula>AND(U3&lt;&gt;0,$C3="Supply")</formula>
    </cfRule>
  </conditionalFormatting>
  <conditionalFormatting sqref="W3:W100000">
    <cfRule type="expression" dxfId="22" priority="11" stopIfTrue="1">
      <formula>AND(W3&lt;&gt;0,$C3="Demand")</formula>
    </cfRule>
    <cfRule type="expression" dxfId="21" priority="20" stopIfTrue="1">
      <formula>AND(W3&lt;&gt;0,$C3="Supply")</formula>
    </cfRule>
  </conditionalFormatting>
  <conditionalFormatting sqref="Y3:Y100000">
    <cfRule type="expression" dxfId="20" priority="12" stopIfTrue="1">
      <formula>AND(Y3&lt;&gt;0,$C3="Demand")</formula>
    </cfRule>
    <cfRule type="expression" dxfId="19" priority="21" stopIfTrue="1">
      <formula>AND(Y3&lt;&gt;0,$C3="Supply")</formula>
    </cfRule>
  </conditionalFormatting>
  <hyperlinks>
    <hyperlink ref="G5" location="$G$5" display="$G$5" xr:uid="{A00539EB-ED69-4CA0-A8CD-598F0C3C77B8}"/>
    <hyperlink ref="I6" location="$I$6" display="$I$6" xr:uid="{FECE9C28-985C-4770-A3AB-1C5B4367721C}"/>
    <hyperlink ref="E4" location="$E$4" display="$E$4" xr:uid="{068FF690-A95B-4670-8352-B1A6F60F9726}"/>
    <hyperlink ref="K7" location="$K$7" display="$K$7" xr:uid="{0BFE3CE2-7126-46B8-92BE-DBE7F508C1AF}"/>
    <hyperlink ref="M8" location="$M$8" display="$M$8" xr:uid="{AC69F5FC-BE6E-447D-B37F-2EECDBF336F0}"/>
    <hyperlink ref="O9" location="$O$9" display="$O$9" xr:uid="{57FF1B97-B486-4669-A583-8AAE15A2953E}"/>
    <hyperlink ref="Q10" location="$Q$10" display="$Q$10" xr:uid="{0FDF796E-DEDC-4726-AB67-DDB70E21A1BE}"/>
    <hyperlink ref="O11" location="$O$11" display="$O$11" xr:uid="{2448D2C5-F46C-4376-BAD5-03F930F537CC}"/>
    <hyperlink ref="I14" location="$I$14" display="$I$14" xr:uid="{E4A648B1-BAFE-44B6-AC8B-AE36B8C874EC}"/>
    <hyperlink ref="K15" location="$K$15" display="$K$15" xr:uid="{8467D7B9-11E3-4726-9EDB-EB364E824B5A}"/>
    <hyperlink ref="M16" location="$M$16" display="$M$16" xr:uid="{F1ADEA5E-B258-46C5-96EB-80715123B904}"/>
    <hyperlink ref="O17" location="$O$17" display="$O$17" xr:uid="{C9A1F272-69D9-4603-8288-681167745538}"/>
    <hyperlink ref="O18" location="$O$18" display="$O$18" xr:uid="{40D92029-ECF7-40B5-A6EF-3D49DA49D975}"/>
    <hyperlink ref="M12" location="$M$12" display="$M$12" xr:uid="{78109602-7692-4866-8DE9-5A1A8234B7E1}"/>
    <hyperlink ref="M13" location="$M$13" display="$M$13" xr:uid="{2573A400-3FCC-4490-8045-4B18801A8FA3}"/>
    <hyperlink ref="I20" location="$I$20" display="$I$20" xr:uid="{416771BB-8781-4CE2-84FF-95B679EDF975}"/>
    <hyperlink ref="I21" location="$I$21" display="$I$21" xr:uid="{342093F3-404E-4F82-AC02-8AE0C92F65AB}"/>
    <hyperlink ref="I22" location="$I$22" display="$I$22" xr:uid="{B3398EB2-A599-47BF-B2E4-A0DFC68647A8}"/>
    <hyperlink ref="K19" location="$K$19" display="$K$19" xr:uid="{1C8AE8B2-9122-49E8-9012-FAC3288EDAFA}"/>
    <hyperlink ref="I23" location="$I$23" display="$I$23" xr:uid="{E45C0607-03AE-4611-96C1-0E00D5D8BC26}"/>
    <hyperlink ref="N8" location="$N$8" display="$N$8" xr:uid="{AE991615-430D-488F-8AB6-E5702EED81DB}"/>
    <hyperlink ref="L7" location="$L$7" display="$L$7" xr:uid="{D52618C5-7A5B-40C5-AC7A-8A3D123622D3}"/>
    <hyperlink ref="L15" location="$L$15" display="$L$15" xr:uid="{28EE7CD6-CC68-4D48-B305-3C4DB86C4492}"/>
    <hyperlink ref="N16" location="$N$16" display="$N$16" xr:uid="{A2201DB7-607D-48CD-BC18-D82C22AF3FC5}"/>
    <hyperlink ref="J14" location="$J$14" display="$J$14" xr:uid="{BEFB9CD4-906C-4436-9F0F-30AFD1637C0B}"/>
    <hyperlink ref="H5" location="$H$5" display="$H$5" xr:uid="{B0A6EFE6-91E8-47DB-8448-D946B3F2EA18}"/>
    <hyperlink ref="F4" location="$F$4" display="$F$4" xr:uid="{952AA0B9-9EAF-4374-A34C-4AE761614E8A}"/>
    <hyperlink ref="P9" location="$P$9" display="$P$9" xr:uid="{C9F54545-7832-49CD-83B1-9EBFE7E82594}"/>
    <hyperlink ref="J6" location="$J$6" display="$J$6" xr:uid="{E5027CE3-266B-4B6D-9A72-9D992C14B134}"/>
  </hyperlink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D0FD06-4C66-4FAF-9DEC-4B53EC5BA440}">
  <sheetPr codeName="Map1">
    <tabColor theme="1"/>
    <outlinePr summaryBelow="0" summaryRight="0"/>
  </sheetPr>
  <dimension ref="A1:T1174"/>
  <sheetViews>
    <sheetView showGridLines="0" zoomScale="70" zoomScaleNormal="70" workbookViewId="0">
      <pane ySplit="2" topLeftCell="A38" activePane="bottomLeft" state="frozen"/>
      <selection pane="bottomLeft" activeCell="A38" sqref="A38"/>
    </sheetView>
    <sheetView tabSelected="1" zoomScale="70" zoomScaleNormal="70" workbookViewId="1">
      <pane ySplit="2" topLeftCell="A12" activePane="bottomLeft" state="frozenSplit"/>
      <selection pane="bottomLeft" activeCell="D7" sqref="D7"/>
    </sheetView>
  </sheetViews>
  <sheetFormatPr defaultRowHeight="15" x14ac:dyDescent="0.25"/>
  <cols>
    <col min="1" max="1" width="25.42578125" style="22" bestFit="1" customWidth="1"/>
    <col min="2" max="2" width="40" style="2" bestFit="1" customWidth="1"/>
    <col min="3" max="3" width="23.5703125" style="15" bestFit="1" customWidth="1"/>
    <col min="4" max="4" width="66.85546875" style="2" bestFit="1" customWidth="1"/>
    <col min="5" max="5" width="31.28515625" style="2" bestFit="1" customWidth="1"/>
    <col min="6" max="6" width="50.28515625" style="2" bestFit="1" customWidth="1"/>
    <col min="7" max="17" width="15.7109375" style="2" customWidth="1"/>
    <col min="18" max="18" width="2.7109375" style="2" customWidth="1"/>
    <col min="19" max="19" width="27.5703125" style="15" bestFit="1" customWidth="1"/>
    <col min="20" max="20" width="2.7109375" style="2" customWidth="1"/>
    <col min="21" max="16384" width="9.140625" style="2"/>
  </cols>
  <sheetData>
    <row r="1" spans="1:20" s="19" customFormat="1" x14ac:dyDescent="0.25">
      <c r="C1" s="206" t="s">
        <v>304</v>
      </c>
      <c r="E1" s="10"/>
      <c r="F1" s="203"/>
      <c r="G1" s="10"/>
      <c r="H1" s="286" t="s">
        <v>420</v>
      </c>
      <c r="I1" s="10"/>
      <c r="J1" s="10"/>
      <c r="K1" s="10"/>
      <c r="L1" s="10"/>
      <c r="M1" s="10"/>
      <c r="N1" s="10"/>
      <c r="O1" s="10"/>
      <c r="P1" s="10"/>
      <c r="Q1" s="10"/>
      <c r="R1" s="20"/>
      <c r="S1" s="24" t="s">
        <v>78</v>
      </c>
      <c r="T1" s="20"/>
    </row>
    <row r="2" spans="1:20" s="19" customFormat="1" x14ac:dyDescent="0.25">
      <c r="A2" s="6" t="s">
        <v>49</v>
      </c>
      <c r="B2" s="204" t="s">
        <v>9</v>
      </c>
      <c r="C2" s="204" t="s">
        <v>77</v>
      </c>
      <c r="D2" s="204" t="s">
        <v>6</v>
      </c>
      <c r="E2" s="204" t="s">
        <v>16</v>
      </c>
      <c r="F2" s="205" t="s">
        <v>8</v>
      </c>
      <c r="G2" s="7">
        <v>2000</v>
      </c>
      <c r="H2" s="7">
        <v>2005</v>
      </c>
      <c r="I2" s="7">
        <v>2010</v>
      </c>
      <c r="J2" s="7">
        <v>2015</v>
      </c>
      <c r="K2" s="7">
        <v>2020</v>
      </c>
      <c r="L2" s="7">
        <v>2025</v>
      </c>
      <c r="M2" s="7">
        <v>2030</v>
      </c>
      <c r="N2" s="7">
        <v>2035</v>
      </c>
      <c r="O2" s="7">
        <v>2040</v>
      </c>
      <c r="P2" s="7">
        <v>2045</v>
      </c>
      <c r="Q2" s="7">
        <v>2050</v>
      </c>
      <c r="R2" s="20"/>
      <c r="S2" s="24" t="s">
        <v>76</v>
      </c>
      <c r="T2" s="20"/>
    </row>
    <row r="3" spans="1:20" s="10" customFormat="1" x14ac:dyDescent="0.25">
      <c r="A3" s="21" t="s">
        <v>450</v>
      </c>
      <c r="B3" s="12"/>
      <c r="C3" s="13"/>
      <c r="D3" s="12"/>
      <c r="E3" s="12"/>
      <c r="F3" s="9"/>
      <c r="G3" s="12"/>
      <c r="H3" s="12"/>
      <c r="I3" s="12"/>
      <c r="J3" s="12"/>
      <c r="K3" s="12"/>
      <c r="L3" s="12"/>
      <c r="M3" s="12"/>
      <c r="N3" s="12"/>
      <c r="O3" s="12"/>
      <c r="P3" s="12"/>
      <c r="Q3" s="12"/>
      <c r="R3" s="11"/>
      <c r="S3" s="13"/>
      <c r="T3" s="11"/>
    </row>
    <row r="4" spans="1:20" s="3" customFormat="1" x14ac:dyDescent="0.25">
      <c r="A4" s="359" t="s">
        <v>458</v>
      </c>
      <c r="B4" s="4"/>
      <c r="C4" s="13"/>
      <c r="D4" s="4"/>
      <c r="E4" s="4"/>
      <c r="F4" s="9"/>
      <c r="G4" s="4"/>
      <c r="H4" s="4"/>
      <c r="I4" s="4"/>
      <c r="J4" s="4"/>
      <c r="K4" s="4"/>
      <c r="L4" s="4"/>
      <c r="M4" s="4"/>
      <c r="N4" s="4"/>
      <c r="O4" s="4"/>
      <c r="P4" s="4"/>
      <c r="Q4" s="4"/>
      <c r="R4" s="5"/>
      <c r="S4" s="13"/>
      <c r="T4" s="5"/>
    </row>
    <row r="5" spans="1:20" s="3" customFormat="1" x14ac:dyDescent="0.25">
      <c r="A5" s="21" t="s">
        <v>450</v>
      </c>
      <c r="B5" s="67" t="s">
        <v>313</v>
      </c>
      <c r="C5" s="67" t="s">
        <v>296</v>
      </c>
      <c r="D5" s="4"/>
      <c r="E5" s="67" t="s">
        <v>10</v>
      </c>
      <c r="F5" s="9"/>
      <c r="G5" s="277">
        <v>2000</v>
      </c>
      <c r="H5" s="277">
        <v>2005</v>
      </c>
      <c r="I5" s="277">
        <v>2010</v>
      </c>
      <c r="J5" s="277">
        <v>2015</v>
      </c>
      <c r="K5" s="277">
        <v>2020</v>
      </c>
      <c r="L5" s="277">
        <v>2025</v>
      </c>
      <c r="M5" s="277">
        <v>2030</v>
      </c>
      <c r="N5" s="277"/>
      <c r="O5" s="277"/>
      <c r="P5" s="277"/>
      <c r="Q5" s="277"/>
      <c r="R5" s="5"/>
      <c r="S5" s="13"/>
      <c r="T5" s="5"/>
    </row>
    <row r="6" spans="1:20" s="3" customFormat="1" x14ac:dyDescent="0.25">
      <c r="A6" s="21" t="s">
        <v>450</v>
      </c>
      <c r="B6" s="67" t="s">
        <v>325</v>
      </c>
      <c r="C6" s="4"/>
      <c r="D6" s="4"/>
      <c r="E6" s="67" t="s">
        <v>328</v>
      </c>
      <c r="F6" s="210">
        <v>2015</v>
      </c>
      <c r="G6" s="4"/>
      <c r="H6" s="4"/>
      <c r="I6" s="4"/>
      <c r="J6" s="4"/>
      <c r="K6" s="4"/>
      <c r="L6" s="4"/>
      <c r="M6" s="4"/>
      <c r="N6" s="4"/>
      <c r="O6" s="4"/>
      <c r="P6" s="4"/>
      <c r="Q6" s="4"/>
      <c r="R6" s="5"/>
      <c r="S6" s="13"/>
      <c r="T6" s="5"/>
    </row>
    <row r="7" spans="1:20" s="3" customFormat="1" x14ac:dyDescent="0.25">
      <c r="A7" s="21" t="s">
        <v>450</v>
      </c>
      <c r="B7" s="67" t="s">
        <v>47</v>
      </c>
      <c r="C7" s="25"/>
      <c r="D7" s="2"/>
      <c r="E7" s="2"/>
      <c r="F7" s="202" t="s">
        <v>22</v>
      </c>
      <c r="G7" s="4"/>
      <c r="H7" s="4"/>
      <c r="I7" s="4"/>
      <c r="J7" s="4"/>
      <c r="K7" s="4"/>
      <c r="L7" s="4"/>
      <c r="M7" s="4"/>
      <c r="N7" s="4"/>
      <c r="O7" s="4"/>
      <c r="P7" s="4"/>
      <c r="Q7" s="4"/>
      <c r="R7" s="5"/>
      <c r="S7" s="25"/>
      <c r="T7" s="5"/>
    </row>
    <row r="8" spans="1:20" s="3" customFormat="1" x14ac:dyDescent="0.25">
      <c r="A8" s="21" t="s">
        <v>450</v>
      </c>
      <c r="B8" s="67" t="s">
        <v>306</v>
      </c>
      <c r="C8" s="67" t="s">
        <v>296</v>
      </c>
      <c r="D8" s="67" t="s">
        <v>459</v>
      </c>
      <c r="E8" s="13" t="s">
        <v>320</v>
      </c>
      <c r="F8" s="9" t="s">
        <v>48</v>
      </c>
      <c r="G8" s="4">
        <v>1</v>
      </c>
      <c r="H8" s="4">
        <v>1</v>
      </c>
      <c r="I8" s="4">
        <v>1</v>
      </c>
      <c r="J8" s="4">
        <v>1</v>
      </c>
      <c r="K8" s="4">
        <v>1</v>
      </c>
      <c r="L8" s="4">
        <v>1</v>
      </c>
      <c r="M8" s="4">
        <v>1</v>
      </c>
      <c r="N8" s="4">
        <v>1</v>
      </c>
      <c r="O8" s="4">
        <v>1</v>
      </c>
      <c r="P8" s="4">
        <v>1</v>
      </c>
      <c r="Q8" s="4">
        <v>1</v>
      </c>
      <c r="R8" s="5"/>
      <c r="S8" s="4"/>
      <c r="T8" s="5"/>
    </row>
    <row r="9" spans="1:20" s="3" customFormat="1" x14ac:dyDescent="0.25">
      <c r="A9" s="21" t="s">
        <v>450</v>
      </c>
      <c r="B9" s="4"/>
      <c r="C9" s="13"/>
      <c r="D9" s="4"/>
      <c r="E9" s="4"/>
      <c r="F9" s="9"/>
      <c r="G9" s="4"/>
      <c r="H9" s="4"/>
      <c r="I9" s="4"/>
      <c r="J9" s="4"/>
      <c r="K9" s="4"/>
      <c r="L9" s="4"/>
      <c r="M9" s="4"/>
      <c r="N9" s="4"/>
      <c r="O9" s="4"/>
      <c r="P9" s="4"/>
      <c r="Q9" s="4"/>
      <c r="R9" s="5"/>
      <c r="S9" s="13"/>
      <c r="T9" s="5"/>
    </row>
    <row r="10" spans="1:20" s="3" customFormat="1" x14ac:dyDescent="0.25">
      <c r="A10" s="359" t="s">
        <v>48</v>
      </c>
      <c r="B10" s="4"/>
      <c r="C10" s="13"/>
      <c r="D10" s="4"/>
      <c r="E10" s="4"/>
      <c r="F10" s="9"/>
      <c r="G10" s="4"/>
      <c r="H10" s="4"/>
      <c r="I10" s="4"/>
      <c r="J10" s="4"/>
      <c r="K10" s="4"/>
      <c r="L10" s="4"/>
      <c r="M10" s="4"/>
      <c r="N10" s="4"/>
      <c r="O10" s="4"/>
      <c r="P10" s="4"/>
      <c r="Q10" s="4"/>
      <c r="R10" s="5"/>
      <c r="S10" s="13"/>
      <c r="T10" s="5"/>
    </row>
    <row r="11" spans="1:20" s="3" customFormat="1" x14ac:dyDescent="0.25">
      <c r="A11" s="21" t="s">
        <v>450</v>
      </c>
      <c r="B11" s="67" t="s">
        <v>305</v>
      </c>
      <c r="C11" s="13"/>
      <c r="D11" s="67" t="s">
        <v>459</v>
      </c>
      <c r="E11" s="4" t="s">
        <v>320</v>
      </c>
      <c r="F11" s="210" t="str">
        <f>A10</f>
        <v>Canada</v>
      </c>
      <c r="G11" s="4"/>
      <c r="H11" s="4"/>
      <c r="I11" s="4"/>
      <c r="J11" s="4"/>
      <c r="K11" s="4"/>
      <c r="L11" s="4"/>
      <c r="M11" s="4"/>
      <c r="N11" s="4"/>
      <c r="O11" s="4"/>
      <c r="P11" s="4"/>
      <c r="Q11" s="4"/>
      <c r="R11" s="5"/>
      <c r="S11" s="13"/>
      <c r="T11" s="5"/>
    </row>
    <row r="12" spans="1:20" s="3" customFormat="1" x14ac:dyDescent="0.25">
      <c r="A12" s="21" t="s">
        <v>450</v>
      </c>
      <c r="B12" s="67" t="s">
        <v>47</v>
      </c>
      <c r="C12" s="25"/>
      <c r="D12" s="2"/>
      <c r="E12" s="2"/>
      <c r="F12" s="202" t="s">
        <v>22</v>
      </c>
      <c r="G12" s="4"/>
      <c r="H12" s="4"/>
      <c r="I12" s="4"/>
      <c r="J12" s="4"/>
      <c r="K12" s="4"/>
      <c r="L12" s="4"/>
      <c r="M12" s="4"/>
      <c r="N12" s="4"/>
      <c r="O12" s="4"/>
      <c r="P12" s="4"/>
      <c r="Q12" s="4"/>
      <c r="R12" s="5"/>
      <c r="S12" s="25"/>
      <c r="T12" s="5"/>
    </row>
    <row r="13" spans="1:20" s="3" customFormat="1" x14ac:dyDescent="0.25">
      <c r="A13" s="21" t="s">
        <v>450</v>
      </c>
      <c r="B13" s="67" t="s">
        <v>306</v>
      </c>
      <c r="C13" s="67" t="s">
        <v>296</v>
      </c>
      <c r="D13" s="67" t="s">
        <v>460</v>
      </c>
      <c r="E13" s="13" t="s">
        <v>320</v>
      </c>
      <c r="F13" s="9" t="s">
        <v>5</v>
      </c>
      <c r="G13" s="4">
        <v>1</v>
      </c>
      <c r="H13" s="4">
        <v>1</v>
      </c>
      <c r="I13" s="4">
        <v>1</v>
      </c>
      <c r="J13" s="4">
        <v>1</v>
      </c>
      <c r="K13" s="4">
        <v>1</v>
      </c>
      <c r="L13" s="4">
        <v>1</v>
      </c>
      <c r="M13" s="4">
        <v>1</v>
      </c>
      <c r="N13" s="4">
        <v>1</v>
      </c>
      <c r="O13" s="4">
        <v>1</v>
      </c>
      <c r="P13" s="4">
        <v>1</v>
      </c>
      <c r="Q13" s="4">
        <v>1</v>
      </c>
      <c r="R13" s="5"/>
      <c r="S13" s="4"/>
      <c r="T13" s="5"/>
    </row>
    <row r="14" spans="1:20" s="3" customFormat="1" x14ac:dyDescent="0.25">
      <c r="A14" s="21" t="s">
        <v>450</v>
      </c>
      <c r="B14" s="4"/>
      <c r="C14" s="13"/>
      <c r="D14" s="4"/>
      <c r="E14" s="4"/>
      <c r="F14" s="9"/>
      <c r="G14" s="4"/>
      <c r="H14" s="4"/>
      <c r="I14" s="4"/>
      <c r="J14" s="4"/>
      <c r="K14" s="4"/>
      <c r="L14" s="4"/>
      <c r="M14" s="4"/>
      <c r="N14" s="4"/>
      <c r="O14" s="4"/>
      <c r="P14" s="4"/>
      <c r="Q14" s="4"/>
      <c r="R14" s="5"/>
      <c r="S14" s="13"/>
      <c r="T14" s="5"/>
    </row>
    <row r="15" spans="1:20" s="3" customFormat="1" x14ac:dyDescent="0.25">
      <c r="A15" s="359" t="s">
        <v>5</v>
      </c>
      <c r="B15" s="4"/>
      <c r="C15" s="13"/>
      <c r="D15" s="4"/>
      <c r="E15" s="4"/>
      <c r="F15" s="9"/>
      <c r="G15" s="4"/>
      <c r="H15" s="4"/>
      <c r="I15" s="4"/>
      <c r="J15" s="4"/>
      <c r="K15" s="4"/>
      <c r="L15" s="4"/>
      <c r="M15" s="4"/>
      <c r="N15" s="4"/>
      <c r="O15" s="4"/>
      <c r="P15" s="4"/>
      <c r="Q15" s="4"/>
      <c r="R15" s="5"/>
      <c r="S15" s="13"/>
      <c r="T15" s="5"/>
    </row>
    <row r="16" spans="1:20" s="3" customFormat="1" x14ac:dyDescent="0.25">
      <c r="A16" s="21" t="s">
        <v>450</v>
      </c>
      <c r="B16" s="67" t="s">
        <v>305</v>
      </c>
      <c r="C16" s="13"/>
      <c r="D16" s="67" t="s">
        <v>460</v>
      </c>
      <c r="E16" s="67" t="s">
        <v>320</v>
      </c>
      <c r="F16" s="202" t="str">
        <f>A15</f>
        <v>Alberta</v>
      </c>
      <c r="G16" s="55"/>
      <c r="H16" s="55"/>
      <c r="I16" s="55"/>
      <c r="J16" s="55"/>
      <c r="K16" s="55"/>
      <c r="L16" s="55"/>
      <c r="M16" s="55"/>
      <c r="N16" s="55"/>
      <c r="O16" s="55"/>
      <c r="P16" s="55"/>
      <c r="Q16" s="55"/>
      <c r="R16" s="5"/>
      <c r="S16" s="13"/>
      <c r="T16" s="5"/>
    </row>
    <row r="17" spans="1:20" s="3" customFormat="1" x14ac:dyDescent="0.25">
      <c r="A17" s="21" t="s">
        <v>450</v>
      </c>
      <c r="B17" s="67" t="s">
        <v>47</v>
      </c>
      <c r="C17" s="25"/>
      <c r="D17" s="2"/>
      <c r="E17" s="2"/>
      <c r="F17" s="202" t="s">
        <v>22</v>
      </c>
      <c r="G17" s="4"/>
      <c r="H17" s="4"/>
      <c r="I17" s="4"/>
      <c r="J17" s="4"/>
      <c r="K17" s="4"/>
      <c r="L17" s="4"/>
      <c r="M17" s="4"/>
      <c r="N17" s="4"/>
      <c r="O17" s="4"/>
      <c r="P17" s="4"/>
      <c r="Q17" s="4"/>
      <c r="R17" s="5"/>
      <c r="S17" s="25"/>
      <c r="T17" s="5"/>
    </row>
    <row r="18" spans="1:20" s="3" customFormat="1" x14ac:dyDescent="0.25">
      <c r="A18" s="21" t="s">
        <v>450</v>
      </c>
      <c r="B18" s="67" t="s">
        <v>318</v>
      </c>
      <c r="C18" s="67" t="str">
        <f>Macro!F3</f>
        <v>StatCan</v>
      </c>
      <c r="D18" s="15"/>
      <c r="E18" s="67" t="s">
        <v>46</v>
      </c>
      <c r="F18" s="202" t="s">
        <v>43</v>
      </c>
      <c r="G18" s="17">
        <f>INDEX(Macro!G$3:G$16,MATCH("Alberta",Macro!$C$3:$C$16,0))</f>
        <v>3004198</v>
      </c>
      <c r="H18" s="17">
        <f>INDEX(Macro!H$3:H$16,MATCH("Alberta",Macro!$C$3:$C$16,0))</f>
        <v>3321768</v>
      </c>
      <c r="I18" s="17">
        <f>INDEX(Macro!I$3:I$16,MATCH("Alberta",Macro!$C$3:$C$16,0))</f>
        <v>3732082</v>
      </c>
      <c r="J18" s="17">
        <f>INDEX(Macro!J$3:J$16,MATCH("Alberta",Macro!$C$3:$C$16,0))</f>
        <v>4144491</v>
      </c>
      <c r="K18" s="17">
        <f>INDEX(Macro!K$3:K$16,MATCH("Alberta",Macro!$C$3:$C$16,0))</f>
        <v>4472800</v>
      </c>
      <c r="L18" s="17">
        <f>INDEX(Macro!L$3:L$16,MATCH("Alberta",Macro!$C$3:$C$16,0))</f>
        <v>4908500</v>
      </c>
      <c r="M18" s="17">
        <f>INDEX(Macro!M$3:M$16,MATCH("Alberta",Macro!$C$3:$C$16,0))</f>
        <v>5360500</v>
      </c>
      <c r="N18" s="17">
        <f>INDEX(Macro!N$3:N$16,MATCH("Alberta",Macro!$C$3:$C$16,0))</f>
        <v>5830000</v>
      </c>
      <c r="O18" s="17">
        <f>INDEX(Macro!O$3:O$16,MATCH("Alberta",Macro!$C$3:$C$16,0))</f>
        <v>6317800</v>
      </c>
      <c r="P18" s="17">
        <f>INDEX(Macro!P$3:P$16,MATCH("Alberta",Macro!$C$3:$C$16,0))</f>
        <v>6546789.4987122808</v>
      </c>
      <c r="Q18" s="17">
        <f>INDEX(Macro!Q$3:Q$16,MATCH("Alberta",Macro!$C$3:$C$16,0))</f>
        <v>6769878.6374783553</v>
      </c>
      <c r="R18" s="5"/>
      <c r="S18" s="4"/>
      <c r="T18" s="5"/>
    </row>
    <row r="19" spans="1:20" s="3" customFormat="1" x14ac:dyDescent="0.25">
      <c r="A19" s="21" t="s">
        <v>450</v>
      </c>
      <c r="B19" s="67" t="s">
        <v>318</v>
      </c>
      <c r="C19" s="67" t="str">
        <f>Macro!F52</f>
        <v>StatCan</v>
      </c>
      <c r="D19" s="15"/>
      <c r="E19" s="201" t="s">
        <v>321</v>
      </c>
      <c r="F19" s="202" t="s">
        <v>44</v>
      </c>
      <c r="G19" s="17">
        <f>INDEX(Macro!G$52:G$65,MATCH("Alberta",Macro!$C$52:$C$65,0))*1000</f>
        <v>217724000</v>
      </c>
      <c r="H19" s="17">
        <f>INDEX(Macro!H$52:H$65,MATCH("Alberta",Macro!$C$52:$C$65,0))*1000</f>
        <v>263911000</v>
      </c>
      <c r="I19" s="17">
        <f>INDEX(Macro!I$52:I$65,MATCH("Alberta",Macro!$C$52:$C$65,0))*1000</f>
        <v>283544000</v>
      </c>
      <c r="J19" s="17">
        <f>INDEX(Macro!J$52:J$65,MATCH("Alberta",Macro!$C$52:$C$65,0))*1000</f>
        <v>337590000</v>
      </c>
      <c r="K19" s="17">
        <f>INDEX(Macro!K$52:K$65,MATCH("Alberta",Macro!$C$52:$C$65,0))*1000</f>
        <v>374179263.03346777</v>
      </c>
      <c r="L19" s="17">
        <f>INDEX(Macro!L$52:L$65,MATCH("Alberta",Macro!$C$52:$C$65,0))*1000</f>
        <v>404742131.51416194</v>
      </c>
      <c r="M19" s="17">
        <f>INDEX(Macro!M$52:M$65,MATCH("Alberta",Macro!$C$52:$C$65,0))*1000</f>
        <v>441255800.0564186</v>
      </c>
      <c r="N19" s="17">
        <f>INDEX(Macro!N$52:N$65,MATCH("Alberta",Macro!$C$52:$C$65,0))*1000</f>
        <v>484096718.83954442</v>
      </c>
      <c r="O19" s="17">
        <f>INDEX(Macro!O$52:O$65,MATCH("Alberta",Macro!$C$52:$C$65,0))*1000</f>
        <v>532616149.82592559</v>
      </c>
      <c r="P19" s="17">
        <f>INDEX(Macro!P$52:P$65,MATCH("Alberta",Macro!$C$52:$C$65,0))*1000</f>
        <v>586750573.98825741</v>
      </c>
      <c r="Q19" s="17">
        <f>INDEX(Macro!Q$52:Q$65,MATCH("Alberta",Macro!$C$52:$C$65,0))*1000</f>
        <v>646120876.01322007</v>
      </c>
      <c r="R19" s="5"/>
      <c r="S19" s="4"/>
      <c r="T19" s="5"/>
    </row>
    <row r="20" spans="1:20" s="3" customFormat="1" x14ac:dyDescent="0.25">
      <c r="A20" s="21" t="s">
        <v>450</v>
      </c>
      <c r="B20" s="67" t="s">
        <v>11</v>
      </c>
      <c r="C20" s="13"/>
      <c r="D20" s="2"/>
      <c r="E20" s="67" t="s">
        <v>322</v>
      </c>
      <c r="F20" s="202" t="s">
        <v>12</v>
      </c>
      <c r="G20" s="34">
        <v>19</v>
      </c>
      <c r="H20" s="34">
        <v>25</v>
      </c>
      <c r="I20" s="34">
        <v>29</v>
      </c>
      <c r="J20" s="34">
        <v>32</v>
      </c>
      <c r="K20" s="34">
        <v>32.64</v>
      </c>
      <c r="L20" s="34">
        <v>33.2928</v>
      </c>
      <c r="M20" s="34">
        <v>33.958655999999998</v>
      </c>
      <c r="N20" s="34">
        <v>34.637829119999999</v>
      </c>
      <c r="O20" s="34">
        <v>35.330585702400001</v>
      </c>
      <c r="P20" s="34">
        <v>36.037197416448002</v>
      </c>
      <c r="Q20" s="34">
        <v>36.757941364776961</v>
      </c>
      <c r="R20" s="5"/>
      <c r="S20" s="13"/>
      <c r="T20" s="5"/>
    </row>
    <row r="21" spans="1:20" s="3" customFormat="1" x14ac:dyDescent="0.25">
      <c r="A21" s="21" t="s">
        <v>450</v>
      </c>
      <c r="B21" s="67" t="s">
        <v>11</v>
      </c>
      <c r="C21" s="13"/>
      <c r="D21" s="2"/>
      <c r="E21" s="67" t="s">
        <v>322</v>
      </c>
      <c r="F21" s="202" t="s">
        <v>13</v>
      </c>
      <c r="G21" s="34">
        <v>20</v>
      </c>
      <c r="H21" s="34">
        <v>26</v>
      </c>
      <c r="I21" s="34">
        <v>30</v>
      </c>
      <c r="J21" s="34">
        <v>33</v>
      </c>
      <c r="K21" s="34">
        <v>33.660000000000004</v>
      </c>
      <c r="L21" s="34">
        <v>34.333200000000005</v>
      </c>
      <c r="M21" s="34">
        <v>35.019864000000005</v>
      </c>
      <c r="N21" s="34">
        <v>35.72026128000001</v>
      </c>
      <c r="O21" s="34">
        <v>36.434666505600013</v>
      </c>
      <c r="P21" s="34">
        <v>37.163359835712015</v>
      </c>
      <c r="Q21" s="34">
        <v>37.906627032426258</v>
      </c>
      <c r="R21" s="5"/>
      <c r="S21" s="13"/>
      <c r="T21" s="5"/>
    </row>
    <row r="22" spans="1:20" s="3" customFormat="1" x14ac:dyDescent="0.25">
      <c r="A22" s="21" t="s">
        <v>450</v>
      </c>
      <c r="B22" s="67" t="s">
        <v>11</v>
      </c>
      <c r="C22" s="193"/>
      <c r="D22" s="2"/>
      <c r="E22" s="67" t="s">
        <v>322</v>
      </c>
      <c r="F22" s="202" t="s">
        <v>14</v>
      </c>
      <c r="G22" s="34">
        <v>11.52</v>
      </c>
      <c r="H22" s="34">
        <v>11.52</v>
      </c>
      <c r="I22" s="34">
        <v>11.52</v>
      </c>
      <c r="J22" s="34">
        <v>11.52</v>
      </c>
      <c r="K22" s="34">
        <v>11.52</v>
      </c>
      <c r="L22" s="34">
        <v>11.52</v>
      </c>
      <c r="M22" s="34">
        <v>11.52</v>
      </c>
      <c r="N22" s="34">
        <v>11.52</v>
      </c>
      <c r="O22" s="34">
        <v>11.52</v>
      </c>
      <c r="P22" s="34">
        <v>11.52</v>
      </c>
      <c r="Q22" s="34">
        <v>11.52</v>
      </c>
      <c r="R22" s="5"/>
      <c r="S22" s="13"/>
      <c r="T22" s="5"/>
    </row>
    <row r="23" spans="1:20" s="3" customFormat="1" x14ac:dyDescent="0.25">
      <c r="A23" s="21" t="s">
        <v>450</v>
      </c>
      <c r="B23" s="67" t="s">
        <v>11</v>
      </c>
      <c r="C23" s="13"/>
      <c r="D23" s="2"/>
      <c r="E23" s="67" t="s">
        <v>322</v>
      </c>
      <c r="F23" s="202" t="s">
        <v>2</v>
      </c>
      <c r="G23" s="34">
        <v>22</v>
      </c>
      <c r="H23" s="34"/>
      <c r="I23" s="34"/>
      <c r="J23" s="34"/>
      <c r="K23" s="34"/>
      <c r="L23" s="34"/>
      <c r="M23" s="34"/>
      <c r="N23" s="34"/>
      <c r="O23" s="34"/>
      <c r="P23" s="34"/>
      <c r="Q23" s="34"/>
      <c r="R23" s="5"/>
      <c r="S23" s="13"/>
      <c r="T23" s="5"/>
    </row>
    <row r="24" spans="1:20" s="3" customFormat="1" x14ac:dyDescent="0.25">
      <c r="A24" s="21" t="s">
        <v>450</v>
      </c>
      <c r="B24" s="67" t="s">
        <v>11</v>
      </c>
      <c r="C24" s="13"/>
      <c r="D24" s="2"/>
      <c r="E24" s="67" t="s">
        <v>322</v>
      </c>
      <c r="F24" s="202" t="s">
        <v>15</v>
      </c>
      <c r="G24" s="34">
        <v>12</v>
      </c>
      <c r="H24" s="34">
        <v>12</v>
      </c>
      <c r="I24" s="34">
        <v>12</v>
      </c>
      <c r="J24" s="34">
        <v>12</v>
      </c>
      <c r="K24" s="34">
        <v>12.24</v>
      </c>
      <c r="L24" s="34">
        <v>12.4848</v>
      </c>
      <c r="M24" s="34">
        <v>12.734496</v>
      </c>
      <c r="N24" s="34">
        <v>12.989185920000001</v>
      </c>
      <c r="O24" s="34">
        <v>13.2489696384</v>
      </c>
      <c r="P24" s="34">
        <v>13.513949031168</v>
      </c>
      <c r="Q24" s="34">
        <v>13.78422801179136</v>
      </c>
      <c r="R24" s="5"/>
      <c r="S24" s="13"/>
      <c r="T24" s="5"/>
    </row>
    <row r="25" spans="1:20" s="3" customFormat="1" x14ac:dyDescent="0.25">
      <c r="A25" s="21" t="s">
        <v>450</v>
      </c>
      <c r="B25" s="67" t="s">
        <v>11</v>
      </c>
      <c r="C25" s="13"/>
      <c r="D25" s="2"/>
      <c r="E25" s="67" t="s">
        <v>323</v>
      </c>
      <c r="F25" s="202" t="s">
        <v>17</v>
      </c>
      <c r="G25" s="34">
        <v>0</v>
      </c>
      <c r="H25" s="34">
        <v>0</v>
      </c>
      <c r="I25" s="34">
        <v>0</v>
      </c>
      <c r="J25" s="34">
        <v>0</v>
      </c>
      <c r="K25" s="34">
        <v>0</v>
      </c>
      <c r="L25" s="34">
        <v>0</v>
      </c>
      <c r="M25" s="34">
        <v>0</v>
      </c>
      <c r="N25" s="34">
        <v>0</v>
      </c>
      <c r="O25" s="34">
        <v>0</v>
      </c>
      <c r="P25" s="34">
        <v>0</v>
      </c>
      <c r="Q25" s="34">
        <v>0</v>
      </c>
      <c r="R25" s="5"/>
      <c r="S25" s="13"/>
      <c r="T25" s="5"/>
    </row>
    <row r="26" spans="1:20" s="3" customFormat="1" x14ac:dyDescent="0.25">
      <c r="A26" s="21" t="s">
        <v>450</v>
      </c>
      <c r="B26" s="67" t="s">
        <v>11</v>
      </c>
      <c r="C26" s="13"/>
      <c r="D26" s="2"/>
      <c r="E26" s="67" t="s">
        <v>323</v>
      </c>
      <c r="F26" s="202" t="s">
        <v>18</v>
      </c>
      <c r="G26" s="34">
        <v>0</v>
      </c>
      <c r="H26" s="34">
        <v>0</v>
      </c>
      <c r="I26" s="34">
        <v>0</v>
      </c>
      <c r="J26" s="34">
        <v>0</v>
      </c>
      <c r="K26" s="34">
        <v>0</v>
      </c>
      <c r="L26" s="34">
        <v>0</v>
      </c>
      <c r="M26" s="34">
        <v>0</v>
      </c>
      <c r="N26" s="34">
        <v>0</v>
      </c>
      <c r="O26" s="34">
        <v>0</v>
      </c>
      <c r="P26" s="34">
        <v>0</v>
      </c>
      <c r="Q26" s="34">
        <v>0</v>
      </c>
      <c r="R26" s="5"/>
      <c r="S26" s="13"/>
      <c r="T26" s="5"/>
    </row>
    <row r="27" spans="1:20" s="3" customFormat="1" x14ac:dyDescent="0.25">
      <c r="A27" s="21" t="s">
        <v>450</v>
      </c>
      <c r="B27" s="67" t="s">
        <v>11</v>
      </c>
      <c r="C27" s="13"/>
      <c r="D27" s="2"/>
      <c r="E27" s="67" t="s">
        <v>323</v>
      </c>
      <c r="F27" s="202" t="s">
        <v>19</v>
      </c>
      <c r="G27" s="34">
        <v>0</v>
      </c>
      <c r="H27" s="34">
        <v>0</v>
      </c>
      <c r="I27" s="34">
        <v>0</v>
      </c>
      <c r="J27" s="34">
        <v>0</v>
      </c>
      <c r="K27" s="34">
        <v>0</v>
      </c>
      <c r="L27" s="34">
        <v>0</v>
      </c>
      <c r="M27" s="34">
        <v>0</v>
      </c>
      <c r="N27" s="34">
        <v>0</v>
      </c>
      <c r="O27" s="34">
        <v>0</v>
      </c>
      <c r="P27" s="34">
        <v>0</v>
      </c>
      <c r="Q27" s="34">
        <v>0</v>
      </c>
      <c r="R27" s="5"/>
      <c r="S27" s="13"/>
      <c r="T27" s="5"/>
    </row>
    <row r="28" spans="1:20" s="3" customFormat="1" x14ac:dyDescent="0.25">
      <c r="A28" s="21" t="s">
        <v>450</v>
      </c>
      <c r="B28" s="67" t="s">
        <v>306</v>
      </c>
      <c r="C28" s="67" t="str">
        <f>Residential!E3</f>
        <v>Census</v>
      </c>
      <c r="D28" s="67" t="s">
        <v>461</v>
      </c>
      <c r="E28" s="67" t="s">
        <v>133</v>
      </c>
      <c r="F28" s="202" t="s">
        <v>0</v>
      </c>
      <c r="G28" s="34">
        <f>1/INDEX(Residential!F$3:F$16,MATCH("Alberta",Residential!$C$3:$C$16,0))</f>
        <v>0.38461538461538458</v>
      </c>
      <c r="H28" s="34">
        <f>1/INDEX(Residential!G$3:G$16,MATCH("Alberta",Residential!$C$3:$C$16,0))</f>
        <v>0.38461538461538458</v>
      </c>
      <c r="I28" s="34">
        <f>1/INDEX(Residential!H$3:H$16,MATCH("Alberta",Residential!$C$3:$C$16,0))</f>
        <v>0.38461538461538458</v>
      </c>
      <c r="J28" s="34">
        <f>1/INDEX(Residential!I$3:I$16,MATCH("Alberta",Residential!$C$3:$C$16,0))</f>
        <v>0.38461538461538458</v>
      </c>
      <c r="K28" s="34">
        <f>1/INDEX(Residential!J$3:J$16,MATCH("Alberta",Residential!$C$3:$C$16,0))</f>
        <v>0.38461538461538458</v>
      </c>
      <c r="L28" s="34">
        <f>1/INDEX(Residential!K$3:K$16,MATCH("Alberta",Residential!$C$3:$C$16,0))</f>
        <v>0.38461538461538458</v>
      </c>
      <c r="M28" s="34">
        <f>1/INDEX(Residential!L$3:L$16,MATCH("Alberta",Residential!$C$3:$C$16,0))</f>
        <v>0.38461538461538458</v>
      </c>
      <c r="N28" s="34">
        <f>1/INDEX(Residential!M$3:M$16,MATCH("Alberta",Residential!$C$3:$C$16,0))</f>
        <v>0.38461538461538458</v>
      </c>
      <c r="O28" s="34">
        <f>1/INDEX(Residential!N$3:N$16,MATCH("Alberta",Residential!$C$3:$C$16,0))</f>
        <v>0.38461538461538458</v>
      </c>
      <c r="P28" s="34">
        <f>1/INDEX(Residential!O$3:O$16,MATCH("Alberta",Residential!$C$3:$C$16,0))</f>
        <v>0.38461538461538458</v>
      </c>
      <c r="Q28" s="34">
        <f>1/INDEX(Residential!P$3:P$16,MATCH("Alberta",Residential!$C$3:$C$16,0))</f>
        <v>0.38461538461538458</v>
      </c>
      <c r="R28" s="5"/>
      <c r="S28" s="4"/>
      <c r="T28" s="5"/>
    </row>
    <row r="29" spans="1:20" s="3" customFormat="1" x14ac:dyDescent="0.25">
      <c r="A29" s="21" t="s">
        <v>450</v>
      </c>
      <c r="B29" s="15"/>
      <c r="C29" s="4"/>
      <c r="D29" s="15"/>
      <c r="E29" s="15"/>
      <c r="F29" s="16"/>
      <c r="G29" s="15"/>
      <c r="H29" s="15"/>
      <c r="I29" s="15"/>
      <c r="J29" s="15"/>
      <c r="K29" s="15"/>
      <c r="L29" s="15"/>
      <c r="M29" s="15"/>
      <c r="N29" s="15"/>
      <c r="O29" s="15"/>
      <c r="P29" s="15"/>
      <c r="Q29" s="15"/>
      <c r="R29" s="5"/>
      <c r="S29" s="4"/>
      <c r="T29" s="5"/>
    </row>
    <row r="30" spans="1:20" s="3" customFormat="1" x14ac:dyDescent="0.25">
      <c r="A30" s="359" t="s">
        <v>0</v>
      </c>
      <c r="B30" s="4"/>
      <c r="C30" s="4"/>
      <c r="D30" s="4"/>
      <c r="E30" s="4"/>
      <c r="F30" s="9"/>
      <c r="G30" s="4"/>
      <c r="H30" s="4"/>
      <c r="I30" s="4"/>
      <c r="J30" s="4"/>
      <c r="K30" s="4"/>
      <c r="L30" s="4"/>
      <c r="M30" s="4"/>
      <c r="N30" s="4"/>
      <c r="O30" s="4"/>
      <c r="P30" s="4"/>
      <c r="Q30" s="4"/>
      <c r="R30" s="5"/>
      <c r="S30" s="4"/>
      <c r="T30" s="5"/>
    </row>
    <row r="31" spans="1:20" s="3" customFormat="1" x14ac:dyDescent="0.25">
      <c r="A31" s="21" t="s">
        <v>450</v>
      </c>
      <c r="B31" s="67" t="s">
        <v>305</v>
      </c>
      <c r="C31" s="25"/>
      <c r="D31" s="67" t="s">
        <v>461</v>
      </c>
      <c r="E31" s="67" t="s">
        <v>123</v>
      </c>
      <c r="F31" s="202" t="str">
        <f>A30</f>
        <v>Residential</v>
      </c>
      <c r="G31" s="17"/>
      <c r="H31" s="17"/>
      <c r="I31" s="17"/>
      <c r="J31" s="17"/>
      <c r="K31" s="17"/>
      <c r="L31" s="17"/>
      <c r="M31" s="17"/>
      <c r="N31" s="17"/>
      <c r="O31" s="17"/>
      <c r="P31" s="17"/>
      <c r="Q31" s="17"/>
      <c r="R31" s="5"/>
      <c r="S31" s="25"/>
      <c r="T31" s="5"/>
    </row>
    <row r="32" spans="1:20" s="3" customFormat="1" x14ac:dyDescent="0.25">
      <c r="A32" s="21"/>
      <c r="B32" s="67" t="s">
        <v>481</v>
      </c>
      <c r="C32" s="25"/>
      <c r="D32" s="67"/>
      <c r="E32" s="67"/>
      <c r="F32" s="202" t="s">
        <v>111</v>
      </c>
      <c r="G32" s="17"/>
      <c r="H32" s="17"/>
      <c r="I32" s="17"/>
      <c r="J32" s="17"/>
      <c r="K32" s="17"/>
      <c r="L32" s="17"/>
      <c r="M32" s="17"/>
      <c r="N32" s="17"/>
      <c r="O32" s="17"/>
      <c r="P32" s="17"/>
      <c r="Q32" s="17"/>
      <c r="R32" s="5"/>
      <c r="S32" s="25"/>
      <c r="T32" s="5"/>
    </row>
    <row r="33" spans="1:20" s="3" customFormat="1" x14ac:dyDescent="0.25">
      <c r="A33" s="21" t="s">
        <v>450</v>
      </c>
      <c r="B33" s="67" t="s">
        <v>47</v>
      </c>
      <c r="C33" s="25"/>
      <c r="D33" s="2"/>
      <c r="E33" s="2"/>
      <c r="F33" s="202" t="s">
        <v>22</v>
      </c>
      <c r="G33" s="4"/>
      <c r="H33" s="4"/>
      <c r="I33" s="4"/>
      <c r="J33" s="4"/>
      <c r="K33" s="4"/>
      <c r="L33" s="4"/>
      <c r="M33" s="4"/>
      <c r="N33" s="4"/>
      <c r="O33" s="4"/>
      <c r="P33" s="4"/>
      <c r="Q33" s="4"/>
      <c r="R33" s="5"/>
      <c r="S33" s="25"/>
      <c r="T33" s="5"/>
    </row>
    <row r="34" spans="1:20" s="3" customFormat="1" x14ac:dyDescent="0.25">
      <c r="A34" s="21" t="s">
        <v>450</v>
      </c>
      <c r="B34" s="67" t="s">
        <v>269</v>
      </c>
      <c r="C34" s="67" t="s">
        <v>281</v>
      </c>
      <c r="D34" s="15"/>
      <c r="E34" s="67" t="s">
        <v>322</v>
      </c>
      <c r="F34" s="202" t="s">
        <v>12</v>
      </c>
      <c r="G34" s="34">
        <f>INDEX(FuelPrices_Residential,MATCH("Alberta",FuelPrices_Region,0)+MATCH("Oil",FuelPrices_Type,0)-1,MATCH(G$2,Year,0))/Prices!G$12</f>
        <v>3.713594017570093</v>
      </c>
      <c r="H34" s="34">
        <f>INDEX(FuelPrices_Residential,MATCH("Alberta",FuelPrices_Region,0)+MATCH("Oil",FuelPrices_Type,0)-1,MATCH(H$2,Year,0))/Prices!H$12</f>
        <v>3.7562051565968173</v>
      </c>
      <c r="I34" s="34">
        <f>INDEX(FuelPrices_Residential,MATCH("Alberta",FuelPrices_Region,0)+MATCH("Oil",FuelPrices_Type,0)-1,MATCH(I$2,Year,0))/Prices!I$12</f>
        <v>2.2048627745400187</v>
      </c>
      <c r="J34" s="34">
        <f>INDEX(FuelPrices_Residential,MATCH("Alberta",FuelPrices_Region,0)+MATCH("Oil",FuelPrices_Type,0)-1,MATCH(J$2,Year,0))/Prices!J$12</f>
        <v>3.7962319002957341</v>
      </c>
      <c r="K34" s="34">
        <f>INDEX(FuelPrices_Residential,MATCH("Alberta",FuelPrices_Region,0)+MATCH("Oil",FuelPrices_Type,0)-1,MATCH(K$2,Year,0))/Prices!K$12</f>
        <v>5.5729559285078665</v>
      </c>
      <c r="L34" s="34">
        <f>INDEX(FuelPrices_Residential,MATCH("Alberta",FuelPrices_Region,0)+MATCH("Oil",FuelPrices_Type,0)-1,MATCH(L$2,Year,0))/Prices!L$12</f>
        <v>3.1680912706293727</v>
      </c>
      <c r="M34" s="34">
        <f>INDEX(FuelPrices_Residential,MATCH("Alberta",FuelPrices_Region,0)+MATCH("Oil",FuelPrices_Type,0)-1,MATCH(M$2,Year,0))/Prices!M$12</f>
        <v>2.9650980293385198</v>
      </c>
      <c r="N34" s="34">
        <f>INDEX(FuelPrices_Residential,MATCH("Alberta",FuelPrices_Region,0)+MATCH("Oil",FuelPrices_Type,0)-1,MATCH(N$2,Year,0))/Prices!N$12</f>
        <v>2.9424996321635044</v>
      </c>
      <c r="O34" s="34">
        <f>INDEX(FuelPrices_Residential,MATCH("Alberta",FuelPrices_Region,0)+MATCH("Oil",FuelPrices_Type,0)-1,MATCH(O$2,Year,0))/Prices!O$12</f>
        <v>2.9076604365186882</v>
      </c>
      <c r="P34" s="34">
        <f>INDEX(FuelPrices_Residential,MATCH("Alberta",FuelPrices_Region,0)+MATCH("Oil",FuelPrices_Type,0)-1,MATCH(P$2,Year,0))/Prices!P$12</f>
        <v>2.9076604365186882</v>
      </c>
      <c r="Q34" s="34">
        <f>INDEX(FuelPrices_Residential,MATCH("Alberta",FuelPrices_Region,0)+MATCH("Oil",FuelPrices_Type,0)-1,MATCH(Q$2,Year,0))/Prices!Q$12</f>
        <v>2.9076604365186882</v>
      </c>
      <c r="R34" s="5"/>
      <c r="S34" s="25"/>
      <c r="T34" s="5"/>
    </row>
    <row r="35" spans="1:20" s="3" customFormat="1" x14ac:dyDescent="0.25">
      <c r="A35" s="21" t="s">
        <v>450</v>
      </c>
      <c r="B35" s="67" t="s">
        <v>269</v>
      </c>
      <c r="C35" s="67" t="s">
        <v>281</v>
      </c>
      <c r="D35" s="15"/>
      <c r="E35" s="67" t="s">
        <v>322</v>
      </c>
      <c r="F35" s="202" t="s">
        <v>13</v>
      </c>
      <c r="G35" s="34">
        <f>INDEX(FuelPrices_Residential,MATCH("Alberta",FuelPrices_Region,0)+MATCH("Oil",FuelPrices_Type,0)-1,MATCH(G$2,Year,0))/Prices!G$12</f>
        <v>3.713594017570093</v>
      </c>
      <c r="H35" s="34">
        <f>INDEX(FuelPrices_Residential,MATCH("Alberta",FuelPrices_Region,0)+MATCH("Oil",FuelPrices_Type,0)-1,MATCH(H$2,Year,0))/Prices!H$12</f>
        <v>3.7562051565968173</v>
      </c>
      <c r="I35" s="34">
        <f>INDEX(FuelPrices_Residential,MATCH("Alberta",FuelPrices_Region,0)+MATCH("Oil",FuelPrices_Type,0)-1,MATCH(I$2,Year,0))/Prices!I$12</f>
        <v>2.2048627745400187</v>
      </c>
      <c r="J35" s="34">
        <f>INDEX(FuelPrices_Residential,MATCH("Alberta",FuelPrices_Region,0)+MATCH("Oil",FuelPrices_Type,0)-1,MATCH(J$2,Year,0))/Prices!J$12</f>
        <v>3.7962319002957341</v>
      </c>
      <c r="K35" s="34">
        <f>INDEX(FuelPrices_Residential,MATCH("Alberta",FuelPrices_Region,0)+MATCH("Oil",FuelPrices_Type,0)-1,MATCH(K$2,Year,0))/Prices!K$12</f>
        <v>5.5729559285078665</v>
      </c>
      <c r="L35" s="34">
        <f>INDEX(FuelPrices_Residential,MATCH("Alberta",FuelPrices_Region,0)+MATCH("Oil",FuelPrices_Type,0)-1,MATCH(L$2,Year,0))/Prices!L$12</f>
        <v>3.1680912706293727</v>
      </c>
      <c r="M35" s="34">
        <f>INDEX(FuelPrices_Residential,MATCH("Alberta",FuelPrices_Region,0)+MATCH("Oil",FuelPrices_Type,0)-1,MATCH(M$2,Year,0))/Prices!M$12</f>
        <v>2.9650980293385198</v>
      </c>
      <c r="N35" s="34">
        <f>INDEX(FuelPrices_Residential,MATCH("Alberta",FuelPrices_Region,0)+MATCH("Oil",FuelPrices_Type,0)-1,MATCH(N$2,Year,0))/Prices!N$12</f>
        <v>2.9424996321635044</v>
      </c>
      <c r="O35" s="34">
        <f>INDEX(FuelPrices_Residential,MATCH("Alberta",FuelPrices_Region,0)+MATCH("Oil",FuelPrices_Type,0)-1,MATCH(O$2,Year,0))/Prices!O$12</f>
        <v>2.9076604365186882</v>
      </c>
      <c r="P35" s="34">
        <f>INDEX(FuelPrices_Residential,MATCH("Alberta",FuelPrices_Region,0)+MATCH("Oil",FuelPrices_Type,0)-1,MATCH(P$2,Year,0))/Prices!P$12</f>
        <v>2.9076604365186882</v>
      </c>
      <c r="Q35" s="34">
        <f>INDEX(FuelPrices_Residential,MATCH("Alberta",FuelPrices_Region,0)+MATCH("Oil",FuelPrices_Type,0)-1,MATCH(Q$2,Year,0))/Prices!Q$12</f>
        <v>2.9076604365186882</v>
      </c>
      <c r="R35" s="5"/>
      <c r="S35" s="25"/>
      <c r="T35" s="5"/>
    </row>
    <row r="36" spans="1:20" s="3" customFormat="1" x14ac:dyDescent="0.25">
      <c r="A36" s="21" t="s">
        <v>450</v>
      </c>
      <c r="B36" s="67" t="s">
        <v>269</v>
      </c>
      <c r="C36" s="67" t="s">
        <v>281</v>
      </c>
      <c r="D36" s="15"/>
      <c r="E36" s="67" t="s">
        <v>322</v>
      </c>
      <c r="F36" s="202" t="s">
        <v>14</v>
      </c>
      <c r="G36" s="34">
        <f>INDEX(FuelPrices_Residential,MATCH("Alberta",FuelPrices_Region,0)+MATCH("Natural Gas",FuelPrices_Type,0)-1,MATCH(G$2,Year,0))/Prices!G$15</f>
        <v>1.5282088982789364</v>
      </c>
      <c r="H36" s="34">
        <f>INDEX(FuelPrices_Residential,MATCH("Alberta",FuelPrices_Region,0)+MATCH("Natural Gas",FuelPrices_Type,0)-1,MATCH(H$2,Year,0))/Prices!H$15</f>
        <v>1.5457443840700189</v>
      </c>
      <c r="I36" s="34">
        <f>INDEX(FuelPrices_Residential,MATCH("Alberta",FuelPrices_Region,0)+MATCH("Natural Gas",FuelPrices_Type,0)-1,MATCH(I$2,Year,0))/Prices!I$15</f>
        <v>1.9723349612774701</v>
      </c>
      <c r="J36" s="34">
        <f>INDEX(FuelPrices_Residential,MATCH("Alberta",FuelPrices_Region,0)+MATCH("Natural Gas",FuelPrices_Type,0)-1,MATCH(J$2,Year,0))/Prices!J$15</f>
        <v>1.4950194997688102</v>
      </c>
      <c r="K36" s="34">
        <f>INDEX(FuelPrices_Residential,MATCH("Alberta",FuelPrices_Region,0)+MATCH("Natural Gas",FuelPrices_Type,0)-1,MATCH(K$2,Year,0))/Prices!K$15</f>
        <v>3.350280691170624</v>
      </c>
      <c r="L36" s="34">
        <f>INDEX(FuelPrices_Residential,MATCH("Alberta",FuelPrices_Region,0)+MATCH("Natural Gas",FuelPrices_Type,0)-1,MATCH(L$2,Year,0))/Prices!L$15</f>
        <v>2.8114396323863913</v>
      </c>
      <c r="M36" s="34">
        <f>INDEX(FuelPrices_Residential,MATCH("Alberta",FuelPrices_Region,0)+MATCH("Natural Gas",FuelPrices_Type,0)-1,MATCH(M$2,Year,0))/Prices!M$15</f>
        <v>2.4301046420728545</v>
      </c>
      <c r="N36" s="34">
        <f>INDEX(FuelPrices_Residential,MATCH("Alberta",FuelPrices_Region,0)+MATCH("Natural Gas",FuelPrices_Type,0)-1,MATCH(N$2,Year,0))/Prices!N$15</f>
        <v>2.1065653373010944</v>
      </c>
      <c r="O36" s="34">
        <f>INDEX(FuelPrices_Residential,MATCH("Alberta",FuelPrices_Region,0)+MATCH("Natural Gas",FuelPrices_Type,0)-1,MATCH(O$2,Year,0))/Prices!O$15</f>
        <v>1.9786460787456583</v>
      </c>
      <c r="P36" s="34">
        <f>INDEX(FuelPrices_Residential,MATCH("Alberta",FuelPrices_Region,0)+MATCH("Natural Gas",FuelPrices_Type,0)-1,MATCH(P$2,Year,0))/Prices!P$15</f>
        <v>1.9786460787456583</v>
      </c>
      <c r="Q36" s="34">
        <f>INDEX(FuelPrices_Residential,MATCH("Alberta",FuelPrices_Region,0)+MATCH("Natural Gas",FuelPrices_Type,0)-1,MATCH(Q$2,Year,0))/Prices!Q$15</f>
        <v>1.9786460787456583</v>
      </c>
      <c r="R36" s="5"/>
      <c r="S36" s="25"/>
      <c r="T36" s="5"/>
    </row>
    <row r="37" spans="1:20" s="3" customFormat="1" x14ac:dyDescent="0.25">
      <c r="A37" s="21" t="s">
        <v>450</v>
      </c>
      <c r="B37" s="67" t="s">
        <v>269</v>
      </c>
      <c r="C37" s="67" t="s">
        <v>281</v>
      </c>
      <c r="D37" s="15"/>
      <c r="E37" s="67" t="s">
        <v>322</v>
      </c>
      <c r="F37" s="202" t="s">
        <v>2</v>
      </c>
      <c r="G37" s="34">
        <v>3.5</v>
      </c>
      <c r="H37" s="34">
        <v>3.5</v>
      </c>
      <c r="I37" s="34">
        <v>3.5</v>
      </c>
      <c r="J37" s="34">
        <v>3.5</v>
      </c>
      <c r="K37" s="34">
        <v>3.5</v>
      </c>
      <c r="L37" s="34">
        <v>3.5</v>
      </c>
      <c r="M37" s="34">
        <v>3.5</v>
      </c>
      <c r="N37" s="34">
        <v>3.5</v>
      </c>
      <c r="O37" s="34">
        <v>3.5</v>
      </c>
      <c r="P37" s="34">
        <v>3.5</v>
      </c>
      <c r="Q37" s="34">
        <v>3.5</v>
      </c>
      <c r="R37" s="5"/>
      <c r="S37" s="25"/>
      <c r="T37" s="5"/>
    </row>
    <row r="38" spans="1:20" s="3" customFormat="1" x14ac:dyDescent="0.25">
      <c r="A38" s="21" t="s">
        <v>450</v>
      </c>
      <c r="B38" s="67" t="s">
        <v>269</v>
      </c>
      <c r="C38" s="67" t="s">
        <v>281</v>
      </c>
      <c r="D38" s="15"/>
      <c r="E38" s="67" t="s">
        <v>322</v>
      </c>
      <c r="F38" s="202" t="s">
        <v>15</v>
      </c>
      <c r="G38" s="34">
        <v>1.1000000000000001</v>
      </c>
      <c r="H38" s="34">
        <v>1.1000000000000001</v>
      </c>
      <c r="I38" s="34">
        <v>1.1000000000000001</v>
      </c>
      <c r="J38" s="34">
        <v>1.1000000000000001</v>
      </c>
      <c r="K38" s="34">
        <v>1.1000000000000001</v>
      </c>
      <c r="L38" s="34">
        <v>1.1000000000000001</v>
      </c>
      <c r="M38" s="34">
        <v>1.1000000000000001</v>
      </c>
      <c r="N38" s="34">
        <v>1.1000000000000001</v>
      </c>
      <c r="O38" s="34">
        <v>1.1000000000000001</v>
      </c>
      <c r="P38" s="34">
        <v>1.1000000000000001</v>
      </c>
      <c r="Q38" s="34">
        <v>1.1000000000000001</v>
      </c>
      <c r="R38" s="5"/>
      <c r="S38" s="25"/>
      <c r="T38" s="5"/>
    </row>
    <row r="39" spans="1:20" s="3" customFormat="1" x14ac:dyDescent="0.25">
      <c r="A39" s="21" t="s">
        <v>450</v>
      </c>
      <c r="B39" s="67" t="s">
        <v>11</v>
      </c>
      <c r="C39" s="25"/>
      <c r="D39" s="15"/>
      <c r="E39" s="67" t="s">
        <v>323</v>
      </c>
      <c r="F39" s="202" t="s">
        <v>17</v>
      </c>
      <c r="G39" s="34">
        <v>0</v>
      </c>
      <c r="H39" s="34">
        <v>0</v>
      </c>
      <c r="I39" s="34">
        <v>0</v>
      </c>
      <c r="J39" s="34">
        <v>0</v>
      </c>
      <c r="K39" s="34">
        <v>0</v>
      </c>
      <c r="L39" s="34">
        <v>0</v>
      </c>
      <c r="M39" s="34">
        <v>0</v>
      </c>
      <c r="N39" s="34">
        <v>0</v>
      </c>
      <c r="O39" s="34">
        <v>0</v>
      </c>
      <c r="P39" s="34">
        <v>0</v>
      </c>
      <c r="Q39" s="34">
        <v>0</v>
      </c>
      <c r="R39" s="5"/>
      <c r="S39" s="25"/>
      <c r="T39" s="5"/>
    </row>
    <row r="40" spans="1:20" s="3" customFormat="1" x14ac:dyDescent="0.25">
      <c r="A40" s="21" t="s">
        <v>450</v>
      </c>
      <c r="B40" s="67" t="s">
        <v>11</v>
      </c>
      <c r="C40" s="25"/>
      <c r="D40" s="15"/>
      <c r="E40" s="67" t="s">
        <v>323</v>
      </c>
      <c r="F40" s="202" t="s">
        <v>18</v>
      </c>
      <c r="G40" s="34">
        <v>0</v>
      </c>
      <c r="H40" s="34">
        <v>0</v>
      </c>
      <c r="I40" s="34">
        <v>0</v>
      </c>
      <c r="J40" s="34">
        <v>0</v>
      </c>
      <c r="K40" s="34">
        <v>0</v>
      </c>
      <c r="L40" s="34">
        <v>0</v>
      </c>
      <c r="M40" s="34">
        <v>0</v>
      </c>
      <c r="N40" s="34">
        <v>0</v>
      </c>
      <c r="O40" s="34">
        <v>0</v>
      </c>
      <c r="P40" s="34">
        <v>0</v>
      </c>
      <c r="Q40" s="34">
        <v>0</v>
      </c>
      <c r="R40" s="5"/>
      <c r="S40" s="25"/>
      <c r="T40" s="5"/>
    </row>
    <row r="41" spans="1:20" s="3" customFormat="1" x14ac:dyDescent="0.25">
      <c r="A41" s="21" t="s">
        <v>450</v>
      </c>
      <c r="B41" s="67" t="s">
        <v>11</v>
      </c>
      <c r="C41" s="25"/>
      <c r="D41" s="15"/>
      <c r="E41" s="67" t="s">
        <v>323</v>
      </c>
      <c r="F41" s="202" t="s">
        <v>19</v>
      </c>
      <c r="G41" s="34">
        <v>0</v>
      </c>
      <c r="H41" s="34">
        <v>0</v>
      </c>
      <c r="I41" s="34">
        <v>0</v>
      </c>
      <c r="J41" s="34">
        <v>0</v>
      </c>
      <c r="K41" s="34">
        <v>0</v>
      </c>
      <c r="L41" s="34">
        <v>0</v>
      </c>
      <c r="M41" s="34">
        <v>0</v>
      </c>
      <c r="N41" s="34">
        <v>0</v>
      </c>
      <c r="O41" s="34">
        <v>0</v>
      </c>
      <c r="P41" s="34">
        <v>0</v>
      </c>
      <c r="Q41" s="34">
        <v>0</v>
      </c>
      <c r="R41" s="5"/>
      <c r="S41" s="25"/>
      <c r="T41" s="5"/>
    </row>
    <row r="42" spans="1:20" s="3" customFormat="1" x14ac:dyDescent="0.25">
      <c r="A42" s="21" t="s">
        <v>450</v>
      </c>
      <c r="B42" s="67" t="s">
        <v>306</v>
      </c>
      <c r="C42" s="67" t="s">
        <v>296</v>
      </c>
      <c r="D42" s="67" t="s">
        <v>462</v>
      </c>
      <c r="E42" s="67" t="s">
        <v>130</v>
      </c>
      <c r="F42" s="202" t="s">
        <v>108</v>
      </c>
      <c r="G42" s="34">
        <v>1</v>
      </c>
      <c r="H42" s="34">
        <v>1</v>
      </c>
      <c r="I42" s="34">
        <v>1</v>
      </c>
      <c r="J42" s="34">
        <v>1</v>
      </c>
      <c r="K42" s="34">
        <v>1</v>
      </c>
      <c r="L42" s="34">
        <v>1</v>
      </c>
      <c r="M42" s="34">
        <v>1</v>
      </c>
      <c r="N42" s="34">
        <v>1</v>
      </c>
      <c r="O42" s="34">
        <v>1</v>
      </c>
      <c r="P42" s="34">
        <v>1</v>
      </c>
      <c r="Q42" s="34">
        <v>1</v>
      </c>
      <c r="R42" s="5"/>
      <c r="S42" s="25"/>
      <c r="T42" s="5"/>
    </row>
    <row r="43" spans="1:20" s="3" customFormat="1" x14ac:dyDescent="0.25">
      <c r="A43" s="21" t="s">
        <v>450</v>
      </c>
      <c r="B43" s="4"/>
      <c r="C43" s="13"/>
      <c r="D43" s="4"/>
      <c r="E43" s="4"/>
      <c r="F43" s="9"/>
      <c r="G43" s="4"/>
      <c r="H43" s="4"/>
      <c r="I43" s="4"/>
      <c r="J43" s="4"/>
      <c r="K43" s="4"/>
      <c r="L43" s="4"/>
      <c r="M43" s="4"/>
      <c r="N43" s="4"/>
      <c r="O43" s="4"/>
      <c r="P43" s="4"/>
      <c r="Q43" s="4"/>
      <c r="R43" s="5"/>
      <c r="S43" s="13"/>
      <c r="T43" s="5"/>
    </row>
    <row r="44" spans="1:20" s="3" customFormat="1" x14ac:dyDescent="0.25">
      <c r="A44" s="359" t="s">
        <v>108</v>
      </c>
      <c r="B44" s="4"/>
      <c r="C44" s="13"/>
      <c r="D44" s="4"/>
      <c r="E44" s="4"/>
      <c r="F44" s="9"/>
      <c r="G44" s="4"/>
      <c r="H44" s="4"/>
      <c r="I44" s="4"/>
      <c r="J44" s="4"/>
      <c r="K44" s="4"/>
      <c r="L44" s="4"/>
      <c r="M44" s="4"/>
      <c r="N44" s="4"/>
      <c r="O44" s="4"/>
      <c r="P44" s="4"/>
      <c r="Q44" s="4"/>
      <c r="R44" s="5"/>
      <c r="S44" s="13"/>
      <c r="T44" s="5"/>
    </row>
    <row r="45" spans="1:20" s="3" customFormat="1" x14ac:dyDescent="0.25">
      <c r="A45" s="21" t="s">
        <v>450</v>
      </c>
      <c r="B45" s="67" t="s">
        <v>305</v>
      </c>
      <c r="C45" s="25"/>
      <c r="D45" s="67" t="s">
        <v>462</v>
      </c>
      <c r="E45" s="67" t="s">
        <v>131</v>
      </c>
      <c r="F45" s="202" t="str">
        <f>A44</f>
        <v>Buildings</v>
      </c>
      <c r="G45" s="17"/>
      <c r="H45" s="17"/>
      <c r="I45" s="17"/>
      <c r="J45" s="17"/>
      <c r="K45" s="17"/>
      <c r="L45" s="17"/>
      <c r="M45" s="17"/>
      <c r="N45" s="17"/>
      <c r="O45" s="17"/>
      <c r="P45" s="17"/>
      <c r="Q45" s="17"/>
      <c r="R45" s="5"/>
      <c r="S45" s="25"/>
      <c r="T45" s="5"/>
    </row>
    <row r="46" spans="1:20" s="3" customFormat="1" x14ac:dyDescent="0.25">
      <c r="A46" s="21" t="s">
        <v>450</v>
      </c>
      <c r="B46" s="67" t="s">
        <v>47</v>
      </c>
      <c r="C46" s="25"/>
      <c r="D46" s="2"/>
      <c r="E46" s="2"/>
      <c r="F46" s="202" t="s">
        <v>167</v>
      </c>
      <c r="G46" s="4"/>
      <c r="H46" s="4"/>
      <c r="I46" s="4"/>
      <c r="J46" s="4"/>
      <c r="K46" s="4"/>
      <c r="L46" s="4"/>
      <c r="M46" s="4"/>
      <c r="N46" s="4"/>
      <c r="O46" s="4"/>
      <c r="P46" s="4"/>
      <c r="Q46" s="4"/>
      <c r="R46" s="5"/>
      <c r="S46" s="25"/>
      <c r="T46" s="5"/>
    </row>
    <row r="47" spans="1:20" s="3" customFormat="1" x14ac:dyDescent="0.25">
      <c r="A47" s="21" t="s">
        <v>450</v>
      </c>
      <c r="B47" s="67" t="s">
        <v>51</v>
      </c>
      <c r="C47" s="25"/>
      <c r="D47" s="2"/>
      <c r="E47" s="2"/>
      <c r="F47" s="202" t="s">
        <v>23</v>
      </c>
      <c r="G47" s="4"/>
      <c r="H47" s="4"/>
      <c r="I47" s="4"/>
      <c r="J47" s="4"/>
      <c r="K47" s="4"/>
      <c r="L47" s="4"/>
      <c r="M47" s="4"/>
      <c r="N47" s="4"/>
      <c r="O47" s="4"/>
      <c r="P47" s="4"/>
      <c r="Q47" s="4"/>
      <c r="R47" s="5"/>
      <c r="S47" s="25"/>
      <c r="T47" s="5"/>
    </row>
    <row r="48" spans="1:20" s="3" customFormat="1" x14ac:dyDescent="0.25">
      <c r="A48" s="21" t="s">
        <v>450</v>
      </c>
      <c r="B48" s="67" t="s">
        <v>75</v>
      </c>
      <c r="C48" s="25"/>
      <c r="D48" s="15"/>
      <c r="E48" s="67" t="s">
        <v>97</v>
      </c>
      <c r="F48" s="202" t="s">
        <v>23</v>
      </c>
      <c r="G48" s="270">
        <v>0.719409242</v>
      </c>
      <c r="H48" s="270">
        <v>0.71950000000000003</v>
      </c>
      <c r="I48" s="270">
        <v>0.71899999999999997</v>
      </c>
      <c r="J48" s="270">
        <v>0.71850000000000003</v>
      </c>
      <c r="K48" s="270">
        <v>0.71799999999999997</v>
      </c>
      <c r="L48" s="270">
        <v>0.71750000000000003</v>
      </c>
      <c r="M48" s="270">
        <v>0.71699999999999997</v>
      </c>
      <c r="N48" s="270">
        <v>0.71650000000000003</v>
      </c>
      <c r="O48" s="270">
        <v>0.71599999999999997</v>
      </c>
      <c r="P48" s="270">
        <v>0.71550000000000002</v>
      </c>
      <c r="Q48" s="270">
        <v>0.71500000000000097</v>
      </c>
      <c r="R48" s="5"/>
      <c r="S48" s="25"/>
      <c r="T48" s="5"/>
    </row>
    <row r="49" spans="1:20" s="3" customFormat="1" x14ac:dyDescent="0.25">
      <c r="A49" s="21" t="s">
        <v>450</v>
      </c>
      <c r="B49" s="67" t="s">
        <v>306</v>
      </c>
      <c r="C49" s="25"/>
      <c r="D49" s="67" t="s">
        <v>463</v>
      </c>
      <c r="E49" s="67" t="s">
        <v>132</v>
      </c>
      <c r="F49" s="202" t="s">
        <v>23</v>
      </c>
      <c r="G49" s="34">
        <f>SUMIFS(Residential!F$95:F$150,Residential!$C$95:$C$150,"Alberta",Residential!$B$95:$B$150,$F49)/SUMIFS(Residential!F$36:F$91,Residential!$C$36:$C$91,"Alberta",Residential!$B$36:$B$91,$F49)*1000</f>
        <v>138.51662237471803</v>
      </c>
      <c r="H49" s="34">
        <f>SUMIFS(Residential!G$95:G$150,Residential!$C$95:$C$150,"Alberta",Residential!$B$95:$B$150,$F49)/SUMIFS(Residential!G$36:G$91,Residential!$C$36:$C$91,"Alberta",Residential!$B$36:$B$91,$F49)*1000</f>
        <v>141.02045602481141</v>
      </c>
      <c r="I49" s="34">
        <f>SUMIFS(Residential!H$95:H$150,Residential!$C$95:$C$150,"Alberta",Residential!$B$95:$B$150,$F49)/SUMIFS(Residential!H$36:H$91,Residential!$C$36:$C$91,"Alberta",Residential!$B$36:$B$91,$F49)*1000</f>
        <v>143.95470394476007</v>
      </c>
      <c r="J49" s="34">
        <f>SUMIFS(Residential!I$95:I$150,Residential!$C$95:$C$150,"Alberta",Residential!$B$95:$B$150,$F49)/SUMIFS(Residential!I$36:I$91,Residential!$C$36:$C$91,"Alberta",Residential!$B$36:$B$91,$F49)*1000</f>
        <v>146.24475252411179</v>
      </c>
      <c r="K49" s="34">
        <f>SUMIFS(Residential!J$95:J$150,Residential!$C$95:$C$150,"Alberta",Residential!$B$95:$B$150,$F49)/SUMIFS(Residential!J$36:J$91,Residential!$C$36:$C$91,"Alberta",Residential!$B$36:$B$91,$F49)*1000</f>
        <v>146.68297090560455</v>
      </c>
      <c r="L49" s="34">
        <f>SUMIFS(Residential!K$95:K$150,Residential!$C$95:$C$150,"Alberta",Residential!$B$95:$B$150,$F49)/SUMIFS(Residential!K$36:K$91,Residential!$C$36:$C$91,"Alberta",Residential!$B$36:$B$91,$F49)*1000</f>
        <v>146.68297090560455</v>
      </c>
      <c r="M49" s="34">
        <f>SUMIFS(Residential!L$95:L$150,Residential!$C$95:$C$150,"Alberta",Residential!$B$95:$B$150,$F49)/SUMIFS(Residential!L$36:L$91,Residential!$C$36:$C$91,"Alberta",Residential!$B$36:$B$91,$F49)*1000</f>
        <v>146.68297090560455</v>
      </c>
      <c r="N49" s="34">
        <f>SUMIFS(Residential!M$95:M$150,Residential!$C$95:$C$150,"Alberta",Residential!$B$95:$B$150,$F49)/SUMIFS(Residential!M$36:M$91,Residential!$C$36:$C$91,"Alberta",Residential!$B$36:$B$91,$F49)*1000</f>
        <v>146.68297090560455</v>
      </c>
      <c r="O49" s="34">
        <f>SUMIFS(Residential!N$95:N$150,Residential!$C$95:$C$150,"Alberta",Residential!$B$95:$B$150,$F49)/SUMIFS(Residential!N$36:N$91,Residential!$C$36:$C$91,"Alberta",Residential!$B$36:$B$91,$F49)*1000</f>
        <v>146.68297090560455</v>
      </c>
      <c r="P49" s="34">
        <f>SUMIFS(Residential!O$95:O$150,Residential!$C$95:$C$150,"Alberta",Residential!$B$95:$B$150,$F49)/SUMIFS(Residential!O$36:O$91,Residential!$C$36:$C$91,"Alberta",Residential!$B$36:$B$91,$F49)*1000</f>
        <v>146.68297090560455</v>
      </c>
      <c r="Q49" s="34">
        <f>SUMIFS(Residential!P$95:P$150,Residential!$C$95:$C$150,"Alberta",Residential!$B$95:$B$150,$F49)/SUMIFS(Residential!P$36:P$91,Residential!$C$36:$C$91,"Alberta",Residential!$B$36:$B$91,$F49)*1000</f>
        <v>146.68297090560455</v>
      </c>
      <c r="R49" s="5"/>
      <c r="S49" s="25"/>
      <c r="T49" s="5"/>
    </row>
    <row r="50" spans="1:20" s="3" customFormat="1" x14ac:dyDescent="0.25">
      <c r="A50" s="21" t="s">
        <v>450</v>
      </c>
      <c r="B50" s="67" t="s">
        <v>306</v>
      </c>
      <c r="C50" s="25"/>
      <c r="D50" s="67" t="s">
        <v>467</v>
      </c>
      <c r="E50" s="67" t="s">
        <v>319</v>
      </c>
      <c r="F50" s="202" t="s">
        <v>23</v>
      </c>
      <c r="G50" s="34">
        <v>1</v>
      </c>
      <c r="H50" s="34">
        <v>1</v>
      </c>
      <c r="I50" s="34">
        <v>1</v>
      </c>
      <c r="J50" s="34">
        <v>1</v>
      </c>
      <c r="K50" s="34">
        <v>1</v>
      </c>
      <c r="L50" s="34">
        <v>1</v>
      </c>
      <c r="M50" s="34">
        <v>1</v>
      </c>
      <c r="N50" s="34">
        <v>1</v>
      </c>
      <c r="O50" s="34">
        <v>1</v>
      </c>
      <c r="P50" s="34">
        <v>1</v>
      </c>
      <c r="Q50" s="34">
        <v>1</v>
      </c>
      <c r="R50" s="5"/>
      <c r="S50" s="25"/>
      <c r="T50" s="5"/>
    </row>
    <row r="51" spans="1:20" s="3" customFormat="1" x14ac:dyDescent="0.25">
      <c r="A51" s="21" t="s">
        <v>450</v>
      </c>
      <c r="B51" s="67" t="s">
        <v>306</v>
      </c>
      <c r="C51" s="25"/>
      <c r="D51" s="67" t="s">
        <v>468</v>
      </c>
      <c r="E51" s="67" t="s">
        <v>319</v>
      </c>
      <c r="F51" s="202" t="s">
        <v>23</v>
      </c>
      <c r="G51" s="34">
        <v>1</v>
      </c>
      <c r="H51" s="34">
        <v>1</v>
      </c>
      <c r="I51" s="34">
        <v>1</v>
      </c>
      <c r="J51" s="34">
        <v>1</v>
      </c>
      <c r="K51" s="34">
        <v>1</v>
      </c>
      <c r="L51" s="34">
        <v>1</v>
      </c>
      <c r="M51" s="34">
        <v>1</v>
      </c>
      <c r="N51" s="34">
        <v>1</v>
      </c>
      <c r="O51" s="34">
        <v>1</v>
      </c>
      <c r="P51" s="34">
        <v>1</v>
      </c>
      <c r="Q51" s="34">
        <v>1</v>
      </c>
      <c r="R51" s="5"/>
      <c r="S51" s="25"/>
      <c r="T51" s="5"/>
    </row>
    <row r="52" spans="1:20" s="3" customFormat="1" x14ac:dyDescent="0.25">
      <c r="A52" s="21" t="s">
        <v>450</v>
      </c>
      <c r="B52" s="67" t="s">
        <v>51</v>
      </c>
      <c r="C52" s="25"/>
      <c r="D52" s="2"/>
      <c r="E52" s="2"/>
      <c r="F52" s="202" t="s">
        <v>24</v>
      </c>
      <c r="G52" s="4"/>
      <c r="H52" s="4"/>
      <c r="I52" s="4"/>
      <c r="J52" s="4"/>
      <c r="K52" s="4"/>
      <c r="L52" s="4"/>
      <c r="M52" s="4"/>
      <c r="N52" s="4"/>
      <c r="O52" s="4"/>
      <c r="P52" s="4"/>
      <c r="Q52" s="4"/>
      <c r="R52" s="5"/>
      <c r="S52" s="25"/>
      <c r="T52" s="5"/>
    </row>
    <row r="53" spans="1:20" s="3" customFormat="1" x14ac:dyDescent="0.25">
      <c r="A53" s="21" t="s">
        <v>450</v>
      </c>
      <c r="B53" s="67" t="s">
        <v>75</v>
      </c>
      <c r="C53" s="25"/>
      <c r="D53" s="15"/>
      <c r="E53" s="67" t="s">
        <v>97</v>
      </c>
      <c r="F53" s="202" t="s">
        <v>24</v>
      </c>
      <c r="G53" s="270">
        <v>0.1</v>
      </c>
      <c r="H53" s="270">
        <v>0.10100000000000001</v>
      </c>
      <c r="I53" s="270">
        <v>0.10199999999999999</v>
      </c>
      <c r="J53" s="270">
        <v>0.10299999999999999</v>
      </c>
      <c r="K53" s="270">
        <v>0.104</v>
      </c>
      <c r="L53" s="270">
        <v>0.105</v>
      </c>
      <c r="M53" s="270">
        <v>0.106</v>
      </c>
      <c r="N53" s="270">
        <v>0.107</v>
      </c>
      <c r="O53" s="270">
        <v>0.108</v>
      </c>
      <c r="P53" s="270">
        <v>0.109</v>
      </c>
      <c r="Q53" s="270">
        <v>0.11</v>
      </c>
      <c r="R53" s="5"/>
      <c r="S53" s="25"/>
      <c r="T53" s="5"/>
    </row>
    <row r="54" spans="1:20" s="3" customFormat="1" x14ac:dyDescent="0.25">
      <c r="A54" s="21" t="s">
        <v>450</v>
      </c>
      <c r="B54" s="67" t="s">
        <v>306</v>
      </c>
      <c r="C54" s="25"/>
      <c r="D54" s="67" t="s">
        <v>463</v>
      </c>
      <c r="E54" s="67" t="s">
        <v>132</v>
      </c>
      <c r="F54" s="202" t="s">
        <v>24</v>
      </c>
      <c r="G54" s="34">
        <f>SUMIFS(Residential!F$95:F$150,Residential!$C$95:$C$150,"Alberta",Residential!$B$95:$B$150,$F54)/SUMIFS(Residential!F$36:F$91,Residential!$C$36:$C$91,"Alberta",Residential!$B$36:$B$91,$F54)*1000</f>
        <v>107.36595424145357</v>
      </c>
      <c r="H54" s="34">
        <f>SUMIFS(Residential!G$95:G$150,Residential!$C$95:$C$150,"Alberta",Residential!$B$95:$B$150,$F54)/SUMIFS(Residential!G$36:G$91,Residential!$C$36:$C$91,"Alberta",Residential!$B$36:$B$91,$F54)*1000</f>
        <v>111.23110151187905</v>
      </c>
      <c r="I54" s="34">
        <f>SUMIFS(Residential!H$95:H$150,Residential!$C$95:$C$150,"Alberta",Residential!$B$95:$B$150,$F54)/SUMIFS(Residential!H$36:H$91,Residential!$C$36:$C$91,"Alberta",Residential!$B$36:$B$91,$F54)*1000</f>
        <v>115.91380319599979</v>
      </c>
      <c r="J54" s="34">
        <f>SUMIFS(Residential!I$95:I$150,Residential!$C$95:$C$150,"Alberta",Residential!$B$95:$B$150,$F54)/SUMIFS(Residential!I$36:I$91,Residential!$C$36:$C$91,"Alberta",Residential!$B$36:$B$91,$F54)*1000</f>
        <v>121.53331571320508</v>
      </c>
      <c r="K54" s="34">
        <f>SUMIFS(Residential!J$95:J$150,Residential!$C$95:$C$150,"Alberta",Residential!$B$95:$B$150,$F54)/SUMIFS(Residential!J$36:J$91,Residential!$C$36:$C$91,"Alberta",Residential!$B$36:$B$91,$F54)*1000</f>
        <v>122.60881127559612</v>
      </c>
      <c r="L54" s="34">
        <f>SUMIFS(Residential!K$95:K$150,Residential!$C$95:$C$150,"Alberta",Residential!$B$95:$B$150,$F54)/SUMIFS(Residential!K$36:K$91,Residential!$C$36:$C$91,"Alberta",Residential!$B$36:$B$91,$F54)*1000</f>
        <v>122.60881127559612</v>
      </c>
      <c r="M54" s="34">
        <f>SUMIFS(Residential!L$95:L$150,Residential!$C$95:$C$150,"Alberta",Residential!$B$95:$B$150,$F54)/SUMIFS(Residential!L$36:L$91,Residential!$C$36:$C$91,"Alberta",Residential!$B$36:$B$91,$F54)*1000</f>
        <v>122.60881127559612</v>
      </c>
      <c r="N54" s="34">
        <f>SUMIFS(Residential!M$95:M$150,Residential!$C$95:$C$150,"Alberta",Residential!$B$95:$B$150,$F54)/SUMIFS(Residential!M$36:M$91,Residential!$C$36:$C$91,"Alberta",Residential!$B$36:$B$91,$F54)*1000</f>
        <v>122.60881127559612</v>
      </c>
      <c r="O54" s="34">
        <f>SUMIFS(Residential!N$95:N$150,Residential!$C$95:$C$150,"Alberta",Residential!$B$95:$B$150,$F54)/SUMIFS(Residential!N$36:N$91,Residential!$C$36:$C$91,"Alberta",Residential!$B$36:$B$91,$F54)*1000</f>
        <v>122.60881127559612</v>
      </c>
      <c r="P54" s="34">
        <f>SUMIFS(Residential!O$95:O$150,Residential!$C$95:$C$150,"Alberta",Residential!$B$95:$B$150,$F54)/SUMIFS(Residential!O$36:O$91,Residential!$C$36:$C$91,"Alberta",Residential!$B$36:$B$91,$F54)*1000</f>
        <v>122.60881127559612</v>
      </c>
      <c r="Q54" s="34">
        <f>SUMIFS(Residential!P$95:P$150,Residential!$C$95:$C$150,"Alberta",Residential!$B$95:$B$150,$F54)/SUMIFS(Residential!P$36:P$91,Residential!$C$36:$C$91,"Alberta",Residential!$B$36:$B$91,$F54)*1000</f>
        <v>122.60881127559612</v>
      </c>
      <c r="R54" s="5"/>
      <c r="S54" s="25"/>
      <c r="T54" s="5"/>
    </row>
    <row r="55" spans="1:20" s="3" customFormat="1" x14ac:dyDescent="0.25">
      <c r="A55" s="21" t="s">
        <v>450</v>
      </c>
      <c r="B55" s="67" t="s">
        <v>306</v>
      </c>
      <c r="C55" s="25"/>
      <c r="D55" s="67" t="s">
        <v>467</v>
      </c>
      <c r="E55" s="67" t="s">
        <v>319</v>
      </c>
      <c r="F55" s="202" t="s">
        <v>24</v>
      </c>
      <c r="G55" s="34">
        <v>1</v>
      </c>
      <c r="H55" s="34">
        <v>1</v>
      </c>
      <c r="I55" s="34">
        <v>1</v>
      </c>
      <c r="J55" s="34">
        <v>1</v>
      </c>
      <c r="K55" s="34">
        <v>1</v>
      </c>
      <c r="L55" s="34">
        <v>1</v>
      </c>
      <c r="M55" s="34">
        <v>1</v>
      </c>
      <c r="N55" s="34">
        <v>1</v>
      </c>
      <c r="O55" s="34">
        <v>1</v>
      </c>
      <c r="P55" s="34">
        <v>1</v>
      </c>
      <c r="Q55" s="34">
        <v>1</v>
      </c>
      <c r="R55" s="5"/>
      <c r="S55" s="25"/>
      <c r="T55" s="5"/>
    </row>
    <row r="56" spans="1:20" s="3" customFormat="1" x14ac:dyDescent="0.25">
      <c r="A56" s="21" t="s">
        <v>450</v>
      </c>
      <c r="B56" s="67" t="s">
        <v>306</v>
      </c>
      <c r="C56" s="25"/>
      <c r="D56" s="67" t="s">
        <v>468</v>
      </c>
      <c r="E56" s="67" t="s">
        <v>319</v>
      </c>
      <c r="F56" s="202" t="s">
        <v>24</v>
      </c>
      <c r="G56" s="34">
        <v>1</v>
      </c>
      <c r="H56" s="34">
        <v>1</v>
      </c>
      <c r="I56" s="34">
        <v>1</v>
      </c>
      <c r="J56" s="34">
        <v>1</v>
      </c>
      <c r="K56" s="34">
        <v>1</v>
      </c>
      <c r="L56" s="34">
        <v>1</v>
      </c>
      <c r="M56" s="34">
        <v>1</v>
      </c>
      <c r="N56" s="34">
        <v>1</v>
      </c>
      <c r="O56" s="34">
        <v>1</v>
      </c>
      <c r="P56" s="34">
        <v>1</v>
      </c>
      <c r="Q56" s="34">
        <v>1</v>
      </c>
      <c r="R56" s="5"/>
      <c r="S56" s="25"/>
      <c r="T56" s="5"/>
    </row>
    <row r="57" spans="1:20" s="3" customFormat="1" x14ac:dyDescent="0.25">
      <c r="A57" s="21" t="s">
        <v>450</v>
      </c>
      <c r="B57" s="67" t="s">
        <v>51</v>
      </c>
      <c r="C57" s="25"/>
      <c r="D57" s="2"/>
      <c r="E57" s="2"/>
      <c r="F57" s="202" t="s">
        <v>453</v>
      </c>
      <c r="G57" s="4"/>
      <c r="H57" s="4"/>
      <c r="I57" s="4"/>
      <c r="J57" s="4"/>
      <c r="K57" s="4"/>
      <c r="L57" s="4"/>
      <c r="M57" s="4"/>
      <c r="N57" s="4"/>
      <c r="O57" s="4"/>
      <c r="P57" s="4"/>
      <c r="Q57" s="4"/>
      <c r="R57" s="5"/>
      <c r="S57" s="25"/>
      <c r="T57" s="5"/>
    </row>
    <row r="58" spans="1:20" s="3" customFormat="1" x14ac:dyDescent="0.25">
      <c r="A58" s="21" t="s">
        <v>450</v>
      </c>
      <c r="B58" s="67" t="s">
        <v>75</v>
      </c>
      <c r="C58" s="25"/>
      <c r="D58" s="15"/>
      <c r="E58" s="67" t="s">
        <v>97</v>
      </c>
      <c r="F58" s="202" t="s">
        <v>25</v>
      </c>
      <c r="G58" s="270">
        <v>0.14000000000000001</v>
      </c>
      <c r="H58" s="270">
        <v>0.13950000000000001</v>
      </c>
      <c r="I58" s="270">
        <v>0.13900000000000001</v>
      </c>
      <c r="J58" s="270">
        <v>0.13850000000000001</v>
      </c>
      <c r="K58" s="270">
        <v>0.13800000000000001</v>
      </c>
      <c r="L58" s="270">
        <v>0.13750000000000001</v>
      </c>
      <c r="M58" s="270">
        <v>0.13700000000000001</v>
      </c>
      <c r="N58" s="270">
        <v>0.13650000000000001</v>
      </c>
      <c r="O58" s="270">
        <v>0.13600000000000001</v>
      </c>
      <c r="P58" s="270">
        <v>0.13550000000000001</v>
      </c>
      <c r="Q58" s="270">
        <v>0.13500000000000001</v>
      </c>
      <c r="R58" s="5"/>
      <c r="S58" s="25"/>
      <c r="T58" s="5"/>
    </row>
    <row r="59" spans="1:20" s="3" customFormat="1" x14ac:dyDescent="0.25">
      <c r="A59" s="21" t="s">
        <v>450</v>
      </c>
      <c r="B59" s="67" t="s">
        <v>306</v>
      </c>
      <c r="C59" s="25"/>
      <c r="D59" s="67" t="s">
        <v>463</v>
      </c>
      <c r="E59" s="67" t="s">
        <v>132</v>
      </c>
      <c r="F59" s="202" t="s">
        <v>25</v>
      </c>
      <c r="G59" s="34">
        <f>SUMIFS(Residential!F$95:F$150,Residential!$C$95:$C$150,"Alberta",Residential!$B$95:$B$150,$F59)/SUMIFS(Residential!F$36:F$91,Residential!$C$36:$C$91,"Alberta",Residential!$B$36:$B$91,$F59)*1000</f>
        <v>84.759907824534466</v>
      </c>
      <c r="H59" s="34">
        <f>SUMIFS(Residential!G$95:G$150,Residential!$C$95:$C$150,"Alberta",Residential!$B$95:$B$150,$F59)/SUMIFS(Residential!G$36:G$91,Residential!$C$36:$C$91,"Alberta",Residential!$B$36:$B$91,$F59)*1000</f>
        <v>88.687168672720716</v>
      </c>
      <c r="I59" s="34">
        <f>SUMIFS(Residential!H$95:H$150,Residential!$C$95:$C$150,"Alberta",Residential!$B$95:$B$150,$F59)/SUMIFS(Residential!H$36:H$91,Residential!$C$36:$C$91,"Alberta",Residential!$B$36:$B$91,$F59)*1000</f>
        <v>92.967997978887055</v>
      </c>
      <c r="J59" s="34">
        <f>SUMIFS(Residential!I$95:I$150,Residential!$C$95:$C$150,"Alberta",Residential!$B$95:$B$150,$F59)/SUMIFS(Residential!I$36:I$91,Residential!$C$36:$C$91,"Alberta",Residential!$B$36:$B$91,$F59)*1000</f>
        <v>97.18309068663217</v>
      </c>
      <c r="K59" s="34">
        <f>SUMIFS(Residential!J$95:J$150,Residential!$C$95:$C$150,"Alberta",Residential!$B$95:$B$150,$F59)/SUMIFS(Residential!J$36:J$91,Residential!$C$36:$C$91,"Alberta",Residential!$B$36:$B$91,$F59)*1000</f>
        <v>97.931118044406773</v>
      </c>
      <c r="L59" s="34">
        <f>SUMIFS(Residential!K$95:K$150,Residential!$C$95:$C$150,"Alberta",Residential!$B$95:$B$150,$F59)/SUMIFS(Residential!K$36:K$91,Residential!$C$36:$C$91,"Alberta",Residential!$B$36:$B$91,$F59)*1000</f>
        <v>97.931118044406773</v>
      </c>
      <c r="M59" s="34">
        <f>SUMIFS(Residential!L$95:L$150,Residential!$C$95:$C$150,"Alberta",Residential!$B$95:$B$150,$F59)/SUMIFS(Residential!L$36:L$91,Residential!$C$36:$C$91,"Alberta",Residential!$B$36:$B$91,$F59)*1000</f>
        <v>97.931118044406773</v>
      </c>
      <c r="N59" s="34">
        <f>SUMIFS(Residential!M$95:M$150,Residential!$C$95:$C$150,"Alberta",Residential!$B$95:$B$150,$F59)/SUMIFS(Residential!M$36:M$91,Residential!$C$36:$C$91,"Alberta",Residential!$B$36:$B$91,$F59)*1000</f>
        <v>97.931118044406773</v>
      </c>
      <c r="O59" s="34">
        <f>SUMIFS(Residential!N$95:N$150,Residential!$C$95:$C$150,"Alberta",Residential!$B$95:$B$150,$F59)/SUMIFS(Residential!N$36:N$91,Residential!$C$36:$C$91,"Alberta",Residential!$B$36:$B$91,$F59)*1000</f>
        <v>97.931118044406773</v>
      </c>
      <c r="P59" s="34">
        <f>SUMIFS(Residential!O$95:O$150,Residential!$C$95:$C$150,"Alberta",Residential!$B$95:$B$150,$F59)/SUMIFS(Residential!O$36:O$91,Residential!$C$36:$C$91,"Alberta",Residential!$B$36:$B$91,$F59)*1000</f>
        <v>97.931118044406773</v>
      </c>
      <c r="Q59" s="34">
        <f>SUMIFS(Residential!P$95:P$150,Residential!$C$95:$C$150,"Alberta",Residential!$B$95:$B$150,$F59)/SUMIFS(Residential!P$36:P$91,Residential!$C$36:$C$91,"Alberta",Residential!$B$36:$B$91,$F59)*1000</f>
        <v>97.931118044406773</v>
      </c>
      <c r="R59" s="5"/>
      <c r="S59" s="25"/>
      <c r="T59" s="5"/>
    </row>
    <row r="60" spans="1:20" s="3" customFormat="1" x14ac:dyDescent="0.25">
      <c r="A60" s="21" t="s">
        <v>450</v>
      </c>
      <c r="B60" s="67" t="s">
        <v>306</v>
      </c>
      <c r="C60" s="25"/>
      <c r="D60" s="67" t="s">
        <v>467</v>
      </c>
      <c r="E60" s="67" t="s">
        <v>319</v>
      </c>
      <c r="F60" s="202" t="s">
        <v>25</v>
      </c>
      <c r="G60" s="34">
        <v>1</v>
      </c>
      <c r="H60" s="34">
        <v>1</v>
      </c>
      <c r="I60" s="34">
        <v>1</v>
      </c>
      <c r="J60" s="34">
        <v>1</v>
      </c>
      <c r="K60" s="34">
        <v>1</v>
      </c>
      <c r="L60" s="34">
        <v>1</v>
      </c>
      <c r="M60" s="34">
        <v>1</v>
      </c>
      <c r="N60" s="34">
        <v>1</v>
      </c>
      <c r="O60" s="34">
        <v>1</v>
      </c>
      <c r="P60" s="34">
        <v>1</v>
      </c>
      <c r="Q60" s="34">
        <v>1</v>
      </c>
      <c r="R60" s="5"/>
      <c r="S60" s="25"/>
      <c r="T60" s="5"/>
    </row>
    <row r="61" spans="1:20" s="3" customFormat="1" x14ac:dyDescent="0.25">
      <c r="A61" s="21" t="s">
        <v>450</v>
      </c>
      <c r="B61" s="67" t="s">
        <v>306</v>
      </c>
      <c r="C61" s="25"/>
      <c r="D61" s="67" t="s">
        <v>468</v>
      </c>
      <c r="E61" s="67" t="s">
        <v>319</v>
      </c>
      <c r="F61" s="202" t="s">
        <v>25</v>
      </c>
      <c r="G61" s="34">
        <v>1</v>
      </c>
      <c r="H61" s="34">
        <v>1</v>
      </c>
      <c r="I61" s="34">
        <v>1</v>
      </c>
      <c r="J61" s="34">
        <v>1</v>
      </c>
      <c r="K61" s="34">
        <v>1</v>
      </c>
      <c r="L61" s="34">
        <v>1</v>
      </c>
      <c r="M61" s="34">
        <v>1</v>
      </c>
      <c r="N61" s="34">
        <v>1</v>
      </c>
      <c r="O61" s="34">
        <v>1</v>
      </c>
      <c r="P61" s="34">
        <v>1</v>
      </c>
      <c r="Q61" s="34">
        <v>1</v>
      </c>
      <c r="R61" s="5"/>
      <c r="S61" s="25"/>
      <c r="T61" s="5"/>
    </row>
    <row r="62" spans="1:20" s="3" customFormat="1" x14ac:dyDescent="0.25">
      <c r="A62" s="21" t="s">
        <v>450</v>
      </c>
      <c r="B62" s="67" t="s">
        <v>51</v>
      </c>
      <c r="C62" s="25"/>
      <c r="D62" s="2"/>
      <c r="E62" s="2"/>
      <c r="F62" s="202" t="s">
        <v>26</v>
      </c>
      <c r="G62" s="4"/>
      <c r="H62" s="4"/>
      <c r="I62" s="4"/>
      <c r="J62" s="4"/>
      <c r="K62" s="4"/>
      <c r="L62" s="4"/>
      <c r="M62" s="4"/>
      <c r="N62" s="4"/>
      <c r="O62" s="4"/>
      <c r="P62" s="4"/>
      <c r="Q62" s="4"/>
      <c r="R62" s="5"/>
      <c r="S62" s="25"/>
      <c r="T62" s="5"/>
    </row>
    <row r="63" spans="1:20" s="3" customFormat="1" x14ac:dyDescent="0.25">
      <c r="A63" s="21" t="s">
        <v>450</v>
      </c>
      <c r="B63" s="67" t="s">
        <v>75</v>
      </c>
      <c r="C63" s="25"/>
      <c r="D63" s="15"/>
      <c r="E63" s="67" t="s">
        <v>97</v>
      </c>
      <c r="F63" s="202" t="s">
        <v>26</v>
      </c>
      <c r="G63" s="270">
        <v>4.0590758000000005E-2</v>
      </c>
      <c r="H63" s="270">
        <v>4.0000000000000036E-2</v>
      </c>
      <c r="I63" s="270">
        <v>4.0000000000000036E-2</v>
      </c>
      <c r="J63" s="270">
        <v>4.0000000000000036E-2</v>
      </c>
      <c r="K63" s="270">
        <v>4.0000000000000036E-2</v>
      </c>
      <c r="L63" s="270">
        <v>4.0000000000000036E-2</v>
      </c>
      <c r="M63" s="270">
        <v>4.0000000000000036E-2</v>
      </c>
      <c r="N63" s="270">
        <v>4.0000000000000036E-2</v>
      </c>
      <c r="O63" s="270">
        <v>4.0000000000000036E-2</v>
      </c>
      <c r="P63" s="270">
        <v>4.0000000000000036E-2</v>
      </c>
      <c r="Q63" s="270">
        <v>3.9999999999999036E-2</v>
      </c>
      <c r="R63" s="5"/>
      <c r="S63" s="25"/>
      <c r="T63" s="5"/>
    </row>
    <row r="64" spans="1:20" s="3" customFormat="1" x14ac:dyDescent="0.25">
      <c r="A64" s="21" t="s">
        <v>450</v>
      </c>
      <c r="B64" s="67" t="s">
        <v>306</v>
      </c>
      <c r="C64" s="25"/>
      <c r="D64" s="67" t="s">
        <v>463</v>
      </c>
      <c r="E64" s="67" t="s">
        <v>132</v>
      </c>
      <c r="F64" s="202" t="s">
        <v>26</v>
      </c>
      <c r="G64" s="34">
        <f>SUMIFS(Residential!F$95:F$150,Residential!$C$95:$C$150,"Alberta",Residential!$B$95:$B$150,$F64)/SUMIFS(Residential!F$36:F$91,Residential!$C$36:$C$91,"Alberta",Residential!$B$36:$B$91,$F64)*1000</f>
        <v>91.721414046613475</v>
      </c>
      <c r="H64" s="34">
        <f>SUMIFS(Residential!G$95:G$150,Residential!$C$95:$C$150,"Alberta",Residential!$B$95:$B$150,$F64)/SUMIFS(Residential!G$36:G$91,Residential!$C$36:$C$91,"Alberta",Residential!$B$36:$B$91,$F64)*1000</f>
        <v>92.262366258334637</v>
      </c>
      <c r="I64" s="34">
        <f>SUMIFS(Residential!H$95:H$150,Residential!$C$95:$C$150,"Alberta",Residential!$B$95:$B$150,$F64)/SUMIFS(Residential!H$36:H$91,Residential!$C$36:$C$91,"Alberta",Residential!$B$36:$B$91,$F64)*1000</f>
        <v>93.402188993371354</v>
      </c>
      <c r="J64" s="34">
        <f>SUMIFS(Residential!I$95:I$150,Residential!$C$95:$C$150,"Alberta",Residential!$B$95:$B$150,$F64)/SUMIFS(Residential!I$36:I$91,Residential!$C$36:$C$91,"Alberta",Residential!$B$36:$B$91,$F64)*1000</f>
        <v>94.688909694442074</v>
      </c>
      <c r="K64" s="34">
        <f>SUMIFS(Residential!J$95:J$150,Residential!$C$95:$C$150,"Alberta",Residential!$B$95:$B$150,$F64)/SUMIFS(Residential!J$36:J$91,Residential!$C$36:$C$91,"Alberta",Residential!$B$36:$B$91,$F64)*1000</f>
        <v>95.037976097397532</v>
      </c>
      <c r="L64" s="34">
        <f>SUMIFS(Residential!K$95:K$150,Residential!$C$95:$C$150,"Alberta",Residential!$B$95:$B$150,$F64)/SUMIFS(Residential!K$36:K$91,Residential!$C$36:$C$91,"Alberta",Residential!$B$36:$B$91,$F64)*1000</f>
        <v>95.037976097397532</v>
      </c>
      <c r="M64" s="34">
        <f>SUMIFS(Residential!L$95:L$150,Residential!$C$95:$C$150,"Alberta",Residential!$B$95:$B$150,$F64)/SUMIFS(Residential!L$36:L$91,Residential!$C$36:$C$91,"Alberta",Residential!$B$36:$B$91,$F64)*1000</f>
        <v>95.037976097397532</v>
      </c>
      <c r="N64" s="34">
        <f>SUMIFS(Residential!M$95:M$150,Residential!$C$95:$C$150,"Alberta",Residential!$B$95:$B$150,$F64)/SUMIFS(Residential!M$36:M$91,Residential!$C$36:$C$91,"Alberta",Residential!$B$36:$B$91,$F64)*1000</f>
        <v>95.037976097397532</v>
      </c>
      <c r="O64" s="34">
        <f>SUMIFS(Residential!N$95:N$150,Residential!$C$95:$C$150,"Alberta",Residential!$B$95:$B$150,$F64)/SUMIFS(Residential!N$36:N$91,Residential!$C$36:$C$91,"Alberta",Residential!$B$36:$B$91,$F64)*1000</f>
        <v>95.037976097397532</v>
      </c>
      <c r="P64" s="34">
        <f>SUMIFS(Residential!O$95:O$150,Residential!$C$95:$C$150,"Alberta",Residential!$B$95:$B$150,$F64)/SUMIFS(Residential!O$36:O$91,Residential!$C$36:$C$91,"Alberta",Residential!$B$36:$B$91,$F64)*1000</f>
        <v>95.037976097397532</v>
      </c>
      <c r="Q64" s="34">
        <f>SUMIFS(Residential!P$95:P$150,Residential!$C$95:$C$150,"Alberta",Residential!$B$95:$B$150,$F64)/SUMIFS(Residential!P$36:P$91,Residential!$C$36:$C$91,"Alberta",Residential!$B$36:$B$91,$F64)*1000</f>
        <v>95.037976097397532</v>
      </c>
      <c r="R64" s="5"/>
      <c r="S64" s="25"/>
      <c r="T64" s="5"/>
    </row>
    <row r="65" spans="1:20" s="3" customFormat="1" x14ac:dyDescent="0.25">
      <c r="A65" s="21" t="s">
        <v>450</v>
      </c>
      <c r="B65" s="67" t="s">
        <v>306</v>
      </c>
      <c r="C65" s="25"/>
      <c r="D65" s="67" t="s">
        <v>467</v>
      </c>
      <c r="E65" s="67" t="s">
        <v>319</v>
      </c>
      <c r="F65" s="202" t="s">
        <v>26</v>
      </c>
      <c r="G65" s="34">
        <v>1</v>
      </c>
      <c r="H65" s="34">
        <v>1</v>
      </c>
      <c r="I65" s="34">
        <v>1</v>
      </c>
      <c r="J65" s="34">
        <v>1</v>
      </c>
      <c r="K65" s="34">
        <v>1</v>
      </c>
      <c r="L65" s="34">
        <v>1</v>
      </c>
      <c r="M65" s="34">
        <v>1</v>
      </c>
      <c r="N65" s="34">
        <v>1</v>
      </c>
      <c r="O65" s="34">
        <v>1</v>
      </c>
      <c r="P65" s="34">
        <v>1</v>
      </c>
      <c r="Q65" s="34">
        <v>1</v>
      </c>
      <c r="R65" s="5"/>
      <c r="S65" s="25"/>
      <c r="T65" s="5"/>
    </row>
    <row r="66" spans="1:20" s="3" customFormat="1" x14ac:dyDescent="0.25">
      <c r="A66" s="21" t="s">
        <v>450</v>
      </c>
      <c r="B66" s="67" t="s">
        <v>306</v>
      </c>
      <c r="C66" s="25"/>
      <c r="D66" s="67" t="s">
        <v>468</v>
      </c>
      <c r="E66" s="67" t="s">
        <v>319</v>
      </c>
      <c r="F66" s="202" t="s">
        <v>26</v>
      </c>
      <c r="G66" s="34">
        <v>1</v>
      </c>
      <c r="H66" s="34">
        <v>1</v>
      </c>
      <c r="I66" s="34">
        <v>1</v>
      </c>
      <c r="J66" s="34">
        <v>1</v>
      </c>
      <c r="K66" s="34">
        <v>1</v>
      </c>
      <c r="L66" s="34">
        <v>1</v>
      </c>
      <c r="M66" s="34">
        <v>1</v>
      </c>
      <c r="N66" s="34">
        <v>1</v>
      </c>
      <c r="O66" s="34">
        <v>1</v>
      </c>
      <c r="P66" s="34">
        <v>1</v>
      </c>
      <c r="Q66" s="34">
        <v>1</v>
      </c>
      <c r="R66" s="5"/>
      <c r="S66" s="25"/>
      <c r="T66" s="5"/>
    </row>
    <row r="67" spans="1:20" s="3" customFormat="1" x14ac:dyDescent="0.25">
      <c r="A67" s="21" t="s">
        <v>450</v>
      </c>
      <c r="B67" s="4"/>
      <c r="C67" s="13"/>
      <c r="D67" s="4"/>
      <c r="E67" s="4"/>
      <c r="F67" s="9"/>
      <c r="G67" s="4"/>
      <c r="H67" s="4"/>
      <c r="I67" s="4"/>
      <c r="J67" s="4"/>
      <c r="K67" s="4"/>
      <c r="L67" s="4"/>
      <c r="M67" s="4"/>
      <c r="N67" s="4"/>
      <c r="O67" s="4"/>
      <c r="P67" s="4"/>
      <c r="Q67" s="4"/>
      <c r="R67" s="5"/>
      <c r="S67" s="13"/>
      <c r="T67" s="5"/>
    </row>
    <row r="68" spans="1:20" s="3" customFormat="1" x14ac:dyDescent="0.25">
      <c r="A68" s="359" t="s">
        <v>1</v>
      </c>
      <c r="B68" s="4"/>
      <c r="C68" s="13"/>
      <c r="D68" s="4"/>
      <c r="E68" s="4"/>
      <c r="F68" s="9"/>
      <c r="G68" s="4"/>
      <c r="H68" s="4"/>
      <c r="I68" s="4"/>
      <c r="J68" s="4"/>
      <c r="K68" s="4"/>
      <c r="L68" s="4"/>
      <c r="M68" s="4"/>
      <c r="N68" s="4"/>
      <c r="O68" s="4"/>
      <c r="P68" s="4"/>
      <c r="Q68" s="4"/>
      <c r="R68" s="5"/>
      <c r="S68" s="13"/>
      <c r="T68" s="5"/>
    </row>
    <row r="69" spans="1:20" s="3" customFormat="1" x14ac:dyDescent="0.25">
      <c r="A69" s="21" t="s">
        <v>450</v>
      </c>
      <c r="B69" s="67" t="s">
        <v>305</v>
      </c>
      <c r="C69" s="25"/>
      <c r="D69" s="67" t="s">
        <v>463</v>
      </c>
      <c r="E69" s="67" t="s">
        <v>36</v>
      </c>
      <c r="F69" s="202" t="str">
        <f>A68</f>
        <v>Shell</v>
      </c>
      <c r="G69" s="55"/>
      <c r="H69" s="55"/>
      <c r="I69" s="55"/>
      <c r="J69" s="55"/>
      <c r="K69" s="55"/>
      <c r="L69" s="55"/>
      <c r="M69" s="55"/>
      <c r="N69" s="55"/>
      <c r="O69" s="55"/>
      <c r="P69" s="55"/>
      <c r="Q69" s="55"/>
      <c r="R69" s="5"/>
      <c r="S69" s="25"/>
      <c r="T69" s="5"/>
    </row>
    <row r="70" spans="1:20" s="3" customFormat="1" x14ac:dyDescent="0.25">
      <c r="A70" s="21" t="s">
        <v>450</v>
      </c>
      <c r="B70" s="67" t="s">
        <v>47</v>
      </c>
      <c r="C70" s="25"/>
      <c r="D70" s="2"/>
      <c r="E70" s="2"/>
      <c r="F70" s="202" t="s">
        <v>21</v>
      </c>
      <c r="G70" s="4"/>
      <c r="H70" s="4"/>
      <c r="I70" s="4"/>
      <c r="J70" s="4"/>
      <c r="K70" s="4"/>
      <c r="L70" s="4"/>
      <c r="M70" s="4"/>
      <c r="N70" s="4"/>
      <c r="O70" s="4"/>
      <c r="P70" s="4"/>
      <c r="Q70" s="4"/>
      <c r="R70" s="5"/>
      <c r="S70" s="25"/>
      <c r="T70" s="5"/>
    </row>
    <row r="71" spans="1:20" s="3" customFormat="1" x14ac:dyDescent="0.25">
      <c r="A71" s="21" t="s">
        <v>450</v>
      </c>
      <c r="B71" s="67" t="s">
        <v>66</v>
      </c>
      <c r="C71" s="25"/>
      <c r="D71" s="2"/>
      <c r="E71" s="2"/>
      <c r="F71" s="202" t="s">
        <v>35</v>
      </c>
      <c r="G71" s="2">
        <v>10</v>
      </c>
      <c r="H71" s="209">
        <f t="shared" ref="H71:Q71" si="0">G71</f>
        <v>10</v>
      </c>
      <c r="I71" s="209">
        <f t="shared" si="0"/>
        <v>10</v>
      </c>
      <c r="J71" s="209">
        <f t="shared" si="0"/>
        <v>10</v>
      </c>
      <c r="K71" s="209">
        <f t="shared" si="0"/>
        <v>10</v>
      </c>
      <c r="L71" s="209">
        <f t="shared" si="0"/>
        <v>10</v>
      </c>
      <c r="M71" s="209">
        <f t="shared" si="0"/>
        <v>10</v>
      </c>
      <c r="N71" s="209">
        <f t="shared" si="0"/>
        <v>10</v>
      </c>
      <c r="O71" s="209">
        <f t="shared" si="0"/>
        <v>10</v>
      </c>
      <c r="P71" s="209">
        <f t="shared" si="0"/>
        <v>10</v>
      </c>
      <c r="Q71" s="209">
        <f t="shared" si="0"/>
        <v>10</v>
      </c>
      <c r="R71" s="5"/>
      <c r="S71" s="25"/>
      <c r="T71" s="5"/>
    </row>
    <row r="72" spans="1:20" s="3" customFormat="1" x14ac:dyDescent="0.25">
      <c r="A72" s="21" t="s">
        <v>450</v>
      </c>
      <c r="B72" s="67" t="s">
        <v>51</v>
      </c>
      <c r="C72" s="25"/>
      <c r="D72" s="2"/>
      <c r="E72" s="2"/>
      <c r="F72" s="202" t="s">
        <v>28</v>
      </c>
      <c r="G72" s="4"/>
      <c r="H72" s="4"/>
      <c r="I72" s="4"/>
      <c r="J72" s="4"/>
      <c r="K72" s="4"/>
      <c r="L72" s="4"/>
      <c r="M72" s="4"/>
      <c r="N72" s="4"/>
      <c r="O72" s="4"/>
      <c r="P72" s="4"/>
      <c r="Q72" s="4"/>
      <c r="R72" s="5"/>
      <c r="S72" s="25"/>
      <c r="T72" s="5"/>
    </row>
    <row r="73" spans="1:20" s="3" customFormat="1" x14ac:dyDescent="0.25">
      <c r="A73" s="21" t="s">
        <v>450</v>
      </c>
      <c r="B73" s="246" t="s">
        <v>38</v>
      </c>
      <c r="C73" s="246"/>
      <c r="D73" s="246"/>
      <c r="E73" s="67" t="s">
        <v>40</v>
      </c>
      <c r="F73" s="202" t="s">
        <v>28</v>
      </c>
      <c r="G73" s="277">
        <v>1940</v>
      </c>
      <c r="H73" s="278">
        <f t="shared" ref="H73:Q75" si="1">G73</f>
        <v>1940</v>
      </c>
      <c r="I73" s="278">
        <f t="shared" si="1"/>
        <v>1940</v>
      </c>
      <c r="J73" s="278">
        <f t="shared" si="1"/>
        <v>1940</v>
      </c>
      <c r="K73" s="278">
        <f t="shared" si="1"/>
        <v>1940</v>
      </c>
      <c r="L73" s="278">
        <f t="shared" si="1"/>
        <v>1940</v>
      </c>
      <c r="M73" s="278">
        <f t="shared" si="1"/>
        <v>1940</v>
      </c>
      <c r="N73" s="278">
        <f t="shared" si="1"/>
        <v>1940</v>
      </c>
      <c r="O73" s="278">
        <f t="shared" si="1"/>
        <v>1940</v>
      </c>
      <c r="P73" s="278">
        <f t="shared" si="1"/>
        <v>1940</v>
      </c>
      <c r="Q73" s="278">
        <f t="shared" si="1"/>
        <v>1940</v>
      </c>
      <c r="R73" s="5"/>
      <c r="S73" s="25"/>
      <c r="T73" s="5"/>
    </row>
    <row r="74" spans="1:20" s="3" customFormat="1" x14ac:dyDescent="0.25">
      <c r="A74" s="21" t="s">
        <v>450</v>
      </c>
      <c r="B74" s="246" t="s">
        <v>37</v>
      </c>
      <c r="C74" s="246"/>
      <c r="D74" s="246"/>
      <c r="E74" s="67" t="s">
        <v>40</v>
      </c>
      <c r="F74" s="202" t="s">
        <v>28</v>
      </c>
      <c r="G74" s="277">
        <v>2000</v>
      </c>
      <c r="H74" s="278">
        <f t="shared" si="1"/>
        <v>2000</v>
      </c>
      <c r="I74" s="278">
        <f t="shared" si="1"/>
        <v>2000</v>
      </c>
      <c r="J74" s="278">
        <f t="shared" si="1"/>
        <v>2000</v>
      </c>
      <c r="K74" s="278">
        <f t="shared" si="1"/>
        <v>2000</v>
      </c>
      <c r="L74" s="278">
        <f t="shared" si="1"/>
        <v>2000</v>
      </c>
      <c r="M74" s="278">
        <f t="shared" si="1"/>
        <v>2000</v>
      </c>
      <c r="N74" s="278">
        <f t="shared" si="1"/>
        <v>2000</v>
      </c>
      <c r="O74" s="278">
        <f t="shared" si="1"/>
        <v>2000</v>
      </c>
      <c r="P74" s="278">
        <f t="shared" si="1"/>
        <v>2000</v>
      </c>
      <c r="Q74" s="278">
        <f t="shared" si="1"/>
        <v>2000</v>
      </c>
      <c r="R74" s="5"/>
      <c r="S74" s="25"/>
      <c r="T74" s="5"/>
    </row>
    <row r="75" spans="1:20" s="3" customFormat="1" x14ac:dyDescent="0.25">
      <c r="A75" s="21" t="s">
        <v>450</v>
      </c>
      <c r="B75" s="246" t="s">
        <v>39</v>
      </c>
      <c r="C75" s="246"/>
      <c r="D75" s="246"/>
      <c r="E75" s="67" t="s">
        <v>10</v>
      </c>
      <c r="F75" s="202" t="s">
        <v>28</v>
      </c>
      <c r="G75" s="55">
        <v>25</v>
      </c>
      <c r="H75" s="229">
        <f t="shared" si="1"/>
        <v>25</v>
      </c>
      <c r="I75" s="229">
        <f t="shared" si="1"/>
        <v>25</v>
      </c>
      <c r="J75" s="229">
        <f t="shared" si="1"/>
        <v>25</v>
      </c>
      <c r="K75" s="229">
        <f t="shared" si="1"/>
        <v>25</v>
      </c>
      <c r="L75" s="229">
        <f t="shared" si="1"/>
        <v>25</v>
      </c>
      <c r="M75" s="229">
        <f t="shared" si="1"/>
        <v>25</v>
      </c>
      <c r="N75" s="229">
        <f t="shared" si="1"/>
        <v>25</v>
      </c>
      <c r="O75" s="229">
        <f t="shared" si="1"/>
        <v>25</v>
      </c>
      <c r="P75" s="229">
        <f t="shared" si="1"/>
        <v>25</v>
      </c>
      <c r="Q75" s="229">
        <f t="shared" si="1"/>
        <v>25</v>
      </c>
      <c r="R75" s="5"/>
      <c r="S75" s="25"/>
      <c r="T75" s="5"/>
    </row>
    <row r="76" spans="1:20" s="3" customFormat="1" x14ac:dyDescent="0.25">
      <c r="A76" s="21" t="s">
        <v>450</v>
      </c>
      <c r="B76" s="246" t="s">
        <v>361</v>
      </c>
      <c r="C76" s="246"/>
      <c r="D76" s="246"/>
      <c r="E76" s="246" t="s">
        <v>10</v>
      </c>
      <c r="F76" s="202" t="s">
        <v>28</v>
      </c>
      <c r="G76" s="55"/>
      <c r="H76" s="55"/>
      <c r="I76" s="55"/>
      <c r="J76" s="55"/>
      <c r="K76" s="55"/>
      <c r="L76" s="55"/>
      <c r="M76" s="55"/>
      <c r="N76" s="55"/>
      <c r="O76" s="55"/>
      <c r="P76" s="55"/>
      <c r="Q76" s="55"/>
      <c r="R76" s="5"/>
      <c r="S76" s="25"/>
      <c r="T76" s="5"/>
    </row>
    <row r="77" spans="1:20" s="3" customFormat="1" x14ac:dyDescent="0.25">
      <c r="A77" s="21" t="s">
        <v>450</v>
      </c>
      <c r="B77" s="246" t="s">
        <v>309</v>
      </c>
      <c r="C77" s="246"/>
      <c r="D77" s="246"/>
      <c r="E77" s="67" t="s">
        <v>97</v>
      </c>
      <c r="F77" s="202" t="s">
        <v>28</v>
      </c>
      <c r="G77" s="271">
        <v>0.25</v>
      </c>
      <c r="H77" s="272">
        <f t="shared" ref="H77:Q77" si="2">G77</f>
        <v>0.25</v>
      </c>
      <c r="I77" s="272">
        <f t="shared" si="2"/>
        <v>0.25</v>
      </c>
      <c r="J77" s="272">
        <f t="shared" si="2"/>
        <v>0.25</v>
      </c>
      <c r="K77" s="272">
        <f t="shared" si="2"/>
        <v>0.25</v>
      </c>
      <c r="L77" s="272">
        <f t="shared" si="2"/>
        <v>0.25</v>
      </c>
      <c r="M77" s="272">
        <f t="shared" si="2"/>
        <v>0.25</v>
      </c>
      <c r="N77" s="272">
        <f t="shared" si="2"/>
        <v>0.25</v>
      </c>
      <c r="O77" s="272">
        <f t="shared" si="2"/>
        <v>0.25</v>
      </c>
      <c r="P77" s="272">
        <f t="shared" si="2"/>
        <v>0.25</v>
      </c>
      <c r="Q77" s="272">
        <f t="shared" si="2"/>
        <v>0.25</v>
      </c>
      <c r="R77" s="5"/>
      <c r="S77" s="25"/>
      <c r="T77" s="5"/>
    </row>
    <row r="78" spans="1:20" s="3" customFormat="1" x14ac:dyDescent="0.25">
      <c r="A78" s="21" t="s">
        <v>450</v>
      </c>
      <c r="B78" s="246" t="s">
        <v>358</v>
      </c>
      <c r="C78" s="246"/>
      <c r="D78" s="246"/>
      <c r="E78" s="246" t="s">
        <v>97</v>
      </c>
      <c r="F78" s="202" t="s">
        <v>28</v>
      </c>
      <c r="G78" s="271"/>
      <c r="H78" s="271"/>
      <c r="I78" s="271"/>
      <c r="J78" s="271"/>
      <c r="K78" s="271"/>
      <c r="L78" s="271"/>
      <c r="M78" s="271"/>
      <c r="N78" s="271"/>
      <c r="O78" s="271"/>
      <c r="P78" s="271"/>
      <c r="Q78" s="271"/>
      <c r="R78" s="5"/>
      <c r="S78" s="25"/>
      <c r="T78" s="5"/>
    </row>
    <row r="79" spans="1:20" s="3" customFormat="1" x14ac:dyDescent="0.25">
      <c r="A79" s="21" t="s">
        <v>450</v>
      </c>
      <c r="B79" s="246" t="s">
        <v>357</v>
      </c>
      <c r="C79" s="246"/>
      <c r="D79" s="246"/>
      <c r="E79" s="246" t="s">
        <v>97</v>
      </c>
      <c r="F79" s="202" t="s">
        <v>28</v>
      </c>
      <c r="G79" s="271"/>
      <c r="H79" s="271"/>
      <c r="I79" s="271"/>
      <c r="J79" s="271"/>
      <c r="K79" s="271"/>
      <c r="L79" s="271"/>
      <c r="M79" s="271"/>
      <c r="N79" s="271"/>
      <c r="O79" s="271"/>
      <c r="P79" s="271"/>
      <c r="Q79" s="271"/>
      <c r="R79" s="5"/>
      <c r="S79" s="25"/>
      <c r="T79" s="5"/>
    </row>
    <row r="80" spans="1:20" s="3" customFormat="1" x14ac:dyDescent="0.25">
      <c r="A80" s="21"/>
      <c r="B80" s="246" t="s">
        <v>75</v>
      </c>
      <c r="C80" s="246"/>
      <c r="D80" s="246"/>
      <c r="E80" s="67" t="s">
        <v>97</v>
      </c>
      <c r="F80" s="202" t="s">
        <v>28</v>
      </c>
      <c r="G80" s="271">
        <v>0.16700000000000001</v>
      </c>
      <c r="H80" s="271"/>
      <c r="I80" s="271"/>
      <c r="J80" s="271"/>
      <c r="K80" s="271"/>
      <c r="L80" s="271"/>
      <c r="M80" s="271"/>
      <c r="N80" s="271"/>
      <c r="O80" s="271"/>
      <c r="P80" s="271"/>
      <c r="Q80" s="271"/>
      <c r="R80" s="5"/>
      <c r="S80" s="25"/>
      <c r="T80" s="5"/>
    </row>
    <row r="81" spans="1:20" s="3" customFormat="1" x14ac:dyDescent="0.25">
      <c r="A81" s="21" t="s">
        <v>450</v>
      </c>
      <c r="B81" s="68" t="s">
        <v>148</v>
      </c>
      <c r="C81" s="68"/>
      <c r="D81" s="251"/>
      <c r="E81" s="68" t="s">
        <v>97</v>
      </c>
      <c r="F81" s="202" t="s">
        <v>28</v>
      </c>
      <c r="G81" s="271"/>
      <c r="H81" s="271"/>
      <c r="I81" s="271"/>
      <c r="J81" s="271"/>
      <c r="K81" s="271"/>
      <c r="L81" s="271"/>
      <c r="M81" s="271"/>
      <c r="N81" s="271"/>
      <c r="O81" s="271"/>
      <c r="P81" s="271"/>
      <c r="Q81" s="271"/>
      <c r="R81" s="5"/>
      <c r="S81" s="25"/>
      <c r="T81" s="5"/>
    </row>
    <row r="82" spans="1:20" s="3" customFormat="1" x14ac:dyDescent="0.25">
      <c r="A82" s="21" t="s">
        <v>450</v>
      </c>
      <c r="B82" s="68" t="s">
        <v>149</v>
      </c>
      <c r="C82" s="68"/>
      <c r="D82" s="251"/>
      <c r="E82" s="68" t="s">
        <v>97</v>
      </c>
      <c r="F82" s="202" t="s">
        <v>28</v>
      </c>
      <c r="G82" s="271"/>
      <c r="H82" s="271"/>
      <c r="I82" s="271"/>
      <c r="J82" s="271"/>
      <c r="K82" s="271"/>
      <c r="L82" s="271"/>
      <c r="M82" s="271"/>
      <c r="N82" s="271"/>
      <c r="O82" s="271"/>
      <c r="P82" s="271"/>
      <c r="Q82" s="271"/>
      <c r="R82" s="5"/>
      <c r="S82" s="25"/>
      <c r="T82" s="5"/>
    </row>
    <row r="83" spans="1:20" s="3" customFormat="1" x14ac:dyDescent="0.25">
      <c r="A83" s="21" t="s">
        <v>450</v>
      </c>
      <c r="B83" s="68" t="s">
        <v>370</v>
      </c>
      <c r="C83" s="68"/>
      <c r="D83" s="251"/>
      <c r="E83" s="68" t="s">
        <v>97</v>
      </c>
      <c r="F83" s="202" t="s">
        <v>28</v>
      </c>
      <c r="G83" s="271"/>
      <c r="H83" s="271"/>
      <c r="I83" s="271"/>
      <c r="J83" s="271"/>
      <c r="K83" s="271"/>
      <c r="L83" s="271"/>
      <c r="M83" s="271"/>
      <c r="N83" s="271"/>
      <c r="O83" s="271"/>
      <c r="P83" s="271"/>
      <c r="Q83" s="271"/>
      <c r="R83" s="5"/>
      <c r="S83" s="25"/>
      <c r="T83" s="5"/>
    </row>
    <row r="84" spans="1:20" s="3" customFormat="1" x14ac:dyDescent="0.25">
      <c r="A84" s="21" t="s">
        <v>450</v>
      </c>
      <c r="B84" s="68" t="s">
        <v>371</v>
      </c>
      <c r="C84" s="68"/>
      <c r="D84" s="251"/>
      <c r="E84" s="68" t="s">
        <v>97</v>
      </c>
      <c r="F84" s="202" t="s">
        <v>28</v>
      </c>
      <c r="G84" s="271"/>
      <c r="H84" s="271"/>
      <c r="I84" s="271"/>
      <c r="J84" s="271"/>
      <c r="K84" s="271"/>
      <c r="L84" s="271"/>
      <c r="M84" s="271"/>
      <c r="N84" s="271"/>
      <c r="O84" s="271"/>
      <c r="P84" s="271"/>
      <c r="Q84" s="271"/>
      <c r="R84" s="5"/>
      <c r="S84" s="25"/>
      <c r="T84" s="5"/>
    </row>
    <row r="85" spans="1:20" s="3" customFormat="1" x14ac:dyDescent="0.25">
      <c r="A85" s="21" t="s">
        <v>450</v>
      </c>
      <c r="B85" s="246" t="s">
        <v>338</v>
      </c>
      <c r="C85" s="246"/>
      <c r="D85" s="246"/>
      <c r="E85" s="67" t="s">
        <v>36</v>
      </c>
      <c r="F85" s="202" t="s">
        <v>28</v>
      </c>
      <c r="G85" s="55"/>
      <c r="H85" s="55"/>
      <c r="I85" s="55"/>
      <c r="J85" s="55"/>
      <c r="K85" s="55"/>
      <c r="L85" s="55"/>
      <c r="M85" s="55"/>
      <c r="N85" s="55"/>
      <c r="O85" s="55"/>
      <c r="P85" s="55"/>
      <c r="Q85" s="55"/>
      <c r="R85" s="5"/>
      <c r="S85" s="25"/>
      <c r="T85" s="5"/>
    </row>
    <row r="86" spans="1:20" s="3" customFormat="1" x14ac:dyDescent="0.25">
      <c r="A86" s="21" t="s">
        <v>450</v>
      </c>
      <c r="B86" s="246" t="s">
        <v>152</v>
      </c>
      <c r="C86" s="246"/>
      <c r="D86" s="246"/>
      <c r="E86" s="67" t="s">
        <v>321</v>
      </c>
      <c r="F86" s="202" t="s">
        <v>28</v>
      </c>
      <c r="G86" s="55"/>
      <c r="H86" s="55"/>
      <c r="I86" s="55"/>
      <c r="J86" s="55"/>
      <c r="K86" s="55"/>
      <c r="L86" s="55"/>
      <c r="M86" s="55"/>
      <c r="N86" s="55"/>
      <c r="O86" s="55"/>
      <c r="P86" s="55"/>
      <c r="Q86" s="55"/>
      <c r="R86" s="5"/>
      <c r="S86" s="25"/>
      <c r="T86" s="5"/>
    </row>
    <row r="87" spans="1:20" s="3" customFormat="1" x14ac:dyDescent="0.25">
      <c r="A87" s="21" t="s">
        <v>450</v>
      </c>
      <c r="B87" s="246" t="s">
        <v>383</v>
      </c>
      <c r="C87" s="246"/>
      <c r="D87" s="246"/>
      <c r="E87" s="246" t="s">
        <v>97</v>
      </c>
      <c r="F87" s="202" t="s">
        <v>28</v>
      </c>
      <c r="G87" s="271"/>
      <c r="H87" s="271"/>
      <c r="I87" s="271"/>
      <c r="J87" s="271"/>
      <c r="K87" s="271"/>
      <c r="L87" s="271"/>
      <c r="M87" s="271"/>
      <c r="N87" s="271"/>
      <c r="O87" s="271"/>
      <c r="P87" s="271"/>
      <c r="Q87" s="271"/>
      <c r="R87" s="5"/>
      <c r="S87" s="25"/>
      <c r="T87" s="5"/>
    </row>
    <row r="88" spans="1:20" s="3" customFormat="1" x14ac:dyDescent="0.25">
      <c r="A88" s="21" t="s">
        <v>450</v>
      </c>
      <c r="B88" s="246" t="s">
        <v>446</v>
      </c>
      <c r="C88" s="246"/>
      <c r="D88" s="246"/>
      <c r="E88" s="67" t="s">
        <v>36</v>
      </c>
      <c r="F88" s="202" t="s">
        <v>28</v>
      </c>
      <c r="G88" s="55"/>
      <c r="H88" s="55"/>
      <c r="I88" s="55"/>
      <c r="J88" s="55"/>
      <c r="K88" s="55"/>
      <c r="L88" s="55"/>
      <c r="M88" s="55"/>
      <c r="N88" s="55"/>
      <c r="O88" s="55"/>
      <c r="P88" s="55"/>
      <c r="Q88" s="55"/>
      <c r="R88" s="5"/>
      <c r="S88" s="25"/>
      <c r="T88" s="5"/>
    </row>
    <row r="89" spans="1:20" s="3" customFormat="1" x14ac:dyDescent="0.25">
      <c r="A89" s="21" t="s">
        <v>450</v>
      </c>
      <c r="B89" s="246" t="s">
        <v>387</v>
      </c>
      <c r="C89" s="246"/>
      <c r="D89" s="246"/>
      <c r="E89" s="246"/>
      <c r="F89" s="202" t="s">
        <v>28</v>
      </c>
      <c r="G89" s="54"/>
      <c r="H89" s="54"/>
      <c r="I89" s="54"/>
      <c r="J89" s="54"/>
      <c r="K89" s="54"/>
      <c r="L89" s="54"/>
      <c r="M89" s="54"/>
      <c r="N89" s="54"/>
      <c r="O89" s="54"/>
      <c r="P89" s="54"/>
      <c r="Q89" s="54"/>
      <c r="R89" s="5"/>
      <c r="S89" s="25"/>
      <c r="T89" s="5"/>
    </row>
    <row r="90" spans="1:20" s="3" customFormat="1" x14ac:dyDescent="0.25">
      <c r="A90" s="21" t="s">
        <v>450</v>
      </c>
      <c r="B90" s="246" t="s">
        <v>369</v>
      </c>
      <c r="C90" s="246"/>
      <c r="D90" s="246"/>
      <c r="E90" s="246" t="s">
        <v>97</v>
      </c>
      <c r="F90" s="202" t="s">
        <v>28</v>
      </c>
      <c r="G90" s="271"/>
      <c r="H90" s="271"/>
      <c r="I90" s="271"/>
      <c r="J90" s="271"/>
      <c r="K90" s="271"/>
      <c r="L90" s="271"/>
      <c r="M90" s="271"/>
      <c r="N90" s="271"/>
      <c r="O90" s="271"/>
      <c r="P90" s="271"/>
      <c r="Q90" s="271"/>
      <c r="R90" s="5"/>
      <c r="S90" s="25"/>
      <c r="T90" s="5"/>
    </row>
    <row r="91" spans="1:20" s="3" customFormat="1" x14ac:dyDescent="0.25">
      <c r="A91" s="21" t="s">
        <v>450</v>
      </c>
      <c r="B91" s="246" t="s">
        <v>392</v>
      </c>
      <c r="C91" s="246"/>
      <c r="D91" s="246"/>
      <c r="E91" s="246" t="s">
        <v>321</v>
      </c>
      <c r="F91" s="202" t="s">
        <v>28</v>
      </c>
      <c r="G91" s="55"/>
      <c r="H91" s="55"/>
      <c r="I91" s="55"/>
      <c r="J91" s="55"/>
      <c r="K91" s="55"/>
      <c r="L91" s="55"/>
      <c r="M91" s="55"/>
      <c r="N91" s="55"/>
      <c r="O91" s="55"/>
      <c r="P91" s="55"/>
      <c r="Q91" s="55"/>
      <c r="R91" s="5"/>
      <c r="S91" s="25"/>
      <c r="T91" s="5"/>
    </row>
    <row r="92" spans="1:20" s="3" customFormat="1" x14ac:dyDescent="0.25">
      <c r="A92" s="21" t="s">
        <v>450</v>
      </c>
      <c r="B92" s="246" t="s">
        <v>394</v>
      </c>
      <c r="C92" s="246"/>
      <c r="D92" s="246"/>
      <c r="E92" s="246" t="s">
        <v>321</v>
      </c>
      <c r="F92" s="202" t="s">
        <v>28</v>
      </c>
      <c r="G92" s="55"/>
      <c r="H92" s="55"/>
      <c r="I92" s="55"/>
      <c r="J92" s="55"/>
      <c r="K92" s="55"/>
      <c r="L92" s="55"/>
      <c r="M92" s="55"/>
      <c r="N92" s="55"/>
      <c r="O92" s="55"/>
      <c r="P92" s="55"/>
      <c r="Q92" s="55"/>
      <c r="R92" s="5"/>
      <c r="S92" s="25"/>
      <c r="T92" s="5"/>
    </row>
    <row r="93" spans="1:20" s="3" customFormat="1" x14ac:dyDescent="0.25">
      <c r="A93" s="21" t="s">
        <v>450</v>
      </c>
      <c r="B93" s="246" t="s">
        <v>395</v>
      </c>
      <c r="C93" s="246"/>
      <c r="D93" s="246"/>
      <c r="E93" s="246"/>
      <c r="F93" s="202" t="s">
        <v>28</v>
      </c>
      <c r="G93" s="54"/>
      <c r="H93" s="54"/>
      <c r="I93" s="54"/>
      <c r="J93" s="54"/>
      <c r="K93" s="54"/>
      <c r="L93" s="54"/>
      <c r="M93" s="54"/>
      <c r="N93" s="54"/>
      <c r="O93" s="54"/>
      <c r="P93" s="54"/>
      <c r="Q93" s="54"/>
      <c r="R93" s="5"/>
      <c r="S93" s="25"/>
      <c r="T93" s="5"/>
    </row>
    <row r="94" spans="1:20" s="3" customFormat="1" x14ac:dyDescent="0.25">
      <c r="A94" s="21" t="s">
        <v>450</v>
      </c>
      <c r="B94" s="246" t="s">
        <v>396</v>
      </c>
      <c r="C94" s="246"/>
      <c r="D94" s="246"/>
      <c r="E94" s="246"/>
      <c r="F94" s="202" t="s">
        <v>28</v>
      </c>
      <c r="G94" s="54"/>
      <c r="H94" s="54"/>
      <c r="I94" s="54"/>
      <c r="J94" s="54"/>
      <c r="K94" s="54"/>
      <c r="L94" s="54"/>
      <c r="M94" s="54"/>
      <c r="N94" s="54"/>
      <c r="O94" s="54"/>
      <c r="P94" s="54"/>
      <c r="Q94" s="54"/>
      <c r="R94" s="5"/>
      <c r="S94" s="25"/>
      <c r="T94" s="5"/>
    </row>
    <row r="95" spans="1:20" s="3" customFormat="1" x14ac:dyDescent="0.25">
      <c r="A95" s="21" t="s">
        <v>450</v>
      </c>
      <c r="B95" s="246" t="s">
        <v>393</v>
      </c>
      <c r="C95" s="246"/>
      <c r="D95" s="246"/>
      <c r="E95" s="67" t="s">
        <v>324</v>
      </c>
      <c r="F95" s="202" t="s">
        <v>28</v>
      </c>
      <c r="G95" s="55"/>
      <c r="H95" s="55"/>
      <c r="I95" s="55"/>
      <c r="J95" s="55"/>
      <c r="K95" s="55"/>
      <c r="L95" s="55"/>
      <c r="M95" s="55"/>
      <c r="N95" s="55"/>
      <c r="O95" s="55"/>
      <c r="P95" s="55"/>
      <c r="Q95" s="55"/>
      <c r="R95" s="5"/>
      <c r="S95" s="25"/>
      <c r="T95" s="5"/>
    </row>
    <row r="96" spans="1:20" s="3" customFormat="1" x14ac:dyDescent="0.25">
      <c r="A96" s="21" t="s">
        <v>450</v>
      </c>
      <c r="B96" s="246" t="s">
        <v>397</v>
      </c>
      <c r="C96" s="246"/>
      <c r="D96" s="246"/>
      <c r="E96" s="67" t="s">
        <v>324</v>
      </c>
      <c r="F96" s="202" t="s">
        <v>28</v>
      </c>
      <c r="G96" s="55"/>
      <c r="H96" s="55"/>
      <c r="I96" s="55"/>
      <c r="J96" s="55"/>
      <c r="K96" s="55"/>
      <c r="L96" s="55"/>
      <c r="M96" s="55"/>
      <c r="N96" s="55"/>
      <c r="O96" s="55"/>
      <c r="P96" s="55"/>
      <c r="Q96" s="55"/>
      <c r="R96" s="5"/>
      <c r="S96" s="25"/>
      <c r="T96" s="5"/>
    </row>
    <row r="97" spans="1:20" s="3" customFormat="1" x14ac:dyDescent="0.25">
      <c r="A97" s="21" t="s">
        <v>450</v>
      </c>
      <c r="B97" s="246" t="s">
        <v>398</v>
      </c>
      <c r="C97" s="246"/>
      <c r="D97" s="246"/>
      <c r="E97" s="246"/>
      <c r="F97" s="202" t="s">
        <v>28</v>
      </c>
      <c r="G97" s="54"/>
      <c r="H97" s="54"/>
      <c r="I97" s="54"/>
      <c r="J97" s="54"/>
      <c r="K97" s="54"/>
      <c r="L97" s="54"/>
      <c r="M97" s="54"/>
      <c r="N97" s="54"/>
      <c r="O97" s="54"/>
      <c r="P97" s="54"/>
      <c r="Q97" s="54"/>
      <c r="R97" s="5"/>
      <c r="S97" s="25"/>
      <c r="T97" s="5"/>
    </row>
    <row r="98" spans="1:20" s="3" customFormat="1" x14ac:dyDescent="0.25">
      <c r="A98" s="21" t="s">
        <v>450</v>
      </c>
      <c r="B98" s="246" t="s">
        <v>399</v>
      </c>
      <c r="C98" s="246"/>
      <c r="D98" s="246"/>
      <c r="E98" s="246"/>
      <c r="F98" s="202" t="s">
        <v>28</v>
      </c>
      <c r="G98" s="54"/>
      <c r="H98" s="54"/>
      <c r="I98" s="54"/>
      <c r="J98" s="54"/>
      <c r="K98" s="54"/>
      <c r="L98" s="54"/>
      <c r="M98" s="54"/>
      <c r="N98" s="54"/>
      <c r="O98" s="54"/>
      <c r="P98" s="54"/>
      <c r="Q98" s="54"/>
      <c r="R98" s="5"/>
      <c r="S98" s="25"/>
      <c r="T98" s="5"/>
    </row>
    <row r="99" spans="1:20" s="3" customFormat="1" x14ac:dyDescent="0.25">
      <c r="A99" s="21" t="s">
        <v>450</v>
      </c>
      <c r="B99" s="246" t="s">
        <v>310</v>
      </c>
      <c r="C99" s="246"/>
      <c r="D99" s="246"/>
      <c r="E99" s="67" t="s">
        <v>324</v>
      </c>
      <c r="F99" s="202" t="s">
        <v>28</v>
      </c>
      <c r="G99" s="55"/>
      <c r="H99" s="55"/>
      <c r="I99" s="55"/>
      <c r="J99" s="55"/>
      <c r="K99" s="55"/>
      <c r="L99" s="55"/>
      <c r="M99" s="55"/>
      <c r="N99" s="55"/>
      <c r="O99" s="55"/>
      <c r="P99" s="55"/>
      <c r="Q99" s="55"/>
      <c r="R99" s="5"/>
      <c r="S99" s="25"/>
      <c r="T99" s="5"/>
    </row>
    <row r="100" spans="1:20" s="3" customFormat="1" x14ac:dyDescent="0.25">
      <c r="A100" s="21" t="s">
        <v>450</v>
      </c>
      <c r="B100" s="246" t="s">
        <v>360</v>
      </c>
      <c r="C100" s="246"/>
      <c r="D100" s="246"/>
      <c r="E100" s="246" t="s">
        <v>321</v>
      </c>
      <c r="F100" s="202" t="s">
        <v>28</v>
      </c>
      <c r="G100" s="55"/>
      <c r="H100" s="55"/>
      <c r="I100" s="55"/>
      <c r="J100" s="55"/>
      <c r="K100" s="55"/>
      <c r="L100" s="55"/>
      <c r="M100" s="55"/>
      <c r="N100" s="55"/>
      <c r="O100" s="55"/>
      <c r="P100" s="55"/>
      <c r="Q100" s="55"/>
      <c r="R100" s="5"/>
      <c r="S100" s="25"/>
      <c r="T100" s="5"/>
    </row>
    <row r="101" spans="1:20" s="3" customFormat="1" x14ac:dyDescent="0.25">
      <c r="A101" s="21" t="s">
        <v>450</v>
      </c>
      <c r="B101" s="67" t="s">
        <v>306</v>
      </c>
      <c r="C101" s="25"/>
      <c r="D101" s="67" t="s">
        <v>464</v>
      </c>
      <c r="E101" s="67" t="s">
        <v>45</v>
      </c>
      <c r="F101" s="202" t="s">
        <v>28</v>
      </c>
      <c r="G101" s="54">
        <v>0.997</v>
      </c>
      <c r="H101" s="54">
        <f>G101</f>
        <v>0.997</v>
      </c>
      <c r="I101" s="54">
        <f t="shared" ref="I101:Q101" si="3">H101</f>
        <v>0.997</v>
      </c>
      <c r="J101" s="54">
        <f t="shared" si="3"/>
        <v>0.997</v>
      </c>
      <c r="K101" s="54">
        <f t="shared" si="3"/>
        <v>0.997</v>
      </c>
      <c r="L101" s="54">
        <f t="shared" si="3"/>
        <v>0.997</v>
      </c>
      <c r="M101" s="54">
        <f t="shared" si="3"/>
        <v>0.997</v>
      </c>
      <c r="N101" s="54">
        <f t="shared" si="3"/>
        <v>0.997</v>
      </c>
      <c r="O101" s="54">
        <f t="shared" si="3"/>
        <v>0.997</v>
      </c>
      <c r="P101" s="54">
        <f t="shared" si="3"/>
        <v>0.997</v>
      </c>
      <c r="Q101" s="54">
        <f t="shared" si="3"/>
        <v>0.997</v>
      </c>
      <c r="R101" s="5"/>
      <c r="S101" s="25"/>
      <c r="T101" s="5"/>
    </row>
    <row r="102" spans="1:20" s="3" customFormat="1" x14ac:dyDescent="0.25">
      <c r="A102" s="21" t="s">
        <v>450</v>
      </c>
      <c r="B102" s="67" t="s">
        <v>51</v>
      </c>
      <c r="C102" s="25"/>
      <c r="D102" s="2"/>
      <c r="E102" s="2"/>
      <c r="F102" s="202" t="s">
        <v>27</v>
      </c>
      <c r="G102" s="4"/>
      <c r="H102" s="4"/>
      <c r="I102" s="4"/>
      <c r="J102" s="4"/>
      <c r="K102" s="4"/>
      <c r="L102" s="4"/>
      <c r="M102" s="4"/>
      <c r="N102" s="4"/>
      <c r="O102" s="4"/>
      <c r="P102" s="4"/>
      <c r="Q102" s="4"/>
      <c r="R102" s="5"/>
      <c r="S102" s="25"/>
      <c r="T102" s="5"/>
    </row>
    <row r="103" spans="1:20" s="3" customFormat="1" x14ac:dyDescent="0.25">
      <c r="A103" s="21" t="s">
        <v>450</v>
      </c>
      <c r="B103" s="246" t="s">
        <v>38</v>
      </c>
      <c r="C103" s="246"/>
      <c r="D103" s="246"/>
      <c r="E103" s="67" t="s">
        <v>40</v>
      </c>
      <c r="F103" s="202" t="s">
        <v>27</v>
      </c>
      <c r="G103" s="277">
        <v>1960</v>
      </c>
      <c r="H103" s="278">
        <f t="shared" ref="H103:Q105" si="4">G103</f>
        <v>1960</v>
      </c>
      <c r="I103" s="278">
        <f t="shared" si="4"/>
        <v>1960</v>
      </c>
      <c r="J103" s="278">
        <f t="shared" si="4"/>
        <v>1960</v>
      </c>
      <c r="K103" s="278">
        <f t="shared" si="4"/>
        <v>1960</v>
      </c>
      <c r="L103" s="278">
        <f t="shared" si="4"/>
        <v>1960</v>
      </c>
      <c r="M103" s="278">
        <f t="shared" si="4"/>
        <v>1960</v>
      </c>
      <c r="N103" s="278">
        <f t="shared" si="4"/>
        <v>1960</v>
      </c>
      <c r="O103" s="278">
        <f t="shared" si="4"/>
        <v>1960</v>
      </c>
      <c r="P103" s="278">
        <f t="shared" si="4"/>
        <v>1960</v>
      </c>
      <c r="Q103" s="278">
        <f t="shared" si="4"/>
        <v>1960</v>
      </c>
      <c r="R103" s="5"/>
      <c r="S103" s="25"/>
      <c r="T103" s="5"/>
    </row>
    <row r="104" spans="1:20" s="3" customFormat="1" x14ac:dyDescent="0.25">
      <c r="A104" s="21" t="s">
        <v>450</v>
      </c>
      <c r="B104" s="246" t="s">
        <v>37</v>
      </c>
      <c r="C104" s="246"/>
      <c r="D104" s="246"/>
      <c r="E104" s="67" t="s">
        <v>40</v>
      </c>
      <c r="F104" s="202" t="s">
        <v>27</v>
      </c>
      <c r="G104" s="277">
        <v>2000</v>
      </c>
      <c r="H104" s="278">
        <f t="shared" si="4"/>
        <v>2000</v>
      </c>
      <c r="I104" s="278">
        <f t="shared" si="4"/>
        <v>2000</v>
      </c>
      <c r="J104" s="278">
        <f t="shared" si="4"/>
        <v>2000</v>
      </c>
      <c r="K104" s="278">
        <f t="shared" si="4"/>
        <v>2000</v>
      </c>
      <c r="L104" s="278">
        <f t="shared" si="4"/>
        <v>2000</v>
      </c>
      <c r="M104" s="278">
        <f t="shared" si="4"/>
        <v>2000</v>
      </c>
      <c r="N104" s="278">
        <f t="shared" si="4"/>
        <v>2000</v>
      </c>
      <c r="O104" s="278">
        <f t="shared" si="4"/>
        <v>2000</v>
      </c>
      <c r="P104" s="278">
        <f t="shared" si="4"/>
        <v>2000</v>
      </c>
      <c r="Q104" s="278">
        <f t="shared" si="4"/>
        <v>2000</v>
      </c>
      <c r="R104" s="5"/>
      <c r="S104" s="25"/>
      <c r="T104" s="5"/>
    </row>
    <row r="105" spans="1:20" s="3" customFormat="1" x14ac:dyDescent="0.25">
      <c r="A105" s="21" t="s">
        <v>450</v>
      </c>
      <c r="B105" s="246" t="s">
        <v>39</v>
      </c>
      <c r="C105" s="246"/>
      <c r="D105" s="246"/>
      <c r="E105" s="67" t="s">
        <v>10</v>
      </c>
      <c r="F105" s="202" t="s">
        <v>27</v>
      </c>
      <c r="G105" s="55">
        <v>25</v>
      </c>
      <c r="H105" s="229">
        <f t="shared" si="4"/>
        <v>25</v>
      </c>
      <c r="I105" s="229">
        <f t="shared" si="4"/>
        <v>25</v>
      </c>
      <c r="J105" s="229">
        <f t="shared" si="4"/>
        <v>25</v>
      </c>
      <c r="K105" s="229">
        <f t="shared" si="4"/>
        <v>25</v>
      </c>
      <c r="L105" s="229">
        <f t="shared" si="4"/>
        <v>25</v>
      </c>
      <c r="M105" s="229">
        <f t="shared" si="4"/>
        <v>25</v>
      </c>
      <c r="N105" s="229">
        <f t="shared" si="4"/>
        <v>25</v>
      </c>
      <c r="O105" s="229">
        <f t="shared" si="4"/>
        <v>25</v>
      </c>
      <c r="P105" s="229">
        <f t="shared" si="4"/>
        <v>25</v>
      </c>
      <c r="Q105" s="229">
        <f t="shared" si="4"/>
        <v>25</v>
      </c>
      <c r="R105" s="5"/>
      <c r="S105" s="25"/>
      <c r="T105" s="5"/>
    </row>
    <row r="106" spans="1:20" s="3" customFormat="1" x14ac:dyDescent="0.25">
      <c r="A106" s="21" t="s">
        <v>450</v>
      </c>
      <c r="B106" s="246" t="s">
        <v>361</v>
      </c>
      <c r="C106" s="246"/>
      <c r="D106" s="246"/>
      <c r="E106" s="246" t="s">
        <v>10</v>
      </c>
      <c r="F106" s="202" t="s">
        <v>27</v>
      </c>
      <c r="G106" s="55"/>
      <c r="H106" s="55"/>
      <c r="I106" s="55"/>
      <c r="J106" s="55"/>
      <c r="K106" s="55"/>
      <c r="L106" s="55"/>
      <c r="M106" s="55"/>
      <c r="N106" s="55"/>
      <c r="O106" s="55"/>
      <c r="P106" s="55"/>
      <c r="Q106" s="55"/>
      <c r="R106" s="5"/>
      <c r="S106" s="25"/>
      <c r="T106" s="5"/>
    </row>
    <row r="107" spans="1:20" s="3" customFormat="1" x14ac:dyDescent="0.25">
      <c r="A107" s="21" t="s">
        <v>450</v>
      </c>
      <c r="B107" s="246" t="s">
        <v>309</v>
      </c>
      <c r="C107" s="246"/>
      <c r="D107" s="246"/>
      <c r="E107" s="67" t="s">
        <v>97</v>
      </c>
      <c r="F107" s="202" t="s">
        <v>27</v>
      </c>
      <c r="G107" s="271">
        <v>0.25</v>
      </c>
      <c r="H107" s="272">
        <f t="shared" ref="H107:Q107" si="5">G107</f>
        <v>0.25</v>
      </c>
      <c r="I107" s="272">
        <f t="shared" si="5"/>
        <v>0.25</v>
      </c>
      <c r="J107" s="272">
        <f t="shared" si="5"/>
        <v>0.25</v>
      </c>
      <c r="K107" s="272">
        <f t="shared" si="5"/>
        <v>0.25</v>
      </c>
      <c r="L107" s="272">
        <f t="shared" si="5"/>
        <v>0.25</v>
      </c>
      <c r="M107" s="272">
        <f t="shared" si="5"/>
        <v>0.25</v>
      </c>
      <c r="N107" s="272">
        <f t="shared" si="5"/>
        <v>0.25</v>
      </c>
      <c r="O107" s="272">
        <f t="shared" si="5"/>
        <v>0.25</v>
      </c>
      <c r="P107" s="272">
        <f t="shared" si="5"/>
        <v>0.25</v>
      </c>
      <c r="Q107" s="272">
        <f t="shared" si="5"/>
        <v>0.25</v>
      </c>
      <c r="R107" s="5"/>
      <c r="S107" s="25"/>
      <c r="T107" s="5"/>
    </row>
    <row r="108" spans="1:20" s="3" customFormat="1" x14ac:dyDescent="0.25">
      <c r="A108" s="21" t="s">
        <v>450</v>
      </c>
      <c r="B108" s="246" t="s">
        <v>358</v>
      </c>
      <c r="C108" s="246"/>
      <c r="D108" s="246"/>
      <c r="E108" s="246" t="s">
        <v>97</v>
      </c>
      <c r="F108" s="202" t="s">
        <v>27</v>
      </c>
      <c r="G108" s="271"/>
      <c r="H108" s="271"/>
      <c r="I108" s="271"/>
      <c r="J108" s="271"/>
      <c r="K108" s="271"/>
      <c r="L108" s="271"/>
      <c r="M108" s="271"/>
      <c r="N108" s="271"/>
      <c r="O108" s="271"/>
      <c r="P108" s="271"/>
      <c r="Q108" s="271"/>
      <c r="R108" s="5"/>
      <c r="S108" s="25"/>
      <c r="T108" s="5"/>
    </row>
    <row r="109" spans="1:20" s="3" customFormat="1" x14ac:dyDescent="0.25">
      <c r="A109" s="21" t="s">
        <v>450</v>
      </c>
      <c r="B109" s="246" t="s">
        <v>357</v>
      </c>
      <c r="C109" s="246"/>
      <c r="D109" s="246"/>
      <c r="E109" s="246" t="s">
        <v>97</v>
      </c>
      <c r="F109" s="202" t="s">
        <v>27</v>
      </c>
      <c r="G109" s="271"/>
      <c r="H109" s="271"/>
      <c r="I109" s="271"/>
      <c r="J109" s="271"/>
      <c r="K109" s="271"/>
      <c r="L109" s="271"/>
      <c r="M109" s="271"/>
      <c r="N109" s="271"/>
      <c r="O109" s="271"/>
      <c r="P109" s="271"/>
      <c r="Q109" s="271"/>
      <c r="R109" s="5"/>
      <c r="S109" s="25"/>
      <c r="T109" s="5"/>
    </row>
    <row r="110" spans="1:20" s="3" customFormat="1" x14ac:dyDescent="0.25">
      <c r="A110" s="21" t="s">
        <v>450</v>
      </c>
      <c r="B110" s="246" t="s">
        <v>75</v>
      </c>
      <c r="C110" s="246"/>
      <c r="D110" s="246"/>
      <c r="E110" s="67" t="s">
        <v>97</v>
      </c>
      <c r="F110" s="202" t="s">
        <v>27</v>
      </c>
      <c r="G110" s="271">
        <v>0.83299999999999996</v>
      </c>
      <c r="H110" s="271"/>
      <c r="I110" s="271"/>
      <c r="J110" s="271"/>
      <c r="K110" s="271"/>
      <c r="L110" s="271"/>
      <c r="M110" s="271"/>
      <c r="N110" s="271"/>
      <c r="O110" s="271"/>
      <c r="P110" s="271"/>
      <c r="Q110" s="271"/>
      <c r="R110" s="5"/>
      <c r="S110" s="25"/>
      <c r="T110" s="5"/>
    </row>
    <row r="111" spans="1:20" s="3" customFormat="1" x14ac:dyDescent="0.25">
      <c r="A111" s="21" t="s">
        <v>450</v>
      </c>
      <c r="B111" s="68" t="s">
        <v>148</v>
      </c>
      <c r="C111" s="68"/>
      <c r="D111" s="251"/>
      <c r="E111" s="68" t="s">
        <v>97</v>
      </c>
      <c r="F111" s="202" t="s">
        <v>27</v>
      </c>
      <c r="G111" s="271"/>
      <c r="H111" s="271"/>
      <c r="I111" s="271"/>
      <c r="J111" s="271"/>
      <c r="K111" s="271"/>
      <c r="L111" s="271"/>
      <c r="M111" s="271"/>
      <c r="N111" s="271"/>
      <c r="O111" s="271"/>
      <c r="P111" s="271"/>
      <c r="Q111" s="271"/>
      <c r="R111" s="5"/>
      <c r="S111" s="25"/>
      <c r="T111" s="5"/>
    </row>
    <row r="112" spans="1:20" s="3" customFormat="1" x14ac:dyDescent="0.25">
      <c r="A112" s="21" t="s">
        <v>450</v>
      </c>
      <c r="B112" s="68" t="s">
        <v>149</v>
      </c>
      <c r="C112" s="68"/>
      <c r="D112" s="251"/>
      <c r="E112" s="68" t="s">
        <v>97</v>
      </c>
      <c r="F112" s="202" t="s">
        <v>27</v>
      </c>
      <c r="G112" s="271"/>
      <c r="H112" s="271"/>
      <c r="I112" s="271"/>
      <c r="J112" s="271"/>
      <c r="K112" s="271"/>
      <c r="L112" s="271"/>
      <c r="M112" s="271"/>
      <c r="N112" s="271"/>
      <c r="O112" s="271"/>
      <c r="P112" s="271"/>
      <c r="Q112" s="271"/>
      <c r="R112" s="5"/>
      <c r="S112" s="25"/>
      <c r="T112" s="5"/>
    </row>
    <row r="113" spans="1:20" s="3" customFormat="1" x14ac:dyDescent="0.25">
      <c r="A113" s="21" t="s">
        <v>450</v>
      </c>
      <c r="B113" s="68" t="s">
        <v>370</v>
      </c>
      <c r="C113" s="68"/>
      <c r="D113" s="251"/>
      <c r="E113" s="68" t="s">
        <v>97</v>
      </c>
      <c r="F113" s="202" t="s">
        <v>27</v>
      </c>
      <c r="G113" s="271"/>
      <c r="H113" s="271"/>
      <c r="I113" s="271"/>
      <c r="J113" s="271"/>
      <c r="K113" s="271"/>
      <c r="L113" s="271"/>
      <c r="M113" s="271"/>
      <c r="N113" s="271"/>
      <c r="O113" s="271"/>
      <c r="P113" s="271"/>
      <c r="Q113" s="271"/>
      <c r="R113" s="5"/>
      <c r="S113" s="25"/>
      <c r="T113" s="5"/>
    </row>
    <row r="114" spans="1:20" s="3" customFormat="1" x14ac:dyDescent="0.25">
      <c r="A114" s="21" t="s">
        <v>450</v>
      </c>
      <c r="B114" s="68" t="s">
        <v>371</v>
      </c>
      <c r="C114" s="68"/>
      <c r="D114" s="251"/>
      <c r="E114" s="68" t="s">
        <v>97</v>
      </c>
      <c r="F114" s="202" t="s">
        <v>27</v>
      </c>
      <c r="G114" s="271"/>
      <c r="H114" s="271"/>
      <c r="I114" s="271"/>
      <c r="J114" s="271"/>
      <c r="K114" s="271"/>
      <c r="L114" s="271"/>
      <c r="M114" s="271"/>
      <c r="N114" s="271"/>
      <c r="O114" s="271"/>
      <c r="P114" s="271"/>
      <c r="Q114" s="271"/>
      <c r="R114" s="5"/>
      <c r="S114" s="25"/>
      <c r="T114" s="5"/>
    </row>
    <row r="115" spans="1:20" s="3" customFormat="1" x14ac:dyDescent="0.25">
      <c r="A115" s="21" t="s">
        <v>450</v>
      </c>
      <c r="B115" s="246" t="s">
        <v>338</v>
      </c>
      <c r="C115" s="246"/>
      <c r="D115" s="246"/>
      <c r="E115" s="67" t="s">
        <v>36</v>
      </c>
      <c r="F115" s="202" t="s">
        <v>27</v>
      </c>
      <c r="G115" s="55"/>
      <c r="H115" s="55"/>
      <c r="I115" s="55"/>
      <c r="J115" s="55"/>
      <c r="K115" s="55"/>
      <c r="L115" s="55"/>
      <c r="M115" s="55"/>
      <c r="N115" s="55"/>
      <c r="O115" s="55"/>
      <c r="P115" s="55"/>
      <c r="Q115" s="55"/>
      <c r="R115" s="5"/>
      <c r="S115" s="25"/>
      <c r="T115" s="5"/>
    </row>
    <row r="116" spans="1:20" s="3" customFormat="1" x14ac:dyDescent="0.25">
      <c r="A116" s="21" t="s">
        <v>450</v>
      </c>
      <c r="B116" s="246" t="s">
        <v>152</v>
      </c>
      <c r="C116" s="246"/>
      <c r="D116" s="246"/>
      <c r="E116" s="67" t="s">
        <v>321</v>
      </c>
      <c r="F116" s="202" t="s">
        <v>27</v>
      </c>
      <c r="G116" s="55"/>
      <c r="H116" s="55"/>
      <c r="I116" s="55"/>
      <c r="J116" s="55"/>
      <c r="K116" s="55"/>
      <c r="L116" s="55"/>
      <c r="M116" s="55"/>
      <c r="N116" s="55"/>
      <c r="O116" s="55"/>
      <c r="P116" s="55"/>
      <c r="Q116" s="55"/>
      <c r="R116" s="5"/>
      <c r="S116" s="25"/>
      <c r="T116" s="5"/>
    </row>
    <row r="117" spans="1:20" s="3" customFormat="1" x14ac:dyDescent="0.25">
      <c r="A117" s="21" t="s">
        <v>450</v>
      </c>
      <c r="B117" s="246" t="s">
        <v>383</v>
      </c>
      <c r="C117" s="246"/>
      <c r="D117" s="246"/>
      <c r="E117" s="246" t="s">
        <v>97</v>
      </c>
      <c r="F117" s="202" t="s">
        <v>27</v>
      </c>
      <c r="G117" s="271"/>
      <c r="H117" s="271"/>
      <c r="I117" s="271"/>
      <c r="J117" s="271"/>
      <c r="K117" s="271"/>
      <c r="L117" s="271"/>
      <c r="M117" s="271"/>
      <c r="N117" s="271"/>
      <c r="O117" s="271"/>
      <c r="P117" s="271"/>
      <c r="Q117" s="271"/>
      <c r="R117" s="5"/>
      <c r="S117" s="25"/>
      <c r="T117" s="5"/>
    </row>
    <row r="118" spans="1:20" s="3" customFormat="1" x14ac:dyDescent="0.25">
      <c r="A118" s="21" t="s">
        <v>450</v>
      </c>
      <c r="B118" s="246" t="s">
        <v>446</v>
      </c>
      <c r="C118" s="246"/>
      <c r="D118" s="246"/>
      <c r="E118" s="67" t="s">
        <v>36</v>
      </c>
      <c r="F118" s="202" t="s">
        <v>27</v>
      </c>
      <c r="G118" s="55"/>
      <c r="H118" s="55"/>
      <c r="I118" s="55"/>
      <c r="J118" s="55"/>
      <c r="K118" s="55"/>
      <c r="L118" s="55"/>
      <c r="M118" s="55"/>
      <c r="N118" s="55"/>
      <c r="O118" s="55"/>
      <c r="P118" s="55"/>
      <c r="Q118" s="55"/>
      <c r="R118" s="5"/>
      <c r="S118" s="25"/>
      <c r="T118" s="5"/>
    </row>
    <row r="119" spans="1:20" s="3" customFormat="1" x14ac:dyDescent="0.25">
      <c r="A119" s="21" t="s">
        <v>450</v>
      </c>
      <c r="B119" s="246" t="s">
        <v>387</v>
      </c>
      <c r="C119" s="246"/>
      <c r="D119" s="246"/>
      <c r="E119" s="246"/>
      <c r="F119" s="202" t="s">
        <v>27</v>
      </c>
      <c r="G119" s="54"/>
      <c r="H119" s="54"/>
      <c r="I119" s="54"/>
      <c r="J119" s="54"/>
      <c r="K119" s="54"/>
      <c r="L119" s="54"/>
      <c r="M119" s="54"/>
      <c r="N119" s="54"/>
      <c r="O119" s="54"/>
      <c r="P119" s="54"/>
      <c r="Q119" s="54"/>
      <c r="R119" s="5"/>
      <c r="S119" s="25"/>
      <c r="T119" s="5"/>
    </row>
    <row r="120" spans="1:20" s="3" customFormat="1" x14ac:dyDescent="0.25">
      <c r="A120" s="21" t="s">
        <v>450</v>
      </c>
      <c r="B120" s="246" t="s">
        <v>369</v>
      </c>
      <c r="C120" s="246"/>
      <c r="D120" s="246"/>
      <c r="E120" s="246" t="s">
        <v>97</v>
      </c>
      <c r="F120" s="202" t="s">
        <v>27</v>
      </c>
      <c r="G120" s="271"/>
      <c r="H120" s="271"/>
      <c r="I120" s="271"/>
      <c r="J120" s="271"/>
      <c r="K120" s="271"/>
      <c r="L120" s="271"/>
      <c r="M120" s="271"/>
      <c r="N120" s="271"/>
      <c r="O120" s="271"/>
      <c r="P120" s="271"/>
      <c r="Q120" s="271"/>
      <c r="R120" s="5"/>
      <c r="S120" s="25"/>
      <c r="T120" s="5"/>
    </row>
    <row r="121" spans="1:20" s="3" customFormat="1" x14ac:dyDescent="0.25">
      <c r="A121" s="21" t="s">
        <v>450</v>
      </c>
      <c r="B121" s="246" t="s">
        <v>392</v>
      </c>
      <c r="C121" s="246"/>
      <c r="D121" s="246"/>
      <c r="E121" s="246" t="s">
        <v>321</v>
      </c>
      <c r="F121" s="202" t="s">
        <v>27</v>
      </c>
      <c r="G121" s="55"/>
      <c r="H121" s="55"/>
      <c r="I121" s="55"/>
      <c r="J121" s="55"/>
      <c r="K121" s="55"/>
      <c r="L121" s="55"/>
      <c r="M121" s="55"/>
      <c r="N121" s="55"/>
      <c r="O121" s="55"/>
      <c r="P121" s="55"/>
      <c r="Q121" s="55"/>
      <c r="R121" s="5"/>
      <c r="S121" s="25"/>
      <c r="T121" s="5"/>
    </row>
    <row r="122" spans="1:20" s="3" customFormat="1" x14ac:dyDescent="0.25">
      <c r="A122" s="21" t="s">
        <v>450</v>
      </c>
      <c r="B122" s="246" t="s">
        <v>394</v>
      </c>
      <c r="C122" s="246"/>
      <c r="D122" s="246"/>
      <c r="E122" s="246" t="s">
        <v>321</v>
      </c>
      <c r="F122" s="202" t="s">
        <v>27</v>
      </c>
      <c r="G122" s="55"/>
      <c r="H122" s="55"/>
      <c r="I122" s="55"/>
      <c r="J122" s="55"/>
      <c r="K122" s="55"/>
      <c r="L122" s="55"/>
      <c r="M122" s="55"/>
      <c r="N122" s="55"/>
      <c r="O122" s="55"/>
      <c r="P122" s="55"/>
      <c r="Q122" s="55"/>
      <c r="R122" s="5"/>
      <c r="S122" s="25"/>
      <c r="T122" s="5"/>
    </row>
    <row r="123" spans="1:20" s="3" customFormat="1" x14ac:dyDescent="0.25">
      <c r="A123" s="21" t="s">
        <v>450</v>
      </c>
      <c r="B123" s="246" t="s">
        <v>395</v>
      </c>
      <c r="C123" s="246"/>
      <c r="D123" s="246"/>
      <c r="E123" s="246"/>
      <c r="F123" s="202" t="s">
        <v>27</v>
      </c>
      <c r="G123" s="54"/>
      <c r="H123" s="54"/>
      <c r="I123" s="54"/>
      <c r="J123" s="54"/>
      <c r="K123" s="54"/>
      <c r="L123" s="54"/>
      <c r="M123" s="54"/>
      <c r="N123" s="54"/>
      <c r="O123" s="54"/>
      <c r="P123" s="54"/>
      <c r="Q123" s="54"/>
      <c r="R123" s="5"/>
      <c r="S123" s="25"/>
      <c r="T123" s="5"/>
    </row>
    <row r="124" spans="1:20" s="3" customFormat="1" x14ac:dyDescent="0.25">
      <c r="A124" s="21" t="s">
        <v>450</v>
      </c>
      <c r="B124" s="246" t="s">
        <v>396</v>
      </c>
      <c r="C124" s="246"/>
      <c r="D124" s="246"/>
      <c r="E124" s="246"/>
      <c r="F124" s="202" t="s">
        <v>27</v>
      </c>
      <c r="G124" s="54"/>
      <c r="H124" s="54"/>
      <c r="I124" s="54"/>
      <c r="J124" s="54"/>
      <c r="K124" s="54"/>
      <c r="L124" s="54"/>
      <c r="M124" s="54"/>
      <c r="N124" s="54"/>
      <c r="O124" s="54"/>
      <c r="P124" s="54"/>
      <c r="Q124" s="54"/>
      <c r="R124" s="5"/>
      <c r="S124" s="25"/>
      <c r="T124" s="5"/>
    </row>
    <row r="125" spans="1:20" s="3" customFormat="1" x14ac:dyDescent="0.25">
      <c r="A125" s="21" t="s">
        <v>450</v>
      </c>
      <c r="B125" s="246" t="s">
        <v>393</v>
      </c>
      <c r="C125" s="246"/>
      <c r="D125" s="246"/>
      <c r="E125" s="67" t="s">
        <v>324</v>
      </c>
      <c r="F125" s="202" t="s">
        <v>27</v>
      </c>
      <c r="G125" s="55"/>
      <c r="H125" s="55"/>
      <c r="I125" s="55"/>
      <c r="J125" s="55"/>
      <c r="K125" s="55"/>
      <c r="L125" s="55"/>
      <c r="M125" s="55"/>
      <c r="N125" s="55"/>
      <c r="O125" s="55"/>
      <c r="P125" s="55"/>
      <c r="Q125" s="55"/>
      <c r="R125" s="5"/>
      <c r="S125" s="25"/>
      <c r="T125" s="5"/>
    </row>
    <row r="126" spans="1:20" s="3" customFormat="1" x14ac:dyDescent="0.25">
      <c r="A126" s="21" t="s">
        <v>450</v>
      </c>
      <c r="B126" s="246" t="s">
        <v>397</v>
      </c>
      <c r="C126" s="246"/>
      <c r="D126" s="246"/>
      <c r="E126" s="67" t="s">
        <v>324</v>
      </c>
      <c r="F126" s="202" t="s">
        <v>27</v>
      </c>
      <c r="G126" s="55"/>
      <c r="H126" s="55"/>
      <c r="I126" s="55"/>
      <c r="J126" s="55"/>
      <c r="K126" s="55"/>
      <c r="L126" s="55"/>
      <c r="M126" s="55"/>
      <c r="N126" s="55"/>
      <c r="O126" s="55"/>
      <c r="P126" s="55"/>
      <c r="Q126" s="55"/>
      <c r="R126" s="5"/>
      <c r="S126" s="25"/>
      <c r="T126" s="5"/>
    </row>
    <row r="127" spans="1:20" s="3" customFormat="1" x14ac:dyDescent="0.25">
      <c r="A127" s="21" t="s">
        <v>450</v>
      </c>
      <c r="B127" s="246" t="s">
        <v>398</v>
      </c>
      <c r="C127" s="246"/>
      <c r="D127" s="246"/>
      <c r="E127" s="246"/>
      <c r="F127" s="202" t="s">
        <v>27</v>
      </c>
      <c r="G127" s="54"/>
      <c r="H127" s="54"/>
      <c r="I127" s="54"/>
      <c r="J127" s="54"/>
      <c r="K127" s="54"/>
      <c r="L127" s="54"/>
      <c r="M127" s="54"/>
      <c r="N127" s="54"/>
      <c r="O127" s="54"/>
      <c r="P127" s="54"/>
      <c r="Q127" s="54"/>
      <c r="R127" s="5"/>
      <c r="S127" s="25"/>
      <c r="T127" s="5"/>
    </row>
    <row r="128" spans="1:20" s="3" customFormat="1" x14ac:dyDescent="0.25">
      <c r="A128" s="21" t="s">
        <v>450</v>
      </c>
      <c r="B128" s="246" t="s">
        <v>399</v>
      </c>
      <c r="C128" s="246"/>
      <c r="D128" s="246"/>
      <c r="E128" s="246"/>
      <c r="F128" s="202" t="s">
        <v>27</v>
      </c>
      <c r="G128" s="54"/>
      <c r="H128" s="54"/>
      <c r="I128" s="54"/>
      <c r="J128" s="54"/>
      <c r="K128" s="54"/>
      <c r="L128" s="54"/>
      <c r="M128" s="54"/>
      <c r="N128" s="54"/>
      <c r="O128" s="54"/>
      <c r="P128" s="54"/>
      <c r="Q128" s="54"/>
      <c r="R128" s="5"/>
      <c r="S128" s="25"/>
      <c r="T128" s="5"/>
    </row>
    <row r="129" spans="1:20" s="3" customFormat="1" x14ac:dyDescent="0.25">
      <c r="A129" s="21" t="s">
        <v>450</v>
      </c>
      <c r="B129" s="246" t="s">
        <v>310</v>
      </c>
      <c r="C129" s="246"/>
      <c r="D129" s="246"/>
      <c r="E129" s="67" t="s">
        <v>324</v>
      </c>
      <c r="F129" s="202" t="s">
        <v>27</v>
      </c>
      <c r="G129" s="55"/>
      <c r="H129" s="55"/>
      <c r="I129" s="55"/>
      <c r="J129" s="55"/>
      <c r="K129" s="55"/>
      <c r="L129" s="55"/>
      <c r="M129" s="55"/>
      <c r="N129" s="55"/>
      <c r="O129" s="55"/>
      <c r="P129" s="55"/>
      <c r="Q129" s="55"/>
      <c r="R129" s="5"/>
      <c r="S129" s="25"/>
      <c r="T129" s="5"/>
    </row>
    <row r="130" spans="1:20" s="3" customFormat="1" x14ac:dyDescent="0.25">
      <c r="A130" s="21" t="s">
        <v>450</v>
      </c>
      <c r="B130" s="246" t="s">
        <v>360</v>
      </c>
      <c r="C130" s="246"/>
      <c r="D130" s="246"/>
      <c r="E130" s="246" t="s">
        <v>321</v>
      </c>
      <c r="F130" s="202" t="s">
        <v>27</v>
      </c>
      <c r="G130" s="55"/>
      <c r="H130" s="55"/>
      <c r="I130" s="55"/>
      <c r="J130" s="55"/>
      <c r="K130" s="55"/>
      <c r="L130" s="55"/>
      <c r="M130" s="55"/>
      <c r="N130" s="55"/>
      <c r="O130" s="55"/>
      <c r="P130" s="55"/>
      <c r="Q130" s="55"/>
      <c r="R130" s="5"/>
      <c r="S130" s="25"/>
      <c r="T130" s="5"/>
    </row>
    <row r="131" spans="1:20" s="3" customFormat="1" x14ac:dyDescent="0.25">
      <c r="A131" s="21" t="s">
        <v>450</v>
      </c>
      <c r="B131" s="67" t="s">
        <v>306</v>
      </c>
      <c r="C131" s="25"/>
      <c r="D131" s="67" t="s">
        <v>464</v>
      </c>
      <c r="E131" s="67" t="s">
        <v>45</v>
      </c>
      <c r="F131" s="202" t="s">
        <v>27</v>
      </c>
      <c r="G131" s="54">
        <v>0.63300000000000001</v>
      </c>
      <c r="H131" s="54">
        <f t="shared" ref="H131:Q131" si="6">G131</f>
        <v>0.63300000000000001</v>
      </c>
      <c r="I131" s="54">
        <f t="shared" si="6"/>
        <v>0.63300000000000001</v>
      </c>
      <c r="J131" s="54">
        <f t="shared" si="6"/>
        <v>0.63300000000000001</v>
      </c>
      <c r="K131" s="54">
        <f t="shared" si="6"/>
        <v>0.63300000000000001</v>
      </c>
      <c r="L131" s="54">
        <f t="shared" si="6"/>
        <v>0.63300000000000001</v>
      </c>
      <c r="M131" s="54">
        <f t="shared" si="6"/>
        <v>0.63300000000000001</v>
      </c>
      <c r="N131" s="54">
        <f t="shared" si="6"/>
        <v>0.63300000000000001</v>
      </c>
      <c r="O131" s="54">
        <f t="shared" si="6"/>
        <v>0.63300000000000001</v>
      </c>
      <c r="P131" s="54">
        <f t="shared" si="6"/>
        <v>0.63300000000000001</v>
      </c>
      <c r="Q131" s="54">
        <f t="shared" si="6"/>
        <v>0.63300000000000001</v>
      </c>
      <c r="R131" s="5"/>
      <c r="S131" s="25"/>
      <c r="T131" s="5"/>
    </row>
    <row r="132" spans="1:20" s="3" customFormat="1" x14ac:dyDescent="0.25">
      <c r="A132" s="21" t="s">
        <v>450</v>
      </c>
      <c r="B132" s="67" t="s">
        <v>51</v>
      </c>
      <c r="C132" s="25"/>
      <c r="D132" s="2"/>
      <c r="E132" s="2"/>
      <c r="F132" s="202" t="s">
        <v>29</v>
      </c>
      <c r="G132" s="4"/>
      <c r="H132" s="4"/>
      <c r="I132" s="4"/>
      <c r="J132" s="4"/>
      <c r="K132" s="4"/>
      <c r="L132" s="4"/>
      <c r="M132" s="4"/>
      <c r="N132" s="4"/>
      <c r="O132" s="4"/>
      <c r="P132" s="4"/>
      <c r="Q132" s="4"/>
      <c r="R132" s="5"/>
      <c r="S132" s="25"/>
      <c r="T132" s="5"/>
    </row>
    <row r="133" spans="1:20" s="3" customFormat="1" x14ac:dyDescent="0.25">
      <c r="A133" s="21" t="s">
        <v>450</v>
      </c>
      <c r="B133" s="246" t="s">
        <v>38</v>
      </c>
      <c r="C133" s="246"/>
      <c r="D133" s="246"/>
      <c r="E133" s="67" t="s">
        <v>40</v>
      </c>
      <c r="F133" s="202" t="s">
        <v>29</v>
      </c>
      <c r="G133" s="277">
        <v>2000</v>
      </c>
      <c r="H133" s="278">
        <f t="shared" ref="H133:Q135" si="7">G133</f>
        <v>2000</v>
      </c>
      <c r="I133" s="278">
        <f t="shared" si="7"/>
        <v>2000</v>
      </c>
      <c r="J133" s="278">
        <f t="shared" si="7"/>
        <v>2000</v>
      </c>
      <c r="K133" s="278">
        <f t="shared" si="7"/>
        <v>2000</v>
      </c>
      <c r="L133" s="278">
        <f t="shared" si="7"/>
        <v>2000</v>
      </c>
      <c r="M133" s="278">
        <f t="shared" si="7"/>
        <v>2000</v>
      </c>
      <c r="N133" s="278">
        <f t="shared" si="7"/>
        <v>2000</v>
      </c>
      <c r="O133" s="278">
        <f t="shared" si="7"/>
        <v>2000</v>
      </c>
      <c r="P133" s="278">
        <f t="shared" si="7"/>
        <v>2000</v>
      </c>
      <c r="Q133" s="278">
        <f t="shared" si="7"/>
        <v>2000</v>
      </c>
      <c r="R133" s="5"/>
      <c r="S133" s="25"/>
      <c r="T133" s="5"/>
    </row>
    <row r="134" spans="1:20" s="3" customFormat="1" x14ac:dyDescent="0.25">
      <c r="A134" s="21" t="s">
        <v>450</v>
      </c>
      <c r="B134" s="246" t="s">
        <v>37</v>
      </c>
      <c r="C134" s="246"/>
      <c r="D134" s="246"/>
      <c r="E134" s="67" t="s">
        <v>40</v>
      </c>
      <c r="F134" s="202" t="s">
        <v>29</v>
      </c>
      <c r="G134" s="277">
        <v>2100</v>
      </c>
      <c r="H134" s="278">
        <f t="shared" si="7"/>
        <v>2100</v>
      </c>
      <c r="I134" s="278">
        <f t="shared" si="7"/>
        <v>2100</v>
      </c>
      <c r="J134" s="278">
        <f t="shared" si="7"/>
        <v>2100</v>
      </c>
      <c r="K134" s="278">
        <f t="shared" si="7"/>
        <v>2100</v>
      </c>
      <c r="L134" s="278">
        <f t="shared" si="7"/>
        <v>2100</v>
      </c>
      <c r="M134" s="278">
        <f t="shared" si="7"/>
        <v>2100</v>
      </c>
      <c r="N134" s="278">
        <f t="shared" si="7"/>
        <v>2100</v>
      </c>
      <c r="O134" s="278">
        <f t="shared" si="7"/>
        <v>2100</v>
      </c>
      <c r="P134" s="278">
        <f t="shared" si="7"/>
        <v>2100</v>
      </c>
      <c r="Q134" s="278">
        <f t="shared" si="7"/>
        <v>2100</v>
      </c>
      <c r="R134" s="5"/>
      <c r="S134" s="25"/>
      <c r="T134" s="5"/>
    </row>
    <row r="135" spans="1:20" s="3" customFormat="1" x14ac:dyDescent="0.25">
      <c r="A135" s="21" t="s">
        <v>450</v>
      </c>
      <c r="B135" s="246" t="s">
        <v>39</v>
      </c>
      <c r="C135" s="246"/>
      <c r="D135" s="246"/>
      <c r="E135" s="67" t="s">
        <v>10</v>
      </c>
      <c r="F135" s="202" t="s">
        <v>29</v>
      </c>
      <c r="G135" s="55">
        <v>25</v>
      </c>
      <c r="H135" s="229">
        <f t="shared" si="7"/>
        <v>25</v>
      </c>
      <c r="I135" s="229">
        <f t="shared" si="7"/>
        <v>25</v>
      </c>
      <c r="J135" s="229">
        <f t="shared" si="7"/>
        <v>25</v>
      </c>
      <c r="K135" s="229">
        <f t="shared" si="7"/>
        <v>25</v>
      </c>
      <c r="L135" s="229">
        <f t="shared" si="7"/>
        <v>25</v>
      </c>
      <c r="M135" s="229">
        <f t="shared" si="7"/>
        <v>25</v>
      </c>
      <c r="N135" s="229">
        <f t="shared" si="7"/>
        <v>25</v>
      </c>
      <c r="O135" s="229">
        <f t="shared" si="7"/>
        <v>25</v>
      </c>
      <c r="P135" s="229">
        <f t="shared" si="7"/>
        <v>25</v>
      </c>
      <c r="Q135" s="229">
        <f t="shared" si="7"/>
        <v>25</v>
      </c>
      <c r="R135" s="5"/>
      <c r="S135" s="25"/>
      <c r="T135" s="5"/>
    </row>
    <row r="136" spans="1:20" s="3" customFormat="1" x14ac:dyDescent="0.25">
      <c r="A136" s="21" t="s">
        <v>450</v>
      </c>
      <c r="B136" s="246" t="s">
        <v>361</v>
      </c>
      <c r="C136" s="246"/>
      <c r="D136" s="246"/>
      <c r="E136" s="246" t="s">
        <v>10</v>
      </c>
      <c r="F136" s="202" t="s">
        <v>29</v>
      </c>
      <c r="G136" s="55"/>
      <c r="H136" s="55"/>
      <c r="I136" s="55"/>
      <c r="J136" s="55"/>
      <c r="K136" s="55"/>
      <c r="L136" s="55"/>
      <c r="M136" s="55"/>
      <c r="N136" s="55"/>
      <c r="O136" s="55"/>
      <c r="P136" s="55"/>
      <c r="Q136" s="55"/>
      <c r="R136" s="5"/>
      <c r="S136" s="25"/>
      <c r="T136" s="5"/>
    </row>
    <row r="137" spans="1:20" s="3" customFormat="1" x14ac:dyDescent="0.25">
      <c r="A137" s="21" t="s">
        <v>450</v>
      </c>
      <c r="B137" s="246" t="s">
        <v>309</v>
      </c>
      <c r="C137" s="246"/>
      <c r="D137" s="246"/>
      <c r="E137" s="67" t="s">
        <v>97</v>
      </c>
      <c r="F137" s="202" t="s">
        <v>29</v>
      </c>
      <c r="G137" s="271">
        <v>0.25</v>
      </c>
      <c r="H137" s="272">
        <f t="shared" ref="H137:Q137" si="8">G137</f>
        <v>0.25</v>
      </c>
      <c r="I137" s="272">
        <f t="shared" si="8"/>
        <v>0.25</v>
      </c>
      <c r="J137" s="272">
        <f t="shared" si="8"/>
        <v>0.25</v>
      </c>
      <c r="K137" s="272">
        <f t="shared" si="8"/>
        <v>0.25</v>
      </c>
      <c r="L137" s="272">
        <f t="shared" si="8"/>
        <v>0.25</v>
      </c>
      <c r="M137" s="272">
        <f t="shared" si="8"/>
        <v>0.25</v>
      </c>
      <c r="N137" s="272">
        <f t="shared" si="8"/>
        <v>0.25</v>
      </c>
      <c r="O137" s="272">
        <f t="shared" si="8"/>
        <v>0.25</v>
      </c>
      <c r="P137" s="272">
        <f t="shared" si="8"/>
        <v>0.25</v>
      </c>
      <c r="Q137" s="272">
        <f t="shared" si="8"/>
        <v>0.25</v>
      </c>
      <c r="R137" s="5"/>
      <c r="S137" s="25"/>
      <c r="T137" s="5"/>
    </row>
    <row r="138" spans="1:20" s="3" customFormat="1" x14ac:dyDescent="0.25">
      <c r="A138" s="21" t="s">
        <v>450</v>
      </c>
      <c r="B138" s="246" t="s">
        <v>358</v>
      </c>
      <c r="C138" s="246"/>
      <c r="D138" s="246"/>
      <c r="E138" s="246" t="s">
        <v>97</v>
      </c>
      <c r="F138" s="202" t="s">
        <v>29</v>
      </c>
      <c r="G138" s="271"/>
      <c r="H138" s="271"/>
      <c r="I138" s="271"/>
      <c r="J138" s="271"/>
      <c r="K138" s="271"/>
      <c r="L138" s="271"/>
      <c r="M138" s="271"/>
      <c r="N138" s="271"/>
      <c r="O138" s="271"/>
      <c r="P138" s="271"/>
      <c r="Q138" s="271"/>
      <c r="R138" s="5"/>
      <c r="S138" s="25"/>
      <c r="T138" s="5"/>
    </row>
    <row r="139" spans="1:20" s="3" customFormat="1" x14ac:dyDescent="0.25">
      <c r="A139" s="21" t="s">
        <v>450</v>
      </c>
      <c r="B139" s="246" t="s">
        <v>357</v>
      </c>
      <c r="C139" s="246"/>
      <c r="D139" s="246"/>
      <c r="E139" s="246" t="s">
        <v>97</v>
      </c>
      <c r="F139" s="202" t="s">
        <v>29</v>
      </c>
      <c r="G139" s="271"/>
      <c r="H139" s="271"/>
      <c r="I139" s="271"/>
      <c r="J139" s="271"/>
      <c r="K139" s="271"/>
      <c r="L139" s="271"/>
      <c r="M139" s="271"/>
      <c r="N139" s="271"/>
      <c r="O139" s="271"/>
      <c r="P139" s="271"/>
      <c r="Q139" s="271"/>
      <c r="R139" s="5"/>
      <c r="S139" s="25"/>
      <c r="T139" s="5"/>
    </row>
    <row r="140" spans="1:20" s="3" customFormat="1" x14ac:dyDescent="0.25">
      <c r="A140" s="21" t="s">
        <v>450</v>
      </c>
      <c r="B140" s="246" t="s">
        <v>75</v>
      </c>
      <c r="C140" s="246"/>
      <c r="D140" s="246"/>
      <c r="E140" s="67" t="s">
        <v>97</v>
      </c>
      <c r="F140" s="202" t="s">
        <v>29</v>
      </c>
      <c r="G140" s="271">
        <v>0</v>
      </c>
      <c r="H140" s="271"/>
      <c r="I140" s="271"/>
      <c r="J140" s="271"/>
      <c r="K140" s="271"/>
      <c r="L140" s="271"/>
      <c r="M140" s="271"/>
      <c r="N140" s="271"/>
      <c r="O140" s="271"/>
      <c r="P140" s="271"/>
      <c r="Q140" s="271"/>
      <c r="R140" s="5"/>
      <c r="S140" s="25"/>
      <c r="T140" s="5"/>
    </row>
    <row r="141" spans="1:20" s="3" customFormat="1" x14ac:dyDescent="0.25">
      <c r="A141" s="21" t="s">
        <v>450</v>
      </c>
      <c r="B141" s="68" t="s">
        <v>148</v>
      </c>
      <c r="C141" s="68"/>
      <c r="D141" s="251"/>
      <c r="E141" s="68" t="s">
        <v>97</v>
      </c>
      <c r="F141" s="202" t="s">
        <v>29</v>
      </c>
      <c r="G141" s="271"/>
      <c r="H141" s="271"/>
      <c r="I141" s="271"/>
      <c r="J141" s="271"/>
      <c r="K141" s="271"/>
      <c r="L141" s="271"/>
      <c r="M141" s="271"/>
      <c r="N141" s="271"/>
      <c r="O141" s="271"/>
      <c r="P141" s="271"/>
      <c r="Q141" s="271"/>
      <c r="R141" s="5"/>
      <c r="S141" s="25"/>
      <c r="T141" s="5"/>
    </row>
    <row r="142" spans="1:20" s="3" customFormat="1" x14ac:dyDescent="0.25">
      <c r="A142" s="21" t="s">
        <v>450</v>
      </c>
      <c r="B142" s="68" t="s">
        <v>149</v>
      </c>
      <c r="C142" s="68"/>
      <c r="D142" s="251"/>
      <c r="E142" s="68" t="s">
        <v>97</v>
      </c>
      <c r="F142" s="202" t="s">
        <v>29</v>
      </c>
      <c r="G142" s="271"/>
      <c r="H142" s="271"/>
      <c r="I142" s="271"/>
      <c r="J142" s="271"/>
      <c r="K142" s="271"/>
      <c r="L142" s="271"/>
      <c r="M142" s="271"/>
      <c r="N142" s="271"/>
      <c r="O142" s="271"/>
      <c r="P142" s="271"/>
      <c r="Q142" s="271"/>
      <c r="R142" s="5"/>
      <c r="S142" s="25"/>
      <c r="T142" s="5"/>
    </row>
    <row r="143" spans="1:20" s="3" customFormat="1" x14ac:dyDescent="0.25">
      <c r="A143" s="21" t="s">
        <v>450</v>
      </c>
      <c r="B143" s="68" t="s">
        <v>370</v>
      </c>
      <c r="C143" s="68"/>
      <c r="D143" s="251"/>
      <c r="E143" s="68" t="s">
        <v>97</v>
      </c>
      <c r="F143" s="202" t="s">
        <v>29</v>
      </c>
      <c r="G143" s="271"/>
      <c r="H143" s="271"/>
      <c r="I143" s="271"/>
      <c r="J143" s="271"/>
      <c r="K143" s="271"/>
      <c r="L143" s="271"/>
      <c r="M143" s="271"/>
      <c r="N143" s="271"/>
      <c r="O143" s="271"/>
      <c r="P143" s="271"/>
      <c r="Q143" s="271"/>
      <c r="R143" s="5"/>
      <c r="S143" s="25"/>
      <c r="T143" s="5"/>
    </row>
    <row r="144" spans="1:20" s="3" customFormat="1" x14ac:dyDescent="0.25">
      <c r="A144" s="21" t="s">
        <v>450</v>
      </c>
      <c r="B144" s="68" t="s">
        <v>371</v>
      </c>
      <c r="C144" s="68"/>
      <c r="D144" s="251"/>
      <c r="E144" s="68" t="s">
        <v>97</v>
      </c>
      <c r="F144" s="202" t="s">
        <v>29</v>
      </c>
      <c r="G144" s="271"/>
      <c r="H144" s="271"/>
      <c r="I144" s="271"/>
      <c r="J144" s="271"/>
      <c r="K144" s="271"/>
      <c r="L144" s="271"/>
      <c r="M144" s="271"/>
      <c r="N144" s="271"/>
      <c r="O144" s="271"/>
      <c r="P144" s="271"/>
      <c r="Q144" s="271"/>
      <c r="R144" s="5"/>
      <c r="S144" s="25"/>
      <c r="T144" s="5"/>
    </row>
    <row r="145" spans="1:20" s="3" customFormat="1" x14ac:dyDescent="0.25">
      <c r="A145" s="21" t="s">
        <v>450</v>
      </c>
      <c r="B145" s="246" t="s">
        <v>338</v>
      </c>
      <c r="C145" s="246"/>
      <c r="D145" s="246"/>
      <c r="E145" s="67" t="s">
        <v>36</v>
      </c>
      <c r="F145" s="202" t="s">
        <v>29</v>
      </c>
      <c r="G145" s="55"/>
      <c r="H145" s="55"/>
      <c r="I145" s="55"/>
      <c r="J145" s="55"/>
      <c r="K145" s="55"/>
      <c r="L145" s="55"/>
      <c r="M145" s="55"/>
      <c r="N145" s="55"/>
      <c r="O145" s="55"/>
      <c r="P145" s="55"/>
      <c r="Q145" s="55"/>
      <c r="R145" s="5"/>
      <c r="S145" s="25"/>
      <c r="T145" s="5"/>
    </row>
    <row r="146" spans="1:20" s="3" customFormat="1" x14ac:dyDescent="0.25">
      <c r="A146" s="21" t="s">
        <v>450</v>
      </c>
      <c r="B146" s="246" t="s">
        <v>152</v>
      </c>
      <c r="C146" s="246"/>
      <c r="D146" s="246"/>
      <c r="E146" s="67" t="s">
        <v>321</v>
      </c>
      <c r="F146" s="202" t="s">
        <v>29</v>
      </c>
      <c r="G146" s="55">
        <v>2655</v>
      </c>
      <c r="H146" s="262">
        <f t="shared" ref="H146:Q146" si="9">G146</f>
        <v>2655</v>
      </c>
      <c r="I146" s="262">
        <f t="shared" si="9"/>
        <v>2655</v>
      </c>
      <c r="J146" s="262">
        <f t="shared" si="9"/>
        <v>2655</v>
      </c>
      <c r="K146" s="262">
        <f t="shared" si="9"/>
        <v>2655</v>
      </c>
      <c r="L146" s="262">
        <f t="shared" si="9"/>
        <v>2655</v>
      </c>
      <c r="M146" s="262">
        <f t="shared" si="9"/>
        <v>2655</v>
      </c>
      <c r="N146" s="262">
        <f t="shared" si="9"/>
        <v>2655</v>
      </c>
      <c r="O146" s="262">
        <f t="shared" si="9"/>
        <v>2655</v>
      </c>
      <c r="P146" s="262">
        <f t="shared" si="9"/>
        <v>2655</v>
      </c>
      <c r="Q146" s="262">
        <f t="shared" si="9"/>
        <v>2655</v>
      </c>
      <c r="R146" s="5"/>
      <c r="S146" s="25"/>
      <c r="T146" s="5"/>
    </row>
    <row r="147" spans="1:20" s="3" customFormat="1" x14ac:dyDescent="0.25">
      <c r="A147" s="21" t="s">
        <v>450</v>
      </c>
      <c r="B147" s="246" t="s">
        <v>383</v>
      </c>
      <c r="C147" s="246"/>
      <c r="D147" s="246"/>
      <c r="E147" s="246" t="s">
        <v>97</v>
      </c>
      <c r="F147" s="202" t="s">
        <v>29</v>
      </c>
      <c r="G147" s="271"/>
      <c r="H147" s="271"/>
      <c r="I147" s="271"/>
      <c r="J147" s="271"/>
      <c r="K147" s="271"/>
      <c r="L147" s="271"/>
      <c r="M147" s="271"/>
      <c r="N147" s="271"/>
      <c r="O147" s="271"/>
      <c r="P147" s="271"/>
      <c r="Q147" s="271"/>
      <c r="R147" s="5"/>
      <c r="S147" s="25"/>
      <c r="T147" s="5"/>
    </row>
    <row r="148" spans="1:20" s="3" customFormat="1" x14ac:dyDescent="0.25">
      <c r="A148" s="21" t="s">
        <v>450</v>
      </c>
      <c r="B148" s="246" t="s">
        <v>446</v>
      </c>
      <c r="C148" s="246"/>
      <c r="D148" s="246"/>
      <c r="E148" s="67" t="s">
        <v>36</v>
      </c>
      <c r="F148" s="202" t="s">
        <v>29</v>
      </c>
      <c r="G148" s="55"/>
      <c r="H148" s="55"/>
      <c r="I148" s="55"/>
      <c r="J148" s="55"/>
      <c r="K148" s="55"/>
      <c r="L148" s="55"/>
      <c r="M148" s="55"/>
      <c r="N148" s="55"/>
      <c r="O148" s="55"/>
      <c r="P148" s="55"/>
      <c r="Q148" s="55"/>
      <c r="R148" s="5"/>
      <c r="S148" s="25"/>
      <c r="T148" s="5"/>
    </row>
    <row r="149" spans="1:20" s="3" customFormat="1" x14ac:dyDescent="0.25">
      <c r="A149" s="21" t="s">
        <v>450</v>
      </c>
      <c r="B149" s="246" t="s">
        <v>387</v>
      </c>
      <c r="C149" s="246"/>
      <c r="D149" s="246"/>
      <c r="E149" s="246"/>
      <c r="F149" s="202" t="s">
        <v>29</v>
      </c>
      <c r="G149" s="54"/>
      <c r="H149" s="54"/>
      <c r="I149" s="54"/>
      <c r="J149" s="54"/>
      <c r="K149" s="54"/>
      <c r="L149" s="54"/>
      <c r="M149" s="54"/>
      <c r="N149" s="54"/>
      <c r="O149" s="54"/>
      <c r="P149" s="54"/>
      <c r="Q149" s="54"/>
      <c r="R149" s="5"/>
      <c r="S149" s="25"/>
      <c r="T149" s="5"/>
    </row>
    <row r="150" spans="1:20" s="3" customFormat="1" x14ac:dyDescent="0.25">
      <c r="A150" s="21" t="s">
        <v>450</v>
      </c>
      <c r="B150" s="246" t="s">
        <v>369</v>
      </c>
      <c r="C150" s="246"/>
      <c r="D150" s="246"/>
      <c r="E150" s="246" t="s">
        <v>97</v>
      </c>
      <c r="F150" s="202" t="s">
        <v>29</v>
      </c>
      <c r="G150" s="271"/>
      <c r="H150" s="271"/>
      <c r="I150" s="271"/>
      <c r="J150" s="271"/>
      <c r="K150" s="271"/>
      <c r="L150" s="271"/>
      <c r="M150" s="271"/>
      <c r="N150" s="271"/>
      <c r="O150" s="271"/>
      <c r="P150" s="271"/>
      <c r="Q150" s="271"/>
      <c r="R150" s="5"/>
      <c r="S150" s="25"/>
      <c r="T150" s="5"/>
    </row>
    <row r="151" spans="1:20" s="3" customFormat="1" x14ac:dyDescent="0.25">
      <c r="A151" s="21" t="s">
        <v>450</v>
      </c>
      <c r="B151" s="246" t="s">
        <v>392</v>
      </c>
      <c r="C151" s="246"/>
      <c r="D151" s="246"/>
      <c r="E151" s="246" t="s">
        <v>321</v>
      </c>
      <c r="F151" s="202" t="s">
        <v>29</v>
      </c>
      <c r="G151" s="55"/>
      <c r="H151" s="55"/>
      <c r="I151" s="55"/>
      <c r="J151" s="55"/>
      <c r="K151" s="55"/>
      <c r="L151" s="55"/>
      <c r="M151" s="55"/>
      <c r="N151" s="55"/>
      <c r="O151" s="55"/>
      <c r="P151" s="55"/>
      <c r="Q151" s="55"/>
      <c r="R151" s="5"/>
      <c r="S151" s="25"/>
      <c r="T151" s="5"/>
    </row>
    <row r="152" spans="1:20" s="3" customFormat="1" x14ac:dyDescent="0.25">
      <c r="A152" s="21" t="s">
        <v>450</v>
      </c>
      <c r="B152" s="246" t="s">
        <v>394</v>
      </c>
      <c r="C152" s="246"/>
      <c r="D152" s="246"/>
      <c r="E152" s="246" t="s">
        <v>321</v>
      </c>
      <c r="F152" s="202" t="s">
        <v>29</v>
      </c>
      <c r="G152" s="55"/>
      <c r="H152" s="55"/>
      <c r="I152" s="55"/>
      <c r="J152" s="55"/>
      <c r="K152" s="55"/>
      <c r="L152" s="55"/>
      <c r="M152" s="55"/>
      <c r="N152" s="55"/>
      <c r="O152" s="55"/>
      <c r="P152" s="55"/>
      <c r="Q152" s="55"/>
      <c r="R152" s="5"/>
      <c r="S152" s="25"/>
      <c r="T152" s="5"/>
    </row>
    <row r="153" spans="1:20" s="3" customFormat="1" x14ac:dyDescent="0.25">
      <c r="A153" s="21" t="s">
        <v>450</v>
      </c>
      <c r="B153" s="246" t="s">
        <v>395</v>
      </c>
      <c r="C153" s="246"/>
      <c r="D153" s="246"/>
      <c r="E153" s="246"/>
      <c r="F153" s="202" t="s">
        <v>29</v>
      </c>
      <c r="G153" s="54"/>
      <c r="H153" s="54"/>
      <c r="I153" s="54"/>
      <c r="J153" s="54"/>
      <c r="K153" s="54"/>
      <c r="L153" s="54"/>
      <c r="M153" s="54"/>
      <c r="N153" s="54"/>
      <c r="O153" s="54"/>
      <c r="P153" s="54"/>
      <c r="Q153" s="54"/>
      <c r="R153" s="5"/>
      <c r="S153" s="25"/>
      <c r="T153" s="5"/>
    </row>
    <row r="154" spans="1:20" s="3" customFormat="1" x14ac:dyDescent="0.25">
      <c r="A154" s="21" t="s">
        <v>450</v>
      </c>
      <c r="B154" s="246" t="s">
        <v>396</v>
      </c>
      <c r="C154" s="246"/>
      <c r="D154" s="246"/>
      <c r="E154" s="246"/>
      <c r="F154" s="202" t="s">
        <v>29</v>
      </c>
      <c r="G154" s="54"/>
      <c r="H154" s="54"/>
      <c r="I154" s="54"/>
      <c r="J154" s="54"/>
      <c r="K154" s="54"/>
      <c r="L154" s="54"/>
      <c r="M154" s="54"/>
      <c r="N154" s="54"/>
      <c r="O154" s="54"/>
      <c r="P154" s="54"/>
      <c r="Q154" s="54"/>
      <c r="R154" s="5"/>
      <c r="S154" s="25"/>
      <c r="T154" s="5"/>
    </row>
    <row r="155" spans="1:20" s="3" customFormat="1" x14ac:dyDescent="0.25">
      <c r="A155" s="21" t="s">
        <v>450</v>
      </c>
      <c r="B155" s="246" t="s">
        <v>393</v>
      </c>
      <c r="C155" s="246"/>
      <c r="D155" s="246"/>
      <c r="E155" s="67" t="s">
        <v>324</v>
      </c>
      <c r="F155" s="202" t="s">
        <v>29</v>
      </c>
      <c r="G155" s="55"/>
      <c r="H155" s="55"/>
      <c r="I155" s="55"/>
      <c r="J155" s="55"/>
      <c r="K155" s="55"/>
      <c r="L155" s="55"/>
      <c r="M155" s="55"/>
      <c r="N155" s="55"/>
      <c r="O155" s="55"/>
      <c r="P155" s="55"/>
      <c r="Q155" s="55"/>
      <c r="R155" s="5"/>
      <c r="S155" s="25"/>
      <c r="T155" s="5"/>
    </row>
    <row r="156" spans="1:20" s="3" customFormat="1" x14ac:dyDescent="0.25">
      <c r="A156" s="21" t="s">
        <v>450</v>
      </c>
      <c r="B156" s="246" t="s">
        <v>397</v>
      </c>
      <c r="C156" s="246"/>
      <c r="D156" s="246"/>
      <c r="E156" s="67" t="s">
        <v>324</v>
      </c>
      <c r="F156" s="202" t="s">
        <v>29</v>
      </c>
      <c r="G156" s="55"/>
      <c r="H156" s="55"/>
      <c r="I156" s="55"/>
      <c r="J156" s="55"/>
      <c r="K156" s="55"/>
      <c r="L156" s="55"/>
      <c r="M156" s="55"/>
      <c r="N156" s="55"/>
      <c r="O156" s="55"/>
      <c r="P156" s="55"/>
      <c r="Q156" s="55"/>
      <c r="R156" s="5"/>
      <c r="S156" s="25"/>
      <c r="T156" s="5"/>
    </row>
    <row r="157" spans="1:20" s="3" customFormat="1" x14ac:dyDescent="0.25">
      <c r="A157" s="21" t="s">
        <v>450</v>
      </c>
      <c r="B157" s="246" t="s">
        <v>398</v>
      </c>
      <c r="C157" s="246"/>
      <c r="D157" s="246"/>
      <c r="E157" s="246"/>
      <c r="F157" s="202" t="s">
        <v>29</v>
      </c>
      <c r="G157" s="54"/>
      <c r="H157" s="54"/>
      <c r="I157" s="54"/>
      <c r="J157" s="54"/>
      <c r="K157" s="54"/>
      <c r="L157" s="54"/>
      <c r="M157" s="54"/>
      <c r="N157" s="54"/>
      <c r="O157" s="54"/>
      <c r="P157" s="54"/>
      <c r="Q157" s="54"/>
      <c r="R157" s="5"/>
      <c r="S157" s="25"/>
      <c r="T157" s="5"/>
    </row>
    <row r="158" spans="1:20" s="3" customFormat="1" x14ac:dyDescent="0.25">
      <c r="A158" s="21" t="s">
        <v>450</v>
      </c>
      <c r="B158" s="246" t="s">
        <v>399</v>
      </c>
      <c r="C158" s="246"/>
      <c r="D158" s="246"/>
      <c r="E158" s="246"/>
      <c r="F158" s="202" t="s">
        <v>29</v>
      </c>
      <c r="G158" s="54"/>
      <c r="H158" s="54"/>
      <c r="I158" s="54"/>
      <c r="J158" s="54"/>
      <c r="K158" s="54"/>
      <c r="L158" s="54"/>
      <c r="M158" s="54"/>
      <c r="N158" s="54"/>
      <c r="O158" s="54"/>
      <c r="P158" s="54"/>
      <c r="Q158" s="54"/>
      <c r="R158" s="5"/>
      <c r="S158" s="25"/>
      <c r="T158" s="5"/>
    </row>
    <row r="159" spans="1:20" s="3" customFormat="1" x14ac:dyDescent="0.25">
      <c r="A159" s="21" t="s">
        <v>450</v>
      </c>
      <c r="B159" s="246" t="s">
        <v>310</v>
      </c>
      <c r="C159" s="246"/>
      <c r="D159" s="246"/>
      <c r="E159" s="67" t="s">
        <v>324</v>
      </c>
      <c r="F159" s="202" t="s">
        <v>29</v>
      </c>
      <c r="G159" s="55"/>
      <c r="H159" s="55"/>
      <c r="I159" s="55"/>
      <c r="J159" s="55"/>
      <c r="K159" s="55"/>
      <c r="L159" s="55"/>
      <c r="M159" s="55"/>
      <c r="N159" s="55"/>
      <c r="O159" s="55"/>
      <c r="P159" s="55"/>
      <c r="Q159" s="55"/>
      <c r="R159" s="5"/>
      <c r="S159" s="25"/>
      <c r="T159" s="5"/>
    </row>
    <row r="160" spans="1:20" s="3" customFormat="1" x14ac:dyDescent="0.25">
      <c r="A160" s="21" t="s">
        <v>450</v>
      </c>
      <c r="B160" s="246" t="s">
        <v>360</v>
      </c>
      <c r="C160" s="246"/>
      <c r="D160" s="246"/>
      <c r="E160" s="246" t="s">
        <v>321</v>
      </c>
      <c r="F160" s="202" t="s">
        <v>29</v>
      </c>
      <c r="G160" s="55"/>
      <c r="H160" s="55"/>
      <c r="I160" s="55"/>
      <c r="J160" s="55"/>
      <c r="K160" s="55"/>
      <c r="L160" s="55"/>
      <c r="M160" s="55"/>
      <c r="N160" s="55"/>
      <c r="O160" s="55"/>
      <c r="P160" s="55"/>
      <c r="Q160" s="55"/>
      <c r="R160" s="5"/>
      <c r="S160" s="25"/>
      <c r="T160" s="5"/>
    </row>
    <row r="161" spans="1:20" s="3" customFormat="1" x14ac:dyDescent="0.25">
      <c r="A161" s="21" t="s">
        <v>450</v>
      </c>
      <c r="B161" s="67" t="s">
        <v>306</v>
      </c>
      <c r="C161" s="25"/>
      <c r="D161" s="67" t="s">
        <v>464</v>
      </c>
      <c r="E161" s="67" t="s">
        <v>45</v>
      </c>
      <c r="F161" s="202" t="s">
        <v>29</v>
      </c>
      <c r="G161" s="54">
        <v>0.51500000000000001</v>
      </c>
      <c r="H161" s="54">
        <f t="shared" ref="H161:Q161" si="10">G161</f>
        <v>0.51500000000000001</v>
      </c>
      <c r="I161" s="54">
        <f t="shared" si="10"/>
        <v>0.51500000000000001</v>
      </c>
      <c r="J161" s="54">
        <f t="shared" si="10"/>
        <v>0.51500000000000001</v>
      </c>
      <c r="K161" s="54">
        <f t="shared" si="10"/>
        <v>0.51500000000000001</v>
      </c>
      <c r="L161" s="54">
        <f t="shared" si="10"/>
        <v>0.51500000000000001</v>
      </c>
      <c r="M161" s="54">
        <f t="shared" si="10"/>
        <v>0.51500000000000001</v>
      </c>
      <c r="N161" s="54">
        <f t="shared" si="10"/>
        <v>0.51500000000000001</v>
      </c>
      <c r="O161" s="54">
        <f t="shared" si="10"/>
        <v>0.51500000000000001</v>
      </c>
      <c r="P161" s="54">
        <f t="shared" si="10"/>
        <v>0.51500000000000001</v>
      </c>
      <c r="Q161" s="54">
        <f t="shared" si="10"/>
        <v>0.51500000000000001</v>
      </c>
      <c r="R161" s="5"/>
      <c r="S161" s="25"/>
      <c r="T161" s="5"/>
    </row>
    <row r="162" spans="1:20" s="3" customFormat="1" x14ac:dyDescent="0.25">
      <c r="A162" s="21" t="s">
        <v>450</v>
      </c>
      <c r="B162" s="67" t="s">
        <v>51</v>
      </c>
      <c r="C162" s="25"/>
      <c r="D162" s="2"/>
      <c r="E162" s="2"/>
      <c r="F162" s="202" t="s">
        <v>30</v>
      </c>
      <c r="G162" s="4"/>
      <c r="H162" s="4"/>
      <c r="I162" s="4"/>
      <c r="J162" s="4"/>
      <c r="K162" s="4"/>
      <c r="L162" s="4"/>
      <c r="M162" s="4"/>
      <c r="N162" s="4"/>
      <c r="O162" s="4"/>
      <c r="P162" s="4"/>
      <c r="Q162" s="4"/>
      <c r="R162" s="5"/>
      <c r="S162" s="25"/>
      <c r="T162" s="5"/>
    </row>
    <row r="163" spans="1:20" s="3" customFormat="1" x14ac:dyDescent="0.25">
      <c r="A163" s="21" t="s">
        <v>450</v>
      </c>
      <c r="B163" s="246" t="s">
        <v>38</v>
      </c>
      <c r="C163" s="246"/>
      <c r="D163" s="246"/>
      <c r="E163" s="67" t="s">
        <v>40</v>
      </c>
      <c r="F163" s="202" t="s">
        <v>30</v>
      </c>
      <c r="G163" s="277">
        <v>2000</v>
      </c>
      <c r="H163" s="278">
        <f t="shared" ref="H163:Q165" si="11">G163</f>
        <v>2000</v>
      </c>
      <c r="I163" s="278">
        <f t="shared" si="11"/>
        <v>2000</v>
      </c>
      <c r="J163" s="278">
        <f t="shared" si="11"/>
        <v>2000</v>
      </c>
      <c r="K163" s="278">
        <f t="shared" si="11"/>
        <v>2000</v>
      </c>
      <c r="L163" s="278">
        <f t="shared" si="11"/>
        <v>2000</v>
      </c>
      <c r="M163" s="278">
        <f t="shared" si="11"/>
        <v>2000</v>
      </c>
      <c r="N163" s="278">
        <f t="shared" si="11"/>
        <v>2000</v>
      </c>
      <c r="O163" s="278">
        <f t="shared" si="11"/>
        <v>2000</v>
      </c>
      <c r="P163" s="278">
        <f t="shared" si="11"/>
        <v>2000</v>
      </c>
      <c r="Q163" s="278">
        <f t="shared" si="11"/>
        <v>2000</v>
      </c>
      <c r="R163" s="5"/>
      <c r="S163" s="25"/>
      <c r="T163" s="5"/>
    </row>
    <row r="164" spans="1:20" s="3" customFormat="1" x14ac:dyDescent="0.25">
      <c r="A164" s="21" t="s">
        <v>450</v>
      </c>
      <c r="B164" s="246" t="s">
        <v>37</v>
      </c>
      <c r="C164" s="246"/>
      <c r="D164" s="246"/>
      <c r="E164" s="67" t="s">
        <v>40</v>
      </c>
      <c r="F164" s="202" t="s">
        <v>30</v>
      </c>
      <c r="G164" s="277">
        <v>2100</v>
      </c>
      <c r="H164" s="278">
        <f t="shared" si="11"/>
        <v>2100</v>
      </c>
      <c r="I164" s="278">
        <f t="shared" si="11"/>
        <v>2100</v>
      </c>
      <c r="J164" s="278">
        <f t="shared" si="11"/>
        <v>2100</v>
      </c>
      <c r="K164" s="278">
        <f t="shared" si="11"/>
        <v>2100</v>
      </c>
      <c r="L164" s="278">
        <f t="shared" si="11"/>
        <v>2100</v>
      </c>
      <c r="M164" s="278">
        <f t="shared" si="11"/>
        <v>2100</v>
      </c>
      <c r="N164" s="278">
        <f t="shared" si="11"/>
        <v>2100</v>
      </c>
      <c r="O164" s="278">
        <f t="shared" si="11"/>
        <v>2100</v>
      </c>
      <c r="P164" s="278">
        <f t="shared" si="11"/>
        <v>2100</v>
      </c>
      <c r="Q164" s="278">
        <f t="shared" si="11"/>
        <v>2100</v>
      </c>
      <c r="R164" s="5"/>
      <c r="S164" s="25"/>
      <c r="T164" s="5"/>
    </row>
    <row r="165" spans="1:20" s="3" customFormat="1" x14ac:dyDescent="0.25">
      <c r="A165" s="21" t="s">
        <v>450</v>
      </c>
      <c r="B165" s="246" t="s">
        <v>39</v>
      </c>
      <c r="C165" s="246"/>
      <c r="D165" s="246"/>
      <c r="E165" s="67" t="s">
        <v>10</v>
      </c>
      <c r="F165" s="202" t="s">
        <v>30</v>
      </c>
      <c r="G165" s="55">
        <v>25</v>
      </c>
      <c r="H165" s="229">
        <f t="shared" si="11"/>
        <v>25</v>
      </c>
      <c r="I165" s="229">
        <f t="shared" si="11"/>
        <v>25</v>
      </c>
      <c r="J165" s="229">
        <f t="shared" si="11"/>
        <v>25</v>
      </c>
      <c r="K165" s="229">
        <f t="shared" si="11"/>
        <v>25</v>
      </c>
      <c r="L165" s="229">
        <f t="shared" si="11"/>
        <v>25</v>
      </c>
      <c r="M165" s="229">
        <f t="shared" si="11"/>
        <v>25</v>
      </c>
      <c r="N165" s="229">
        <f t="shared" si="11"/>
        <v>25</v>
      </c>
      <c r="O165" s="229">
        <f t="shared" si="11"/>
        <v>25</v>
      </c>
      <c r="P165" s="229">
        <f t="shared" si="11"/>
        <v>25</v>
      </c>
      <c r="Q165" s="229">
        <f t="shared" si="11"/>
        <v>25</v>
      </c>
      <c r="R165" s="5"/>
      <c r="S165" s="25"/>
      <c r="T165" s="5"/>
    </row>
    <row r="166" spans="1:20" s="3" customFormat="1" x14ac:dyDescent="0.25">
      <c r="A166" s="21" t="s">
        <v>450</v>
      </c>
      <c r="B166" s="246" t="s">
        <v>361</v>
      </c>
      <c r="C166" s="246"/>
      <c r="D166" s="246"/>
      <c r="E166" s="246" t="s">
        <v>10</v>
      </c>
      <c r="F166" s="202" t="s">
        <v>30</v>
      </c>
      <c r="G166" s="55"/>
      <c r="H166" s="55"/>
      <c r="I166" s="55"/>
      <c r="J166" s="55"/>
      <c r="K166" s="55"/>
      <c r="L166" s="55"/>
      <c r="M166" s="55"/>
      <c r="N166" s="55"/>
      <c r="O166" s="55"/>
      <c r="P166" s="55"/>
      <c r="Q166" s="55"/>
      <c r="R166" s="5"/>
      <c r="S166" s="25"/>
      <c r="T166" s="5"/>
    </row>
    <row r="167" spans="1:20" s="3" customFormat="1" x14ac:dyDescent="0.25">
      <c r="A167" s="21" t="s">
        <v>450</v>
      </c>
      <c r="B167" s="246" t="s">
        <v>309</v>
      </c>
      <c r="C167" s="246"/>
      <c r="D167" s="246"/>
      <c r="E167" s="67" t="s">
        <v>97</v>
      </c>
      <c r="F167" s="202" t="s">
        <v>30</v>
      </c>
      <c r="G167" s="271">
        <v>0.25</v>
      </c>
      <c r="H167" s="272">
        <f t="shared" ref="H167:Q167" si="12">G167</f>
        <v>0.25</v>
      </c>
      <c r="I167" s="272">
        <f t="shared" si="12"/>
        <v>0.25</v>
      </c>
      <c r="J167" s="272">
        <f t="shared" si="12"/>
        <v>0.25</v>
      </c>
      <c r="K167" s="272">
        <f t="shared" si="12"/>
        <v>0.25</v>
      </c>
      <c r="L167" s="272">
        <f t="shared" si="12"/>
        <v>0.25</v>
      </c>
      <c r="M167" s="272">
        <f t="shared" si="12"/>
        <v>0.25</v>
      </c>
      <c r="N167" s="272">
        <f t="shared" si="12"/>
        <v>0.25</v>
      </c>
      <c r="O167" s="272">
        <f t="shared" si="12"/>
        <v>0.25</v>
      </c>
      <c r="P167" s="272">
        <f t="shared" si="12"/>
        <v>0.25</v>
      </c>
      <c r="Q167" s="272">
        <f t="shared" si="12"/>
        <v>0.25</v>
      </c>
      <c r="R167" s="5"/>
      <c r="S167" s="25"/>
      <c r="T167" s="5"/>
    </row>
    <row r="168" spans="1:20" s="3" customFormat="1" x14ac:dyDescent="0.25">
      <c r="A168" s="21" t="s">
        <v>450</v>
      </c>
      <c r="B168" s="246" t="s">
        <v>358</v>
      </c>
      <c r="C168" s="246"/>
      <c r="D168" s="246"/>
      <c r="E168" s="246" t="s">
        <v>97</v>
      </c>
      <c r="F168" s="202" t="s">
        <v>30</v>
      </c>
      <c r="G168" s="271"/>
      <c r="H168" s="271"/>
      <c r="I168" s="271"/>
      <c r="J168" s="271"/>
      <c r="K168" s="271"/>
      <c r="L168" s="271"/>
      <c r="M168" s="271"/>
      <c r="N168" s="271"/>
      <c r="O168" s="271"/>
      <c r="P168" s="271"/>
      <c r="Q168" s="271"/>
      <c r="R168" s="5"/>
      <c r="S168" s="25"/>
      <c r="T168" s="5"/>
    </row>
    <row r="169" spans="1:20" s="3" customFormat="1" x14ac:dyDescent="0.25">
      <c r="A169" s="21" t="s">
        <v>450</v>
      </c>
      <c r="B169" s="246" t="s">
        <v>357</v>
      </c>
      <c r="C169" s="246"/>
      <c r="D169" s="246"/>
      <c r="E169" s="246" t="s">
        <v>97</v>
      </c>
      <c r="F169" s="202" t="s">
        <v>30</v>
      </c>
      <c r="G169" s="271"/>
      <c r="H169" s="271"/>
      <c r="I169" s="271"/>
      <c r="J169" s="271"/>
      <c r="K169" s="271"/>
      <c r="L169" s="271"/>
      <c r="M169" s="271"/>
      <c r="N169" s="271"/>
      <c r="O169" s="271"/>
      <c r="P169" s="271"/>
      <c r="Q169" s="271"/>
      <c r="R169" s="5"/>
      <c r="S169" s="25"/>
      <c r="T169" s="5"/>
    </row>
    <row r="170" spans="1:20" s="3" customFormat="1" x14ac:dyDescent="0.25">
      <c r="A170" s="21" t="s">
        <v>450</v>
      </c>
      <c r="B170" s="246" t="s">
        <v>75</v>
      </c>
      <c r="C170" s="246"/>
      <c r="D170" s="246"/>
      <c r="E170" s="67" t="s">
        <v>97</v>
      </c>
      <c r="F170" s="202" t="s">
        <v>30</v>
      </c>
      <c r="G170" s="271">
        <v>0</v>
      </c>
      <c r="H170" s="271"/>
      <c r="I170" s="271"/>
      <c r="J170" s="271"/>
      <c r="K170" s="271"/>
      <c r="L170" s="271"/>
      <c r="M170" s="271"/>
      <c r="N170" s="271"/>
      <c r="O170" s="271"/>
      <c r="P170" s="271"/>
      <c r="Q170" s="271"/>
      <c r="R170" s="5"/>
      <c r="S170" s="25"/>
      <c r="T170" s="5"/>
    </row>
    <row r="171" spans="1:20" s="3" customFormat="1" x14ac:dyDescent="0.25">
      <c r="A171" s="21" t="s">
        <v>450</v>
      </c>
      <c r="B171" s="68" t="s">
        <v>148</v>
      </c>
      <c r="C171" s="68"/>
      <c r="D171" s="251"/>
      <c r="E171" s="68" t="s">
        <v>97</v>
      </c>
      <c r="F171" s="202" t="s">
        <v>30</v>
      </c>
      <c r="G171" s="271"/>
      <c r="H171" s="271"/>
      <c r="I171" s="271"/>
      <c r="J171" s="271"/>
      <c r="K171" s="271"/>
      <c r="L171" s="271"/>
      <c r="M171" s="271"/>
      <c r="N171" s="271"/>
      <c r="O171" s="271"/>
      <c r="P171" s="271"/>
      <c r="Q171" s="271"/>
      <c r="R171" s="5"/>
      <c r="S171" s="25"/>
      <c r="T171" s="5"/>
    </row>
    <row r="172" spans="1:20" s="3" customFormat="1" x14ac:dyDescent="0.25">
      <c r="A172" s="21" t="s">
        <v>450</v>
      </c>
      <c r="B172" s="68" t="s">
        <v>149</v>
      </c>
      <c r="C172" s="68"/>
      <c r="D172" s="251"/>
      <c r="E172" s="68" t="s">
        <v>97</v>
      </c>
      <c r="F172" s="202" t="s">
        <v>30</v>
      </c>
      <c r="G172" s="271"/>
      <c r="H172" s="271"/>
      <c r="I172" s="271"/>
      <c r="J172" s="271"/>
      <c r="K172" s="271"/>
      <c r="L172" s="271"/>
      <c r="M172" s="271"/>
      <c r="N172" s="271"/>
      <c r="O172" s="271"/>
      <c r="P172" s="271"/>
      <c r="Q172" s="271"/>
      <c r="R172" s="5"/>
      <c r="S172" s="25"/>
      <c r="T172" s="5"/>
    </row>
    <row r="173" spans="1:20" s="3" customFormat="1" x14ac:dyDescent="0.25">
      <c r="A173" s="21" t="s">
        <v>450</v>
      </c>
      <c r="B173" s="68" t="s">
        <v>370</v>
      </c>
      <c r="C173" s="68"/>
      <c r="D173" s="251"/>
      <c r="E173" s="68" t="s">
        <v>97</v>
      </c>
      <c r="F173" s="202" t="s">
        <v>30</v>
      </c>
      <c r="G173" s="271"/>
      <c r="H173" s="271"/>
      <c r="I173" s="271"/>
      <c r="J173" s="271"/>
      <c r="K173" s="271"/>
      <c r="L173" s="271"/>
      <c r="M173" s="271"/>
      <c r="N173" s="271"/>
      <c r="O173" s="271"/>
      <c r="P173" s="271"/>
      <c r="Q173" s="271"/>
      <c r="R173" s="5"/>
      <c r="S173" s="25"/>
      <c r="T173" s="5"/>
    </row>
    <row r="174" spans="1:20" s="3" customFormat="1" x14ac:dyDescent="0.25">
      <c r="A174" s="21" t="s">
        <v>450</v>
      </c>
      <c r="B174" s="68" t="s">
        <v>371</v>
      </c>
      <c r="C174" s="68"/>
      <c r="D174" s="251"/>
      <c r="E174" s="68" t="s">
        <v>97</v>
      </c>
      <c r="F174" s="202" t="s">
        <v>30</v>
      </c>
      <c r="G174" s="271"/>
      <c r="H174" s="271"/>
      <c r="I174" s="271"/>
      <c r="J174" s="271"/>
      <c r="K174" s="271"/>
      <c r="L174" s="271"/>
      <c r="M174" s="271"/>
      <c r="N174" s="271"/>
      <c r="O174" s="271"/>
      <c r="P174" s="271"/>
      <c r="Q174" s="271"/>
      <c r="R174" s="5"/>
      <c r="S174" s="25"/>
      <c r="T174" s="5"/>
    </row>
    <row r="175" spans="1:20" s="3" customFormat="1" x14ac:dyDescent="0.25">
      <c r="A175" s="21" t="s">
        <v>450</v>
      </c>
      <c r="B175" s="246" t="s">
        <v>338</v>
      </c>
      <c r="C175" s="246"/>
      <c r="D175" s="246"/>
      <c r="E175" s="67" t="s">
        <v>36</v>
      </c>
      <c r="F175" s="202" t="s">
        <v>30</v>
      </c>
      <c r="G175" s="55"/>
      <c r="H175" s="55"/>
      <c r="I175" s="55"/>
      <c r="J175" s="55"/>
      <c r="K175" s="55"/>
      <c r="L175" s="55"/>
      <c r="M175" s="55"/>
      <c r="N175" s="55"/>
      <c r="O175" s="55"/>
      <c r="P175" s="55"/>
      <c r="Q175" s="55"/>
      <c r="R175" s="5"/>
      <c r="S175" s="25"/>
      <c r="T175" s="5"/>
    </row>
    <row r="176" spans="1:20" s="3" customFormat="1" x14ac:dyDescent="0.25">
      <c r="A176" s="21" t="s">
        <v>450</v>
      </c>
      <c r="B176" s="246" t="s">
        <v>152</v>
      </c>
      <c r="C176" s="246"/>
      <c r="D176" s="246"/>
      <c r="E176" s="67" t="s">
        <v>321</v>
      </c>
      <c r="F176" s="202" t="s">
        <v>30</v>
      </c>
      <c r="G176" s="55">
        <v>10548</v>
      </c>
      <c r="H176" s="55">
        <f t="shared" ref="H176:Q176" si="13">G176</f>
        <v>10548</v>
      </c>
      <c r="I176" s="55">
        <f t="shared" si="13"/>
        <v>10548</v>
      </c>
      <c r="J176" s="55">
        <f t="shared" si="13"/>
        <v>10548</v>
      </c>
      <c r="K176" s="55">
        <f t="shared" si="13"/>
        <v>10548</v>
      </c>
      <c r="L176" s="55">
        <f t="shared" si="13"/>
        <v>10548</v>
      </c>
      <c r="M176" s="55">
        <f t="shared" si="13"/>
        <v>10548</v>
      </c>
      <c r="N176" s="55">
        <f t="shared" si="13"/>
        <v>10548</v>
      </c>
      <c r="O176" s="55">
        <f t="shared" si="13"/>
        <v>10548</v>
      </c>
      <c r="P176" s="55">
        <f t="shared" si="13"/>
        <v>10548</v>
      </c>
      <c r="Q176" s="55">
        <f t="shared" si="13"/>
        <v>10548</v>
      </c>
      <c r="R176" s="5"/>
      <c r="S176" s="25"/>
      <c r="T176" s="5"/>
    </row>
    <row r="177" spans="1:20" s="3" customFormat="1" x14ac:dyDescent="0.25">
      <c r="A177" s="21" t="s">
        <v>450</v>
      </c>
      <c r="B177" s="246" t="s">
        <v>383</v>
      </c>
      <c r="C177" s="246"/>
      <c r="D177" s="246"/>
      <c r="E177" s="246" t="s">
        <v>97</v>
      </c>
      <c r="F177" s="202" t="s">
        <v>30</v>
      </c>
      <c r="G177" s="271"/>
      <c r="H177" s="271"/>
      <c r="I177" s="271"/>
      <c r="J177" s="271"/>
      <c r="K177" s="271"/>
      <c r="L177" s="271"/>
      <c r="M177" s="271"/>
      <c r="N177" s="271"/>
      <c r="O177" s="271"/>
      <c r="P177" s="271"/>
      <c r="Q177" s="271"/>
      <c r="R177" s="5"/>
      <c r="S177" s="25"/>
      <c r="T177" s="5"/>
    </row>
    <row r="178" spans="1:20" s="3" customFormat="1" x14ac:dyDescent="0.25">
      <c r="A178" s="21" t="s">
        <v>450</v>
      </c>
      <c r="B178" s="246" t="s">
        <v>446</v>
      </c>
      <c r="C178" s="246"/>
      <c r="D178" s="246"/>
      <c r="E178" s="67" t="s">
        <v>36</v>
      </c>
      <c r="F178" s="202" t="s">
        <v>30</v>
      </c>
      <c r="G178" s="55"/>
      <c r="H178" s="55"/>
      <c r="I178" s="55"/>
      <c r="J178" s="55"/>
      <c r="K178" s="55"/>
      <c r="L178" s="55"/>
      <c r="M178" s="55"/>
      <c r="N178" s="55"/>
      <c r="O178" s="55"/>
      <c r="P178" s="55"/>
      <c r="Q178" s="55"/>
      <c r="R178" s="5"/>
      <c r="S178" s="25"/>
      <c r="T178" s="5"/>
    </row>
    <row r="179" spans="1:20" s="3" customFormat="1" x14ac:dyDescent="0.25">
      <c r="A179" s="21" t="s">
        <v>450</v>
      </c>
      <c r="B179" s="246" t="s">
        <v>387</v>
      </c>
      <c r="C179" s="246"/>
      <c r="D179" s="246"/>
      <c r="E179" s="246"/>
      <c r="F179" s="202" t="s">
        <v>30</v>
      </c>
      <c r="G179" s="54"/>
      <c r="H179" s="54"/>
      <c r="I179" s="54"/>
      <c r="J179" s="54"/>
      <c r="K179" s="54"/>
      <c r="L179" s="54"/>
      <c r="M179" s="54"/>
      <c r="N179" s="54"/>
      <c r="O179" s="54"/>
      <c r="P179" s="54"/>
      <c r="Q179" s="54"/>
      <c r="R179" s="5"/>
      <c r="S179" s="25"/>
      <c r="T179" s="5"/>
    </row>
    <row r="180" spans="1:20" s="3" customFormat="1" x14ac:dyDescent="0.25">
      <c r="A180" s="21" t="s">
        <v>450</v>
      </c>
      <c r="B180" s="246" t="s">
        <v>369</v>
      </c>
      <c r="C180" s="246"/>
      <c r="D180" s="246"/>
      <c r="E180" s="246" t="s">
        <v>97</v>
      </c>
      <c r="F180" s="202" t="s">
        <v>30</v>
      </c>
      <c r="G180" s="271"/>
      <c r="H180" s="271"/>
      <c r="I180" s="271"/>
      <c r="J180" s="271"/>
      <c r="K180" s="271"/>
      <c r="L180" s="271"/>
      <c r="M180" s="271"/>
      <c r="N180" s="271"/>
      <c r="O180" s="271"/>
      <c r="P180" s="271"/>
      <c r="Q180" s="271"/>
      <c r="R180" s="5"/>
      <c r="S180" s="25"/>
      <c r="T180" s="5"/>
    </row>
    <row r="181" spans="1:20" s="3" customFormat="1" x14ac:dyDescent="0.25">
      <c r="A181" s="21" t="s">
        <v>450</v>
      </c>
      <c r="B181" s="246" t="s">
        <v>392</v>
      </c>
      <c r="C181" s="246"/>
      <c r="D181" s="246"/>
      <c r="E181" s="246" t="s">
        <v>321</v>
      </c>
      <c r="F181" s="202" t="s">
        <v>30</v>
      </c>
      <c r="G181" s="55"/>
      <c r="H181" s="55"/>
      <c r="I181" s="55"/>
      <c r="J181" s="55"/>
      <c r="K181" s="55"/>
      <c r="L181" s="55"/>
      <c r="M181" s="55"/>
      <c r="N181" s="55"/>
      <c r="O181" s="55"/>
      <c r="P181" s="55"/>
      <c r="Q181" s="55"/>
      <c r="R181" s="5"/>
      <c r="S181" s="25"/>
      <c r="T181" s="5"/>
    </row>
    <row r="182" spans="1:20" s="3" customFormat="1" x14ac:dyDescent="0.25">
      <c r="A182" s="21" t="s">
        <v>450</v>
      </c>
      <c r="B182" s="246" t="s">
        <v>394</v>
      </c>
      <c r="C182" s="246"/>
      <c r="D182" s="246"/>
      <c r="E182" s="246" t="s">
        <v>321</v>
      </c>
      <c r="F182" s="202" t="s">
        <v>30</v>
      </c>
      <c r="G182" s="55"/>
      <c r="H182" s="55"/>
      <c r="I182" s="55"/>
      <c r="J182" s="55"/>
      <c r="K182" s="55"/>
      <c r="L182" s="55"/>
      <c r="M182" s="55"/>
      <c r="N182" s="55"/>
      <c r="O182" s="55"/>
      <c r="P182" s="55"/>
      <c r="Q182" s="55"/>
      <c r="R182" s="5"/>
      <c r="S182" s="25"/>
      <c r="T182" s="5"/>
    </row>
    <row r="183" spans="1:20" s="3" customFormat="1" x14ac:dyDescent="0.25">
      <c r="A183" s="21" t="s">
        <v>450</v>
      </c>
      <c r="B183" s="246" t="s">
        <v>395</v>
      </c>
      <c r="C183" s="246"/>
      <c r="D183" s="246"/>
      <c r="E183" s="246"/>
      <c r="F183" s="202" t="s">
        <v>30</v>
      </c>
      <c r="G183" s="54"/>
      <c r="H183" s="54"/>
      <c r="I183" s="54"/>
      <c r="J183" s="54"/>
      <c r="K183" s="54"/>
      <c r="L183" s="54"/>
      <c r="M183" s="54"/>
      <c r="N183" s="54"/>
      <c r="O183" s="54"/>
      <c r="P183" s="54"/>
      <c r="Q183" s="54"/>
      <c r="R183" s="5"/>
      <c r="S183" s="25"/>
      <c r="T183" s="5"/>
    </row>
    <row r="184" spans="1:20" s="3" customFormat="1" x14ac:dyDescent="0.25">
      <c r="A184" s="21" t="s">
        <v>450</v>
      </c>
      <c r="B184" s="246" t="s">
        <v>396</v>
      </c>
      <c r="C184" s="246"/>
      <c r="D184" s="246"/>
      <c r="E184" s="246"/>
      <c r="F184" s="202" t="s">
        <v>30</v>
      </c>
      <c r="G184" s="54"/>
      <c r="H184" s="54"/>
      <c r="I184" s="54"/>
      <c r="J184" s="54"/>
      <c r="K184" s="54"/>
      <c r="L184" s="54"/>
      <c r="M184" s="54"/>
      <c r="N184" s="54"/>
      <c r="O184" s="54"/>
      <c r="P184" s="54"/>
      <c r="Q184" s="54"/>
      <c r="R184" s="5"/>
      <c r="S184" s="25"/>
      <c r="T184" s="5"/>
    </row>
    <row r="185" spans="1:20" s="3" customFormat="1" x14ac:dyDescent="0.25">
      <c r="A185" s="21" t="s">
        <v>450</v>
      </c>
      <c r="B185" s="246" t="s">
        <v>393</v>
      </c>
      <c r="C185" s="246"/>
      <c r="D185" s="246"/>
      <c r="E185" s="67" t="s">
        <v>324</v>
      </c>
      <c r="F185" s="202" t="s">
        <v>30</v>
      </c>
      <c r="G185" s="55"/>
      <c r="H185" s="55"/>
      <c r="I185" s="55"/>
      <c r="J185" s="55"/>
      <c r="K185" s="55"/>
      <c r="L185" s="55"/>
      <c r="M185" s="55"/>
      <c r="N185" s="55"/>
      <c r="O185" s="55"/>
      <c r="P185" s="55"/>
      <c r="Q185" s="55"/>
      <c r="R185" s="5"/>
      <c r="S185" s="25"/>
      <c r="T185" s="5"/>
    </row>
    <row r="186" spans="1:20" s="3" customFormat="1" x14ac:dyDescent="0.25">
      <c r="A186" s="21" t="s">
        <v>450</v>
      </c>
      <c r="B186" s="246" t="s">
        <v>397</v>
      </c>
      <c r="C186" s="246"/>
      <c r="D186" s="246"/>
      <c r="E186" s="67" t="s">
        <v>324</v>
      </c>
      <c r="F186" s="202" t="s">
        <v>30</v>
      </c>
      <c r="G186" s="55"/>
      <c r="H186" s="55"/>
      <c r="I186" s="55"/>
      <c r="J186" s="55"/>
      <c r="K186" s="55"/>
      <c r="L186" s="55"/>
      <c r="M186" s="55"/>
      <c r="N186" s="55"/>
      <c r="O186" s="55"/>
      <c r="P186" s="55"/>
      <c r="Q186" s="55"/>
      <c r="R186" s="5"/>
      <c r="S186" s="25"/>
      <c r="T186" s="5"/>
    </row>
    <row r="187" spans="1:20" s="3" customFormat="1" x14ac:dyDescent="0.25">
      <c r="A187" s="21" t="s">
        <v>450</v>
      </c>
      <c r="B187" s="246" t="s">
        <v>398</v>
      </c>
      <c r="C187" s="246"/>
      <c r="D187" s="246"/>
      <c r="E187" s="246"/>
      <c r="F187" s="202" t="s">
        <v>30</v>
      </c>
      <c r="G187" s="54"/>
      <c r="H187" s="54"/>
      <c r="I187" s="54"/>
      <c r="J187" s="54"/>
      <c r="K187" s="54"/>
      <c r="L187" s="54"/>
      <c r="M187" s="54"/>
      <c r="N187" s="54"/>
      <c r="O187" s="54"/>
      <c r="P187" s="54"/>
      <c r="Q187" s="54"/>
      <c r="R187" s="5"/>
      <c r="S187" s="25"/>
      <c r="T187" s="5"/>
    </row>
    <row r="188" spans="1:20" s="3" customFormat="1" x14ac:dyDescent="0.25">
      <c r="A188" s="21" t="s">
        <v>450</v>
      </c>
      <c r="B188" s="246" t="s">
        <v>399</v>
      </c>
      <c r="C188" s="246"/>
      <c r="D188" s="246"/>
      <c r="E188" s="246"/>
      <c r="F188" s="202" t="s">
        <v>30</v>
      </c>
      <c r="G188" s="54"/>
      <c r="H188" s="54"/>
      <c r="I188" s="54"/>
      <c r="J188" s="54"/>
      <c r="K188" s="54"/>
      <c r="L188" s="54"/>
      <c r="M188" s="54"/>
      <c r="N188" s="54"/>
      <c r="O188" s="54"/>
      <c r="P188" s="54"/>
      <c r="Q188" s="54"/>
      <c r="R188" s="5"/>
      <c r="S188" s="25"/>
      <c r="T188" s="5"/>
    </row>
    <row r="189" spans="1:20" s="3" customFormat="1" x14ac:dyDescent="0.25">
      <c r="A189" s="21" t="s">
        <v>450</v>
      </c>
      <c r="B189" s="246" t="s">
        <v>310</v>
      </c>
      <c r="C189" s="246"/>
      <c r="D189" s="246"/>
      <c r="E189" s="67" t="s">
        <v>324</v>
      </c>
      <c r="F189" s="202" t="s">
        <v>30</v>
      </c>
      <c r="G189" s="55"/>
      <c r="H189" s="55"/>
      <c r="I189" s="55"/>
      <c r="J189" s="55"/>
      <c r="K189" s="55"/>
      <c r="L189" s="55"/>
      <c r="M189" s="55"/>
      <c r="N189" s="55"/>
      <c r="O189" s="55"/>
      <c r="P189" s="55"/>
      <c r="Q189" s="55"/>
      <c r="R189" s="5"/>
      <c r="S189" s="25"/>
      <c r="T189" s="5"/>
    </row>
    <row r="190" spans="1:20" s="3" customFormat="1" x14ac:dyDescent="0.25">
      <c r="A190" s="21" t="s">
        <v>450</v>
      </c>
      <c r="B190" s="246" t="s">
        <v>360</v>
      </c>
      <c r="C190" s="246"/>
      <c r="D190" s="246"/>
      <c r="E190" s="246" t="s">
        <v>321</v>
      </c>
      <c r="F190" s="202" t="s">
        <v>30</v>
      </c>
      <c r="G190" s="55"/>
      <c r="H190" s="55"/>
      <c r="I190" s="55"/>
      <c r="J190" s="55"/>
      <c r="K190" s="55"/>
      <c r="L190" s="55"/>
      <c r="M190" s="55"/>
      <c r="N190" s="55"/>
      <c r="O190" s="55"/>
      <c r="P190" s="55"/>
      <c r="Q190" s="55"/>
      <c r="R190" s="5"/>
      <c r="S190" s="25"/>
      <c r="T190" s="5"/>
    </row>
    <row r="191" spans="1:20" s="3" customFormat="1" x14ac:dyDescent="0.25">
      <c r="A191" s="21" t="s">
        <v>450</v>
      </c>
      <c r="B191" s="67" t="s">
        <v>306</v>
      </c>
      <c r="C191" s="25"/>
      <c r="D191" s="67" t="s">
        <v>464</v>
      </c>
      <c r="E191" s="67" t="s">
        <v>45</v>
      </c>
      <c r="F191" s="202" t="s">
        <v>30</v>
      </c>
      <c r="G191" s="54">
        <v>0.36</v>
      </c>
      <c r="H191" s="54">
        <f t="shared" ref="H191:Q191" si="14">G191</f>
        <v>0.36</v>
      </c>
      <c r="I191" s="54">
        <f t="shared" si="14"/>
        <v>0.36</v>
      </c>
      <c r="J191" s="54">
        <f t="shared" si="14"/>
        <v>0.36</v>
      </c>
      <c r="K191" s="54">
        <f t="shared" si="14"/>
        <v>0.36</v>
      </c>
      <c r="L191" s="54">
        <f t="shared" si="14"/>
        <v>0.36</v>
      </c>
      <c r="M191" s="54">
        <f t="shared" si="14"/>
        <v>0.36</v>
      </c>
      <c r="N191" s="54">
        <f t="shared" si="14"/>
        <v>0.36</v>
      </c>
      <c r="O191" s="54">
        <f t="shared" si="14"/>
        <v>0.36</v>
      </c>
      <c r="P191" s="54">
        <f t="shared" si="14"/>
        <v>0.36</v>
      </c>
      <c r="Q191" s="54">
        <f t="shared" si="14"/>
        <v>0.36</v>
      </c>
      <c r="R191" s="5"/>
      <c r="S191" s="25"/>
      <c r="T191" s="5"/>
    </row>
    <row r="192" spans="1:20" s="3" customFormat="1" x14ac:dyDescent="0.25">
      <c r="A192" s="21" t="s">
        <v>450</v>
      </c>
      <c r="B192" s="67" t="s">
        <v>51</v>
      </c>
      <c r="C192" s="25"/>
      <c r="D192" s="2"/>
      <c r="E192" s="2"/>
      <c r="F192" s="202" t="s">
        <v>31</v>
      </c>
      <c r="G192" s="4"/>
      <c r="H192" s="4"/>
      <c r="I192" s="4"/>
      <c r="J192" s="4"/>
      <c r="K192" s="4"/>
      <c r="L192" s="4"/>
      <c r="M192" s="4"/>
      <c r="N192" s="4"/>
      <c r="O192" s="4"/>
      <c r="P192" s="4"/>
      <c r="Q192" s="4"/>
      <c r="R192" s="5"/>
      <c r="S192" s="25"/>
      <c r="T192" s="5"/>
    </row>
    <row r="193" spans="1:20" s="3" customFormat="1" x14ac:dyDescent="0.25">
      <c r="A193" s="21" t="s">
        <v>450</v>
      </c>
      <c r="B193" s="246" t="s">
        <v>38</v>
      </c>
      <c r="C193" s="246"/>
      <c r="D193" s="246"/>
      <c r="E193" s="67" t="s">
        <v>40</v>
      </c>
      <c r="F193" s="202" t="s">
        <v>31</v>
      </c>
      <c r="G193" s="277">
        <v>2015</v>
      </c>
      <c r="H193" s="278">
        <f t="shared" ref="H193:Q195" si="15">G193</f>
        <v>2015</v>
      </c>
      <c r="I193" s="278">
        <f t="shared" si="15"/>
        <v>2015</v>
      </c>
      <c r="J193" s="278">
        <f t="shared" si="15"/>
        <v>2015</v>
      </c>
      <c r="K193" s="278">
        <f t="shared" si="15"/>
        <v>2015</v>
      </c>
      <c r="L193" s="278">
        <f t="shared" si="15"/>
        <v>2015</v>
      </c>
      <c r="M193" s="278">
        <f t="shared" si="15"/>
        <v>2015</v>
      </c>
      <c r="N193" s="278">
        <f t="shared" si="15"/>
        <v>2015</v>
      </c>
      <c r="O193" s="278">
        <f t="shared" si="15"/>
        <v>2015</v>
      </c>
      <c r="P193" s="278">
        <f t="shared" si="15"/>
        <v>2015</v>
      </c>
      <c r="Q193" s="278">
        <f t="shared" si="15"/>
        <v>2015</v>
      </c>
      <c r="R193" s="5"/>
      <c r="S193" s="25"/>
      <c r="T193" s="5"/>
    </row>
    <row r="194" spans="1:20" s="3" customFormat="1" x14ac:dyDescent="0.25">
      <c r="A194" s="21" t="s">
        <v>450</v>
      </c>
      <c r="B194" s="246" t="s">
        <v>37</v>
      </c>
      <c r="C194" s="246"/>
      <c r="D194" s="246"/>
      <c r="E194" s="67" t="s">
        <v>40</v>
      </c>
      <c r="F194" s="202" t="s">
        <v>31</v>
      </c>
      <c r="G194" s="277">
        <v>2100</v>
      </c>
      <c r="H194" s="278">
        <f t="shared" si="15"/>
        <v>2100</v>
      </c>
      <c r="I194" s="278">
        <f t="shared" si="15"/>
        <v>2100</v>
      </c>
      <c r="J194" s="278">
        <f t="shared" si="15"/>
        <v>2100</v>
      </c>
      <c r="K194" s="278">
        <f t="shared" si="15"/>
        <v>2100</v>
      </c>
      <c r="L194" s="278">
        <f t="shared" si="15"/>
        <v>2100</v>
      </c>
      <c r="M194" s="278">
        <f t="shared" si="15"/>
        <v>2100</v>
      </c>
      <c r="N194" s="278">
        <f t="shared" si="15"/>
        <v>2100</v>
      </c>
      <c r="O194" s="278">
        <f t="shared" si="15"/>
        <v>2100</v>
      </c>
      <c r="P194" s="278">
        <f t="shared" si="15"/>
        <v>2100</v>
      </c>
      <c r="Q194" s="278">
        <f t="shared" si="15"/>
        <v>2100</v>
      </c>
      <c r="R194" s="5"/>
      <c r="S194" s="25"/>
      <c r="T194" s="5"/>
    </row>
    <row r="195" spans="1:20" s="3" customFormat="1" x14ac:dyDescent="0.25">
      <c r="A195" s="21" t="s">
        <v>450</v>
      </c>
      <c r="B195" s="246" t="s">
        <v>39</v>
      </c>
      <c r="C195" s="246"/>
      <c r="D195" s="246"/>
      <c r="E195" s="67" t="s">
        <v>10</v>
      </c>
      <c r="F195" s="202" t="s">
        <v>31</v>
      </c>
      <c r="G195" s="55">
        <v>25</v>
      </c>
      <c r="H195" s="229">
        <f t="shared" si="15"/>
        <v>25</v>
      </c>
      <c r="I195" s="229">
        <f t="shared" si="15"/>
        <v>25</v>
      </c>
      <c r="J195" s="229">
        <f t="shared" si="15"/>
        <v>25</v>
      </c>
      <c r="K195" s="229">
        <f t="shared" si="15"/>
        <v>25</v>
      </c>
      <c r="L195" s="229">
        <f t="shared" si="15"/>
        <v>25</v>
      </c>
      <c r="M195" s="229">
        <f t="shared" si="15"/>
        <v>25</v>
      </c>
      <c r="N195" s="229">
        <f t="shared" si="15"/>
        <v>25</v>
      </c>
      <c r="O195" s="229">
        <f t="shared" si="15"/>
        <v>25</v>
      </c>
      <c r="P195" s="229">
        <f t="shared" si="15"/>
        <v>25</v>
      </c>
      <c r="Q195" s="229">
        <f t="shared" si="15"/>
        <v>25</v>
      </c>
      <c r="R195" s="5"/>
      <c r="S195" s="25"/>
      <c r="T195" s="5"/>
    </row>
    <row r="196" spans="1:20" s="3" customFormat="1" x14ac:dyDescent="0.25">
      <c r="A196" s="21" t="s">
        <v>450</v>
      </c>
      <c r="B196" s="246" t="s">
        <v>361</v>
      </c>
      <c r="C196" s="246"/>
      <c r="D196" s="246"/>
      <c r="E196" s="246" t="s">
        <v>10</v>
      </c>
      <c r="F196" s="202" t="s">
        <v>31</v>
      </c>
      <c r="G196" s="55"/>
      <c r="H196" s="55"/>
      <c r="I196" s="55"/>
      <c r="J196" s="55"/>
      <c r="K196" s="55"/>
      <c r="L196" s="55"/>
      <c r="M196" s="55"/>
      <c r="N196" s="55"/>
      <c r="O196" s="55"/>
      <c r="P196" s="55"/>
      <c r="Q196" s="55"/>
      <c r="R196" s="5"/>
      <c r="S196" s="25"/>
      <c r="T196" s="5"/>
    </row>
    <row r="197" spans="1:20" s="3" customFormat="1" x14ac:dyDescent="0.25">
      <c r="A197" s="21" t="s">
        <v>450</v>
      </c>
      <c r="B197" s="246" t="s">
        <v>309</v>
      </c>
      <c r="C197" s="246"/>
      <c r="D197" s="246"/>
      <c r="E197" s="67" t="s">
        <v>97</v>
      </c>
      <c r="F197" s="202" t="s">
        <v>31</v>
      </c>
      <c r="G197" s="271">
        <v>0.25</v>
      </c>
      <c r="H197" s="272">
        <f t="shared" ref="H197:Q197" si="16">G197</f>
        <v>0.25</v>
      </c>
      <c r="I197" s="272">
        <f t="shared" si="16"/>
        <v>0.25</v>
      </c>
      <c r="J197" s="272">
        <f t="shared" si="16"/>
        <v>0.25</v>
      </c>
      <c r="K197" s="272">
        <f t="shared" si="16"/>
        <v>0.25</v>
      </c>
      <c r="L197" s="272">
        <f t="shared" si="16"/>
        <v>0.25</v>
      </c>
      <c r="M197" s="272">
        <f t="shared" si="16"/>
        <v>0.25</v>
      </c>
      <c r="N197" s="272">
        <f t="shared" si="16"/>
        <v>0.25</v>
      </c>
      <c r="O197" s="272">
        <f t="shared" si="16"/>
        <v>0.25</v>
      </c>
      <c r="P197" s="272">
        <f t="shared" si="16"/>
        <v>0.25</v>
      </c>
      <c r="Q197" s="272">
        <f t="shared" si="16"/>
        <v>0.25</v>
      </c>
      <c r="R197" s="5"/>
      <c r="S197" s="25"/>
      <c r="T197" s="5"/>
    </row>
    <row r="198" spans="1:20" s="3" customFormat="1" x14ac:dyDescent="0.25">
      <c r="A198" s="21" t="s">
        <v>450</v>
      </c>
      <c r="B198" s="246" t="s">
        <v>358</v>
      </c>
      <c r="C198" s="246"/>
      <c r="D198" s="246"/>
      <c r="E198" s="246" t="s">
        <v>97</v>
      </c>
      <c r="F198" s="202" t="s">
        <v>31</v>
      </c>
      <c r="G198" s="271"/>
      <c r="H198" s="271"/>
      <c r="I198" s="271"/>
      <c r="J198" s="271"/>
      <c r="K198" s="271"/>
      <c r="L198" s="271"/>
      <c r="M198" s="271"/>
      <c r="N198" s="271"/>
      <c r="O198" s="271"/>
      <c r="P198" s="271"/>
      <c r="Q198" s="271"/>
      <c r="R198" s="5"/>
      <c r="S198" s="25"/>
      <c r="T198" s="5"/>
    </row>
    <row r="199" spans="1:20" s="3" customFormat="1" x14ac:dyDescent="0.25">
      <c r="A199" s="21" t="s">
        <v>450</v>
      </c>
      <c r="B199" s="246" t="s">
        <v>357</v>
      </c>
      <c r="C199" s="246"/>
      <c r="D199" s="246"/>
      <c r="E199" s="246" t="s">
        <v>97</v>
      </c>
      <c r="F199" s="202" t="s">
        <v>31</v>
      </c>
      <c r="G199" s="271"/>
      <c r="H199" s="271"/>
      <c r="I199" s="271"/>
      <c r="J199" s="271"/>
      <c r="K199" s="271"/>
      <c r="L199" s="271"/>
      <c r="M199" s="271"/>
      <c r="N199" s="271"/>
      <c r="O199" s="271"/>
      <c r="P199" s="271"/>
      <c r="Q199" s="271"/>
      <c r="R199" s="5"/>
      <c r="S199" s="25"/>
      <c r="T199" s="5"/>
    </row>
    <row r="200" spans="1:20" s="3" customFormat="1" x14ac:dyDescent="0.25">
      <c r="A200" s="21" t="s">
        <v>450</v>
      </c>
      <c r="B200" s="246" t="s">
        <v>75</v>
      </c>
      <c r="C200" s="246"/>
      <c r="D200" s="246"/>
      <c r="E200" s="67" t="s">
        <v>97</v>
      </c>
      <c r="F200" s="202" t="s">
        <v>31</v>
      </c>
      <c r="G200" s="271">
        <v>0</v>
      </c>
      <c r="H200" s="271"/>
      <c r="I200" s="271"/>
      <c r="J200" s="271"/>
      <c r="K200" s="271"/>
      <c r="L200" s="271"/>
      <c r="M200" s="271"/>
      <c r="N200" s="271"/>
      <c r="O200" s="271"/>
      <c r="P200" s="271"/>
      <c r="Q200" s="271"/>
      <c r="R200" s="5"/>
      <c r="S200" s="25"/>
      <c r="T200" s="5"/>
    </row>
    <row r="201" spans="1:20" s="3" customFormat="1" x14ac:dyDescent="0.25">
      <c r="A201" s="21" t="s">
        <v>450</v>
      </c>
      <c r="B201" s="68" t="s">
        <v>148</v>
      </c>
      <c r="C201" s="68"/>
      <c r="D201" s="251"/>
      <c r="E201" s="68" t="s">
        <v>97</v>
      </c>
      <c r="F201" s="202" t="s">
        <v>31</v>
      </c>
      <c r="G201" s="271"/>
      <c r="H201" s="271"/>
      <c r="I201" s="271"/>
      <c r="J201" s="271"/>
      <c r="K201" s="271"/>
      <c r="L201" s="271"/>
      <c r="M201" s="271"/>
      <c r="N201" s="271"/>
      <c r="O201" s="271"/>
      <c r="P201" s="271"/>
      <c r="Q201" s="271"/>
      <c r="R201" s="5"/>
      <c r="S201" s="25"/>
      <c r="T201" s="5"/>
    </row>
    <row r="202" spans="1:20" s="3" customFormat="1" x14ac:dyDescent="0.25">
      <c r="A202" s="21" t="s">
        <v>450</v>
      </c>
      <c r="B202" s="68" t="s">
        <v>149</v>
      </c>
      <c r="C202" s="68"/>
      <c r="D202" s="251"/>
      <c r="E202" s="68" t="s">
        <v>97</v>
      </c>
      <c r="F202" s="202" t="s">
        <v>31</v>
      </c>
      <c r="G202" s="271"/>
      <c r="H202" s="271"/>
      <c r="I202" s="271"/>
      <c r="J202" s="271"/>
      <c r="K202" s="271"/>
      <c r="L202" s="271"/>
      <c r="M202" s="271"/>
      <c r="N202" s="271"/>
      <c r="O202" s="271"/>
      <c r="P202" s="271"/>
      <c r="Q202" s="271"/>
      <c r="R202" s="5"/>
      <c r="S202" s="25"/>
      <c r="T202" s="5"/>
    </row>
    <row r="203" spans="1:20" s="3" customFormat="1" x14ac:dyDescent="0.25">
      <c r="A203" s="21" t="s">
        <v>450</v>
      </c>
      <c r="B203" s="68" t="s">
        <v>370</v>
      </c>
      <c r="C203" s="68"/>
      <c r="D203" s="251"/>
      <c r="E203" s="68" t="s">
        <v>97</v>
      </c>
      <c r="F203" s="202" t="s">
        <v>31</v>
      </c>
      <c r="G203" s="271"/>
      <c r="H203" s="271"/>
      <c r="I203" s="271"/>
      <c r="J203" s="271"/>
      <c r="K203" s="271"/>
      <c r="L203" s="271"/>
      <c r="M203" s="271"/>
      <c r="N203" s="271"/>
      <c r="O203" s="271"/>
      <c r="P203" s="271"/>
      <c r="Q203" s="271"/>
      <c r="R203" s="5"/>
      <c r="S203" s="25"/>
      <c r="T203" s="5"/>
    </row>
    <row r="204" spans="1:20" s="3" customFormat="1" x14ac:dyDescent="0.25">
      <c r="A204" s="21" t="s">
        <v>450</v>
      </c>
      <c r="B204" s="68" t="s">
        <v>371</v>
      </c>
      <c r="C204" s="68"/>
      <c r="D204" s="251"/>
      <c r="E204" s="68" t="s">
        <v>97</v>
      </c>
      <c r="F204" s="202" t="s">
        <v>31</v>
      </c>
      <c r="G204" s="271"/>
      <c r="H204" s="271"/>
      <c r="I204" s="271"/>
      <c r="J204" s="271"/>
      <c r="K204" s="271"/>
      <c r="L204" s="271"/>
      <c r="M204" s="271"/>
      <c r="N204" s="271"/>
      <c r="O204" s="271"/>
      <c r="P204" s="271"/>
      <c r="Q204" s="271"/>
      <c r="R204" s="5"/>
      <c r="S204" s="25"/>
      <c r="T204" s="5"/>
    </row>
    <row r="205" spans="1:20" s="3" customFormat="1" x14ac:dyDescent="0.25">
      <c r="A205" s="21" t="s">
        <v>450</v>
      </c>
      <c r="B205" s="246" t="s">
        <v>338</v>
      </c>
      <c r="C205" s="246"/>
      <c r="D205" s="246"/>
      <c r="E205" s="67" t="s">
        <v>36</v>
      </c>
      <c r="F205" s="202" t="s">
        <v>31</v>
      </c>
      <c r="G205" s="55"/>
      <c r="H205" s="55"/>
      <c r="I205" s="55"/>
      <c r="J205" s="55"/>
      <c r="K205" s="55"/>
      <c r="L205" s="55"/>
      <c r="M205" s="55"/>
      <c r="N205" s="55"/>
      <c r="O205" s="55"/>
      <c r="P205" s="55"/>
      <c r="Q205" s="55"/>
      <c r="R205" s="5"/>
      <c r="S205" s="25"/>
      <c r="T205" s="5"/>
    </row>
    <row r="206" spans="1:20" s="3" customFormat="1" x14ac:dyDescent="0.25">
      <c r="A206" s="21" t="s">
        <v>450</v>
      </c>
      <c r="B206" s="246" t="s">
        <v>152</v>
      </c>
      <c r="C206" s="246"/>
      <c r="D206" s="246"/>
      <c r="E206" s="67" t="s">
        <v>321</v>
      </c>
      <c r="F206" s="202" t="s">
        <v>31</v>
      </c>
      <c r="G206" s="55">
        <v>18325</v>
      </c>
      <c r="H206" s="262">
        <f t="shared" ref="H206:Q206" si="17">G206</f>
        <v>18325</v>
      </c>
      <c r="I206" s="262">
        <f t="shared" si="17"/>
        <v>18325</v>
      </c>
      <c r="J206" s="262">
        <f t="shared" si="17"/>
        <v>18325</v>
      </c>
      <c r="K206" s="262">
        <f t="shared" si="17"/>
        <v>18325</v>
      </c>
      <c r="L206" s="262">
        <f t="shared" si="17"/>
        <v>18325</v>
      </c>
      <c r="M206" s="262">
        <f t="shared" si="17"/>
        <v>18325</v>
      </c>
      <c r="N206" s="262">
        <f t="shared" si="17"/>
        <v>18325</v>
      </c>
      <c r="O206" s="262">
        <f t="shared" si="17"/>
        <v>18325</v>
      </c>
      <c r="P206" s="262">
        <f t="shared" si="17"/>
        <v>18325</v>
      </c>
      <c r="Q206" s="262">
        <f t="shared" si="17"/>
        <v>18325</v>
      </c>
      <c r="R206" s="5"/>
      <c r="S206" s="25"/>
      <c r="T206" s="5"/>
    </row>
    <row r="207" spans="1:20" s="3" customFormat="1" x14ac:dyDescent="0.25">
      <c r="A207" s="21" t="s">
        <v>450</v>
      </c>
      <c r="B207" s="246" t="s">
        <v>383</v>
      </c>
      <c r="C207" s="246"/>
      <c r="D207" s="246"/>
      <c r="E207" s="246" t="s">
        <v>97</v>
      </c>
      <c r="F207" s="202" t="s">
        <v>31</v>
      </c>
      <c r="G207" s="271"/>
      <c r="H207" s="271"/>
      <c r="I207" s="271"/>
      <c r="J207" s="271"/>
      <c r="K207" s="271"/>
      <c r="L207" s="271"/>
      <c r="M207" s="271"/>
      <c r="N207" s="271"/>
      <c r="O207" s="271"/>
      <c r="P207" s="271"/>
      <c r="Q207" s="271"/>
      <c r="R207" s="5"/>
      <c r="S207" s="25"/>
      <c r="T207" s="5"/>
    </row>
    <row r="208" spans="1:20" s="3" customFormat="1" x14ac:dyDescent="0.25">
      <c r="A208" s="21" t="s">
        <v>450</v>
      </c>
      <c r="B208" s="246" t="s">
        <v>446</v>
      </c>
      <c r="C208" s="246"/>
      <c r="D208" s="246"/>
      <c r="E208" s="67" t="s">
        <v>36</v>
      </c>
      <c r="F208" s="202" t="s">
        <v>31</v>
      </c>
      <c r="G208" s="55"/>
      <c r="H208" s="55"/>
      <c r="I208" s="55"/>
      <c r="J208" s="55"/>
      <c r="K208" s="55"/>
      <c r="L208" s="55"/>
      <c r="M208" s="55"/>
      <c r="N208" s="55"/>
      <c r="O208" s="55"/>
      <c r="P208" s="55"/>
      <c r="Q208" s="55"/>
      <c r="R208" s="5"/>
      <c r="S208" s="25"/>
      <c r="T208" s="5"/>
    </row>
    <row r="209" spans="1:20" s="3" customFormat="1" x14ac:dyDescent="0.25">
      <c r="A209" s="21" t="s">
        <v>450</v>
      </c>
      <c r="B209" s="246" t="s">
        <v>387</v>
      </c>
      <c r="C209" s="246"/>
      <c r="D209" s="246"/>
      <c r="E209" s="246"/>
      <c r="F209" s="202" t="s">
        <v>31</v>
      </c>
      <c r="G209" s="54"/>
      <c r="H209" s="54"/>
      <c r="I209" s="54"/>
      <c r="J209" s="54"/>
      <c r="K209" s="54"/>
      <c r="L209" s="54"/>
      <c r="M209" s="54"/>
      <c r="N209" s="54"/>
      <c r="O209" s="54"/>
      <c r="P209" s="54"/>
      <c r="Q209" s="54"/>
      <c r="R209" s="5"/>
      <c r="S209" s="25"/>
      <c r="T209" s="5"/>
    </row>
    <row r="210" spans="1:20" s="3" customFormat="1" x14ac:dyDescent="0.25">
      <c r="A210" s="21" t="s">
        <v>450</v>
      </c>
      <c r="B210" s="246" t="s">
        <v>369</v>
      </c>
      <c r="C210" s="246"/>
      <c r="D210" s="246"/>
      <c r="E210" s="246" t="s">
        <v>97</v>
      </c>
      <c r="F210" s="202" t="s">
        <v>31</v>
      </c>
      <c r="G210" s="271"/>
      <c r="H210" s="271"/>
      <c r="I210" s="271"/>
      <c r="J210" s="271"/>
      <c r="K210" s="271"/>
      <c r="L210" s="271"/>
      <c r="M210" s="271"/>
      <c r="N210" s="271"/>
      <c r="O210" s="271"/>
      <c r="P210" s="271"/>
      <c r="Q210" s="271"/>
      <c r="R210" s="5"/>
      <c r="S210" s="25"/>
      <c r="T210" s="5"/>
    </row>
    <row r="211" spans="1:20" s="3" customFormat="1" x14ac:dyDescent="0.25">
      <c r="A211" s="21" t="s">
        <v>450</v>
      </c>
      <c r="B211" s="246" t="s">
        <v>392</v>
      </c>
      <c r="C211" s="246"/>
      <c r="D211" s="246"/>
      <c r="E211" s="246" t="s">
        <v>321</v>
      </c>
      <c r="F211" s="202" t="s">
        <v>31</v>
      </c>
      <c r="G211" s="55"/>
      <c r="H211" s="55"/>
      <c r="I211" s="55"/>
      <c r="J211" s="55"/>
      <c r="K211" s="55"/>
      <c r="L211" s="55"/>
      <c r="M211" s="55"/>
      <c r="N211" s="55"/>
      <c r="O211" s="55"/>
      <c r="P211" s="55"/>
      <c r="Q211" s="55"/>
      <c r="R211" s="5"/>
      <c r="S211" s="25"/>
      <c r="T211" s="5"/>
    </row>
    <row r="212" spans="1:20" s="3" customFormat="1" x14ac:dyDescent="0.25">
      <c r="A212" s="21" t="s">
        <v>450</v>
      </c>
      <c r="B212" s="246" t="s">
        <v>394</v>
      </c>
      <c r="C212" s="246"/>
      <c r="D212" s="246"/>
      <c r="E212" s="246" t="s">
        <v>321</v>
      </c>
      <c r="F212" s="202" t="s">
        <v>31</v>
      </c>
      <c r="G212" s="55"/>
      <c r="H212" s="55"/>
      <c r="I212" s="55"/>
      <c r="J212" s="55"/>
      <c r="K212" s="55"/>
      <c r="L212" s="55"/>
      <c r="M212" s="55"/>
      <c r="N212" s="55"/>
      <c r="O212" s="55"/>
      <c r="P212" s="55"/>
      <c r="Q212" s="55"/>
      <c r="R212" s="5"/>
      <c r="S212" s="25"/>
      <c r="T212" s="5"/>
    </row>
    <row r="213" spans="1:20" s="3" customFormat="1" x14ac:dyDescent="0.25">
      <c r="A213" s="21" t="s">
        <v>450</v>
      </c>
      <c r="B213" s="246" t="s">
        <v>395</v>
      </c>
      <c r="C213" s="246"/>
      <c r="D213" s="246"/>
      <c r="E213" s="246"/>
      <c r="F213" s="202" t="s">
        <v>31</v>
      </c>
      <c r="G213" s="54"/>
      <c r="H213" s="54"/>
      <c r="I213" s="54"/>
      <c r="J213" s="54"/>
      <c r="K213" s="54"/>
      <c r="L213" s="54"/>
      <c r="M213" s="54"/>
      <c r="N213" s="54"/>
      <c r="O213" s="54"/>
      <c r="P213" s="54"/>
      <c r="Q213" s="54"/>
      <c r="R213" s="5"/>
      <c r="S213" s="25"/>
      <c r="T213" s="5"/>
    </row>
    <row r="214" spans="1:20" s="3" customFormat="1" x14ac:dyDescent="0.25">
      <c r="A214" s="21" t="s">
        <v>450</v>
      </c>
      <c r="B214" s="246" t="s">
        <v>396</v>
      </c>
      <c r="C214" s="246"/>
      <c r="D214" s="246"/>
      <c r="E214" s="246"/>
      <c r="F214" s="202" t="s">
        <v>31</v>
      </c>
      <c r="G214" s="54"/>
      <c r="H214" s="54"/>
      <c r="I214" s="54"/>
      <c r="J214" s="54"/>
      <c r="K214" s="54"/>
      <c r="L214" s="54"/>
      <c r="M214" s="54"/>
      <c r="N214" s="54"/>
      <c r="O214" s="54"/>
      <c r="P214" s="54"/>
      <c r="Q214" s="54"/>
      <c r="R214" s="5"/>
      <c r="S214" s="25"/>
      <c r="T214" s="5"/>
    </row>
    <row r="215" spans="1:20" s="3" customFormat="1" x14ac:dyDescent="0.25">
      <c r="A215" s="21" t="s">
        <v>450</v>
      </c>
      <c r="B215" s="246" t="s">
        <v>393</v>
      </c>
      <c r="C215" s="246"/>
      <c r="D215" s="246"/>
      <c r="E215" s="67" t="s">
        <v>324</v>
      </c>
      <c r="F215" s="202" t="s">
        <v>31</v>
      </c>
      <c r="G215" s="55"/>
      <c r="H215" s="55"/>
      <c r="I215" s="55"/>
      <c r="J215" s="55"/>
      <c r="K215" s="55"/>
      <c r="L215" s="55"/>
      <c r="M215" s="55"/>
      <c r="N215" s="55"/>
      <c r="O215" s="55"/>
      <c r="P215" s="55"/>
      <c r="Q215" s="55"/>
      <c r="R215" s="5"/>
      <c r="S215" s="25"/>
      <c r="T215" s="5"/>
    </row>
    <row r="216" spans="1:20" s="3" customFormat="1" x14ac:dyDescent="0.25">
      <c r="A216" s="21" t="s">
        <v>450</v>
      </c>
      <c r="B216" s="246" t="s">
        <v>397</v>
      </c>
      <c r="C216" s="246"/>
      <c r="D216" s="246"/>
      <c r="E216" s="67" t="s">
        <v>324</v>
      </c>
      <c r="F216" s="202" t="s">
        <v>31</v>
      </c>
      <c r="G216" s="55"/>
      <c r="H216" s="55"/>
      <c r="I216" s="55"/>
      <c r="J216" s="55"/>
      <c r="K216" s="55"/>
      <c r="L216" s="55"/>
      <c r="M216" s="55"/>
      <c r="N216" s="55"/>
      <c r="O216" s="55"/>
      <c r="P216" s="55"/>
      <c r="Q216" s="55"/>
      <c r="R216" s="5"/>
      <c r="S216" s="25"/>
      <c r="T216" s="5"/>
    </row>
    <row r="217" spans="1:20" s="3" customFormat="1" x14ac:dyDescent="0.25">
      <c r="A217" s="21" t="s">
        <v>450</v>
      </c>
      <c r="B217" s="246" t="s">
        <v>398</v>
      </c>
      <c r="C217" s="246"/>
      <c r="D217" s="246"/>
      <c r="E217" s="246"/>
      <c r="F217" s="202" t="s">
        <v>31</v>
      </c>
      <c r="G217" s="54"/>
      <c r="H217" s="54"/>
      <c r="I217" s="54"/>
      <c r="J217" s="54"/>
      <c r="K217" s="54"/>
      <c r="L217" s="54"/>
      <c r="M217" s="54"/>
      <c r="N217" s="54"/>
      <c r="O217" s="54"/>
      <c r="P217" s="54"/>
      <c r="Q217" s="54"/>
      <c r="R217" s="5"/>
      <c r="S217" s="25"/>
      <c r="T217" s="5"/>
    </row>
    <row r="218" spans="1:20" s="3" customFormat="1" x14ac:dyDescent="0.25">
      <c r="A218" s="21" t="s">
        <v>450</v>
      </c>
      <c r="B218" s="246" t="s">
        <v>399</v>
      </c>
      <c r="C218" s="246"/>
      <c r="D218" s="246"/>
      <c r="E218" s="246"/>
      <c r="F218" s="202" t="s">
        <v>31</v>
      </c>
      <c r="G218" s="54"/>
      <c r="H218" s="54"/>
      <c r="I218" s="54"/>
      <c r="J218" s="54"/>
      <c r="K218" s="54"/>
      <c r="L218" s="54"/>
      <c r="M218" s="54"/>
      <c r="N218" s="54"/>
      <c r="O218" s="54"/>
      <c r="P218" s="54"/>
      <c r="Q218" s="54"/>
      <c r="R218" s="5"/>
      <c r="S218" s="25"/>
      <c r="T218" s="5"/>
    </row>
    <row r="219" spans="1:20" s="3" customFormat="1" x14ac:dyDescent="0.25">
      <c r="A219" s="21" t="s">
        <v>450</v>
      </c>
      <c r="B219" s="246" t="s">
        <v>310</v>
      </c>
      <c r="C219" s="246"/>
      <c r="D219" s="246"/>
      <c r="E219" s="67" t="s">
        <v>324</v>
      </c>
      <c r="F219" s="202" t="s">
        <v>31</v>
      </c>
      <c r="G219" s="55"/>
      <c r="H219" s="55"/>
      <c r="I219" s="55"/>
      <c r="J219" s="55"/>
      <c r="K219" s="55"/>
      <c r="L219" s="55"/>
      <c r="M219" s="55"/>
      <c r="N219" s="55"/>
      <c r="O219" s="55"/>
      <c r="P219" s="55"/>
      <c r="Q219" s="55"/>
      <c r="R219" s="5"/>
      <c r="S219" s="25"/>
      <c r="T219" s="5"/>
    </row>
    <row r="220" spans="1:20" s="3" customFormat="1" x14ac:dyDescent="0.25">
      <c r="A220" s="21" t="s">
        <v>450</v>
      </c>
      <c r="B220" s="246" t="s">
        <v>360</v>
      </c>
      <c r="C220" s="246"/>
      <c r="D220" s="246"/>
      <c r="E220" s="246" t="s">
        <v>321</v>
      </c>
      <c r="F220" s="202" t="s">
        <v>31</v>
      </c>
      <c r="G220" s="55"/>
      <c r="H220" s="55"/>
      <c r="I220" s="55"/>
      <c r="J220" s="55"/>
      <c r="K220" s="55"/>
      <c r="L220" s="55"/>
      <c r="M220" s="55"/>
      <c r="N220" s="55"/>
      <c r="O220" s="55"/>
      <c r="P220" s="55"/>
      <c r="Q220" s="55"/>
      <c r="R220" s="5"/>
      <c r="S220" s="25"/>
      <c r="T220" s="5"/>
    </row>
    <row r="221" spans="1:20" s="3" customFormat="1" x14ac:dyDescent="0.25">
      <c r="A221" s="21" t="s">
        <v>450</v>
      </c>
      <c r="B221" s="67" t="s">
        <v>306</v>
      </c>
      <c r="C221" s="25"/>
      <c r="D221" s="67" t="s">
        <v>464</v>
      </c>
      <c r="E221" s="67" t="s">
        <v>45</v>
      </c>
      <c r="F221" s="202" t="s">
        <v>31</v>
      </c>
      <c r="G221" s="54">
        <v>0.309</v>
      </c>
      <c r="H221" s="54">
        <f t="shared" ref="H221:Q221" si="18">G221</f>
        <v>0.309</v>
      </c>
      <c r="I221" s="54">
        <f t="shared" si="18"/>
        <v>0.309</v>
      </c>
      <c r="J221" s="54">
        <f t="shared" si="18"/>
        <v>0.309</v>
      </c>
      <c r="K221" s="54">
        <f t="shared" si="18"/>
        <v>0.309</v>
      </c>
      <c r="L221" s="54">
        <f t="shared" si="18"/>
        <v>0.309</v>
      </c>
      <c r="M221" s="54">
        <f t="shared" si="18"/>
        <v>0.309</v>
      </c>
      <c r="N221" s="54">
        <f t="shared" si="18"/>
        <v>0.309</v>
      </c>
      <c r="O221" s="54">
        <f t="shared" si="18"/>
        <v>0.309</v>
      </c>
      <c r="P221" s="54">
        <f t="shared" si="18"/>
        <v>0.309</v>
      </c>
      <c r="Q221" s="54">
        <f t="shared" si="18"/>
        <v>0.309</v>
      </c>
      <c r="R221" s="5"/>
      <c r="S221" s="25"/>
      <c r="T221" s="5"/>
    </row>
    <row r="222" spans="1:20" s="3" customFormat="1" x14ac:dyDescent="0.25">
      <c r="A222" s="21" t="s">
        <v>450</v>
      </c>
      <c r="B222" s="4"/>
      <c r="C222" s="13"/>
      <c r="D222" s="4"/>
      <c r="E222" s="4"/>
      <c r="F222" s="9"/>
      <c r="G222" s="4"/>
      <c r="H222" s="4"/>
      <c r="I222" s="4"/>
      <c r="J222" s="4"/>
      <c r="K222" s="4"/>
      <c r="L222" s="4"/>
      <c r="M222" s="4"/>
      <c r="N222" s="4"/>
      <c r="O222" s="4"/>
      <c r="P222" s="4"/>
      <c r="Q222" s="4"/>
      <c r="R222" s="5"/>
      <c r="S222" s="13"/>
      <c r="T222" s="5"/>
    </row>
    <row r="223" spans="1:20" s="3" customFormat="1" x14ac:dyDescent="0.25">
      <c r="A223" s="359" t="s">
        <v>70</v>
      </c>
      <c r="B223" s="4"/>
      <c r="C223" s="13"/>
      <c r="D223" s="4"/>
      <c r="E223" s="4"/>
      <c r="F223" s="9"/>
      <c r="G223" s="4"/>
      <c r="H223" s="4"/>
      <c r="I223" s="4"/>
      <c r="J223" s="4"/>
      <c r="K223" s="4"/>
      <c r="L223" s="4"/>
      <c r="M223" s="4"/>
      <c r="N223" s="4"/>
      <c r="O223" s="4"/>
      <c r="P223" s="4"/>
      <c r="Q223" s="4"/>
      <c r="R223" s="5"/>
      <c r="S223" s="13"/>
      <c r="T223" s="5"/>
    </row>
    <row r="224" spans="1:20" s="3" customFormat="1" x14ac:dyDescent="0.25">
      <c r="A224" s="21" t="s">
        <v>450</v>
      </c>
      <c r="B224" s="67" t="s">
        <v>305</v>
      </c>
      <c r="C224" s="25"/>
      <c r="D224" s="67" t="s">
        <v>479</v>
      </c>
      <c r="E224" s="67" t="s">
        <v>34</v>
      </c>
      <c r="F224" s="202" t="str">
        <f>A223</f>
        <v>Space heating</v>
      </c>
      <c r="G224" s="55"/>
      <c r="H224" s="55"/>
      <c r="I224" s="55"/>
      <c r="J224" s="55"/>
      <c r="K224" s="55"/>
      <c r="L224" s="55"/>
      <c r="M224" s="55"/>
      <c r="N224" s="55"/>
      <c r="O224" s="55"/>
      <c r="P224" s="55"/>
      <c r="Q224" s="55"/>
      <c r="R224" s="5"/>
      <c r="S224" s="25"/>
      <c r="T224" s="5"/>
    </row>
    <row r="225" spans="1:20" s="3" customFormat="1" x14ac:dyDescent="0.25">
      <c r="A225" s="21" t="s">
        <v>450</v>
      </c>
      <c r="B225" s="67" t="s">
        <v>47</v>
      </c>
      <c r="C225" s="25"/>
      <c r="D225" s="2"/>
      <c r="E225" s="2"/>
      <c r="F225" s="202" t="s">
        <v>21</v>
      </c>
      <c r="G225" s="4"/>
      <c r="H225" s="4"/>
      <c r="I225" s="4"/>
      <c r="J225" s="4"/>
      <c r="K225" s="4"/>
      <c r="L225" s="4"/>
      <c r="M225" s="4"/>
      <c r="N225" s="4"/>
      <c r="O225" s="4"/>
      <c r="P225" s="4"/>
      <c r="Q225" s="4"/>
      <c r="R225" s="5"/>
      <c r="S225" s="25"/>
      <c r="T225" s="5"/>
    </row>
    <row r="226" spans="1:20" s="3" customFormat="1" x14ac:dyDescent="0.25">
      <c r="A226" s="21" t="s">
        <v>450</v>
      </c>
      <c r="B226" s="67" t="s">
        <v>66</v>
      </c>
      <c r="C226" s="25"/>
      <c r="D226" s="2"/>
      <c r="E226" s="2"/>
      <c r="F226" s="202" t="s">
        <v>35</v>
      </c>
      <c r="G226" s="4">
        <v>10</v>
      </c>
      <c r="H226" s="209">
        <f t="shared" ref="H226:Q226" si="19">G226</f>
        <v>10</v>
      </c>
      <c r="I226" s="209">
        <f t="shared" si="19"/>
        <v>10</v>
      </c>
      <c r="J226" s="209">
        <f t="shared" si="19"/>
        <v>10</v>
      </c>
      <c r="K226" s="209">
        <f t="shared" si="19"/>
        <v>10</v>
      </c>
      <c r="L226" s="209">
        <f t="shared" si="19"/>
        <v>10</v>
      </c>
      <c r="M226" s="209">
        <f t="shared" si="19"/>
        <v>10</v>
      </c>
      <c r="N226" s="209">
        <f t="shared" si="19"/>
        <v>10</v>
      </c>
      <c r="O226" s="209">
        <f t="shared" si="19"/>
        <v>10</v>
      </c>
      <c r="P226" s="209">
        <f t="shared" si="19"/>
        <v>10</v>
      </c>
      <c r="Q226" s="209">
        <f t="shared" si="19"/>
        <v>10</v>
      </c>
      <c r="R226" s="5"/>
      <c r="S226" s="25"/>
      <c r="T226" s="5"/>
    </row>
    <row r="227" spans="1:20" s="3" customFormat="1" x14ac:dyDescent="0.25">
      <c r="A227" s="21" t="s">
        <v>450</v>
      </c>
      <c r="B227" s="67" t="s">
        <v>51</v>
      </c>
      <c r="C227" s="25"/>
      <c r="D227" s="2"/>
      <c r="E227" s="2"/>
      <c r="F227" s="202" t="s">
        <v>32</v>
      </c>
      <c r="G227" s="4"/>
      <c r="H227" s="4"/>
      <c r="I227" s="4"/>
      <c r="J227" s="4"/>
      <c r="K227" s="4"/>
      <c r="L227" s="4"/>
      <c r="M227" s="4"/>
      <c r="N227" s="4"/>
      <c r="O227" s="4"/>
      <c r="P227" s="4"/>
      <c r="Q227" s="4"/>
      <c r="R227" s="5"/>
      <c r="S227" s="25"/>
      <c r="T227" s="5"/>
    </row>
    <row r="228" spans="1:20" s="3" customFormat="1" x14ac:dyDescent="0.25">
      <c r="A228" s="21" t="s">
        <v>450</v>
      </c>
      <c r="B228" s="246" t="s">
        <v>38</v>
      </c>
      <c r="C228" s="246"/>
      <c r="D228" s="246"/>
      <c r="E228" s="246" t="s">
        <v>40</v>
      </c>
      <c r="F228" s="202" t="s">
        <v>32</v>
      </c>
      <c r="G228" s="277">
        <v>2000</v>
      </c>
      <c r="H228" s="278">
        <f t="shared" ref="H228:Q230" si="20">G228</f>
        <v>2000</v>
      </c>
      <c r="I228" s="278">
        <f t="shared" si="20"/>
        <v>2000</v>
      </c>
      <c r="J228" s="278">
        <f t="shared" si="20"/>
        <v>2000</v>
      </c>
      <c r="K228" s="278">
        <f t="shared" si="20"/>
        <v>2000</v>
      </c>
      <c r="L228" s="278">
        <f t="shared" si="20"/>
        <v>2000</v>
      </c>
      <c r="M228" s="278">
        <f t="shared" si="20"/>
        <v>2000</v>
      </c>
      <c r="N228" s="278">
        <f t="shared" si="20"/>
        <v>2000</v>
      </c>
      <c r="O228" s="278">
        <f t="shared" si="20"/>
        <v>2000</v>
      </c>
      <c r="P228" s="278">
        <f t="shared" si="20"/>
        <v>2000</v>
      </c>
      <c r="Q228" s="278">
        <f t="shared" si="20"/>
        <v>2000</v>
      </c>
      <c r="R228" s="5"/>
      <c r="S228" s="25"/>
      <c r="T228" s="5"/>
    </row>
    <row r="229" spans="1:20" s="3" customFormat="1" x14ac:dyDescent="0.25">
      <c r="A229" s="21" t="s">
        <v>450</v>
      </c>
      <c r="B229" s="246" t="s">
        <v>37</v>
      </c>
      <c r="C229" s="246"/>
      <c r="D229" s="246"/>
      <c r="E229" s="246" t="s">
        <v>40</v>
      </c>
      <c r="F229" s="202" t="s">
        <v>32</v>
      </c>
      <c r="G229" s="277">
        <v>2100</v>
      </c>
      <c r="H229" s="278">
        <f t="shared" si="20"/>
        <v>2100</v>
      </c>
      <c r="I229" s="278">
        <f t="shared" si="20"/>
        <v>2100</v>
      </c>
      <c r="J229" s="278">
        <f t="shared" si="20"/>
        <v>2100</v>
      </c>
      <c r="K229" s="278">
        <f t="shared" si="20"/>
        <v>2100</v>
      </c>
      <c r="L229" s="278">
        <f t="shared" si="20"/>
        <v>2100</v>
      </c>
      <c r="M229" s="278">
        <f t="shared" si="20"/>
        <v>2100</v>
      </c>
      <c r="N229" s="278">
        <f t="shared" si="20"/>
        <v>2100</v>
      </c>
      <c r="O229" s="278">
        <f t="shared" si="20"/>
        <v>2100</v>
      </c>
      <c r="P229" s="278">
        <f t="shared" si="20"/>
        <v>2100</v>
      </c>
      <c r="Q229" s="278">
        <f t="shared" si="20"/>
        <v>2100</v>
      </c>
      <c r="R229" s="5"/>
      <c r="S229" s="25"/>
      <c r="T229" s="5"/>
    </row>
    <row r="230" spans="1:20" s="3" customFormat="1" x14ac:dyDescent="0.25">
      <c r="A230" s="21" t="s">
        <v>450</v>
      </c>
      <c r="B230" s="246" t="s">
        <v>39</v>
      </c>
      <c r="C230" s="246"/>
      <c r="D230" s="246"/>
      <c r="E230" s="246" t="s">
        <v>10</v>
      </c>
      <c r="F230" s="202" t="s">
        <v>32</v>
      </c>
      <c r="G230" s="55">
        <v>25</v>
      </c>
      <c r="H230" s="229">
        <f t="shared" si="20"/>
        <v>25</v>
      </c>
      <c r="I230" s="229">
        <f t="shared" si="20"/>
        <v>25</v>
      </c>
      <c r="J230" s="229">
        <f t="shared" si="20"/>
        <v>25</v>
      </c>
      <c r="K230" s="229">
        <f t="shared" si="20"/>
        <v>25</v>
      </c>
      <c r="L230" s="229">
        <f t="shared" si="20"/>
        <v>25</v>
      </c>
      <c r="M230" s="229">
        <f t="shared" si="20"/>
        <v>25</v>
      </c>
      <c r="N230" s="229">
        <f t="shared" si="20"/>
        <v>25</v>
      </c>
      <c r="O230" s="229">
        <f t="shared" si="20"/>
        <v>25</v>
      </c>
      <c r="P230" s="229">
        <f t="shared" si="20"/>
        <v>25</v>
      </c>
      <c r="Q230" s="229">
        <f t="shared" si="20"/>
        <v>25</v>
      </c>
      <c r="R230" s="5"/>
      <c r="S230" s="25"/>
      <c r="T230" s="5"/>
    </row>
    <row r="231" spans="1:20" s="3" customFormat="1" x14ac:dyDescent="0.25">
      <c r="A231" s="21" t="s">
        <v>450</v>
      </c>
      <c r="B231" s="246" t="s">
        <v>361</v>
      </c>
      <c r="C231" s="246"/>
      <c r="D231" s="246"/>
      <c r="E231" s="246" t="s">
        <v>10</v>
      </c>
      <c r="F231" s="202" t="s">
        <v>32</v>
      </c>
      <c r="G231" s="55"/>
      <c r="H231" s="55"/>
      <c r="I231" s="55"/>
      <c r="J231" s="55"/>
      <c r="K231" s="55"/>
      <c r="L231" s="55"/>
      <c r="M231" s="55"/>
      <c r="N231" s="55"/>
      <c r="O231" s="55"/>
      <c r="P231" s="55"/>
      <c r="Q231" s="55"/>
      <c r="R231" s="5"/>
      <c r="S231" s="25"/>
      <c r="T231" s="5"/>
    </row>
    <row r="232" spans="1:20" s="3" customFormat="1" x14ac:dyDescent="0.25">
      <c r="A232" s="21" t="s">
        <v>450</v>
      </c>
      <c r="B232" s="246" t="s">
        <v>309</v>
      </c>
      <c r="C232" s="246"/>
      <c r="D232" s="246"/>
      <c r="E232" s="246" t="s">
        <v>97</v>
      </c>
      <c r="F232" s="202" t="s">
        <v>32</v>
      </c>
      <c r="G232" s="271">
        <v>0.25</v>
      </c>
      <c r="H232" s="272">
        <f t="shared" ref="H232:Q232" si="21">G232</f>
        <v>0.25</v>
      </c>
      <c r="I232" s="272">
        <f t="shared" si="21"/>
        <v>0.25</v>
      </c>
      <c r="J232" s="272">
        <f t="shared" si="21"/>
        <v>0.25</v>
      </c>
      <c r="K232" s="272">
        <f t="shared" si="21"/>
        <v>0.25</v>
      </c>
      <c r="L232" s="272">
        <f t="shared" si="21"/>
        <v>0.25</v>
      </c>
      <c r="M232" s="272">
        <f t="shared" si="21"/>
        <v>0.25</v>
      </c>
      <c r="N232" s="272">
        <f t="shared" si="21"/>
        <v>0.25</v>
      </c>
      <c r="O232" s="272">
        <f t="shared" si="21"/>
        <v>0.25</v>
      </c>
      <c r="P232" s="272">
        <f t="shared" si="21"/>
        <v>0.25</v>
      </c>
      <c r="Q232" s="272">
        <f t="shared" si="21"/>
        <v>0.25</v>
      </c>
      <c r="R232" s="5"/>
      <c r="S232" s="25"/>
      <c r="T232" s="5"/>
    </row>
    <row r="233" spans="1:20" s="3" customFormat="1" x14ac:dyDescent="0.25">
      <c r="A233" s="21" t="s">
        <v>450</v>
      </c>
      <c r="B233" s="246" t="s">
        <v>358</v>
      </c>
      <c r="C233" s="246"/>
      <c r="D233" s="246"/>
      <c r="E233" s="246" t="s">
        <v>97</v>
      </c>
      <c r="F233" s="202" t="s">
        <v>32</v>
      </c>
      <c r="G233" s="271"/>
      <c r="H233" s="271"/>
      <c r="I233" s="271"/>
      <c r="J233" s="271"/>
      <c r="K233" s="271"/>
      <c r="L233" s="271"/>
      <c r="M233" s="271"/>
      <c r="N233" s="271"/>
      <c r="O233" s="271"/>
      <c r="P233" s="271"/>
      <c r="Q233" s="271"/>
      <c r="R233" s="5"/>
      <c r="S233" s="25"/>
      <c r="T233" s="5"/>
    </row>
    <row r="234" spans="1:20" s="3" customFormat="1" x14ac:dyDescent="0.25">
      <c r="A234" s="21" t="s">
        <v>450</v>
      </c>
      <c r="B234" s="246" t="s">
        <v>357</v>
      </c>
      <c r="C234" s="246"/>
      <c r="D234" s="246"/>
      <c r="E234" s="246" t="s">
        <v>97</v>
      </c>
      <c r="F234" s="202" t="s">
        <v>32</v>
      </c>
      <c r="G234" s="271"/>
      <c r="H234" s="271"/>
      <c r="I234" s="271"/>
      <c r="J234" s="271"/>
      <c r="K234" s="271"/>
      <c r="L234" s="271"/>
      <c r="M234" s="271"/>
      <c r="N234" s="271"/>
      <c r="O234" s="271"/>
      <c r="P234" s="271"/>
      <c r="Q234" s="271"/>
      <c r="R234" s="5"/>
      <c r="S234" s="25"/>
      <c r="T234" s="5"/>
    </row>
    <row r="235" spans="1:20" s="3" customFormat="1" x14ac:dyDescent="0.25">
      <c r="A235" s="21" t="s">
        <v>450</v>
      </c>
      <c r="B235" s="246" t="s">
        <v>75</v>
      </c>
      <c r="C235" s="246"/>
      <c r="D235" s="246"/>
      <c r="E235" s="246" t="s">
        <v>97</v>
      </c>
      <c r="F235" s="202" t="s">
        <v>32</v>
      </c>
      <c r="G235" s="271">
        <v>6.0000000000000001E-3</v>
      </c>
      <c r="H235" s="271"/>
      <c r="I235" s="271"/>
      <c r="J235" s="271"/>
      <c r="K235" s="271"/>
      <c r="L235" s="271"/>
      <c r="M235" s="271"/>
      <c r="N235" s="271"/>
      <c r="O235" s="271"/>
      <c r="P235" s="271"/>
      <c r="Q235" s="271"/>
      <c r="R235" s="5"/>
      <c r="S235" s="25"/>
      <c r="T235" s="5"/>
    </row>
    <row r="236" spans="1:20" s="3" customFormat="1" x14ac:dyDescent="0.25">
      <c r="A236" s="21" t="s">
        <v>450</v>
      </c>
      <c r="B236" s="68" t="s">
        <v>148</v>
      </c>
      <c r="C236" s="68"/>
      <c r="D236" s="251"/>
      <c r="E236" s="68" t="s">
        <v>97</v>
      </c>
      <c r="F236" s="202" t="s">
        <v>32</v>
      </c>
      <c r="G236" s="271"/>
      <c r="H236" s="271"/>
      <c r="I236" s="271"/>
      <c r="J236" s="271"/>
      <c r="K236" s="271"/>
      <c r="L236" s="271"/>
      <c r="M236" s="271"/>
      <c r="N236" s="271"/>
      <c r="O236" s="271"/>
      <c r="P236" s="271"/>
      <c r="Q236" s="271"/>
      <c r="R236" s="5"/>
      <c r="S236" s="25"/>
      <c r="T236" s="5"/>
    </row>
    <row r="237" spans="1:20" s="3" customFormat="1" x14ac:dyDescent="0.25">
      <c r="A237" s="21" t="s">
        <v>450</v>
      </c>
      <c r="B237" s="68" t="s">
        <v>149</v>
      </c>
      <c r="C237" s="68"/>
      <c r="D237" s="251"/>
      <c r="E237" s="68" t="s">
        <v>97</v>
      </c>
      <c r="F237" s="202" t="s">
        <v>32</v>
      </c>
      <c r="G237" s="271"/>
      <c r="H237" s="271"/>
      <c r="I237" s="271"/>
      <c r="J237" s="271"/>
      <c r="K237" s="271"/>
      <c r="L237" s="271"/>
      <c r="M237" s="271"/>
      <c r="N237" s="271"/>
      <c r="O237" s="271"/>
      <c r="P237" s="271"/>
      <c r="Q237" s="271"/>
      <c r="R237" s="5"/>
      <c r="S237" s="25"/>
      <c r="T237" s="5"/>
    </row>
    <row r="238" spans="1:20" s="3" customFormat="1" x14ac:dyDescent="0.25">
      <c r="A238" s="21" t="s">
        <v>450</v>
      </c>
      <c r="B238" s="68" t="s">
        <v>370</v>
      </c>
      <c r="C238" s="68"/>
      <c r="D238" s="251"/>
      <c r="E238" s="68" t="s">
        <v>97</v>
      </c>
      <c r="F238" s="202" t="s">
        <v>32</v>
      </c>
      <c r="G238" s="271"/>
      <c r="H238" s="271"/>
      <c r="I238" s="271"/>
      <c r="J238" s="271"/>
      <c r="K238" s="271"/>
      <c r="L238" s="271"/>
      <c r="M238" s="271"/>
      <c r="N238" s="271"/>
      <c r="O238" s="271"/>
      <c r="P238" s="271"/>
      <c r="Q238" s="271"/>
      <c r="R238" s="5"/>
      <c r="S238" s="25"/>
      <c r="T238" s="5"/>
    </row>
    <row r="239" spans="1:20" s="3" customFormat="1" x14ac:dyDescent="0.25">
      <c r="A239" s="21" t="s">
        <v>450</v>
      </c>
      <c r="B239" s="68" t="s">
        <v>371</v>
      </c>
      <c r="C239" s="68"/>
      <c r="D239" s="251"/>
      <c r="E239" s="68" t="s">
        <v>97</v>
      </c>
      <c r="F239" s="202" t="s">
        <v>32</v>
      </c>
      <c r="G239" s="271"/>
      <c r="H239" s="271"/>
      <c r="I239" s="271"/>
      <c r="J239" s="271"/>
      <c r="K239" s="271"/>
      <c r="L239" s="271"/>
      <c r="M239" s="271"/>
      <c r="N239" s="271"/>
      <c r="O239" s="271"/>
      <c r="P239" s="271"/>
      <c r="Q239" s="271"/>
      <c r="R239" s="5"/>
      <c r="S239" s="25"/>
      <c r="T239" s="5"/>
    </row>
    <row r="240" spans="1:20" s="3" customFormat="1" x14ac:dyDescent="0.25">
      <c r="A240" s="21" t="s">
        <v>450</v>
      </c>
      <c r="B240" s="246" t="s">
        <v>338</v>
      </c>
      <c r="C240" s="246"/>
      <c r="D240" s="246"/>
      <c r="E240" s="246" t="s">
        <v>34</v>
      </c>
      <c r="F240" s="202" t="s">
        <v>32</v>
      </c>
      <c r="G240" s="55"/>
      <c r="H240" s="55"/>
      <c r="I240" s="55"/>
      <c r="J240" s="55"/>
      <c r="K240" s="55"/>
      <c r="L240" s="55"/>
      <c r="M240" s="55"/>
      <c r="N240" s="55"/>
      <c r="O240" s="55"/>
      <c r="P240" s="55"/>
      <c r="Q240" s="55"/>
      <c r="R240" s="5"/>
      <c r="S240" s="25"/>
      <c r="T240" s="5"/>
    </row>
    <row r="241" spans="1:20" s="3" customFormat="1" x14ac:dyDescent="0.25">
      <c r="A241" s="21" t="s">
        <v>450</v>
      </c>
      <c r="B241" s="246" t="s">
        <v>152</v>
      </c>
      <c r="C241" s="246"/>
      <c r="D241" s="246"/>
      <c r="E241" s="246" t="s">
        <v>321</v>
      </c>
      <c r="F241" s="202" t="s">
        <v>32</v>
      </c>
      <c r="G241" s="55">
        <v>2655</v>
      </c>
      <c r="H241" s="262">
        <f t="shared" ref="H241:Q241" si="22">G241</f>
        <v>2655</v>
      </c>
      <c r="I241" s="262">
        <f t="shared" si="22"/>
        <v>2655</v>
      </c>
      <c r="J241" s="262">
        <f t="shared" si="22"/>
        <v>2655</v>
      </c>
      <c r="K241" s="262">
        <f t="shared" si="22"/>
        <v>2655</v>
      </c>
      <c r="L241" s="262">
        <f t="shared" si="22"/>
        <v>2655</v>
      </c>
      <c r="M241" s="262">
        <f t="shared" si="22"/>
        <v>2655</v>
      </c>
      <c r="N241" s="262">
        <f t="shared" si="22"/>
        <v>2655</v>
      </c>
      <c r="O241" s="262">
        <f t="shared" si="22"/>
        <v>2655</v>
      </c>
      <c r="P241" s="262">
        <f t="shared" si="22"/>
        <v>2655</v>
      </c>
      <c r="Q241" s="262">
        <f t="shared" si="22"/>
        <v>2655</v>
      </c>
      <c r="R241" s="5"/>
      <c r="S241" s="25"/>
      <c r="T241" s="5"/>
    </row>
    <row r="242" spans="1:20" s="3" customFormat="1" x14ac:dyDescent="0.25">
      <c r="A242" s="21" t="s">
        <v>450</v>
      </c>
      <c r="B242" s="246" t="s">
        <v>383</v>
      </c>
      <c r="C242" s="246"/>
      <c r="D242" s="246"/>
      <c r="E242" s="246" t="s">
        <v>97</v>
      </c>
      <c r="F242" s="202" t="s">
        <v>32</v>
      </c>
      <c r="G242" s="271"/>
      <c r="H242" s="271"/>
      <c r="I242" s="271"/>
      <c r="J242" s="271"/>
      <c r="K242" s="271"/>
      <c r="L242" s="271"/>
      <c r="M242" s="271"/>
      <c r="N242" s="271"/>
      <c r="O242" s="271"/>
      <c r="P242" s="271"/>
      <c r="Q242" s="271"/>
      <c r="R242" s="5"/>
      <c r="S242" s="25"/>
      <c r="T242" s="5"/>
    </row>
    <row r="243" spans="1:20" s="3" customFormat="1" x14ac:dyDescent="0.25">
      <c r="A243" s="21" t="s">
        <v>450</v>
      </c>
      <c r="B243" s="246" t="s">
        <v>446</v>
      </c>
      <c r="C243" s="246"/>
      <c r="D243" s="246"/>
      <c r="E243" s="246" t="s">
        <v>34</v>
      </c>
      <c r="F243" s="202" t="s">
        <v>32</v>
      </c>
      <c r="G243" s="55"/>
      <c r="H243" s="55"/>
      <c r="I243" s="55"/>
      <c r="J243" s="55"/>
      <c r="K243" s="55"/>
      <c r="L243" s="55"/>
      <c r="M243" s="55"/>
      <c r="N243" s="55"/>
      <c r="O243" s="55"/>
      <c r="P243" s="55"/>
      <c r="Q243" s="55"/>
      <c r="R243" s="5"/>
      <c r="S243" s="25"/>
      <c r="T243" s="5"/>
    </row>
    <row r="244" spans="1:20" s="3" customFormat="1" x14ac:dyDescent="0.25">
      <c r="A244" s="21" t="s">
        <v>450</v>
      </c>
      <c r="B244" s="246" t="s">
        <v>387</v>
      </c>
      <c r="C244" s="246"/>
      <c r="D244" s="246"/>
      <c r="E244" s="246"/>
      <c r="F244" s="202" t="s">
        <v>32</v>
      </c>
      <c r="G244" s="54"/>
      <c r="H244" s="54"/>
      <c r="I244" s="54"/>
      <c r="J244" s="54"/>
      <c r="K244" s="54"/>
      <c r="L244" s="54"/>
      <c r="M244" s="54"/>
      <c r="N244" s="54"/>
      <c r="O244" s="54"/>
      <c r="P244" s="54"/>
      <c r="Q244" s="54"/>
      <c r="R244" s="5"/>
      <c r="S244" s="25"/>
      <c r="T244" s="5"/>
    </row>
    <row r="245" spans="1:20" s="3" customFormat="1" x14ac:dyDescent="0.25">
      <c r="A245" s="21" t="s">
        <v>450</v>
      </c>
      <c r="B245" s="246" t="s">
        <v>369</v>
      </c>
      <c r="C245" s="246"/>
      <c r="D245" s="246"/>
      <c r="E245" s="246" t="s">
        <v>97</v>
      </c>
      <c r="F245" s="202" t="s">
        <v>32</v>
      </c>
      <c r="G245" s="271"/>
      <c r="H245" s="271"/>
      <c r="I245" s="271"/>
      <c r="J245" s="271"/>
      <c r="K245" s="271"/>
      <c r="L245" s="271"/>
      <c r="M245" s="271"/>
      <c r="N245" s="271"/>
      <c r="O245" s="271"/>
      <c r="P245" s="271"/>
      <c r="Q245" s="271"/>
      <c r="R245" s="5"/>
      <c r="S245" s="25"/>
      <c r="T245" s="5"/>
    </row>
    <row r="246" spans="1:20" s="3" customFormat="1" x14ac:dyDescent="0.25">
      <c r="A246" s="21" t="s">
        <v>450</v>
      </c>
      <c r="B246" s="246" t="s">
        <v>392</v>
      </c>
      <c r="C246" s="246"/>
      <c r="D246" s="246"/>
      <c r="E246" s="246" t="s">
        <v>321</v>
      </c>
      <c r="F246" s="202" t="s">
        <v>32</v>
      </c>
      <c r="G246" s="55"/>
      <c r="H246" s="55"/>
      <c r="I246" s="55"/>
      <c r="J246" s="55"/>
      <c r="K246" s="55"/>
      <c r="L246" s="55"/>
      <c r="M246" s="55"/>
      <c r="N246" s="55"/>
      <c r="O246" s="55"/>
      <c r="P246" s="55"/>
      <c r="Q246" s="55"/>
      <c r="R246" s="5"/>
      <c r="S246" s="25"/>
      <c r="T246" s="5"/>
    </row>
    <row r="247" spans="1:20" s="3" customFormat="1" x14ac:dyDescent="0.25">
      <c r="A247" s="21" t="s">
        <v>450</v>
      </c>
      <c r="B247" s="246" t="s">
        <v>394</v>
      </c>
      <c r="C247" s="246"/>
      <c r="D247" s="246"/>
      <c r="E247" s="246" t="s">
        <v>321</v>
      </c>
      <c r="F247" s="202" t="s">
        <v>32</v>
      </c>
      <c r="G247" s="55"/>
      <c r="H247" s="55"/>
      <c r="I247" s="55"/>
      <c r="J247" s="55"/>
      <c r="K247" s="55"/>
      <c r="L247" s="55"/>
      <c r="M247" s="55"/>
      <c r="N247" s="55"/>
      <c r="O247" s="55"/>
      <c r="P247" s="55"/>
      <c r="Q247" s="55"/>
      <c r="R247" s="5"/>
      <c r="S247" s="25"/>
      <c r="T247" s="5"/>
    </row>
    <row r="248" spans="1:20" s="3" customFormat="1" x14ac:dyDescent="0.25">
      <c r="A248" s="21" t="s">
        <v>450</v>
      </c>
      <c r="B248" s="246" t="s">
        <v>395</v>
      </c>
      <c r="C248" s="246"/>
      <c r="D248" s="246"/>
      <c r="E248" s="246"/>
      <c r="F248" s="202" t="s">
        <v>32</v>
      </c>
      <c r="G248" s="54"/>
      <c r="H248" s="54"/>
      <c r="I248" s="54"/>
      <c r="J248" s="54"/>
      <c r="K248" s="54"/>
      <c r="L248" s="54"/>
      <c r="M248" s="54"/>
      <c r="N248" s="54"/>
      <c r="O248" s="54"/>
      <c r="P248" s="54"/>
      <c r="Q248" s="54"/>
      <c r="R248" s="5"/>
      <c r="S248" s="25"/>
      <c r="T248" s="5"/>
    </row>
    <row r="249" spans="1:20" s="3" customFormat="1" x14ac:dyDescent="0.25">
      <c r="A249" s="21" t="s">
        <v>450</v>
      </c>
      <c r="B249" s="246" t="s">
        <v>396</v>
      </c>
      <c r="C249" s="246"/>
      <c r="D249" s="246"/>
      <c r="E249" s="246"/>
      <c r="F249" s="202" t="s">
        <v>32</v>
      </c>
      <c r="G249" s="54"/>
      <c r="H249" s="54"/>
      <c r="I249" s="54"/>
      <c r="J249" s="54"/>
      <c r="K249" s="54"/>
      <c r="L249" s="54"/>
      <c r="M249" s="54"/>
      <c r="N249" s="54"/>
      <c r="O249" s="54"/>
      <c r="P249" s="54"/>
      <c r="Q249" s="54"/>
      <c r="R249" s="5"/>
      <c r="S249" s="25"/>
      <c r="T249" s="5"/>
    </row>
    <row r="250" spans="1:20" s="3" customFormat="1" x14ac:dyDescent="0.25">
      <c r="A250" s="21" t="s">
        <v>450</v>
      </c>
      <c r="B250" s="246" t="s">
        <v>393</v>
      </c>
      <c r="C250" s="246"/>
      <c r="D250" s="246"/>
      <c r="E250" s="246" t="s">
        <v>322</v>
      </c>
      <c r="F250" s="202" t="s">
        <v>32</v>
      </c>
      <c r="G250" s="55"/>
      <c r="H250" s="55"/>
      <c r="I250" s="55"/>
      <c r="J250" s="55"/>
      <c r="K250" s="55"/>
      <c r="L250" s="55"/>
      <c r="M250" s="55"/>
      <c r="N250" s="55"/>
      <c r="O250" s="55"/>
      <c r="P250" s="55"/>
      <c r="Q250" s="55"/>
      <c r="R250" s="5"/>
      <c r="S250" s="25"/>
      <c r="T250" s="5"/>
    </row>
    <row r="251" spans="1:20" s="3" customFormat="1" x14ac:dyDescent="0.25">
      <c r="A251" s="21" t="s">
        <v>450</v>
      </c>
      <c r="B251" s="246" t="s">
        <v>397</v>
      </c>
      <c r="C251" s="246"/>
      <c r="D251" s="246"/>
      <c r="E251" s="246" t="s">
        <v>322</v>
      </c>
      <c r="F251" s="202" t="s">
        <v>32</v>
      </c>
      <c r="G251" s="55"/>
      <c r="H251" s="55"/>
      <c r="I251" s="55"/>
      <c r="J251" s="55"/>
      <c r="K251" s="55"/>
      <c r="L251" s="55"/>
      <c r="M251" s="55"/>
      <c r="N251" s="55"/>
      <c r="O251" s="55"/>
      <c r="P251" s="55"/>
      <c r="Q251" s="55"/>
      <c r="R251" s="5"/>
      <c r="S251" s="25"/>
      <c r="T251" s="5"/>
    </row>
    <row r="252" spans="1:20" s="3" customFormat="1" x14ac:dyDescent="0.25">
      <c r="A252" s="21" t="s">
        <v>450</v>
      </c>
      <c r="B252" s="246" t="s">
        <v>398</v>
      </c>
      <c r="C252" s="246"/>
      <c r="D252" s="246"/>
      <c r="E252" s="246"/>
      <c r="F252" s="202" t="s">
        <v>32</v>
      </c>
      <c r="G252" s="54"/>
      <c r="H252" s="54"/>
      <c r="I252" s="54"/>
      <c r="J252" s="54"/>
      <c r="K252" s="54"/>
      <c r="L252" s="54"/>
      <c r="M252" s="54"/>
      <c r="N252" s="54"/>
      <c r="O252" s="54"/>
      <c r="P252" s="54"/>
      <c r="Q252" s="54"/>
      <c r="R252" s="5"/>
      <c r="S252" s="25"/>
      <c r="T252" s="5"/>
    </row>
    <row r="253" spans="1:20" s="3" customFormat="1" x14ac:dyDescent="0.25">
      <c r="A253" s="21" t="s">
        <v>450</v>
      </c>
      <c r="B253" s="246" t="s">
        <v>399</v>
      </c>
      <c r="C253" s="246"/>
      <c r="D253" s="246"/>
      <c r="E253" s="246"/>
      <c r="F253" s="202" t="s">
        <v>32</v>
      </c>
      <c r="G253" s="54"/>
      <c r="H253" s="54"/>
      <c r="I253" s="54"/>
      <c r="J253" s="54"/>
      <c r="K253" s="54"/>
      <c r="L253" s="54"/>
      <c r="M253" s="54"/>
      <c r="N253" s="54"/>
      <c r="O253" s="54"/>
      <c r="P253" s="54"/>
      <c r="Q253" s="54"/>
      <c r="R253" s="5"/>
      <c r="S253" s="25"/>
      <c r="T253" s="5"/>
    </row>
    <row r="254" spans="1:20" s="3" customFormat="1" x14ac:dyDescent="0.25">
      <c r="A254" s="21" t="s">
        <v>450</v>
      </c>
      <c r="B254" s="246" t="s">
        <v>310</v>
      </c>
      <c r="C254" s="246"/>
      <c r="D254" s="246"/>
      <c r="E254" s="246" t="s">
        <v>322</v>
      </c>
      <c r="F254" s="202" t="s">
        <v>32</v>
      </c>
      <c r="G254" s="55"/>
      <c r="H254" s="55"/>
      <c r="I254" s="55"/>
      <c r="J254" s="55"/>
      <c r="K254" s="55"/>
      <c r="L254" s="55"/>
      <c r="M254" s="55"/>
      <c r="N254" s="55"/>
      <c r="O254" s="55"/>
      <c r="P254" s="55"/>
      <c r="Q254" s="55"/>
      <c r="R254" s="5"/>
      <c r="S254" s="25"/>
      <c r="T254" s="5"/>
    </row>
    <row r="255" spans="1:20" s="3" customFormat="1" x14ac:dyDescent="0.25">
      <c r="A255" s="21" t="s">
        <v>450</v>
      </c>
      <c r="B255" s="246" t="s">
        <v>360</v>
      </c>
      <c r="C255" s="246"/>
      <c r="D255" s="246"/>
      <c r="E255" s="246" t="s">
        <v>321</v>
      </c>
      <c r="F255" s="202" t="s">
        <v>32</v>
      </c>
      <c r="G255" s="55"/>
      <c r="H255" s="55"/>
      <c r="I255" s="55"/>
      <c r="J255" s="55"/>
      <c r="K255" s="55"/>
      <c r="L255" s="55"/>
      <c r="M255" s="55"/>
      <c r="N255" s="55"/>
      <c r="O255" s="55"/>
      <c r="P255" s="55"/>
      <c r="Q255" s="55"/>
      <c r="R255" s="5"/>
      <c r="S255" s="25"/>
      <c r="T255" s="5"/>
    </row>
    <row r="256" spans="1:20" s="3" customFormat="1" x14ac:dyDescent="0.25">
      <c r="A256" s="21" t="s">
        <v>450</v>
      </c>
      <c r="B256" s="67" t="s">
        <v>306</v>
      </c>
      <c r="C256" s="25"/>
      <c r="D256" s="67" t="s">
        <v>469</v>
      </c>
      <c r="E256" s="67" t="s">
        <v>334</v>
      </c>
      <c r="F256" s="202" t="s">
        <v>32</v>
      </c>
      <c r="G256" s="54">
        <v>1</v>
      </c>
      <c r="H256" s="54">
        <f t="shared" ref="H256:Q256" si="23">G256</f>
        <v>1</v>
      </c>
      <c r="I256" s="54">
        <f t="shared" si="23"/>
        <v>1</v>
      </c>
      <c r="J256" s="54">
        <f t="shared" si="23"/>
        <v>1</v>
      </c>
      <c r="K256" s="54">
        <f t="shared" si="23"/>
        <v>1</v>
      </c>
      <c r="L256" s="54">
        <f t="shared" si="23"/>
        <v>1</v>
      </c>
      <c r="M256" s="54">
        <f t="shared" si="23"/>
        <v>1</v>
      </c>
      <c r="N256" s="54">
        <f t="shared" si="23"/>
        <v>1</v>
      </c>
      <c r="O256" s="54">
        <f t="shared" si="23"/>
        <v>1</v>
      </c>
      <c r="P256" s="54">
        <f t="shared" si="23"/>
        <v>1</v>
      </c>
      <c r="Q256" s="54">
        <f t="shared" si="23"/>
        <v>1</v>
      </c>
      <c r="R256" s="5"/>
      <c r="S256" s="25"/>
      <c r="T256" s="5"/>
    </row>
    <row r="257" spans="1:20" s="3" customFormat="1" x14ac:dyDescent="0.25">
      <c r="A257" s="21" t="s">
        <v>450</v>
      </c>
      <c r="B257" s="67" t="s">
        <v>74</v>
      </c>
      <c r="C257" s="25"/>
      <c r="D257" s="2"/>
      <c r="E257" s="2"/>
      <c r="F257" s="202" t="s">
        <v>33</v>
      </c>
      <c r="G257" s="4"/>
      <c r="H257" s="4"/>
      <c r="I257" s="4"/>
      <c r="J257" s="4"/>
      <c r="K257" s="4"/>
      <c r="L257" s="4"/>
      <c r="M257" s="4"/>
      <c r="N257" s="4"/>
      <c r="O257" s="4"/>
      <c r="P257" s="4"/>
      <c r="Q257" s="4"/>
      <c r="R257" s="5"/>
      <c r="S257" s="25"/>
      <c r="T257" s="5"/>
    </row>
    <row r="258" spans="1:20" s="3" customFormat="1" x14ac:dyDescent="0.25">
      <c r="A258" s="21" t="s">
        <v>450</v>
      </c>
      <c r="B258" s="246" t="s">
        <v>38</v>
      </c>
      <c r="C258" s="246"/>
      <c r="D258" s="246"/>
      <c r="E258" s="246" t="s">
        <v>40</v>
      </c>
      <c r="F258" s="202" t="s">
        <v>33</v>
      </c>
      <c r="G258" s="277">
        <v>2000</v>
      </c>
      <c r="H258" s="278">
        <f t="shared" ref="H258:Q259" si="24">G258</f>
        <v>2000</v>
      </c>
      <c r="I258" s="278">
        <f t="shared" si="24"/>
        <v>2000</v>
      </c>
      <c r="J258" s="278">
        <f t="shared" si="24"/>
        <v>2000</v>
      </c>
      <c r="K258" s="278">
        <f t="shared" si="24"/>
        <v>2000</v>
      </c>
      <c r="L258" s="278">
        <f t="shared" si="24"/>
        <v>2000</v>
      </c>
      <c r="M258" s="278">
        <f t="shared" si="24"/>
        <v>2000</v>
      </c>
      <c r="N258" s="278">
        <f t="shared" si="24"/>
        <v>2000</v>
      </c>
      <c r="O258" s="278">
        <f t="shared" si="24"/>
        <v>2000</v>
      </c>
      <c r="P258" s="278">
        <f t="shared" si="24"/>
        <v>2000</v>
      </c>
      <c r="Q258" s="278">
        <f t="shared" si="24"/>
        <v>2000</v>
      </c>
      <c r="R258" s="5"/>
      <c r="S258" s="25"/>
      <c r="T258" s="5"/>
    </row>
    <row r="259" spans="1:20" s="3" customFormat="1" x14ac:dyDescent="0.25">
      <c r="A259" s="21" t="s">
        <v>450</v>
      </c>
      <c r="B259" s="246" t="s">
        <v>37</v>
      </c>
      <c r="C259" s="246"/>
      <c r="D259" s="246"/>
      <c r="E259" s="246" t="s">
        <v>40</v>
      </c>
      <c r="F259" s="202" t="s">
        <v>33</v>
      </c>
      <c r="G259" s="277">
        <v>2100</v>
      </c>
      <c r="H259" s="278">
        <f t="shared" si="24"/>
        <v>2100</v>
      </c>
      <c r="I259" s="278">
        <f t="shared" si="24"/>
        <v>2100</v>
      </c>
      <c r="J259" s="278">
        <f t="shared" si="24"/>
        <v>2100</v>
      </c>
      <c r="K259" s="278">
        <f t="shared" si="24"/>
        <v>2100</v>
      </c>
      <c r="L259" s="278">
        <f t="shared" si="24"/>
        <v>2100</v>
      </c>
      <c r="M259" s="278">
        <f t="shared" si="24"/>
        <v>2100</v>
      </c>
      <c r="N259" s="278">
        <f t="shared" si="24"/>
        <v>2100</v>
      </c>
      <c r="O259" s="278">
        <f t="shared" si="24"/>
        <v>2100</v>
      </c>
      <c r="P259" s="278">
        <f t="shared" si="24"/>
        <v>2100</v>
      </c>
      <c r="Q259" s="278">
        <f t="shared" si="24"/>
        <v>2100</v>
      </c>
      <c r="R259" s="5"/>
      <c r="S259" s="25"/>
      <c r="T259" s="5"/>
    </row>
    <row r="260" spans="1:20" s="3" customFormat="1" x14ac:dyDescent="0.25">
      <c r="A260" s="21" t="s">
        <v>450</v>
      </c>
      <c r="B260" s="246" t="s">
        <v>39</v>
      </c>
      <c r="C260" s="246"/>
      <c r="D260" s="246"/>
      <c r="E260" s="246" t="s">
        <v>10</v>
      </c>
      <c r="F260" s="202" t="s">
        <v>33</v>
      </c>
      <c r="G260" s="55"/>
      <c r="H260" s="55"/>
      <c r="I260" s="55"/>
      <c r="J260" s="55"/>
      <c r="K260" s="55"/>
      <c r="L260" s="55"/>
      <c r="M260" s="55"/>
      <c r="N260" s="55"/>
      <c r="O260" s="55"/>
      <c r="P260" s="55"/>
      <c r="Q260" s="55"/>
      <c r="R260" s="5"/>
      <c r="S260" s="25"/>
      <c r="T260" s="5"/>
    </row>
    <row r="261" spans="1:20" s="3" customFormat="1" x14ac:dyDescent="0.25">
      <c r="A261" s="21" t="s">
        <v>450</v>
      </c>
      <c r="B261" s="246" t="s">
        <v>361</v>
      </c>
      <c r="C261" s="246"/>
      <c r="D261" s="246"/>
      <c r="E261" s="246" t="s">
        <v>10</v>
      </c>
      <c r="F261" s="202" t="s">
        <v>33</v>
      </c>
      <c r="G261" s="55"/>
      <c r="H261" s="55"/>
      <c r="I261" s="55"/>
      <c r="J261" s="55"/>
      <c r="K261" s="55"/>
      <c r="L261" s="55"/>
      <c r="M261" s="55"/>
      <c r="N261" s="55"/>
      <c r="O261" s="55"/>
      <c r="P261" s="55"/>
      <c r="Q261" s="55"/>
      <c r="R261" s="5"/>
      <c r="S261" s="25"/>
      <c r="T261" s="5"/>
    </row>
    <row r="262" spans="1:20" s="3" customFormat="1" x14ac:dyDescent="0.25">
      <c r="A262" s="21" t="s">
        <v>450</v>
      </c>
      <c r="B262" s="246" t="s">
        <v>309</v>
      </c>
      <c r="C262" s="246"/>
      <c r="D262" s="246"/>
      <c r="E262" s="246" t="s">
        <v>97</v>
      </c>
      <c r="F262" s="202" t="s">
        <v>33</v>
      </c>
      <c r="G262" s="271"/>
      <c r="H262" s="271"/>
      <c r="I262" s="271"/>
      <c r="J262" s="271"/>
      <c r="K262" s="271"/>
      <c r="L262" s="271"/>
      <c r="M262" s="271"/>
      <c r="N262" s="271"/>
      <c r="O262" s="271"/>
      <c r="P262" s="271"/>
      <c r="Q262" s="271"/>
      <c r="R262" s="5"/>
      <c r="S262" s="25"/>
      <c r="T262" s="5"/>
    </row>
    <row r="263" spans="1:20" s="3" customFormat="1" x14ac:dyDescent="0.25">
      <c r="A263" s="21" t="s">
        <v>450</v>
      </c>
      <c r="B263" s="246" t="s">
        <v>358</v>
      </c>
      <c r="C263" s="246"/>
      <c r="D263" s="246"/>
      <c r="E263" s="246" t="s">
        <v>97</v>
      </c>
      <c r="F263" s="202" t="s">
        <v>33</v>
      </c>
      <c r="G263" s="271"/>
      <c r="H263" s="271"/>
      <c r="I263" s="271"/>
      <c r="J263" s="271"/>
      <c r="K263" s="271"/>
      <c r="L263" s="271"/>
      <c r="M263" s="271"/>
      <c r="N263" s="271"/>
      <c r="O263" s="271"/>
      <c r="P263" s="271"/>
      <c r="Q263" s="271"/>
      <c r="R263" s="5"/>
      <c r="S263" s="25"/>
      <c r="T263" s="5"/>
    </row>
    <row r="264" spans="1:20" s="3" customFormat="1" x14ac:dyDescent="0.25">
      <c r="A264" s="21" t="s">
        <v>450</v>
      </c>
      <c r="B264" s="246" t="s">
        <v>357</v>
      </c>
      <c r="C264" s="246"/>
      <c r="D264" s="246"/>
      <c r="E264" s="246" t="s">
        <v>97</v>
      </c>
      <c r="F264" s="202" t="s">
        <v>33</v>
      </c>
      <c r="G264" s="271"/>
      <c r="H264" s="271"/>
      <c r="I264" s="271"/>
      <c r="J264" s="271"/>
      <c r="K264" s="271"/>
      <c r="L264" s="271"/>
      <c r="M264" s="271"/>
      <c r="N264" s="271"/>
      <c r="O264" s="271"/>
      <c r="P264" s="271"/>
      <c r="Q264" s="271"/>
      <c r="R264" s="5"/>
      <c r="S264" s="25"/>
      <c r="T264" s="5"/>
    </row>
    <row r="265" spans="1:20" s="3" customFormat="1" x14ac:dyDescent="0.25">
      <c r="A265" s="21" t="s">
        <v>450</v>
      </c>
      <c r="B265" s="246" t="s">
        <v>75</v>
      </c>
      <c r="C265" s="246"/>
      <c r="D265" s="246"/>
      <c r="E265" s="246" t="s">
        <v>97</v>
      </c>
      <c r="F265" s="202" t="s">
        <v>33</v>
      </c>
      <c r="G265" s="271">
        <v>0.99399999999999999</v>
      </c>
      <c r="H265" s="271"/>
      <c r="I265" s="271"/>
      <c r="J265" s="271"/>
      <c r="K265" s="271"/>
      <c r="L265" s="271"/>
      <c r="M265" s="271"/>
      <c r="N265" s="271"/>
      <c r="O265" s="271"/>
      <c r="P265" s="271"/>
      <c r="Q265" s="271"/>
      <c r="R265" s="5"/>
      <c r="S265" s="25"/>
      <c r="T265" s="5"/>
    </row>
    <row r="266" spans="1:20" s="3" customFormat="1" x14ac:dyDescent="0.25">
      <c r="A266" s="21" t="s">
        <v>450</v>
      </c>
      <c r="B266" s="68" t="s">
        <v>148</v>
      </c>
      <c r="C266" s="68"/>
      <c r="D266" s="251"/>
      <c r="E266" s="68" t="s">
        <v>97</v>
      </c>
      <c r="F266" s="202" t="s">
        <v>33</v>
      </c>
      <c r="G266" s="271"/>
      <c r="H266" s="271"/>
      <c r="I266" s="271"/>
      <c r="J266" s="271"/>
      <c r="K266" s="271"/>
      <c r="L266" s="271"/>
      <c r="M266" s="271"/>
      <c r="N266" s="271"/>
      <c r="O266" s="271"/>
      <c r="P266" s="271"/>
      <c r="Q266" s="271"/>
      <c r="R266" s="5"/>
      <c r="S266" s="25"/>
      <c r="T266" s="5"/>
    </row>
    <row r="267" spans="1:20" s="3" customFormat="1" x14ac:dyDescent="0.25">
      <c r="A267" s="21" t="s">
        <v>450</v>
      </c>
      <c r="B267" s="68" t="s">
        <v>149</v>
      </c>
      <c r="C267" s="68"/>
      <c r="D267" s="251"/>
      <c r="E267" s="68" t="s">
        <v>97</v>
      </c>
      <c r="F267" s="202" t="s">
        <v>33</v>
      </c>
      <c r="G267" s="271"/>
      <c r="H267" s="271"/>
      <c r="I267" s="271"/>
      <c r="J267" s="271"/>
      <c r="K267" s="271"/>
      <c r="L267" s="271"/>
      <c r="M267" s="271"/>
      <c r="N267" s="271"/>
      <c r="O267" s="271"/>
      <c r="P267" s="271"/>
      <c r="Q267" s="271"/>
      <c r="R267" s="5"/>
      <c r="S267" s="25"/>
      <c r="T267" s="5"/>
    </row>
    <row r="268" spans="1:20" s="3" customFormat="1" x14ac:dyDescent="0.25">
      <c r="A268" s="21" t="s">
        <v>450</v>
      </c>
      <c r="B268" s="68" t="s">
        <v>370</v>
      </c>
      <c r="C268" s="68"/>
      <c r="D268" s="251"/>
      <c r="E268" s="68" t="s">
        <v>97</v>
      </c>
      <c r="F268" s="202" t="s">
        <v>33</v>
      </c>
      <c r="G268" s="271"/>
      <c r="H268" s="271"/>
      <c r="I268" s="271"/>
      <c r="J268" s="271"/>
      <c r="K268" s="271"/>
      <c r="L268" s="271"/>
      <c r="M268" s="271"/>
      <c r="N268" s="271"/>
      <c r="O268" s="271"/>
      <c r="P268" s="271"/>
      <c r="Q268" s="271"/>
      <c r="R268" s="5"/>
      <c r="S268" s="25"/>
      <c r="T268" s="5"/>
    </row>
    <row r="269" spans="1:20" s="3" customFormat="1" x14ac:dyDescent="0.25">
      <c r="A269" s="21" t="s">
        <v>450</v>
      </c>
      <c r="B269" s="68" t="s">
        <v>371</v>
      </c>
      <c r="C269" s="68"/>
      <c r="D269" s="251"/>
      <c r="E269" s="68" t="s">
        <v>97</v>
      </c>
      <c r="F269" s="202" t="s">
        <v>33</v>
      </c>
      <c r="G269" s="271"/>
      <c r="H269" s="271"/>
      <c r="I269" s="271"/>
      <c r="J269" s="271"/>
      <c r="K269" s="271"/>
      <c r="L269" s="271"/>
      <c r="M269" s="271"/>
      <c r="N269" s="271"/>
      <c r="O269" s="271"/>
      <c r="P269" s="271"/>
      <c r="Q269" s="271"/>
      <c r="R269" s="5"/>
      <c r="S269" s="25"/>
      <c r="T269" s="5"/>
    </row>
    <row r="270" spans="1:20" s="3" customFormat="1" x14ac:dyDescent="0.25">
      <c r="A270" s="21" t="s">
        <v>450</v>
      </c>
      <c r="B270" s="246" t="s">
        <v>338</v>
      </c>
      <c r="C270" s="246"/>
      <c r="D270" s="246"/>
      <c r="E270" s="246" t="s">
        <v>34</v>
      </c>
      <c r="F270" s="202" t="s">
        <v>33</v>
      </c>
      <c r="G270" s="55"/>
      <c r="H270" s="55"/>
      <c r="I270" s="55"/>
      <c r="J270" s="55"/>
      <c r="K270" s="55"/>
      <c r="L270" s="55"/>
      <c r="M270" s="55"/>
      <c r="N270" s="55"/>
      <c r="O270" s="55"/>
      <c r="P270" s="55"/>
      <c r="Q270" s="55"/>
      <c r="R270" s="5"/>
      <c r="S270" s="25"/>
      <c r="T270" s="5"/>
    </row>
    <row r="271" spans="1:20" s="3" customFormat="1" x14ac:dyDescent="0.25">
      <c r="A271" s="21" t="s">
        <v>450</v>
      </c>
      <c r="B271" s="246" t="s">
        <v>152</v>
      </c>
      <c r="C271" s="246"/>
      <c r="D271" s="246"/>
      <c r="E271" s="246" t="s">
        <v>321</v>
      </c>
      <c r="F271" s="202" t="s">
        <v>33</v>
      </c>
      <c r="G271" s="55"/>
      <c r="H271" s="55"/>
      <c r="I271" s="55"/>
      <c r="J271" s="55"/>
      <c r="K271" s="55"/>
      <c r="L271" s="55"/>
      <c r="M271" s="55"/>
      <c r="N271" s="55"/>
      <c r="O271" s="55"/>
      <c r="P271" s="55"/>
      <c r="Q271" s="55"/>
      <c r="R271" s="5"/>
      <c r="S271" s="25"/>
      <c r="T271" s="5"/>
    </row>
    <row r="272" spans="1:20" s="3" customFormat="1" x14ac:dyDescent="0.25">
      <c r="A272" s="21" t="s">
        <v>450</v>
      </c>
      <c r="B272" s="246" t="s">
        <v>383</v>
      </c>
      <c r="C272" s="246"/>
      <c r="D272" s="246"/>
      <c r="E272" s="246" t="s">
        <v>97</v>
      </c>
      <c r="F272" s="202" t="s">
        <v>33</v>
      </c>
      <c r="G272" s="271"/>
      <c r="H272" s="271"/>
      <c r="I272" s="271"/>
      <c r="J272" s="271"/>
      <c r="K272" s="271"/>
      <c r="L272" s="271"/>
      <c r="M272" s="271"/>
      <c r="N272" s="271"/>
      <c r="O272" s="271"/>
      <c r="P272" s="271"/>
      <c r="Q272" s="271"/>
      <c r="R272" s="5"/>
      <c r="S272" s="25"/>
      <c r="T272" s="5"/>
    </row>
    <row r="273" spans="1:20" s="3" customFormat="1" x14ac:dyDescent="0.25">
      <c r="A273" s="21" t="s">
        <v>450</v>
      </c>
      <c r="B273" s="246" t="s">
        <v>446</v>
      </c>
      <c r="C273" s="246"/>
      <c r="D273" s="246"/>
      <c r="E273" s="246" t="s">
        <v>34</v>
      </c>
      <c r="F273" s="202" t="s">
        <v>33</v>
      </c>
      <c r="G273" s="55"/>
      <c r="H273" s="55"/>
      <c r="I273" s="55"/>
      <c r="J273" s="55"/>
      <c r="K273" s="55"/>
      <c r="L273" s="55"/>
      <c r="M273" s="55"/>
      <c r="N273" s="55"/>
      <c r="O273" s="55"/>
      <c r="P273" s="55"/>
      <c r="Q273" s="55"/>
      <c r="R273" s="5"/>
      <c r="S273" s="25"/>
      <c r="T273" s="5"/>
    </row>
    <row r="274" spans="1:20" s="3" customFormat="1" x14ac:dyDescent="0.25">
      <c r="A274" s="21" t="s">
        <v>450</v>
      </c>
      <c r="B274" s="246" t="s">
        <v>387</v>
      </c>
      <c r="C274" s="246"/>
      <c r="D274" s="246"/>
      <c r="E274" s="246"/>
      <c r="F274" s="202" t="s">
        <v>33</v>
      </c>
      <c r="G274" s="54"/>
      <c r="H274" s="54"/>
      <c r="I274" s="54"/>
      <c r="J274" s="54"/>
      <c r="K274" s="54"/>
      <c r="L274" s="54"/>
      <c r="M274" s="54"/>
      <c r="N274" s="54"/>
      <c r="O274" s="54"/>
      <c r="P274" s="54"/>
      <c r="Q274" s="54"/>
      <c r="R274" s="5"/>
      <c r="S274" s="25"/>
      <c r="T274" s="5"/>
    </row>
    <row r="275" spans="1:20" s="3" customFormat="1" x14ac:dyDescent="0.25">
      <c r="A275" s="21" t="s">
        <v>450</v>
      </c>
      <c r="B275" s="246" t="s">
        <v>369</v>
      </c>
      <c r="C275" s="246"/>
      <c r="D275" s="246"/>
      <c r="E275" s="246" t="s">
        <v>97</v>
      </c>
      <c r="F275" s="202" t="s">
        <v>33</v>
      </c>
      <c r="G275" s="271"/>
      <c r="H275" s="271"/>
      <c r="I275" s="271"/>
      <c r="J275" s="271"/>
      <c r="K275" s="271"/>
      <c r="L275" s="271"/>
      <c r="M275" s="271"/>
      <c r="N275" s="271"/>
      <c r="O275" s="271"/>
      <c r="P275" s="271"/>
      <c r="Q275" s="271"/>
      <c r="R275" s="5"/>
      <c r="S275" s="25"/>
      <c r="T275" s="5"/>
    </row>
    <row r="276" spans="1:20" s="3" customFormat="1" x14ac:dyDescent="0.25">
      <c r="A276" s="21" t="s">
        <v>450</v>
      </c>
      <c r="B276" s="246" t="s">
        <v>392</v>
      </c>
      <c r="C276" s="246"/>
      <c r="D276" s="246"/>
      <c r="E276" s="246" t="s">
        <v>321</v>
      </c>
      <c r="F276" s="202" t="s">
        <v>33</v>
      </c>
      <c r="G276" s="55"/>
      <c r="H276" s="55"/>
      <c r="I276" s="55"/>
      <c r="J276" s="55"/>
      <c r="K276" s="55"/>
      <c r="L276" s="55"/>
      <c r="M276" s="55"/>
      <c r="N276" s="55"/>
      <c r="O276" s="55"/>
      <c r="P276" s="55"/>
      <c r="Q276" s="55"/>
      <c r="R276" s="5"/>
      <c r="S276" s="25"/>
      <c r="T276" s="5"/>
    </row>
    <row r="277" spans="1:20" s="3" customFormat="1" x14ac:dyDescent="0.25">
      <c r="A277" s="21" t="s">
        <v>450</v>
      </c>
      <c r="B277" s="246" t="s">
        <v>394</v>
      </c>
      <c r="C277" s="246"/>
      <c r="D277" s="246"/>
      <c r="E277" s="246" t="s">
        <v>321</v>
      </c>
      <c r="F277" s="202" t="s">
        <v>33</v>
      </c>
      <c r="G277" s="55"/>
      <c r="H277" s="55"/>
      <c r="I277" s="55"/>
      <c r="J277" s="55"/>
      <c r="K277" s="55"/>
      <c r="L277" s="55"/>
      <c r="M277" s="55"/>
      <c r="N277" s="55"/>
      <c r="O277" s="55"/>
      <c r="P277" s="55"/>
      <c r="Q277" s="55"/>
      <c r="R277" s="5"/>
      <c r="S277" s="25"/>
      <c r="T277" s="5"/>
    </row>
    <row r="278" spans="1:20" s="3" customFormat="1" x14ac:dyDescent="0.25">
      <c r="A278" s="21" t="s">
        <v>450</v>
      </c>
      <c r="B278" s="246" t="s">
        <v>395</v>
      </c>
      <c r="C278" s="246"/>
      <c r="D278" s="246"/>
      <c r="E278" s="246"/>
      <c r="F278" s="202" t="s">
        <v>33</v>
      </c>
      <c r="G278" s="54"/>
      <c r="H278" s="54"/>
      <c r="I278" s="54"/>
      <c r="J278" s="54"/>
      <c r="K278" s="54"/>
      <c r="L278" s="54"/>
      <c r="M278" s="54"/>
      <c r="N278" s="54"/>
      <c r="O278" s="54"/>
      <c r="P278" s="54"/>
      <c r="Q278" s="54"/>
      <c r="R278" s="5"/>
      <c r="S278" s="25"/>
      <c r="T278" s="5"/>
    </row>
    <row r="279" spans="1:20" s="3" customFormat="1" x14ac:dyDescent="0.25">
      <c r="A279" s="21" t="s">
        <v>450</v>
      </c>
      <c r="B279" s="246" t="s">
        <v>396</v>
      </c>
      <c r="C279" s="246"/>
      <c r="D279" s="246"/>
      <c r="E279" s="246"/>
      <c r="F279" s="202" t="s">
        <v>33</v>
      </c>
      <c r="G279" s="54"/>
      <c r="H279" s="54"/>
      <c r="I279" s="54"/>
      <c r="J279" s="54"/>
      <c r="K279" s="54"/>
      <c r="L279" s="54"/>
      <c r="M279" s="54"/>
      <c r="N279" s="54"/>
      <c r="O279" s="54"/>
      <c r="P279" s="54"/>
      <c r="Q279" s="54"/>
      <c r="R279" s="5"/>
      <c r="S279" s="25"/>
      <c r="T279" s="5"/>
    </row>
    <row r="280" spans="1:20" s="3" customFormat="1" x14ac:dyDescent="0.25">
      <c r="A280" s="21" t="s">
        <v>450</v>
      </c>
      <c r="B280" s="246" t="s">
        <v>393</v>
      </c>
      <c r="C280" s="246"/>
      <c r="D280" s="246"/>
      <c r="E280" s="246" t="s">
        <v>322</v>
      </c>
      <c r="F280" s="202" t="s">
        <v>33</v>
      </c>
      <c r="G280" s="55"/>
      <c r="H280" s="55"/>
      <c r="I280" s="55"/>
      <c r="J280" s="55"/>
      <c r="K280" s="55"/>
      <c r="L280" s="55"/>
      <c r="M280" s="55"/>
      <c r="N280" s="55"/>
      <c r="O280" s="55"/>
      <c r="P280" s="55"/>
      <c r="Q280" s="55"/>
      <c r="R280" s="5"/>
      <c r="S280" s="25"/>
      <c r="T280" s="5"/>
    </row>
    <row r="281" spans="1:20" s="3" customFormat="1" x14ac:dyDescent="0.25">
      <c r="A281" s="21" t="s">
        <v>450</v>
      </c>
      <c r="B281" s="246" t="s">
        <v>397</v>
      </c>
      <c r="C281" s="246"/>
      <c r="D281" s="246"/>
      <c r="E281" s="246" t="s">
        <v>322</v>
      </c>
      <c r="F281" s="202" t="s">
        <v>33</v>
      </c>
      <c r="G281" s="55"/>
      <c r="H281" s="55"/>
      <c r="I281" s="55"/>
      <c r="J281" s="55"/>
      <c r="K281" s="55"/>
      <c r="L281" s="55"/>
      <c r="M281" s="55"/>
      <c r="N281" s="55"/>
      <c r="O281" s="55"/>
      <c r="P281" s="55"/>
      <c r="Q281" s="55"/>
      <c r="R281" s="5"/>
      <c r="S281" s="25"/>
      <c r="T281" s="5"/>
    </row>
    <row r="282" spans="1:20" s="3" customFormat="1" x14ac:dyDescent="0.25">
      <c r="A282" s="21" t="s">
        <v>450</v>
      </c>
      <c r="B282" s="246" t="s">
        <v>398</v>
      </c>
      <c r="C282" s="246"/>
      <c r="D282" s="246"/>
      <c r="E282" s="246"/>
      <c r="F282" s="202" t="s">
        <v>33</v>
      </c>
      <c r="G282" s="54"/>
      <c r="H282" s="54"/>
      <c r="I282" s="54"/>
      <c r="J282" s="54"/>
      <c r="K282" s="54"/>
      <c r="L282" s="54"/>
      <c r="M282" s="54"/>
      <c r="N282" s="54"/>
      <c r="O282" s="54"/>
      <c r="P282" s="54"/>
      <c r="Q282" s="54"/>
      <c r="R282" s="5"/>
      <c r="S282" s="25"/>
      <c r="T282" s="5"/>
    </row>
    <row r="283" spans="1:20" s="3" customFormat="1" x14ac:dyDescent="0.25">
      <c r="A283" s="21" t="s">
        <v>450</v>
      </c>
      <c r="B283" s="246" t="s">
        <v>399</v>
      </c>
      <c r="C283" s="246"/>
      <c r="D283" s="246"/>
      <c r="E283" s="246"/>
      <c r="F283" s="202" t="s">
        <v>33</v>
      </c>
      <c r="G283" s="54"/>
      <c r="H283" s="54"/>
      <c r="I283" s="54"/>
      <c r="J283" s="54"/>
      <c r="K283" s="54"/>
      <c r="L283" s="54"/>
      <c r="M283" s="54"/>
      <c r="N283" s="54"/>
      <c r="O283" s="54"/>
      <c r="P283" s="54"/>
      <c r="Q283" s="54"/>
      <c r="R283" s="5"/>
      <c r="S283" s="25"/>
      <c r="T283" s="5"/>
    </row>
    <row r="284" spans="1:20" s="3" customFormat="1" x14ac:dyDescent="0.25">
      <c r="A284" s="21" t="s">
        <v>450</v>
      </c>
      <c r="B284" s="246" t="s">
        <v>310</v>
      </c>
      <c r="C284" s="246"/>
      <c r="D284" s="246"/>
      <c r="E284" s="246" t="s">
        <v>322</v>
      </c>
      <c r="F284" s="202" t="s">
        <v>33</v>
      </c>
      <c r="G284" s="55"/>
      <c r="H284" s="55"/>
      <c r="I284" s="55"/>
      <c r="J284" s="55"/>
      <c r="K284" s="55"/>
      <c r="L284" s="55"/>
      <c r="M284" s="55"/>
      <c r="N284" s="55"/>
      <c r="O284" s="55"/>
      <c r="P284" s="55"/>
      <c r="Q284" s="55"/>
      <c r="R284" s="5"/>
      <c r="S284" s="25"/>
      <c r="T284" s="5"/>
    </row>
    <row r="285" spans="1:20" s="3" customFormat="1" x14ac:dyDescent="0.25">
      <c r="A285" s="21" t="s">
        <v>450</v>
      </c>
      <c r="B285" s="246" t="s">
        <v>360</v>
      </c>
      <c r="C285" s="246"/>
      <c r="D285" s="246"/>
      <c r="E285" s="246" t="s">
        <v>321</v>
      </c>
      <c r="F285" s="202" t="s">
        <v>33</v>
      </c>
      <c r="G285" s="55"/>
      <c r="H285" s="55"/>
      <c r="I285" s="55"/>
      <c r="J285" s="55"/>
      <c r="K285" s="55"/>
      <c r="L285" s="55"/>
      <c r="M285" s="55"/>
      <c r="N285" s="55"/>
      <c r="O285" s="55"/>
      <c r="P285" s="55"/>
      <c r="Q285" s="55"/>
      <c r="R285" s="5"/>
      <c r="S285" s="25"/>
      <c r="T285" s="5"/>
    </row>
    <row r="286" spans="1:20" s="3" customFormat="1" x14ac:dyDescent="0.25">
      <c r="A286" s="21" t="s">
        <v>450</v>
      </c>
      <c r="B286" s="67" t="s">
        <v>306</v>
      </c>
      <c r="C286" s="25"/>
      <c r="D286" s="67" t="s">
        <v>465</v>
      </c>
      <c r="E286" s="67" t="s">
        <v>334</v>
      </c>
      <c r="F286" s="202" t="s">
        <v>33</v>
      </c>
      <c r="G286" s="54">
        <v>1</v>
      </c>
      <c r="H286" s="54">
        <f t="shared" ref="H286:Q286" si="25">G286</f>
        <v>1</v>
      </c>
      <c r="I286" s="54">
        <f t="shared" si="25"/>
        <v>1</v>
      </c>
      <c r="J286" s="54">
        <f t="shared" si="25"/>
        <v>1</v>
      </c>
      <c r="K286" s="54">
        <f t="shared" si="25"/>
        <v>1</v>
      </c>
      <c r="L286" s="54">
        <f t="shared" si="25"/>
        <v>1</v>
      </c>
      <c r="M286" s="54">
        <f t="shared" si="25"/>
        <v>1</v>
      </c>
      <c r="N286" s="54">
        <f t="shared" si="25"/>
        <v>1</v>
      </c>
      <c r="O286" s="54">
        <f t="shared" si="25"/>
        <v>1</v>
      </c>
      <c r="P286" s="54">
        <f t="shared" si="25"/>
        <v>1</v>
      </c>
      <c r="Q286" s="54">
        <f t="shared" si="25"/>
        <v>1</v>
      </c>
      <c r="R286" s="5"/>
      <c r="S286" s="25"/>
      <c r="T286" s="5"/>
    </row>
    <row r="287" spans="1:20" s="3" customFormat="1" x14ac:dyDescent="0.25">
      <c r="A287" s="21" t="s">
        <v>450</v>
      </c>
      <c r="B287" s="4"/>
      <c r="C287" s="13"/>
      <c r="D287" s="4"/>
      <c r="E287" s="4"/>
      <c r="F287" s="9"/>
      <c r="G287" s="4"/>
      <c r="H287" s="4"/>
      <c r="I287" s="4"/>
      <c r="J287" s="4"/>
      <c r="K287" s="4"/>
      <c r="L287" s="4"/>
      <c r="M287" s="4"/>
      <c r="N287" s="4"/>
      <c r="O287" s="4"/>
      <c r="P287" s="4"/>
      <c r="Q287" s="4"/>
      <c r="R287" s="5"/>
      <c r="S287" s="13"/>
      <c r="T287" s="5"/>
    </row>
    <row r="288" spans="1:20" s="3" customFormat="1" x14ac:dyDescent="0.25">
      <c r="A288" s="359" t="s">
        <v>33</v>
      </c>
      <c r="B288" s="4"/>
      <c r="C288" s="13"/>
      <c r="D288" s="4"/>
      <c r="E288" s="4"/>
      <c r="F288" s="9"/>
      <c r="G288" s="4"/>
      <c r="H288" s="4"/>
      <c r="I288" s="4"/>
      <c r="J288" s="4"/>
      <c r="K288" s="4"/>
      <c r="L288" s="4"/>
      <c r="M288" s="4"/>
      <c r="N288" s="4"/>
      <c r="O288" s="4"/>
      <c r="P288" s="4"/>
      <c r="Q288" s="4"/>
      <c r="R288" s="5"/>
      <c r="S288" s="13"/>
      <c r="T288" s="5"/>
    </row>
    <row r="289" spans="1:20" s="3" customFormat="1" x14ac:dyDescent="0.25">
      <c r="A289" s="21" t="s">
        <v>450</v>
      </c>
      <c r="B289" s="67" t="s">
        <v>305</v>
      </c>
      <c r="C289" s="25"/>
      <c r="D289" s="67" t="s">
        <v>465</v>
      </c>
      <c r="E289" s="67" t="s">
        <v>34</v>
      </c>
      <c r="F289" s="202" t="str">
        <f>A288</f>
        <v>Furnace</v>
      </c>
      <c r="G289" s="55"/>
      <c r="H289" s="55"/>
      <c r="I289" s="55"/>
      <c r="J289" s="55"/>
      <c r="K289" s="55"/>
      <c r="L289" s="55"/>
      <c r="M289" s="55"/>
      <c r="N289" s="55"/>
      <c r="O289" s="55"/>
      <c r="P289" s="55"/>
      <c r="Q289" s="55"/>
      <c r="R289" s="5"/>
      <c r="S289" s="25"/>
      <c r="T289" s="5"/>
    </row>
    <row r="290" spans="1:20" s="3" customFormat="1" x14ac:dyDescent="0.25">
      <c r="A290" s="21" t="s">
        <v>450</v>
      </c>
      <c r="B290" s="67" t="s">
        <v>47</v>
      </c>
      <c r="C290" s="25"/>
      <c r="D290" s="2"/>
      <c r="E290" s="2"/>
      <c r="F290" s="202" t="s">
        <v>21</v>
      </c>
      <c r="G290" s="4"/>
      <c r="H290" s="4"/>
      <c r="I290" s="4"/>
      <c r="J290" s="4"/>
      <c r="K290" s="4"/>
      <c r="L290" s="4"/>
      <c r="M290" s="4"/>
      <c r="N290" s="4"/>
      <c r="O290" s="4"/>
      <c r="P290" s="4"/>
      <c r="Q290" s="4"/>
      <c r="R290" s="5"/>
      <c r="S290" s="25"/>
      <c r="T290" s="5"/>
    </row>
    <row r="291" spans="1:20" s="3" customFormat="1" x14ac:dyDescent="0.25">
      <c r="A291" s="21" t="s">
        <v>450</v>
      </c>
      <c r="B291" s="67" t="s">
        <v>66</v>
      </c>
      <c r="C291" s="25"/>
      <c r="D291" s="2"/>
      <c r="E291" s="2"/>
      <c r="F291" s="202" t="s">
        <v>35</v>
      </c>
      <c r="G291" s="4">
        <v>10</v>
      </c>
      <c r="H291" s="209">
        <f t="shared" ref="H291:Q292" si="26">G291</f>
        <v>10</v>
      </c>
      <c r="I291" s="209">
        <f t="shared" si="26"/>
        <v>10</v>
      </c>
      <c r="J291" s="209">
        <f t="shared" si="26"/>
        <v>10</v>
      </c>
      <c r="K291" s="209">
        <f t="shared" si="26"/>
        <v>10</v>
      </c>
      <c r="L291" s="209">
        <f t="shared" si="26"/>
        <v>10</v>
      </c>
      <c r="M291" s="209">
        <f t="shared" si="26"/>
        <v>10</v>
      </c>
      <c r="N291" s="209">
        <f t="shared" si="26"/>
        <v>10</v>
      </c>
      <c r="O291" s="209">
        <f t="shared" si="26"/>
        <v>10</v>
      </c>
      <c r="P291" s="209">
        <f t="shared" si="26"/>
        <v>10</v>
      </c>
      <c r="Q291" s="209">
        <f t="shared" si="26"/>
        <v>10</v>
      </c>
      <c r="R291" s="5"/>
      <c r="S291" s="25"/>
      <c r="T291" s="5"/>
    </row>
    <row r="292" spans="1:20" s="3" customFormat="1" x14ac:dyDescent="0.25">
      <c r="A292" s="21" t="s">
        <v>450</v>
      </c>
      <c r="B292" s="67" t="s">
        <v>311</v>
      </c>
      <c r="C292" s="25"/>
      <c r="D292" s="2"/>
      <c r="E292" s="67" t="s">
        <v>97</v>
      </c>
      <c r="F292" s="202" t="s">
        <v>314</v>
      </c>
      <c r="G292" s="271">
        <v>0.25</v>
      </c>
      <c r="H292" s="272">
        <f t="shared" si="26"/>
        <v>0.25</v>
      </c>
      <c r="I292" s="272">
        <f t="shared" si="26"/>
        <v>0.25</v>
      </c>
      <c r="J292" s="272">
        <f t="shared" si="26"/>
        <v>0.25</v>
      </c>
      <c r="K292" s="272">
        <f t="shared" si="26"/>
        <v>0.25</v>
      </c>
      <c r="L292" s="272">
        <f t="shared" si="26"/>
        <v>0.25</v>
      </c>
      <c r="M292" s="272">
        <f t="shared" si="26"/>
        <v>0.25</v>
      </c>
      <c r="N292" s="272">
        <f t="shared" si="26"/>
        <v>0.25</v>
      </c>
      <c r="O292" s="272">
        <f t="shared" si="26"/>
        <v>0.25</v>
      </c>
      <c r="P292" s="272">
        <f t="shared" si="26"/>
        <v>0.25</v>
      </c>
      <c r="Q292" s="272">
        <f t="shared" si="26"/>
        <v>0.25</v>
      </c>
      <c r="R292" s="5"/>
      <c r="S292" s="25"/>
      <c r="T292" s="5"/>
    </row>
    <row r="293" spans="1:20" s="3" customFormat="1" x14ac:dyDescent="0.25">
      <c r="A293" s="21" t="s">
        <v>450</v>
      </c>
      <c r="B293" s="67" t="s">
        <v>51</v>
      </c>
      <c r="C293" s="25"/>
      <c r="D293" s="2"/>
      <c r="E293" s="2"/>
      <c r="F293" s="202" t="s">
        <v>52</v>
      </c>
      <c r="G293" s="4"/>
      <c r="H293" s="4"/>
      <c r="I293" s="4"/>
      <c r="J293" s="4"/>
      <c r="K293" s="4"/>
      <c r="L293" s="4"/>
      <c r="M293" s="4"/>
      <c r="N293" s="4"/>
      <c r="O293" s="4"/>
      <c r="P293" s="4"/>
      <c r="Q293" s="4"/>
      <c r="R293" s="5"/>
      <c r="S293" s="25"/>
      <c r="T293" s="5"/>
    </row>
    <row r="294" spans="1:20" s="3" customFormat="1" x14ac:dyDescent="0.25">
      <c r="A294" s="21" t="s">
        <v>450</v>
      </c>
      <c r="B294" s="246" t="s">
        <v>38</v>
      </c>
      <c r="C294" s="246"/>
      <c r="D294" s="246"/>
      <c r="E294" s="246" t="s">
        <v>40</v>
      </c>
      <c r="F294" s="202" t="s">
        <v>52</v>
      </c>
      <c r="G294" s="277">
        <v>2000</v>
      </c>
      <c r="H294" s="278">
        <f t="shared" ref="H294:Q296" si="27">G294</f>
        <v>2000</v>
      </c>
      <c r="I294" s="278">
        <f t="shared" si="27"/>
        <v>2000</v>
      </c>
      <c r="J294" s="278">
        <f t="shared" si="27"/>
        <v>2000</v>
      </c>
      <c r="K294" s="278">
        <f t="shared" si="27"/>
        <v>2000</v>
      </c>
      <c r="L294" s="278">
        <f t="shared" si="27"/>
        <v>2000</v>
      </c>
      <c r="M294" s="278">
        <f t="shared" si="27"/>
        <v>2000</v>
      </c>
      <c r="N294" s="278">
        <f t="shared" si="27"/>
        <v>2000</v>
      </c>
      <c r="O294" s="278">
        <f t="shared" si="27"/>
        <v>2000</v>
      </c>
      <c r="P294" s="278">
        <f t="shared" si="27"/>
        <v>2000</v>
      </c>
      <c r="Q294" s="278">
        <f t="shared" si="27"/>
        <v>2000</v>
      </c>
      <c r="R294" s="5"/>
      <c r="S294" s="25"/>
      <c r="T294" s="5"/>
    </row>
    <row r="295" spans="1:20" s="3" customFormat="1" x14ac:dyDescent="0.25">
      <c r="A295" s="21" t="s">
        <v>450</v>
      </c>
      <c r="B295" s="246" t="s">
        <v>37</v>
      </c>
      <c r="C295" s="246"/>
      <c r="D295" s="246"/>
      <c r="E295" s="246" t="s">
        <v>40</v>
      </c>
      <c r="F295" s="202" t="s">
        <v>52</v>
      </c>
      <c r="G295" s="277">
        <v>2000</v>
      </c>
      <c r="H295" s="278">
        <f t="shared" si="27"/>
        <v>2000</v>
      </c>
      <c r="I295" s="278">
        <f t="shared" si="27"/>
        <v>2000</v>
      </c>
      <c r="J295" s="278">
        <f t="shared" si="27"/>
        <v>2000</v>
      </c>
      <c r="K295" s="278">
        <f t="shared" si="27"/>
        <v>2000</v>
      </c>
      <c r="L295" s="278">
        <f t="shared" si="27"/>
        <v>2000</v>
      </c>
      <c r="M295" s="278">
        <f t="shared" si="27"/>
        <v>2000</v>
      </c>
      <c r="N295" s="278">
        <f t="shared" si="27"/>
        <v>2000</v>
      </c>
      <c r="O295" s="278">
        <f t="shared" si="27"/>
        <v>2000</v>
      </c>
      <c r="P295" s="278">
        <f t="shared" si="27"/>
        <v>2000</v>
      </c>
      <c r="Q295" s="278">
        <f t="shared" si="27"/>
        <v>2000</v>
      </c>
      <c r="R295" s="5"/>
      <c r="S295" s="25"/>
      <c r="T295" s="5"/>
    </row>
    <row r="296" spans="1:20" s="3" customFormat="1" x14ac:dyDescent="0.25">
      <c r="A296" s="21" t="s">
        <v>450</v>
      </c>
      <c r="B296" s="246" t="s">
        <v>39</v>
      </c>
      <c r="C296" s="246"/>
      <c r="D296" s="246"/>
      <c r="E296" s="246" t="s">
        <v>10</v>
      </c>
      <c r="F296" s="202" t="s">
        <v>52</v>
      </c>
      <c r="G296" s="55">
        <v>18</v>
      </c>
      <c r="H296" s="229">
        <f t="shared" si="27"/>
        <v>18</v>
      </c>
      <c r="I296" s="229">
        <f t="shared" si="27"/>
        <v>18</v>
      </c>
      <c r="J296" s="229">
        <f t="shared" si="27"/>
        <v>18</v>
      </c>
      <c r="K296" s="229">
        <f t="shared" si="27"/>
        <v>18</v>
      </c>
      <c r="L296" s="229">
        <f t="shared" si="27"/>
        <v>18</v>
      </c>
      <c r="M296" s="229">
        <f t="shared" si="27"/>
        <v>18</v>
      </c>
      <c r="N296" s="229">
        <f t="shared" si="27"/>
        <v>18</v>
      </c>
      <c r="O296" s="229">
        <f t="shared" si="27"/>
        <v>18</v>
      </c>
      <c r="P296" s="229">
        <f t="shared" si="27"/>
        <v>18</v>
      </c>
      <c r="Q296" s="229">
        <f t="shared" si="27"/>
        <v>18</v>
      </c>
      <c r="R296" s="5"/>
      <c r="S296" s="25"/>
      <c r="T296" s="5"/>
    </row>
    <row r="297" spans="1:20" s="3" customFormat="1" x14ac:dyDescent="0.25">
      <c r="A297" s="21" t="s">
        <v>450</v>
      </c>
      <c r="B297" s="246" t="s">
        <v>361</v>
      </c>
      <c r="C297" s="246"/>
      <c r="D297" s="246"/>
      <c r="E297" s="246" t="s">
        <v>10</v>
      </c>
      <c r="F297" s="202" t="s">
        <v>52</v>
      </c>
      <c r="G297" s="55"/>
      <c r="H297" s="55"/>
      <c r="I297" s="55"/>
      <c r="J297" s="55"/>
      <c r="K297" s="55"/>
      <c r="L297" s="55"/>
      <c r="M297" s="55"/>
      <c r="N297" s="55"/>
      <c r="O297" s="55"/>
      <c r="P297" s="55"/>
      <c r="Q297" s="55"/>
      <c r="R297" s="5"/>
      <c r="S297" s="25"/>
      <c r="T297" s="5"/>
    </row>
    <row r="298" spans="1:20" s="3" customFormat="1" x14ac:dyDescent="0.25">
      <c r="A298" s="21" t="s">
        <v>450</v>
      </c>
      <c r="B298" s="246" t="s">
        <v>309</v>
      </c>
      <c r="C298" s="246"/>
      <c r="D298" s="246"/>
      <c r="E298" s="246" t="s">
        <v>97</v>
      </c>
      <c r="F298" s="202" t="s">
        <v>52</v>
      </c>
      <c r="G298" s="271">
        <v>0.25</v>
      </c>
      <c r="H298" s="272">
        <f t="shared" ref="H298:Q298" si="28">G298</f>
        <v>0.25</v>
      </c>
      <c r="I298" s="272">
        <f t="shared" si="28"/>
        <v>0.25</v>
      </c>
      <c r="J298" s="272">
        <f t="shared" si="28"/>
        <v>0.25</v>
      </c>
      <c r="K298" s="272">
        <f t="shared" si="28"/>
        <v>0.25</v>
      </c>
      <c r="L298" s="272">
        <f t="shared" si="28"/>
        <v>0.25</v>
      </c>
      <c r="M298" s="272">
        <f t="shared" si="28"/>
        <v>0.25</v>
      </c>
      <c r="N298" s="272">
        <f t="shared" si="28"/>
        <v>0.25</v>
      </c>
      <c r="O298" s="272">
        <f t="shared" si="28"/>
        <v>0.25</v>
      </c>
      <c r="P298" s="272">
        <f t="shared" si="28"/>
        <v>0.25</v>
      </c>
      <c r="Q298" s="272">
        <f t="shared" si="28"/>
        <v>0.25</v>
      </c>
      <c r="R298" s="5"/>
      <c r="S298" s="25"/>
      <c r="T298" s="5"/>
    </row>
    <row r="299" spans="1:20" s="3" customFormat="1" x14ac:dyDescent="0.25">
      <c r="A299" s="21" t="s">
        <v>450</v>
      </c>
      <c r="B299" s="246" t="s">
        <v>358</v>
      </c>
      <c r="C299" s="246"/>
      <c r="D299" s="246"/>
      <c r="E299" s="246" t="s">
        <v>97</v>
      </c>
      <c r="F299" s="202" t="s">
        <v>52</v>
      </c>
      <c r="G299" s="271"/>
      <c r="H299" s="271"/>
      <c r="I299" s="271"/>
      <c r="J299" s="271"/>
      <c r="K299" s="271"/>
      <c r="L299" s="271"/>
      <c r="M299" s="271"/>
      <c r="N299" s="271"/>
      <c r="O299" s="271"/>
      <c r="P299" s="271"/>
      <c r="Q299" s="271"/>
      <c r="R299" s="5"/>
      <c r="S299" s="25"/>
      <c r="T299" s="5"/>
    </row>
    <row r="300" spans="1:20" s="3" customFormat="1" x14ac:dyDescent="0.25">
      <c r="A300" s="21" t="s">
        <v>450</v>
      </c>
      <c r="B300" s="246" t="s">
        <v>357</v>
      </c>
      <c r="C300" s="246"/>
      <c r="D300" s="246"/>
      <c r="E300" s="246" t="s">
        <v>97</v>
      </c>
      <c r="F300" s="202" t="s">
        <v>52</v>
      </c>
      <c r="G300" s="271"/>
      <c r="H300" s="271"/>
      <c r="I300" s="271"/>
      <c r="J300" s="271"/>
      <c r="K300" s="271"/>
      <c r="L300" s="271"/>
      <c r="M300" s="271"/>
      <c r="N300" s="271"/>
      <c r="O300" s="271"/>
      <c r="P300" s="271"/>
      <c r="Q300" s="271"/>
      <c r="R300" s="5"/>
      <c r="S300" s="25"/>
      <c r="T300" s="5"/>
    </row>
    <row r="301" spans="1:20" s="3" customFormat="1" x14ac:dyDescent="0.25">
      <c r="A301" s="21" t="s">
        <v>450</v>
      </c>
      <c r="B301" s="246" t="s">
        <v>75</v>
      </c>
      <c r="C301" s="246"/>
      <c r="D301" s="246"/>
      <c r="E301" s="246" t="s">
        <v>97</v>
      </c>
      <c r="F301" s="202" t="s">
        <v>52</v>
      </c>
      <c r="G301" s="271">
        <v>0.94</v>
      </c>
      <c r="H301" s="271"/>
      <c r="I301" s="271"/>
      <c r="J301" s="271"/>
      <c r="K301" s="271"/>
      <c r="L301" s="271"/>
      <c r="M301" s="271"/>
      <c r="N301" s="271"/>
      <c r="O301" s="271"/>
      <c r="P301" s="271"/>
      <c r="Q301" s="271"/>
      <c r="R301" s="5"/>
      <c r="S301" s="25"/>
      <c r="T301" s="5"/>
    </row>
    <row r="302" spans="1:20" s="3" customFormat="1" x14ac:dyDescent="0.25">
      <c r="A302" s="21" t="s">
        <v>450</v>
      </c>
      <c r="B302" s="68" t="s">
        <v>148</v>
      </c>
      <c r="C302" s="68"/>
      <c r="D302" s="251"/>
      <c r="E302" s="68" t="s">
        <v>97</v>
      </c>
      <c r="F302" s="202" t="s">
        <v>52</v>
      </c>
      <c r="G302" s="271"/>
      <c r="H302" s="271"/>
      <c r="I302" s="271"/>
      <c r="J302" s="271"/>
      <c r="K302" s="271"/>
      <c r="L302" s="271"/>
      <c r="M302" s="271"/>
      <c r="N302" s="271"/>
      <c r="O302" s="271"/>
      <c r="P302" s="271"/>
      <c r="Q302" s="271"/>
      <c r="R302" s="5"/>
      <c r="S302" s="25"/>
      <c r="T302" s="5"/>
    </row>
    <row r="303" spans="1:20" s="3" customFormat="1" x14ac:dyDescent="0.25">
      <c r="A303" s="21" t="s">
        <v>450</v>
      </c>
      <c r="B303" s="68" t="s">
        <v>149</v>
      </c>
      <c r="C303" s="68"/>
      <c r="D303" s="251"/>
      <c r="E303" s="68" t="s">
        <v>97</v>
      </c>
      <c r="F303" s="202" t="s">
        <v>52</v>
      </c>
      <c r="G303" s="271"/>
      <c r="H303" s="271"/>
      <c r="I303" s="271"/>
      <c r="J303" s="271"/>
      <c r="K303" s="271"/>
      <c r="L303" s="271"/>
      <c r="M303" s="271"/>
      <c r="N303" s="271"/>
      <c r="O303" s="271"/>
      <c r="P303" s="271"/>
      <c r="Q303" s="271"/>
      <c r="R303" s="5"/>
      <c r="S303" s="25"/>
      <c r="T303" s="5"/>
    </row>
    <row r="304" spans="1:20" s="3" customFormat="1" x14ac:dyDescent="0.25">
      <c r="A304" s="21" t="s">
        <v>450</v>
      </c>
      <c r="B304" s="68" t="s">
        <v>370</v>
      </c>
      <c r="C304" s="68"/>
      <c r="D304" s="251"/>
      <c r="E304" s="68" t="s">
        <v>97</v>
      </c>
      <c r="F304" s="202" t="s">
        <v>52</v>
      </c>
      <c r="G304" s="271"/>
      <c r="H304" s="271"/>
      <c r="I304" s="271"/>
      <c r="J304" s="271"/>
      <c r="K304" s="271"/>
      <c r="L304" s="271"/>
      <c r="M304" s="271"/>
      <c r="N304" s="271"/>
      <c r="O304" s="271"/>
      <c r="P304" s="271"/>
      <c r="Q304" s="271"/>
      <c r="R304" s="5"/>
      <c r="S304" s="25"/>
      <c r="T304" s="5"/>
    </row>
    <row r="305" spans="1:20" s="3" customFormat="1" x14ac:dyDescent="0.25">
      <c r="A305" s="21" t="s">
        <v>450</v>
      </c>
      <c r="B305" s="68" t="s">
        <v>371</v>
      </c>
      <c r="C305" s="68"/>
      <c r="D305" s="251"/>
      <c r="E305" s="68" t="s">
        <v>97</v>
      </c>
      <c r="F305" s="202" t="s">
        <v>52</v>
      </c>
      <c r="G305" s="271"/>
      <c r="H305" s="271"/>
      <c r="I305" s="271"/>
      <c r="J305" s="271"/>
      <c r="K305" s="271"/>
      <c r="L305" s="271"/>
      <c r="M305" s="271"/>
      <c r="N305" s="271"/>
      <c r="O305" s="271"/>
      <c r="P305" s="271"/>
      <c r="Q305" s="271"/>
      <c r="R305" s="5"/>
      <c r="S305" s="25"/>
      <c r="T305" s="5"/>
    </row>
    <row r="306" spans="1:20" s="3" customFormat="1" x14ac:dyDescent="0.25">
      <c r="A306" s="21" t="s">
        <v>450</v>
      </c>
      <c r="B306" s="246" t="s">
        <v>338</v>
      </c>
      <c r="C306" s="246"/>
      <c r="D306" s="246"/>
      <c r="E306" s="246" t="s">
        <v>34</v>
      </c>
      <c r="F306" s="202" t="s">
        <v>52</v>
      </c>
      <c r="G306" s="55"/>
      <c r="H306" s="55"/>
      <c r="I306" s="55"/>
      <c r="J306" s="55"/>
      <c r="K306" s="55"/>
      <c r="L306" s="55"/>
      <c r="M306" s="55"/>
      <c r="N306" s="55"/>
      <c r="O306" s="55"/>
      <c r="P306" s="55"/>
      <c r="Q306" s="55"/>
      <c r="R306" s="5"/>
      <c r="S306" s="25"/>
      <c r="T306" s="5"/>
    </row>
    <row r="307" spans="1:20" s="3" customFormat="1" x14ac:dyDescent="0.25">
      <c r="A307" s="21" t="s">
        <v>450</v>
      </c>
      <c r="B307" s="246" t="s">
        <v>152</v>
      </c>
      <c r="C307" s="246"/>
      <c r="D307" s="246"/>
      <c r="E307" s="246" t="s">
        <v>321</v>
      </c>
      <c r="F307" s="202" t="s">
        <v>52</v>
      </c>
      <c r="G307" s="276">
        <f>G397/2</f>
        <v>1782.5</v>
      </c>
      <c r="H307" s="229">
        <f>G307</f>
        <v>1782.5</v>
      </c>
      <c r="I307" s="229">
        <f t="shared" ref="I307:Q307" si="29">H307</f>
        <v>1782.5</v>
      </c>
      <c r="J307" s="229">
        <f t="shared" si="29"/>
        <v>1782.5</v>
      </c>
      <c r="K307" s="229">
        <f t="shared" si="29"/>
        <v>1782.5</v>
      </c>
      <c r="L307" s="229">
        <f t="shared" si="29"/>
        <v>1782.5</v>
      </c>
      <c r="M307" s="229">
        <f t="shared" si="29"/>
        <v>1782.5</v>
      </c>
      <c r="N307" s="229">
        <f t="shared" si="29"/>
        <v>1782.5</v>
      </c>
      <c r="O307" s="229">
        <f t="shared" si="29"/>
        <v>1782.5</v>
      </c>
      <c r="P307" s="229">
        <f t="shared" si="29"/>
        <v>1782.5</v>
      </c>
      <c r="Q307" s="229">
        <f t="shared" si="29"/>
        <v>1782.5</v>
      </c>
      <c r="R307" s="5"/>
      <c r="S307" s="25"/>
      <c r="T307" s="5"/>
    </row>
    <row r="308" spans="1:20" s="3" customFormat="1" x14ac:dyDescent="0.25">
      <c r="A308" s="21" t="s">
        <v>450</v>
      </c>
      <c r="B308" s="246" t="s">
        <v>383</v>
      </c>
      <c r="C308" s="246"/>
      <c r="D308" s="246"/>
      <c r="E308" s="246" t="s">
        <v>97</v>
      </c>
      <c r="F308" s="202" t="s">
        <v>52</v>
      </c>
      <c r="G308" s="271"/>
      <c r="H308" s="271"/>
      <c r="I308" s="271"/>
      <c r="J308" s="271"/>
      <c r="K308" s="271"/>
      <c r="L308" s="271"/>
      <c r="M308" s="271"/>
      <c r="N308" s="271"/>
      <c r="O308" s="271"/>
      <c r="P308" s="271"/>
      <c r="Q308" s="271"/>
      <c r="R308" s="5"/>
      <c r="S308" s="25"/>
      <c r="T308" s="5"/>
    </row>
    <row r="309" spans="1:20" s="3" customFormat="1" x14ac:dyDescent="0.25">
      <c r="A309" s="21" t="s">
        <v>450</v>
      </c>
      <c r="B309" s="246" t="s">
        <v>446</v>
      </c>
      <c r="C309" s="246"/>
      <c r="D309" s="246"/>
      <c r="E309" s="246" t="s">
        <v>34</v>
      </c>
      <c r="F309" s="202" t="s">
        <v>52</v>
      </c>
      <c r="G309" s="55"/>
      <c r="H309" s="55"/>
      <c r="I309" s="55"/>
      <c r="J309" s="55"/>
      <c r="K309" s="55"/>
      <c r="L309" s="55"/>
      <c r="M309" s="55"/>
      <c r="N309" s="55"/>
      <c r="O309" s="55"/>
      <c r="P309" s="55"/>
      <c r="Q309" s="55"/>
      <c r="R309" s="5"/>
      <c r="S309" s="25"/>
      <c r="T309" s="5"/>
    </row>
    <row r="310" spans="1:20" s="3" customFormat="1" x14ac:dyDescent="0.25">
      <c r="A310" s="21" t="s">
        <v>450</v>
      </c>
      <c r="B310" s="246" t="s">
        <v>387</v>
      </c>
      <c r="C310" s="246"/>
      <c r="D310" s="246"/>
      <c r="E310" s="246"/>
      <c r="F310" s="202" t="s">
        <v>52</v>
      </c>
      <c r="G310" s="54"/>
      <c r="H310" s="54"/>
      <c r="I310" s="54"/>
      <c r="J310" s="54"/>
      <c r="K310" s="54"/>
      <c r="L310" s="54"/>
      <c r="M310" s="54"/>
      <c r="N310" s="54"/>
      <c r="O310" s="54"/>
      <c r="P310" s="54"/>
      <c r="Q310" s="54"/>
      <c r="R310" s="5"/>
      <c r="S310" s="25"/>
      <c r="T310" s="5"/>
    </row>
    <row r="311" spans="1:20" s="3" customFormat="1" x14ac:dyDescent="0.25">
      <c r="A311" s="21" t="s">
        <v>450</v>
      </c>
      <c r="B311" s="246" t="s">
        <v>369</v>
      </c>
      <c r="C311" s="246"/>
      <c r="D311" s="246"/>
      <c r="E311" s="246" t="s">
        <v>97</v>
      </c>
      <c r="F311" s="202" t="s">
        <v>52</v>
      </c>
      <c r="G311" s="271"/>
      <c r="H311" s="271"/>
      <c r="I311" s="271"/>
      <c r="J311" s="271"/>
      <c r="K311" s="271"/>
      <c r="L311" s="271"/>
      <c r="M311" s="271"/>
      <c r="N311" s="271"/>
      <c r="O311" s="271"/>
      <c r="P311" s="271"/>
      <c r="Q311" s="271"/>
      <c r="R311" s="5"/>
      <c r="S311" s="25"/>
      <c r="T311" s="5"/>
    </row>
    <row r="312" spans="1:20" s="3" customFormat="1" x14ac:dyDescent="0.25">
      <c r="A312" s="21" t="s">
        <v>450</v>
      </c>
      <c r="B312" s="246" t="s">
        <v>392</v>
      </c>
      <c r="C312" s="246"/>
      <c r="D312" s="246"/>
      <c r="E312" s="246" t="s">
        <v>321</v>
      </c>
      <c r="F312" s="202" t="s">
        <v>52</v>
      </c>
      <c r="G312" s="55"/>
      <c r="H312" s="55"/>
      <c r="I312" s="55"/>
      <c r="J312" s="55"/>
      <c r="K312" s="55"/>
      <c r="L312" s="55"/>
      <c r="M312" s="55"/>
      <c r="N312" s="55"/>
      <c r="O312" s="55"/>
      <c r="P312" s="55"/>
      <c r="Q312" s="55"/>
      <c r="R312" s="5"/>
      <c r="S312" s="25"/>
      <c r="T312" s="5"/>
    </row>
    <row r="313" spans="1:20" s="3" customFormat="1" x14ac:dyDescent="0.25">
      <c r="A313" s="21" t="s">
        <v>450</v>
      </c>
      <c r="B313" s="246" t="s">
        <v>394</v>
      </c>
      <c r="C313" s="246"/>
      <c r="D313" s="246"/>
      <c r="E313" s="246" t="s">
        <v>321</v>
      </c>
      <c r="F313" s="202" t="s">
        <v>52</v>
      </c>
      <c r="G313" s="55"/>
      <c r="H313" s="55"/>
      <c r="I313" s="55"/>
      <c r="J313" s="55"/>
      <c r="K313" s="55"/>
      <c r="L313" s="55"/>
      <c r="M313" s="55"/>
      <c r="N313" s="55"/>
      <c r="O313" s="55"/>
      <c r="P313" s="55"/>
      <c r="Q313" s="55"/>
      <c r="R313" s="5"/>
      <c r="S313" s="25"/>
      <c r="T313" s="5"/>
    </row>
    <row r="314" spans="1:20" s="3" customFormat="1" x14ac:dyDescent="0.25">
      <c r="A314" s="21" t="s">
        <v>450</v>
      </c>
      <c r="B314" s="246" t="s">
        <v>395</v>
      </c>
      <c r="C314" s="246"/>
      <c r="D314" s="246"/>
      <c r="E314" s="246"/>
      <c r="F314" s="202" t="s">
        <v>52</v>
      </c>
      <c r="G314" s="54"/>
      <c r="H314" s="54"/>
      <c r="I314" s="54"/>
      <c r="J314" s="54"/>
      <c r="K314" s="54"/>
      <c r="L314" s="54"/>
      <c r="M314" s="54"/>
      <c r="N314" s="54"/>
      <c r="O314" s="54"/>
      <c r="P314" s="54"/>
      <c r="Q314" s="54"/>
      <c r="R314" s="5"/>
      <c r="S314" s="25"/>
      <c r="T314" s="5"/>
    </row>
    <row r="315" spans="1:20" s="3" customFormat="1" x14ac:dyDescent="0.25">
      <c r="A315" s="21" t="s">
        <v>450</v>
      </c>
      <c r="B315" s="246" t="s">
        <v>396</v>
      </c>
      <c r="C315" s="246"/>
      <c r="D315" s="246"/>
      <c r="E315" s="246"/>
      <c r="F315" s="202" t="s">
        <v>52</v>
      </c>
      <c r="G315" s="54"/>
      <c r="H315" s="54"/>
      <c r="I315" s="54"/>
      <c r="J315" s="54"/>
      <c r="K315" s="54"/>
      <c r="L315" s="54"/>
      <c r="M315" s="54"/>
      <c r="N315" s="54"/>
      <c r="O315" s="54"/>
      <c r="P315" s="54"/>
      <c r="Q315" s="54"/>
      <c r="R315" s="5"/>
      <c r="S315" s="25"/>
      <c r="T315" s="5"/>
    </row>
    <row r="316" spans="1:20" s="3" customFormat="1" x14ac:dyDescent="0.25">
      <c r="A316" s="21" t="s">
        <v>450</v>
      </c>
      <c r="B316" s="246" t="s">
        <v>393</v>
      </c>
      <c r="C316" s="246"/>
      <c r="D316" s="246"/>
      <c r="E316" s="246" t="s">
        <v>322</v>
      </c>
      <c r="F316" s="202" t="s">
        <v>52</v>
      </c>
      <c r="G316" s="55"/>
      <c r="H316" s="55"/>
      <c r="I316" s="55"/>
      <c r="J316" s="55"/>
      <c r="K316" s="55"/>
      <c r="L316" s="55"/>
      <c r="M316" s="55"/>
      <c r="N316" s="55"/>
      <c r="O316" s="55"/>
      <c r="P316" s="55"/>
      <c r="Q316" s="55"/>
      <c r="R316" s="5"/>
      <c r="S316" s="25"/>
      <c r="T316" s="5"/>
    </row>
    <row r="317" spans="1:20" s="3" customFormat="1" x14ac:dyDescent="0.25">
      <c r="A317" s="21" t="s">
        <v>450</v>
      </c>
      <c r="B317" s="246" t="s">
        <v>397</v>
      </c>
      <c r="C317" s="246"/>
      <c r="D317" s="246"/>
      <c r="E317" s="246" t="s">
        <v>322</v>
      </c>
      <c r="F317" s="202" t="s">
        <v>52</v>
      </c>
      <c r="G317" s="55"/>
      <c r="H317" s="55"/>
      <c r="I317" s="55"/>
      <c r="J317" s="55"/>
      <c r="K317" s="55"/>
      <c r="L317" s="55"/>
      <c r="M317" s="55"/>
      <c r="N317" s="55"/>
      <c r="O317" s="55"/>
      <c r="P317" s="55"/>
      <c r="Q317" s="55"/>
      <c r="R317" s="5"/>
      <c r="S317" s="25"/>
      <c r="T317" s="5"/>
    </row>
    <row r="318" spans="1:20" s="3" customFormat="1" x14ac:dyDescent="0.25">
      <c r="A318" s="21" t="s">
        <v>450</v>
      </c>
      <c r="B318" s="246" t="s">
        <v>398</v>
      </c>
      <c r="C318" s="246"/>
      <c r="D318" s="246"/>
      <c r="E318" s="246"/>
      <c r="F318" s="202" t="s">
        <v>52</v>
      </c>
      <c r="G318" s="54"/>
      <c r="H318" s="54"/>
      <c r="I318" s="54"/>
      <c r="J318" s="54"/>
      <c r="K318" s="54"/>
      <c r="L318" s="54"/>
      <c r="M318" s="54"/>
      <c r="N318" s="54"/>
      <c r="O318" s="54"/>
      <c r="P318" s="54"/>
      <c r="Q318" s="54"/>
      <c r="R318" s="5"/>
      <c r="S318" s="25"/>
      <c r="T318" s="5"/>
    </row>
    <row r="319" spans="1:20" s="3" customFormat="1" x14ac:dyDescent="0.25">
      <c r="A319" s="21" t="s">
        <v>450</v>
      </c>
      <c r="B319" s="246" t="s">
        <v>399</v>
      </c>
      <c r="C319" s="246"/>
      <c r="D319" s="246"/>
      <c r="E319" s="246"/>
      <c r="F319" s="202" t="s">
        <v>52</v>
      </c>
      <c r="G319" s="54"/>
      <c r="H319" s="54"/>
      <c r="I319" s="54"/>
      <c r="J319" s="54"/>
      <c r="K319" s="54"/>
      <c r="L319" s="54"/>
      <c r="M319" s="54"/>
      <c r="N319" s="54"/>
      <c r="O319" s="54"/>
      <c r="P319" s="54"/>
      <c r="Q319" s="54"/>
      <c r="R319" s="5"/>
      <c r="S319" s="25"/>
      <c r="T319" s="5"/>
    </row>
    <row r="320" spans="1:20" s="3" customFormat="1" x14ac:dyDescent="0.25">
      <c r="A320" s="21" t="s">
        <v>450</v>
      </c>
      <c r="B320" s="246" t="s">
        <v>310</v>
      </c>
      <c r="C320" s="246"/>
      <c r="D320" s="246"/>
      <c r="E320" s="246" t="s">
        <v>322</v>
      </c>
      <c r="F320" s="202" t="s">
        <v>52</v>
      </c>
      <c r="G320" s="55"/>
      <c r="H320" s="55"/>
      <c r="I320" s="55"/>
      <c r="J320" s="55"/>
      <c r="K320" s="55"/>
      <c r="L320" s="55"/>
      <c r="M320" s="55"/>
      <c r="N320" s="55"/>
      <c r="O320" s="55"/>
      <c r="P320" s="55"/>
      <c r="Q320" s="55"/>
      <c r="R320" s="5"/>
      <c r="S320" s="25"/>
      <c r="T320" s="5"/>
    </row>
    <row r="321" spans="1:20" s="3" customFormat="1" x14ac:dyDescent="0.25">
      <c r="A321" s="21" t="s">
        <v>450</v>
      </c>
      <c r="B321" s="246" t="s">
        <v>360</v>
      </c>
      <c r="C321" s="246"/>
      <c r="D321" s="246"/>
      <c r="E321" s="246" t="s">
        <v>321</v>
      </c>
      <c r="F321" s="202" t="s">
        <v>52</v>
      </c>
      <c r="G321" s="55"/>
      <c r="H321" s="55"/>
      <c r="I321" s="55"/>
      <c r="J321" s="55"/>
      <c r="K321" s="55"/>
      <c r="L321" s="55"/>
      <c r="M321" s="55"/>
      <c r="N321" s="55"/>
      <c r="O321" s="55"/>
      <c r="P321" s="55"/>
      <c r="Q321" s="55"/>
      <c r="R321" s="5"/>
      <c r="S321" s="25"/>
      <c r="T321" s="5"/>
    </row>
    <row r="322" spans="1:20" s="3" customFormat="1" x14ac:dyDescent="0.25">
      <c r="A322" s="21" t="s">
        <v>450</v>
      </c>
      <c r="B322" s="67" t="s">
        <v>306</v>
      </c>
      <c r="C322" s="25"/>
      <c r="D322" s="67" t="s">
        <v>475</v>
      </c>
      <c r="E322" s="67" t="s">
        <v>334</v>
      </c>
      <c r="F322" s="202" t="s">
        <v>52</v>
      </c>
      <c r="G322" s="282">
        <f>1/0.62</f>
        <v>1.6129032258064517</v>
      </c>
      <c r="H322" s="282">
        <f t="shared" ref="H322:Q322" si="30">1/0.62</f>
        <v>1.6129032258064517</v>
      </c>
      <c r="I322" s="282">
        <f t="shared" si="30"/>
        <v>1.6129032258064517</v>
      </c>
      <c r="J322" s="282">
        <f t="shared" si="30"/>
        <v>1.6129032258064517</v>
      </c>
      <c r="K322" s="282">
        <f t="shared" si="30"/>
        <v>1.6129032258064517</v>
      </c>
      <c r="L322" s="282">
        <f t="shared" si="30"/>
        <v>1.6129032258064517</v>
      </c>
      <c r="M322" s="282">
        <f t="shared" si="30"/>
        <v>1.6129032258064517</v>
      </c>
      <c r="N322" s="282">
        <f t="shared" si="30"/>
        <v>1.6129032258064517</v>
      </c>
      <c r="O322" s="282">
        <f t="shared" si="30"/>
        <v>1.6129032258064517</v>
      </c>
      <c r="P322" s="282">
        <f t="shared" si="30"/>
        <v>1.6129032258064517</v>
      </c>
      <c r="Q322" s="282">
        <f t="shared" si="30"/>
        <v>1.6129032258064517</v>
      </c>
      <c r="R322" s="5"/>
      <c r="S322" s="25"/>
      <c r="T322" s="5"/>
    </row>
    <row r="323" spans="1:20" s="3" customFormat="1" x14ac:dyDescent="0.25">
      <c r="A323" s="21" t="s">
        <v>450</v>
      </c>
      <c r="B323" s="67" t="s">
        <v>51</v>
      </c>
      <c r="C323" s="25"/>
      <c r="D323" s="2"/>
      <c r="E323" s="2"/>
      <c r="F323" s="202" t="s">
        <v>54</v>
      </c>
      <c r="G323" s="4"/>
      <c r="H323" s="4"/>
      <c r="I323" s="4"/>
      <c r="J323" s="4"/>
      <c r="K323" s="4"/>
      <c r="L323" s="4"/>
      <c r="M323" s="4"/>
      <c r="N323" s="4"/>
      <c r="O323" s="4"/>
      <c r="P323" s="4"/>
      <c r="Q323" s="4"/>
      <c r="R323" s="5"/>
      <c r="S323" s="25"/>
      <c r="T323" s="5"/>
    </row>
    <row r="324" spans="1:20" s="3" customFormat="1" x14ac:dyDescent="0.25">
      <c r="A324" s="21" t="s">
        <v>450</v>
      </c>
      <c r="B324" s="246" t="s">
        <v>38</v>
      </c>
      <c r="C324" s="246"/>
      <c r="D324" s="246"/>
      <c r="E324" s="246" t="s">
        <v>40</v>
      </c>
      <c r="F324" s="202" t="s">
        <v>54</v>
      </c>
      <c r="G324" s="277">
        <v>2000</v>
      </c>
      <c r="H324" s="278">
        <f t="shared" ref="H324:Q326" si="31">G324</f>
        <v>2000</v>
      </c>
      <c r="I324" s="278">
        <f t="shared" si="31"/>
        <v>2000</v>
      </c>
      <c r="J324" s="278">
        <f t="shared" si="31"/>
        <v>2000</v>
      </c>
      <c r="K324" s="278">
        <f t="shared" si="31"/>
        <v>2000</v>
      </c>
      <c r="L324" s="278">
        <f t="shared" si="31"/>
        <v>2000</v>
      </c>
      <c r="M324" s="278">
        <f t="shared" si="31"/>
        <v>2000</v>
      </c>
      <c r="N324" s="278">
        <f t="shared" si="31"/>
        <v>2000</v>
      </c>
      <c r="O324" s="278">
        <f t="shared" si="31"/>
        <v>2000</v>
      </c>
      <c r="P324" s="278">
        <f t="shared" si="31"/>
        <v>2000</v>
      </c>
      <c r="Q324" s="278">
        <f t="shared" si="31"/>
        <v>2000</v>
      </c>
      <c r="R324" s="5"/>
      <c r="S324" s="25"/>
      <c r="T324" s="5"/>
    </row>
    <row r="325" spans="1:20" s="3" customFormat="1" x14ac:dyDescent="0.25">
      <c r="A325" s="21" t="s">
        <v>450</v>
      </c>
      <c r="B325" s="246" t="s">
        <v>37</v>
      </c>
      <c r="C325" s="246"/>
      <c r="D325" s="246"/>
      <c r="E325" s="246" t="s">
        <v>40</v>
      </c>
      <c r="F325" s="202" t="s">
        <v>54</v>
      </c>
      <c r="G325" s="277">
        <v>2100</v>
      </c>
      <c r="H325" s="278">
        <f t="shared" si="31"/>
        <v>2100</v>
      </c>
      <c r="I325" s="278">
        <f t="shared" si="31"/>
        <v>2100</v>
      </c>
      <c r="J325" s="278">
        <f t="shared" si="31"/>
        <v>2100</v>
      </c>
      <c r="K325" s="278">
        <f t="shared" si="31"/>
        <v>2100</v>
      </c>
      <c r="L325" s="278">
        <f t="shared" si="31"/>
        <v>2100</v>
      </c>
      <c r="M325" s="278">
        <f t="shared" si="31"/>
        <v>2100</v>
      </c>
      <c r="N325" s="278">
        <f t="shared" si="31"/>
        <v>2100</v>
      </c>
      <c r="O325" s="278">
        <f t="shared" si="31"/>
        <v>2100</v>
      </c>
      <c r="P325" s="278">
        <f t="shared" si="31"/>
        <v>2100</v>
      </c>
      <c r="Q325" s="278">
        <f t="shared" si="31"/>
        <v>2100</v>
      </c>
      <c r="R325" s="5"/>
      <c r="S325" s="25"/>
      <c r="T325" s="5"/>
    </row>
    <row r="326" spans="1:20" s="3" customFormat="1" x14ac:dyDescent="0.25">
      <c r="A326" s="21" t="s">
        <v>450</v>
      </c>
      <c r="B326" s="246" t="s">
        <v>39</v>
      </c>
      <c r="C326" s="246"/>
      <c r="D326" s="246"/>
      <c r="E326" s="246" t="s">
        <v>10</v>
      </c>
      <c r="F326" s="202" t="s">
        <v>54</v>
      </c>
      <c r="G326" s="55">
        <v>12</v>
      </c>
      <c r="H326" s="229">
        <f t="shared" si="31"/>
        <v>12</v>
      </c>
      <c r="I326" s="229">
        <f t="shared" si="31"/>
        <v>12</v>
      </c>
      <c r="J326" s="229">
        <f t="shared" si="31"/>
        <v>12</v>
      </c>
      <c r="K326" s="229">
        <f t="shared" si="31"/>
        <v>12</v>
      </c>
      <c r="L326" s="229">
        <f t="shared" si="31"/>
        <v>12</v>
      </c>
      <c r="M326" s="229">
        <f t="shared" si="31"/>
        <v>12</v>
      </c>
      <c r="N326" s="229">
        <f t="shared" si="31"/>
        <v>12</v>
      </c>
      <c r="O326" s="229">
        <f t="shared" si="31"/>
        <v>12</v>
      </c>
      <c r="P326" s="229">
        <f t="shared" si="31"/>
        <v>12</v>
      </c>
      <c r="Q326" s="229">
        <f t="shared" si="31"/>
        <v>12</v>
      </c>
      <c r="R326" s="5"/>
      <c r="S326" s="25"/>
      <c r="T326" s="5"/>
    </row>
    <row r="327" spans="1:20" s="3" customFormat="1" x14ac:dyDescent="0.25">
      <c r="A327" s="21" t="s">
        <v>450</v>
      </c>
      <c r="B327" s="246" t="s">
        <v>361</v>
      </c>
      <c r="C327" s="246"/>
      <c r="D327" s="246"/>
      <c r="E327" s="246" t="s">
        <v>10</v>
      </c>
      <c r="F327" s="202" t="s">
        <v>54</v>
      </c>
      <c r="G327" s="55"/>
      <c r="H327" s="55"/>
      <c r="I327" s="55"/>
      <c r="J327" s="55"/>
      <c r="K327" s="55"/>
      <c r="L327" s="55"/>
      <c r="M327" s="55"/>
      <c r="N327" s="55"/>
      <c r="O327" s="55"/>
      <c r="P327" s="55"/>
      <c r="Q327" s="55"/>
      <c r="R327" s="5"/>
      <c r="S327" s="25"/>
      <c r="T327" s="5"/>
    </row>
    <row r="328" spans="1:20" s="3" customFormat="1" x14ac:dyDescent="0.25">
      <c r="A328" s="21" t="s">
        <v>450</v>
      </c>
      <c r="B328" s="246" t="s">
        <v>309</v>
      </c>
      <c r="C328" s="246"/>
      <c r="D328" s="246"/>
      <c r="E328" s="246" t="s">
        <v>97</v>
      </c>
      <c r="F328" s="202" t="s">
        <v>54</v>
      </c>
      <c r="G328" s="271">
        <v>0.25</v>
      </c>
      <c r="H328" s="272">
        <f t="shared" ref="H328:Q328" si="32">G328</f>
        <v>0.25</v>
      </c>
      <c r="I328" s="272">
        <f t="shared" si="32"/>
        <v>0.25</v>
      </c>
      <c r="J328" s="272">
        <f t="shared" si="32"/>
        <v>0.25</v>
      </c>
      <c r="K328" s="272">
        <f t="shared" si="32"/>
        <v>0.25</v>
      </c>
      <c r="L328" s="272">
        <f t="shared" si="32"/>
        <v>0.25</v>
      </c>
      <c r="M328" s="272">
        <f t="shared" si="32"/>
        <v>0.25</v>
      </c>
      <c r="N328" s="272">
        <f t="shared" si="32"/>
        <v>0.25</v>
      </c>
      <c r="O328" s="272">
        <f t="shared" si="32"/>
        <v>0.25</v>
      </c>
      <c r="P328" s="272">
        <f t="shared" si="32"/>
        <v>0.25</v>
      </c>
      <c r="Q328" s="272">
        <f t="shared" si="32"/>
        <v>0.25</v>
      </c>
      <c r="R328" s="5"/>
      <c r="S328" s="25"/>
      <c r="T328" s="5"/>
    </row>
    <row r="329" spans="1:20" s="3" customFormat="1" x14ac:dyDescent="0.25">
      <c r="A329" s="21" t="s">
        <v>450</v>
      </c>
      <c r="B329" s="246" t="s">
        <v>358</v>
      </c>
      <c r="C329" s="246"/>
      <c r="D329" s="246"/>
      <c r="E329" s="246" t="s">
        <v>97</v>
      </c>
      <c r="F329" s="202" t="s">
        <v>54</v>
      </c>
      <c r="G329" s="271"/>
      <c r="H329" s="271"/>
      <c r="I329" s="271"/>
      <c r="J329" s="271"/>
      <c r="K329" s="271"/>
      <c r="L329" s="271"/>
      <c r="M329" s="271"/>
      <c r="N329" s="271"/>
      <c r="O329" s="271"/>
      <c r="P329" s="271"/>
      <c r="Q329" s="271"/>
      <c r="R329" s="5"/>
      <c r="S329" s="25"/>
      <c r="T329" s="5"/>
    </row>
    <row r="330" spans="1:20" s="3" customFormat="1" x14ac:dyDescent="0.25">
      <c r="A330" s="21" t="s">
        <v>450</v>
      </c>
      <c r="B330" s="246" t="s">
        <v>357</v>
      </c>
      <c r="C330" s="246"/>
      <c r="D330" s="246"/>
      <c r="E330" s="246" t="s">
        <v>97</v>
      </c>
      <c r="F330" s="202" t="s">
        <v>54</v>
      </c>
      <c r="G330" s="271"/>
      <c r="H330" s="271"/>
      <c r="I330" s="271"/>
      <c r="J330" s="271"/>
      <c r="K330" s="271"/>
      <c r="L330" s="271"/>
      <c r="M330" s="271"/>
      <c r="N330" s="271"/>
      <c r="O330" s="271"/>
      <c r="P330" s="271"/>
      <c r="Q330" s="271"/>
      <c r="R330" s="5"/>
      <c r="S330" s="25"/>
      <c r="T330" s="5"/>
    </row>
    <row r="331" spans="1:20" s="3" customFormat="1" x14ac:dyDescent="0.25">
      <c r="A331" s="21" t="s">
        <v>450</v>
      </c>
      <c r="B331" s="246" t="s">
        <v>75</v>
      </c>
      <c r="C331" s="246"/>
      <c r="D331" s="246"/>
      <c r="E331" s="246" t="s">
        <v>97</v>
      </c>
      <c r="F331" s="202" t="s">
        <v>54</v>
      </c>
      <c r="G331" s="271">
        <v>0.01</v>
      </c>
      <c r="H331" s="271"/>
      <c r="I331" s="271"/>
      <c r="J331" s="271"/>
      <c r="K331" s="271"/>
      <c r="L331" s="271"/>
      <c r="M331" s="271"/>
      <c r="N331" s="271"/>
      <c r="O331" s="271"/>
      <c r="P331" s="271"/>
      <c r="Q331" s="271"/>
      <c r="R331" s="5"/>
      <c r="S331" s="25"/>
      <c r="T331" s="5"/>
    </row>
    <row r="332" spans="1:20" s="3" customFormat="1" x14ac:dyDescent="0.25">
      <c r="A332" s="21" t="s">
        <v>450</v>
      </c>
      <c r="B332" s="68" t="s">
        <v>148</v>
      </c>
      <c r="C332" s="68"/>
      <c r="D332" s="251"/>
      <c r="E332" s="68" t="s">
        <v>97</v>
      </c>
      <c r="F332" s="202" t="s">
        <v>54</v>
      </c>
      <c r="G332" s="271"/>
      <c r="H332" s="271"/>
      <c r="I332" s="271"/>
      <c r="J332" s="271"/>
      <c r="K332" s="271"/>
      <c r="L332" s="271"/>
      <c r="M332" s="271"/>
      <c r="N332" s="271"/>
      <c r="O332" s="271"/>
      <c r="P332" s="271"/>
      <c r="Q332" s="271"/>
      <c r="R332" s="5"/>
      <c r="S332" s="25"/>
      <c r="T332" s="5"/>
    </row>
    <row r="333" spans="1:20" s="3" customFormat="1" x14ac:dyDescent="0.25">
      <c r="A333" s="21" t="s">
        <v>450</v>
      </c>
      <c r="B333" s="68" t="s">
        <v>149</v>
      </c>
      <c r="C333" s="68"/>
      <c r="D333" s="251"/>
      <c r="E333" s="68" t="s">
        <v>97</v>
      </c>
      <c r="F333" s="202" t="s">
        <v>54</v>
      </c>
      <c r="G333" s="271"/>
      <c r="H333" s="271"/>
      <c r="I333" s="271"/>
      <c r="J333" s="271"/>
      <c r="K333" s="271"/>
      <c r="L333" s="271"/>
      <c r="M333" s="271"/>
      <c r="N333" s="271"/>
      <c r="O333" s="271"/>
      <c r="P333" s="271"/>
      <c r="Q333" s="271"/>
      <c r="R333" s="5"/>
      <c r="S333" s="25"/>
      <c r="T333" s="5"/>
    </row>
    <row r="334" spans="1:20" s="3" customFormat="1" x14ac:dyDescent="0.25">
      <c r="A334" s="21" t="s">
        <v>450</v>
      </c>
      <c r="B334" s="68" t="s">
        <v>370</v>
      </c>
      <c r="C334" s="68"/>
      <c r="D334" s="251"/>
      <c r="E334" s="68" t="s">
        <v>97</v>
      </c>
      <c r="F334" s="202" t="s">
        <v>54</v>
      </c>
      <c r="G334" s="271"/>
      <c r="H334" s="271"/>
      <c r="I334" s="271"/>
      <c r="J334" s="271"/>
      <c r="K334" s="271"/>
      <c r="L334" s="271"/>
      <c r="M334" s="271"/>
      <c r="N334" s="271"/>
      <c r="O334" s="271"/>
      <c r="P334" s="271"/>
      <c r="Q334" s="271"/>
      <c r="R334" s="5"/>
      <c r="S334" s="25"/>
      <c r="T334" s="5"/>
    </row>
    <row r="335" spans="1:20" s="3" customFormat="1" x14ac:dyDescent="0.25">
      <c r="A335" s="21" t="s">
        <v>450</v>
      </c>
      <c r="B335" s="68" t="s">
        <v>371</v>
      </c>
      <c r="C335" s="68"/>
      <c r="D335" s="251"/>
      <c r="E335" s="68" t="s">
        <v>97</v>
      </c>
      <c r="F335" s="202" t="s">
        <v>54</v>
      </c>
      <c r="G335" s="271"/>
      <c r="H335" s="271"/>
      <c r="I335" s="271"/>
      <c r="J335" s="271"/>
      <c r="K335" s="271"/>
      <c r="L335" s="271"/>
      <c r="M335" s="271"/>
      <c r="N335" s="271"/>
      <c r="O335" s="271"/>
      <c r="P335" s="271"/>
      <c r="Q335" s="271"/>
      <c r="R335" s="5"/>
      <c r="S335" s="25"/>
      <c r="T335" s="5"/>
    </row>
    <row r="336" spans="1:20" s="3" customFormat="1" x14ac:dyDescent="0.25">
      <c r="A336" s="21" t="s">
        <v>450</v>
      </c>
      <c r="B336" s="246" t="s">
        <v>338</v>
      </c>
      <c r="C336" s="246"/>
      <c r="D336" s="246"/>
      <c r="E336" s="246" t="s">
        <v>34</v>
      </c>
      <c r="F336" s="202" t="s">
        <v>54</v>
      </c>
      <c r="G336" s="55"/>
      <c r="H336" s="55"/>
      <c r="I336" s="55"/>
      <c r="J336" s="55"/>
      <c r="K336" s="55"/>
      <c r="L336" s="55"/>
      <c r="M336" s="55"/>
      <c r="N336" s="55"/>
      <c r="O336" s="55"/>
      <c r="P336" s="55"/>
      <c r="Q336" s="55"/>
      <c r="R336" s="5"/>
      <c r="S336" s="25"/>
      <c r="T336" s="5"/>
    </row>
    <row r="337" spans="1:20" s="3" customFormat="1" x14ac:dyDescent="0.25">
      <c r="A337" s="21" t="s">
        <v>450</v>
      </c>
      <c r="B337" s="246" t="s">
        <v>152</v>
      </c>
      <c r="C337" s="246"/>
      <c r="D337" s="246"/>
      <c r="E337" s="246" t="s">
        <v>321</v>
      </c>
      <c r="F337" s="202" t="s">
        <v>54</v>
      </c>
      <c r="G337" s="276">
        <v>4886</v>
      </c>
      <c r="H337" s="229">
        <f>G337*0.95</f>
        <v>4641.7</v>
      </c>
      <c r="I337" s="229">
        <f t="shared" ref="I337:Q337" si="33">H337*0.95</f>
        <v>4409.6149999999998</v>
      </c>
      <c r="J337" s="229">
        <f t="shared" si="33"/>
        <v>4189.1342499999992</v>
      </c>
      <c r="K337" s="229">
        <f t="shared" si="33"/>
        <v>3979.6775374999988</v>
      </c>
      <c r="L337" s="229">
        <f t="shared" si="33"/>
        <v>3780.6936606249988</v>
      </c>
      <c r="M337" s="229">
        <f t="shared" si="33"/>
        <v>3591.6589775937487</v>
      </c>
      <c r="N337" s="229">
        <f t="shared" si="33"/>
        <v>3412.0760287140611</v>
      </c>
      <c r="O337" s="229">
        <f t="shared" si="33"/>
        <v>3241.4722272783579</v>
      </c>
      <c r="P337" s="229">
        <f t="shared" si="33"/>
        <v>3079.3986159144397</v>
      </c>
      <c r="Q337" s="229">
        <f t="shared" si="33"/>
        <v>2925.4286851187176</v>
      </c>
      <c r="R337" s="5"/>
      <c r="S337" s="25"/>
      <c r="T337" s="5"/>
    </row>
    <row r="338" spans="1:20" s="3" customFormat="1" x14ac:dyDescent="0.25">
      <c r="A338" s="21" t="s">
        <v>450</v>
      </c>
      <c r="B338" s="246" t="s">
        <v>383</v>
      </c>
      <c r="C338" s="246"/>
      <c r="D338" s="246"/>
      <c r="E338" s="246" t="s">
        <v>97</v>
      </c>
      <c r="F338" s="202" t="s">
        <v>54</v>
      </c>
      <c r="G338" s="271"/>
      <c r="H338" s="271"/>
      <c r="I338" s="271"/>
      <c r="J338" s="271"/>
      <c r="K338" s="271"/>
      <c r="L338" s="271"/>
      <c r="M338" s="271"/>
      <c r="N338" s="271"/>
      <c r="O338" s="271"/>
      <c r="P338" s="271"/>
      <c r="Q338" s="271"/>
      <c r="R338" s="5"/>
      <c r="S338" s="25"/>
      <c r="T338" s="5"/>
    </row>
    <row r="339" spans="1:20" s="3" customFormat="1" x14ac:dyDescent="0.25">
      <c r="A339" s="21" t="s">
        <v>450</v>
      </c>
      <c r="B339" s="246" t="s">
        <v>446</v>
      </c>
      <c r="C339" s="246"/>
      <c r="D339" s="246"/>
      <c r="E339" s="246" t="s">
        <v>34</v>
      </c>
      <c r="F339" s="202" t="s">
        <v>54</v>
      </c>
      <c r="G339" s="55"/>
      <c r="H339" s="55"/>
      <c r="I339" s="55"/>
      <c r="J339" s="55"/>
      <c r="K339" s="55"/>
      <c r="L339" s="55"/>
      <c r="M339" s="55"/>
      <c r="N339" s="55"/>
      <c r="O339" s="55"/>
      <c r="P339" s="55"/>
      <c r="Q339" s="55"/>
      <c r="R339" s="5"/>
      <c r="S339" s="25"/>
      <c r="T339" s="5"/>
    </row>
    <row r="340" spans="1:20" s="3" customFormat="1" x14ac:dyDescent="0.25">
      <c r="A340" s="21" t="s">
        <v>450</v>
      </c>
      <c r="B340" s="246" t="s">
        <v>387</v>
      </c>
      <c r="C340" s="246"/>
      <c r="D340" s="246"/>
      <c r="E340" s="246"/>
      <c r="F340" s="202" t="s">
        <v>54</v>
      </c>
      <c r="G340" s="54"/>
      <c r="H340" s="54"/>
      <c r="I340" s="54"/>
      <c r="J340" s="54"/>
      <c r="K340" s="54"/>
      <c r="L340" s="54"/>
      <c r="M340" s="54"/>
      <c r="N340" s="54"/>
      <c r="O340" s="54"/>
      <c r="P340" s="54"/>
      <c r="Q340" s="54"/>
      <c r="R340" s="5"/>
      <c r="S340" s="25"/>
      <c r="T340" s="5"/>
    </row>
    <row r="341" spans="1:20" s="3" customFormat="1" x14ac:dyDescent="0.25">
      <c r="A341" s="21" t="s">
        <v>450</v>
      </c>
      <c r="B341" s="246" t="s">
        <v>369</v>
      </c>
      <c r="C341" s="246"/>
      <c r="D341" s="246"/>
      <c r="E341" s="246" t="s">
        <v>97</v>
      </c>
      <c r="F341" s="202" t="s">
        <v>54</v>
      </c>
      <c r="G341" s="271"/>
      <c r="H341" s="271"/>
      <c r="I341" s="271"/>
      <c r="J341" s="271"/>
      <c r="K341" s="271"/>
      <c r="L341" s="271"/>
      <c r="M341" s="271"/>
      <c r="N341" s="271"/>
      <c r="O341" s="271"/>
      <c r="P341" s="271"/>
      <c r="Q341" s="271"/>
      <c r="R341" s="5"/>
      <c r="S341" s="25"/>
      <c r="T341" s="5"/>
    </row>
    <row r="342" spans="1:20" s="3" customFormat="1" x14ac:dyDescent="0.25">
      <c r="A342" s="21" t="s">
        <v>450</v>
      </c>
      <c r="B342" s="246" t="s">
        <v>392</v>
      </c>
      <c r="C342" s="246"/>
      <c r="D342" s="246"/>
      <c r="E342" s="246" t="s">
        <v>321</v>
      </c>
      <c r="F342" s="202" t="s">
        <v>54</v>
      </c>
      <c r="G342" s="55"/>
      <c r="H342" s="55"/>
      <c r="I342" s="55"/>
      <c r="J342" s="55"/>
      <c r="K342" s="55"/>
      <c r="L342" s="55"/>
      <c r="M342" s="55"/>
      <c r="N342" s="55"/>
      <c r="O342" s="55"/>
      <c r="P342" s="55"/>
      <c r="Q342" s="55"/>
      <c r="R342" s="5"/>
      <c r="S342" s="25"/>
      <c r="T342" s="5"/>
    </row>
    <row r="343" spans="1:20" s="3" customFormat="1" x14ac:dyDescent="0.25">
      <c r="A343" s="21" t="s">
        <v>450</v>
      </c>
      <c r="B343" s="246" t="s">
        <v>394</v>
      </c>
      <c r="C343" s="246"/>
      <c r="D343" s="246"/>
      <c r="E343" s="246" t="s">
        <v>321</v>
      </c>
      <c r="F343" s="202" t="s">
        <v>54</v>
      </c>
      <c r="G343" s="55"/>
      <c r="H343" s="55"/>
      <c r="I343" s="55"/>
      <c r="J343" s="55"/>
      <c r="K343" s="55"/>
      <c r="L343" s="55"/>
      <c r="M343" s="55"/>
      <c r="N343" s="55"/>
      <c r="O343" s="55"/>
      <c r="P343" s="55"/>
      <c r="Q343" s="55"/>
      <c r="R343" s="5"/>
      <c r="S343" s="25"/>
      <c r="T343" s="5"/>
    </row>
    <row r="344" spans="1:20" s="3" customFormat="1" x14ac:dyDescent="0.25">
      <c r="A344" s="21" t="s">
        <v>450</v>
      </c>
      <c r="B344" s="246" t="s">
        <v>395</v>
      </c>
      <c r="C344" s="246"/>
      <c r="D344" s="246"/>
      <c r="E344" s="246"/>
      <c r="F344" s="202" t="s">
        <v>54</v>
      </c>
      <c r="G344" s="54"/>
      <c r="H344" s="54"/>
      <c r="I344" s="54"/>
      <c r="J344" s="54"/>
      <c r="K344" s="54"/>
      <c r="L344" s="54"/>
      <c r="M344" s="54"/>
      <c r="N344" s="54"/>
      <c r="O344" s="54"/>
      <c r="P344" s="54"/>
      <c r="Q344" s="54"/>
      <c r="R344" s="5"/>
      <c r="S344" s="25"/>
      <c r="T344" s="5"/>
    </row>
    <row r="345" spans="1:20" s="3" customFormat="1" x14ac:dyDescent="0.25">
      <c r="A345" s="21" t="s">
        <v>450</v>
      </c>
      <c r="B345" s="246" t="s">
        <v>396</v>
      </c>
      <c r="C345" s="246"/>
      <c r="D345" s="246"/>
      <c r="E345" s="246"/>
      <c r="F345" s="202" t="s">
        <v>54</v>
      </c>
      <c r="G345" s="54"/>
      <c r="H345" s="54"/>
      <c r="I345" s="54"/>
      <c r="J345" s="54"/>
      <c r="K345" s="54"/>
      <c r="L345" s="54"/>
      <c r="M345" s="54"/>
      <c r="N345" s="54"/>
      <c r="O345" s="54"/>
      <c r="P345" s="54"/>
      <c r="Q345" s="54"/>
      <c r="R345" s="5"/>
      <c r="S345" s="25"/>
      <c r="T345" s="5"/>
    </row>
    <row r="346" spans="1:20" s="3" customFormat="1" x14ac:dyDescent="0.25">
      <c r="A346" s="21" t="s">
        <v>450</v>
      </c>
      <c r="B346" s="246" t="s">
        <v>393</v>
      </c>
      <c r="C346" s="246"/>
      <c r="D346" s="246"/>
      <c r="E346" s="246" t="s">
        <v>322</v>
      </c>
      <c r="F346" s="202" t="s">
        <v>54</v>
      </c>
      <c r="G346" s="55"/>
      <c r="H346" s="55"/>
      <c r="I346" s="55"/>
      <c r="J346" s="55"/>
      <c r="K346" s="55"/>
      <c r="L346" s="55"/>
      <c r="M346" s="55"/>
      <c r="N346" s="55"/>
      <c r="O346" s="55"/>
      <c r="P346" s="55"/>
      <c r="Q346" s="55"/>
      <c r="R346" s="5"/>
      <c r="S346" s="25"/>
      <c r="T346" s="5"/>
    </row>
    <row r="347" spans="1:20" s="3" customFormat="1" x14ac:dyDescent="0.25">
      <c r="A347" s="21" t="s">
        <v>450</v>
      </c>
      <c r="B347" s="246" t="s">
        <v>397</v>
      </c>
      <c r="C347" s="246"/>
      <c r="D347" s="246"/>
      <c r="E347" s="246" t="s">
        <v>322</v>
      </c>
      <c r="F347" s="202" t="s">
        <v>54</v>
      </c>
      <c r="G347" s="55"/>
      <c r="H347" s="55"/>
      <c r="I347" s="55"/>
      <c r="J347" s="55"/>
      <c r="K347" s="55"/>
      <c r="L347" s="55"/>
      <c r="M347" s="55"/>
      <c r="N347" s="55"/>
      <c r="O347" s="55"/>
      <c r="P347" s="55"/>
      <c r="Q347" s="55"/>
      <c r="R347" s="5"/>
      <c r="S347" s="25"/>
      <c r="T347" s="5"/>
    </row>
    <row r="348" spans="1:20" s="3" customFormat="1" x14ac:dyDescent="0.25">
      <c r="A348" s="21" t="s">
        <v>450</v>
      </c>
      <c r="B348" s="246" t="s">
        <v>398</v>
      </c>
      <c r="C348" s="246"/>
      <c r="D348" s="246"/>
      <c r="E348" s="246"/>
      <c r="F348" s="202" t="s">
        <v>54</v>
      </c>
      <c r="G348" s="54"/>
      <c r="H348" s="54"/>
      <c r="I348" s="54"/>
      <c r="J348" s="54"/>
      <c r="K348" s="54"/>
      <c r="L348" s="54"/>
      <c r="M348" s="54"/>
      <c r="N348" s="54"/>
      <c r="O348" s="54"/>
      <c r="P348" s="54"/>
      <c r="Q348" s="54"/>
      <c r="R348" s="5"/>
      <c r="S348" s="25"/>
      <c r="T348" s="5"/>
    </row>
    <row r="349" spans="1:20" s="3" customFormat="1" x14ac:dyDescent="0.25">
      <c r="A349" s="21" t="s">
        <v>450</v>
      </c>
      <c r="B349" s="246" t="s">
        <v>399</v>
      </c>
      <c r="C349" s="246"/>
      <c r="D349" s="246"/>
      <c r="E349" s="246"/>
      <c r="F349" s="202" t="s">
        <v>54</v>
      </c>
      <c r="G349" s="54"/>
      <c r="H349" s="54"/>
      <c r="I349" s="54"/>
      <c r="J349" s="54"/>
      <c r="K349" s="54"/>
      <c r="L349" s="54"/>
      <c r="M349" s="54"/>
      <c r="N349" s="54"/>
      <c r="O349" s="54"/>
      <c r="P349" s="54"/>
      <c r="Q349" s="54"/>
      <c r="R349" s="5"/>
      <c r="S349" s="25"/>
      <c r="T349" s="5"/>
    </row>
    <row r="350" spans="1:20" s="3" customFormat="1" x14ac:dyDescent="0.25">
      <c r="A350" s="21" t="s">
        <v>450</v>
      </c>
      <c r="B350" s="246" t="s">
        <v>310</v>
      </c>
      <c r="C350" s="246"/>
      <c r="D350" s="246"/>
      <c r="E350" s="246" t="s">
        <v>322</v>
      </c>
      <c r="F350" s="202" t="s">
        <v>54</v>
      </c>
      <c r="G350" s="55"/>
      <c r="H350" s="55"/>
      <c r="I350" s="55"/>
      <c r="J350" s="55"/>
      <c r="K350" s="55"/>
      <c r="L350" s="55"/>
      <c r="M350" s="55"/>
      <c r="N350" s="55"/>
      <c r="O350" s="55"/>
      <c r="P350" s="55"/>
      <c r="Q350" s="55"/>
      <c r="R350" s="5"/>
      <c r="S350" s="25"/>
      <c r="T350" s="5"/>
    </row>
    <row r="351" spans="1:20" s="3" customFormat="1" x14ac:dyDescent="0.25">
      <c r="A351" s="21" t="s">
        <v>450</v>
      </c>
      <c r="B351" s="246" t="s">
        <v>360</v>
      </c>
      <c r="C351" s="246"/>
      <c r="D351" s="246"/>
      <c r="E351" s="246" t="s">
        <v>321</v>
      </c>
      <c r="F351" s="202" t="s">
        <v>54</v>
      </c>
      <c r="G351" s="55"/>
      <c r="H351" s="55"/>
      <c r="I351" s="55"/>
      <c r="J351" s="55"/>
      <c r="K351" s="55"/>
      <c r="L351" s="55"/>
      <c r="M351" s="55"/>
      <c r="N351" s="55"/>
      <c r="O351" s="55"/>
      <c r="P351" s="55"/>
      <c r="Q351" s="55"/>
      <c r="R351" s="5"/>
      <c r="S351" s="25"/>
      <c r="T351" s="5"/>
    </row>
    <row r="352" spans="1:20" s="3" customFormat="1" x14ac:dyDescent="0.25">
      <c r="A352" s="21" t="s">
        <v>450</v>
      </c>
      <c r="B352" s="67" t="s">
        <v>306</v>
      </c>
      <c r="C352" s="25"/>
      <c r="D352" s="67" t="s">
        <v>469</v>
      </c>
      <c r="E352" s="67" t="s">
        <v>334</v>
      </c>
      <c r="F352" s="202" t="s">
        <v>54</v>
      </c>
      <c r="G352" s="282">
        <f>1/1.9</f>
        <v>0.52631578947368418</v>
      </c>
      <c r="H352" s="282">
        <f>1/2.2</f>
        <v>0.45454545454545453</v>
      </c>
      <c r="I352" s="282">
        <f>1/2.5</f>
        <v>0.4</v>
      </c>
      <c r="J352" s="282">
        <f>1/2.8</f>
        <v>0.35714285714285715</v>
      </c>
      <c r="K352" s="282">
        <f>J352</f>
        <v>0.35714285714285715</v>
      </c>
      <c r="L352" s="282">
        <f t="shared" ref="L352:Q352" si="34">K352</f>
        <v>0.35714285714285715</v>
      </c>
      <c r="M352" s="282">
        <f t="shared" si="34"/>
        <v>0.35714285714285715</v>
      </c>
      <c r="N352" s="282">
        <f t="shared" si="34"/>
        <v>0.35714285714285715</v>
      </c>
      <c r="O352" s="282">
        <f t="shared" si="34"/>
        <v>0.35714285714285715</v>
      </c>
      <c r="P352" s="282">
        <f t="shared" si="34"/>
        <v>0.35714285714285715</v>
      </c>
      <c r="Q352" s="282">
        <f t="shared" si="34"/>
        <v>0.35714285714285715</v>
      </c>
      <c r="R352" s="5"/>
      <c r="S352" s="25"/>
      <c r="T352" s="5"/>
    </row>
    <row r="353" spans="1:20" s="3" customFormat="1" x14ac:dyDescent="0.25">
      <c r="A353" s="21" t="s">
        <v>450</v>
      </c>
      <c r="B353" s="67" t="s">
        <v>51</v>
      </c>
      <c r="C353" s="25"/>
      <c r="D353" s="2"/>
      <c r="E353" s="2"/>
      <c r="F353" s="202" t="s">
        <v>117</v>
      </c>
      <c r="G353" s="4"/>
      <c r="H353" s="4"/>
      <c r="I353" s="4"/>
      <c r="J353" s="4"/>
      <c r="K353" s="4"/>
      <c r="L353" s="4"/>
      <c r="M353" s="4"/>
      <c r="N353" s="4"/>
      <c r="O353" s="4"/>
      <c r="P353" s="4"/>
      <c r="Q353" s="4"/>
      <c r="R353" s="5"/>
      <c r="S353" s="25"/>
      <c r="T353" s="5"/>
    </row>
    <row r="354" spans="1:20" s="3" customFormat="1" x14ac:dyDescent="0.25">
      <c r="A354" s="21" t="s">
        <v>450</v>
      </c>
      <c r="B354" s="246" t="s">
        <v>38</v>
      </c>
      <c r="C354" s="246"/>
      <c r="D354" s="246"/>
      <c r="E354" s="246" t="s">
        <v>40</v>
      </c>
      <c r="F354" s="202" t="s">
        <v>117</v>
      </c>
      <c r="G354" s="277">
        <v>2010</v>
      </c>
      <c r="H354" s="278">
        <f t="shared" ref="H354:Q356" si="35">G354</f>
        <v>2010</v>
      </c>
      <c r="I354" s="278">
        <f t="shared" si="35"/>
        <v>2010</v>
      </c>
      <c r="J354" s="278">
        <f t="shared" si="35"/>
        <v>2010</v>
      </c>
      <c r="K354" s="278">
        <f t="shared" si="35"/>
        <v>2010</v>
      </c>
      <c r="L354" s="278">
        <f t="shared" si="35"/>
        <v>2010</v>
      </c>
      <c r="M354" s="278">
        <f t="shared" si="35"/>
        <v>2010</v>
      </c>
      <c r="N354" s="278">
        <f t="shared" si="35"/>
        <v>2010</v>
      </c>
      <c r="O354" s="278">
        <f t="shared" si="35"/>
        <v>2010</v>
      </c>
      <c r="P354" s="278">
        <f t="shared" si="35"/>
        <v>2010</v>
      </c>
      <c r="Q354" s="278">
        <f t="shared" si="35"/>
        <v>2010</v>
      </c>
      <c r="R354" s="5"/>
      <c r="S354" s="25"/>
      <c r="T354" s="5"/>
    </row>
    <row r="355" spans="1:20" s="3" customFormat="1" x14ac:dyDescent="0.25">
      <c r="A355" s="21" t="s">
        <v>450</v>
      </c>
      <c r="B355" s="246" t="s">
        <v>37</v>
      </c>
      <c r="C355" s="246"/>
      <c r="D355" s="246"/>
      <c r="E355" s="246" t="s">
        <v>40</v>
      </c>
      <c r="F355" s="202" t="s">
        <v>117</v>
      </c>
      <c r="G355" s="277">
        <v>2100</v>
      </c>
      <c r="H355" s="278">
        <f t="shared" si="35"/>
        <v>2100</v>
      </c>
      <c r="I355" s="278">
        <f t="shared" si="35"/>
        <v>2100</v>
      </c>
      <c r="J355" s="278">
        <f t="shared" si="35"/>
        <v>2100</v>
      </c>
      <c r="K355" s="278">
        <f t="shared" si="35"/>
        <v>2100</v>
      </c>
      <c r="L355" s="278">
        <f t="shared" si="35"/>
        <v>2100</v>
      </c>
      <c r="M355" s="278">
        <f t="shared" si="35"/>
        <v>2100</v>
      </c>
      <c r="N355" s="278">
        <f t="shared" si="35"/>
        <v>2100</v>
      </c>
      <c r="O355" s="278">
        <f t="shared" si="35"/>
        <v>2100</v>
      </c>
      <c r="P355" s="278">
        <f t="shared" si="35"/>
        <v>2100</v>
      </c>
      <c r="Q355" s="278">
        <f t="shared" si="35"/>
        <v>2100</v>
      </c>
      <c r="R355" s="5"/>
      <c r="S355" s="25"/>
      <c r="T355" s="5"/>
    </row>
    <row r="356" spans="1:20" s="3" customFormat="1" x14ac:dyDescent="0.25">
      <c r="A356" s="21" t="s">
        <v>450</v>
      </c>
      <c r="B356" s="246" t="s">
        <v>39</v>
      </c>
      <c r="C356" s="246"/>
      <c r="D356" s="246"/>
      <c r="E356" s="246" t="s">
        <v>10</v>
      </c>
      <c r="F356" s="202" t="s">
        <v>117</v>
      </c>
      <c r="G356" s="55">
        <v>50</v>
      </c>
      <c r="H356" s="229">
        <f t="shared" si="35"/>
        <v>50</v>
      </c>
      <c r="I356" s="229">
        <f t="shared" si="35"/>
        <v>50</v>
      </c>
      <c r="J356" s="229">
        <f t="shared" si="35"/>
        <v>50</v>
      </c>
      <c r="K356" s="229">
        <f t="shared" si="35"/>
        <v>50</v>
      </c>
      <c r="L356" s="229">
        <f t="shared" si="35"/>
        <v>50</v>
      </c>
      <c r="M356" s="229">
        <f t="shared" si="35"/>
        <v>50</v>
      </c>
      <c r="N356" s="229">
        <f t="shared" si="35"/>
        <v>50</v>
      </c>
      <c r="O356" s="229">
        <f t="shared" si="35"/>
        <v>50</v>
      </c>
      <c r="P356" s="229">
        <f t="shared" si="35"/>
        <v>50</v>
      </c>
      <c r="Q356" s="229">
        <f t="shared" si="35"/>
        <v>50</v>
      </c>
      <c r="R356" s="5"/>
      <c r="S356" s="25"/>
      <c r="T356" s="5"/>
    </row>
    <row r="357" spans="1:20" s="3" customFormat="1" x14ac:dyDescent="0.25">
      <c r="A357" s="21" t="s">
        <v>450</v>
      </c>
      <c r="B357" s="246" t="s">
        <v>361</v>
      </c>
      <c r="C357" s="246"/>
      <c r="D357" s="246"/>
      <c r="E357" s="246" t="s">
        <v>10</v>
      </c>
      <c r="F357" s="202" t="s">
        <v>117</v>
      </c>
      <c r="G357" s="55"/>
      <c r="H357" s="55"/>
      <c r="I357" s="55"/>
      <c r="J357" s="55"/>
      <c r="K357" s="55"/>
      <c r="L357" s="55"/>
      <c r="M357" s="55"/>
      <c r="N357" s="55"/>
      <c r="O357" s="55"/>
      <c r="P357" s="55"/>
      <c r="Q357" s="55"/>
      <c r="R357" s="5"/>
      <c r="S357" s="25"/>
      <c r="T357" s="5"/>
    </row>
    <row r="358" spans="1:20" s="3" customFormat="1" x14ac:dyDescent="0.25">
      <c r="A358" s="21" t="s">
        <v>450</v>
      </c>
      <c r="B358" s="246" t="s">
        <v>309</v>
      </c>
      <c r="C358" s="246"/>
      <c r="D358" s="246"/>
      <c r="E358" s="246" t="s">
        <v>97</v>
      </c>
      <c r="F358" s="202" t="s">
        <v>117</v>
      </c>
      <c r="G358" s="271">
        <v>0.25</v>
      </c>
      <c r="H358" s="272">
        <f t="shared" ref="H358:Q358" si="36">G358</f>
        <v>0.25</v>
      </c>
      <c r="I358" s="272">
        <f t="shared" si="36"/>
        <v>0.25</v>
      </c>
      <c r="J358" s="272">
        <f t="shared" si="36"/>
        <v>0.25</v>
      </c>
      <c r="K358" s="272">
        <f t="shared" si="36"/>
        <v>0.25</v>
      </c>
      <c r="L358" s="272">
        <f t="shared" si="36"/>
        <v>0.25</v>
      </c>
      <c r="M358" s="272">
        <f t="shared" si="36"/>
        <v>0.25</v>
      </c>
      <c r="N358" s="272">
        <f t="shared" si="36"/>
        <v>0.25</v>
      </c>
      <c r="O358" s="272">
        <f t="shared" si="36"/>
        <v>0.25</v>
      </c>
      <c r="P358" s="272">
        <f t="shared" si="36"/>
        <v>0.25</v>
      </c>
      <c r="Q358" s="272">
        <f t="shared" si="36"/>
        <v>0.25</v>
      </c>
      <c r="R358" s="5"/>
      <c r="S358" s="25"/>
      <c r="T358" s="5"/>
    </row>
    <row r="359" spans="1:20" s="3" customFormat="1" x14ac:dyDescent="0.25">
      <c r="A359" s="21" t="s">
        <v>450</v>
      </c>
      <c r="B359" s="246" t="s">
        <v>358</v>
      </c>
      <c r="C359" s="246"/>
      <c r="D359" s="246"/>
      <c r="E359" s="246" t="s">
        <v>97</v>
      </c>
      <c r="F359" s="202" t="s">
        <v>117</v>
      </c>
      <c r="G359" s="271"/>
      <c r="H359" s="271"/>
      <c r="I359" s="271"/>
      <c r="J359" s="271"/>
      <c r="K359" s="271"/>
      <c r="L359" s="271"/>
      <c r="M359" s="271"/>
      <c r="N359" s="271"/>
      <c r="O359" s="271"/>
      <c r="P359" s="271"/>
      <c r="Q359" s="271"/>
      <c r="R359" s="5"/>
      <c r="S359" s="25"/>
      <c r="T359" s="5"/>
    </row>
    <row r="360" spans="1:20" s="3" customFormat="1" x14ac:dyDescent="0.25">
      <c r="A360" s="21" t="s">
        <v>450</v>
      </c>
      <c r="B360" s="246" t="s">
        <v>357</v>
      </c>
      <c r="C360" s="246"/>
      <c r="D360" s="246"/>
      <c r="E360" s="246" t="s">
        <v>97</v>
      </c>
      <c r="F360" s="202" t="s">
        <v>117</v>
      </c>
      <c r="G360" s="271"/>
      <c r="H360" s="271"/>
      <c r="I360" s="271"/>
      <c r="J360" s="271"/>
      <c r="K360" s="271"/>
      <c r="L360" s="271"/>
      <c r="M360" s="271"/>
      <c r="N360" s="271"/>
      <c r="O360" s="271"/>
      <c r="P360" s="271"/>
      <c r="Q360" s="271"/>
      <c r="R360" s="5"/>
      <c r="S360" s="25"/>
      <c r="T360" s="5"/>
    </row>
    <row r="361" spans="1:20" s="3" customFormat="1" x14ac:dyDescent="0.25">
      <c r="A361" s="21" t="s">
        <v>450</v>
      </c>
      <c r="B361" s="246" t="s">
        <v>75</v>
      </c>
      <c r="C361" s="246"/>
      <c r="D361" s="246"/>
      <c r="E361" s="246" t="s">
        <v>97</v>
      </c>
      <c r="F361" s="202" t="s">
        <v>117</v>
      </c>
      <c r="G361" s="271">
        <v>0</v>
      </c>
      <c r="H361" s="271"/>
      <c r="I361" s="271"/>
      <c r="J361" s="271"/>
      <c r="K361" s="271"/>
      <c r="L361" s="271"/>
      <c r="M361" s="271"/>
      <c r="N361" s="271"/>
      <c r="O361" s="271"/>
      <c r="P361" s="271"/>
      <c r="Q361" s="271"/>
      <c r="R361" s="5"/>
      <c r="S361" s="25"/>
      <c r="T361" s="5"/>
    </row>
    <row r="362" spans="1:20" s="3" customFormat="1" x14ac:dyDescent="0.25">
      <c r="A362" s="21" t="s">
        <v>450</v>
      </c>
      <c r="B362" s="68" t="s">
        <v>148</v>
      </c>
      <c r="C362" s="68"/>
      <c r="D362" s="251"/>
      <c r="E362" s="68" t="s">
        <v>97</v>
      </c>
      <c r="F362" s="202" t="s">
        <v>117</v>
      </c>
      <c r="G362" s="271"/>
      <c r="H362" s="271"/>
      <c r="I362" s="271"/>
      <c r="J362" s="271"/>
      <c r="K362" s="271"/>
      <c r="L362" s="271"/>
      <c r="M362" s="271"/>
      <c r="N362" s="271"/>
      <c r="O362" s="271"/>
      <c r="P362" s="271"/>
      <c r="Q362" s="271"/>
      <c r="R362" s="5"/>
      <c r="S362" s="25"/>
      <c r="T362" s="5"/>
    </row>
    <row r="363" spans="1:20" s="3" customFormat="1" x14ac:dyDescent="0.25">
      <c r="A363" s="21" t="s">
        <v>450</v>
      </c>
      <c r="B363" s="68" t="s">
        <v>149</v>
      </c>
      <c r="C363" s="68"/>
      <c r="D363" s="251"/>
      <c r="E363" s="68" t="s">
        <v>97</v>
      </c>
      <c r="F363" s="202" t="s">
        <v>117</v>
      </c>
      <c r="G363" s="271"/>
      <c r="H363" s="271"/>
      <c r="I363" s="271"/>
      <c r="J363" s="271"/>
      <c r="K363" s="271"/>
      <c r="L363" s="271"/>
      <c r="M363" s="271"/>
      <c r="N363" s="271"/>
      <c r="O363" s="271"/>
      <c r="P363" s="271"/>
      <c r="Q363" s="271"/>
      <c r="R363" s="5"/>
      <c r="S363" s="25"/>
      <c r="T363" s="5"/>
    </row>
    <row r="364" spans="1:20" s="3" customFormat="1" x14ac:dyDescent="0.25">
      <c r="A364" s="21" t="s">
        <v>450</v>
      </c>
      <c r="B364" s="68" t="s">
        <v>370</v>
      </c>
      <c r="C364" s="68"/>
      <c r="D364" s="251"/>
      <c r="E364" s="68" t="s">
        <v>97</v>
      </c>
      <c r="F364" s="202" t="s">
        <v>117</v>
      </c>
      <c r="G364" s="271"/>
      <c r="H364" s="271"/>
      <c r="I364" s="271"/>
      <c r="J364" s="271"/>
      <c r="K364" s="271"/>
      <c r="L364" s="271"/>
      <c r="M364" s="271"/>
      <c r="N364" s="271"/>
      <c r="O364" s="271"/>
      <c r="P364" s="271"/>
      <c r="Q364" s="271"/>
      <c r="R364" s="5"/>
      <c r="S364" s="25"/>
      <c r="T364" s="5"/>
    </row>
    <row r="365" spans="1:20" s="3" customFormat="1" x14ac:dyDescent="0.25">
      <c r="A365" s="21" t="s">
        <v>450</v>
      </c>
      <c r="B365" s="68" t="s">
        <v>371</v>
      </c>
      <c r="C365" s="68"/>
      <c r="D365" s="251"/>
      <c r="E365" s="68" t="s">
        <v>97</v>
      </c>
      <c r="F365" s="202" t="s">
        <v>117</v>
      </c>
      <c r="G365" s="271"/>
      <c r="H365" s="271"/>
      <c r="I365" s="271"/>
      <c r="J365" s="271"/>
      <c r="K365" s="271"/>
      <c r="L365" s="271"/>
      <c r="M365" s="271"/>
      <c r="N365" s="271"/>
      <c r="O365" s="271"/>
      <c r="P365" s="271"/>
      <c r="Q365" s="271"/>
      <c r="R365" s="5"/>
      <c r="S365" s="25"/>
      <c r="T365" s="5"/>
    </row>
    <row r="366" spans="1:20" s="3" customFormat="1" x14ac:dyDescent="0.25">
      <c r="A366" s="21" t="s">
        <v>450</v>
      </c>
      <c r="B366" s="246" t="s">
        <v>338</v>
      </c>
      <c r="C366" s="246"/>
      <c r="D366" s="246"/>
      <c r="E366" s="246" t="s">
        <v>34</v>
      </c>
      <c r="F366" s="202" t="s">
        <v>117</v>
      </c>
      <c r="G366" s="55"/>
      <c r="H366" s="55"/>
      <c r="I366" s="55"/>
      <c r="J366" s="55"/>
      <c r="K366" s="55"/>
      <c r="L366" s="55"/>
      <c r="M366" s="55"/>
      <c r="N366" s="55"/>
      <c r="O366" s="55"/>
      <c r="P366" s="55"/>
      <c r="Q366" s="55"/>
      <c r="R366" s="5"/>
      <c r="S366" s="25"/>
      <c r="T366" s="5"/>
    </row>
    <row r="367" spans="1:20" s="3" customFormat="1" x14ac:dyDescent="0.25">
      <c r="A367" s="21" t="s">
        <v>450</v>
      </c>
      <c r="B367" s="246" t="s">
        <v>152</v>
      </c>
      <c r="C367" s="246"/>
      <c r="D367" s="246"/>
      <c r="E367" s="246" t="s">
        <v>321</v>
      </c>
      <c r="F367" s="202" t="s">
        <v>117</v>
      </c>
      <c r="G367" s="276">
        <v>15521</v>
      </c>
      <c r="H367" s="229">
        <f>G367</f>
        <v>15521</v>
      </c>
      <c r="I367" s="229">
        <f t="shared" ref="I367:Q367" si="37">H367</f>
        <v>15521</v>
      </c>
      <c r="J367" s="229">
        <f t="shared" si="37"/>
        <v>15521</v>
      </c>
      <c r="K367" s="229">
        <f t="shared" si="37"/>
        <v>15521</v>
      </c>
      <c r="L367" s="229">
        <f t="shared" si="37"/>
        <v>15521</v>
      </c>
      <c r="M367" s="229">
        <f t="shared" si="37"/>
        <v>15521</v>
      </c>
      <c r="N367" s="229">
        <f t="shared" si="37"/>
        <v>15521</v>
      </c>
      <c r="O367" s="229">
        <f t="shared" si="37"/>
        <v>15521</v>
      </c>
      <c r="P367" s="229">
        <f t="shared" si="37"/>
        <v>15521</v>
      </c>
      <c r="Q367" s="229">
        <f t="shared" si="37"/>
        <v>15521</v>
      </c>
      <c r="R367" s="5"/>
      <c r="S367" s="25"/>
      <c r="T367" s="5"/>
    </row>
    <row r="368" spans="1:20" s="3" customFormat="1" x14ac:dyDescent="0.25">
      <c r="A368" s="21" t="s">
        <v>450</v>
      </c>
      <c r="B368" s="246" t="s">
        <v>383</v>
      </c>
      <c r="C368" s="246"/>
      <c r="D368" s="246"/>
      <c r="E368" s="246" t="s">
        <v>97</v>
      </c>
      <c r="F368" s="202" t="s">
        <v>117</v>
      </c>
      <c r="G368" s="271"/>
      <c r="H368" s="271"/>
      <c r="I368" s="271"/>
      <c r="J368" s="271"/>
      <c r="K368" s="271"/>
      <c r="L368" s="271"/>
      <c r="M368" s="271"/>
      <c r="N368" s="271"/>
      <c r="O368" s="271"/>
      <c r="P368" s="271"/>
      <c r="Q368" s="271"/>
      <c r="R368" s="5"/>
      <c r="S368" s="25"/>
      <c r="T368" s="5"/>
    </row>
    <row r="369" spans="1:20" s="3" customFormat="1" x14ac:dyDescent="0.25">
      <c r="A369" s="21" t="s">
        <v>450</v>
      </c>
      <c r="B369" s="246" t="s">
        <v>446</v>
      </c>
      <c r="C369" s="246"/>
      <c r="D369" s="246"/>
      <c r="E369" s="246" t="s">
        <v>34</v>
      </c>
      <c r="F369" s="202" t="s">
        <v>117</v>
      </c>
      <c r="G369" s="55"/>
      <c r="H369" s="55"/>
      <c r="I369" s="55"/>
      <c r="J369" s="55"/>
      <c r="K369" s="55"/>
      <c r="L369" s="55"/>
      <c r="M369" s="55"/>
      <c r="N369" s="55"/>
      <c r="O369" s="55"/>
      <c r="P369" s="55"/>
      <c r="Q369" s="55"/>
      <c r="R369" s="5"/>
      <c r="S369" s="25"/>
      <c r="T369" s="5"/>
    </row>
    <row r="370" spans="1:20" s="3" customFormat="1" x14ac:dyDescent="0.25">
      <c r="A370" s="21" t="s">
        <v>450</v>
      </c>
      <c r="B370" s="246" t="s">
        <v>387</v>
      </c>
      <c r="C370" s="246"/>
      <c r="D370" s="246"/>
      <c r="E370" s="246"/>
      <c r="F370" s="202" t="s">
        <v>117</v>
      </c>
      <c r="G370" s="54"/>
      <c r="H370" s="54"/>
      <c r="I370" s="54"/>
      <c r="J370" s="54"/>
      <c r="K370" s="54"/>
      <c r="L370" s="54"/>
      <c r="M370" s="54"/>
      <c r="N370" s="54"/>
      <c r="O370" s="54"/>
      <c r="P370" s="54"/>
      <c r="Q370" s="54"/>
      <c r="R370" s="5"/>
      <c r="S370" s="25"/>
      <c r="T370" s="5"/>
    </row>
    <row r="371" spans="1:20" s="3" customFormat="1" x14ac:dyDescent="0.25">
      <c r="A371" s="21" t="s">
        <v>450</v>
      </c>
      <c r="B371" s="246" t="s">
        <v>369</v>
      </c>
      <c r="C371" s="246"/>
      <c r="D371" s="246"/>
      <c r="E371" s="246" t="s">
        <v>97</v>
      </c>
      <c r="F371" s="202" t="s">
        <v>117</v>
      </c>
      <c r="G371" s="271"/>
      <c r="H371" s="271"/>
      <c r="I371" s="271"/>
      <c r="J371" s="271"/>
      <c r="K371" s="271"/>
      <c r="L371" s="271"/>
      <c r="M371" s="271"/>
      <c r="N371" s="271"/>
      <c r="O371" s="271"/>
      <c r="P371" s="271"/>
      <c r="Q371" s="271"/>
      <c r="R371" s="5"/>
      <c r="S371" s="25"/>
      <c r="T371" s="5"/>
    </row>
    <row r="372" spans="1:20" s="3" customFormat="1" x14ac:dyDescent="0.25">
      <c r="A372" s="21" t="s">
        <v>450</v>
      </c>
      <c r="B372" s="246" t="s">
        <v>392</v>
      </c>
      <c r="C372" s="246"/>
      <c r="D372" s="246"/>
      <c r="E372" s="246" t="s">
        <v>321</v>
      </c>
      <c r="F372" s="202" t="s">
        <v>117</v>
      </c>
      <c r="G372" s="55"/>
      <c r="H372" s="55"/>
      <c r="I372" s="55"/>
      <c r="J372" s="55"/>
      <c r="K372" s="55"/>
      <c r="L372" s="55"/>
      <c r="M372" s="55"/>
      <c r="N372" s="55"/>
      <c r="O372" s="55"/>
      <c r="P372" s="55"/>
      <c r="Q372" s="55"/>
      <c r="R372" s="5"/>
      <c r="S372" s="25"/>
      <c r="T372" s="5"/>
    </row>
    <row r="373" spans="1:20" s="3" customFormat="1" x14ac:dyDescent="0.25">
      <c r="A373" s="21" t="s">
        <v>450</v>
      </c>
      <c r="B373" s="246" t="s">
        <v>394</v>
      </c>
      <c r="C373" s="246"/>
      <c r="D373" s="246"/>
      <c r="E373" s="246" t="s">
        <v>321</v>
      </c>
      <c r="F373" s="202" t="s">
        <v>117</v>
      </c>
      <c r="G373" s="55"/>
      <c r="H373" s="55"/>
      <c r="I373" s="55"/>
      <c r="J373" s="55"/>
      <c r="K373" s="55"/>
      <c r="L373" s="55"/>
      <c r="M373" s="55"/>
      <c r="N373" s="55"/>
      <c r="O373" s="55"/>
      <c r="P373" s="55"/>
      <c r="Q373" s="55"/>
      <c r="R373" s="5"/>
      <c r="S373" s="25"/>
      <c r="T373" s="5"/>
    </row>
    <row r="374" spans="1:20" s="3" customFormat="1" x14ac:dyDescent="0.25">
      <c r="A374" s="21" t="s">
        <v>450</v>
      </c>
      <c r="B374" s="246" t="s">
        <v>395</v>
      </c>
      <c r="C374" s="246"/>
      <c r="D374" s="246"/>
      <c r="E374" s="246"/>
      <c r="F374" s="202" t="s">
        <v>117</v>
      </c>
      <c r="G374" s="54"/>
      <c r="H374" s="54"/>
      <c r="I374" s="54"/>
      <c r="J374" s="54"/>
      <c r="K374" s="54"/>
      <c r="L374" s="54"/>
      <c r="M374" s="54"/>
      <c r="N374" s="54"/>
      <c r="O374" s="54"/>
      <c r="P374" s="54"/>
      <c r="Q374" s="54"/>
      <c r="R374" s="5"/>
      <c r="S374" s="25"/>
      <c r="T374" s="5"/>
    </row>
    <row r="375" spans="1:20" s="3" customFormat="1" x14ac:dyDescent="0.25">
      <c r="A375" s="21" t="s">
        <v>450</v>
      </c>
      <c r="B375" s="246" t="s">
        <v>396</v>
      </c>
      <c r="C375" s="246"/>
      <c r="D375" s="246"/>
      <c r="E375" s="246"/>
      <c r="F375" s="202" t="s">
        <v>117</v>
      </c>
      <c r="G375" s="54"/>
      <c r="H375" s="54"/>
      <c r="I375" s="54"/>
      <c r="J375" s="54"/>
      <c r="K375" s="54"/>
      <c r="L375" s="54"/>
      <c r="M375" s="54"/>
      <c r="N375" s="54"/>
      <c r="O375" s="54"/>
      <c r="P375" s="54"/>
      <c r="Q375" s="54"/>
      <c r="R375" s="5"/>
      <c r="S375" s="25"/>
      <c r="T375" s="5"/>
    </row>
    <row r="376" spans="1:20" s="3" customFormat="1" x14ac:dyDescent="0.25">
      <c r="A376" s="21" t="s">
        <v>450</v>
      </c>
      <c r="B376" s="246" t="s">
        <v>393</v>
      </c>
      <c r="C376" s="246"/>
      <c r="D376" s="246"/>
      <c r="E376" s="246" t="s">
        <v>322</v>
      </c>
      <c r="F376" s="202" t="s">
        <v>117</v>
      </c>
      <c r="G376" s="55"/>
      <c r="H376" s="55"/>
      <c r="I376" s="55"/>
      <c r="J376" s="55"/>
      <c r="K376" s="55"/>
      <c r="L376" s="55"/>
      <c r="M376" s="55"/>
      <c r="N376" s="55"/>
      <c r="O376" s="55"/>
      <c r="P376" s="55"/>
      <c r="Q376" s="55"/>
      <c r="R376" s="5"/>
      <c r="S376" s="25"/>
      <c r="T376" s="5"/>
    </row>
    <row r="377" spans="1:20" s="3" customFormat="1" x14ac:dyDescent="0.25">
      <c r="A377" s="21" t="s">
        <v>450</v>
      </c>
      <c r="B377" s="246" t="s">
        <v>397</v>
      </c>
      <c r="C377" s="246"/>
      <c r="D377" s="246"/>
      <c r="E377" s="246" t="s">
        <v>322</v>
      </c>
      <c r="F377" s="202" t="s">
        <v>117</v>
      </c>
      <c r="G377" s="55"/>
      <c r="H377" s="55"/>
      <c r="I377" s="55"/>
      <c r="J377" s="55"/>
      <c r="K377" s="55"/>
      <c r="L377" s="55"/>
      <c r="M377" s="55"/>
      <c r="N377" s="55"/>
      <c r="O377" s="55"/>
      <c r="P377" s="55"/>
      <c r="Q377" s="55"/>
      <c r="R377" s="5"/>
      <c r="S377" s="25"/>
      <c r="T377" s="5"/>
    </row>
    <row r="378" spans="1:20" s="3" customFormat="1" x14ac:dyDescent="0.25">
      <c r="A378" s="21" t="s">
        <v>450</v>
      </c>
      <c r="B378" s="246" t="s">
        <v>398</v>
      </c>
      <c r="C378" s="246"/>
      <c r="D378" s="246"/>
      <c r="E378" s="246"/>
      <c r="F378" s="202" t="s">
        <v>117</v>
      </c>
      <c r="G378" s="54"/>
      <c r="H378" s="54"/>
      <c r="I378" s="54"/>
      <c r="J378" s="54"/>
      <c r="K378" s="54"/>
      <c r="L378" s="54"/>
      <c r="M378" s="54"/>
      <c r="N378" s="54"/>
      <c r="O378" s="54"/>
      <c r="P378" s="54"/>
      <c r="Q378" s="54"/>
      <c r="R378" s="5"/>
      <c r="S378" s="25"/>
      <c r="T378" s="5"/>
    </row>
    <row r="379" spans="1:20" s="3" customFormat="1" x14ac:dyDescent="0.25">
      <c r="A379" s="21" t="s">
        <v>450</v>
      </c>
      <c r="B379" s="246" t="s">
        <v>399</v>
      </c>
      <c r="C379" s="246"/>
      <c r="D379" s="246"/>
      <c r="E379" s="246"/>
      <c r="F379" s="202" t="s">
        <v>117</v>
      </c>
      <c r="G379" s="54"/>
      <c r="H379" s="54"/>
      <c r="I379" s="54"/>
      <c r="J379" s="54"/>
      <c r="K379" s="54"/>
      <c r="L379" s="54"/>
      <c r="M379" s="54"/>
      <c r="N379" s="54"/>
      <c r="O379" s="54"/>
      <c r="P379" s="54"/>
      <c r="Q379" s="54"/>
      <c r="R379" s="5"/>
      <c r="S379" s="25"/>
      <c r="T379" s="5"/>
    </row>
    <row r="380" spans="1:20" s="3" customFormat="1" x14ac:dyDescent="0.25">
      <c r="A380" s="21" t="s">
        <v>450</v>
      </c>
      <c r="B380" s="246" t="s">
        <v>310</v>
      </c>
      <c r="C380" s="246"/>
      <c r="D380" s="246"/>
      <c r="E380" s="246" t="s">
        <v>322</v>
      </c>
      <c r="F380" s="202" t="s">
        <v>117</v>
      </c>
      <c r="G380" s="55"/>
      <c r="H380" s="55"/>
      <c r="I380" s="55"/>
      <c r="J380" s="55"/>
      <c r="K380" s="55"/>
      <c r="L380" s="55"/>
      <c r="M380" s="55"/>
      <c r="N380" s="55"/>
      <c r="O380" s="55"/>
      <c r="P380" s="55"/>
      <c r="Q380" s="55"/>
      <c r="R380" s="5"/>
      <c r="S380" s="25"/>
      <c r="T380" s="5"/>
    </row>
    <row r="381" spans="1:20" s="3" customFormat="1" x14ac:dyDescent="0.25">
      <c r="A381" s="21" t="s">
        <v>450</v>
      </c>
      <c r="B381" s="246" t="s">
        <v>360</v>
      </c>
      <c r="C381" s="246"/>
      <c r="D381" s="246"/>
      <c r="E381" s="246" t="s">
        <v>321</v>
      </c>
      <c r="F381" s="202" t="s">
        <v>117</v>
      </c>
      <c r="G381" s="55"/>
      <c r="H381" s="55"/>
      <c r="I381" s="55"/>
      <c r="J381" s="55"/>
      <c r="K381" s="55"/>
      <c r="L381" s="55"/>
      <c r="M381" s="55"/>
      <c r="N381" s="55"/>
      <c r="O381" s="55"/>
      <c r="P381" s="55"/>
      <c r="Q381" s="55"/>
      <c r="R381" s="5"/>
      <c r="S381" s="25"/>
      <c r="T381" s="5"/>
    </row>
    <row r="382" spans="1:20" s="3" customFormat="1" x14ac:dyDescent="0.25">
      <c r="A382" s="21" t="s">
        <v>450</v>
      </c>
      <c r="B382" s="67" t="s">
        <v>306</v>
      </c>
      <c r="C382" s="25"/>
      <c r="D382" s="67" t="s">
        <v>469</v>
      </c>
      <c r="E382" s="67" t="s">
        <v>334</v>
      </c>
      <c r="F382" s="202" t="s">
        <v>117</v>
      </c>
      <c r="G382" s="282">
        <f>1/2.5</f>
        <v>0.4</v>
      </c>
      <c r="H382" s="282">
        <f t="shared" ref="H382:Q382" si="38">1/2.5</f>
        <v>0.4</v>
      </c>
      <c r="I382" s="282">
        <f t="shared" si="38"/>
        <v>0.4</v>
      </c>
      <c r="J382" s="282">
        <f t="shared" si="38"/>
        <v>0.4</v>
      </c>
      <c r="K382" s="282">
        <f t="shared" si="38"/>
        <v>0.4</v>
      </c>
      <c r="L382" s="282">
        <f t="shared" si="38"/>
        <v>0.4</v>
      </c>
      <c r="M382" s="282">
        <f t="shared" si="38"/>
        <v>0.4</v>
      </c>
      <c r="N382" s="282">
        <f t="shared" si="38"/>
        <v>0.4</v>
      </c>
      <c r="O382" s="282">
        <f t="shared" si="38"/>
        <v>0.4</v>
      </c>
      <c r="P382" s="282">
        <f t="shared" si="38"/>
        <v>0.4</v>
      </c>
      <c r="Q382" s="282">
        <f t="shared" si="38"/>
        <v>0.4</v>
      </c>
      <c r="R382" s="5"/>
      <c r="S382" s="25"/>
      <c r="T382" s="5"/>
    </row>
    <row r="383" spans="1:20" s="3" customFormat="1" x14ac:dyDescent="0.25">
      <c r="A383" s="21" t="s">
        <v>450</v>
      </c>
      <c r="B383" s="67" t="s">
        <v>51</v>
      </c>
      <c r="C383" s="25"/>
      <c r="D383" s="2"/>
      <c r="E383" s="2"/>
      <c r="F383" s="202" t="s">
        <v>53</v>
      </c>
      <c r="G383" s="4"/>
      <c r="H383" s="4"/>
      <c r="I383" s="4"/>
      <c r="J383" s="4"/>
      <c r="K383" s="4"/>
      <c r="L383" s="4"/>
      <c r="M383" s="4"/>
      <c r="N383" s="4"/>
      <c r="O383" s="4"/>
      <c r="P383" s="4"/>
      <c r="Q383" s="4"/>
      <c r="R383" s="5"/>
      <c r="S383" s="25"/>
      <c r="T383" s="5"/>
    </row>
    <row r="384" spans="1:20" s="3" customFormat="1" x14ac:dyDescent="0.25">
      <c r="A384" s="21" t="s">
        <v>450</v>
      </c>
      <c r="B384" s="246" t="s">
        <v>38</v>
      </c>
      <c r="C384" s="246"/>
      <c r="D384" s="246"/>
      <c r="E384" s="246" t="s">
        <v>40</v>
      </c>
      <c r="F384" s="202" t="s">
        <v>53</v>
      </c>
      <c r="G384" s="277">
        <v>2000</v>
      </c>
      <c r="H384" s="278">
        <f t="shared" ref="H384:Q386" si="39">G384</f>
        <v>2000</v>
      </c>
      <c r="I384" s="278">
        <f t="shared" si="39"/>
        <v>2000</v>
      </c>
      <c r="J384" s="278">
        <f t="shared" si="39"/>
        <v>2000</v>
      </c>
      <c r="K384" s="278">
        <f t="shared" si="39"/>
        <v>2000</v>
      </c>
      <c r="L384" s="278">
        <f t="shared" si="39"/>
        <v>2000</v>
      </c>
      <c r="M384" s="278">
        <f t="shared" si="39"/>
        <v>2000</v>
      </c>
      <c r="N384" s="278">
        <f t="shared" si="39"/>
        <v>2000</v>
      </c>
      <c r="O384" s="278">
        <f t="shared" si="39"/>
        <v>2000</v>
      </c>
      <c r="P384" s="278">
        <f t="shared" si="39"/>
        <v>2000</v>
      </c>
      <c r="Q384" s="278">
        <f t="shared" si="39"/>
        <v>2000</v>
      </c>
      <c r="R384" s="5"/>
      <c r="S384" s="25"/>
      <c r="T384" s="5"/>
    </row>
    <row r="385" spans="1:20" s="3" customFormat="1" x14ac:dyDescent="0.25">
      <c r="A385" s="21" t="s">
        <v>450</v>
      </c>
      <c r="B385" s="246" t="s">
        <v>37</v>
      </c>
      <c r="C385" s="246"/>
      <c r="D385" s="246"/>
      <c r="E385" s="246" t="s">
        <v>40</v>
      </c>
      <c r="F385" s="202" t="s">
        <v>53</v>
      </c>
      <c r="G385" s="277">
        <v>2100</v>
      </c>
      <c r="H385" s="278">
        <f t="shared" si="39"/>
        <v>2100</v>
      </c>
      <c r="I385" s="278">
        <f t="shared" si="39"/>
        <v>2100</v>
      </c>
      <c r="J385" s="278">
        <f t="shared" si="39"/>
        <v>2100</v>
      </c>
      <c r="K385" s="278">
        <f t="shared" si="39"/>
        <v>2100</v>
      </c>
      <c r="L385" s="278">
        <f t="shared" si="39"/>
        <v>2100</v>
      </c>
      <c r="M385" s="278">
        <f t="shared" si="39"/>
        <v>2100</v>
      </c>
      <c r="N385" s="278">
        <f t="shared" si="39"/>
        <v>2100</v>
      </c>
      <c r="O385" s="278">
        <f t="shared" si="39"/>
        <v>2100</v>
      </c>
      <c r="P385" s="278">
        <f t="shared" si="39"/>
        <v>2100</v>
      </c>
      <c r="Q385" s="278">
        <f t="shared" si="39"/>
        <v>2100</v>
      </c>
      <c r="R385" s="5"/>
      <c r="S385" s="25"/>
      <c r="T385" s="5"/>
    </row>
    <row r="386" spans="1:20" s="3" customFormat="1" x14ac:dyDescent="0.25">
      <c r="A386" s="21" t="s">
        <v>450</v>
      </c>
      <c r="B386" s="246" t="s">
        <v>39</v>
      </c>
      <c r="C386" s="246"/>
      <c r="D386" s="246"/>
      <c r="E386" s="246" t="s">
        <v>10</v>
      </c>
      <c r="F386" s="202" t="s">
        <v>53</v>
      </c>
      <c r="G386" s="55">
        <v>18</v>
      </c>
      <c r="H386" s="229">
        <f t="shared" si="39"/>
        <v>18</v>
      </c>
      <c r="I386" s="229">
        <f t="shared" si="39"/>
        <v>18</v>
      </c>
      <c r="J386" s="229">
        <f t="shared" si="39"/>
        <v>18</v>
      </c>
      <c r="K386" s="229">
        <f t="shared" si="39"/>
        <v>18</v>
      </c>
      <c r="L386" s="229">
        <f t="shared" si="39"/>
        <v>18</v>
      </c>
      <c r="M386" s="229">
        <f t="shared" si="39"/>
        <v>18</v>
      </c>
      <c r="N386" s="229">
        <f t="shared" si="39"/>
        <v>18</v>
      </c>
      <c r="O386" s="229">
        <f t="shared" si="39"/>
        <v>18</v>
      </c>
      <c r="P386" s="229">
        <f t="shared" si="39"/>
        <v>18</v>
      </c>
      <c r="Q386" s="229">
        <f t="shared" si="39"/>
        <v>18</v>
      </c>
      <c r="R386" s="5"/>
      <c r="S386" s="25"/>
      <c r="T386" s="5"/>
    </row>
    <row r="387" spans="1:20" s="3" customFormat="1" x14ac:dyDescent="0.25">
      <c r="A387" s="21" t="s">
        <v>450</v>
      </c>
      <c r="B387" s="246" t="s">
        <v>361</v>
      </c>
      <c r="C387" s="246"/>
      <c r="D387" s="246"/>
      <c r="E387" s="246" t="s">
        <v>10</v>
      </c>
      <c r="F387" s="202" t="s">
        <v>53</v>
      </c>
      <c r="G387" s="55"/>
      <c r="H387" s="55"/>
      <c r="I387" s="55"/>
      <c r="J387" s="55"/>
      <c r="K387" s="55"/>
      <c r="L387" s="55"/>
      <c r="M387" s="55"/>
      <c r="N387" s="55"/>
      <c r="O387" s="55"/>
      <c r="P387" s="55"/>
      <c r="Q387" s="55"/>
      <c r="R387" s="5"/>
      <c r="S387" s="25"/>
      <c r="T387" s="5"/>
    </row>
    <row r="388" spans="1:20" s="3" customFormat="1" x14ac:dyDescent="0.25">
      <c r="A388" s="21" t="s">
        <v>450</v>
      </c>
      <c r="B388" s="246" t="s">
        <v>309</v>
      </c>
      <c r="C388" s="246"/>
      <c r="D388" s="246"/>
      <c r="E388" s="246" t="s">
        <v>97</v>
      </c>
      <c r="F388" s="202" t="s">
        <v>53</v>
      </c>
      <c r="G388" s="271">
        <v>0.25</v>
      </c>
      <c r="H388" s="272">
        <f t="shared" ref="H388:Q388" si="40">G388</f>
        <v>0.25</v>
      </c>
      <c r="I388" s="272">
        <f t="shared" si="40"/>
        <v>0.25</v>
      </c>
      <c r="J388" s="272">
        <f t="shared" si="40"/>
        <v>0.25</v>
      </c>
      <c r="K388" s="272">
        <f t="shared" si="40"/>
        <v>0.25</v>
      </c>
      <c r="L388" s="272">
        <f t="shared" si="40"/>
        <v>0.25</v>
      </c>
      <c r="M388" s="272">
        <f t="shared" si="40"/>
        <v>0.25</v>
      </c>
      <c r="N388" s="272">
        <f t="shared" si="40"/>
        <v>0.25</v>
      </c>
      <c r="O388" s="272">
        <f t="shared" si="40"/>
        <v>0.25</v>
      </c>
      <c r="P388" s="272">
        <f t="shared" si="40"/>
        <v>0.25</v>
      </c>
      <c r="Q388" s="272">
        <f t="shared" si="40"/>
        <v>0.25</v>
      </c>
      <c r="R388" s="5"/>
      <c r="S388" s="25"/>
      <c r="T388" s="5"/>
    </row>
    <row r="389" spans="1:20" s="3" customFormat="1" x14ac:dyDescent="0.25">
      <c r="A389" s="21" t="s">
        <v>450</v>
      </c>
      <c r="B389" s="246" t="s">
        <v>358</v>
      </c>
      <c r="C389" s="246"/>
      <c r="D389" s="246"/>
      <c r="E389" s="246" t="s">
        <v>97</v>
      </c>
      <c r="F389" s="202" t="s">
        <v>53</v>
      </c>
      <c r="G389" s="271"/>
      <c r="H389" s="271"/>
      <c r="I389" s="271"/>
      <c r="J389" s="271"/>
      <c r="K389" s="271"/>
      <c r="L389" s="271"/>
      <c r="M389" s="271"/>
      <c r="N389" s="271"/>
      <c r="O389" s="271"/>
      <c r="P389" s="271"/>
      <c r="Q389" s="271"/>
      <c r="R389" s="5"/>
      <c r="S389" s="25"/>
      <c r="T389" s="5"/>
    </row>
    <row r="390" spans="1:20" s="3" customFormat="1" x14ac:dyDescent="0.25">
      <c r="A390" s="21" t="s">
        <v>450</v>
      </c>
      <c r="B390" s="246" t="s">
        <v>357</v>
      </c>
      <c r="C390" s="246"/>
      <c r="D390" s="246"/>
      <c r="E390" s="246" t="s">
        <v>97</v>
      </c>
      <c r="F390" s="202" t="s">
        <v>53</v>
      </c>
      <c r="G390" s="271"/>
      <c r="H390" s="271"/>
      <c r="I390" s="271"/>
      <c r="J390" s="271"/>
      <c r="K390" s="271"/>
      <c r="L390" s="271"/>
      <c r="M390" s="271"/>
      <c r="N390" s="271"/>
      <c r="O390" s="271"/>
      <c r="P390" s="271"/>
      <c r="Q390" s="271"/>
      <c r="R390" s="5"/>
      <c r="S390" s="25"/>
      <c r="T390" s="5"/>
    </row>
    <row r="391" spans="1:20" s="3" customFormat="1" x14ac:dyDescent="0.25">
      <c r="A391" s="21" t="s">
        <v>450</v>
      </c>
      <c r="B391" s="246" t="s">
        <v>75</v>
      </c>
      <c r="C391" s="246"/>
      <c r="D391" s="246"/>
      <c r="E391" s="246" t="s">
        <v>97</v>
      </c>
      <c r="F391" s="202" t="s">
        <v>53</v>
      </c>
      <c r="G391" s="271">
        <v>0.05</v>
      </c>
      <c r="H391" s="271"/>
      <c r="I391" s="271"/>
      <c r="J391" s="271"/>
      <c r="K391" s="271"/>
      <c r="L391" s="271"/>
      <c r="M391" s="271"/>
      <c r="N391" s="271"/>
      <c r="O391" s="271"/>
      <c r="P391" s="271"/>
      <c r="Q391" s="271"/>
      <c r="R391" s="5"/>
      <c r="S391" s="25"/>
      <c r="T391" s="5"/>
    </row>
    <row r="392" spans="1:20" s="3" customFormat="1" x14ac:dyDescent="0.25">
      <c r="A392" s="21" t="s">
        <v>450</v>
      </c>
      <c r="B392" s="68" t="s">
        <v>148</v>
      </c>
      <c r="C392" s="68"/>
      <c r="D392" s="251"/>
      <c r="E392" s="68" t="s">
        <v>97</v>
      </c>
      <c r="F392" s="202" t="s">
        <v>53</v>
      </c>
      <c r="G392" s="271"/>
      <c r="H392" s="271"/>
      <c r="I392" s="271"/>
      <c r="J392" s="271"/>
      <c r="K392" s="271"/>
      <c r="L392" s="271"/>
      <c r="M392" s="271"/>
      <c r="N392" s="271"/>
      <c r="O392" s="271"/>
      <c r="P392" s="271"/>
      <c r="Q392" s="271"/>
      <c r="R392" s="5"/>
      <c r="S392" s="25"/>
      <c r="T392" s="5"/>
    </row>
    <row r="393" spans="1:20" s="3" customFormat="1" x14ac:dyDescent="0.25">
      <c r="A393" s="21" t="s">
        <v>450</v>
      </c>
      <c r="B393" s="68" t="s">
        <v>149</v>
      </c>
      <c r="C393" s="68"/>
      <c r="D393" s="251"/>
      <c r="E393" s="68" t="s">
        <v>97</v>
      </c>
      <c r="F393" s="202" t="s">
        <v>53</v>
      </c>
      <c r="G393" s="271"/>
      <c r="H393" s="271"/>
      <c r="I393" s="271"/>
      <c r="J393" s="271"/>
      <c r="K393" s="271"/>
      <c r="L393" s="271"/>
      <c r="M393" s="271"/>
      <c r="N393" s="271"/>
      <c r="O393" s="271"/>
      <c r="P393" s="271"/>
      <c r="Q393" s="271"/>
      <c r="R393" s="5"/>
      <c r="S393" s="25"/>
      <c r="T393" s="5"/>
    </row>
    <row r="394" spans="1:20" s="3" customFormat="1" x14ac:dyDescent="0.25">
      <c r="A394" s="21" t="s">
        <v>450</v>
      </c>
      <c r="B394" s="68" t="s">
        <v>370</v>
      </c>
      <c r="C394" s="68"/>
      <c r="D394" s="251"/>
      <c r="E394" s="68" t="s">
        <v>97</v>
      </c>
      <c r="F394" s="202" t="s">
        <v>53</v>
      </c>
      <c r="G394" s="271"/>
      <c r="H394" s="271"/>
      <c r="I394" s="271"/>
      <c r="J394" s="271"/>
      <c r="K394" s="271"/>
      <c r="L394" s="271"/>
      <c r="M394" s="271"/>
      <c r="N394" s="271"/>
      <c r="O394" s="271"/>
      <c r="P394" s="271"/>
      <c r="Q394" s="271"/>
      <c r="R394" s="5"/>
      <c r="S394" s="25"/>
      <c r="T394" s="5"/>
    </row>
    <row r="395" spans="1:20" s="3" customFormat="1" x14ac:dyDescent="0.25">
      <c r="A395" s="21" t="s">
        <v>450</v>
      </c>
      <c r="B395" s="68" t="s">
        <v>371</v>
      </c>
      <c r="C395" s="68"/>
      <c r="D395" s="251"/>
      <c r="E395" s="68" t="s">
        <v>97</v>
      </c>
      <c r="F395" s="202" t="s">
        <v>53</v>
      </c>
      <c r="G395" s="271"/>
      <c r="H395" s="271"/>
      <c r="I395" s="271"/>
      <c r="J395" s="271"/>
      <c r="K395" s="271"/>
      <c r="L395" s="271"/>
      <c r="M395" s="271"/>
      <c r="N395" s="271"/>
      <c r="O395" s="271"/>
      <c r="P395" s="271"/>
      <c r="Q395" s="271"/>
      <c r="R395" s="5"/>
      <c r="S395" s="25"/>
      <c r="T395" s="5"/>
    </row>
    <row r="396" spans="1:20" s="3" customFormat="1" x14ac:dyDescent="0.25">
      <c r="A396" s="21" t="s">
        <v>450</v>
      </c>
      <c r="B396" s="246" t="s">
        <v>338</v>
      </c>
      <c r="C396" s="246"/>
      <c r="D396" s="246"/>
      <c r="E396" s="246" t="s">
        <v>34</v>
      </c>
      <c r="F396" s="202" t="s">
        <v>53</v>
      </c>
      <c r="G396" s="55"/>
      <c r="H396" s="55"/>
      <c r="I396" s="55"/>
      <c r="J396" s="55"/>
      <c r="K396" s="55"/>
      <c r="L396" s="55"/>
      <c r="M396" s="55"/>
      <c r="N396" s="55"/>
      <c r="O396" s="55"/>
      <c r="P396" s="55"/>
      <c r="Q396" s="55"/>
      <c r="R396" s="5"/>
      <c r="S396" s="25"/>
      <c r="T396" s="5"/>
    </row>
    <row r="397" spans="1:20" s="3" customFormat="1" x14ac:dyDescent="0.25">
      <c r="A397" s="21" t="s">
        <v>450</v>
      </c>
      <c r="B397" s="246" t="s">
        <v>152</v>
      </c>
      <c r="C397" s="246"/>
      <c r="D397" s="246"/>
      <c r="E397" s="246" t="s">
        <v>321</v>
      </c>
      <c r="F397" s="202" t="s">
        <v>53</v>
      </c>
      <c r="G397" s="276">
        <v>3565</v>
      </c>
      <c r="H397" s="229">
        <f>G397</f>
        <v>3565</v>
      </c>
      <c r="I397" s="229">
        <f t="shared" ref="I397:Q397" si="41">H397</f>
        <v>3565</v>
      </c>
      <c r="J397" s="229">
        <f t="shared" si="41"/>
        <v>3565</v>
      </c>
      <c r="K397" s="229">
        <f t="shared" si="41"/>
        <v>3565</v>
      </c>
      <c r="L397" s="229">
        <f t="shared" si="41"/>
        <v>3565</v>
      </c>
      <c r="M397" s="229">
        <f t="shared" si="41"/>
        <v>3565</v>
      </c>
      <c r="N397" s="229">
        <f t="shared" si="41"/>
        <v>3565</v>
      </c>
      <c r="O397" s="229">
        <f t="shared" si="41"/>
        <v>3565</v>
      </c>
      <c r="P397" s="229">
        <f t="shared" si="41"/>
        <v>3565</v>
      </c>
      <c r="Q397" s="229">
        <f t="shared" si="41"/>
        <v>3565</v>
      </c>
      <c r="R397" s="5"/>
      <c r="S397" s="25"/>
      <c r="T397" s="5"/>
    </row>
    <row r="398" spans="1:20" s="3" customFormat="1" x14ac:dyDescent="0.25">
      <c r="A398" s="21" t="s">
        <v>450</v>
      </c>
      <c r="B398" s="246" t="s">
        <v>383</v>
      </c>
      <c r="C398" s="246"/>
      <c r="D398" s="246"/>
      <c r="E398" s="246" t="s">
        <v>97</v>
      </c>
      <c r="F398" s="202" t="s">
        <v>53</v>
      </c>
      <c r="G398" s="271"/>
      <c r="H398" s="271"/>
      <c r="I398" s="271"/>
      <c r="J398" s="271"/>
      <c r="K398" s="271"/>
      <c r="L398" s="271"/>
      <c r="M398" s="271"/>
      <c r="N398" s="271"/>
      <c r="O398" s="271"/>
      <c r="P398" s="271"/>
      <c r="Q398" s="271"/>
      <c r="R398" s="5"/>
      <c r="S398" s="25"/>
      <c r="T398" s="5"/>
    </row>
    <row r="399" spans="1:20" s="3" customFormat="1" x14ac:dyDescent="0.25">
      <c r="A399" s="21" t="s">
        <v>450</v>
      </c>
      <c r="B399" s="246" t="s">
        <v>446</v>
      </c>
      <c r="C399" s="246"/>
      <c r="D399" s="246"/>
      <c r="E399" s="246" t="s">
        <v>34</v>
      </c>
      <c r="F399" s="202" t="s">
        <v>53</v>
      </c>
      <c r="G399" s="55"/>
      <c r="H399" s="55"/>
      <c r="I399" s="55"/>
      <c r="J399" s="55"/>
      <c r="K399" s="55"/>
      <c r="L399" s="55"/>
      <c r="M399" s="55"/>
      <c r="N399" s="55"/>
      <c r="O399" s="55"/>
      <c r="P399" s="55"/>
      <c r="Q399" s="55"/>
      <c r="R399" s="5"/>
      <c r="S399" s="25"/>
      <c r="T399" s="5"/>
    </row>
    <row r="400" spans="1:20" s="3" customFormat="1" x14ac:dyDescent="0.25">
      <c r="A400" s="21" t="s">
        <v>450</v>
      </c>
      <c r="B400" s="246" t="s">
        <v>387</v>
      </c>
      <c r="C400" s="246"/>
      <c r="D400" s="246"/>
      <c r="E400" s="246"/>
      <c r="F400" s="202" t="s">
        <v>53</v>
      </c>
      <c r="G400" s="54"/>
      <c r="H400" s="54"/>
      <c r="I400" s="54"/>
      <c r="J400" s="54"/>
      <c r="K400" s="54"/>
      <c r="L400" s="54"/>
      <c r="M400" s="54"/>
      <c r="N400" s="54"/>
      <c r="O400" s="54"/>
      <c r="P400" s="54"/>
      <c r="Q400" s="54"/>
      <c r="R400" s="5"/>
      <c r="S400" s="25"/>
      <c r="T400" s="5"/>
    </row>
    <row r="401" spans="1:20" s="3" customFormat="1" x14ac:dyDescent="0.25">
      <c r="A401" s="21" t="s">
        <v>450</v>
      </c>
      <c r="B401" s="246" t="s">
        <v>369</v>
      </c>
      <c r="C401" s="246"/>
      <c r="D401" s="246"/>
      <c r="E401" s="246" t="s">
        <v>97</v>
      </c>
      <c r="F401" s="202" t="s">
        <v>53</v>
      </c>
      <c r="G401" s="271"/>
      <c r="H401" s="271"/>
      <c r="I401" s="271"/>
      <c r="J401" s="271"/>
      <c r="K401" s="271"/>
      <c r="L401" s="271"/>
      <c r="M401" s="271"/>
      <c r="N401" s="271"/>
      <c r="O401" s="271"/>
      <c r="P401" s="271"/>
      <c r="Q401" s="271"/>
      <c r="R401" s="5"/>
      <c r="S401" s="25"/>
      <c r="T401" s="5"/>
    </row>
    <row r="402" spans="1:20" s="3" customFormat="1" x14ac:dyDescent="0.25">
      <c r="A402" s="21" t="s">
        <v>450</v>
      </c>
      <c r="B402" s="246" t="s">
        <v>392</v>
      </c>
      <c r="C402" s="246"/>
      <c r="D402" s="246"/>
      <c r="E402" s="246" t="s">
        <v>321</v>
      </c>
      <c r="F402" s="202" t="s">
        <v>53</v>
      </c>
      <c r="G402" s="55"/>
      <c r="H402" s="55"/>
      <c r="I402" s="55"/>
      <c r="J402" s="55"/>
      <c r="K402" s="55"/>
      <c r="L402" s="55"/>
      <c r="M402" s="55"/>
      <c r="N402" s="55"/>
      <c r="O402" s="55"/>
      <c r="P402" s="55"/>
      <c r="Q402" s="55"/>
      <c r="R402" s="5"/>
      <c r="S402" s="25"/>
      <c r="T402" s="5"/>
    </row>
    <row r="403" spans="1:20" s="3" customFormat="1" x14ac:dyDescent="0.25">
      <c r="A403" s="21" t="s">
        <v>450</v>
      </c>
      <c r="B403" s="246" t="s">
        <v>394</v>
      </c>
      <c r="C403" s="246"/>
      <c r="D403" s="246"/>
      <c r="E403" s="246" t="s">
        <v>321</v>
      </c>
      <c r="F403" s="202" t="s">
        <v>53</v>
      </c>
      <c r="G403" s="55"/>
      <c r="H403" s="55"/>
      <c r="I403" s="55"/>
      <c r="J403" s="55"/>
      <c r="K403" s="55"/>
      <c r="L403" s="55"/>
      <c r="M403" s="55"/>
      <c r="N403" s="55"/>
      <c r="O403" s="55"/>
      <c r="P403" s="55"/>
      <c r="Q403" s="55"/>
      <c r="R403" s="5"/>
      <c r="S403" s="25"/>
      <c r="T403" s="5"/>
    </row>
    <row r="404" spans="1:20" s="3" customFormat="1" x14ac:dyDescent="0.25">
      <c r="A404" s="21" t="s">
        <v>450</v>
      </c>
      <c r="B404" s="246" t="s">
        <v>395</v>
      </c>
      <c r="C404" s="246"/>
      <c r="D404" s="246"/>
      <c r="E404" s="246"/>
      <c r="F404" s="202" t="s">
        <v>53</v>
      </c>
      <c r="G404" s="54"/>
      <c r="H404" s="54"/>
      <c r="I404" s="54"/>
      <c r="J404" s="54"/>
      <c r="K404" s="54"/>
      <c r="L404" s="54"/>
      <c r="M404" s="54"/>
      <c r="N404" s="54"/>
      <c r="O404" s="54"/>
      <c r="P404" s="54"/>
      <c r="Q404" s="54"/>
      <c r="R404" s="5"/>
      <c r="S404" s="25"/>
      <c r="T404" s="5"/>
    </row>
    <row r="405" spans="1:20" s="3" customFormat="1" x14ac:dyDescent="0.25">
      <c r="A405" s="21" t="s">
        <v>450</v>
      </c>
      <c r="B405" s="246" t="s">
        <v>396</v>
      </c>
      <c r="C405" s="246"/>
      <c r="D405" s="246"/>
      <c r="E405" s="246"/>
      <c r="F405" s="202" t="s">
        <v>53</v>
      </c>
      <c r="G405" s="54"/>
      <c r="H405" s="54"/>
      <c r="I405" s="54"/>
      <c r="J405" s="54"/>
      <c r="K405" s="54"/>
      <c r="L405" s="54"/>
      <c r="M405" s="54"/>
      <c r="N405" s="54"/>
      <c r="O405" s="54"/>
      <c r="P405" s="54"/>
      <c r="Q405" s="54"/>
      <c r="R405" s="5"/>
      <c r="S405" s="25"/>
      <c r="T405" s="5"/>
    </row>
    <row r="406" spans="1:20" s="3" customFormat="1" x14ac:dyDescent="0.25">
      <c r="A406" s="21" t="s">
        <v>450</v>
      </c>
      <c r="B406" s="246" t="s">
        <v>393</v>
      </c>
      <c r="C406" s="246"/>
      <c r="D406" s="246"/>
      <c r="E406" s="246" t="s">
        <v>322</v>
      </c>
      <c r="F406" s="202" t="s">
        <v>53</v>
      </c>
      <c r="G406" s="55"/>
      <c r="H406" s="55"/>
      <c r="I406" s="55"/>
      <c r="J406" s="55"/>
      <c r="K406" s="55"/>
      <c r="L406" s="55"/>
      <c r="M406" s="55"/>
      <c r="N406" s="55"/>
      <c r="O406" s="55"/>
      <c r="P406" s="55"/>
      <c r="Q406" s="55"/>
      <c r="R406" s="5"/>
      <c r="S406" s="25"/>
      <c r="T406" s="5"/>
    </row>
    <row r="407" spans="1:20" s="3" customFormat="1" x14ac:dyDescent="0.25">
      <c r="A407" s="21" t="s">
        <v>450</v>
      </c>
      <c r="B407" s="246" t="s">
        <v>397</v>
      </c>
      <c r="C407" s="246"/>
      <c r="D407" s="246"/>
      <c r="E407" s="246" t="s">
        <v>322</v>
      </c>
      <c r="F407" s="202" t="s">
        <v>53</v>
      </c>
      <c r="G407" s="55"/>
      <c r="H407" s="55"/>
      <c r="I407" s="55"/>
      <c r="J407" s="55"/>
      <c r="K407" s="55"/>
      <c r="L407" s="55"/>
      <c r="M407" s="55"/>
      <c r="N407" s="55"/>
      <c r="O407" s="55"/>
      <c r="P407" s="55"/>
      <c r="Q407" s="55"/>
      <c r="R407" s="5"/>
      <c r="S407" s="25"/>
      <c r="T407" s="5"/>
    </row>
    <row r="408" spans="1:20" s="3" customFormat="1" x14ac:dyDescent="0.25">
      <c r="A408" s="21" t="s">
        <v>450</v>
      </c>
      <c r="B408" s="246" t="s">
        <v>398</v>
      </c>
      <c r="C408" s="246"/>
      <c r="D408" s="246"/>
      <c r="E408" s="246"/>
      <c r="F408" s="202" t="s">
        <v>53</v>
      </c>
      <c r="G408" s="54"/>
      <c r="H408" s="54"/>
      <c r="I408" s="54"/>
      <c r="J408" s="54"/>
      <c r="K408" s="54"/>
      <c r="L408" s="54"/>
      <c r="M408" s="54"/>
      <c r="N408" s="54"/>
      <c r="O408" s="54"/>
      <c r="P408" s="54"/>
      <c r="Q408" s="54"/>
      <c r="R408" s="5"/>
      <c r="S408" s="25"/>
      <c r="T408" s="5"/>
    </row>
    <row r="409" spans="1:20" s="3" customFormat="1" x14ac:dyDescent="0.25">
      <c r="A409" s="21" t="s">
        <v>450</v>
      </c>
      <c r="B409" s="246" t="s">
        <v>399</v>
      </c>
      <c r="C409" s="246"/>
      <c r="D409" s="246"/>
      <c r="E409" s="246"/>
      <c r="F409" s="202" t="s">
        <v>53</v>
      </c>
      <c r="G409" s="54"/>
      <c r="H409" s="54"/>
      <c r="I409" s="54"/>
      <c r="J409" s="54"/>
      <c r="K409" s="54"/>
      <c r="L409" s="54"/>
      <c r="M409" s="54"/>
      <c r="N409" s="54"/>
      <c r="O409" s="54"/>
      <c r="P409" s="54"/>
      <c r="Q409" s="54"/>
      <c r="R409" s="5"/>
      <c r="S409" s="25"/>
      <c r="T409" s="5"/>
    </row>
    <row r="410" spans="1:20" s="3" customFormat="1" x14ac:dyDescent="0.25">
      <c r="A410" s="21" t="s">
        <v>450</v>
      </c>
      <c r="B410" s="246" t="s">
        <v>310</v>
      </c>
      <c r="C410" s="246"/>
      <c r="D410" s="246"/>
      <c r="E410" s="246" t="s">
        <v>322</v>
      </c>
      <c r="F410" s="202" t="s">
        <v>53</v>
      </c>
      <c r="G410" s="55"/>
      <c r="H410" s="55"/>
      <c r="I410" s="55"/>
      <c r="J410" s="55"/>
      <c r="K410" s="55"/>
      <c r="L410" s="55"/>
      <c r="M410" s="55"/>
      <c r="N410" s="55"/>
      <c r="O410" s="55"/>
      <c r="P410" s="55"/>
      <c r="Q410" s="55"/>
      <c r="R410" s="5"/>
      <c r="S410" s="25"/>
      <c r="T410" s="5"/>
    </row>
    <row r="411" spans="1:20" s="3" customFormat="1" x14ac:dyDescent="0.25">
      <c r="A411" s="21" t="s">
        <v>450</v>
      </c>
      <c r="B411" s="246" t="s">
        <v>360</v>
      </c>
      <c r="C411" s="246"/>
      <c r="D411" s="246"/>
      <c r="E411" s="246" t="s">
        <v>321</v>
      </c>
      <c r="F411" s="202" t="s">
        <v>53</v>
      </c>
      <c r="G411" s="55"/>
      <c r="H411" s="55"/>
      <c r="I411" s="55"/>
      <c r="J411" s="55"/>
      <c r="K411" s="55"/>
      <c r="L411" s="55"/>
      <c r="M411" s="55"/>
      <c r="N411" s="55"/>
      <c r="O411" s="55"/>
      <c r="P411" s="55"/>
      <c r="Q411" s="55"/>
      <c r="R411" s="5"/>
      <c r="S411" s="25"/>
      <c r="T411" s="5"/>
    </row>
    <row r="412" spans="1:20" s="3" customFormat="1" x14ac:dyDescent="0.25">
      <c r="A412" s="21" t="s">
        <v>450</v>
      </c>
      <c r="B412" s="67" t="s">
        <v>306</v>
      </c>
      <c r="C412" s="25"/>
      <c r="D412" s="67" t="s">
        <v>475</v>
      </c>
      <c r="E412" s="67" t="s">
        <v>334</v>
      </c>
      <c r="F412" s="202" t="s">
        <v>53</v>
      </c>
      <c r="G412" s="282">
        <f>1/0.9</f>
        <v>1.1111111111111112</v>
      </c>
      <c r="H412" s="282">
        <f t="shared" ref="H412:Q412" si="42">1/0.9</f>
        <v>1.1111111111111112</v>
      </c>
      <c r="I412" s="282">
        <f t="shared" si="42"/>
        <v>1.1111111111111112</v>
      </c>
      <c r="J412" s="282">
        <f t="shared" si="42"/>
        <v>1.1111111111111112</v>
      </c>
      <c r="K412" s="282">
        <f t="shared" si="42"/>
        <v>1.1111111111111112</v>
      </c>
      <c r="L412" s="282">
        <f t="shared" si="42"/>
        <v>1.1111111111111112</v>
      </c>
      <c r="M412" s="282">
        <f t="shared" si="42"/>
        <v>1.1111111111111112</v>
      </c>
      <c r="N412" s="282">
        <f t="shared" si="42"/>
        <v>1.1111111111111112</v>
      </c>
      <c r="O412" s="282">
        <f t="shared" si="42"/>
        <v>1.1111111111111112</v>
      </c>
      <c r="P412" s="282">
        <f t="shared" si="42"/>
        <v>1.1111111111111112</v>
      </c>
      <c r="Q412" s="282">
        <f t="shared" si="42"/>
        <v>1.1111111111111112</v>
      </c>
      <c r="R412" s="5"/>
      <c r="S412" s="25"/>
      <c r="T412" s="5"/>
    </row>
    <row r="413" spans="1:20" s="3" customFormat="1" x14ac:dyDescent="0.25">
      <c r="A413" s="21" t="s">
        <v>450</v>
      </c>
      <c r="B413" s="4"/>
      <c r="C413" s="13"/>
      <c r="D413" s="4"/>
      <c r="E413" s="4"/>
      <c r="F413" s="9"/>
      <c r="G413" s="4"/>
      <c r="H413" s="4"/>
      <c r="I413" s="4"/>
      <c r="J413" s="4"/>
      <c r="K413" s="4"/>
      <c r="L413" s="4"/>
      <c r="M413" s="4"/>
      <c r="N413" s="4"/>
      <c r="O413" s="4"/>
      <c r="P413" s="4"/>
      <c r="Q413" s="4"/>
      <c r="R413" s="5"/>
      <c r="S413" s="13"/>
      <c r="T413" s="5"/>
    </row>
    <row r="414" spans="1:20" s="3" customFormat="1" x14ac:dyDescent="0.25">
      <c r="A414" s="359" t="s">
        <v>69</v>
      </c>
      <c r="B414" s="4"/>
      <c r="C414" s="13"/>
      <c r="D414" s="4"/>
      <c r="E414" s="4"/>
      <c r="F414" s="9"/>
      <c r="G414" s="4"/>
      <c r="H414" s="4"/>
      <c r="I414" s="4"/>
      <c r="J414" s="4"/>
      <c r="K414" s="4"/>
      <c r="L414" s="4"/>
      <c r="M414" s="4"/>
      <c r="N414" s="4"/>
      <c r="O414" s="4"/>
      <c r="P414" s="4"/>
      <c r="Q414" s="4"/>
      <c r="R414" s="5"/>
      <c r="S414" s="13"/>
      <c r="T414" s="5"/>
    </row>
    <row r="415" spans="1:20" s="3" customFormat="1" x14ac:dyDescent="0.25">
      <c r="A415" s="21" t="s">
        <v>450</v>
      </c>
      <c r="B415" s="67" t="s">
        <v>305</v>
      </c>
      <c r="C415" s="25"/>
      <c r="D415" s="67" t="s">
        <v>466</v>
      </c>
      <c r="E415" s="67" t="s">
        <v>34</v>
      </c>
      <c r="F415" s="202" t="str">
        <f>A414</f>
        <v>Water heating</v>
      </c>
      <c r="G415" s="55"/>
      <c r="H415" s="55"/>
      <c r="I415" s="55"/>
      <c r="J415" s="55"/>
      <c r="K415" s="55"/>
      <c r="L415" s="55"/>
      <c r="M415" s="55"/>
      <c r="N415" s="55"/>
      <c r="O415" s="55"/>
      <c r="P415" s="55"/>
      <c r="Q415" s="55"/>
      <c r="R415" s="5"/>
      <c r="S415" s="25"/>
      <c r="T415" s="5"/>
    </row>
    <row r="416" spans="1:20" s="3" customFormat="1" x14ac:dyDescent="0.25">
      <c r="A416" s="21" t="s">
        <v>450</v>
      </c>
      <c r="B416" s="67" t="s">
        <v>47</v>
      </c>
      <c r="C416" s="25"/>
      <c r="D416" s="2"/>
      <c r="E416" s="2"/>
      <c r="F416" s="202" t="s">
        <v>21</v>
      </c>
      <c r="G416" s="4"/>
      <c r="H416" s="4"/>
      <c r="I416" s="4"/>
      <c r="J416" s="4"/>
      <c r="K416" s="4"/>
      <c r="L416" s="4"/>
      <c r="M416" s="4"/>
      <c r="N416" s="4"/>
      <c r="O416" s="4"/>
      <c r="P416" s="4"/>
      <c r="Q416" s="4"/>
      <c r="R416" s="5"/>
      <c r="S416" s="25"/>
      <c r="T416" s="5"/>
    </row>
    <row r="417" spans="1:20" s="3" customFormat="1" x14ac:dyDescent="0.25">
      <c r="A417" s="21" t="s">
        <v>450</v>
      </c>
      <c r="B417" s="67" t="s">
        <v>66</v>
      </c>
      <c r="C417" s="25"/>
      <c r="D417" s="2"/>
      <c r="E417" s="2"/>
      <c r="F417" s="202" t="s">
        <v>35</v>
      </c>
      <c r="G417" s="4">
        <v>10</v>
      </c>
      <c r="H417" s="209">
        <f t="shared" ref="H417:Q417" si="43">G417</f>
        <v>10</v>
      </c>
      <c r="I417" s="209">
        <f t="shared" si="43"/>
        <v>10</v>
      </c>
      <c r="J417" s="209">
        <f t="shared" si="43"/>
        <v>10</v>
      </c>
      <c r="K417" s="209">
        <f t="shared" si="43"/>
        <v>10</v>
      </c>
      <c r="L417" s="209">
        <f t="shared" si="43"/>
        <v>10</v>
      </c>
      <c r="M417" s="209">
        <f t="shared" si="43"/>
        <v>10</v>
      </c>
      <c r="N417" s="209">
        <f t="shared" si="43"/>
        <v>10</v>
      </c>
      <c r="O417" s="209">
        <f t="shared" si="43"/>
        <v>10</v>
      </c>
      <c r="P417" s="209">
        <f t="shared" si="43"/>
        <v>10</v>
      </c>
      <c r="Q417" s="209">
        <f t="shared" si="43"/>
        <v>10</v>
      </c>
      <c r="R417" s="5"/>
      <c r="S417" s="25"/>
      <c r="T417" s="5"/>
    </row>
    <row r="418" spans="1:20" s="3" customFormat="1" x14ac:dyDescent="0.25">
      <c r="A418" s="21" t="s">
        <v>450</v>
      </c>
      <c r="B418" s="67" t="s">
        <v>51</v>
      </c>
      <c r="C418" s="25"/>
      <c r="D418" s="2"/>
      <c r="E418" s="2"/>
      <c r="F418" s="202" t="s">
        <v>119</v>
      </c>
      <c r="G418" s="4"/>
      <c r="H418" s="4"/>
      <c r="I418" s="4"/>
      <c r="J418" s="4"/>
      <c r="K418" s="4"/>
      <c r="L418" s="4"/>
      <c r="M418" s="4"/>
      <c r="N418" s="4"/>
      <c r="O418" s="4"/>
      <c r="P418" s="4"/>
      <c r="Q418" s="4"/>
      <c r="R418" s="5"/>
      <c r="S418" s="25"/>
      <c r="T418" s="5"/>
    </row>
    <row r="419" spans="1:20" s="3" customFormat="1" x14ac:dyDescent="0.25">
      <c r="A419" s="21" t="s">
        <v>450</v>
      </c>
      <c r="B419" s="246" t="s">
        <v>38</v>
      </c>
      <c r="C419" s="246"/>
      <c r="D419" s="246"/>
      <c r="E419" s="246" t="s">
        <v>40</v>
      </c>
      <c r="F419" s="202" t="s">
        <v>119</v>
      </c>
      <c r="G419" s="277">
        <v>1990</v>
      </c>
      <c r="H419" s="278">
        <f t="shared" ref="H419:Q420" si="44">G419</f>
        <v>1990</v>
      </c>
      <c r="I419" s="278">
        <f t="shared" si="44"/>
        <v>1990</v>
      </c>
      <c r="J419" s="278">
        <f t="shared" si="44"/>
        <v>1990</v>
      </c>
      <c r="K419" s="278">
        <f t="shared" si="44"/>
        <v>1990</v>
      </c>
      <c r="L419" s="278">
        <f t="shared" si="44"/>
        <v>1990</v>
      </c>
      <c r="M419" s="278">
        <f t="shared" si="44"/>
        <v>1990</v>
      </c>
      <c r="N419" s="278">
        <f t="shared" si="44"/>
        <v>1990</v>
      </c>
      <c r="O419" s="278">
        <f t="shared" si="44"/>
        <v>1990</v>
      </c>
      <c r="P419" s="278">
        <f t="shared" si="44"/>
        <v>1990</v>
      </c>
      <c r="Q419" s="278">
        <f t="shared" si="44"/>
        <v>1990</v>
      </c>
      <c r="R419" s="5"/>
      <c r="S419" s="25"/>
      <c r="T419" s="5"/>
    </row>
    <row r="420" spans="1:20" s="3" customFormat="1" x14ac:dyDescent="0.25">
      <c r="A420" s="21" t="s">
        <v>450</v>
      </c>
      <c r="B420" s="246" t="s">
        <v>37</v>
      </c>
      <c r="C420" s="246"/>
      <c r="D420" s="246"/>
      <c r="E420" s="246" t="s">
        <v>40</v>
      </c>
      <c r="F420" s="202" t="s">
        <v>119</v>
      </c>
      <c r="G420" s="277">
        <v>2000</v>
      </c>
      <c r="H420" s="278">
        <f t="shared" si="44"/>
        <v>2000</v>
      </c>
      <c r="I420" s="278">
        <f t="shared" si="44"/>
        <v>2000</v>
      </c>
      <c r="J420" s="278">
        <f t="shared" si="44"/>
        <v>2000</v>
      </c>
      <c r="K420" s="278">
        <f t="shared" si="44"/>
        <v>2000</v>
      </c>
      <c r="L420" s="278">
        <f t="shared" si="44"/>
        <v>2000</v>
      </c>
      <c r="M420" s="278">
        <f t="shared" si="44"/>
        <v>2000</v>
      </c>
      <c r="N420" s="278">
        <f t="shared" si="44"/>
        <v>2000</v>
      </c>
      <c r="O420" s="278">
        <f t="shared" si="44"/>
        <v>2000</v>
      </c>
      <c r="P420" s="278">
        <f t="shared" si="44"/>
        <v>2000</v>
      </c>
      <c r="Q420" s="278">
        <f t="shared" si="44"/>
        <v>2000</v>
      </c>
      <c r="R420" s="5"/>
      <c r="S420" s="25"/>
      <c r="T420" s="5"/>
    </row>
    <row r="421" spans="1:20" s="3" customFormat="1" x14ac:dyDescent="0.25">
      <c r="A421" s="21" t="s">
        <v>450</v>
      </c>
      <c r="B421" s="246" t="s">
        <v>39</v>
      </c>
      <c r="C421" s="246"/>
      <c r="D421" s="246"/>
      <c r="E421" s="246" t="s">
        <v>10</v>
      </c>
      <c r="F421" s="202" t="s">
        <v>119</v>
      </c>
      <c r="G421" s="55">
        <v>9</v>
      </c>
      <c r="H421" s="55"/>
      <c r="I421" s="55"/>
      <c r="J421" s="55"/>
      <c r="K421" s="55"/>
      <c r="L421" s="55"/>
      <c r="M421" s="55"/>
      <c r="N421" s="55"/>
      <c r="O421" s="55"/>
      <c r="P421" s="55"/>
      <c r="Q421" s="55"/>
      <c r="R421" s="5"/>
      <c r="S421" s="25"/>
      <c r="T421" s="5"/>
    </row>
    <row r="422" spans="1:20" s="3" customFormat="1" x14ac:dyDescent="0.25">
      <c r="A422" s="21" t="s">
        <v>450</v>
      </c>
      <c r="B422" s="246" t="s">
        <v>361</v>
      </c>
      <c r="C422" s="246"/>
      <c r="D422" s="246"/>
      <c r="E422" s="246" t="s">
        <v>10</v>
      </c>
      <c r="F422" s="202" t="s">
        <v>119</v>
      </c>
      <c r="G422" s="55"/>
      <c r="H422" s="55"/>
      <c r="I422" s="55"/>
      <c r="J422" s="55"/>
      <c r="K422" s="55"/>
      <c r="L422" s="55"/>
      <c r="M422" s="55"/>
      <c r="N422" s="55"/>
      <c r="O422" s="55"/>
      <c r="P422" s="55"/>
      <c r="Q422" s="55"/>
      <c r="R422" s="5"/>
      <c r="S422" s="25"/>
      <c r="T422" s="5"/>
    </row>
    <row r="423" spans="1:20" s="3" customFormat="1" x14ac:dyDescent="0.25">
      <c r="A423" s="21" t="s">
        <v>450</v>
      </c>
      <c r="B423" s="246" t="s">
        <v>309</v>
      </c>
      <c r="C423" s="246"/>
      <c r="D423" s="246"/>
      <c r="E423" s="246" t="s">
        <v>97</v>
      </c>
      <c r="F423" s="202" t="s">
        <v>119</v>
      </c>
      <c r="G423" s="271">
        <v>0.3</v>
      </c>
      <c r="H423" s="274">
        <f t="shared" ref="H423:Q423" si="45">G423</f>
        <v>0.3</v>
      </c>
      <c r="I423" s="274">
        <f t="shared" si="45"/>
        <v>0.3</v>
      </c>
      <c r="J423" s="274">
        <f t="shared" si="45"/>
        <v>0.3</v>
      </c>
      <c r="K423" s="274">
        <f t="shared" si="45"/>
        <v>0.3</v>
      </c>
      <c r="L423" s="274">
        <f t="shared" si="45"/>
        <v>0.3</v>
      </c>
      <c r="M423" s="274">
        <f t="shared" si="45"/>
        <v>0.3</v>
      </c>
      <c r="N423" s="274">
        <f t="shared" si="45"/>
        <v>0.3</v>
      </c>
      <c r="O423" s="274">
        <f t="shared" si="45"/>
        <v>0.3</v>
      </c>
      <c r="P423" s="274">
        <f t="shared" si="45"/>
        <v>0.3</v>
      </c>
      <c r="Q423" s="274">
        <f t="shared" si="45"/>
        <v>0.3</v>
      </c>
      <c r="R423" s="5"/>
      <c r="S423" s="25"/>
      <c r="T423" s="5"/>
    </row>
    <row r="424" spans="1:20" s="3" customFormat="1" x14ac:dyDescent="0.25">
      <c r="A424" s="21" t="s">
        <v>450</v>
      </c>
      <c r="B424" s="246" t="s">
        <v>358</v>
      </c>
      <c r="C424" s="246"/>
      <c r="D424" s="246"/>
      <c r="E424" s="246" t="s">
        <v>97</v>
      </c>
      <c r="F424" s="202" t="s">
        <v>119</v>
      </c>
      <c r="G424" s="271"/>
      <c r="H424" s="271"/>
      <c r="I424" s="271"/>
      <c r="J424" s="271"/>
      <c r="K424" s="271"/>
      <c r="L424" s="271"/>
      <c r="M424" s="271"/>
      <c r="N424" s="271"/>
      <c r="O424" s="271"/>
      <c r="P424" s="271"/>
      <c r="Q424" s="271"/>
      <c r="R424" s="5"/>
      <c r="S424" s="25"/>
      <c r="T424" s="5"/>
    </row>
    <row r="425" spans="1:20" s="3" customFormat="1" x14ac:dyDescent="0.25">
      <c r="A425" s="21" t="s">
        <v>450</v>
      </c>
      <c r="B425" s="246" t="s">
        <v>357</v>
      </c>
      <c r="C425" s="246"/>
      <c r="D425" s="246"/>
      <c r="E425" s="246" t="s">
        <v>97</v>
      </c>
      <c r="F425" s="202" t="s">
        <v>119</v>
      </c>
      <c r="G425" s="271"/>
      <c r="H425" s="271"/>
      <c r="I425" s="271"/>
      <c r="J425" s="271"/>
      <c r="K425" s="271"/>
      <c r="L425" s="271"/>
      <c r="M425" s="271"/>
      <c r="N425" s="271"/>
      <c r="O425" s="271"/>
      <c r="P425" s="271"/>
      <c r="Q425" s="271"/>
      <c r="R425" s="5"/>
      <c r="S425" s="25"/>
      <c r="T425" s="5"/>
    </row>
    <row r="426" spans="1:20" s="3" customFormat="1" x14ac:dyDescent="0.25">
      <c r="A426" s="21" t="s">
        <v>450</v>
      </c>
      <c r="B426" s="246" t="s">
        <v>75</v>
      </c>
      <c r="C426" s="246"/>
      <c r="D426" s="246"/>
      <c r="E426" s="246" t="s">
        <v>97</v>
      </c>
      <c r="F426" s="202" t="s">
        <v>119</v>
      </c>
      <c r="G426" s="271">
        <v>0.93</v>
      </c>
      <c r="H426" s="271"/>
      <c r="I426" s="271"/>
      <c r="J426" s="271"/>
      <c r="K426" s="271"/>
      <c r="L426" s="271"/>
      <c r="M426" s="271"/>
      <c r="N426" s="271"/>
      <c r="O426" s="271"/>
      <c r="P426" s="271"/>
      <c r="Q426" s="271"/>
      <c r="R426" s="5"/>
      <c r="S426" s="25"/>
      <c r="T426" s="5"/>
    </row>
    <row r="427" spans="1:20" s="3" customFormat="1" x14ac:dyDescent="0.25">
      <c r="A427" s="21" t="s">
        <v>450</v>
      </c>
      <c r="B427" s="68" t="s">
        <v>148</v>
      </c>
      <c r="C427" s="68"/>
      <c r="D427" s="251"/>
      <c r="E427" s="68" t="s">
        <v>97</v>
      </c>
      <c r="F427" s="202" t="s">
        <v>119</v>
      </c>
      <c r="G427" s="271"/>
      <c r="H427" s="271"/>
      <c r="I427" s="271"/>
      <c r="J427" s="271"/>
      <c r="K427" s="271"/>
      <c r="L427" s="271"/>
      <c r="M427" s="271"/>
      <c r="N427" s="271"/>
      <c r="O427" s="271"/>
      <c r="P427" s="271"/>
      <c r="Q427" s="271"/>
      <c r="R427" s="5"/>
      <c r="S427" s="25"/>
      <c r="T427" s="5"/>
    </row>
    <row r="428" spans="1:20" s="3" customFormat="1" x14ac:dyDescent="0.25">
      <c r="A428" s="21" t="s">
        <v>450</v>
      </c>
      <c r="B428" s="68" t="s">
        <v>149</v>
      </c>
      <c r="C428" s="68"/>
      <c r="D428" s="251"/>
      <c r="E428" s="68" t="s">
        <v>97</v>
      </c>
      <c r="F428" s="202" t="s">
        <v>119</v>
      </c>
      <c r="G428" s="271"/>
      <c r="H428" s="271"/>
      <c r="I428" s="271"/>
      <c r="J428" s="271"/>
      <c r="K428" s="271"/>
      <c r="L428" s="271"/>
      <c r="M428" s="271"/>
      <c r="N428" s="271"/>
      <c r="O428" s="271"/>
      <c r="P428" s="271"/>
      <c r="Q428" s="271"/>
      <c r="R428" s="5"/>
      <c r="S428" s="25"/>
      <c r="T428" s="5"/>
    </row>
    <row r="429" spans="1:20" s="3" customFormat="1" x14ac:dyDescent="0.25">
      <c r="A429" s="21" t="s">
        <v>450</v>
      </c>
      <c r="B429" s="68" t="s">
        <v>370</v>
      </c>
      <c r="C429" s="68"/>
      <c r="D429" s="251"/>
      <c r="E429" s="68" t="s">
        <v>97</v>
      </c>
      <c r="F429" s="202" t="s">
        <v>119</v>
      </c>
      <c r="G429" s="271"/>
      <c r="H429" s="271"/>
      <c r="I429" s="271"/>
      <c r="J429" s="271"/>
      <c r="K429" s="271"/>
      <c r="L429" s="271"/>
      <c r="M429" s="271"/>
      <c r="N429" s="271"/>
      <c r="O429" s="271"/>
      <c r="P429" s="271"/>
      <c r="Q429" s="271"/>
      <c r="R429" s="5"/>
      <c r="S429" s="25"/>
      <c r="T429" s="5"/>
    </row>
    <row r="430" spans="1:20" s="3" customFormat="1" x14ac:dyDescent="0.25">
      <c r="A430" s="21" t="s">
        <v>450</v>
      </c>
      <c r="B430" s="68" t="s">
        <v>371</v>
      </c>
      <c r="C430" s="68"/>
      <c r="D430" s="251"/>
      <c r="E430" s="68" t="s">
        <v>97</v>
      </c>
      <c r="F430" s="202" t="s">
        <v>119</v>
      </c>
      <c r="G430" s="271"/>
      <c r="H430" s="271"/>
      <c r="I430" s="271"/>
      <c r="J430" s="271"/>
      <c r="K430" s="271"/>
      <c r="L430" s="271"/>
      <c r="M430" s="271"/>
      <c r="N430" s="271"/>
      <c r="O430" s="271"/>
      <c r="P430" s="271"/>
      <c r="Q430" s="271"/>
      <c r="R430" s="5"/>
      <c r="S430" s="25"/>
      <c r="T430" s="5"/>
    </row>
    <row r="431" spans="1:20" s="3" customFormat="1" x14ac:dyDescent="0.25">
      <c r="A431" s="21" t="s">
        <v>450</v>
      </c>
      <c r="B431" s="246" t="s">
        <v>338</v>
      </c>
      <c r="C431" s="246"/>
      <c r="D431" s="246"/>
      <c r="E431" s="246" t="s">
        <v>34</v>
      </c>
      <c r="F431" s="202" t="s">
        <v>119</v>
      </c>
      <c r="G431" s="55">
        <v>68.62</v>
      </c>
      <c r="H431" s="55"/>
      <c r="I431" s="55"/>
      <c r="J431" s="55"/>
      <c r="K431" s="55"/>
      <c r="L431" s="55"/>
      <c r="M431" s="55"/>
      <c r="N431" s="55"/>
      <c r="O431" s="55"/>
      <c r="P431" s="55"/>
      <c r="Q431" s="55"/>
      <c r="R431" s="5"/>
      <c r="S431" s="25"/>
      <c r="T431" s="5"/>
    </row>
    <row r="432" spans="1:20" s="3" customFormat="1" x14ac:dyDescent="0.25">
      <c r="A432" s="21" t="s">
        <v>450</v>
      </c>
      <c r="B432" s="246" t="s">
        <v>152</v>
      </c>
      <c r="C432" s="246"/>
      <c r="D432" s="246"/>
      <c r="E432" s="246" t="s">
        <v>321</v>
      </c>
      <c r="F432" s="202" t="s">
        <v>119</v>
      </c>
      <c r="G432" s="55">
        <v>592.51900000000001</v>
      </c>
      <c r="H432" s="262">
        <f t="shared" ref="H432:Q432" si="46">G432</f>
        <v>592.51900000000001</v>
      </c>
      <c r="I432" s="262">
        <f t="shared" si="46"/>
        <v>592.51900000000001</v>
      </c>
      <c r="J432" s="262">
        <f t="shared" si="46"/>
        <v>592.51900000000001</v>
      </c>
      <c r="K432" s="262">
        <f t="shared" si="46"/>
        <v>592.51900000000001</v>
      </c>
      <c r="L432" s="262">
        <f t="shared" si="46"/>
        <v>592.51900000000001</v>
      </c>
      <c r="M432" s="262">
        <f t="shared" si="46"/>
        <v>592.51900000000001</v>
      </c>
      <c r="N432" s="262">
        <f t="shared" si="46"/>
        <v>592.51900000000001</v>
      </c>
      <c r="O432" s="262">
        <f t="shared" si="46"/>
        <v>592.51900000000001</v>
      </c>
      <c r="P432" s="262">
        <f t="shared" si="46"/>
        <v>592.51900000000001</v>
      </c>
      <c r="Q432" s="262">
        <f t="shared" si="46"/>
        <v>592.51900000000001</v>
      </c>
      <c r="R432" s="5"/>
      <c r="S432" s="25"/>
      <c r="T432" s="5"/>
    </row>
    <row r="433" spans="1:20" s="3" customFormat="1" x14ac:dyDescent="0.25">
      <c r="A433" s="21" t="s">
        <v>450</v>
      </c>
      <c r="B433" s="246" t="s">
        <v>383</v>
      </c>
      <c r="C433" s="246"/>
      <c r="D433" s="246"/>
      <c r="E433" s="246" t="s">
        <v>97</v>
      </c>
      <c r="F433" s="202" t="s">
        <v>119</v>
      </c>
      <c r="G433" s="271"/>
      <c r="H433" s="271"/>
      <c r="I433" s="271"/>
      <c r="J433" s="271"/>
      <c r="K433" s="271"/>
      <c r="L433" s="271"/>
      <c r="M433" s="271"/>
      <c r="N433" s="271"/>
      <c r="O433" s="271"/>
      <c r="P433" s="271"/>
      <c r="Q433" s="271"/>
      <c r="R433" s="5"/>
      <c r="S433" s="25"/>
      <c r="T433" s="5"/>
    </row>
    <row r="434" spans="1:20" s="3" customFormat="1" x14ac:dyDescent="0.25">
      <c r="A434" s="21" t="s">
        <v>450</v>
      </c>
      <c r="B434" s="246" t="s">
        <v>446</v>
      </c>
      <c r="C434" s="246"/>
      <c r="D434" s="246"/>
      <c r="E434" s="246" t="s">
        <v>34</v>
      </c>
      <c r="F434" s="202" t="s">
        <v>119</v>
      </c>
      <c r="G434" s="55"/>
      <c r="H434" s="55"/>
      <c r="I434" s="55"/>
      <c r="J434" s="55"/>
      <c r="K434" s="55"/>
      <c r="L434" s="55"/>
      <c r="M434" s="55"/>
      <c r="N434" s="55"/>
      <c r="O434" s="55"/>
      <c r="P434" s="55"/>
      <c r="Q434" s="55"/>
      <c r="R434" s="5"/>
      <c r="S434" s="25"/>
      <c r="T434" s="5"/>
    </row>
    <row r="435" spans="1:20" s="3" customFormat="1" x14ac:dyDescent="0.25">
      <c r="A435" s="21" t="s">
        <v>450</v>
      </c>
      <c r="B435" s="246" t="s">
        <v>387</v>
      </c>
      <c r="C435" s="246"/>
      <c r="D435" s="246"/>
      <c r="E435" s="246"/>
      <c r="F435" s="202" t="s">
        <v>119</v>
      </c>
      <c r="G435" s="54"/>
      <c r="H435" s="54"/>
      <c r="I435" s="54"/>
      <c r="J435" s="54"/>
      <c r="K435" s="54"/>
      <c r="L435" s="54"/>
      <c r="M435" s="54"/>
      <c r="N435" s="54"/>
      <c r="O435" s="54"/>
      <c r="P435" s="54"/>
      <c r="Q435" s="54"/>
      <c r="R435" s="5"/>
      <c r="S435" s="25"/>
      <c r="T435" s="5"/>
    </row>
    <row r="436" spans="1:20" s="3" customFormat="1" x14ac:dyDescent="0.25">
      <c r="A436" s="21" t="s">
        <v>450</v>
      </c>
      <c r="B436" s="246" t="s">
        <v>369</v>
      </c>
      <c r="C436" s="246"/>
      <c r="D436" s="246"/>
      <c r="E436" s="246" t="s">
        <v>97</v>
      </c>
      <c r="F436" s="202" t="s">
        <v>119</v>
      </c>
      <c r="G436" s="271"/>
      <c r="H436" s="271"/>
      <c r="I436" s="271"/>
      <c r="J436" s="271"/>
      <c r="K436" s="271"/>
      <c r="L436" s="271"/>
      <c r="M436" s="271"/>
      <c r="N436" s="271"/>
      <c r="O436" s="271"/>
      <c r="P436" s="271"/>
      <c r="Q436" s="271"/>
      <c r="R436" s="5"/>
      <c r="S436" s="25"/>
      <c r="T436" s="5"/>
    </row>
    <row r="437" spans="1:20" s="3" customFormat="1" x14ac:dyDescent="0.25">
      <c r="A437" s="21" t="s">
        <v>450</v>
      </c>
      <c r="B437" s="246" t="s">
        <v>392</v>
      </c>
      <c r="C437" s="246"/>
      <c r="D437" s="246"/>
      <c r="E437" s="246" t="s">
        <v>321</v>
      </c>
      <c r="F437" s="202" t="s">
        <v>119</v>
      </c>
      <c r="G437" s="55"/>
      <c r="H437" s="55"/>
      <c r="I437" s="55"/>
      <c r="J437" s="55"/>
      <c r="K437" s="55"/>
      <c r="L437" s="55"/>
      <c r="M437" s="55"/>
      <c r="N437" s="55"/>
      <c r="O437" s="55"/>
      <c r="P437" s="55"/>
      <c r="Q437" s="55"/>
      <c r="R437" s="5"/>
      <c r="S437" s="25"/>
      <c r="T437" s="5"/>
    </row>
    <row r="438" spans="1:20" s="3" customFormat="1" x14ac:dyDescent="0.25">
      <c r="A438" s="21" t="s">
        <v>450</v>
      </c>
      <c r="B438" s="246" t="s">
        <v>394</v>
      </c>
      <c r="C438" s="246"/>
      <c r="D438" s="246"/>
      <c r="E438" s="246" t="s">
        <v>321</v>
      </c>
      <c r="F438" s="202" t="s">
        <v>119</v>
      </c>
      <c r="G438" s="55"/>
      <c r="H438" s="55"/>
      <c r="I438" s="55"/>
      <c r="J438" s="55"/>
      <c r="K438" s="55"/>
      <c r="L438" s="55"/>
      <c r="M438" s="55"/>
      <c r="N438" s="55"/>
      <c r="O438" s="55"/>
      <c r="P438" s="55"/>
      <c r="Q438" s="55"/>
      <c r="R438" s="5"/>
      <c r="S438" s="25"/>
      <c r="T438" s="5"/>
    </row>
    <row r="439" spans="1:20" s="3" customFormat="1" x14ac:dyDescent="0.25">
      <c r="A439" s="21" t="s">
        <v>450</v>
      </c>
      <c r="B439" s="246" t="s">
        <v>395</v>
      </c>
      <c r="C439" s="246"/>
      <c r="D439" s="246"/>
      <c r="E439" s="246"/>
      <c r="F439" s="202" t="s">
        <v>119</v>
      </c>
      <c r="G439" s="54"/>
      <c r="H439" s="54"/>
      <c r="I439" s="54"/>
      <c r="J439" s="54"/>
      <c r="K439" s="54"/>
      <c r="L439" s="54"/>
      <c r="M439" s="54"/>
      <c r="N439" s="54"/>
      <c r="O439" s="54"/>
      <c r="P439" s="54"/>
      <c r="Q439" s="54"/>
      <c r="R439" s="5"/>
      <c r="S439" s="25"/>
      <c r="T439" s="5"/>
    </row>
    <row r="440" spans="1:20" s="3" customFormat="1" x14ac:dyDescent="0.25">
      <c r="A440" s="21" t="s">
        <v>450</v>
      </c>
      <c r="B440" s="246" t="s">
        <v>396</v>
      </c>
      <c r="C440" s="246"/>
      <c r="D440" s="246"/>
      <c r="E440" s="246"/>
      <c r="F440" s="202" t="s">
        <v>119</v>
      </c>
      <c r="G440" s="54"/>
      <c r="H440" s="54"/>
      <c r="I440" s="54"/>
      <c r="J440" s="54"/>
      <c r="K440" s="54"/>
      <c r="L440" s="54"/>
      <c r="M440" s="54"/>
      <c r="N440" s="54"/>
      <c r="O440" s="54"/>
      <c r="P440" s="54"/>
      <c r="Q440" s="54"/>
      <c r="R440" s="5"/>
      <c r="S440" s="25"/>
      <c r="T440" s="5"/>
    </row>
    <row r="441" spans="1:20" s="3" customFormat="1" x14ac:dyDescent="0.25">
      <c r="A441" s="21" t="s">
        <v>450</v>
      </c>
      <c r="B441" s="246" t="s">
        <v>393</v>
      </c>
      <c r="C441" s="246"/>
      <c r="D441" s="246"/>
      <c r="E441" s="246" t="s">
        <v>322</v>
      </c>
      <c r="F441" s="202" t="s">
        <v>119</v>
      </c>
      <c r="G441" s="55"/>
      <c r="H441" s="55"/>
      <c r="I441" s="55"/>
      <c r="J441" s="55"/>
      <c r="K441" s="55"/>
      <c r="L441" s="55"/>
      <c r="M441" s="55"/>
      <c r="N441" s="55"/>
      <c r="O441" s="55"/>
      <c r="P441" s="55"/>
      <c r="Q441" s="55"/>
      <c r="R441" s="5"/>
      <c r="S441" s="25"/>
      <c r="T441" s="5"/>
    </row>
    <row r="442" spans="1:20" s="3" customFormat="1" x14ac:dyDescent="0.25">
      <c r="A442" s="21" t="s">
        <v>450</v>
      </c>
      <c r="B442" s="246" t="s">
        <v>397</v>
      </c>
      <c r="C442" s="246"/>
      <c r="D442" s="246"/>
      <c r="E442" s="246" t="s">
        <v>322</v>
      </c>
      <c r="F442" s="202" t="s">
        <v>119</v>
      </c>
      <c r="G442" s="55"/>
      <c r="H442" s="55"/>
      <c r="I442" s="55"/>
      <c r="J442" s="55"/>
      <c r="K442" s="55"/>
      <c r="L442" s="55"/>
      <c r="M442" s="55"/>
      <c r="N442" s="55"/>
      <c r="O442" s="55"/>
      <c r="P442" s="55"/>
      <c r="Q442" s="55"/>
      <c r="R442" s="5"/>
      <c r="S442" s="25"/>
      <c r="T442" s="5"/>
    </row>
    <row r="443" spans="1:20" s="3" customFormat="1" x14ac:dyDescent="0.25">
      <c r="A443" s="21" t="s">
        <v>450</v>
      </c>
      <c r="B443" s="246" t="s">
        <v>398</v>
      </c>
      <c r="C443" s="246"/>
      <c r="D443" s="246"/>
      <c r="E443" s="246"/>
      <c r="F443" s="202" t="s">
        <v>119</v>
      </c>
      <c r="G443" s="54"/>
      <c r="H443" s="54"/>
      <c r="I443" s="54"/>
      <c r="J443" s="54"/>
      <c r="K443" s="54"/>
      <c r="L443" s="54"/>
      <c r="M443" s="54"/>
      <c r="N443" s="54"/>
      <c r="O443" s="54"/>
      <c r="P443" s="54"/>
      <c r="Q443" s="54"/>
      <c r="R443" s="5"/>
      <c r="S443" s="25"/>
      <c r="T443" s="5"/>
    </row>
    <row r="444" spans="1:20" s="3" customFormat="1" x14ac:dyDescent="0.25">
      <c r="A444" s="21" t="s">
        <v>450</v>
      </c>
      <c r="B444" s="246" t="s">
        <v>399</v>
      </c>
      <c r="C444" s="246"/>
      <c r="D444" s="246"/>
      <c r="E444" s="246"/>
      <c r="F444" s="202" t="s">
        <v>119</v>
      </c>
      <c r="G444" s="54"/>
      <c r="H444" s="54"/>
      <c r="I444" s="54"/>
      <c r="J444" s="54"/>
      <c r="K444" s="54"/>
      <c r="L444" s="54"/>
      <c r="M444" s="54"/>
      <c r="N444" s="54"/>
      <c r="O444" s="54"/>
      <c r="P444" s="54"/>
      <c r="Q444" s="54"/>
      <c r="R444" s="5"/>
      <c r="S444" s="25"/>
      <c r="T444" s="5"/>
    </row>
    <row r="445" spans="1:20" s="3" customFormat="1" x14ac:dyDescent="0.25">
      <c r="A445" s="21" t="s">
        <v>450</v>
      </c>
      <c r="B445" s="246" t="s">
        <v>310</v>
      </c>
      <c r="C445" s="246"/>
      <c r="D445" s="246"/>
      <c r="E445" s="246" t="s">
        <v>322</v>
      </c>
      <c r="F445" s="202" t="s">
        <v>119</v>
      </c>
      <c r="G445" s="55">
        <v>12.217000000000001</v>
      </c>
      <c r="H445" s="262">
        <f t="shared" ref="H445:Q445" si="47">G445</f>
        <v>12.217000000000001</v>
      </c>
      <c r="I445" s="262">
        <f t="shared" si="47"/>
        <v>12.217000000000001</v>
      </c>
      <c r="J445" s="262">
        <f t="shared" si="47"/>
        <v>12.217000000000001</v>
      </c>
      <c r="K445" s="262">
        <f t="shared" si="47"/>
        <v>12.217000000000001</v>
      </c>
      <c r="L445" s="262">
        <f t="shared" si="47"/>
        <v>12.217000000000001</v>
      </c>
      <c r="M445" s="262">
        <f t="shared" si="47"/>
        <v>12.217000000000001</v>
      </c>
      <c r="N445" s="262">
        <f t="shared" si="47"/>
        <v>12.217000000000001</v>
      </c>
      <c r="O445" s="262">
        <f t="shared" si="47"/>
        <v>12.217000000000001</v>
      </c>
      <c r="P445" s="262">
        <f t="shared" si="47"/>
        <v>12.217000000000001</v>
      </c>
      <c r="Q445" s="262">
        <f t="shared" si="47"/>
        <v>12.217000000000001</v>
      </c>
      <c r="R445" s="5"/>
      <c r="S445" s="25"/>
      <c r="T445" s="5"/>
    </row>
    <row r="446" spans="1:20" s="3" customFormat="1" x14ac:dyDescent="0.25">
      <c r="A446" s="21" t="s">
        <v>450</v>
      </c>
      <c r="B446" s="246" t="s">
        <v>360</v>
      </c>
      <c r="C446" s="246"/>
      <c r="D446" s="246"/>
      <c r="E446" s="246" t="s">
        <v>321</v>
      </c>
      <c r="F446" s="202" t="s">
        <v>119</v>
      </c>
      <c r="G446" s="55"/>
      <c r="H446" s="55"/>
      <c r="I446" s="55"/>
      <c r="J446" s="55"/>
      <c r="K446" s="55"/>
      <c r="L446" s="55"/>
      <c r="M446" s="55"/>
      <c r="N446" s="55"/>
      <c r="O446" s="55"/>
      <c r="P446" s="55"/>
      <c r="Q446" s="55"/>
      <c r="R446" s="5"/>
      <c r="S446" s="25"/>
      <c r="T446" s="5"/>
    </row>
    <row r="447" spans="1:20" s="3" customFormat="1" x14ac:dyDescent="0.25">
      <c r="A447" s="21" t="s">
        <v>450</v>
      </c>
      <c r="B447" s="67" t="s">
        <v>306</v>
      </c>
      <c r="C447" s="25"/>
      <c r="D447" s="2" t="s">
        <v>475</v>
      </c>
      <c r="E447" s="67" t="s">
        <v>334</v>
      </c>
      <c r="F447" s="202" t="s">
        <v>119</v>
      </c>
      <c r="G447" s="54">
        <v>0.34100000000000003</v>
      </c>
      <c r="H447" s="54">
        <v>0.34100000000000003</v>
      </c>
      <c r="I447" s="54">
        <v>0.34100000000000003</v>
      </c>
      <c r="J447" s="54">
        <v>0.34100000000000003</v>
      </c>
      <c r="K447" s="54">
        <v>0.34100000000000003</v>
      </c>
      <c r="L447" s="54">
        <v>0.34100000000000003</v>
      </c>
      <c r="M447" s="54">
        <v>0.34100000000000003</v>
      </c>
      <c r="N447" s="54">
        <v>0.34100000000000003</v>
      </c>
      <c r="O447" s="54">
        <v>0.34100000000000003</v>
      </c>
      <c r="P447" s="54">
        <v>0.34100000000000003</v>
      </c>
      <c r="Q447" s="54">
        <v>0.34100000000000003</v>
      </c>
      <c r="R447" s="5"/>
      <c r="S447" s="25"/>
      <c r="T447" s="5"/>
    </row>
    <row r="448" spans="1:20" s="3" customFormat="1" x14ac:dyDescent="0.25">
      <c r="A448" s="21" t="s">
        <v>450</v>
      </c>
      <c r="B448" s="67" t="s">
        <v>51</v>
      </c>
      <c r="C448" s="25"/>
      <c r="D448" s="2"/>
      <c r="E448" s="2"/>
      <c r="F448" s="202" t="s">
        <v>121</v>
      </c>
      <c r="G448" s="4"/>
      <c r="H448" s="4"/>
      <c r="I448" s="4"/>
      <c r="J448" s="4"/>
      <c r="K448" s="4"/>
      <c r="L448" s="4"/>
      <c r="M448" s="4"/>
      <c r="N448" s="4"/>
      <c r="O448" s="4"/>
      <c r="P448" s="4"/>
      <c r="Q448" s="4"/>
      <c r="R448" s="5"/>
      <c r="S448" s="25"/>
      <c r="T448" s="5"/>
    </row>
    <row r="449" spans="1:20" s="3" customFormat="1" x14ac:dyDescent="0.25">
      <c r="A449" s="21" t="s">
        <v>450</v>
      </c>
      <c r="B449" s="246" t="s">
        <v>38</v>
      </c>
      <c r="C449" s="246"/>
      <c r="D449" s="246"/>
      <c r="E449" s="246" t="s">
        <v>40</v>
      </c>
      <c r="F449" s="202" t="s">
        <v>121</v>
      </c>
      <c r="G449" s="277">
        <v>1990</v>
      </c>
      <c r="H449" s="278">
        <f t="shared" ref="H449:Q451" si="48">G449</f>
        <v>1990</v>
      </c>
      <c r="I449" s="278">
        <f t="shared" si="48"/>
        <v>1990</v>
      </c>
      <c r="J449" s="278">
        <f t="shared" si="48"/>
        <v>1990</v>
      </c>
      <c r="K449" s="278">
        <f t="shared" si="48"/>
        <v>1990</v>
      </c>
      <c r="L449" s="278">
        <f t="shared" si="48"/>
        <v>1990</v>
      </c>
      <c r="M449" s="278">
        <f t="shared" si="48"/>
        <v>1990</v>
      </c>
      <c r="N449" s="278">
        <f t="shared" si="48"/>
        <v>1990</v>
      </c>
      <c r="O449" s="278">
        <f t="shared" si="48"/>
        <v>1990</v>
      </c>
      <c r="P449" s="278">
        <f t="shared" si="48"/>
        <v>1990</v>
      </c>
      <c r="Q449" s="278">
        <f t="shared" si="48"/>
        <v>1990</v>
      </c>
      <c r="R449" s="5"/>
      <c r="S449" s="25"/>
      <c r="T449" s="5"/>
    </row>
    <row r="450" spans="1:20" s="3" customFormat="1" x14ac:dyDescent="0.25">
      <c r="A450" s="21" t="s">
        <v>450</v>
      </c>
      <c r="B450" s="246" t="s">
        <v>37</v>
      </c>
      <c r="C450" s="246"/>
      <c r="D450" s="246"/>
      <c r="E450" s="246" t="s">
        <v>40</v>
      </c>
      <c r="F450" s="202" t="s">
        <v>121</v>
      </c>
      <c r="G450" s="277">
        <v>2000</v>
      </c>
      <c r="H450" s="278">
        <f t="shared" si="48"/>
        <v>2000</v>
      </c>
      <c r="I450" s="278">
        <f t="shared" si="48"/>
        <v>2000</v>
      </c>
      <c r="J450" s="278">
        <f t="shared" si="48"/>
        <v>2000</v>
      </c>
      <c r="K450" s="278">
        <f t="shared" si="48"/>
        <v>2000</v>
      </c>
      <c r="L450" s="278">
        <f t="shared" si="48"/>
        <v>2000</v>
      </c>
      <c r="M450" s="278">
        <f t="shared" si="48"/>
        <v>2000</v>
      </c>
      <c r="N450" s="278">
        <f t="shared" si="48"/>
        <v>2000</v>
      </c>
      <c r="O450" s="278">
        <f t="shared" si="48"/>
        <v>2000</v>
      </c>
      <c r="P450" s="278">
        <f t="shared" si="48"/>
        <v>2000</v>
      </c>
      <c r="Q450" s="278">
        <f t="shared" si="48"/>
        <v>2000</v>
      </c>
      <c r="R450" s="5"/>
      <c r="S450" s="25"/>
      <c r="T450" s="5"/>
    </row>
    <row r="451" spans="1:20" s="3" customFormat="1" x14ac:dyDescent="0.25">
      <c r="A451" s="21" t="s">
        <v>450</v>
      </c>
      <c r="B451" s="246" t="s">
        <v>39</v>
      </c>
      <c r="C451" s="246"/>
      <c r="D451" s="246"/>
      <c r="E451" s="246" t="s">
        <v>10</v>
      </c>
      <c r="F451" s="202" t="s">
        <v>121</v>
      </c>
      <c r="G451" s="55">
        <v>9</v>
      </c>
      <c r="H451" s="262">
        <f t="shared" si="48"/>
        <v>9</v>
      </c>
      <c r="I451" s="262">
        <f t="shared" si="48"/>
        <v>9</v>
      </c>
      <c r="J451" s="262">
        <f t="shared" si="48"/>
        <v>9</v>
      </c>
      <c r="K451" s="262">
        <f t="shared" si="48"/>
        <v>9</v>
      </c>
      <c r="L451" s="262">
        <f t="shared" si="48"/>
        <v>9</v>
      </c>
      <c r="M451" s="262">
        <f t="shared" si="48"/>
        <v>9</v>
      </c>
      <c r="N451" s="262">
        <f t="shared" si="48"/>
        <v>9</v>
      </c>
      <c r="O451" s="262">
        <f t="shared" si="48"/>
        <v>9</v>
      </c>
      <c r="P451" s="262">
        <f t="shared" si="48"/>
        <v>9</v>
      </c>
      <c r="Q451" s="262">
        <f t="shared" si="48"/>
        <v>9</v>
      </c>
      <c r="R451" s="5"/>
      <c r="S451" s="25"/>
      <c r="T451" s="5"/>
    </row>
    <row r="452" spans="1:20" s="3" customFormat="1" x14ac:dyDescent="0.25">
      <c r="A452" s="21" t="s">
        <v>450</v>
      </c>
      <c r="B452" s="246" t="s">
        <v>361</v>
      </c>
      <c r="C452" s="246"/>
      <c r="D452" s="246"/>
      <c r="E452" s="246" t="s">
        <v>10</v>
      </c>
      <c r="F452" s="202" t="s">
        <v>121</v>
      </c>
      <c r="G452" s="55"/>
      <c r="H452" s="55"/>
      <c r="I452" s="55"/>
      <c r="J452" s="55"/>
      <c r="K452" s="55"/>
      <c r="L452" s="55"/>
      <c r="M452" s="55"/>
      <c r="N452" s="55"/>
      <c r="O452" s="55"/>
      <c r="P452" s="55"/>
      <c r="Q452" s="55"/>
      <c r="R452" s="5"/>
      <c r="S452" s="25"/>
      <c r="T452" s="5"/>
    </row>
    <row r="453" spans="1:20" s="3" customFormat="1" x14ac:dyDescent="0.25">
      <c r="A453" s="21" t="s">
        <v>450</v>
      </c>
      <c r="B453" s="246" t="s">
        <v>309</v>
      </c>
      <c r="C453" s="246"/>
      <c r="D453" s="246"/>
      <c r="E453" s="246" t="s">
        <v>97</v>
      </c>
      <c r="F453" s="202" t="s">
        <v>121</v>
      </c>
      <c r="G453" s="271">
        <v>0.3</v>
      </c>
      <c r="H453" s="274">
        <f t="shared" ref="H453:Q453" si="49">G453</f>
        <v>0.3</v>
      </c>
      <c r="I453" s="274">
        <f t="shared" si="49"/>
        <v>0.3</v>
      </c>
      <c r="J453" s="274">
        <f t="shared" si="49"/>
        <v>0.3</v>
      </c>
      <c r="K453" s="274">
        <f t="shared" si="49"/>
        <v>0.3</v>
      </c>
      <c r="L453" s="274">
        <f t="shared" si="49"/>
        <v>0.3</v>
      </c>
      <c r="M453" s="274">
        <f t="shared" si="49"/>
        <v>0.3</v>
      </c>
      <c r="N453" s="274">
        <f t="shared" si="49"/>
        <v>0.3</v>
      </c>
      <c r="O453" s="274">
        <f t="shared" si="49"/>
        <v>0.3</v>
      </c>
      <c r="P453" s="274">
        <f t="shared" si="49"/>
        <v>0.3</v>
      </c>
      <c r="Q453" s="274">
        <f t="shared" si="49"/>
        <v>0.3</v>
      </c>
      <c r="R453" s="5"/>
      <c r="S453" s="25"/>
      <c r="T453" s="5"/>
    </row>
    <row r="454" spans="1:20" s="3" customFormat="1" x14ac:dyDescent="0.25">
      <c r="A454" s="21" t="s">
        <v>450</v>
      </c>
      <c r="B454" s="246" t="s">
        <v>358</v>
      </c>
      <c r="C454" s="246"/>
      <c r="D454" s="246"/>
      <c r="E454" s="246" t="s">
        <v>97</v>
      </c>
      <c r="F454" s="202" t="s">
        <v>121</v>
      </c>
      <c r="G454" s="271"/>
      <c r="H454" s="271"/>
      <c r="I454" s="271"/>
      <c r="J454" s="271"/>
      <c r="K454" s="271"/>
      <c r="L454" s="271"/>
      <c r="M454" s="271"/>
      <c r="N454" s="271"/>
      <c r="O454" s="271"/>
      <c r="P454" s="271"/>
      <c r="Q454" s="271"/>
      <c r="R454" s="5"/>
      <c r="S454" s="25"/>
      <c r="T454" s="5"/>
    </row>
    <row r="455" spans="1:20" s="3" customFormat="1" x14ac:dyDescent="0.25">
      <c r="A455" s="21" t="s">
        <v>450</v>
      </c>
      <c r="B455" s="246" t="s">
        <v>357</v>
      </c>
      <c r="C455" s="246"/>
      <c r="D455" s="246"/>
      <c r="E455" s="246" t="s">
        <v>97</v>
      </c>
      <c r="F455" s="202" t="s">
        <v>121</v>
      </c>
      <c r="G455" s="271"/>
      <c r="H455" s="271"/>
      <c r="I455" s="271"/>
      <c r="J455" s="271"/>
      <c r="K455" s="271"/>
      <c r="L455" s="271"/>
      <c r="M455" s="271"/>
      <c r="N455" s="271"/>
      <c r="O455" s="271"/>
      <c r="P455" s="271"/>
      <c r="Q455" s="271"/>
      <c r="R455" s="5"/>
      <c r="S455" s="25"/>
      <c r="T455" s="5"/>
    </row>
    <row r="456" spans="1:20" s="3" customFormat="1" x14ac:dyDescent="0.25">
      <c r="A456" s="21" t="s">
        <v>450</v>
      </c>
      <c r="B456" s="246" t="s">
        <v>75</v>
      </c>
      <c r="C456" s="246"/>
      <c r="D456" s="246"/>
      <c r="E456" s="246" t="s">
        <v>97</v>
      </c>
      <c r="F456" s="202" t="s">
        <v>121</v>
      </c>
      <c r="G456" s="271">
        <v>7.0000000000000007E-2</v>
      </c>
      <c r="H456" s="271"/>
      <c r="I456" s="271"/>
      <c r="J456" s="271"/>
      <c r="K456" s="271"/>
      <c r="L456" s="271"/>
      <c r="M456" s="271"/>
      <c r="N456" s="271"/>
      <c r="O456" s="271"/>
      <c r="P456" s="271"/>
      <c r="Q456" s="271"/>
      <c r="R456" s="5"/>
      <c r="S456" s="25"/>
      <c r="T456" s="5"/>
    </row>
    <row r="457" spans="1:20" s="3" customFormat="1" x14ac:dyDescent="0.25">
      <c r="A457" s="21" t="s">
        <v>450</v>
      </c>
      <c r="B457" s="68" t="s">
        <v>148</v>
      </c>
      <c r="C457" s="68"/>
      <c r="D457" s="251"/>
      <c r="E457" s="68" t="s">
        <v>97</v>
      </c>
      <c r="F457" s="202" t="s">
        <v>121</v>
      </c>
      <c r="G457" s="271"/>
      <c r="H457" s="271"/>
      <c r="I457" s="271"/>
      <c r="J457" s="271"/>
      <c r="K457" s="271"/>
      <c r="L457" s="271"/>
      <c r="M457" s="271"/>
      <c r="N457" s="271"/>
      <c r="O457" s="271"/>
      <c r="P457" s="271"/>
      <c r="Q457" s="271"/>
      <c r="R457" s="5"/>
      <c r="S457" s="25"/>
      <c r="T457" s="5"/>
    </row>
    <row r="458" spans="1:20" s="3" customFormat="1" x14ac:dyDescent="0.25">
      <c r="A458" s="21" t="s">
        <v>450</v>
      </c>
      <c r="B458" s="68" t="s">
        <v>149</v>
      </c>
      <c r="C458" s="68"/>
      <c r="D458" s="251"/>
      <c r="E458" s="68" t="s">
        <v>97</v>
      </c>
      <c r="F458" s="202" t="s">
        <v>121</v>
      </c>
      <c r="G458" s="271"/>
      <c r="H458" s="271"/>
      <c r="I458" s="271"/>
      <c r="J458" s="271"/>
      <c r="K458" s="271"/>
      <c r="L458" s="271"/>
      <c r="M458" s="271"/>
      <c r="N458" s="271"/>
      <c r="O458" s="271"/>
      <c r="P458" s="271"/>
      <c r="Q458" s="271"/>
      <c r="R458" s="5"/>
      <c r="S458" s="25"/>
      <c r="T458" s="5"/>
    </row>
    <row r="459" spans="1:20" s="3" customFormat="1" x14ac:dyDescent="0.25">
      <c r="A459" s="21" t="s">
        <v>450</v>
      </c>
      <c r="B459" s="68" t="s">
        <v>370</v>
      </c>
      <c r="C459" s="68"/>
      <c r="D459" s="251"/>
      <c r="E459" s="68" t="s">
        <v>97</v>
      </c>
      <c r="F459" s="202" t="s">
        <v>121</v>
      </c>
      <c r="G459" s="271"/>
      <c r="H459" s="271"/>
      <c r="I459" s="271"/>
      <c r="J459" s="271"/>
      <c r="K459" s="271"/>
      <c r="L459" s="271"/>
      <c r="M459" s="271"/>
      <c r="N459" s="271"/>
      <c r="O459" s="271"/>
      <c r="P459" s="271"/>
      <c r="Q459" s="271"/>
      <c r="R459" s="5"/>
      <c r="S459" s="25"/>
      <c r="T459" s="5"/>
    </row>
    <row r="460" spans="1:20" s="3" customFormat="1" x14ac:dyDescent="0.25">
      <c r="A460" s="21" t="s">
        <v>450</v>
      </c>
      <c r="B460" s="68" t="s">
        <v>371</v>
      </c>
      <c r="C460" s="68"/>
      <c r="D460" s="251"/>
      <c r="E460" s="68" t="s">
        <v>97</v>
      </c>
      <c r="F460" s="202" t="s">
        <v>121</v>
      </c>
      <c r="G460" s="271"/>
      <c r="H460" s="271"/>
      <c r="I460" s="271"/>
      <c r="J460" s="271"/>
      <c r="K460" s="271"/>
      <c r="L460" s="271"/>
      <c r="M460" s="271"/>
      <c r="N460" s="271"/>
      <c r="O460" s="271"/>
      <c r="P460" s="271"/>
      <c r="Q460" s="271"/>
      <c r="R460" s="5"/>
      <c r="S460" s="25"/>
      <c r="T460" s="5"/>
    </row>
    <row r="461" spans="1:20" s="3" customFormat="1" x14ac:dyDescent="0.25">
      <c r="A461" s="21" t="s">
        <v>450</v>
      </c>
      <c r="B461" s="246" t="s">
        <v>338</v>
      </c>
      <c r="C461" s="246"/>
      <c r="D461" s="246"/>
      <c r="E461" s="246" t="s">
        <v>34</v>
      </c>
      <c r="F461" s="202" t="s">
        <v>121</v>
      </c>
      <c r="G461" s="55">
        <v>68.62</v>
      </c>
      <c r="H461" s="262">
        <f t="shared" ref="H461:Q462" si="50">G461</f>
        <v>68.62</v>
      </c>
      <c r="I461" s="262">
        <f t="shared" si="50"/>
        <v>68.62</v>
      </c>
      <c r="J461" s="262">
        <f t="shared" si="50"/>
        <v>68.62</v>
      </c>
      <c r="K461" s="262">
        <f t="shared" si="50"/>
        <v>68.62</v>
      </c>
      <c r="L461" s="262">
        <f t="shared" si="50"/>
        <v>68.62</v>
      </c>
      <c r="M461" s="262">
        <f t="shared" si="50"/>
        <v>68.62</v>
      </c>
      <c r="N461" s="262">
        <f t="shared" si="50"/>
        <v>68.62</v>
      </c>
      <c r="O461" s="262">
        <f t="shared" si="50"/>
        <v>68.62</v>
      </c>
      <c r="P461" s="262">
        <f t="shared" si="50"/>
        <v>68.62</v>
      </c>
      <c r="Q461" s="262">
        <f t="shared" si="50"/>
        <v>68.62</v>
      </c>
      <c r="R461" s="5"/>
      <c r="S461" s="25"/>
      <c r="T461" s="5"/>
    </row>
    <row r="462" spans="1:20" s="3" customFormat="1" x14ac:dyDescent="0.25">
      <c r="A462" s="21" t="s">
        <v>450</v>
      </c>
      <c r="B462" s="246" t="s">
        <v>152</v>
      </c>
      <c r="C462" s="246"/>
      <c r="D462" s="246"/>
      <c r="E462" s="246" t="s">
        <v>321</v>
      </c>
      <c r="F462" s="202" t="s">
        <v>121</v>
      </c>
      <c r="G462" s="55">
        <v>592.58299999999997</v>
      </c>
      <c r="H462" s="262">
        <f t="shared" si="50"/>
        <v>592.58299999999997</v>
      </c>
      <c r="I462" s="262">
        <f t="shared" si="50"/>
        <v>592.58299999999997</v>
      </c>
      <c r="J462" s="262">
        <f t="shared" si="50"/>
        <v>592.58299999999997</v>
      </c>
      <c r="K462" s="262">
        <f t="shared" si="50"/>
        <v>592.58299999999997</v>
      </c>
      <c r="L462" s="262">
        <f t="shared" si="50"/>
        <v>592.58299999999997</v>
      </c>
      <c r="M462" s="262">
        <f t="shared" si="50"/>
        <v>592.58299999999997</v>
      </c>
      <c r="N462" s="262">
        <f t="shared" si="50"/>
        <v>592.58299999999997</v>
      </c>
      <c r="O462" s="262">
        <f t="shared" si="50"/>
        <v>592.58299999999997</v>
      </c>
      <c r="P462" s="262">
        <f t="shared" si="50"/>
        <v>592.58299999999997</v>
      </c>
      <c r="Q462" s="262">
        <f t="shared" si="50"/>
        <v>592.58299999999997</v>
      </c>
      <c r="R462" s="5"/>
      <c r="S462" s="25"/>
      <c r="T462" s="5"/>
    </row>
    <row r="463" spans="1:20" s="3" customFormat="1" x14ac:dyDescent="0.25">
      <c r="A463" s="21" t="s">
        <v>450</v>
      </c>
      <c r="B463" s="246" t="s">
        <v>383</v>
      </c>
      <c r="C463" s="246"/>
      <c r="D463" s="246"/>
      <c r="E463" s="246" t="s">
        <v>97</v>
      </c>
      <c r="F463" s="202" t="s">
        <v>121</v>
      </c>
      <c r="G463" s="271"/>
      <c r="H463" s="271"/>
      <c r="I463" s="271"/>
      <c r="J463" s="271"/>
      <c r="K463" s="271"/>
      <c r="L463" s="271"/>
      <c r="M463" s="271"/>
      <c r="N463" s="271"/>
      <c r="O463" s="271"/>
      <c r="P463" s="271"/>
      <c r="Q463" s="271"/>
      <c r="R463" s="5"/>
      <c r="S463" s="25"/>
      <c r="T463" s="5"/>
    </row>
    <row r="464" spans="1:20" s="3" customFormat="1" x14ac:dyDescent="0.25">
      <c r="A464" s="21" t="s">
        <v>450</v>
      </c>
      <c r="B464" s="246" t="s">
        <v>446</v>
      </c>
      <c r="C464" s="246"/>
      <c r="D464" s="246"/>
      <c r="E464" s="246" t="s">
        <v>34</v>
      </c>
      <c r="F464" s="202" t="s">
        <v>121</v>
      </c>
      <c r="G464" s="55"/>
      <c r="H464" s="55"/>
      <c r="I464" s="55"/>
      <c r="J464" s="55"/>
      <c r="K464" s="55"/>
      <c r="L464" s="55"/>
      <c r="M464" s="55"/>
      <c r="N464" s="55"/>
      <c r="O464" s="55"/>
      <c r="P464" s="55"/>
      <c r="Q464" s="55"/>
      <c r="R464" s="5"/>
      <c r="S464" s="25"/>
      <c r="T464" s="5"/>
    </row>
    <row r="465" spans="1:20" s="3" customFormat="1" x14ac:dyDescent="0.25">
      <c r="A465" s="21" t="s">
        <v>450</v>
      </c>
      <c r="B465" s="246" t="s">
        <v>387</v>
      </c>
      <c r="C465" s="246"/>
      <c r="D465" s="246"/>
      <c r="E465" s="246"/>
      <c r="F465" s="202" t="s">
        <v>121</v>
      </c>
      <c r="G465" s="54"/>
      <c r="H465" s="54"/>
      <c r="I465" s="54"/>
      <c r="J465" s="54"/>
      <c r="K465" s="54"/>
      <c r="L465" s="54"/>
      <c r="M465" s="54"/>
      <c r="N465" s="54"/>
      <c r="O465" s="54"/>
      <c r="P465" s="54"/>
      <c r="Q465" s="54"/>
      <c r="R465" s="5"/>
      <c r="S465" s="25"/>
      <c r="T465" s="5"/>
    </row>
    <row r="466" spans="1:20" s="3" customFormat="1" x14ac:dyDescent="0.25">
      <c r="A466" s="21" t="s">
        <v>450</v>
      </c>
      <c r="B466" s="246" t="s">
        <v>369</v>
      </c>
      <c r="C466" s="246"/>
      <c r="D466" s="246"/>
      <c r="E466" s="246" t="s">
        <v>97</v>
      </c>
      <c r="F466" s="202" t="s">
        <v>121</v>
      </c>
      <c r="G466" s="271"/>
      <c r="H466" s="271"/>
      <c r="I466" s="271"/>
      <c r="J466" s="271"/>
      <c r="K466" s="271"/>
      <c r="L466" s="271"/>
      <c r="M466" s="271"/>
      <c r="N466" s="271"/>
      <c r="O466" s="271"/>
      <c r="P466" s="271"/>
      <c r="Q466" s="271"/>
      <c r="R466" s="5"/>
      <c r="S466" s="25"/>
      <c r="T466" s="5"/>
    </row>
    <row r="467" spans="1:20" s="3" customFormat="1" x14ac:dyDescent="0.25">
      <c r="A467" s="21" t="s">
        <v>450</v>
      </c>
      <c r="B467" s="246" t="s">
        <v>392</v>
      </c>
      <c r="C467" s="246"/>
      <c r="D467" s="246"/>
      <c r="E467" s="246" t="s">
        <v>321</v>
      </c>
      <c r="F467" s="202" t="s">
        <v>121</v>
      </c>
      <c r="G467" s="55">
        <v>244.33799999999999</v>
      </c>
      <c r="H467" s="262">
        <f t="shared" ref="H467:Q467" si="51">G467</f>
        <v>244.33799999999999</v>
      </c>
      <c r="I467" s="262">
        <f t="shared" si="51"/>
        <v>244.33799999999999</v>
      </c>
      <c r="J467" s="262">
        <f t="shared" si="51"/>
        <v>244.33799999999999</v>
      </c>
      <c r="K467" s="262">
        <f t="shared" si="51"/>
        <v>244.33799999999999</v>
      </c>
      <c r="L467" s="262">
        <f t="shared" si="51"/>
        <v>244.33799999999999</v>
      </c>
      <c r="M467" s="262">
        <f t="shared" si="51"/>
        <v>244.33799999999999</v>
      </c>
      <c r="N467" s="262">
        <f t="shared" si="51"/>
        <v>244.33799999999999</v>
      </c>
      <c r="O467" s="262">
        <f t="shared" si="51"/>
        <v>244.33799999999999</v>
      </c>
      <c r="P467" s="262">
        <f t="shared" si="51"/>
        <v>244.33799999999999</v>
      </c>
      <c r="Q467" s="262">
        <f t="shared" si="51"/>
        <v>244.33799999999999</v>
      </c>
      <c r="R467" s="5"/>
      <c r="S467" s="25"/>
      <c r="T467" s="5"/>
    </row>
    <row r="468" spans="1:20" s="3" customFormat="1" x14ac:dyDescent="0.25">
      <c r="A468" s="21" t="s">
        <v>450</v>
      </c>
      <c r="B468" s="246" t="s">
        <v>394</v>
      </c>
      <c r="C468" s="246"/>
      <c r="D468" s="246"/>
      <c r="E468" s="246" t="s">
        <v>321</v>
      </c>
      <c r="F468" s="202" t="s">
        <v>121</v>
      </c>
      <c r="G468" s="55"/>
      <c r="H468" s="55"/>
      <c r="I468" s="55"/>
      <c r="J468" s="55"/>
      <c r="K468" s="55"/>
      <c r="L468" s="55"/>
      <c r="M468" s="55"/>
      <c r="N468" s="55"/>
      <c r="O468" s="55"/>
      <c r="P468" s="55"/>
      <c r="Q468" s="55"/>
      <c r="R468" s="5"/>
      <c r="S468" s="25"/>
      <c r="T468" s="5"/>
    </row>
    <row r="469" spans="1:20" s="3" customFormat="1" x14ac:dyDescent="0.25">
      <c r="A469" s="21" t="s">
        <v>450</v>
      </c>
      <c r="B469" s="246" t="s">
        <v>395</v>
      </c>
      <c r="C469" s="246"/>
      <c r="D469" s="246"/>
      <c r="E469" s="246"/>
      <c r="F469" s="202" t="s">
        <v>121</v>
      </c>
      <c r="G469" s="54"/>
      <c r="H469" s="54"/>
      <c r="I469" s="54"/>
      <c r="J469" s="54"/>
      <c r="K469" s="54"/>
      <c r="L469" s="54"/>
      <c r="M469" s="54"/>
      <c r="N469" s="54"/>
      <c r="O469" s="54"/>
      <c r="P469" s="54"/>
      <c r="Q469" s="54"/>
      <c r="R469" s="5"/>
      <c r="S469" s="25"/>
      <c r="T469" s="5"/>
    </row>
    <row r="470" spans="1:20" s="3" customFormat="1" x14ac:dyDescent="0.25">
      <c r="A470" s="21" t="s">
        <v>450</v>
      </c>
      <c r="B470" s="246" t="s">
        <v>396</v>
      </c>
      <c r="C470" s="246"/>
      <c r="D470" s="246"/>
      <c r="E470" s="246"/>
      <c r="F470" s="202" t="s">
        <v>121</v>
      </c>
      <c r="G470" s="54"/>
      <c r="H470" s="54"/>
      <c r="I470" s="54"/>
      <c r="J470" s="54"/>
      <c r="K470" s="54"/>
      <c r="L470" s="54"/>
      <c r="M470" s="54"/>
      <c r="N470" s="54"/>
      <c r="O470" s="54"/>
      <c r="P470" s="54"/>
      <c r="Q470" s="54"/>
      <c r="R470" s="5"/>
      <c r="S470" s="25"/>
      <c r="T470" s="5"/>
    </row>
    <row r="471" spans="1:20" s="3" customFormat="1" x14ac:dyDescent="0.25">
      <c r="A471" s="21" t="s">
        <v>450</v>
      </c>
      <c r="B471" s="246" t="s">
        <v>393</v>
      </c>
      <c r="C471" s="246"/>
      <c r="D471" s="246"/>
      <c r="E471" s="246" t="s">
        <v>322</v>
      </c>
      <c r="F471" s="202" t="s">
        <v>121</v>
      </c>
      <c r="G471" s="55"/>
      <c r="H471" s="55"/>
      <c r="I471" s="55"/>
      <c r="J471" s="55"/>
      <c r="K471" s="55"/>
      <c r="L471" s="55"/>
      <c r="M471" s="55"/>
      <c r="N471" s="55"/>
      <c r="O471" s="55"/>
      <c r="P471" s="55"/>
      <c r="Q471" s="55"/>
      <c r="R471" s="5"/>
      <c r="S471" s="25"/>
      <c r="T471" s="5"/>
    </row>
    <row r="472" spans="1:20" s="3" customFormat="1" x14ac:dyDescent="0.25">
      <c r="A472" s="21" t="s">
        <v>450</v>
      </c>
      <c r="B472" s="246" t="s">
        <v>397</v>
      </c>
      <c r="C472" s="246"/>
      <c r="D472" s="246"/>
      <c r="E472" s="246" t="s">
        <v>322</v>
      </c>
      <c r="F472" s="202" t="s">
        <v>121</v>
      </c>
      <c r="G472" s="55"/>
      <c r="H472" s="55"/>
      <c r="I472" s="55"/>
      <c r="J472" s="55"/>
      <c r="K472" s="55"/>
      <c r="L472" s="55"/>
      <c r="M472" s="55"/>
      <c r="N472" s="55"/>
      <c r="O472" s="55"/>
      <c r="P472" s="55"/>
      <c r="Q472" s="55"/>
      <c r="R472" s="5"/>
      <c r="S472" s="25"/>
      <c r="T472" s="5"/>
    </row>
    <row r="473" spans="1:20" s="3" customFormat="1" x14ac:dyDescent="0.25">
      <c r="A473" s="21" t="s">
        <v>450</v>
      </c>
      <c r="B473" s="246" t="s">
        <v>398</v>
      </c>
      <c r="C473" s="246"/>
      <c r="D473" s="246"/>
      <c r="E473" s="246"/>
      <c r="F473" s="202" t="s">
        <v>121</v>
      </c>
      <c r="G473" s="54"/>
      <c r="H473" s="54"/>
      <c r="I473" s="54"/>
      <c r="J473" s="54"/>
      <c r="K473" s="54"/>
      <c r="L473" s="54"/>
      <c r="M473" s="54"/>
      <c r="N473" s="54"/>
      <c r="O473" s="54"/>
      <c r="P473" s="54"/>
      <c r="Q473" s="54"/>
      <c r="R473" s="5"/>
      <c r="S473" s="25"/>
      <c r="T473" s="5"/>
    </row>
    <row r="474" spans="1:20" s="3" customFormat="1" x14ac:dyDescent="0.25">
      <c r="A474" s="21" t="s">
        <v>450</v>
      </c>
      <c r="B474" s="246" t="s">
        <v>399</v>
      </c>
      <c r="C474" s="246"/>
      <c r="D474" s="246"/>
      <c r="E474" s="246"/>
      <c r="F474" s="202" t="s">
        <v>121</v>
      </c>
      <c r="G474" s="54"/>
      <c r="H474" s="54"/>
      <c r="I474" s="54"/>
      <c r="J474" s="54"/>
      <c r="K474" s="54"/>
      <c r="L474" s="54"/>
      <c r="M474" s="54"/>
      <c r="N474" s="54"/>
      <c r="O474" s="54"/>
      <c r="P474" s="54"/>
      <c r="Q474" s="54"/>
      <c r="R474" s="5"/>
      <c r="S474" s="25"/>
      <c r="T474" s="5"/>
    </row>
    <row r="475" spans="1:20" s="3" customFormat="1" x14ac:dyDescent="0.25">
      <c r="A475" s="21" t="s">
        <v>450</v>
      </c>
      <c r="B475" s="246" t="s">
        <v>310</v>
      </c>
      <c r="C475" s="246"/>
      <c r="D475" s="246"/>
      <c r="E475" s="246" t="s">
        <v>322</v>
      </c>
      <c r="F475" s="202" t="s">
        <v>121</v>
      </c>
      <c r="G475" s="55">
        <v>12.217000000000001</v>
      </c>
      <c r="H475" s="262">
        <f t="shared" ref="H475:Q475" si="52">G475</f>
        <v>12.217000000000001</v>
      </c>
      <c r="I475" s="262">
        <f t="shared" si="52"/>
        <v>12.217000000000001</v>
      </c>
      <c r="J475" s="262">
        <f t="shared" si="52"/>
        <v>12.217000000000001</v>
      </c>
      <c r="K475" s="262">
        <f t="shared" si="52"/>
        <v>12.217000000000001</v>
      </c>
      <c r="L475" s="262">
        <f t="shared" si="52"/>
        <v>12.217000000000001</v>
      </c>
      <c r="M475" s="262">
        <f t="shared" si="52"/>
        <v>12.217000000000001</v>
      </c>
      <c r="N475" s="262">
        <f t="shared" si="52"/>
        <v>12.217000000000001</v>
      </c>
      <c r="O475" s="262">
        <f t="shared" si="52"/>
        <v>12.217000000000001</v>
      </c>
      <c r="P475" s="262">
        <f t="shared" si="52"/>
        <v>12.217000000000001</v>
      </c>
      <c r="Q475" s="262">
        <f t="shared" si="52"/>
        <v>12.217000000000001</v>
      </c>
      <c r="R475" s="5"/>
      <c r="S475" s="25"/>
      <c r="T475" s="5"/>
    </row>
    <row r="476" spans="1:20" s="3" customFormat="1" x14ac:dyDescent="0.25">
      <c r="A476" s="21" t="s">
        <v>450</v>
      </c>
      <c r="B476" s="246" t="s">
        <v>360</v>
      </c>
      <c r="C476" s="246"/>
      <c r="D476" s="246"/>
      <c r="E476" s="246" t="s">
        <v>321</v>
      </c>
      <c r="F476" s="202" t="s">
        <v>121</v>
      </c>
      <c r="G476" s="55"/>
      <c r="H476" s="55"/>
      <c r="I476" s="55"/>
      <c r="J476" s="55"/>
      <c r="K476" s="55"/>
      <c r="L476" s="55"/>
      <c r="M476" s="55"/>
      <c r="N476" s="55"/>
      <c r="O476" s="55"/>
      <c r="P476" s="55"/>
      <c r="Q476" s="55"/>
      <c r="R476" s="5"/>
      <c r="S476" s="25"/>
      <c r="T476" s="5"/>
    </row>
    <row r="477" spans="1:20" s="3" customFormat="1" x14ac:dyDescent="0.25">
      <c r="A477" s="21" t="s">
        <v>450</v>
      </c>
      <c r="B477" s="67" t="s">
        <v>306</v>
      </c>
      <c r="C477" s="25"/>
      <c r="D477" s="2" t="s">
        <v>469</v>
      </c>
      <c r="E477" s="67" t="s">
        <v>334</v>
      </c>
      <c r="F477" s="202" t="s">
        <v>121</v>
      </c>
      <c r="G477" s="54">
        <v>0.20899999999999999</v>
      </c>
      <c r="H477" s="54">
        <v>0.20899999999999999</v>
      </c>
      <c r="I477" s="54">
        <v>0.20899999999999999</v>
      </c>
      <c r="J477" s="54">
        <v>0.20899999999999999</v>
      </c>
      <c r="K477" s="54">
        <v>0.20899999999999999</v>
      </c>
      <c r="L477" s="54">
        <v>0.20899999999999999</v>
      </c>
      <c r="M477" s="54">
        <v>0.20899999999999999</v>
      </c>
      <c r="N477" s="54">
        <v>0.20899999999999999</v>
      </c>
      <c r="O477" s="54">
        <v>0.20899999999999999</v>
      </c>
      <c r="P477" s="54">
        <v>0.20899999999999999</v>
      </c>
      <c r="Q477" s="54">
        <v>0.20899999999999999</v>
      </c>
      <c r="R477" s="5"/>
      <c r="S477" s="25"/>
      <c r="T477" s="5"/>
    </row>
    <row r="478" spans="1:20" s="3" customFormat="1" x14ac:dyDescent="0.25">
      <c r="A478" s="21" t="s">
        <v>450</v>
      </c>
      <c r="B478" s="67" t="s">
        <v>51</v>
      </c>
      <c r="C478" s="25"/>
      <c r="D478" s="2"/>
      <c r="E478" s="2"/>
      <c r="F478" s="202" t="s">
        <v>120</v>
      </c>
      <c r="G478" s="4"/>
      <c r="H478" s="4"/>
      <c r="I478" s="4"/>
      <c r="J478" s="4"/>
      <c r="K478" s="4"/>
      <c r="L478" s="4"/>
      <c r="M478" s="4"/>
      <c r="N478" s="4"/>
      <c r="O478" s="4"/>
      <c r="P478" s="4"/>
      <c r="Q478" s="4"/>
      <c r="R478" s="5"/>
      <c r="S478" s="25"/>
      <c r="T478" s="5"/>
    </row>
    <row r="479" spans="1:20" s="3" customFormat="1" x14ac:dyDescent="0.25">
      <c r="A479" s="21" t="s">
        <v>450</v>
      </c>
      <c r="B479" s="246" t="s">
        <v>38</v>
      </c>
      <c r="C479" s="246"/>
      <c r="D479" s="246"/>
      <c r="E479" s="246" t="s">
        <v>40</v>
      </c>
      <c r="F479" s="202" t="s">
        <v>120</v>
      </c>
      <c r="G479" s="277">
        <v>2000</v>
      </c>
      <c r="H479" s="278">
        <f t="shared" ref="H479:Q481" si="53">G479</f>
        <v>2000</v>
      </c>
      <c r="I479" s="278">
        <f t="shared" si="53"/>
        <v>2000</v>
      </c>
      <c r="J479" s="278">
        <f t="shared" si="53"/>
        <v>2000</v>
      </c>
      <c r="K479" s="278">
        <f t="shared" si="53"/>
        <v>2000</v>
      </c>
      <c r="L479" s="278">
        <f t="shared" si="53"/>
        <v>2000</v>
      </c>
      <c r="M479" s="278">
        <f t="shared" si="53"/>
        <v>2000</v>
      </c>
      <c r="N479" s="278">
        <f t="shared" si="53"/>
        <v>2000</v>
      </c>
      <c r="O479" s="278">
        <f t="shared" si="53"/>
        <v>2000</v>
      </c>
      <c r="P479" s="278">
        <f t="shared" si="53"/>
        <v>2000</v>
      </c>
      <c r="Q479" s="278">
        <f t="shared" si="53"/>
        <v>2000</v>
      </c>
      <c r="R479" s="5"/>
      <c r="S479" s="25"/>
      <c r="T479" s="5"/>
    </row>
    <row r="480" spans="1:20" s="3" customFormat="1" x14ac:dyDescent="0.25">
      <c r="A480" s="21" t="s">
        <v>450</v>
      </c>
      <c r="B480" s="246" t="s">
        <v>37</v>
      </c>
      <c r="C480" s="246"/>
      <c r="D480" s="246"/>
      <c r="E480" s="246" t="s">
        <v>40</v>
      </c>
      <c r="F480" s="202" t="s">
        <v>120</v>
      </c>
      <c r="G480" s="277">
        <v>2100</v>
      </c>
      <c r="H480" s="278">
        <f t="shared" si="53"/>
        <v>2100</v>
      </c>
      <c r="I480" s="278">
        <f t="shared" si="53"/>
        <v>2100</v>
      </c>
      <c r="J480" s="278">
        <f t="shared" si="53"/>
        <v>2100</v>
      </c>
      <c r="K480" s="278">
        <f t="shared" si="53"/>
        <v>2100</v>
      </c>
      <c r="L480" s="278">
        <f t="shared" si="53"/>
        <v>2100</v>
      </c>
      <c r="M480" s="278">
        <f t="shared" si="53"/>
        <v>2100</v>
      </c>
      <c r="N480" s="278">
        <f t="shared" si="53"/>
        <v>2100</v>
      </c>
      <c r="O480" s="278">
        <f t="shared" si="53"/>
        <v>2100</v>
      </c>
      <c r="P480" s="278">
        <f t="shared" si="53"/>
        <v>2100</v>
      </c>
      <c r="Q480" s="278">
        <f t="shared" si="53"/>
        <v>2100</v>
      </c>
      <c r="R480" s="5"/>
      <c r="S480" s="25"/>
      <c r="T480" s="5"/>
    </row>
    <row r="481" spans="1:20" s="3" customFormat="1" x14ac:dyDescent="0.25">
      <c r="A481" s="21" t="s">
        <v>450</v>
      </c>
      <c r="B481" s="246" t="s">
        <v>39</v>
      </c>
      <c r="C481" s="246"/>
      <c r="D481" s="246"/>
      <c r="E481" s="246" t="s">
        <v>10</v>
      </c>
      <c r="F481" s="202" t="s">
        <v>120</v>
      </c>
      <c r="G481" s="55">
        <v>9</v>
      </c>
      <c r="H481" s="262">
        <f t="shared" si="53"/>
        <v>9</v>
      </c>
      <c r="I481" s="262">
        <f t="shared" si="53"/>
        <v>9</v>
      </c>
      <c r="J481" s="262">
        <f t="shared" si="53"/>
        <v>9</v>
      </c>
      <c r="K481" s="262">
        <f t="shared" si="53"/>
        <v>9</v>
      </c>
      <c r="L481" s="262">
        <f t="shared" si="53"/>
        <v>9</v>
      </c>
      <c r="M481" s="262">
        <f t="shared" si="53"/>
        <v>9</v>
      </c>
      <c r="N481" s="262">
        <f t="shared" si="53"/>
        <v>9</v>
      </c>
      <c r="O481" s="262">
        <f t="shared" si="53"/>
        <v>9</v>
      </c>
      <c r="P481" s="262">
        <f t="shared" si="53"/>
        <v>9</v>
      </c>
      <c r="Q481" s="262">
        <f t="shared" si="53"/>
        <v>9</v>
      </c>
      <c r="R481" s="5"/>
      <c r="S481" s="25"/>
      <c r="T481" s="5"/>
    </row>
    <row r="482" spans="1:20" s="3" customFormat="1" x14ac:dyDescent="0.25">
      <c r="A482" s="21" t="s">
        <v>450</v>
      </c>
      <c r="B482" s="246" t="s">
        <v>361</v>
      </c>
      <c r="C482" s="246"/>
      <c r="D482" s="246"/>
      <c r="E482" s="246" t="s">
        <v>10</v>
      </c>
      <c r="F482" s="202" t="s">
        <v>120</v>
      </c>
      <c r="G482" s="55"/>
      <c r="H482" s="55"/>
      <c r="I482" s="55"/>
      <c r="J482" s="55"/>
      <c r="K482" s="55"/>
      <c r="L482" s="55"/>
      <c r="M482" s="55"/>
      <c r="N482" s="55"/>
      <c r="O482" s="55"/>
      <c r="P482" s="55"/>
      <c r="Q482" s="55"/>
      <c r="R482" s="5"/>
      <c r="S482" s="25"/>
      <c r="T482" s="5"/>
    </row>
    <row r="483" spans="1:20" s="3" customFormat="1" x14ac:dyDescent="0.25">
      <c r="A483" s="21" t="s">
        <v>450</v>
      </c>
      <c r="B483" s="246" t="s">
        <v>309</v>
      </c>
      <c r="C483" s="246"/>
      <c r="D483" s="246"/>
      <c r="E483" s="246" t="s">
        <v>97</v>
      </c>
      <c r="F483" s="202" t="s">
        <v>120</v>
      </c>
      <c r="G483" s="271">
        <v>0.3</v>
      </c>
      <c r="H483" s="274">
        <f t="shared" ref="H483:Q483" si="54">G483</f>
        <v>0.3</v>
      </c>
      <c r="I483" s="274">
        <f t="shared" si="54"/>
        <v>0.3</v>
      </c>
      <c r="J483" s="274">
        <f t="shared" si="54"/>
        <v>0.3</v>
      </c>
      <c r="K483" s="274">
        <f t="shared" si="54"/>
        <v>0.3</v>
      </c>
      <c r="L483" s="274">
        <f t="shared" si="54"/>
        <v>0.3</v>
      </c>
      <c r="M483" s="274">
        <f t="shared" si="54"/>
        <v>0.3</v>
      </c>
      <c r="N483" s="274">
        <f t="shared" si="54"/>
        <v>0.3</v>
      </c>
      <c r="O483" s="274">
        <f t="shared" si="54"/>
        <v>0.3</v>
      </c>
      <c r="P483" s="274">
        <f t="shared" si="54"/>
        <v>0.3</v>
      </c>
      <c r="Q483" s="274">
        <f t="shared" si="54"/>
        <v>0.3</v>
      </c>
      <c r="R483" s="5"/>
      <c r="S483" s="25"/>
      <c r="T483" s="5"/>
    </row>
    <row r="484" spans="1:20" s="3" customFormat="1" x14ac:dyDescent="0.25">
      <c r="A484" s="21" t="s">
        <v>450</v>
      </c>
      <c r="B484" s="246" t="s">
        <v>358</v>
      </c>
      <c r="C484" s="246"/>
      <c r="D484" s="246"/>
      <c r="E484" s="246" t="s">
        <v>97</v>
      </c>
      <c r="F484" s="202" t="s">
        <v>120</v>
      </c>
      <c r="G484" s="271"/>
      <c r="H484" s="271"/>
      <c r="I484" s="271"/>
      <c r="J484" s="271"/>
      <c r="K484" s="271"/>
      <c r="L484" s="271"/>
      <c r="M484" s="271"/>
      <c r="N484" s="271"/>
      <c r="O484" s="271"/>
      <c r="P484" s="271"/>
      <c r="Q484" s="271"/>
      <c r="R484" s="5"/>
      <c r="S484" s="25"/>
      <c r="T484" s="5"/>
    </row>
    <row r="485" spans="1:20" s="3" customFormat="1" x14ac:dyDescent="0.25">
      <c r="A485" s="21" t="s">
        <v>450</v>
      </c>
      <c r="B485" s="246" t="s">
        <v>357</v>
      </c>
      <c r="C485" s="246"/>
      <c r="D485" s="246"/>
      <c r="E485" s="246" t="s">
        <v>97</v>
      </c>
      <c r="F485" s="202" t="s">
        <v>120</v>
      </c>
      <c r="G485" s="271"/>
      <c r="H485" s="271"/>
      <c r="I485" s="271"/>
      <c r="J485" s="271"/>
      <c r="K485" s="271"/>
      <c r="L485" s="271"/>
      <c r="M485" s="271"/>
      <c r="N485" s="271"/>
      <c r="O485" s="271"/>
      <c r="P485" s="271"/>
      <c r="Q485" s="271"/>
      <c r="R485" s="5"/>
      <c r="S485" s="25"/>
      <c r="T485" s="5"/>
    </row>
    <row r="486" spans="1:20" s="3" customFormat="1" x14ac:dyDescent="0.25">
      <c r="A486" s="21" t="s">
        <v>450</v>
      </c>
      <c r="B486" s="246" t="s">
        <v>75</v>
      </c>
      <c r="C486" s="246"/>
      <c r="D486" s="246"/>
      <c r="E486" s="246" t="s">
        <v>97</v>
      </c>
      <c r="F486" s="202" t="s">
        <v>120</v>
      </c>
      <c r="G486" s="271">
        <v>0</v>
      </c>
      <c r="H486" s="271"/>
      <c r="I486" s="271"/>
      <c r="J486" s="271"/>
      <c r="K486" s="271"/>
      <c r="L486" s="271"/>
      <c r="M486" s="271"/>
      <c r="N486" s="271"/>
      <c r="O486" s="271"/>
      <c r="P486" s="271"/>
      <c r="Q486" s="271"/>
      <c r="R486" s="5"/>
      <c r="S486" s="25"/>
      <c r="T486" s="5"/>
    </row>
    <row r="487" spans="1:20" s="3" customFormat="1" x14ac:dyDescent="0.25">
      <c r="A487" s="21" t="s">
        <v>450</v>
      </c>
      <c r="B487" s="68" t="s">
        <v>148</v>
      </c>
      <c r="C487" s="68"/>
      <c r="D487" s="251"/>
      <c r="E487" s="68" t="s">
        <v>97</v>
      </c>
      <c r="F487" s="202" t="s">
        <v>120</v>
      </c>
      <c r="G487" s="271"/>
      <c r="H487" s="271"/>
      <c r="I487" s="271"/>
      <c r="J487" s="271"/>
      <c r="K487" s="271"/>
      <c r="L487" s="271"/>
      <c r="M487" s="271"/>
      <c r="N487" s="271"/>
      <c r="O487" s="271"/>
      <c r="P487" s="271"/>
      <c r="Q487" s="271"/>
      <c r="R487" s="5"/>
      <c r="S487" s="25"/>
      <c r="T487" s="5"/>
    </row>
    <row r="488" spans="1:20" s="3" customFormat="1" x14ac:dyDescent="0.25">
      <c r="A488" s="21" t="s">
        <v>450</v>
      </c>
      <c r="B488" s="68" t="s">
        <v>149</v>
      </c>
      <c r="C488" s="68"/>
      <c r="D488" s="251"/>
      <c r="E488" s="68" t="s">
        <v>97</v>
      </c>
      <c r="F488" s="202" t="s">
        <v>120</v>
      </c>
      <c r="G488" s="271"/>
      <c r="H488" s="271"/>
      <c r="I488" s="271"/>
      <c r="J488" s="271"/>
      <c r="K488" s="271"/>
      <c r="L488" s="271"/>
      <c r="M488" s="271"/>
      <c r="N488" s="271"/>
      <c r="O488" s="271"/>
      <c r="P488" s="271"/>
      <c r="Q488" s="271"/>
      <c r="R488" s="5"/>
      <c r="S488" s="25"/>
      <c r="T488" s="5"/>
    </row>
    <row r="489" spans="1:20" s="3" customFormat="1" x14ac:dyDescent="0.25">
      <c r="A489" s="21" t="s">
        <v>450</v>
      </c>
      <c r="B489" s="68" t="s">
        <v>370</v>
      </c>
      <c r="C489" s="68"/>
      <c r="D489" s="251"/>
      <c r="E489" s="68" t="s">
        <v>97</v>
      </c>
      <c r="F489" s="202" t="s">
        <v>120</v>
      </c>
      <c r="G489" s="271"/>
      <c r="H489" s="271"/>
      <c r="I489" s="271"/>
      <c r="J489" s="271"/>
      <c r="K489" s="271"/>
      <c r="L489" s="271"/>
      <c r="M489" s="271"/>
      <c r="N489" s="271"/>
      <c r="O489" s="271"/>
      <c r="P489" s="271"/>
      <c r="Q489" s="271"/>
      <c r="R489" s="5"/>
      <c r="S489" s="25"/>
      <c r="T489" s="5"/>
    </row>
    <row r="490" spans="1:20" s="3" customFormat="1" x14ac:dyDescent="0.25">
      <c r="A490" s="21" t="s">
        <v>450</v>
      </c>
      <c r="B490" s="68" t="s">
        <v>371</v>
      </c>
      <c r="C490" s="68"/>
      <c r="D490" s="251"/>
      <c r="E490" s="68" t="s">
        <v>97</v>
      </c>
      <c r="F490" s="202" t="s">
        <v>120</v>
      </c>
      <c r="G490" s="271"/>
      <c r="H490" s="271"/>
      <c r="I490" s="271"/>
      <c r="J490" s="271"/>
      <c r="K490" s="271"/>
      <c r="L490" s="271"/>
      <c r="M490" s="271"/>
      <c r="N490" s="271"/>
      <c r="O490" s="271"/>
      <c r="P490" s="271"/>
      <c r="Q490" s="271"/>
      <c r="R490" s="5"/>
      <c r="S490" s="25"/>
      <c r="T490" s="5"/>
    </row>
    <row r="491" spans="1:20" s="3" customFormat="1" x14ac:dyDescent="0.25">
      <c r="A491" s="21" t="s">
        <v>450</v>
      </c>
      <c r="B491" s="246" t="s">
        <v>338</v>
      </c>
      <c r="C491" s="246"/>
      <c r="D491" s="246"/>
      <c r="E491" s="246" t="s">
        <v>34</v>
      </c>
      <c r="F491" s="202" t="s">
        <v>120</v>
      </c>
      <c r="G491" s="55">
        <v>68.62</v>
      </c>
      <c r="H491" s="262">
        <f t="shared" ref="H491:Q492" si="55">G491</f>
        <v>68.62</v>
      </c>
      <c r="I491" s="262">
        <f t="shared" si="55"/>
        <v>68.62</v>
      </c>
      <c r="J491" s="262">
        <f t="shared" si="55"/>
        <v>68.62</v>
      </c>
      <c r="K491" s="262">
        <f t="shared" si="55"/>
        <v>68.62</v>
      </c>
      <c r="L491" s="262">
        <f t="shared" si="55"/>
        <v>68.62</v>
      </c>
      <c r="M491" s="262">
        <f t="shared" si="55"/>
        <v>68.62</v>
      </c>
      <c r="N491" s="262">
        <f t="shared" si="55"/>
        <v>68.62</v>
      </c>
      <c r="O491" s="262">
        <f t="shared" si="55"/>
        <v>68.62</v>
      </c>
      <c r="P491" s="262">
        <f t="shared" si="55"/>
        <v>68.62</v>
      </c>
      <c r="Q491" s="262">
        <f t="shared" si="55"/>
        <v>68.62</v>
      </c>
      <c r="R491" s="5"/>
      <c r="S491" s="25"/>
      <c r="T491" s="5"/>
    </row>
    <row r="492" spans="1:20" s="3" customFormat="1" x14ac:dyDescent="0.25">
      <c r="A492" s="21" t="s">
        <v>450</v>
      </c>
      <c r="B492" s="246" t="s">
        <v>152</v>
      </c>
      <c r="C492" s="246"/>
      <c r="D492" s="246"/>
      <c r="E492" s="246" t="s">
        <v>321</v>
      </c>
      <c r="F492" s="202" t="s">
        <v>120</v>
      </c>
      <c r="G492" s="55">
        <v>529.51900000000001</v>
      </c>
      <c r="H492" s="262">
        <f t="shared" si="55"/>
        <v>529.51900000000001</v>
      </c>
      <c r="I492" s="262">
        <f t="shared" si="55"/>
        <v>529.51900000000001</v>
      </c>
      <c r="J492" s="262">
        <f t="shared" si="55"/>
        <v>529.51900000000001</v>
      </c>
      <c r="K492" s="262">
        <f t="shared" si="55"/>
        <v>529.51900000000001</v>
      </c>
      <c r="L492" s="262">
        <f t="shared" si="55"/>
        <v>529.51900000000001</v>
      </c>
      <c r="M492" s="262">
        <f t="shared" si="55"/>
        <v>529.51900000000001</v>
      </c>
      <c r="N492" s="262">
        <f t="shared" si="55"/>
        <v>529.51900000000001</v>
      </c>
      <c r="O492" s="262">
        <f t="shared" si="55"/>
        <v>529.51900000000001</v>
      </c>
      <c r="P492" s="262">
        <f t="shared" si="55"/>
        <v>529.51900000000001</v>
      </c>
      <c r="Q492" s="262">
        <f t="shared" si="55"/>
        <v>529.51900000000001</v>
      </c>
      <c r="R492" s="5"/>
      <c r="S492" s="25"/>
      <c r="T492" s="5"/>
    </row>
    <row r="493" spans="1:20" s="3" customFormat="1" x14ac:dyDescent="0.25">
      <c r="A493" s="21" t="s">
        <v>450</v>
      </c>
      <c r="B493" s="246" t="s">
        <v>383</v>
      </c>
      <c r="C493" s="246"/>
      <c r="D493" s="246"/>
      <c r="E493" s="246" t="s">
        <v>97</v>
      </c>
      <c r="F493" s="202" t="s">
        <v>120</v>
      </c>
      <c r="G493" s="271"/>
      <c r="H493" s="271"/>
      <c r="I493" s="271"/>
      <c r="J493" s="271"/>
      <c r="K493" s="271"/>
      <c r="L493" s="271"/>
      <c r="M493" s="271"/>
      <c r="N493" s="271"/>
      <c r="O493" s="271"/>
      <c r="P493" s="271"/>
      <c r="Q493" s="271"/>
      <c r="R493" s="5"/>
      <c r="S493" s="25"/>
      <c r="T493" s="5"/>
    </row>
    <row r="494" spans="1:20" s="3" customFormat="1" x14ac:dyDescent="0.25">
      <c r="A494" s="21" t="s">
        <v>450</v>
      </c>
      <c r="B494" s="246" t="s">
        <v>446</v>
      </c>
      <c r="C494" s="246"/>
      <c r="D494" s="246"/>
      <c r="E494" s="246" t="s">
        <v>34</v>
      </c>
      <c r="F494" s="202" t="s">
        <v>120</v>
      </c>
      <c r="G494" s="55"/>
      <c r="H494" s="55"/>
      <c r="I494" s="55"/>
      <c r="J494" s="55"/>
      <c r="K494" s="55"/>
      <c r="L494" s="55"/>
      <c r="M494" s="55"/>
      <c r="N494" s="55"/>
      <c r="O494" s="55"/>
      <c r="P494" s="55"/>
      <c r="Q494" s="55"/>
      <c r="R494" s="5"/>
      <c r="S494" s="25"/>
      <c r="T494" s="5"/>
    </row>
    <row r="495" spans="1:20" s="3" customFormat="1" x14ac:dyDescent="0.25">
      <c r="A495" s="21" t="s">
        <v>450</v>
      </c>
      <c r="B495" s="246" t="s">
        <v>387</v>
      </c>
      <c r="C495" s="246"/>
      <c r="D495" s="246"/>
      <c r="E495" s="246"/>
      <c r="F495" s="202" t="s">
        <v>120</v>
      </c>
      <c r="G495" s="54"/>
      <c r="H495" s="54"/>
      <c r="I495" s="54"/>
      <c r="J495" s="54"/>
      <c r="K495" s="54"/>
      <c r="L495" s="54"/>
      <c r="M495" s="54"/>
      <c r="N495" s="54"/>
      <c r="O495" s="54"/>
      <c r="P495" s="54"/>
      <c r="Q495" s="54"/>
      <c r="R495" s="5"/>
      <c r="S495" s="25"/>
      <c r="T495" s="5"/>
    </row>
    <row r="496" spans="1:20" s="3" customFormat="1" x14ac:dyDescent="0.25">
      <c r="A496" s="21" t="s">
        <v>450</v>
      </c>
      <c r="B496" s="246" t="s">
        <v>369</v>
      </c>
      <c r="C496" s="246"/>
      <c r="D496" s="246"/>
      <c r="E496" s="246" t="s">
        <v>97</v>
      </c>
      <c r="F496" s="202" t="s">
        <v>120</v>
      </c>
      <c r="G496" s="271"/>
      <c r="H496" s="271"/>
      <c r="I496" s="271"/>
      <c r="J496" s="271"/>
      <c r="K496" s="271"/>
      <c r="L496" s="271"/>
      <c r="M496" s="271"/>
      <c r="N496" s="271"/>
      <c r="O496" s="271"/>
      <c r="P496" s="271"/>
      <c r="Q496" s="271"/>
      <c r="R496" s="5"/>
      <c r="S496" s="25"/>
      <c r="T496" s="5"/>
    </row>
    <row r="497" spans="1:20" s="3" customFormat="1" x14ac:dyDescent="0.25">
      <c r="A497" s="21" t="s">
        <v>450</v>
      </c>
      <c r="B497" s="246" t="s">
        <v>392</v>
      </c>
      <c r="C497" s="246"/>
      <c r="D497" s="246"/>
      <c r="E497" s="246" t="s">
        <v>321</v>
      </c>
      <c r="F497" s="202" t="s">
        <v>120</v>
      </c>
      <c r="G497" s="55"/>
      <c r="H497" s="55"/>
      <c r="I497" s="55"/>
      <c r="J497" s="55"/>
      <c r="K497" s="55"/>
      <c r="L497" s="55"/>
      <c r="M497" s="55"/>
      <c r="N497" s="55"/>
      <c r="O497" s="55"/>
      <c r="P497" s="55"/>
      <c r="Q497" s="55"/>
      <c r="R497" s="5"/>
      <c r="S497" s="25"/>
      <c r="T497" s="5"/>
    </row>
    <row r="498" spans="1:20" s="3" customFormat="1" x14ac:dyDescent="0.25">
      <c r="A498" s="21" t="s">
        <v>450</v>
      </c>
      <c r="B498" s="246" t="s">
        <v>394</v>
      </c>
      <c r="C498" s="246"/>
      <c r="D498" s="246"/>
      <c r="E498" s="246" t="s">
        <v>321</v>
      </c>
      <c r="F498" s="202" t="s">
        <v>120</v>
      </c>
      <c r="G498" s="55"/>
      <c r="H498" s="55"/>
      <c r="I498" s="55"/>
      <c r="J498" s="55"/>
      <c r="K498" s="55"/>
      <c r="L498" s="55"/>
      <c r="M498" s="55"/>
      <c r="N498" s="55"/>
      <c r="O498" s="55"/>
      <c r="P498" s="55"/>
      <c r="Q498" s="55"/>
      <c r="R498" s="5"/>
      <c r="S498" s="25"/>
      <c r="T498" s="5"/>
    </row>
    <row r="499" spans="1:20" s="3" customFormat="1" x14ac:dyDescent="0.25">
      <c r="A499" s="21" t="s">
        <v>450</v>
      </c>
      <c r="B499" s="246" t="s">
        <v>395</v>
      </c>
      <c r="C499" s="246"/>
      <c r="D499" s="246"/>
      <c r="E499" s="246"/>
      <c r="F499" s="202" t="s">
        <v>120</v>
      </c>
      <c r="G499" s="54"/>
      <c r="H499" s="54"/>
      <c r="I499" s="54"/>
      <c r="J499" s="54"/>
      <c r="K499" s="54"/>
      <c r="L499" s="54"/>
      <c r="M499" s="54"/>
      <c r="N499" s="54"/>
      <c r="O499" s="54"/>
      <c r="P499" s="54"/>
      <c r="Q499" s="54"/>
      <c r="R499" s="5"/>
      <c r="S499" s="25"/>
      <c r="T499" s="5"/>
    </row>
    <row r="500" spans="1:20" s="3" customFormat="1" x14ac:dyDescent="0.25">
      <c r="A500" s="21" t="s">
        <v>450</v>
      </c>
      <c r="B500" s="246" t="s">
        <v>396</v>
      </c>
      <c r="C500" s="246"/>
      <c r="D500" s="246"/>
      <c r="E500" s="246"/>
      <c r="F500" s="202" t="s">
        <v>120</v>
      </c>
      <c r="G500" s="54"/>
      <c r="H500" s="54"/>
      <c r="I500" s="54"/>
      <c r="J500" s="54"/>
      <c r="K500" s="54"/>
      <c r="L500" s="54"/>
      <c r="M500" s="54"/>
      <c r="N500" s="54"/>
      <c r="O500" s="54"/>
      <c r="P500" s="54"/>
      <c r="Q500" s="54"/>
      <c r="R500" s="5"/>
      <c r="S500" s="25"/>
      <c r="T500" s="5"/>
    </row>
    <row r="501" spans="1:20" s="3" customFormat="1" x14ac:dyDescent="0.25">
      <c r="A501" s="21" t="s">
        <v>450</v>
      </c>
      <c r="B501" s="246" t="s">
        <v>393</v>
      </c>
      <c r="C501" s="246"/>
      <c r="D501" s="246"/>
      <c r="E501" s="246" t="s">
        <v>322</v>
      </c>
      <c r="F501" s="202" t="s">
        <v>120</v>
      </c>
      <c r="G501" s="55"/>
      <c r="H501" s="55"/>
      <c r="I501" s="55"/>
      <c r="J501" s="55"/>
      <c r="K501" s="55"/>
      <c r="L501" s="55"/>
      <c r="M501" s="55"/>
      <c r="N501" s="55"/>
      <c r="O501" s="55"/>
      <c r="P501" s="55"/>
      <c r="Q501" s="55"/>
      <c r="R501" s="5"/>
      <c r="S501" s="25"/>
      <c r="T501" s="5"/>
    </row>
    <row r="502" spans="1:20" s="3" customFormat="1" x14ac:dyDescent="0.25">
      <c r="A502" s="21" t="s">
        <v>450</v>
      </c>
      <c r="B502" s="246" t="s">
        <v>397</v>
      </c>
      <c r="C502" s="246"/>
      <c r="D502" s="246"/>
      <c r="E502" s="246" t="s">
        <v>322</v>
      </c>
      <c r="F502" s="202" t="s">
        <v>120</v>
      </c>
      <c r="G502" s="55"/>
      <c r="H502" s="55"/>
      <c r="I502" s="55"/>
      <c r="J502" s="55"/>
      <c r="K502" s="55"/>
      <c r="L502" s="55"/>
      <c r="M502" s="55"/>
      <c r="N502" s="55"/>
      <c r="O502" s="55"/>
      <c r="P502" s="55"/>
      <c r="Q502" s="55"/>
      <c r="R502" s="5"/>
      <c r="S502" s="25"/>
      <c r="T502" s="5"/>
    </row>
    <row r="503" spans="1:20" s="3" customFormat="1" x14ac:dyDescent="0.25">
      <c r="A503" s="21" t="s">
        <v>450</v>
      </c>
      <c r="B503" s="246" t="s">
        <v>398</v>
      </c>
      <c r="C503" s="246"/>
      <c r="D503" s="246"/>
      <c r="E503" s="246"/>
      <c r="F503" s="202" t="s">
        <v>120</v>
      </c>
      <c r="G503" s="54"/>
      <c r="H503" s="54"/>
      <c r="I503" s="54"/>
      <c r="J503" s="54"/>
      <c r="K503" s="54"/>
      <c r="L503" s="54"/>
      <c r="M503" s="54"/>
      <c r="N503" s="54"/>
      <c r="O503" s="54"/>
      <c r="P503" s="54"/>
      <c r="Q503" s="54"/>
      <c r="R503" s="5"/>
      <c r="S503" s="25"/>
      <c r="T503" s="5"/>
    </row>
    <row r="504" spans="1:20" s="3" customFormat="1" x14ac:dyDescent="0.25">
      <c r="A504" s="21" t="s">
        <v>450</v>
      </c>
      <c r="B504" s="246" t="s">
        <v>399</v>
      </c>
      <c r="C504" s="246"/>
      <c r="D504" s="246"/>
      <c r="E504" s="246"/>
      <c r="F504" s="202" t="s">
        <v>120</v>
      </c>
      <c r="G504" s="54"/>
      <c r="H504" s="54"/>
      <c r="I504" s="54"/>
      <c r="J504" s="54"/>
      <c r="K504" s="54"/>
      <c r="L504" s="54"/>
      <c r="M504" s="54"/>
      <c r="N504" s="54"/>
      <c r="O504" s="54"/>
      <c r="P504" s="54"/>
      <c r="Q504" s="54"/>
      <c r="R504" s="5"/>
      <c r="S504" s="25"/>
      <c r="T504" s="5"/>
    </row>
    <row r="505" spans="1:20" s="3" customFormat="1" x14ac:dyDescent="0.25">
      <c r="A505" s="21" t="s">
        <v>450</v>
      </c>
      <c r="B505" s="246" t="s">
        <v>310</v>
      </c>
      <c r="C505" s="246"/>
      <c r="D505" s="246"/>
      <c r="E505" s="246" t="s">
        <v>322</v>
      </c>
      <c r="F505" s="202" t="s">
        <v>120</v>
      </c>
      <c r="G505" s="55">
        <v>12.217000000000001</v>
      </c>
      <c r="H505" s="262">
        <f t="shared" ref="H505:Q505" si="56">G505</f>
        <v>12.217000000000001</v>
      </c>
      <c r="I505" s="262">
        <f t="shared" si="56"/>
        <v>12.217000000000001</v>
      </c>
      <c r="J505" s="262">
        <f t="shared" si="56"/>
        <v>12.217000000000001</v>
      </c>
      <c r="K505" s="262">
        <f t="shared" si="56"/>
        <v>12.217000000000001</v>
      </c>
      <c r="L505" s="262">
        <f t="shared" si="56"/>
        <v>12.217000000000001</v>
      </c>
      <c r="M505" s="262">
        <f t="shared" si="56"/>
        <v>12.217000000000001</v>
      </c>
      <c r="N505" s="262">
        <f t="shared" si="56"/>
        <v>12.217000000000001</v>
      </c>
      <c r="O505" s="262">
        <f t="shared" si="56"/>
        <v>12.217000000000001</v>
      </c>
      <c r="P505" s="262">
        <f t="shared" si="56"/>
        <v>12.217000000000001</v>
      </c>
      <c r="Q505" s="262">
        <f t="shared" si="56"/>
        <v>12.217000000000001</v>
      </c>
      <c r="R505" s="5"/>
      <c r="S505" s="25"/>
      <c r="T505" s="5"/>
    </row>
    <row r="506" spans="1:20" s="3" customFormat="1" x14ac:dyDescent="0.25">
      <c r="A506" s="21" t="s">
        <v>450</v>
      </c>
      <c r="B506" s="246" t="s">
        <v>360</v>
      </c>
      <c r="C506" s="246"/>
      <c r="D506" s="246"/>
      <c r="E506" s="246" t="s">
        <v>321</v>
      </c>
      <c r="F506" s="202" t="s">
        <v>120</v>
      </c>
      <c r="G506" s="55"/>
      <c r="H506" s="55"/>
      <c r="I506" s="55"/>
      <c r="J506" s="55"/>
      <c r="K506" s="55"/>
      <c r="L506" s="55"/>
      <c r="M506" s="55"/>
      <c r="N506" s="55"/>
      <c r="O506" s="55"/>
      <c r="P506" s="55"/>
      <c r="Q506" s="55"/>
      <c r="R506" s="5"/>
      <c r="S506" s="25"/>
      <c r="T506" s="5"/>
    </row>
    <row r="507" spans="1:20" s="3" customFormat="1" x14ac:dyDescent="0.25">
      <c r="A507" s="21" t="s">
        <v>450</v>
      </c>
      <c r="B507" s="67" t="s">
        <v>306</v>
      </c>
      <c r="C507" s="25"/>
      <c r="D507" s="2" t="s">
        <v>475</v>
      </c>
      <c r="E507" s="67" t="s">
        <v>334</v>
      </c>
      <c r="F507" s="202" t="s">
        <v>120</v>
      </c>
      <c r="G507" s="54">
        <v>0.31</v>
      </c>
      <c r="H507" s="54">
        <v>0.31</v>
      </c>
      <c r="I507" s="54">
        <v>0.31</v>
      </c>
      <c r="J507" s="54">
        <v>0.31</v>
      </c>
      <c r="K507" s="54">
        <v>0.31</v>
      </c>
      <c r="L507" s="54">
        <v>0.31</v>
      </c>
      <c r="M507" s="54">
        <v>0.31</v>
      </c>
      <c r="N507" s="54">
        <v>0.31</v>
      </c>
      <c r="O507" s="54">
        <v>0.31</v>
      </c>
      <c r="P507" s="54">
        <v>0.31</v>
      </c>
      <c r="Q507" s="54">
        <v>0.31</v>
      </c>
      <c r="R507" s="5"/>
      <c r="S507" s="25"/>
      <c r="T507" s="5"/>
    </row>
    <row r="508" spans="1:20" s="3" customFormat="1" x14ac:dyDescent="0.25">
      <c r="A508" s="21" t="s">
        <v>450</v>
      </c>
      <c r="B508" s="67" t="s">
        <v>51</v>
      </c>
      <c r="C508" s="25"/>
      <c r="D508" s="2"/>
      <c r="E508" s="2"/>
      <c r="F508" s="202" t="s">
        <v>122</v>
      </c>
      <c r="G508" s="4"/>
      <c r="H508" s="4"/>
      <c r="I508" s="4"/>
      <c r="J508" s="4"/>
      <c r="K508" s="4"/>
      <c r="L508" s="4"/>
      <c r="M508" s="4"/>
      <c r="N508" s="4"/>
      <c r="O508" s="4"/>
      <c r="P508" s="4"/>
      <c r="Q508" s="4"/>
      <c r="R508" s="5"/>
      <c r="S508" s="25"/>
      <c r="T508" s="5"/>
    </row>
    <row r="509" spans="1:20" s="3" customFormat="1" x14ac:dyDescent="0.25">
      <c r="A509" s="21" t="s">
        <v>450</v>
      </c>
      <c r="B509" s="246" t="s">
        <v>38</v>
      </c>
      <c r="C509" s="246"/>
      <c r="D509" s="246"/>
      <c r="E509" s="246" t="s">
        <v>40</v>
      </c>
      <c r="F509" s="202" t="s">
        <v>122</v>
      </c>
      <c r="G509" s="277">
        <v>2000</v>
      </c>
      <c r="H509" s="278">
        <f t="shared" ref="H509:Q511" si="57">G509</f>
        <v>2000</v>
      </c>
      <c r="I509" s="278">
        <f t="shared" si="57"/>
        <v>2000</v>
      </c>
      <c r="J509" s="278">
        <f t="shared" si="57"/>
        <v>2000</v>
      </c>
      <c r="K509" s="278">
        <f t="shared" si="57"/>
        <v>2000</v>
      </c>
      <c r="L509" s="278">
        <f t="shared" si="57"/>
        <v>2000</v>
      </c>
      <c r="M509" s="278">
        <f t="shared" si="57"/>
        <v>2000</v>
      </c>
      <c r="N509" s="278">
        <f t="shared" si="57"/>
        <v>2000</v>
      </c>
      <c r="O509" s="278">
        <f t="shared" si="57"/>
        <v>2000</v>
      </c>
      <c r="P509" s="278">
        <f t="shared" si="57"/>
        <v>2000</v>
      </c>
      <c r="Q509" s="278">
        <f t="shared" si="57"/>
        <v>2000</v>
      </c>
      <c r="R509" s="5"/>
      <c r="S509" s="25"/>
      <c r="T509" s="5"/>
    </row>
    <row r="510" spans="1:20" s="3" customFormat="1" x14ac:dyDescent="0.25">
      <c r="A510" s="21" t="s">
        <v>450</v>
      </c>
      <c r="B510" s="246" t="s">
        <v>37</v>
      </c>
      <c r="C510" s="246"/>
      <c r="D510" s="246"/>
      <c r="E510" s="246" t="s">
        <v>40</v>
      </c>
      <c r="F510" s="202" t="s">
        <v>122</v>
      </c>
      <c r="G510" s="277">
        <v>2100</v>
      </c>
      <c r="H510" s="278">
        <f t="shared" si="57"/>
        <v>2100</v>
      </c>
      <c r="I510" s="278">
        <f t="shared" si="57"/>
        <v>2100</v>
      </c>
      <c r="J510" s="278">
        <f t="shared" si="57"/>
        <v>2100</v>
      </c>
      <c r="K510" s="278">
        <f t="shared" si="57"/>
        <v>2100</v>
      </c>
      <c r="L510" s="278">
        <f t="shared" si="57"/>
        <v>2100</v>
      </c>
      <c r="M510" s="278">
        <f t="shared" si="57"/>
        <v>2100</v>
      </c>
      <c r="N510" s="278">
        <f t="shared" si="57"/>
        <v>2100</v>
      </c>
      <c r="O510" s="278">
        <f t="shared" si="57"/>
        <v>2100</v>
      </c>
      <c r="P510" s="278">
        <f t="shared" si="57"/>
        <v>2100</v>
      </c>
      <c r="Q510" s="278">
        <f t="shared" si="57"/>
        <v>2100</v>
      </c>
      <c r="R510" s="5"/>
      <c r="S510" s="25"/>
      <c r="T510" s="5"/>
    </row>
    <row r="511" spans="1:20" s="3" customFormat="1" x14ac:dyDescent="0.25">
      <c r="A511" s="21" t="s">
        <v>450</v>
      </c>
      <c r="B511" s="246" t="s">
        <v>39</v>
      </c>
      <c r="C511" s="246"/>
      <c r="D511" s="246"/>
      <c r="E511" s="246" t="s">
        <v>10</v>
      </c>
      <c r="F511" s="202" t="s">
        <v>122</v>
      </c>
      <c r="G511" s="55">
        <v>9</v>
      </c>
      <c r="H511" s="262">
        <f t="shared" si="57"/>
        <v>9</v>
      </c>
      <c r="I511" s="262">
        <f t="shared" si="57"/>
        <v>9</v>
      </c>
      <c r="J511" s="262">
        <f t="shared" si="57"/>
        <v>9</v>
      </c>
      <c r="K511" s="262">
        <f t="shared" si="57"/>
        <v>9</v>
      </c>
      <c r="L511" s="262">
        <f t="shared" si="57"/>
        <v>9</v>
      </c>
      <c r="M511" s="262">
        <f t="shared" si="57"/>
        <v>9</v>
      </c>
      <c r="N511" s="262">
        <f t="shared" si="57"/>
        <v>9</v>
      </c>
      <c r="O511" s="262">
        <f t="shared" si="57"/>
        <v>9</v>
      </c>
      <c r="P511" s="262">
        <f t="shared" si="57"/>
        <v>9</v>
      </c>
      <c r="Q511" s="262">
        <f t="shared" si="57"/>
        <v>9</v>
      </c>
      <c r="R511" s="5"/>
      <c r="S511" s="25"/>
      <c r="T511" s="5"/>
    </row>
    <row r="512" spans="1:20" s="3" customFormat="1" x14ac:dyDescent="0.25">
      <c r="A512" s="21" t="s">
        <v>450</v>
      </c>
      <c r="B512" s="246" t="s">
        <v>361</v>
      </c>
      <c r="C512" s="246"/>
      <c r="D512" s="246"/>
      <c r="E512" s="246" t="s">
        <v>10</v>
      </c>
      <c r="F512" s="202" t="s">
        <v>122</v>
      </c>
      <c r="G512" s="55"/>
      <c r="H512" s="55"/>
      <c r="I512" s="55"/>
      <c r="J512" s="55"/>
      <c r="K512" s="55"/>
      <c r="L512" s="55"/>
      <c r="M512" s="55"/>
      <c r="N512" s="55"/>
      <c r="O512" s="55"/>
      <c r="P512" s="55"/>
      <c r="Q512" s="55"/>
      <c r="R512" s="5"/>
      <c r="S512" s="25"/>
      <c r="T512" s="5"/>
    </row>
    <row r="513" spans="1:20" s="3" customFormat="1" x14ac:dyDescent="0.25">
      <c r="A513" s="21" t="s">
        <v>450</v>
      </c>
      <c r="B513" s="246" t="s">
        <v>309</v>
      </c>
      <c r="C513" s="246"/>
      <c r="D513" s="246"/>
      <c r="E513" s="246" t="s">
        <v>97</v>
      </c>
      <c r="F513" s="202" t="s">
        <v>122</v>
      </c>
      <c r="G513" s="271">
        <v>0.3</v>
      </c>
      <c r="H513" s="274">
        <f t="shared" ref="H513:Q513" si="58">G513</f>
        <v>0.3</v>
      </c>
      <c r="I513" s="274">
        <f t="shared" si="58"/>
        <v>0.3</v>
      </c>
      <c r="J513" s="274">
        <f t="shared" si="58"/>
        <v>0.3</v>
      </c>
      <c r="K513" s="274">
        <f t="shared" si="58"/>
        <v>0.3</v>
      </c>
      <c r="L513" s="274">
        <f t="shared" si="58"/>
        <v>0.3</v>
      </c>
      <c r="M513" s="274">
        <f t="shared" si="58"/>
        <v>0.3</v>
      </c>
      <c r="N513" s="274">
        <f t="shared" si="58"/>
        <v>0.3</v>
      </c>
      <c r="O513" s="274">
        <f t="shared" si="58"/>
        <v>0.3</v>
      </c>
      <c r="P513" s="274">
        <f t="shared" si="58"/>
        <v>0.3</v>
      </c>
      <c r="Q513" s="274">
        <f t="shared" si="58"/>
        <v>0.3</v>
      </c>
      <c r="R513" s="5"/>
      <c r="S513" s="25"/>
      <c r="T513" s="5"/>
    </row>
    <row r="514" spans="1:20" s="3" customFormat="1" x14ac:dyDescent="0.25">
      <c r="A514" s="21" t="s">
        <v>450</v>
      </c>
      <c r="B514" s="246" t="s">
        <v>358</v>
      </c>
      <c r="C514" s="246"/>
      <c r="D514" s="246"/>
      <c r="E514" s="246" t="s">
        <v>97</v>
      </c>
      <c r="F514" s="202" t="s">
        <v>122</v>
      </c>
      <c r="G514" s="271"/>
      <c r="H514" s="271"/>
      <c r="I514" s="271"/>
      <c r="J514" s="271"/>
      <c r="K514" s="271"/>
      <c r="L514" s="271"/>
      <c r="M514" s="271"/>
      <c r="N514" s="271"/>
      <c r="O514" s="271"/>
      <c r="P514" s="271"/>
      <c r="Q514" s="271"/>
      <c r="R514" s="5"/>
      <c r="S514" s="25"/>
      <c r="T514" s="5"/>
    </row>
    <row r="515" spans="1:20" s="3" customFormat="1" x14ac:dyDescent="0.25">
      <c r="A515" s="21" t="s">
        <v>450</v>
      </c>
      <c r="B515" s="246" t="s">
        <v>357</v>
      </c>
      <c r="C515" s="246"/>
      <c r="D515" s="246"/>
      <c r="E515" s="246" t="s">
        <v>97</v>
      </c>
      <c r="F515" s="202" t="s">
        <v>122</v>
      </c>
      <c r="G515" s="271"/>
      <c r="H515" s="271"/>
      <c r="I515" s="271"/>
      <c r="J515" s="271"/>
      <c r="K515" s="271"/>
      <c r="L515" s="271"/>
      <c r="M515" s="271"/>
      <c r="N515" s="271"/>
      <c r="O515" s="271"/>
      <c r="P515" s="271"/>
      <c r="Q515" s="271"/>
      <c r="R515" s="5"/>
      <c r="S515" s="25"/>
      <c r="T515" s="5"/>
    </row>
    <row r="516" spans="1:20" s="3" customFormat="1" x14ac:dyDescent="0.25">
      <c r="A516" s="21" t="s">
        <v>450</v>
      </c>
      <c r="B516" s="246" t="s">
        <v>75</v>
      </c>
      <c r="C516" s="246"/>
      <c r="D516" s="246"/>
      <c r="E516" s="246" t="s">
        <v>97</v>
      </c>
      <c r="F516" s="202" t="s">
        <v>122</v>
      </c>
      <c r="G516" s="271">
        <v>0</v>
      </c>
      <c r="H516" s="271"/>
      <c r="I516" s="271"/>
      <c r="J516" s="271"/>
      <c r="K516" s="271"/>
      <c r="L516" s="271"/>
      <c r="M516" s="271"/>
      <c r="N516" s="271"/>
      <c r="O516" s="271"/>
      <c r="P516" s="271"/>
      <c r="Q516" s="271"/>
      <c r="R516" s="5"/>
      <c r="S516" s="25"/>
      <c r="T516" s="5"/>
    </row>
    <row r="517" spans="1:20" s="3" customFormat="1" x14ac:dyDescent="0.25">
      <c r="A517" s="21" t="s">
        <v>450</v>
      </c>
      <c r="B517" s="68" t="s">
        <v>148</v>
      </c>
      <c r="C517" s="68"/>
      <c r="D517" s="251"/>
      <c r="E517" s="68" t="s">
        <v>97</v>
      </c>
      <c r="F517" s="202" t="s">
        <v>122</v>
      </c>
      <c r="G517" s="271"/>
      <c r="H517" s="271"/>
      <c r="I517" s="271"/>
      <c r="J517" s="271"/>
      <c r="K517" s="271"/>
      <c r="L517" s="271"/>
      <c r="M517" s="271"/>
      <c r="N517" s="271"/>
      <c r="O517" s="271"/>
      <c r="P517" s="271"/>
      <c r="Q517" s="271"/>
      <c r="R517" s="5"/>
      <c r="S517" s="25"/>
      <c r="T517" s="5"/>
    </row>
    <row r="518" spans="1:20" s="3" customFormat="1" x14ac:dyDescent="0.25">
      <c r="A518" s="21" t="s">
        <v>450</v>
      </c>
      <c r="B518" s="68" t="s">
        <v>149</v>
      </c>
      <c r="C518" s="68"/>
      <c r="D518" s="251"/>
      <c r="E518" s="68" t="s">
        <v>97</v>
      </c>
      <c r="F518" s="202" t="s">
        <v>122</v>
      </c>
      <c r="G518" s="271"/>
      <c r="H518" s="271"/>
      <c r="I518" s="271"/>
      <c r="J518" s="271"/>
      <c r="K518" s="271"/>
      <c r="L518" s="271"/>
      <c r="M518" s="271"/>
      <c r="N518" s="271"/>
      <c r="O518" s="271"/>
      <c r="P518" s="271"/>
      <c r="Q518" s="271"/>
      <c r="R518" s="5"/>
      <c r="S518" s="25"/>
      <c r="T518" s="5"/>
    </row>
    <row r="519" spans="1:20" s="3" customFormat="1" x14ac:dyDescent="0.25">
      <c r="A519" s="21" t="s">
        <v>450</v>
      </c>
      <c r="B519" s="68" t="s">
        <v>370</v>
      </c>
      <c r="C519" s="68"/>
      <c r="D519" s="251"/>
      <c r="E519" s="68" t="s">
        <v>97</v>
      </c>
      <c r="F519" s="202" t="s">
        <v>122</v>
      </c>
      <c r="G519" s="271"/>
      <c r="H519" s="271"/>
      <c r="I519" s="271"/>
      <c r="J519" s="271"/>
      <c r="K519" s="271"/>
      <c r="L519" s="271"/>
      <c r="M519" s="271"/>
      <c r="N519" s="271"/>
      <c r="O519" s="271"/>
      <c r="P519" s="271"/>
      <c r="Q519" s="271"/>
      <c r="R519" s="5"/>
      <c r="S519" s="25"/>
      <c r="T519" s="5"/>
    </row>
    <row r="520" spans="1:20" s="3" customFormat="1" x14ac:dyDescent="0.25">
      <c r="A520" s="21" t="s">
        <v>450</v>
      </c>
      <c r="B520" s="68" t="s">
        <v>371</v>
      </c>
      <c r="C520" s="68"/>
      <c r="D520" s="251"/>
      <c r="E520" s="68" t="s">
        <v>97</v>
      </c>
      <c r="F520" s="202" t="s">
        <v>122</v>
      </c>
      <c r="G520" s="271"/>
      <c r="H520" s="271"/>
      <c r="I520" s="271"/>
      <c r="J520" s="271"/>
      <c r="K520" s="271"/>
      <c r="L520" s="271"/>
      <c r="M520" s="271"/>
      <c r="N520" s="271"/>
      <c r="O520" s="271"/>
      <c r="P520" s="271"/>
      <c r="Q520" s="271"/>
      <c r="R520" s="5"/>
      <c r="S520" s="25"/>
      <c r="T520" s="5"/>
    </row>
    <row r="521" spans="1:20" s="3" customFormat="1" x14ac:dyDescent="0.25">
      <c r="A521" s="21" t="s">
        <v>450</v>
      </c>
      <c r="B521" s="246" t="s">
        <v>338</v>
      </c>
      <c r="C521" s="246"/>
      <c r="D521" s="246"/>
      <c r="E521" s="246" t="s">
        <v>34</v>
      </c>
      <c r="F521" s="202" t="s">
        <v>122</v>
      </c>
      <c r="G521" s="55">
        <v>68.62</v>
      </c>
      <c r="H521" s="262">
        <f t="shared" ref="H521:Q522" si="59">G521</f>
        <v>68.62</v>
      </c>
      <c r="I521" s="262">
        <f t="shared" si="59"/>
        <v>68.62</v>
      </c>
      <c r="J521" s="262">
        <f t="shared" si="59"/>
        <v>68.62</v>
      </c>
      <c r="K521" s="262">
        <f t="shared" si="59"/>
        <v>68.62</v>
      </c>
      <c r="L521" s="262">
        <f t="shared" si="59"/>
        <v>68.62</v>
      </c>
      <c r="M521" s="262">
        <f t="shared" si="59"/>
        <v>68.62</v>
      </c>
      <c r="N521" s="262">
        <f t="shared" si="59"/>
        <v>68.62</v>
      </c>
      <c r="O521" s="262">
        <f t="shared" si="59"/>
        <v>68.62</v>
      </c>
      <c r="P521" s="262">
        <f t="shared" si="59"/>
        <v>68.62</v>
      </c>
      <c r="Q521" s="262">
        <f t="shared" si="59"/>
        <v>68.62</v>
      </c>
      <c r="R521" s="5"/>
      <c r="S521" s="25"/>
      <c r="T521" s="5"/>
    </row>
    <row r="522" spans="1:20" s="3" customFormat="1" x14ac:dyDescent="0.25">
      <c r="A522" s="21" t="s">
        <v>450</v>
      </c>
      <c r="B522" s="246" t="s">
        <v>152</v>
      </c>
      <c r="C522" s="246"/>
      <c r="D522" s="246"/>
      <c r="E522" s="246" t="s">
        <v>321</v>
      </c>
      <c r="F522" s="202" t="s">
        <v>122</v>
      </c>
      <c r="G522" s="55">
        <v>592.51900000000001</v>
      </c>
      <c r="H522" s="262">
        <f t="shared" si="59"/>
        <v>592.51900000000001</v>
      </c>
      <c r="I522" s="262">
        <f t="shared" si="59"/>
        <v>592.51900000000001</v>
      </c>
      <c r="J522" s="262">
        <f t="shared" si="59"/>
        <v>592.51900000000001</v>
      </c>
      <c r="K522" s="262">
        <f t="shared" si="59"/>
        <v>592.51900000000001</v>
      </c>
      <c r="L522" s="262">
        <f t="shared" si="59"/>
        <v>592.51900000000001</v>
      </c>
      <c r="M522" s="262">
        <f t="shared" si="59"/>
        <v>592.51900000000001</v>
      </c>
      <c r="N522" s="262">
        <f t="shared" si="59"/>
        <v>592.51900000000001</v>
      </c>
      <c r="O522" s="262">
        <f t="shared" si="59"/>
        <v>592.51900000000001</v>
      </c>
      <c r="P522" s="262">
        <f t="shared" si="59"/>
        <v>592.51900000000001</v>
      </c>
      <c r="Q522" s="262">
        <f t="shared" si="59"/>
        <v>592.51900000000001</v>
      </c>
      <c r="R522" s="5"/>
      <c r="S522" s="25"/>
      <c r="T522" s="5"/>
    </row>
    <row r="523" spans="1:20" s="3" customFormat="1" x14ac:dyDescent="0.25">
      <c r="A523" s="21" t="s">
        <v>450</v>
      </c>
      <c r="B523" s="246" t="s">
        <v>383</v>
      </c>
      <c r="C523" s="246"/>
      <c r="D523" s="246"/>
      <c r="E523" s="246" t="s">
        <v>97</v>
      </c>
      <c r="F523" s="202" t="s">
        <v>122</v>
      </c>
      <c r="G523" s="271"/>
      <c r="H523" s="271"/>
      <c r="I523" s="271"/>
      <c r="J523" s="271"/>
      <c r="K523" s="271"/>
      <c r="L523" s="271"/>
      <c r="M523" s="271"/>
      <c r="N523" s="271"/>
      <c r="O523" s="271"/>
      <c r="P523" s="271"/>
      <c r="Q523" s="271"/>
      <c r="R523" s="5"/>
      <c r="S523" s="25"/>
      <c r="T523" s="5"/>
    </row>
    <row r="524" spans="1:20" s="3" customFormat="1" x14ac:dyDescent="0.25">
      <c r="A524" s="21" t="s">
        <v>450</v>
      </c>
      <c r="B524" s="246" t="s">
        <v>446</v>
      </c>
      <c r="C524" s="246"/>
      <c r="D524" s="246"/>
      <c r="E524" s="246" t="s">
        <v>34</v>
      </c>
      <c r="F524" s="202" t="s">
        <v>122</v>
      </c>
      <c r="G524" s="55"/>
      <c r="H524" s="55"/>
      <c r="I524" s="55"/>
      <c r="J524" s="55"/>
      <c r="K524" s="55"/>
      <c r="L524" s="55"/>
      <c r="M524" s="55"/>
      <c r="N524" s="55"/>
      <c r="O524" s="55"/>
      <c r="P524" s="55"/>
      <c r="Q524" s="55"/>
      <c r="R524" s="5"/>
      <c r="S524" s="25"/>
      <c r="T524" s="5"/>
    </row>
    <row r="525" spans="1:20" s="3" customFormat="1" x14ac:dyDescent="0.25">
      <c r="A525" s="21" t="s">
        <v>450</v>
      </c>
      <c r="B525" s="246" t="s">
        <v>387</v>
      </c>
      <c r="C525" s="246"/>
      <c r="D525" s="246"/>
      <c r="E525" s="246"/>
      <c r="F525" s="202" t="s">
        <v>122</v>
      </c>
      <c r="G525" s="54"/>
      <c r="H525" s="54"/>
      <c r="I525" s="54"/>
      <c r="J525" s="54"/>
      <c r="K525" s="54"/>
      <c r="L525" s="54"/>
      <c r="M525" s="54"/>
      <c r="N525" s="54"/>
      <c r="O525" s="54"/>
      <c r="P525" s="54"/>
      <c r="Q525" s="54"/>
      <c r="R525" s="5"/>
      <c r="S525" s="25"/>
      <c r="T525" s="5"/>
    </row>
    <row r="526" spans="1:20" s="3" customFormat="1" x14ac:dyDescent="0.25">
      <c r="A526" s="21" t="s">
        <v>450</v>
      </c>
      <c r="B526" s="246" t="s">
        <v>369</v>
      </c>
      <c r="C526" s="246"/>
      <c r="D526" s="246"/>
      <c r="E526" s="246" t="s">
        <v>97</v>
      </c>
      <c r="F526" s="202" t="s">
        <v>122</v>
      </c>
      <c r="G526" s="271"/>
      <c r="H526" s="271"/>
      <c r="I526" s="271"/>
      <c r="J526" s="271"/>
      <c r="K526" s="271"/>
      <c r="L526" s="271"/>
      <c r="M526" s="271"/>
      <c r="N526" s="271"/>
      <c r="O526" s="271"/>
      <c r="P526" s="271"/>
      <c r="Q526" s="271"/>
      <c r="R526" s="5"/>
      <c r="S526" s="25"/>
      <c r="T526" s="5"/>
    </row>
    <row r="527" spans="1:20" s="3" customFormat="1" x14ac:dyDescent="0.25">
      <c r="A527" s="21" t="s">
        <v>450</v>
      </c>
      <c r="B527" s="246" t="s">
        <v>392</v>
      </c>
      <c r="C527" s="246"/>
      <c r="D527" s="246"/>
      <c r="E527" s="246" t="s">
        <v>321</v>
      </c>
      <c r="F527" s="202" t="s">
        <v>122</v>
      </c>
      <c r="G527" s="55">
        <v>244.33799999999999</v>
      </c>
      <c r="H527" s="262">
        <f t="shared" ref="H527:Q527" si="60">G527</f>
        <v>244.33799999999999</v>
      </c>
      <c r="I527" s="262">
        <f t="shared" si="60"/>
        <v>244.33799999999999</v>
      </c>
      <c r="J527" s="262">
        <f t="shared" si="60"/>
        <v>244.33799999999999</v>
      </c>
      <c r="K527" s="262">
        <f t="shared" si="60"/>
        <v>244.33799999999999</v>
      </c>
      <c r="L527" s="262">
        <f t="shared" si="60"/>
        <v>244.33799999999999</v>
      </c>
      <c r="M527" s="262">
        <f t="shared" si="60"/>
        <v>244.33799999999999</v>
      </c>
      <c r="N527" s="262">
        <f t="shared" si="60"/>
        <v>244.33799999999999</v>
      </c>
      <c r="O527" s="262">
        <f t="shared" si="60"/>
        <v>244.33799999999999</v>
      </c>
      <c r="P527" s="262">
        <f t="shared" si="60"/>
        <v>244.33799999999999</v>
      </c>
      <c r="Q527" s="262">
        <f t="shared" si="60"/>
        <v>244.33799999999999</v>
      </c>
      <c r="R527" s="5"/>
      <c r="S527" s="25"/>
      <c r="T527" s="5"/>
    </row>
    <row r="528" spans="1:20" s="3" customFormat="1" x14ac:dyDescent="0.25">
      <c r="A528" s="21" t="s">
        <v>450</v>
      </c>
      <c r="B528" s="246" t="s">
        <v>394</v>
      </c>
      <c r="C528" s="246"/>
      <c r="D528" s="246"/>
      <c r="E528" s="246" t="s">
        <v>321</v>
      </c>
      <c r="F528" s="202" t="s">
        <v>122</v>
      </c>
      <c r="G528" s="55"/>
      <c r="H528" s="55"/>
      <c r="I528" s="55"/>
      <c r="J528" s="55"/>
      <c r="K528" s="55"/>
      <c r="L528" s="55"/>
      <c r="M528" s="55"/>
      <c r="N528" s="55"/>
      <c r="O528" s="55"/>
      <c r="P528" s="55"/>
      <c r="Q528" s="55"/>
      <c r="R528" s="5"/>
      <c r="S528" s="25"/>
      <c r="T528" s="5"/>
    </row>
    <row r="529" spans="1:20" s="3" customFormat="1" x14ac:dyDescent="0.25">
      <c r="A529" s="21" t="s">
        <v>450</v>
      </c>
      <c r="B529" s="246" t="s">
        <v>395</v>
      </c>
      <c r="C529" s="246"/>
      <c r="D529" s="246"/>
      <c r="E529" s="246"/>
      <c r="F529" s="202" t="s">
        <v>122</v>
      </c>
      <c r="G529" s="54"/>
      <c r="H529" s="54"/>
      <c r="I529" s="54"/>
      <c r="J529" s="54"/>
      <c r="K529" s="54"/>
      <c r="L529" s="54"/>
      <c r="M529" s="54"/>
      <c r="N529" s="54"/>
      <c r="O529" s="54"/>
      <c r="P529" s="54"/>
      <c r="Q529" s="54"/>
      <c r="R529" s="5"/>
      <c r="S529" s="25"/>
      <c r="T529" s="5"/>
    </row>
    <row r="530" spans="1:20" s="3" customFormat="1" x14ac:dyDescent="0.25">
      <c r="A530" s="21" t="s">
        <v>450</v>
      </c>
      <c r="B530" s="246" t="s">
        <v>396</v>
      </c>
      <c r="C530" s="246"/>
      <c r="D530" s="246"/>
      <c r="E530" s="246"/>
      <c r="F530" s="202" t="s">
        <v>122</v>
      </c>
      <c r="G530" s="54"/>
      <c r="H530" s="54"/>
      <c r="I530" s="54"/>
      <c r="J530" s="54"/>
      <c r="K530" s="54"/>
      <c r="L530" s="54"/>
      <c r="M530" s="54"/>
      <c r="N530" s="54"/>
      <c r="O530" s="54"/>
      <c r="P530" s="54"/>
      <c r="Q530" s="54"/>
      <c r="R530" s="5"/>
      <c r="S530" s="25"/>
      <c r="T530" s="5"/>
    </row>
    <row r="531" spans="1:20" s="3" customFormat="1" x14ac:dyDescent="0.25">
      <c r="A531" s="21" t="s">
        <v>450</v>
      </c>
      <c r="B531" s="246" t="s">
        <v>393</v>
      </c>
      <c r="C531" s="246"/>
      <c r="D531" s="246"/>
      <c r="E531" s="246" t="s">
        <v>322</v>
      </c>
      <c r="F531" s="202" t="s">
        <v>122</v>
      </c>
      <c r="G531" s="55"/>
      <c r="H531" s="55"/>
      <c r="I531" s="55"/>
      <c r="J531" s="55"/>
      <c r="K531" s="55"/>
      <c r="L531" s="55"/>
      <c r="M531" s="55"/>
      <c r="N531" s="55"/>
      <c r="O531" s="55"/>
      <c r="P531" s="55"/>
      <c r="Q531" s="55"/>
      <c r="R531" s="5"/>
      <c r="S531" s="25"/>
      <c r="T531" s="5"/>
    </row>
    <row r="532" spans="1:20" s="3" customFormat="1" x14ac:dyDescent="0.25">
      <c r="A532" s="21" t="s">
        <v>450</v>
      </c>
      <c r="B532" s="246" t="s">
        <v>397</v>
      </c>
      <c r="C532" s="246"/>
      <c r="D532" s="246"/>
      <c r="E532" s="246" t="s">
        <v>322</v>
      </c>
      <c r="F532" s="202" t="s">
        <v>122</v>
      </c>
      <c r="G532" s="55"/>
      <c r="H532" s="55"/>
      <c r="I532" s="55"/>
      <c r="J532" s="55"/>
      <c r="K532" s="55"/>
      <c r="L532" s="55"/>
      <c r="M532" s="55"/>
      <c r="N532" s="55"/>
      <c r="O532" s="55"/>
      <c r="P532" s="55"/>
      <c r="Q532" s="55"/>
      <c r="R532" s="5"/>
      <c r="S532" s="25"/>
      <c r="T532" s="5"/>
    </row>
    <row r="533" spans="1:20" s="3" customFormat="1" x14ac:dyDescent="0.25">
      <c r="A533" s="21" t="s">
        <v>450</v>
      </c>
      <c r="B533" s="246" t="s">
        <v>398</v>
      </c>
      <c r="C533" s="246"/>
      <c r="D533" s="246"/>
      <c r="E533" s="246"/>
      <c r="F533" s="202" t="s">
        <v>122</v>
      </c>
      <c r="G533" s="54"/>
      <c r="H533" s="54"/>
      <c r="I533" s="54"/>
      <c r="J533" s="54"/>
      <c r="K533" s="54"/>
      <c r="L533" s="54"/>
      <c r="M533" s="54"/>
      <c r="N533" s="54"/>
      <c r="O533" s="54"/>
      <c r="P533" s="54"/>
      <c r="Q533" s="54"/>
      <c r="R533" s="5"/>
      <c r="S533" s="25"/>
      <c r="T533" s="5"/>
    </row>
    <row r="534" spans="1:20" s="3" customFormat="1" x14ac:dyDescent="0.25">
      <c r="A534" s="21" t="s">
        <v>450</v>
      </c>
      <c r="B534" s="246" t="s">
        <v>399</v>
      </c>
      <c r="C534" s="246"/>
      <c r="D534" s="246"/>
      <c r="E534" s="246"/>
      <c r="F534" s="202" t="s">
        <v>122</v>
      </c>
      <c r="G534" s="54"/>
      <c r="H534" s="54"/>
      <c r="I534" s="54"/>
      <c r="J534" s="54"/>
      <c r="K534" s="54"/>
      <c r="L534" s="54"/>
      <c r="M534" s="54"/>
      <c r="N534" s="54"/>
      <c r="O534" s="54"/>
      <c r="P534" s="54"/>
      <c r="Q534" s="54"/>
      <c r="R534" s="5"/>
      <c r="S534" s="25"/>
      <c r="T534" s="5"/>
    </row>
    <row r="535" spans="1:20" s="3" customFormat="1" x14ac:dyDescent="0.25">
      <c r="A535" s="21" t="s">
        <v>450</v>
      </c>
      <c r="B535" s="246" t="s">
        <v>310</v>
      </c>
      <c r="C535" s="246"/>
      <c r="D535" s="246"/>
      <c r="E535" s="246" t="s">
        <v>322</v>
      </c>
      <c r="F535" s="202" t="s">
        <v>122</v>
      </c>
      <c r="G535" s="55">
        <v>12.217000000000001</v>
      </c>
      <c r="H535" s="262">
        <f t="shared" ref="H535:Q535" si="61">G535</f>
        <v>12.217000000000001</v>
      </c>
      <c r="I535" s="262">
        <f t="shared" si="61"/>
        <v>12.217000000000001</v>
      </c>
      <c r="J535" s="262">
        <f t="shared" si="61"/>
        <v>12.217000000000001</v>
      </c>
      <c r="K535" s="262">
        <f t="shared" si="61"/>
        <v>12.217000000000001</v>
      </c>
      <c r="L535" s="262">
        <f t="shared" si="61"/>
        <v>12.217000000000001</v>
      </c>
      <c r="M535" s="262">
        <f t="shared" si="61"/>
        <v>12.217000000000001</v>
      </c>
      <c r="N535" s="262">
        <f t="shared" si="61"/>
        <v>12.217000000000001</v>
      </c>
      <c r="O535" s="262">
        <f t="shared" si="61"/>
        <v>12.217000000000001</v>
      </c>
      <c r="P535" s="262">
        <f t="shared" si="61"/>
        <v>12.217000000000001</v>
      </c>
      <c r="Q535" s="262">
        <f t="shared" si="61"/>
        <v>12.217000000000001</v>
      </c>
      <c r="R535" s="5"/>
      <c r="S535" s="25"/>
      <c r="T535" s="5"/>
    </row>
    <row r="536" spans="1:20" s="3" customFormat="1" x14ac:dyDescent="0.25">
      <c r="A536" s="21" t="s">
        <v>450</v>
      </c>
      <c r="B536" s="246" t="s">
        <v>360</v>
      </c>
      <c r="C536" s="246"/>
      <c r="D536" s="246"/>
      <c r="E536" s="246" t="s">
        <v>321</v>
      </c>
      <c r="F536" s="202" t="s">
        <v>122</v>
      </c>
      <c r="G536" s="55"/>
      <c r="H536" s="55"/>
      <c r="I536" s="55"/>
      <c r="J536" s="55"/>
      <c r="K536" s="55"/>
      <c r="L536" s="55"/>
      <c r="M536" s="55"/>
      <c r="N536" s="55"/>
      <c r="O536" s="55"/>
      <c r="P536" s="55"/>
      <c r="Q536" s="55"/>
      <c r="R536" s="5"/>
      <c r="S536" s="25"/>
      <c r="T536" s="5"/>
    </row>
    <row r="537" spans="1:20" s="3" customFormat="1" x14ac:dyDescent="0.25">
      <c r="A537" s="21" t="s">
        <v>450</v>
      </c>
      <c r="B537" s="67" t="s">
        <v>306</v>
      </c>
      <c r="C537" s="25"/>
      <c r="D537" s="2" t="s">
        <v>469</v>
      </c>
      <c r="E537" s="67" t="s">
        <v>334</v>
      </c>
      <c r="F537" s="202" t="s">
        <v>122</v>
      </c>
      <c r="G537" s="54">
        <v>0.20599999999999999</v>
      </c>
      <c r="H537" s="54">
        <v>0.20599999999999999</v>
      </c>
      <c r="I537" s="54">
        <v>0.20599999999999999</v>
      </c>
      <c r="J537" s="54">
        <v>0.20599999999999999</v>
      </c>
      <c r="K537" s="54">
        <v>0.20599999999999999</v>
      </c>
      <c r="L537" s="54">
        <v>0.20599999999999999</v>
      </c>
      <c r="M537" s="54">
        <v>0.20599999999999999</v>
      </c>
      <c r="N537" s="54">
        <v>0.20599999999999999</v>
      </c>
      <c r="O537" s="54">
        <v>0.20599999999999999</v>
      </c>
      <c r="P537" s="54">
        <v>0.20599999999999999</v>
      </c>
      <c r="Q537" s="54">
        <v>0.20599999999999999</v>
      </c>
      <c r="R537" s="5"/>
      <c r="S537" s="25"/>
      <c r="T537" s="5"/>
    </row>
    <row r="538" spans="1:20" s="3" customFormat="1" x14ac:dyDescent="0.25">
      <c r="A538" s="21" t="s">
        <v>450</v>
      </c>
      <c r="B538" s="67" t="s">
        <v>51</v>
      </c>
      <c r="C538" s="25"/>
      <c r="D538" s="2"/>
      <c r="E538" s="2"/>
      <c r="F538" s="202" t="s">
        <v>330</v>
      </c>
      <c r="G538" s="4"/>
      <c r="H538" s="4"/>
      <c r="I538" s="4"/>
      <c r="J538" s="4"/>
      <c r="K538" s="4"/>
      <c r="L538" s="4"/>
      <c r="M538" s="4"/>
      <c r="N538" s="4"/>
      <c r="O538" s="4"/>
      <c r="P538" s="4"/>
      <c r="Q538" s="4"/>
      <c r="R538" s="5"/>
      <c r="S538" s="25"/>
      <c r="T538" s="5"/>
    </row>
    <row r="539" spans="1:20" s="3" customFormat="1" x14ac:dyDescent="0.25">
      <c r="A539" s="21" t="s">
        <v>450</v>
      </c>
      <c r="B539" s="246" t="s">
        <v>38</v>
      </c>
      <c r="C539" s="246"/>
      <c r="D539" s="246"/>
      <c r="E539" s="246" t="s">
        <v>40</v>
      </c>
      <c r="F539" s="202" t="s">
        <v>330</v>
      </c>
      <c r="G539" s="277">
        <v>1990</v>
      </c>
      <c r="H539" s="278">
        <f t="shared" ref="H539:Q541" si="62">G539</f>
        <v>1990</v>
      </c>
      <c r="I539" s="278">
        <f t="shared" si="62"/>
        <v>1990</v>
      </c>
      <c r="J539" s="278">
        <f t="shared" si="62"/>
        <v>1990</v>
      </c>
      <c r="K539" s="278">
        <f t="shared" si="62"/>
        <v>1990</v>
      </c>
      <c r="L539" s="278">
        <f t="shared" si="62"/>
        <v>1990</v>
      </c>
      <c r="M539" s="278">
        <f t="shared" si="62"/>
        <v>1990</v>
      </c>
      <c r="N539" s="278">
        <f t="shared" si="62"/>
        <v>1990</v>
      </c>
      <c r="O539" s="278">
        <f t="shared" si="62"/>
        <v>1990</v>
      </c>
      <c r="P539" s="278">
        <f t="shared" si="62"/>
        <v>1990</v>
      </c>
      <c r="Q539" s="278">
        <f t="shared" si="62"/>
        <v>1990</v>
      </c>
      <c r="R539" s="5"/>
      <c r="S539" s="25"/>
      <c r="T539" s="5"/>
    </row>
    <row r="540" spans="1:20" s="3" customFormat="1" x14ac:dyDescent="0.25">
      <c r="A540" s="21" t="s">
        <v>450</v>
      </c>
      <c r="B540" s="246" t="s">
        <v>37</v>
      </c>
      <c r="C540" s="246"/>
      <c r="D540" s="246"/>
      <c r="E540" s="246" t="s">
        <v>40</v>
      </c>
      <c r="F540" s="202" t="s">
        <v>330</v>
      </c>
      <c r="G540" s="277">
        <v>2000</v>
      </c>
      <c r="H540" s="278">
        <f t="shared" si="62"/>
        <v>2000</v>
      </c>
      <c r="I540" s="278">
        <f t="shared" si="62"/>
        <v>2000</v>
      </c>
      <c r="J540" s="278">
        <f t="shared" si="62"/>
        <v>2000</v>
      </c>
      <c r="K540" s="278">
        <f t="shared" si="62"/>
        <v>2000</v>
      </c>
      <c r="L540" s="278">
        <f t="shared" si="62"/>
        <v>2000</v>
      </c>
      <c r="M540" s="278">
        <f t="shared" si="62"/>
        <v>2000</v>
      </c>
      <c r="N540" s="278">
        <f t="shared" si="62"/>
        <v>2000</v>
      </c>
      <c r="O540" s="278">
        <f t="shared" si="62"/>
        <v>2000</v>
      </c>
      <c r="P540" s="278">
        <f t="shared" si="62"/>
        <v>2000</v>
      </c>
      <c r="Q540" s="278">
        <f t="shared" si="62"/>
        <v>2000</v>
      </c>
      <c r="R540" s="5"/>
      <c r="S540" s="25"/>
      <c r="T540" s="5"/>
    </row>
    <row r="541" spans="1:20" s="3" customFormat="1" x14ac:dyDescent="0.25">
      <c r="A541" s="21" t="s">
        <v>450</v>
      </c>
      <c r="B541" s="246" t="s">
        <v>39</v>
      </c>
      <c r="C541" s="246"/>
      <c r="D541" s="246"/>
      <c r="E541" s="246" t="s">
        <v>10</v>
      </c>
      <c r="F541" s="202" t="s">
        <v>330</v>
      </c>
      <c r="G541" s="55">
        <v>9</v>
      </c>
      <c r="H541" s="262">
        <f t="shared" si="62"/>
        <v>9</v>
      </c>
      <c r="I541" s="262">
        <f t="shared" si="62"/>
        <v>9</v>
      </c>
      <c r="J541" s="262">
        <f t="shared" si="62"/>
        <v>9</v>
      </c>
      <c r="K541" s="262">
        <f t="shared" si="62"/>
        <v>9</v>
      </c>
      <c r="L541" s="262">
        <f t="shared" si="62"/>
        <v>9</v>
      </c>
      <c r="M541" s="262">
        <f t="shared" si="62"/>
        <v>9</v>
      </c>
      <c r="N541" s="262">
        <f t="shared" si="62"/>
        <v>9</v>
      </c>
      <c r="O541" s="262">
        <f t="shared" si="62"/>
        <v>9</v>
      </c>
      <c r="P541" s="262">
        <f t="shared" si="62"/>
        <v>9</v>
      </c>
      <c r="Q541" s="262">
        <f t="shared" si="62"/>
        <v>9</v>
      </c>
      <c r="R541" s="5"/>
      <c r="S541" s="25"/>
      <c r="T541" s="5"/>
    </row>
    <row r="542" spans="1:20" s="3" customFormat="1" x14ac:dyDescent="0.25">
      <c r="A542" s="21" t="s">
        <v>450</v>
      </c>
      <c r="B542" s="246" t="s">
        <v>361</v>
      </c>
      <c r="C542" s="246"/>
      <c r="D542" s="246"/>
      <c r="E542" s="246" t="s">
        <v>10</v>
      </c>
      <c r="F542" s="202" t="s">
        <v>330</v>
      </c>
      <c r="G542" s="55"/>
      <c r="H542" s="55"/>
      <c r="I542" s="55"/>
      <c r="J542" s="55"/>
      <c r="K542" s="55"/>
      <c r="L542" s="55"/>
      <c r="M542" s="55"/>
      <c r="N542" s="55"/>
      <c r="O542" s="55"/>
      <c r="P542" s="55"/>
      <c r="Q542" s="55"/>
      <c r="R542" s="5"/>
      <c r="S542" s="25"/>
      <c r="T542" s="5"/>
    </row>
    <row r="543" spans="1:20" s="3" customFormat="1" x14ac:dyDescent="0.25">
      <c r="A543" s="21" t="s">
        <v>450</v>
      </c>
      <c r="B543" s="246" t="s">
        <v>309</v>
      </c>
      <c r="C543" s="246"/>
      <c r="D543" s="246"/>
      <c r="E543" s="246" t="s">
        <v>97</v>
      </c>
      <c r="F543" s="202" t="s">
        <v>330</v>
      </c>
      <c r="G543" s="271">
        <v>0.3</v>
      </c>
      <c r="H543" s="274">
        <f t="shared" ref="H543:Q543" si="63">G543</f>
        <v>0.3</v>
      </c>
      <c r="I543" s="274">
        <f t="shared" si="63"/>
        <v>0.3</v>
      </c>
      <c r="J543" s="274">
        <f t="shared" si="63"/>
        <v>0.3</v>
      </c>
      <c r="K543" s="274">
        <f t="shared" si="63"/>
        <v>0.3</v>
      </c>
      <c r="L543" s="274">
        <f t="shared" si="63"/>
        <v>0.3</v>
      </c>
      <c r="M543" s="274">
        <f t="shared" si="63"/>
        <v>0.3</v>
      </c>
      <c r="N543" s="274">
        <f t="shared" si="63"/>
        <v>0.3</v>
      </c>
      <c r="O543" s="274">
        <f t="shared" si="63"/>
        <v>0.3</v>
      </c>
      <c r="P543" s="274">
        <f t="shared" si="63"/>
        <v>0.3</v>
      </c>
      <c r="Q543" s="274">
        <f t="shared" si="63"/>
        <v>0.3</v>
      </c>
      <c r="R543" s="5"/>
      <c r="S543" s="25"/>
      <c r="T543" s="5"/>
    </row>
    <row r="544" spans="1:20" s="3" customFormat="1" x14ac:dyDescent="0.25">
      <c r="A544" s="21" t="s">
        <v>450</v>
      </c>
      <c r="B544" s="246" t="s">
        <v>358</v>
      </c>
      <c r="C544" s="246"/>
      <c r="D544" s="246"/>
      <c r="E544" s="246" t="s">
        <v>97</v>
      </c>
      <c r="F544" s="202" t="s">
        <v>330</v>
      </c>
      <c r="G544" s="271"/>
      <c r="H544" s="271"/>
      <c r="I544" s="271"/>
      <c r="J544" s="271"/>
      <c r="K544" s="271"/>
      <c r="L544" s="271"/>
      <c r="M544" s="271"/>
      <c r="N544" s="271"/>
      <c r="O544" s="271"/>
      <c r="P544" s="271"/>
      <c r="Q544" s="271"/>
      <c r="R544" s="5"/>
      <c r="S544" s="25"/>
      <c r="T544" s="5"/>
    </row>
    <row r="545" spans="1:20" s="3" customFormat="1" x14ac:dyDescent="0.25">
      <c r="A545" s="21" t="s">
        <v>450</v>
      </c>
      <c r="B545" s="246" t="s">
        <v>357</v>
      </c>
      <c r="C545" s="246"/>
      <c r="D545" s="246"/>
      <c r="E545" s="246" t="s">
        <v>97</v>
      </c>
      <c r="F545" s="202" t="s">
        <v>330</v>
      </c>
      <c r="G545" s="271"/>
      <c r="H545" s="271"/>
      <c r="I545" s="271"/>
      <c r="J545" s="271"/>
      <c r="K545" s="271"/>
      <c r="L545" s="271"/>
      <c r="M545" s="271"/>
      <c r="N545" s="271"/>
      <c r="O545" s="271"/>
      <c r="P545" s="271"/>
      <c r="Q545" s="271"/>
      <c r="R545" s="5"/>
      <c r="S545" s="25"/>
      <c r="T545" s="5"/>
    </row>
    <row r="546" spans="1:20" s="3" customFormat="1" x14ac:dyDescent="0.25">
      <c r="A546" s="21" t="s">
        <v>450</v>
      </c>
      <c r="B546" s="246" t="s">
        <v>75</v>
      </c>
      <c r="C546" s="246"/>
      <c r="D546" s="246"/>
      <c r="E546" s="246" t="s">
        <v>97</v>
      </c>
      <c r="F546" s="202" t="s">
        <v>330</v>
      </c>
      <c r="G546" s="271">
        <v>0.95</v>
      </c>
      <c r="H546" s="271"/>
      <c r="I546" s="271"/>
      <c r="J546" s="271"/>
      <c r="K546" s="271"/>
      <c r="L546" s="271"/>
      <c r="M546" s="271"/>
      <c r="N546" s="271"/>
      <c r="O546" s="271"/>
      <c r="P546" s="271"/>
      <c r="Q546" s="271"/>
      <c r="R546" s="5"/>
      <c r="S546" s="25"/>
      <c r="T546" s="5"/>
    </row>
    <row r="547" spans="1:20" s="3" customFormat="1" x14ac:dyDescent="0.25">
      <c r="A547" s="21" t="s">
        <v>450</v>
      </c>
      <c r="B547" s="68" t="s">
        <v>148</v>
      </c>
      <c r="C547" s="68"/>
      <c r="D547" s="251"/>
      <c r="E547" s="68" t="s">
        <v>97</v>
      </c>
      <c r="F547" s="202" t="s">
        <v>330</v>
      </c>
      <c r="G547" s="271"/>
      <c r="H547" s="271"/>
      <c r="I547" s="271"/>
      <c r="J547" s="271"/>
      <c r="K547" s="271"/>
      <c r="L547" s="271"/>
      <c r="M547" s="271"/>
      <c r="N547" s="271"/>
      <c r="O547" s="271"/>
      <c r="P547" s="271"/>
      <c r="Q547" s="271"/>
      <c r="R547" s="5"/>
      <c r="S547" s="25"/>
      <c r="T547" s="5"/>
    </row>
    <row r="548" spans="1:20" s="3" customFormat="1" x14ac:dyDescent="0.25">
      <c r="A548" s="21" t="s">
        <v>450</v>
      </c>
      <c r="B548" s="68" t="s">
        <v>149</v>
      </c>
      <c r="C548" s="68"/>
      <c r="D548" s="251"/>
      <c r="E548" s="68" t="s">
        <v>97</v>
      </c>
      <c r="F548" s="202" t="s">
        <v>330</v>
      </c>
      <c r="G548" s="271"/>
      <c r="H548" s="271"/>
      <c r="I548" s="271"/>
      <c r="J548" s="271"/>
      <c r="K548" s="271"/>
      <c r="L548" s="271"/>
      <c r="M548" s="271"/>
      <c r="N548" s="271"/>
      <c r="O548" s="271"/>
      <c r="P548" s="271"/>
      <c r="Q548" s="271"/>
      <c r="R548" s="5"/>
      <c r="S548" s="25"/>
      <c r="T548" s="5"/>
    </row>
    <row r="549" spans="1:20" s="3" customFormat="1" x14ac:dyDescent="0.25">
      <c r="A549" s="21" t="s">
        <v>450</v>
      </c>
      <c r="B549" s="68" t="s">
        <v>370</v>
      </c>
      <c r="C549" s="68"/>
      <c r="D549" s="251"/>
      <c r="E549" s="68" t="s">
        <v>97</v>
      </c>
      <c r="F549" s="202" t="s">
        <v>330</v>
      </c>
      <c r="G549" s="271"/>
      <c r="H549" s="271"/>
      <c r="I549" s="271"/>
      <c r="J549" s="271"/>
      <c r="K549" s="271"/>
      <c r="L549" s="271"/>
      <c r="M549" s="271"/>
      <c r="N549" s="271"/>
      <c r="O549" s="271"/>
      <c r="P549" s="271"/>
      <c r="Q549" s="271"/>
      <c r="R549" s="5"/>
      <c r="S549" s="25"/>
      <c r="T549" s="5"/>
    </row>
    <row r="550" spans="1:20" s="3" customFormat="1" x14ac:dyDescent="0.25">
      <c r="A550" s="21" t="s">
        <v>450</v>
      </c>
      <c r="B550" s="68" t="s">
        <v>371</v>
      </c>
      <c r="C550" s="68"/>
      <c r="D550" s="251"/>
      <c r="E550" s="68" t="s">
        <v>97</v>
      </c>
      <c r="F550" s="202" t="s">
        <v>330</v>
      </c>
      <c r="G550" s="271"/>
      <c r="H550" s="271"/>
      <c r="I550" s="271"/>
      <c r="J550" s="271"/>
      <c r="K550" s="271"/>
      <c r="L550" s="271"/>
      <c r="M550" s="271"/>
      <c r="N550" s="271"/>
      <c r="O550" s="271"/>
      <c r="P550" s="271"/>
      <c r="Q550" s="271"/>
      <c r="R550" s="5"/>
      <c r="S550" s="25"/>
      <c r="T550" s="5"/>
    </row>
    <row r="551" spans="1:20" s="3" customFormat="1" x14ac:dyDescent="0.25">
      <c r="A551" s="21" t="s">
        <v>450</v>
      </c>
      <c r="B551" s="246" t="s">
        <v>338</v>
      </c>
      <c r="C551" s="246"/>
      <c r="D551" s="246"/>
      <c r="E551" s="246" t="s">
        <v>34</v>
      </c>
      <c r="F551" s="202" t="s">
        <v>330</v>
      </c>
      <c r="G551" s="55">
        <v>642.4</v>
      </c>
      <c r="H551" s="262">
        <f t="shared" ref="H551:Q552" si="64">G551</f>
        <v>642.4</v>
      </c>
      <c r="I551" s="262">
        <f t="shared" si="64"/>
        <v>642.4</v>
      </c>
      <c r="J551" s="262">
        <f t="shared" si="64"/>
        <v>642.4</v>
      </c>
      <c r="K551" s="262">
        <f t="shared" si="64"/>
        <v>642.4</v>
      </c>
      <c r="L551" s="262">
        <f t="shared" si="64"/>
        <v>642.4</v>
      </c>
      <c r="M551" s="262">
        <f t="shared" si="64"/>
        <v>642.4</v>
      </c>
      <c r="N551" s="262">
        <f t="shared" si="64"/>
        <v>642.4</v>
      </c>
      <c r="O551" s="262">
        <f t="shared" si="64"/>
        <v>642.4</v>
      </c>
      <c r="P551" s="262">
        <f t="shared" si="64"/>
        <v>642.4</v>
      </c>
      <c r="Q551" s="262">
        <f t="shared" si="64"/>
        <v>642.4</v>
      </c>
      <c r="R551" s="5"/>
      <c r="S551" s="25"/>
      <c r="T551" s="5"/>
    </row>
    <row r="552" spans="1:20" s="3" customFormat="1" x14ac:dyDescent="0.25">
      <c r="A552" s="21" t="s">
        <v>450</v>
      </c>
      <c r="B552" s="246" t="s">
        <v>152</v>
      </c>
      <c r="C552" s="246"/>
      <c r="D552" s="246"/>
      <c r="E552" s="246" t="s">
        <v>321</v>
      </c>
      <c r="F552" s="202" t="s">
        <v>330</v>
      </c>
      <c r="G552" s="55">
        <v>2962.596</v>
      </c>
      <c r="H552" s="262">
        <f t="shared" si="64"/>
        <v>2962.596</v>
      </c>
      <c r="I552" s="262">
        <f t="shared" si="64"/>
        <v>2962.596</v>
      </c>
      <c r="J552" s="262">
        <f t="shared" si="64"/>
        <v>2962.596</v>
      </c>
      <c r="K552" s="262">
        <f t="shared" si="64"/>
        <v>2962.596</v>
      </c>
      <c r="L552" s="262">
        <f t="shared" si="64"/>
        <v>2962.596</v>
      </c>
      <c r="M552" s="262">
        <f t="shared" si="64"/>
        <v>2962.596</v>
      </c>
      <c r="N552" s="262">
        <f t="shared" si="64"/>
        <v>2962.596</v>
      </c>
      <c r="O552" s="262">
        <f t="shared" si="64"/>
        <v>2962.596</v>
      </c>
      <c r="P552" s="262">
        <f t="shared" si="64"/>
        <v>2962.596</v>
      </c>
      <c r="Q552" s="262">
        <f t="shared" si="64"/>
        <v>2962.596</v>
      </c>
      <c r="R552" s="5"/>
      <c r="S552" s="25"/>
      <c r="T552" s="5"/>
    </row>
    <row r="553" spans="1:20" s="3" customFormat="1" x14ac:dyDescent="0.25">
      <c r="A553" s="21" t="s">
        <v>450</v>
      </c>
      <c r="B553" s="246" t="s">
        <v>383</v>
      </c>
      <c r="C553" s="246"/>
      <c r="D553" s="246"/>
      <c r="E553" s="246" t="s">
        <v>97</v>
      </c>
      <c r="F553" s="202" t="s">
        <v>330</v>
      </c>
      <c r="G553" s="271"/>
      <c r="H553" s="271"/>
      <c r="I553" s="271"/>
      <c r="J553" s="271"/>
      <c r="K553" s="271"/>
      <c r="L553" s="271"/>
      <c r="M553" s="271"/>
      <c r="N553" s="271"/>
      <c r="O553" s="271"/>
      <c r="P553" s="271"/>
      <c r="Q553" s="271"/>
      <c r="R553" s="5"/>
      <c r="S553" s="25"/>
      <c r="T553" s="5"/>
    </row>
    <row r="554" spans="1:20" s="3" customFormat="1" x14ac:dyDescent="0.25">
      <c r="A554" s="21" t="s">
        <v>450</v>
      </c>
      <c r="B554" s="246" t="s">
        <v>446</v>
      </c>
      <c r="C554" s="246"/>
      <c r="D554" s="246"/>
      <c r="E554" s="246" t="s">
        <v>34</v>
      </c>
      <c r="F554" s="202" t="s">
        <v>330</v>
      </c>
      <c r="G554" s="55"/>
      <c r="H554" s="55"/>
      <c r="I554" s="55"/>
      <c r="J554" s="55"/>
      <c r="K554" s="55"/>
      <c r="L554" s="55"/>
      <c r="M554" s="55"/>
      <c r="N554" s="55"/>
      <c r="O554" s="55"/>
      <c r="P554" s="55"/>
      <c r="Q554" s="55"/>
      <c r="R554" s="5"/>
      <c r="S554" s="25"/>
      <c r="T554" s="5"/>
    </row>
    <row r="555" spans="1:20" s="3" customFormat="1" x14ac:dyDescent="0.25">
      <c r="A555" s="21" t="s">
        <v>450</v>
      </c>
      <c r="B555" s="246" t="s">
        <v>387</v>
      </c>
      <c r="C555" s="246"/>
      <c r="D555" s="246"/>
      <c r="E555" s="246"/>
      <c r="F555" s="202" t="s">
        <v>330</v>
      </c>
      <c r="G555" s="54"/>
      <c r="H555" s="54"/>
      <c r="I555" s="54"/>
      <c r="J555" s="54"/>
      <c r="K555" s="54"/>
      <c r="L555" s="54"/>
      <c r="M555" s="54"/>
      <c r="N555" s="54"/>
      <c r="O555" s="54"/>
      <c r="P555" s="54"/>
      <c r="Q555" s="54"/>
      <c r="R555" s="5"/>
      <c r="S555" s="25"/>
      <c r="T555" s="5"/>
    </row>
    <row r="556" spans="1:20" s="3" customFormat="1" x14ac:dyDescent="0.25">
      <c r="A556" s="21" t="s">
        <v>450</v>
      </c>
      <c r="B556" s="246" t="s">
        <v>369</v>
      </c>
      <c r="C556" s="246"/>
      <c r="D556" s="246"/>
      <c r="E556" s="246" t="s">
        <v>97</v>
      </c>
      <c r="F556" s="202" t="s">
        <v>330</v>
      </c>
      <c r="G556" s="271"/>
      <c r="H556" s="271"/>
      <c r="I556" s="271"/>
      <c r="J556" s="271"/>
      <c r="K556" s="271"/>
      <c r="L556" s="271"/>
      <c r="M556" s="271"/>
      <c r="N556" s="271"/>
      <c r="O556" s="271"/>
      <c r="P556" s="271"/>
      <c r="Q556" s="271"/>
      <c r="R556" s="5"/>
      <c r="S556" s="25"/>
      <c r="T556" s="5"/>
    </row>
    <row r="557" spans="1:20" s="3" customFormat="1" x14ac:dyDescent="0.25">
      <c r="A557" s="21" t="s">
        <v>450</v>
      </c>
      <c r="B557" s="246" t="s">
        <v>392</v>
      </c>
      <c r="C557" s="246"/>
      <c r="D557" s="246"/>
      <c r="E557" s="246" t="s">
        <v>321</v>
      </c>
      <c r="F557" s="202" t="s">
        <v>330</v>
      </c>
      <c r="G557" s="55"/>
      <c r="H557" s="55"/>
      <c r="I557" s="55"/>
      <c r="J557" s="55"/>
      <c r="K557" s="55"/>
      <c r="L557" s="55"/>
      <c r="M557" s="55"/>
      <c r="N557" s="55"/>
      <c r="O557" s="55"/>
      <c r="P557" s="55"/>
      <c r="Q557" s="55"/>
      <c r="R557" s="5"/>
      <c r="S557" s="25"/>
      <c r="T557" s="5"/>
    </row>
    <row r="558" spans="1:20" s="3" customFormat="1" x14ac:dyDescent="0.25">
      <c r="A558" s="21" t="s">
        <v>450</v>
      </c>
      <c r="B558" s="246" t="s">
        <v>394</v>
      </c>
      <c r="C558" s="246"/>
      <c r="D558" s="246"/>
      <c r="E558" s="246" t="s">
        <v>321</v>
      </c>
      <c r="F558" s="202" t="s">
        <v>330</v>
      </c>
      <c r="G558" s="55"/>
      <c r="H558" s="55"/>
      <c r="I558" s="55"/>
      <c r="J558" s="55"/>
      <c r="K558" s="55"/>
      <c r="L558" s="55"/>
      <c r="M558" s="55"/>
      <c r="N558" s="55"/>
      <c r="O558" s="55"/>
      <c r="P558" s="55"/>
      <c r="Q558" s="55"/>
      <c r="R558" s="5"/>
      <c r="S558" s="25"/>
      <c r="T558" s="5"/>
    </row>
    <row r="559" spans="1:20" s="3" customFormat="1" x14ac:dyDescent="0.25">
      <c r="A559" s="21" t="s">
        <v>450</v>
      </c>
      <c r="B559" s="246" t="s">
        <v>395</v>
      </c>
      <c r="C559" s="246"/>
      <c r="D559" s="246"/>
      <c r="E559" s="246"/>
      <c r="F559" s="202" t="s">
        <v>330</v>
      </c>
      <c r="G559" s="54"/>
      <c r="H559" s="54"/>
      <c r="I559" s="54"/>
      <c r="J559" s="54"/>
      <c r="K559" s="54"/>
      <c r="L559" s="54"/>
      <c r="M559" s="54"/>
      <c r="N559" s="54"/>
      <c r="O559" s="54"/>
      <c r="P559" s="54"/>
      <c r="Q559" s="54"/>
      <c r="R559" s="5"/>
      <c r="S559" s="25"/>
      <c r="T559" s="5"/>
    </row>
    <row r="560" spans="1:20" s="3" customFormat="1" x14ac:dyDescent="0.25">
      <c r="A560" s="21" t="s">
        <v>450</v>
      </c>
      <c r="B560" s="246" t="s">
        <v>396</v>
      </c>
      <c r="C560" s="246"/>
      <c r="D560" s="246"/>
      <c r="E560" s="246"/>
      <c r="F560" s="202" t="s">
        <v>330</v>
      </c>
      <c r="G560" s="54"/>
      <c r="H560" s="54"/>
      <c r="I560" s="54"/>
      <c r="J560" s="54"/>
      <c r="K560" s="54"/>
      <c r="L560" s="54"/>
      <c r="M560" s="54"/>
      <c r="N560" s="54"/>
      <c r="O560" s="54"/>
      <c r="P560" s="54"/>
      <c r="Q560" s="54"/>
      <c r="R560" s="5"/>
      <c r="S560" s="25"/>
      <c r="T560" s="5"/>
    </row>
    <row r="561" spans="1:20" s="3" customFormat="1" x14ac:dyDescent="0.25">
      <c r="A561" s="21" t="s">
        <v>450</v>
      </c>
      <c r="B561" s="246" t="s">
        <v>393</v>
      </c>
      <c r="C561" s="246"/>
      <c r="D561" s="246"/>
      <c r="E561" s="246" t="s">
        <v>322</v>
      </c>
      <c r="F561" s="202" t="s">
        <v>330</v>
      </c>
      <c r="G561" s="55"/>
      <c r="H561" s="55"/>
      <c r="I561" s="55"/>
      <c r="J561" s="55"/>
      <c r="K561" s="55"/>
      <c r="L561" s="55"/>
      <c r="M561" s="55"/>
      <c r="N561" s="55"/>
      <c r="O561" s="55"/>
      <c r="P561" s="55"/>
      <c r="Q561" s="55"/>
      <c r="R561" s="5"/>
      <c r="S561" s="25"/>
      <c r="T561" s="5"/>
    </row>
    <row r="562" spans="1:20" s="3" customFormat="1" x14ac:dyDescent="0.25">
      <c r="A562" s="21" t="s">
        <v>450</v>
      </c>
      <c r="B562" s="246" t="s">
        <v>397</v>
      </c>
      <c r="C562" s="246"/>
      <c r="D562" s="246"/>
      <c r="E562" s="246" t="s">
        <v>322</v>
      </c>
      <c r="F562" s="202" t="s">
        <v>330</v>
      </c>
      <c r="G562" s="55"/>
      <c r="H562" s="55"/>
      <c r="I562" s="55"/>
      <c r="J562" s="55"/>
      <c r="K562" s="55"/>
      <c r="L562" s="55"/>
      <c r="M562" s="55"/>
      <c r="N562" s="55"/>
      <c r="O562" s="55"/>
      <c r="P562" s="55"/>
      <c r="Q562" s="55"/>
      <c r="R562" s="5"/>
      <c r="S562" s="25"/>
      <c r="T562" s="5"/>
    </row>
    <row r="563" spans="1:20" s="3" customFormat="1" x14ac:dyDescent="0.25">
      <c r="A563" s="21" t="s">
        <v>450</v>
      </c>
      <c r="B563" s="246" t="s">
        <v>398</v>
      </c>
      <c r="C563" s="246"/>
      <c r="D563" s="246"/>
      <c r="E563" s="246"/>
      <c r="F563" s="202" t="s">
        <v>330</v>
      </c>
      <c r="G563" s="54"/>
      <c r="H563" s="54"/>
      <c r="I563" s="54"/>
      <c r="J563" s="54"/>
      <c r="K563" s="54"/>
      <c r="L563" s="54"/>
      <c r="M563" s="54"/>
      <c r="N563" s="54"/>
      <c r="O563" s="54"/>
      <c r="P563" s="54"/>
      <c r="Q563" s="54"/>
      <c r="R563" s="5"/>
      <c r="S563" s="25"/>
      <c r="T563" s="5"/>
    </row>
    <row r="564" spans="1:20" s="3" customFormat="1" x14ac:dyDescent="0.25">
      <c r="A564" s="21" t="s">
        <v>450</v>
      </c>
      <c r="B564" s="246" t="s">
        <v>399</v>
      </c>
      <c r="C564" s="246"/>
      <c r="D564" s="246"/>
      <c r="E564" s="246"/>
      <c r="F564" s="202" t="s">
        <v>330</v>
      </c>
      <c r="G564" s="54"/>
      <c r="H564" s="54"/>
      <c r="I564" s="54"/>
      <c r="J564" s="54"/>
      <c r="K564" s="54"/>
      <c r="L564" s="54"/>
      <c r="M564" s="54"/>
      <c r="N564" s="54"/>
      <c r="O564" s="54"/>
      <c r="P564" s="54"/>
      <c r="Q564" s="54"/>
      <c r="R564" s="5"/>
      <c r="S564" s="25"/>
      <c r="T564" s="5"/>
    </row>
    <row r="565" spans="1:20" s="3" customFormat="1" x14ac:dyDescent="0.25">
      <c r="A565" s="21" t="s">
        <v>450</v>
      </c>
      <c r="B565" s="246" t="s">
        <v>310</v>
      </c>
      <c r="C565" s="246"/>
      <c r="D565" s="246"/>
      <c r="E565" s="246" t="s">
        <v>322</v>
      </c>
      <c r="F565" s="202" t="s">
        <v>330</v>
      </c>
      <c r="G565" s="55">
        <v>12.217000000000001</v>
      </c>
      <c r="H565" s="262">
        <f t="shared" ref="H565:Q565" si="65">G565</f>
        <v>12.217000000000001</v>
      </c>
      <c r="I565" s="262">
        <f t="shared" si="65"/>
        <v>12.217000000000001</v>
      </c>
      <c r="J565" s="262">
        <f t="shared" si="65"/>
        <v>12.217000000000001</v>
      </c>
      <c r="K565" s="262">
        <f t="shared" si="65"/>
        <v>12.217000000000001</v>
      </c>
      <c r="L565" s="262">
        <f t="shared" si="65"/>
        <v>12.217000000000001</v>
      </c>
      <c r="M565" s="262">
        <f t="shared" si="65"/>
        <v>12.217000000000001</v>
      </c>
      <c r="N565" s="262">
        <f t="shared" si="65"/>
        <v>12.217000000000001</v>
      </c>
      <c r="O565" s="262">
        <f t="shared" si="65"/>
        <v>12.217000000000001</v>
      </c>
      <c r="P565" s="262">
        <f t="shared" si="65"/>
        <v>12.217000000000001</v>
      </c>
      <c r="Q565" s="262">
        <f t="shared" si="65"/>
        <v>12.217000000000001</v>
      </c>
      <c r="R565" s="5"/>
      <c r="S565" s="25"/>
      <c r="T565" s="5"/>
    </row>
    <row r="566" spans="1:20" s="3" customFormat="1" x14ac:dyDescent="0.25">
      <c r="A566" s="21" t="s">
        <v>450</v>
      </c>
      <c r="B566" s="246" t="s">
        <v>360</v>
      </c>
      <c r="C566" s="246"/>
      <c r="D566" s="246"/>
      <c r="E566" s="246" t="s">
        <v>321</v>
      </c>
      <c r="F566" s="202" t="s">
        <v>330</v>
      </c>
      <c r="G566" s="55"/>
      <c r="H566" s="55"/>
      <c r="I566" s="55"/>
      <c r="J566" s="55"/>
      <c r="K566" s="55"/>
      <c r="L566" s="55"/>
      <c r="M566" s="55"/>
      <c r="N566" s="55"/>
      <c r="O566" s="55"/>
      <c r="P566" s="55"/>
      <c r="Q566" s="55"/>
      <c r="R566" s="5"/>
      <c r="S566" s="25"/>
      <c r="T566" s="5"/>
    </row>
    <row r="567" spans="1:20" s="3" customFormat="1" x14ac:dyDescent="0.25">
      <c r="A567" s="21" t="s">
        <v>450</v>
      </c>
      <c r="B567" s="67" t="s">
        <v>306</v>
      </c>
      <c r="C567" s="25"/>
      <c r="D567" s="2" t="s">
        <v>475</v>
      </c>
      <c r="E567" s="67" t="s">
        <v>334</v>
      </c>
      <c r="F567" s="202" t="s">
        <v>330</v>
      </c>
      <c r="G567" s="54">
        <v>0.376</v>
      </c>
      <c r="H567" s="54">
        <v>0.376</v>
      </c>
      <c r="I567" s="54">
        <v>0.376</v>
      </c>
      <c r="J567" s="54">
        <v>0.376</v>
      </c>
      <c r="K567" s="54">
        <v>0.376</v>
      </c>
      <c r="L567" s="54">
        <v>0.376</v>
      </c>
      <c r="M567" s="54">
        <v>0.376</v>
      </c>
      <c r="N567" s="54">
        <v>0.376</v>
      </c>
      <c r="O567" s="54">
        <v>0.376</v>
      </c>
      <c r="P567" s="54">
        <v>0.376</v>
      </c>
      <c r="Q567" s="54">
        <v>0.376</v>
      </c>
      <c r="R567" s="5"/>
      <c r="S567" s="25"/>
      <c r="T567" s="5"/>
    </row>
    <row r="568" spans="1:20" s="3" customFormat="1" x14ac:dyDescent="0.25">
      <c r="A568" s="21" t="s">
        <v>450</v>
      </c>
      <c r="B568" s="67" t="s">
        <v>51</v>
      </c>
      <c r="C568" s="25"/>
      <c r="D568" s="2"/>
      <c r="E568" s="2"/>
      <c r="F568" s="202" t="s">
        <v>331</v>
      </c>
      <c r="G568" s="4"/>
      <c r="H568" s="4"/>
      <c r="I568" s="4"/>
      <c r="J568" s="4"/>
      <c r="K568" s="4"/>
      <c r="L568" s="4"/>
      <c r="M568" s="4"/>
      <c r="N568" s="4"/>
      <c r="O568" s="4"/>
      <c r="P568" s="4"/>
      <c r="Q568" s="4"/>
      <c r="R568" s="5"/>
      <c r="S568" s="25"/>
      <c r="T568" s="5"/>
    </row>
    <row r="569" spans="1:20" s="3" customFormat="1" x14ac:dyDescent="0.25">
      <c r="A569" s="21" t="s">
        <v>450</v>
      </c>
      <c r="B569" s="246" t="s">
        <v>38</v>
      </c>
      <c r="C569" s="246"/>
      <c r="D569" s="246"/>
      <c r="E569" s="246" t="s">
        <v>40</v>
      </c>
      <c r="F569" s="202" t="s">
        <v>331</v>
      </c>
      <c r="G569" s="277">
        <v>1990</v>
      </c>
      <c r="H569" s="278">
        <f t="shared" ref="H569:Q571" si="66">G569</f>
        <v>1990</v>
      </c>
      <c r="I569" s="278">
        <f t="shared" si="66"/>
        <v>1990</v>
      </c>
      <c r="J569" s="278">
        <f t="shared" si="66"/>
        <v>1990</v>
      </c>
      <c r="K569" s="278">
        <f t="shared" si="66"/>
        <v>1990</v>
      </c>
      <c r="L569" s="278">
        <f t="shared" si="66"/>
        <v>1990</v>
      </c>
      <c r="M569" s="278">
        <f t="shared" si="66"/>
        <v>1990</v>
      </c>
      <c r="N569" s="278">
        <f t="shared" si="66"/>
        <v>1990</v>
      </c>
      <c r="O569" s="278">
        <f t="shared" si="66"/>
        <v>1990</v>
      </c>
      <c r="P569" s="278">
        <f t="shared" si="66"/>
        <v>1990</v>
      </c>
      <c r="Q569" s="278">
        <f t="shared" si="66"/>
        <v>1990</v>
      </c>
      <c r="R569" s="5"/>
      <c r="S569" s="25"/>
      <c r="T569" s="5"/>
    </row>
    <row r="570" spans="1:20" s="3" customFormat="1" x14ac:dyDescent="0.25">
      <c r="A570" s="21" t="s">
        <v>450</v>
      </c>
      <c r="B570" s="246" t="s">
        <v>37</v>
      </c>
      <c r="C570" s="246"/>
      <c r="D570" s="246"/>
      <c r="E570" s="246" t="s">
        <v>40</v>
      </c>
      <c r="F570" s="202" t="s">
        <v>331</v>
      </c>
      <c r="G570" s="277">
        <v>2000</v>
      </c>
      <c r="H570" s="278">
        <f t="shared" si="66"/>
        <v>2000</v>
      </c>
      <c r="I570" s="278">
        <f t="shared" si="66"/>
        <v>2000</v>
      </c>
      <c r="J570" s="278">
        <f t="shared" si="66"/>
        <v>2000</v>
      </c>
      <c r="K570" s="278">
        <f t="shared" si="66"/>
        <v>2000</v>
      </c>
      <c r="L570" s="278">
        <f t="shared" si="66"/>
        <v>2000</v>
      </c>
      <c r="M570" s="278">
        <f t="shared" si="66"/>
        <v>2000</v>
      </c>
      <c r="N570" s="278">
        <f t="shared" si="66"/>
        <v>2000</v>
      </c>
      <c r="O570" s="278">
        <f t="shared" si="66"/>
        <v>2000</v>
      </c>
      <c r="P570" s="278">
        <f t="shared" si="66"/>
        <v>2000</v>
      </c>
      <c r="Q570" s="278">
        <f t="shared" si="66"/>
        <v>2000</v>
      </c>
      <c r="R570" s="5"/>
      <c r="S570" s="25"/>
      <c r="T570" s="5"/>
    </row>
    <row r="571" spans="1:20" s="3" customFormat="1" x14ac:dyDescent="0.25">
      <c r="A571" s="21" t="s">
        <v>450</v>
      </c>
      <c r="B571" s="246" t="s">
        <v>39</v>
      </c>
      <c r="C571" s="246"/>
      <c r="D571" s="246"/>
      <c r="E571" s="246" t="s">
        <v>10</v>
      </c>
      <c r="F571" s="202" t="s">
        <v>331</v>
      </c>
      <c r="G571" s="55">
        <v>9</v>
      </c>
      <c r="H571" s="262">
        <f t="shared" si="66"/>
        <v>9</v>
      </c>
      <c r="I571" s="262">
        <f t="shared" si="66"/>
        <v>9</v>
      </c>
      <c r="J571" s="262">
        <f t="shared" si="66"/>
        <v>9</v>
      </c>
      <c r="K571" s="262">
        <f t="shared" si="66"/>
        <v>9</v>
      </c>
      <c r="L571" s="262">
        <f t="shared" si="66"/>
        <v>9</v>
      </c>
      <c r="M571" s="262">
        <f t="shared" si="66"/>
        <v>9</v>
      </c>
      <c r="N571" s="262">
        <f t="shared" si="66"/>
        <v>9</v>
      </c>
      <c r="O571" s="262">
        <f t="shared" si="66"/>
        <v>9</v>
      </c>
      <c r="P571" s="262">
        <f t="shared" si="66"/>
        <v>9</v>
      </c>
      <c r="Q571" s="262">
        <f t="shared" si="66"/>
        <v>9</v>
      </c>
      <c r="R571" s="5"/>
      <c r="S571" s="25"/>
      <c r="T571" s="5"/>
    </row>
    <row r="572" spans="1:20" s="3" customFormat="1" x14ac:dyDescent="0.25">
      <c r="A572" s="21" t="s">
        <v>450</v>
      </c>
      <c r="B572" s="246" t="s">
        <v>361</v>
      </c>
      <c r="C572" s="246"/>
      <c r="D572" s="246"/>
      <c r="E572" s="246" t="s">
        <v>10</v>
      </c>
      <c r="F572" s="202" t="s">
        <v>331</v>
      </c>
      <c r="G572" s="55"/>
      <c r="H572" s="55"/>
      <c r="I572" s="55"/>
      <c r="J572" s="55"/>
      <c r="K572" s="55"/>
      <c r="L572" s="55"/>
      <c r="M572" s="55"/>
      <c r="N572" s="55"/>
      <c r="O572" s="55"/>
      <c r="P572" s="55"/>
      <c r="Q572" s="55"/>
      <c r="R572" s="5"/>
      <c r="S572" s="25"/>
      <c r="T572" s="5"/>
    </row>
    <row r="573" spans="1:20" s="3" customFormat="1" x14ac:dyDescent="0.25">
      <c r="A573" s="21" t="s">
        <v>450</v>
      </c>
      <c r="B573" s="246" t="s">
        <v>309</v>
      </c>
      <c r="C573" s="246"/>
      <c r="D573" s="246"/>
      <c r="E573" s="246" t="s">
        <v>97</v>
      </c>
      <c r="F573" s="202" t="s">
        <v>331</v>
      </c>
      <c r="G573" s="271">
        <v>0.3</v>
      </c>
      <c r="H573" s="274">
        <f t="shared" ref="H573:Q573" si="67">G573</f>
        <v>0.3</v>
      </c>
      <c r="I573" s="274">
        <f t="shared" si="67"/>
        <v>0.3</v>
      </c>
      <c r="J573" s="274">
        <f t="shared" si="67"/>
        <v>0.3</v>
      </c>
      <c r="K573" s="274">
        <f t="shared" si="67"/>
        <v>0.3</v>
      </c>
      <c r="L573" s="274">
        <f t="shared" si="67"/>
        <v>0.3</v>
      </c>
      <c r="M573" s="274">
        <f t="shared" si="67"/>
        <v>0.3</v>
      </c>
      <c r="N573" s="274">
        <f t="shared" si="67"/>
        <v>0.3</v>
      </c>
      <c r="O573" s="274">
        <f t="shared" si="67"/>
        <v>0.3</v>
      </c>
      <c r="P573" s="274">
        <f t="shared" si="67"/>
        <v>0.3</v>
      </c>
      <c r="Q573" s="274">
        <f t="shared" si="67"/>
        <v>0.3</v>
      </c>
      <c r="R573" s="5"/>
      <c r="S573" s="25"/>
      <c r="T573" s="5"/>
    </row>
    <row r="574" spans="1:20" s="3" customFormat="1" x14ac:dyDescent="0.25">
      <c r="A574" s="21" t="s">
        <v>450</v>
      </c>
      <c r="B574" s="246" t="s">
        <v>358</v>
      </c>
      <c r="C574" s="246"/>
      <c r="D574" s="246"/>
      <c r="E574" s="246" t="s">
        <v>97</v>
      </c>
      <c r="F574" s="202" t="s">
        <v>331</v>
      </c>
      <c r="G574" s="271"/>
      <c r="H574" s="271"/>
      <c r="I574" s="271"/>
      <c r="J574" s="271"/>
      <c r="K574" s="271"/>
      <c r="L574" s="271"/>
      <c r="M574" s="271"/>
      <c r="N574" s="271"/>
      <c r="O574" s="271"/>
      <c r="P574" s="271"/>
      <c r="Q574" s="271"/>
      <c r="R574" s="5"/>
      <c r="S574" s="25"/>
      <c r="T574" s="5"/>
    </row>
    <row r="575" spans="1:20" s="3" customFormat="1" x14ac:dyDescent="0.25">
      <c r="A575" s="21" t="s">
        <v>450</v>
      </c>
      <c r="B575" s="246" t="s">
        <v>357</v>
      </c>
      <c r="C575" s="246"/>
      <c r="D575" s="246"/>
      <c r="E575" s="246" t="s">
        <v>97</v>
      </c>
      <c r="F575" s="202" t="s">
        <v>331</v>
      </c>
      <c r="G575" s="271"/>
      <c r="H575" s="271"/>
      <c r="I575" s="271"/>
      <c r="J575" s="271"/>
      <c r="K575" s="271"/>
      <c r="L575" s="271"/>
      <c r="M575" s="271"/>
      <c r="N575" s="271"/>
      <c r="O575" s="271"/>
      <c r="P575" s="271"/>
      <c r="Q575" s="271"/>
      <c r="R575" s="5"/>
      <c r="S575" s="25"/>
      <c r="T575" s="5"/>
    </row>
    <row r="576" spans="1:20" s="3" customFormat="1" x14ac:dyDescent="0.25">
      <c r="A576" s="21" t="s">
        <v>450</v>
      </c>
      <c r="B576" s="246" t="s">
        <v>75</v>
      </c>
      <c r="C576" s="246"/>
      <c r="D576" s="246"/>
      <c r="E576" s="246" t="s">
        <v>97</v>
      </c>
      <c r="F576" s="202" t="s">
        <v>331</v>
      </c>
      <c r="G576" s="271">
        <v>0.05</v>
      </c>
      <c r="H576" s="271"/>
      <c r="I576" s="271"/>
      <c r="J576" s="271"/>
      <c r="K576" s="271"/>
      <c r="L576" s="271"/>
      <c r="M576" s="271"/>
      <c r="N576" s="271"/>
      <c r="O576" s="271"/>
      <c r="P576" s="271"/>
      <c r="Q576" s="271"/>
      <c r="R576" s="5"/>
      <c r="S576" s="25"/>
      <c r="T576" s="5"/>
    </row>
    <row r="577" spans="1:20" s="3" customFormat="1" x14ac:dyDescent="0.25">
      <c r="A577" s="21" t="s">
        <v>450</v>
      </c>
      <c r="B577" s="68" t="s">
        <v>148</v>
      </c>
      <c r="C577" s="68"/>
      <c r="D577" s="251"/>
      <c r="E577" s="68" t="s">
        <v>97</v>
      </c>
      <c r="F577" s="202" t="s">
        <v>331</v>
      </c>
      <c r="G577" s="271"/>
      <c r="H577" s="271"/>
      <c r="I577" s="271"/>
      <c r="J577" s="271"/>
      <c r="K577" s="271"/>
      <c r="L577" s="271"/>
      <c r="M577" s="271"/>
      <c r="N577" s="271"/>
      <c r="O577" s="271"/>
      <c r="P577" s="271"/>
      <c r="Q577" s="271"/>
      <c r="R577" s="5"/>
      <c r="S577" s="25"/>
      <c r="T577" s="5"/>
    </row>
    <row r="578" spans="1:20" s="3" customFormat="1" x14ac:dyDescent="0.25">
      <c r="A578" s="21" t="s">
        <v>450</v>
      </c>
      <c r="B578" s="68" t="s">
        <v>149</v>
      </c>
      <c r="C578" s="68"/>
      <c r="D578" s="251"/>
      <c r="E578" s="68" t="s">
        <v>97</v>
      </c>
      <c r="F578" s="202" t="s">
        <v>331</v>
      </c>
      <c r="G578" s="271"/>
      <c r="H578" s="271"/>
      <c r="I578" s="271"/>
      <c r="J578" s="271"/>
      <c r="K578" s="271"/>
      <c r="L578" s="271"/>
      <c r="M578" s="271"/>
      <c r="N578" s="271"/>
      <c r="O578" s="271"/>
      <c r="P578" s="271"/>
      <c r="Q578" s="271"/>
      <c r="R578" s="5"/>
      <c r="S578" s="25"/>
      <c r="T578" s="5"/>
    </row>
    <row r="579" spans="1:20" s="3" customFormat="1" x14ac:dyDescent="0.25">
      <c r="A579" s="21" t="s">
        <v>450</v>
      </c>
      <c r="B579" s="68" t="s">
        <v>370</v>
      </c>
      <c r="C579" s="68"/>
      <c r="D579" s="251"/>
      <c r="E579" s="68" t="s">
        <v>97</v>
      </c>
      <c r="F579" s="202" t="s">
        <v>331</v>
      </c>
      <c r="G579" s="271"/>
      <c r="H579" s="271"/>
      <c r="I579" s="271"/>
      <c r="J579" s="271"/>
      <c r="K579" s="271"/>
      <c r="L579" s="271"/>
      <c r="M579" s="271"/>
      <c r="N579" s="271"/>
      <c r="O579" s="271"/>
      <c r="P579" s="271"/>
      <c r="Q579" s="271"/>
      <c r="R579" s="5"/>
      <c r="S579" s="25"/>
      <c r="T579" s="5"/>
    </row>
    <row r="580" spans="1:20" s="3" customFormat="1" x14ac:dyDescent="0.25">
      <c r="A580" s="21" t="s">
        <v>450</v>
      </c>
      <c r="B580" s="68" t="s">
        <v>371</v>
      </c>
      <c r="C580" s="68"/>
      <c r="D580" s="251"/>
      <c r="E580" s="68" t="s">
        <v>97</v>
      </c>
      <c r="F580" s="202" t="s">
        <v>331</v>
      </c>
      <c r="G580" s="271"/>
      <c r="H580" s="271"/>
      <c r="I580" s="271"/>
      <c r="J580" s="271"/>
      <c r="K580" s="271"/>
      <c r="L580" s="271"/>
      <c r="M580" s="271"/>
      <c r="N580" s="271"/>
      <c r="O580" s="271"/>
      <c r="P580" s="271"/>
      <c r="Q580" s="271"/>
      <c r="R580" s="5"/>
      <c r="S580" s="25"/>
      <c r="T580" s="5"/>
    </row>
    <row r="581" spans="1:20" s="3" customFormat="1" x14ac:dyDescent="0.25">
      <c r="A581" s="21" t="s">
        <v>450</v>
      </c>
      <c r="B581" s="246" t="s">
        <v>338</v>
      </c>
      <c r="C581" s="246"/>
      <c r="D581" s="246"/>
      <c r="E581" s="246" t="s">
        <v>34</v>
      </c>
      <c r="F581" s="202" t="s">
        <v>331</v>
      </c>
      <c r="G581" s="55">
        <v>642.4</v>
      </c>
      <c r="H581" s="262">
        <f t="shared" ref="H581:Q582" si="68">G581</f>
        <v>642.4</v>
      </c>
      <c r="I581" s="262">
        <f t="shared" si="68"/>
        <v>642.4</v>
      </c>
      <c r="J581" s="262">
        <f t="shared" si="68"/>
        <v>642.4</v>
      </c>
      <c r="K581" s="262">
        <f t="shared" si="68"/>
        <v>642.4</v>
      </c>
      <c r="L581" s="262">
        <f t="shared" si="68"/>
        <v>642.4</v>
      </c>
      <c r="M581" s="262">
        <f t="shared" si="68"/>
        <v>642.4</v>
      </c>
      <c r="N581" s="262">
        <f t="shared" si="68"/>
        <v>642.4</v>
      </c>
      <c r="O581" s="262">
        <f t="shared" si="68"/>
        <v>642.4</v>
      </c>
      <c r="P581" s="262">
        <f t="shared" si="68"/>
        <v>642.4</v>
      </c>
      <c r="Q581" s="262">
        <f t="shared" si="68"/>
        <v>642.4</v>
      </c>
      <c r="R581" s="5"/>
      <c r="S581" s="25"/>
      <c r="T581" s="5"/>
    </row>
    <row r="582" spans="1:20" s="3" customFormat="1" x14ac:dyDescent="0.25">
      <c r="A582" s="21" t="s">
        <v>450</v>
      </c>
      <c r="B582" s="246" t="s">
        <v>152</v>
      </c>
      <c r="C582" s="246"/>
      <c r="D582" s="246"/>
      <c r="E582" s="246" t="s">
        <v>321</v>
      </c>
      <c r="F582" s="202" t="s">
        <v>331</v>
      </c>
      <c r="G582" s="55">
        <v>2647.9160000000002</v>
      </c>
      <c r="H582" s="262">
        <f t="shared" si="68"/>
        <v>2647.9160000000002</v>
      </c>
      <c r="I582" s="262">
        <f t="shared" si="68"/>
        <v>2647.9160000000002</v>
      </c>
      <c r="J582" s="262">
        <f t="shared" si="68"/>
        <v>2647.9160000000002</v>
      </c>
      <c r="K582" s="262">
        <f t="shared" si="68"/>
        <v>2647.9160000000002</v>
      </c>
      <c r="L582" s="262">
        <f t="shared" si="68"/>
        <v>2647.9160000000002</v>
      </c>
      <c r="M582" s="262">
        <f t="shared" si="68"/>
        <v>2647.9160000000002</v>
      </c>
      <c r="N582" s="262">
        <f t="shared" si="68"/>
        <v>2647.9160000000002</v>
      </c>
      <c r="O582" s="262">
        <f t="shared" si="68"/>
        <v>2647.9160000000002</v>
      </c>
      <c r="P582" s="262">
        <f t="shared" si="68"/>
        <v>2647.9160000000002</v>
      </c>
      <c r="Q582" s="262">
        <f t="shared" si="68"/>
        <v>2647.9160000000002</v>
      </c>
      <c r="R582" s="5"/>
      <c r="S582" s="25"/>
      <c r="T582" s="5"/>
    </row>
    <row r="583" spans="1:20" s="3" customFormat="1" x14ac:dyDescent="0.25">
      <c r="A583" s="21" t="s">
        <v>450</v>
      </c>
      <c r="B583" s="246" t="s">
        <v>383</v>
      </c>
      <c r="C583" s="246"/>
      <c r="D583" s="246"/>
      <c r="E583" s="246" t="s">
        <v>97</v>
      </c>
      <c r="F583" s="202" t="s">
        <v>331</v>
      </c>
      <c r="G583" s="271"/>
      <c r="H583" s="271"/>
      <c r="I583" s="271"/>
      <c r="J583" s="271"/>
      <c r="K583" s="271"/>
      <c r="L583" s="271"/>
      <c r="M583" s="271"/>
      <c r="N583" s="271"/>
      <c r="O583" s="271"/>
      <c r="P583" s="271"/>
      <c r="Q583" s="271"/>
      <c r="R583" s="5"/>
      <c r="S583" s="25"/>
      <c r="T583" s="5"/>
    </row>
    <row r="584" spans="1:20" s="3" customFormat="1" x14ac:dyDescent="0.25">
      <c r="A584" s="21" t="s">
        <v>450</v>
      </c>
      <c r="B584" s="246" t="s">
        <v>446</v>
      </c>
      <c r="C584" s="246"/>
      <c r="D584" s="246"/>
      <c r="E584" s="246" t="s">
        <v>34</v>
      </c>
      <c r="F584" s="202" t="s">
        <v>331</v>
      </c>
      <c r="G584" s="55"/>
      <c r="H584" s="55"/>
      <c r="I584" s="55"/>
      <c r="J584" s="55"/>
      <c r="K584" s="55"/>
      <c r="L584" s="55"/>
      <c r="M584" s="55"/>
      <c r="N584" s="55"/>
      <c r="O584" s="55"/>
      <c r="P584" s="55"/>
      <c r="Q584" s="55"/>
      <c r="R584" s="5"/>
      <c r="S584" s="25"/>
      <c r="T584" s="5"/>
    </row>
    <row r="585" spans="1:20" s="3" customFormat="1" x14ac:dyDescent="0.25">
      <c r="A585" s="21" t="s">
        <v>450</v>
      </c>
      <c r="B585" s="246" t="s">
        <v>387</v>
      </c>
      <c r="C585" s="246"/>
      <c r="D585" s="246"/>
      <c r="E585" s="246"/>
      <c r="F585" s="202" t="s">
        <v>331</v>
      </c>
      <c r="G585" s="54"/>
      <c r="H585" s="54"/>
      <c r="I585" s="54"/>
      <c r="J585" s="54"/>
      <c r="K585" s="54"/>
      <c r="L585" s="54"/>
      <c r="M585" s="54"/>
      <c r="N585" s="54"/>
      <c r="O585" s="54"/>
      <c r="P585" s="54"/>
      <c r="Q585" s="54"/>
      <c r="R585" s="5"/>
      <c r="S585" s="25"/>
      <c r="T585" s="5"/>
    </row>
    <row r="586" spans="1:20" s="3" customFormat="1" x14ac:dyDescent="0.25">
      <c r="A586" s="21" t="s">
        <v>450</v>
      </c>
      <c r="B586" s="246" t="s">
        <v>369</v>
      </c>
      <c r="C586" s="246"/>
      <c r="D586" s="246"/>
      <c r="E586" s="246" t="s">
        <v>97</v>
      </c>
      <c r="F586" s="202" t="s">
        <v>331</v>
      </c>
      <c r="G586" s="271"/>
      <c r="H586" s="271"/>
      <c r="I586" s="271"/>
      <c r="J586" s="271"/>
      <c r="K586" s="271"/>
      <c r="L586" s="271"/>
      <c r="M586" s="271"/>
      <c r="N586" s="271"/>
      <c r="O586" s="271"/>
      <c r="P586" s="271"/>
      <c r="Q586" s="271"/>
      <c r="R586" s="5"/>
      <c r="S586" s="25"/>
      <c r="T586" s="5"/>
    </row>
    <row r="587" spans="1:20" s="3" customFormat="1" x14ac:dyDescent="0.25">
      <c r="A587" s="21" t="s">
        <v>450</v>
      </c>
      <c r="B587" s="246" t="s">
        <v>392</v>
      </c>
      <c r="C587" s="246"/>
      <c r="D587" s="246"/>
      <c r="E587" s="246" t="s">
        <v>321</v>
      </c>
      <c r="F587" s="202" t="s">
        <v>331</v>
      </c>
      <c r="G587" s="55">
        <v>1221.6890000000001</v>
      </c>
      <c r="H587" s="262">
        <f t="shared" ref="H587:Q587" si="69">G587</f>
        <v>1221.6890000000001</v>
      </c>
      <c r="I587" s="262">
        <f t="shared" si="69"/>
        <v>1221.6890000000001</v>
      </c>
      <c r="J587" s="262">
        <f t="shared" si="69"/>
        <v>1221.6890000000001</v>
      </c>
      <c r="K587" s="262">
        <f t="shared" si="69"/>
        <v>1221.6890000000001</v>
      </c>
      <c r="L587" s="262">
        <f t="shared" si="69"/>
        <v>1221.6890000000001</v>
      </c>
      <c r="M587" s="262">
        <f t="shared" si="69"/>
        <v>1221.6890000000001</v>
      </c>
      <c r="N587" s="262">
        <f t="shared" si="69"/>
        <v>1221.6890000000001</v>
      </c>
      <c r="O587" s="262">
        <f t="shared" si="69"/>
        <v>1221.6890000000001</v>
      </c>
      <c r="P587" s="262">
        <f t="shared" si="69"/>
        <v>1221.6890000000001</v>
      </c>
      <c r="Q587" s="262">
        <f t="shared" si="69"/>
        <v>1221.6890000000001</v>
      </c>
      <c r="R587" s="5"/>
      <c r="S587" s="25"/>
      <c r="T587" s="5"/>
    </row>
    <row r="588" spans="1:20" s="3" customFormat="1" x14ac:dyDescent="0.25">
      <c r="A588" s="21" t="s">
        <v>450</v>
      </c>
      <c r="B588" s="246" t="s">
        <v>394</v>
      </c>
      <c r="C588" s="246"/>
      <c r="D588" s="246"/>
      <c r="E588" s="246" t="s">
        <v>321</v>
      </c>
      <c r="F588" s="202" t="s">
        <v>331</v>
      </c>
      <c r="G588" s="55"/>
      <c r="H588" s="55"/>
      <c r="I588" s="55"/>
      <c r="J588" s="55"/>
      <c r="K588" s="55"/>
      <c r="L588" s="55"/>
      <c r="M588" s="55"/>
      <c r="N588" s="55"/>
      <c r="O588" s="55"/>
      <c r="P588" s="55"/>
      <c r="Q588" s="55"/>
      <c r="R588" s="5"/>
      <c r="S588" s="25"/>
      <c r="T588" s="5"/>
    </row>
    <row r="589" spans="1:20" s="3" customFormat="1" x14ac:dyDescent="0.25">
      <c r="A589" s="21" t="s">
        <v>450</v>
      </c>
      <c r="B589" s="246" t="s">
        <v>395</v>
      </c>
      <c r="C589" s="246"/>
      <c r="D589" s="246"/>
      <c r="E589" s="246"/>
      <c r="F589" s="202" t="s">
        <v>331</v>
      </c>
      <c r="G589" s="54"/>
      <c r="H589" s="54"/>
      <c r="I589" s="54"/>
      <c r="J589" s="54"/>
      <c r="K589" s="54"/>
      <c r="L589" s="54"/>
      <c r="M589" s="54"/>
      <c r="N589" s="54"/>
      <c r="O589" s="54"/>
      <c r="P589" s="54"/>
      <c r="Q589" s="54"/>
      <c r="R589" s="5"/>
      <c r="S589" s="25"/>
      <c r="T589" s="5"/>
    </row>
    <row r="590" spans="1:20" s="3" customFormat="1" x14ac:dyDescent="0.25">
      <c r="A590" s="21" t="s">
        <v>450</v>
      </c>
      <c r="B590" s="246" t="s">
        <v>396</v>
      </c>
      <c r="C590" s="246"/>
      <c r="D590" s="246"/>
      <c r="E590" s="246"/>
      <c r="F590" s="202" t="s">
        <v>331</v>
      </c>
      <c r="G590" s="54"/>
      <c r="H590" s="54"/>
      <c r="I590" s="54"/>
      <c r="J590" s="54"/>
      <c r="K590" s="54"/>
      <c r="L590" s="54"/>
      <c r="M590" s="54"/>
      <c r="N590" s="54"/>
      <c r="O590" s="54"/>
      <c r="P590" s="54"/>
      <c r="Q590" s="54"/>
      <c r="R590" s="5"/>
      <c r="S590" s="25"/>
      <c r="T590" s="5"/>
    </row>
    <row r="591" spans="1:20" s="3" customFormat="1" x14ac:dyDescent="0.25">
      <c r="A591" s="21" t="s">
        <v>450</v>
      </c>
      <c r="B591" s="246" t="s">
        <v>393</v>
      </c>
      <c r="C591" s="246"/>
      <c r="D591" s="246"/>
      <c r="E591" s="246" t="s">
        <v>322</v>
      </c>
      <c r="F591" s="202" t="s">
        <v>331</v>
      </c>
      <c r="G591" s="55"/>
      <c r="H591" s="55"/>
      <c r="I591" s="55"/>
      <c r="J591" s="55"/>
      <c r="K591" s="55"/>
      <c r="L591" s="55"/>
      <c r="M591" s="55"/>
      <c r="N591" s="55"/>
      <c r="O591" s="55"/>
      <c r="P591" s="55"/>
      <c r="Q591" s="55"/>
      <c r="R591" s="5"/>
      <c r="S591" s="25"/>
      <c r="T591" s="5"/>
    </row>
    <row r="592" spans="1:20" s="3" customFormat="1" x14ac:dyDescent="0.25">
      <c r="A592" s="21" t="s">
        <v>450</v>
      </c>
      <c r="B592" s="246" t="s">
        <v>397</v>
      </c>
      <c r="C592" s="246"/>
      <c r="D592" s="246"/>
      <c r="E592" s="246" t="s">
        <v>322</v>
      </c>
      <c r="F592" s="202" t="s">
        <v>331</v>
      </c>
      <c r="G592" s="55"/>
      <c r="H592" s="55"/>
      <c r="I592" s="55"/>
      <c r="J592" s="55"/>
      <c r="K592" s="55"/>
      <c r="L592" s="55"/>
      <c r="M592" s="55"/>
      <c r="N592" s="55"/>
      <c r="O592" s="55"/>
      <c r="P592" s="55"/>
      <c r="Q592" s="55"/>
      <c r="R592" s="5"/>
      <c r="S592" s="25"/>
      <c r="T592" s="5"/>
    </row>
    <row r="593" spans="1:20" s="3" customFormat="1" x14ac:dyDescent="0.25">
      <c r="A593" s="21" t="s">
        <v>450</v>
      </c>
      <c r="B593" s="246" t="s">
        <v>398</v>
      </c>
      <c r="C593" s="246"/>
      <c r="D593" s="246"/>
      <c r="E593" s="246"/>
      <c r="F593" s="202" t="s">
        <v>331</v>
      </c>
      <c r="G593" s="54"/>
      <c r="H593" s="54"/>
      <c r="I593" s="54"/>
      <c r="J593" s="54"/>
      <c r="K593" s="54"/>
      <c r="L593" s="54"/>
      <c r="M593" s="54"/>
      <c r="N593" s="54"/>
      <c r="O593" s="54"/>
      <c r="P593" s="54"/>
      <c r="Q593" s="54"/>
      <c r="R593" s="5"/>
      <c r="S593" s="25"/>
      <c r="T593" s="5"/>
    </row>
    <row r="594" spans="1:20" s="3" customFormat="1" x14ac:dyDescent="0.25">
      <c r="A594" s="21" t="s">
        <v>450</v>
      </c>
      <c r="B594" s="246" t="s">
        <v>399</v>
      </c>
      <c r="C594" s="246"/>
      <c r="D594" s="246"/>
      <c r="E594" s="246"/>
      <c r="F594" s="202" t="s">
        <v>331</v>
      </c>
      <c r="G594" s="54"/>
      <c r="H594" s="54"/>
      <c r="I594" s="54"/>
      <c r="J594" s="54"/>
      <c r="K594" s="54"/>
      <c r="L594" s="54"/>
      <c r="M594" s="54"/>
      <c r="N594" s="54"/>
      <c r="O594" s="54"/>
      <c r="P594" s="54"/>
      <c r="Q594" s="54"/>
      <c r="R594" s="5"/>
      <c r="S594" s="25"/>
      <c r="T594" s="5"/>
    </row>
    <row r="595" spans="1:20" s="3" customFormat="1" x14ac:dyDescent="0.25">
      <c r="A595" s="21" t="s">
        <v>450</v>
      </c>
      <c r="B595" s="246" t="s">
        <v>310</v>
      </c>
      <c r="C595" s="246"/>
      <c r="D595" s="246"/>
      <c r="E595" s="246" t="s">
        <v>322</v>
      </c>
      <c r="F595" s="202" t="s">
        <v>331</v>
      </c>
      <c r="G595" s="55">
        <v>12.217000000000001</v>
      </c>
      <c r="H595" s="262">
        <f t="shared" ref="H595:Q595" si="70">G595</f>
        <v>12.217000000000001</v>
      </c>
      <c r="I595" s="262">
        <f t="shared" si="70"/>
        <v>12.217000000000001</v>
      </c>
      <c r="J595" s="262">
        <f t="shared" si="70"/>
        <v>12.217000000000001</v>
      </c>
      <c r="K595" s="262">
        <f t="shared" si="70"/>
        <v>12.217000000000001</v>
      </c>
      <c r="L595" s="262">
        <f t="shared" si="70"/>
        <v>12.217000000000001</v>
      </c>
      <c r="M595" s="262">
        <f t="shared" si="70"/>
        <v>12.217000000000001</v>
      </c>
      <c r="N595" s="262">
        <f t="shared" si="70"/>
        <v>12.217000000000001</v>
      </c>
      <c r="O595" s="262">
        <f t="shared" si="70"/>
        <v>12.217000000000001</v>
      </c>
      <c r="P595" s="262">
        <f t="shared" si="70"/>
        <v>12.217000000000001</v>
      </c>
      <c r="Q595" s="262">
        <f t="shared" si="70"/>
        <v>12.217000000000001</v>
      </c>
      <c r="R595" s="5"/>
      <c r="S595" s="25"/>
      <c r="T595" s="5"/>
    </row>
    <row r="596" spans="1:20" s="3" customFormat="1" x14ac:dyDescent="0.25">
      <c r="A596" s="21" t="s">
        <v>450</v>
      </c>
      <c r="B596" s="246" t="s">
        <v>360</v>
      </c>
      <c r="C596" s="246"/>
      <c r="D596" s="246"/>
      <c r="E596" s="246" t="s">
        <v>321</v>
      </c>
      <c r="F596" s="202" t="s">
        <v>331</v>
      </c>
      <c r="G596" s="55"/>
      <c r="H596" s="55"/>
      <c r="I596" s="55"/>
      <c r="J596" s="55"/>
      <c r="K596" s="55"/>
      <c r="L596" s="55"/>
      <c r="M596" s="55"/>
      <c r="N596" s="55"/>
      <c r="O596" s="55"/>
      <c r="P596" s="55"/>
      <c r="Q596" s="55"/>
      <c r="R596" s="5"/>
      <c r="S596" s="25"/>
      <c r="T596" s="5"/>
    </row>
    <row r="597" spans="1:20" s="3" customFormat="1" x14ac:dyDescent="0.25">
      <c r="A597" s="21" t="s">
        <v>450</v>
      </c>
      <c r="B597" s="67" t="s">
        <v>306</v>
      </c>
      <c r="C597" s="25"/>
      <c r="D597" s="2" t="s">
        <v>469</v>
      </c>
      <c r="E597" s="67" t="s">
        <v>334</v>
      </c>
      <c r="F597" s="202" t="s">
        <v>331</v>
      </c>
      <c r="G597" s="54">
        <v>0.23</v>
      </c>
      <c r="H597" s="54">
        <v>0.23</v>
      </c>
      <c r="I597" s="54">
        <v>0.23</v>
      </c>
      <c r="J597" s="54">
        <v>0.23</v>
      </c>
      <c r="K597" s="54">
        <v>0.23</v>
      </c>
      <c r="L597" s="54">
        <v>0.23</v>
      </c>
      <c r="M597" s="54">
        <v>0.23</v>
      </c>
      <c r="N597" s="54">
        <v>0.23</v>
      </c>
      <c r="O597" s="54">
        <v>0.23</v>
      </c>
      <c r="P597" s="54">
        <v>0.23</v>
      </c>
      <c r="Q597" s="54">
        <v>0.23</v>
      </c>
      <c r="R597" s="5"/>
      <c r="S597" s="25"/>
      <c r="T597" s="5"/>
    </row>
    <row r="598" spans="1:20" s="3" customFormat="1" x14ac:dyDescent="0.25">
      <c r="A598" s="21" t="s">
        <v>450</v>
      </c>
      <c r="B598" s="67" t="s">
        <v>51</v>
      </c>
      <c r="C598" s="25"/>
      <c r="D598" s="2"/>
      <c r="E598" s="2"/>
      <c r="F598" s="202" t="s">
        <v>332</v>
      </c>
      <c r="G598" s="4"/>
      <c r="H598" s="4"/>
      <c r="I598" s="4"/>
      <c r="J598" s="4"/>
      <c r="K598" s="4"/>
      <c r="L598" s="4"/>
      <c r="M598" s="4"/>
      <c r="N598" s="4"/>
      <c r="O598" s="4"/>
      <c r="P598" s="4"/>
      <c r="Q598" s="4"/>
      <c r="R598" s="5"/>
      <c r="S598" s="25"/>
      <c r="T598" s="5"/>
    </row>
    <row r="599" spans="1:20" s="3" customFormat="1" x14ac:dyDescent="0.25">
      <c r="A599" s="21" t="s">
        <v>450</v>
      </c>
      <c r="B599" s="246" t="s">
        <v>38</v>
      </c>
      <c r="C599" s="246"/>
      <c r="D599" s="246"/>
      <c r="E599" s="246" t="s">
        <v>40</v>
      </c>
      <c r="F599" s="202" t="s">
        <v>332</v>
      </c>
      <c r="G599" s="277">
        <v>2000</v>
      </c>
      <c r="H599" s="278">
        <f t="shared" ref="H599:Q601" si="71">G599</f>
        <v>2000</v>
      </c>
      <c r="I599" s="278">
        <f t="shared" si="71"/>
        <v>2000</v>
      </c>
      <c r="J599" s="278">
        <f t="shared" si="71"/>
        <v>2000</v>
      </c>
      <c r="K599" s="278">
        <f t="shared" si="71"/>
        <v>2000</v>
      </c>
      <c r="L599" s="278">
        <f t="shared" si="71"/>
        <v>2000</v>
      </c>
      <c r="M599" s="278">
        <f t="shared" si="71"/>
        <v>2000</v>
      </c>
      <c r="N599" s="278">
        <f t="shared" si="71"/>
        <v>2000</v>
      </c>
      <c r="O599" s="278">
        <f t="shared" si="71"/>
        <v>2000</v>
      </c>
      <c r="P599" s="278">
        <f t="shared" si="71"/>
        <v>2000</v>
      </c>
      <c r="Q599" s="278">
        <f t="shared" si="71"/>
        <v>2000</v>
      </c>
      <c r="R599" s="5"/>
      <c r="S599" s="25"/>
      <c r="T599" s="5"/>
    </row>
    <row r="600" spans="1:20" s="3" customFormat="1" x14ac:dyDescent="0.25">
      <c r="A600" s="21" t="s">
        <v>450</v>
      </c>
      <c r="B600" s="246" t="s">
        <v>37</v>
      </c>
      <c r="C600" s="246"/>
      <c r="D600" s="246"/>
      <c r="E600" s="246" t="s">
        <v>40</v>
      </c>
      <c r="F600" s="202" t="s">
        <v>332</v>
      </c>
      <c r="G600" s="277">
        <v>2100</v>
      </c>
      <c r="H600" s="278">
        <f t="shared" si="71"/>
        <v>2100</v>
      </c>
      <c r="I600" s="278">
        <f t="shared" si="71"/>
        <v>2100</v>
      </c>
      <c r="J600" s="278">
        <f t="shared" si="71"/>
        <v>2100</v>
      </c>
      <c r="K600" s="278">
        <f t="shared" si="71"/>
        <v>2100</v>
      </c>
      <c r="L600" s="278">
        <f t="shared" si="71"/>
        <v>2100</v>
      </c>
      <c r="M600" s="278">
        <f t="shared" si="71"/>
        <v>2100</v>
      </c>
      <c r="N600" s="278">
        <f t="shared" si="71"/>
        <v>2100</v>
      </c>
      <c r="O600" s="278">
        <f t="shared" si="71"/>
        <v>2100</v>
      </c>
      <c r="P600" s="278">
        <f t="shared" si="71"/>
        <v>2100</v>
      </c>
      <c r="Q600" s="278">
        <f t="shared" si="71"/>
        <v>2100</v>
      </c>
      <c r="R600" s="5"/>
      <c r="S600" s="25"/>
      <c r="T600" s="5"/>
    </row>
    <row r="601" spans="1:20" s="3" customFormat="1" x14ac:dyDescent="0.25">
      <c r="A601" s="21" t="s">
        <v>450</v>
      </c>
      <c r="B601" s="246" t="s">
        <v>39</v>
      </c>
      <c r="C601" s="246"/>
      <c r="D601" s="246"/>
      <c r="E601" s="246" t="s">
        <v>10</v>
      </c>
      <c r="F601" s="202" t="s">
        <v>332</v>
      </c>
      <c r="G601" s="55">
        <v>9</v>
      </c>
      <c r="H601" s="262">
        <f t="shared" si="71"/>
        <v>9</v>
      </c>
      <c r="I601" s="262">
        <f t="shared" si="71"/>
        <v>9</v>
      </c>
      <c r="J601" s="262">
        <f t="shared" si="71"/>
        <v>9</v>
      </c>
      <c r="K601" s="262">
        <f t="shared" si="71"/>
        <v>9</v>
      </c>
      <c r="L601" s="262">
        <f t="shared" si="71"/>
        <v>9</v>
      </c>
      <c r="M601" s="262">
        <f t="shared" si="71"/>
        <v>9</v>
      </c>
      <c r="N601" s="262">
        <f t="shared" si="71"/>
        <v>9</v>
      </c>
      <c r="O601" s="262">
        <f t="shared" si="71"/>
        <v>9</v>
      </c>
      <c r="P601" s="262">
        <f t="shared" si="71"/>
        <v>9</v>
      </c>
      <c r="Q601" s="262">
        <f t="shared" si="71"/>
        <v>9</v>
      </c>
      <c r="R601" s="5"/>
      <c r="S601" s="25"/>
      <c r="T601" s="5"/>
    </row>
    <row r="602" spans="1:20" s="3" customFormat="1" x14ac:dyDescent="0.25">
      <c r="A602" s="21" t="s">
        <v>450</v>
      </c>
      <c r="B602" s="246" t="s">
        <v>361</v>
      </c>
      <c r="C602" s="246"/>
      <c r="D602" s="246"/>
      <c r="E602" s="246" t="s">
        <v>10</v>
      </c>
      <c r="F602" s="202" t="s">
        <v>332</v>
      </c>
      <c r="G602" s="55"/>
      <c r="H602" s="55"/>
      <c r="I602" s="55"/>
      <c r="J602" s="55"/>
      <c r="K602" s="55"/>
      <c r="L602" s="55"/>
      <c r="M602" s="55"/>
      <c r="N602" s="55"/>
      <c r="O602" s="55"/>
      <c r="P602" s="55"/>
      <c r="Q602" s="55"/>
      <c r="R602" s="5"/>
      <c r="S602" s="25"/>
      <c r="T602" s="5"/>
    </row>
    <row r="603" spans="1:20" s="3" customFormat="1" x14ac:dyDescent="0.25">
      <c r="A603" s="21" t="s">
        <v>450</v>
      </c>
      <c r="B603" s="246" t="s">
        <v>309</v>
      </c>
      <c r="C603" s="246"/>
      <c r="D603" s="246"/>
      <c r="E603" s="246" t="s">
        <v>97</v>
      </c>
      <c r="F603" s="202" t="s">
        <v>332</v>
      </c>
      <c r="G603" s="271">
        <v>0.3</v>
      </c>
      <c r="H603" s="274">
        <f t="shared" ref="H603:Q603" si="72">G603</f>
        <v>0.3</v>
      </c>
      <c r="I603" s="274">
        <f t="shared" si="72"/>
        <v>0.3</v>
      </c>
      <c r="J603" s="274">
        <f t="shared" si="72"/>
        <v>0.3</v>
      </c>
      <c r="K603" s="274">
        <f t="shared" si="72"/>
        <v>0.3</v>
      </c>
      <c r="L603" s="274">
        <f t="shared" si="72"/>
        <v>0.3</v>
      </c>
      <c r="M603" s="274">
        <f t="shared" si="72"/>
        <v>0.3</v>
      </c>
      <c r="N603" s="274">
        <f t="shared" si="72"/>
        <v>0.3</v>
      </c>
      <c r="O603" s="274">
        <f t="shared" si="72"/>
        <v>0.3</v>
      </c>
      <c r="P603" s="274">
        <f t="shared" si="72"/>
        <v>0.3</v>
      </c>
      <c r="Q603" s="274">
        <f t="shared" si="72"/>
        <v>0.3</v>
      </c>
      <c r="R603" s="5"/>
      <c r="S603" s="25"/>
      <c r="T603" s="5"/>
    </row>
    <row r="604" spans="1:20" s="3" customFormat="1" x14ac:dyDescent="0.25">
      <c r="A604" s="21" t="s">
        <v>450</v>
      </c>
      <c r="B604" s="246" t="s">
        <v>358</v>
      </c>
      <c r="C604" s="246"/>
      <c r="D604" s="246"/>
      <c r="E604" s="246" t="s">
        <v>97</v>
      </c>
      <c r="F604" s="202" t="s">
        <v>332</v>
      </c>
      <c r="G604" s="271"/>
      <c r="H604" s="271"/>
      <c r="I604" s="271"/>
      <c r="J604" s="271"/>
      <c r="K604" s="271"/>
      <c r="L604" s="271"/>
      <c r="M604" s="271"/>
      <c r="N604" s="271"/>
      <c r="O604" s="271"/>
      <c r="P604" s="271"/>
      <c r="Q604" s="271"/>
      <c r="R604" s="5"/>
      <c r="S604" s="25"/>
      <c r="T604" s="5"/>
    </row>
    <row r="605" spans="1:20" s="3" customFormat="1" x14ac:dyDescent="0.25">
      <c r="A605" s="21" t="s">
        <v>450</v>
      </c>
      <c r="B605" s="246" t="s">
        <v>357</v>
      </c>
      <c r="C605" s="246"/>
      <c r="D605" s="246"/>
      <c r="E605" s="246" t="s">
        <v>97</v>
      </c>
      <c r="F605" s="202" t="s">
        <v>332</v>
      </c>
      <c r="G605" s="271"/>
      <c r="H605" s="271"/>
      <c r="I605" s="271"/>
      <c r="J605" s="271"/>
      <c r="K605" s="271"/>
      <c r="L605" s="271"/>
      <c r="M605" s="271"/>
      <c r="N605" s="271"/>
      <c r="O605" s="271"/>
      <c r="P605" s="271"/>
      <c r="Q605" s="271"/>
      <c r="R605" s="5"/>
      <c r="S605" s="25"/>
      <c r="T605" s="5"/>
    </row>
    <row r="606" spans="1:20" s="3" customFormat="1" x14ac:dyDescent="0.25">
      <c r="A606" s="21" t="s">
        <v>450</v>
      </c>
      <c r="B606" s="246" t="s">
        <v>75</v>
      </c>
      <c r="C606" s="246"/>
      <c r="D606" s="246"/>
      <c r="E606" s="246" t="s">
        <v>97</v>
      </c>
      <c r="F606" s="202" t="s">
        <v>332</v>
      </c>
      <c r="G606" s="271">
        <v>0</v>
      </c>
      <c r="H606" s="271"/>
      <c r="I606" s="271"/>
      <c r="J606" s="271"/>
      <c r="K606" s="271"/>
      <c r="L606" s="271"/>
      <c r="M606" s="271"/>
      <c r="N606" s="271"/>
      <c r="O606" s="271"/>
      <c r="P606" s="271"/>
      <c r="Q606" s="271"/>
      <c r="R606" s="5"/>
      <c r="S606" s="25"/>
      <c r="T606" s="5"/>
    </row>
    <row r="607" spans="1:20" s="3" customFormat="1" x14ac:dyDescent="0.25">
      <c r="A607" s="21" t="s">
        <v>450</v>
      </c>
      <c r="B607" s="68" t="s">
        <v>148</v>
      </c>
      <c r="C607" s="68"/>
      <c r="D607" s="251"/>
      <c r="E607" s="68" t="s">
        <v>97</v>
      </c>
      <c r="F607" s="202" t="s">
        <v>332</v>
      </c>
      <c r="G607" s="271"/>
      <c r="H607" s="271"/>
      <c r="I607" s="271"/>
      <c r="J607" s="271"/>
      <c r="K607" s="271"/>
      <c r="L607" s="271"/>
      <c r="M607" s="271"/>
      <c r="N607" s="271"/>
      <c r="O607" s="271"/>
      <c r="P607" s="271"/>
      <c r="Q607" s="271"/>
      <c r="R607" s="5"/>
      <c r="S607" s="25"/>
      <c r="T607" s="5"/>
    </row>
    <row r="608" spans="1:20" s="3" customFormat="1" x14ac:dyDescent="0.25">
      <c r="A608" s="21" t="s">
        <v>450</v>
      </c>
      <c r="B608" s="68" t="s">
        <v>149</v>
      </c>
      <c r="C608" s="68"/>
      <c r="D608" s="251"/>
      <c r="E608" s="68" t="s">
        <v>97</v>
      </c>
      <c r="F608" s="202" t="s">
        <v>332</v>
      </c>
      <c r="G608" s="271"/>
      <c r="H608" s="271"/>
      <c r="I608" s="271"/>
      <c r="J608" s="271"/>
      <c r="K608" s="271"/>
      <c r="L608" s="271"/>
      <c r="M608" s="271"/>
      <c r="N608" s="271"/>
      <c r="O608" s="271"/>
      <c r="P608" s="271"/>
      <c r="Q608" s="271"/>
      <c r="R608" s="5"/>
      <c r="S608" s="25"/>
      <c r="T608" s="5"/>
    </row>
    <row r="609" spans="1:20" s="3" customFormat="1" x14ac:dyDescent="0.25">
      <c r="A609" s="21" t="s">
        <v>450</v>
      </c>
      <c r="B609" s="68" t="s">
        <v>370</v>
      </c>
      <c r="C609" s="68"/>
      <c r="D609" s="251"/>
      <c r="E609" s="68" t="s">
        <v>97</v>
      </c>
      <c r="F609" s="202" t="s">
        <v>332</v>
      </c>
      <c r="G609" s="271"/>
      <c r="H609" s="271"/>
      <c r="I609" s="271"/>
      <c r="J609" s="271"/>
      <c r="K609" s="271"/>
      <c r="L609" s="271"/>
      <c r="M609" s="271"/>
      <c r="N609" s="271"/>
      <c r="O609" s="271"/>
      <c r="P609" s="271"/>
      <c r="Q609" s="271"/>
      <c r="R609" s="5"/>
      <c r="S609" s="25"/>
      <c r="T609" s="5"/>
    </row>
    <row r="610" spans="1:20" s="3" customFormat="1" x14ac:dyDescent="0.25">
      <c r="A610" s="21" t="s">
        <v>450</v>
      </c>
      <c r="B610" s="68" t="s">
        <v>371</v>
      </c>
      <c r="C610" s="68"/>
      <c r="D610" s="251"/>
      <c r="E610" s="68" t="s">
        <v>97</v>
      </c>
      <c r="F610" s="202" t="s">
        <v>332</v>
      </c>
      <c r="G610" s="271"/>
      <c r="H610" s="271"/>
      <c r="I610" s="271"/>
      <c r="J610" s="271"/>
      <c r="K610" s="271"/>
      <c r="L610" s="271"/>
      <c r="M610" s="271"/>
      <c r="N610" s="271"/>
      <c r="O610" s="271"/>
      <c r="P610" s="271"/>
      <c r="Q610" s="271"/>
      <c r="R610" s="5"/>
      <c r="S610" s="25"/>
      <c r="T610" s="5"/>
    </row>
    <row r="611" spans="1:20" s="3" customFormat="1" x14ac:dyDescent="0.25">
      <c r="A611" s="21" t="s">
        <v>450</v>
      </c>
      <c r="B611" s="246" t="s">
        <v>338</v>
      </c>
      <c r="C611" s="246"/>
      <c r="D611" s="246"/>
      <c r="E611" s="246" t="s">
        <v>34</v>
      </c>
      <c r="F611" s="202" t="s">
        <v>332</v>
      </c>
      <c r="G611" s="55">
        <v>642.4</v>
      </c>
      <c r="H611" s="262">
        <f t="shared" ref="H611:Q612" si="73">G611</f>
        <v>642.4</v>
      </c>
      <c r="I611" s="262">
        <f t="shared" si="73"/>
        <v>642.4</v>
      </c>
      <c r="J611" s="262">
        <f t="shared" si="73"/>
        <v>642.4</v>
      </c>
      <c r="K611" s="262">
        <f t="shared" si="73"/>
        <v>642.4</v>
      </c>
      <c r="L611" s="262">
        <f t="shared" si="73"/>
        <v>642.4</v>
      </c>
      <c r="M611" s="262">
        <f t="shared" si="73"/>
        <v>642.4</v>
      </c>
      <c r="N611" s="262">
        <f t="shared" si="73"/>
        <v>642.4</v>
      </c>
      <c r="O611" s="262">
        <f t="shared" si="73"/>
        <v>642.4</v>
      </c>
      <c r="P611" s="262">
        <f t="shared" si="73"/>
        <v>642.4</v>
      </c>
      <c r="Q611" s="262">
        <f t="shared" si="73"/>
        <v>642.4</v>
      </c>
      <c r="R611" s="5"/>
      <c r="S611" s="25"/>
      <c r="T611" s="5"/>
    </row>
    <row r="612" spans="1:20" s="3" customFormat="1" x14ac:dyDescent="0.25">
      <c r="A612" s="21" t="s">
        <v>450</v>
      </c>
      <c r="B612" s="246" t="s">
        <v>152</v>
      </c>
      <c r="C612" s="246"/>
      <c r="D612" s="246"/>
      <c r="E612" s="246" t="s">
        <v>321</v>
      </c>
      <c r="F612" s="202" t="s">
        <v>332</v>
      </c>
      <c r="G612" s="55">
        <v>2962.596</v>
      </c>
      <c r="H612" s="262">
        <f t="shared" si="73"/>
        <v>2962.596</v>
      </c>
      <c r="I612" s="262">
        <f t="shared" si="73"/>
        <v>2962.596</v>
      </c>
      <c r="J612" s="262">
        <f t="shared" si="73"/>
        <v>2962.596</v>
      </c>
      <c r="K612" s="262">
        <f t="shared" si="73"/>
        <v>2962.596</v>
      </c>
      <c r="L612" s="262">
        <f t="shared" si="73"/>
        <v>2962.596</v>
      </c>
      <c r="M612" s="262">
        <f t="shared" si="73"/>
        <v>2962.596</v>
      </c>
      <c r="N612" s="262">
        <f t="shared" si="73"/>
        <v>2962.596</v>
      </c>
      <c r="O612" s="262">
        <f t="shared" si="73"/>
        <v>2962.596</v>
      </c>
      <c r="P612" s="262">
        <f t="shared" si="73"/>
        <v>2962.596</v>
      </c>
      <c r="Q612" s="262">
        <f t="shared" si="73"/>
        <v>2962.596</v>
      </c>
      <c r="R612" s="5"/>
      <c r="S612" s="25"/>
      <c r="T612" s="5"/>
    </row>
    <row r="613" spans="1:20" s="3" customFormat="1" x14ac:dyDescent="0.25">
      <c r="A613" s="21" t="s">
        <v>450</v>
      </c>
      <c r="B613" s="246" t="s">
        <v>383</v>
      </c>
      <c r="C613" s="246"/>
      <c r="D613" s="246"/>
      <c r="E613" s="246" t="s">
        <v>97</v>
      </c>
      <c r="F613" s="202" t="s">
        <v>332</v>
      </c>
      <c r="G613" s="271"/>
      <c r="H613" s="271"/>
      <c r="I613" s="271"/>
      <c r="J613" s="271"/>
      <c r="K613" s="271"/>
      <c r="L613" s="271"/>
      <c r="M613" s="271"/>
      <c r="N613" s="271"/>
      <c r="O613" s="271"/>
      <c r="P613" s="271"/>
      <c r="Q613" s="271"/>
      <c r="R613" s="5"/>
      <c r="S613" s="25"/>
      <c r="T613" s="5"/>
    </row>
    <row r="614" spans="1:20" s="3" customFormat="1" x14ac:dyDescent="0.25">
      <c r="A614" s="21" t="s">
        <v>450</v>
      </c>
      <c r="B614" s="246" t="s">
        <v>446</v>
      </c>
      <c r="C614" s="246"/>
      <c r="D614" s="246"/>
      <c r="E614" s="246" t="s">
        <v>34</v>
      </c>
      <c r="F614" s="202" t="s">
        <v>332</v>
      </c>
      <c r="G614" s="55"/>
      <c r="H614" s="55"/>
      <c r="I614" s="55"/>
      <c r="J614" s="55"/>
      <c r="K614" s="55"/>
      <c r="L614" s="55"/>
      <c r="M614" s="55"/>
      <c r="N614" s="55"/>
      <c r="O614" s="55"/>
      <c r="P614" s="55"/>
      <c r="Q614" s="55"/>
      <c r="R614" s="5"/>
      <c r="S614" s="25"/>
      <c r="T614" s="5"/>
    </row>
    <row r="615" spans="1:20" s="3" customFormat="1" x14ac:dyDescent="0.25">
      <c r="A615" s="21" t="s">
        <v>450</v>
      </c>
      <c r="B615" s="246" t="s">
        <v>387</v>
      </c>
      <c r="C615" s="246"/>
      <c r="D615" s="246"/>
      <c r="E615" s="246"/>
      <c r="F615" s="202" t="s">
        <v>332</v>
      </c>
      <c r="G615" s="54"/>
      <c r="H615" s="54"/>
      <c r="I615" s="54"/>
      <c r="J615" s="54"/>
      <c r="K615" s="54"/>
      <c r="L615" s="54"/>
      <c r="M615" s="54"/>
      <c r="N615" s="54"/>
      <c r="O615" s="54"/>
      <c r="P615" s="54"/>
      <c r="Q615" s="54"/>
      <c r="R615" s="5"/>
      <c r="S615" s="25"/>
      <c r="T615" s="5"/>
    </row>
    <row r="616" spans="1:20" s="3" customFormat="1" x14ac:dyDescent="0.25">
      <c r="A616" s="21" t="s">
        <v>450</v>
      </c>
      <c r="B616" s="246" t="s">
        <v>369</v>
      </c>
      <c r="C616" s="246"/>
      <c r="D616" s="246"/>
      <c r="E616" s="246" t="s">
        <v>97</v>
      </c>
      <c r="F616" s="202" t="s">
        <v>332</v>
      </c>
      <c r="G616" s="271"/>
      <c r="H616" s="271"/>
      <c r="I616" s="271"/>
      <c r="J616" s="271"/>
      <c r="K616" s="271"/>
      <c r="L616" s="271"/>
      <c r="M616" s="271"/>
      <c r="N616" s="271"/>
      <c r="O616" s="271"/>
      <c r="P616" s="271"/>
      <c r="Q616" s="271"/>
      <c r="R616" s="5"/>
      <c r="S616" s="25"/>
      <c r="T616" s="5"/>
    </row>
    <row r="617" spans="1:20" s="3" customFormat="1" x14ac:dyDescent="0.25">
      <c r="A617" s="21" t="s">
        <v>450</v>
      </c>
      <c r="B617" s="246" t="s">
        <v>392</v>
      </c>
      <c r="C617" s="246"/>
      <c r="D617" s="246"/>
      <c r="E617" s="246" t="s">
        <v>321</v>
      </c>
      <c r="F617" s="202" t="s">
        <v>332</v>
      </c>
      <c r="G617" s="55"/>
      <c r="H617" s="55"/>
      <c r="I617" s="55"/>
      <c r="J617" s="55"/>
      <c r="K617" s="55"/>
      <c r="L617" s="55"/>
      <c r="M617" s="55"/>
      <c r="N617" s="55"/>
      <c r="O617" s="55"/>
      <c r="P617" s="55"/>
      <c r="Q617" s="55"/>
      <c r="R617" s="5"/>
      <c r="S617" s="25"/>
      <c r="T617" s="5"/>
    </row>
    <row r="618" spans="1:20" s="3" customFormat="1" x14ac:dyDescent="0.25">
      <c r="A618" s="21" t="s">
        <v>450</v>
      </c>
      <c r="B618" s="246" t="s">
        <v>394</v>
      </c>
      <c r="C618" s="246"/>
      <c r="D618" s="246"/>
      <c r="E618" s="246" t="s">
        <v>321</v>
      </c>
      <c r="F618" s="202" t="s">
        <v>332</v>
      </c>
      <c r="G618" s="55"/>
      <c r="H618" s="55"/>
      <c r="I618" s="55"/>
      <c r="J618" s="55"/>
      <c r="K618" s="55"/>
      <c r="L618" s="55"/>
      <c r="M618" s="55"/>
      <c r="N618" s="55"/>
      <c r="O618" s="55"/>
      <c r="P618" s="55"/>
      <c r="Q618" s="55"/>
      <c r="R618" s="5"/>
      <c r="S618" s="25"/>
      <c r="T618" s="5"/>
    </row>
    <row r="619" spans="1:20" s="3" customFormat="1" x14ac:dyDescent="0.25">
      <c r="A619" s="21" t="s">
        <v>450</v>
      </c>
      <c r="B619" s="246" t="s">
        <v>395</v>
      </c>
      <c r="C619" s="246"/>
      <c r="D619" s="246"/>
      <c r="E619" s="246"/>
      <c r="F619" s="202" t="s">
        <v>332</v>
      </c>
      <c r="G619" s="54"/>
      <c r="H619" s="54"/>
      <c r="I619" s="54"/>
      <c r="J619" s="54"/>
      <c r="K619" s="54"/>
      <c r="L619" s="54"/>
      <c r="M619" s="54"/>
      <c r="N619" s="54"/>
      <c r="O619" s="54"/>
      <c r="P619" s="54"/>
      <c r="Q619" s="54"/>
      <c r="R619" s="5"/>
      <c r="S619" s="25"/>
      <c r="T619" s="5"/>
    </row>
    <row r="620" spans="1:20" s="3" customFormat="1" x14ac:dyDescent="0.25">
      <c r="A620" s="21" t="s">
        <v>450</v>
      </c>
      <c r="B620" s="246" t="s">
        <v>396</v>
      </c>
      <c r="C620" s="246"/>
      <c r="D620" s="246"/>
      <c r="E620" s="246"/>
      <c r="F620" s="202" t="s">
        <v>332</v>
      </c>
      <c r="G620" s="54"/>
      <c r="H620" s="54"/>
      <c r="I620" s="54"/>
      <c r="J620" s="54"/>
      <c r="K620" s="54"/>
      <c r="L620" s="54"/>
      <c r="M620" s="54"/>
      <c r="N620" s="54"/>
      <c r="O620" s="54"/>
      <c r="P620" s="54"/>
      <c r="Q620" s="54"/>
      <c r="R620" s="5"/>
      <c r="S620" s="25"/>
      <c r="T620" s="5"/>
    </row>
    <row r="621" spans="1:20" s="3" customFormat="1" x14ac:dyDescent="0.25">
      <c r="A621" s="21" t="s">
        <v>450</v>
      </c>
      <c r="B621" s="246" t="s">
        <v>393</v>
      </c>
      <c r="C621" s="246"/>
      <c r="D621" s="246"/>
      <c r="E621" s="246" t="s">
        <v>322</v>
      </c>
      <c r="F621" s="202" t="s">
        <v>332</v>
      </c>
      <c r="G621" s="55"/>
      <c r="H621" s="55"/>
      <c r="I621" s="55"/>
      <c r="J621" s="55"/>
      <c r="K621" s="55"/>
      <c r="L621" s="55"/>
      <c r="M621" s="55"/>
      <c r="N621" s="55"/>
      <c r="O621" s="55"/>
      <c r="P621" s="55"/>
      <c r="Q621" s="55"/>
      <c r="R621" s="5"/>
      <c r="S621" s="25"/>
      <c r="T621" s="5"/>
    </row>
    <row r="622" spans="1:20" s="3" customFormat="1" x14ac:dyDescent="0.25">
      <c r="A622" s="21" t="s">
        <v>450</v>
      </c>
      <c r="B622" s="246" t="s">
        <v>397</v>
      </c>
      <c r="C622" s="246"/>
      <c r="D622" s="246"/>
      <c r="E622" s="246" t="s">
        <v>322</v>
      </c>
      <c r="F622" s="202" t="s">
        <v>332</v>
      </c>
      <c r="G622" s="55"/>
      <c r="H622" s="55"/>
      <c r="I622" s="55"/>
      <c r="J622" s="55"/>
      <c r="K622" s="55"/>
      <c r="L622" s="55"/>
      <c r="M622" s="55"/>
      <c r="N622" s="55"/>
      <c r="O622" s="55"/>
      <c r="P622" s="55"/>
      <c r="Q622" s="55"/>
      <c r="R622" s="5"/>
      <c r="S622" s="25"/>
      <c r="T622" s="5"/>
    </row>
    <row r="623" spans="1:20" s="3" customFormat="1" x14ac:dyDescent="0.25">
      <c r="A623" s="21" t="s">
        <v>450</v>
      </c>
      <c r="B623" s="246" t="s">
        <v>398</v>
      </c>
      <c r="C623" s="246"/>
      <c r="D623" s="246"/>
      <c r="E623" s="246"/>
      <c r="F623" s="202" t="s">
        <v>332</v>
      </c>
      <c r="G623" s="54"/>
      <c r="H623" s="54"/>
      <c r="I623" s="54"/>
      <c r="J623" s="54"/>
      <c r="K623" s="54"/>
      <c r="L623" s="54"/>
      <c r="M623" s="54"/>
      <c r="N623" s="54"/>
      <c r="O623" s="54"/>
      <c r="P623" s="54"/>
      <c r="Q623" s="54"/>
      <c r="R623" s="5"/>
      <c r="S623" s="25"/>
      <c r="T623" s="5"/>
    </row>
    <row r="624" spans="1:20" s="3" customFormat="1" x14ac:dyDescent="0.25">
      <c r="A624" s="21" t="s">
        <v>450</v>
      </c>
      <c r="B624" s="246" t="s">
        <v>399</v>
      </c>
      <c r="C624" s="246"/>
      <c r="D624" s="246"/>
      <c r="E624" s="246"/>
      <c r="F624" s="202" t="s">
        <v>332</v>
      </c>
      <c r="G624" s="54"/>
      <c r="H624" s="54"/>
      <c r="I624" s="54"/>
      <c r="J624" s="54"/>
      <c r="K624" s="54"/>
      <c r="L624" s="54"/>
      <c r="M624" s="54"/>
      <c r="N624" s="54"/>
      <c r="O624" s="54"/>
      <c r="P624" s="54"/>
      <c r="Q624" s="54"/>
      <c r="R624" s="5"/>
      <c r="S624" s="25"/>
      <c r="T624" s="5"/>
    </row>
    <row r="625" spans="1:20" s="3" customFormat="1" x14ac:dyDescent="0.25">
      <c r="A625" s="21" t="s">
        <v>450</v>
      </c>
      <c r="B625" s="246" t="s">
        <v>310</v>
      </c>
      <c r="C625" s="246"/>
      <c r="D625" s="246"/>
      <c r="E625" s="246" t="s">
        <v>322</v>
      </c>
      <c r="F625" s="202" t="s">
        <v>332</v>
      </c>
      <c r="G625" s="55">
        <v>12.217000000000001</v>
      </c>
      <c r="H625" s="262">
        <f t="shared" ref="H625:Q625" si="74">G625</f>
        <v>12.217000000000001</v>
      </c>
      <c r="I625" s="262">
        <f t="shared" si="74"/>
        <v>12.217000000000001</v>
      </c>
      <c r="J625" s="262">
        <f t="shared" si="74"/>
        <v>12.217000000000001</v>
      </c>
      <c r="K625" s="262">
        <f t="shared" si="74"/>
        <v>12.217000000000001</v>
      </c>
      <c r="L625" s="262">
        <f t="shared" si="74"/>
        <v>12.217000000000001</v>
      </c>
      <c r="M625" s="262">
        <f t="shared" si="74"/>
        <v>12.217000000000001</v>
      </c>
      <c r="N625" s="262">
        <f t="shared" si="74"/>
        <v>12.217000000000001</v>
      </c>
      <c r="O625" s="262">
        <f t="shared" si="74"/>
        <v>12.217000000000001</v>
      </c>
      <c r="P625" s="262">
        <f t="shared" si="74"/>
        <v>12.217000000000001</v>
      </c>
      <c r="Q625" s="262">
        <f t="shared" si="74"/>
        <v>12.217000000000001</v>
      </c>
      <c r="R625" s="5"/>
      <c r="S625" s="25"/>
      <c r="T625" s="5"/>
    </row>
    <row r="626" spans="1:20" s="3" customFormat="1" x14ac:dyDescent="0.25">
      <c r="A626" s="21" t="s">
        <v>450</v>
      </c>
      <c r="B626" s="246" t="s">
        <v>360</v>
      </c>
      <c r="C626" s="246"/>
      <c r="D626" s="246"/>
      <c r="E626" s="246" t="s">
        <v>321</v>
      </c>
      <c r="F626" s="202" t="s">
        <v>332</v>
      </c>
      <c r="G626" s="55"/>
      <c r="H626" s="55"/>
      <c r="I626" s="55"/>
      <c r="J626" s="55"/>
      <c r="K626" s="55"/>
      <c r="L626" s="55"/>
      <c r="M626" s="55"/>
      <c r="N626" s="55"/>
      <c r="O626" s="55"/>
      <c r="P626" s="55"/>
      <c r="Q626" s="55"/>
      <c r="R626" s="5"/>
      <c r="S626" s="25"/>
      <c r="T626" s="5"/>
    </row>
    <row r="627" spans="1:20" s="3" customFormat="1" x14ac:dyDescent="0.25">
      <c r="A627" s="21" t="s">
        <v>450</v>
      </c>
      <c r="B627" s="67" t="s">
        <v>306</v>
      </c>
      <c r="C627" s="25"/>
      <c r="D627" s="2" t="s">
        <v>475</v>
      </c>
      <c r="E627" s="67" t="s">
        <v>334</v>
      </c>
      <c r="F627" s="202" t="s">
        <v>332</v>
      </c>
      <c r="G627" s="54">
        <v>0.34100000000000003</v>
      </c>
      <c r="H627" s="54">
        <v>0.34100000000000003</v>
      </c>
      <c r="I627" s="54">
        <v>0.34100000000000003</v>
      </c>
      <c r="J627" s="54">
        <v>0.34100000000000003</v>
      </c>
      <c r="K627" s="54">
        <v>0.34100000000000003</v>
      </c>
      <c r="L627" s="54">
        <v>0.34100000000000003</v>
      </c>
      <c r="M627" s="54">
        <v>0.34100000000000003</v>
      </c>
      <c r="N627" s="54">
        <v>0.34100000000000003</v>
      </c>
      <c r="O627" s="54">
        <v>0.34100000000000003</v>
      </c>
      <c r="P627" s="54">
        <v>0.34100000000000003</v>
      </c>
      <c r="Q627" s="54">
        <v>0.34100000000000003</v>
      </c>
      <c r="R627" s="5"/>
      <c r="S627" s="25"/>
      <c r="T627" s="5"/>
    </row>
    <row r="628" spans="1:20" s="3" customFormat="1" x14ac:dyDescent="0.25">
      <c r="A628" s="21" t="s">
        <v>450</v>
      </c>
      <c r="B628" s="67" t="s">
        <v>51</v>
      </c>
      <c r="C628" s="25"/>
      <c r="D628" s="2"/>
      <c r="E628" s="2"/>
      <c r="F628" s="202" t="s">
        <v>333</v>
      </c>
      <c r="G628" s="4"/>
      <c r="H628" s="4"/>
      <c r="I628" s="4"/>
      <c r="J628" s="4"/>
      <c r="K628" s="4"/>
      <c r="L628" s="4"/>
      <c r="M628" s="4"/>
      <c r="N628" s="4"/>
      <c r="O628" s="4"/>
      <c r="P628" s="4"/>
      <c r="Q628" s="4"/>
      <c r="R628" s="5"/>
      <c r="S628" s="25"/>
      <c r="T628" s="5"/>
    </row>
    <row r="629" spans="1:20" s="3" customFormat="1" x14ac:dyDescent="0.25">
      <c r="A629" s="21" t="s">
        <v>450</v>
      </c>
      <c r="B629" s="246" t="s">
        <v>38</v>
      </c>
      <c r="C629" s="246"/>
      <c r="D629" s="246"/>
      <c r="E629" s="246" t="s">
        <v>40</v>
      </c>
      <c r="F629" s="202" t="s">
        <v>333</v>
      </c>
      <c r="G629" s="277">
        <v>2000</v>
      </c>
      <c r="H629" s="278">
        <f t="shared" ref="H629:Q631" si="75">G629</f>
        <v>2000</v>
      </c>
      <c r="I629" s="278">
        <f t="shared" si="75"/>
        <v>2000</v>
      </c>
      <c r="J629" s="278">
        <f t="shared" si="75"/>
        <v>2000</v>
      </c>
      <c r="K629" s="278">
        <f t="shared" si="75"/>
        <v>2000</v>
      </c>
      <c r="L629" s="278">
        <f t="shared" si="75"/>
        <v>2000</v>
      </c>
      <c r="M629" s="278">
        <f t="shared" si="75"/>
        <v>2000</v>
      </c>
      <c r="N629" s="278">
        <f t="shared" si="75"/>
        <v>2000</v>
      </c>
      <c r="O629" s="278">
        <f t="shared" si="75"/>
        <v>2000</v>
      </c>
      <c r="P629" s="278">
        <f t="shared" si="75"/>
        <v>2000</v>
      </c>
      <c r="Q629" s="278">
        <f t="shared" si="75"/>
        <v>2000</v>
      </c>
      <c r="R629" s="5"/>
      <c r="S629" s="25"/>
      <c r="T629" s="5"/>
    </row>
    <row r="630" spans="1:20" s="3" customFormat="1" x14ac:dyDescent="0.25">
      <c r="A630" s="21" t="s">
        <v>450</v>
      </c>
      <c r="B630" s="246" t="s">
        <v>37</v>
      </c>
      <c r="C630" s="246"/>
      <c r="D630" s="246"/>
      <c r="E630" s="246" t="s">
        <v>40</v>
      </c>
      <c r="F630" s="202" t="s">
        <v>333</v>
      </c>
      <c r="G630" s="277">
        <v>2100</v>
      </c>
      <c r="H630" s="278">
        <f t="shared" si="75"/>
        <v>2100</v>
      </c>
      <c r="I630" s="278">
        <f t="shared" si="75"/>
        <v>2100</v>
      </c>
      <c r="J630" s="278">
        <f t="shared" si="75"/>
        <v>2100</v>
      </c>
      <c r="K630" s="278">
        <f t="shared" si="75"/>
        <v>2100</v>
      </c>
      <c r="L630" s="278">
        <f t="shared" si="75"/>
        <v>2100</v>
      </c>
      <c r="M630" s="278">
        <f t="shared" si="75"/>
        <v>2100</v>
      </c>
      <c r="N630" s="278">
        <f t="shared" si="75"/>
        <v>2100</v>
      </c>
      <c r="O630" s="278">
        <f t="shared" si="75"/>
        <v>2100</v>
      </c>
      <c r="P630" s="278">
        <f t="shared" si="75"/>
        <v>2100</v>
      </c>
      <c r="Q630" s="278">
        <f t="shared" si="75"/>
        <v>2100</v>
      </c>
      <c r="R630" s="5"/>
      <c r="S630" s="25"/>
      <c r="T630" s="5"/>
    </row>
    <row r="631" spans="1:20" s="3" customFormat="1" x14ac:dyDescent="0.25">
      <c r="A631" s="21" t="s">
        <v>450</v>
      </c>
      <c r="B631" s="246" t="s">
        <v>39</v>
      </c>
      <c r="C631" s="246"/>
      <c r="D631" s="246"/>
      <c r="E631" s="246" t="s">
        <v>10</v>
      </c>
      <c r="F631" s="202" t="s">
        <v>333</v>
      </c>
      <c r="G631" s="55">
        <v>9</v>
      </c>
      <c r="H631" s="262">
        <f t="shared" si="75"/>
        <v>9</v>
      </c>
      <c r="I631" s="262">
        <f t="shared" si="75"/>
        <v>9</v>
      </c>
      <c r="J631" s="262">
        <f t="shared" si="75"/>
        <v>9</v>
      </c>
      <c r="K631" s="262">
        <f t="shared" si="75"/>
        <v>9</v>
      </c>
      <c r="L631" s="262">
        <f t="shared" si="75"/>
        <v>9</v>
      </c>
      <c r="M631" s="262">
        <f t="shared" si="75"/>
        <v>9</v>
      </c>
      <c r="N631" s="262">
        <f t="shared" si="75"/>
        <v>9</v>
      </c>
      <c r="O631" s="262">
        <f t="shared" si="75"/>
        <v>9</v>
      </c>
      <c r="P631" s="262">
        <f t="shared" si="75"/>
        <v>9</v>
      </c>
      <c r="Q631" s="262">
        <f t="shared" si="75"/>
        <v>9</v>
      </c>
      <c r="R631" s="5"/>
      <c r="S631" s="25"/>
      <c r="T631" s="5"/>
    </row>
    <row r="632" spans="1:20" s="3" customFormat="1" x14ac:dyDescent="0.25">
      <c r="A632" s="21" t="s">
        <v>450</v>
      </c>
      <c r="B632" s="246" t="s">
        <v>361</v>
      </c>
      <c r="C632" s="246"/>
      <c r="D632" s="246"/>
      <c r="E632" s="246" t="s">
        <v>10</v>
      </c>
      <c r="F632" s="202" t="s">
        <v>333</v>
      </c>
      <c r="G632" s="55"/>
      <c r="H632" s="55"/>
      <c r="I632" s="55"/>
      <c r="J632" s="55"/>
      <c r="K632" s="55"/>
      <c r="L632" s="55"/>
      <c r="M632" s="55"/>
      <c r="N632" s="55"/>
      <c r="O632" s="55"/>
      <c r="P632" s="55"/>
      <c r="Q632" s="55"/>
      <c r="R632" s="5"/>
      <c r="S632" s="25"/>
      <c r="T632" s="5"/>
    </row>
    <row r="633" spans="1:20" s="3" customFormat="1" x14ac:dyDescent="0.25">
      <c r="A633" s="21" t="s">
        <v>450</v>
      </c>
      <c r="B633" s="246" t="s">
        <v>309</v>
      </c>
      <c r="C633" s="246"/>
      <c r="D633" s="246"/>
      <c r="E633" s="246" t="s">
        <v>97</v>
      </c>
      <c r="F633" s="202" t="s">
        <v>333</v>
      </c>
      <c r="G633" s="271">
        <v>0.3</v>
      </c>
      <c r="H633" s="274">
        <f t="shared" ref="H633:Q633" si="76">G633</f>
        <v>0.3</v>
      </c>
      <c r="I633" s="274">
        <f t="shared" si="76"/>
        <v>0.3</v>
      </c>
      <c r="J633" s="274">
        <f t="shared" si="76"/>
        <v>0.3</v>
      </c>
      <c r="K633" s="274">
        <f t="shared" si="76"/>
        <v>0.3</v>
      </c>
      <c r="L633" s="274">
        <f t="shared" si="76"/>
        <v>0.3</v>
      </c>
      <c r="M633" s="274">
        <f t="shared" si="76"/>
        <v>0.3</v>
      </c>
      <c r="N633" s="274">
        <f t="shared" si="76"/>
        <v>0.3</v>
      </c>
      <c r="O633" s="274">
        <f t="shared" si="76"/>
        <v>0.3</v>
      </c>
      <c r="P633" s="274">
        <f t="shared" si="76"/>
        <v>0.3</v>
      </c>
      <c r="Q633" s="274">
        <f t="shared" si="76"/>
        <v>0.3</v>
      </c>
      <c r="R633" s="5"/>
      <c r="S633" s="25"/>
      <c r="T633" s="5"/>
    </row>
    <row r="634" spans="1:20" s="3" customFormat="1" x14ac:dyDescent="0.25">
      <c r="A634" s="21" t="s">
        <v>450</v>
      </c>
      <c r="B634" s="246" t="s">
        <v>358</v>
      </c>
      <c r="C634" s="246"/>
      <c r="D634" s="246"/>
      <c r="E634" s="246" t="s">
        <v>97</v>
      </c>
      <c r="F634" s="202" t="s">
        <v>333</v>
      </c>
      <c r="G634" s="271"/>
      <c r="H634" s="271"/>
      <c r="I634" s="271"/>
      <c r="J634" s="271"/>
      <c r="K634" s="271"/>
      <c r="L634" s="271"/>
      <c r="M634" s="271"/>
      <c r="N634" s="271"/>
      <c r="O634" s="271"/>
      <c r="P634" s="271"/>
      <c r="Q634" s="271"/>
      <c r="R634" s="5"/>
      <c r="S634" s="25"/>
      <c r="T634" s="5"/>
    </row>
    <row r="635" spans="1:20" s="3" customFormat="1" x14ac:dyDescent="0.25">
      <c r="A635" s="21" t="s">
        <v>450</v>
      </c>
      <c r="B635" s="246" t="s">
        <v>357</v>
      </c>
      <c r="C635" s="246"/>
      <c r="D635" s="246"/>
      <c r="E635" s="246" t="s">
        <v>97</v>
      </c>
      <c r="F635" s="202" t="s">
        <v>333</v>
      </c>
      <c r="G635" s="271"/>
      <c r="H635" s="271"/>
      <c r="I635" s="271"/>
      <c r="J635" s="271"/>
      <c r="K635" s="271"/>
      <c r="L635" s="271"/>
      <c r="M635" s="271"/>
      <c r="N635" s="271"/>
      <c r="O635" s="271"/>
      <c r="P635" s="271"/>
      <c r="Q635" s="271"/>
      <c r="R635" s="5"/>
      <c r="S635" s="25"/>
      <c r="T635" s="5"/>
    </row>
    <row r="636" spans="1:20" s="3" customFormat="1" x14ac:dyDescent="0.25">
      <c r="A636" s="21" t="s">
        <v>450</v>
      </c>
      <c r="B636" s="246" t="s">
        <v>75</v>
      </c>
      <c r="C636" s="246"/>
      <c r="D636" s="246"/>
      <c r="E636" s="246" t="s">
        <v>97</v>
      </c>
      <c r="F636" s="202" t="s">
        <v>333</v>
      </c>
      <c r="G636" s="271">
        <v>0</v>
      </c>
      <c r="H636" s="271"/>
      <c r="I636" s="271"/>
      <c r="J636" s="271"/>
      <c r="K636" s="271"/>
      <c r="L636" s="271"/>
      <c r="M636" s="271"/>
      <c r="N636" s="271"/>
      <c r="O636" s="271"/>
      <c r="P636" s="271"/>
      <c r="Q636" s="271"/>
      <c r="R636" s="5"/>
      <c r="S636" s="25"/>
      <c r="T636" s="5"/>
    </row>
    <row r="637" spans="1:20" s="3" customFormat="1" x14ac:dyDescent="0.25">
      <c r="A637" s="21" t="s">
        <v>450</v>
      </c>
      <c r="B637" s="68" t="s">
        <v>148</v>
      </c>
      <c r="C637" s="68"/>
      <c r="D637" s="251"/>
      <c r="E637" s="68" t="s">
        <v>97</v>
      </c>
      <c r="F637" s="202" t="s">
        <v>333</v>
      </c>
      <c r="G637" s="271"/>
      <c r="H637" s="271"/>
      <c r="I637" s="271"/>
      <c r="J637" s="271"/>
      <c r="K637" s="271"/>
      <c r="L637" s="271"/>
      <c r="M637" s="271"/>
      <c r="N637" s="271"/>
      <c r="O637" s="271"/>
      <c r="P637" s="271"/>
      <c r="Q637" s="271"/>
      <c r="R637" s="5"/>
      <c r="S637" s="25"/>
      <c r="T637" s="5"/>
    </row>
    <row r="638" spans="1:20" s="3" customFormat="1" x14ac:dyDescent="0.25">
      <c r="A638" s="21" t="s">
        <v>450</v>
      </c>
      <c r="B638" s="68" t="s">
        <v>149</v>
      </c>
      <c r="C638" s="68"/>
      <c r="D638" s="251"/>
      <c r="E638" s="68" t="s">
        <v>97</v>
      </c>
      <c r="F638" s="202" t="s">
        <v>333</v>
      </c>
      <c r="G638" s="271"/>
      <c r="H638" s="271"/>
      <c r="I638" s="271"/>
      <c r="J638" s="271"/>
      <c r="K638" s="271"/>
      <c r="L638" s="271"/>
      <c r="M638" s="271"/>
      <c r="N638" s="271"/>
      <c r="O638" s="271"/>
      <c r="P638" s="271"/>
      <c r="Q638" s="271"/>
      <c r="R638" s="5"/>
      <c r="S638" s="25"/>
      <c r="T638" s="5"/>
    </row>
    <row r="639" spans="1:20" s="3" customFormat="1" x14ac:dyDescent="0.25">
      <c r="A639" s="21" t="s">
        <v>450</v>
      </c>
      <c r="B639" s="68" t="s">
        <v>370</v>
      </c>
      <c r="C639" s="68"/>
      <c r="D639" s="251"/>
      <c r="E639" s="68" t="s">
        <v>97</v>
      </c>
      <c r="F639" s="202" t="s">
        <v>333</v>
      </c>
      <c r="G639" s="271"/>
      <c r="H639" s="271"/>
      <c r="I639" s="271"/>
      <c r="J639" s="271"/>
      <c r="K639" s="271"/>
      <c r="L639" s="271"/>
      <c r="M639" s="271"/>
      <c r="N639" s="271"/>
      <c r="O639" s="271"/>
      <c r="P639" s="271"/>
      <c r="Q639" s="271"/>
      <c r="R639" s="5"/>
      <c r="S639" s="25"/>
      <c r="T639" s="5"/>
    </row>
    <row r="640" spans="1:20" s="3" customFormat="1" x14ac:dyDescent="0.25">
      <c r="A640" s="21" t="s">
        <v>450</v>
      </c>
      <c r="B640" s="68" t="s">
        <v>371</v>
      </c>
      <c r="C640" s="68"/>
      <c r="D640" s="251"/>
      <c r="E640" s="68" t="s">
        <v>97</v>
      </c>
      <c r="F640" s="202" t="s">
        <v>333</v>
      </c>
      <c r="G640" s="271"/>
      <c r="H640" s="271"/>
      <c r="I640" s="271"/>
      <c r="J640" s="271"/>
      <c r="K640" s="271"/>
      <c r="L640" s="271"/>
      <c r="M640" s="271"/>
      <c r="N640" s="271"/>
      <c r="O640" s="271"/>
      <c r="P640" s="271"/>
      <c r="Q640" s="271"/>
      <c r="R640" s="5"/>
      <c r="S640" s="25"/>
      <c r="T640" s="5"/>
    </row>
    <row r="641" spans="1:20" s="3" customFormat="1" x14ac:dyDescent="0.25">
      <c r="A641" s="21" t="s">
        <v>450</v>
      </c>
      <c r="B641" s="246" t="s">
        <v>338</v>
      </c>
      <c r="C641" s="246"/>
      <c r="D641" s="246"/>
      <c r="E641" s="246" t="s">
        <v>34</v>
      </c>
      <c r="F641" s="202" t="s">
        <v>333</v>
      </c>
      <c r="G641" s="55">
        <v>642.4</v>
      </c>
      <c r="H641" s="262">
        <f t="shared" ref="H641:Q642" si="77">G641</f>
        <v>642.4</v>
      </c>
      <c r="I641" s="262">
        <f t="shared" si="77"/>
        <v>642.4</v>
      </c>
      <c r="J641" s="262">
        <f t="shared" si="77"/>
        <v>642.4</v>
      </c>
      <c r="K641" s="262">
        <f t="shared" si="77"/>
        <v>642.4</v>
      </c>
      <c r="L641" s="262">
        <f t="shared" si="77"/>
        <v>642.4</v>
      </c>
      <c r="M641" s="262">
        <f t="shared" si="77"/>
        <v>642.4</v>
      </c>
      <c r="N641" s="262">
        <f t="shared" si="77"/>
        <v>642.4</v>
      </c>
      <c r="O641" s="262">
        <f t="shared" si="77"/>
        <v>642.4</v>
      </c>
      <c r="P641" s="262">
        <f t="shared" si="77"/>
        <v>642.4</v>
      </c>
      <c r="Q641" s="262">
        <f t="shared" si="77"/>
        <v>642.4</v>
      </c>
      <c r="R641" s="5"/>
      <c r="S641" s="25"/>
      <c r="T641" s="5"/>
    </row>
    <row r="642" spans="1:20" s="3" customFormat="1" x14ac:dyDescent="0.25">
      <c r="A642" s="21" t="s">
        <v>450</v>
      </c>
      <c r="B642" s="246" t="s">
        <v>152</v>
      </c>
      <c r="C642" s="246"/>
      <c r="D642" s="246"/>
      <c r="E642" s="246" t="s">
        <v>321</v>
      </c>
      <c r="F642" s="202" t="s">
        <v>333</v>
      </c>
      <c r="G642" s="55">
        <v>2647.9160000000002</v>
      </c>
      <c r="H642" s="262">
        <f t="shared" si="77"/>
        <v>2647.9160000000002</v>
      </c>
      <c r="I642" s="262">
        <f t="shared" si="77"/>
        <v>2647.9160000000002</v>
      </c>
      <c r="J642" s="262">
        <f t="shared" si="77"/>
        <v>2647.9160000000002</v>
      </c>
      <c r="K642" s="262">
        <f t="shared" si="77"/>
        <v>2647.9160000000002</v>
      </c>
      <c r="L642" s="262">
        <f t="shared" si="77"/>
        <v>2647.9160000000002</v>
      </c>
      <c r="M642" s="262">
        <f t="shared" si="77"/>
        <v>2647.9160000000002</v>
      </c>
      <c r="N642" s="262">
        <f t="shared" si="77"/>
        <v>2647.9160000000002</v>
      </c>
      <c r="O642" s="262">
        <f t="shared" si="77"/>
        <v>2647.9160000000002</v>
      </c>
      <c r="P642" s="262">
        <f t="shared" si="77"/>
        <v>2647.9160000000002</v>
      </c>
      <c r="Q642" s="262">
        <f t="shared" si="77"/>
        <v>2647.9160000000002</v>
      </c>
      <c r="R642" s="5"/>
      <c r="S642" s="25"/>
      <c r="T642" s="5"/>
    </row>
    <row r="643" spans="1:20" s="3" customFormat="1" x14ac:dyDescent="0.25">
      <c r="A643" s="21" t="s">
        <v>450</v>
      </c>
      <c r="B643" s="246" t="s">
        <v>383</v>
      </c>
      <c r="C643" s="246"/>
      <c r="D643" s="246"/>
      <c r="E643" s="246" t="s">
        <v>97</v>
      </c>
      <c r="F643" s="202" t="s">
        <v>333</v>
      </c>
      <c r="G643" s="271"/>
      <c r="H643" s="271"/>
      <c r="I643" s="271"/>
      <c r="J643" s="271"/>
      <c r="K643" s="271"/>
      <c r="L643" s="271"/>
      <c r="M643" s="271"/>
      <c r="N643" s="271"/>
      <c r="O643" s="271"/>
      <c r="P643" s="271"/>
      <c r="Q643" s="271"/>
      <c r="R643" s="5"/>
      <c r="S643" s="25"/>
      <c r="T643" s="5"/>
    </row>
    <row r="644" spans="1:20" s="3" customFormat="1" x14ac:dyDescent="0.25">
      <c r="A644" s="21" t="s">
        <v>450</v>
      </c>
      <c r="B644" s="246" t="s">
        <v>446</v>
      </c>
      <c r="C644" s="246"/>
      <c r="D644" s="246"/>
      <c r="E644" s="246" t="s">
        <v>34</v>
      </c>
      <c r="F644" s="202" t="s">
        <v>333</v>
      </c>
      <c r="G644" s="55"/>
      <c r="H644" s="55"/>
      <c r="I644" s="55"/>
      <c r="J644" s="55"/>
      <c r="K644" s="55"/>
      <c r="L644" s="55"/>
      <c r="M644" s="55"/>
      <c r="N644" s="55"/>
      <c r="O644" s="55"/>
      <c r="P644" s="55"/>
      <c r="Q644" s="55"/>
      <c r="R644" s="5"/>
      <c r="S644" s="25"/>
      <c r="T644" s="5"/>
    </row>
    <row r="645" spans="1:20" s="3" customFormat="1" x14ac:dyDescent="0.25">
      <c r="A645" s="21" t="s">
        <v>450</v>
      </c>
      <c r="B645" s="246" t="s">
        <v>387</v>
      </c>
      <c r="C645" s="246"/>
      <c r="D645" s="246"/>
      <c r="E645" s="246"/>
      <c r="F645" s="202" t="s">
        <v>333</v>
      </c>
      <c r="G645" s="54"/>
      <c r="H645" s="54"/>
      <c r="I645" s="54"/>
      <c r="J645" s="54"/>
      <c r="K645" s="54"/>
      <c r="L645" s="54"/>
      <c r="M645" s="54"/>
      <c r="N645" s="54"/>
      <c r="O645" s="54"/>
      <c r="P645" s="54"/>
      <c r="Q645" s="54"/>
      <c r="R645" s="5"/>
      <c r="S645" s="25"/>
      <c r="T645" s="5"/>
    </row>
    <row r="646" spans="1:20" s="3" customFormat="1" x14ac:dyDescent="0.25">
      <c r="A646" s="21" t="s">
        <v>450</v>
      </c>
      <c r="B646" s="246" t="s">
        <v>369</v>
      </c>
      <c r="C646" s="246"/>
      <c r="D646" s="246"/>
      <c r="E646" s="246" t="s">
        <v>97</v>
      </c>
      <c r="F646" s="202" t="s">
        <v>333</v>
      </c>
      <c r="G646" s="271"/>
      <c r="H646" s="271"/>
      <c r="I646" s="271"/>
      <c r="J646" s="271"/>
      <c r="K646" s="271"/>
      <c r="L646" s="271"/>
      <c r="M646" s="271"/>
      <c r="N646" s="271"/>
      <c r="O646" s="271"/>
      <c r="P646" s="271"/>
      <c r="Q646" s="271"/>
      <c r="R646" s="5"/>
      <c r="S646" s="25"/>
      <c r="T646" s="5"/>
    </row>
    <row r="647" spans="1:20" s="3" customFormat="1" x14ac:dyDescent="0.25">
      <c r="A647" s="21" t="s">
        <v>450</v>
      </c>
      <c r="B647" s="246" t="s">
        <v>392</v>
      </c>
      <c r="C647" s="246"/>
      <c r="D647" s="246"/>
      <c r="E647" s="246" t="s">
        <v>321</v>
      </c>
      <c r="F647" s="202" t="s">
        <v>333</v>
      </c>
      <c r="G647" s="55">
        <v>1221.6890000000001</v>
      </c>
      <c r="H647" s="262">
        <f t="shared" ref="H647:Q647" si="78">G647</f>
        <v>1221.6890000000001</v>
      </c>
      <c r="I647" s="262">
        <f t="shared" si="78"/>
        <v>1221.6890000000001</v>
      </c>
      <c r="J647" s="262">
        <f t="shared" si="78"/>
        <v>1221.6890000000001</v>
      </c>
      <c r="K647" s="262">
        <f t="shared" si="78"/>
        <v>1221.6890000000001</v>
      </c>
      <c r="L647" s="262">
        <f t="shared" si="78"/>
        <v>1221.6890000000001</v>
      </c>
      <c r="M647" s="262">
        <f t="shared" si="78"/>
        <v>1221.6890000000001</v>
      </c>
      <c r="N647" s="262">
        <f t="shared" si="78"/>
        <v>1221.6890000000001</v>
      </c>
      <c r="O647" s="262">
        <f t="shared" si="78"/>
        <v>1221.6890000000001</v>
      </c>
      <c r="P647" s="262">
        <f t="shared" si="78"/>
        <v>1221.6890000000001</v>
      </c>
      <c r="Q647" s="262">
        <f t="shared" si="78"/>
        <v>1221.6890000000001</v>
      </c>
      <c r="R647" s="5"/>
      <c r="S647" s="25"/>
      <c r="T647" s="5"/>
    </row>
    <row r="648" spans="1:20" s="3" customFormat="1" x14ac:dyDescent="0.25">
      <c r="A648" s="21" t="s">
        <v>450</v>
      </c>
      <c r="B648" s="246" t="s">
        <v>394</v>
      </c>
      <c r="C648" s="246"/>
      <c r="D648" s="246"/>
      <c r="E648" s="246" t="s">
        <v>321</v>
      </c>
      <c r="F648" s="202" t="s">
        <v>333</v>
      </c>
      <c r="G648" s="55"/>
      <c r="H648" s="55"/>
      <c r="I648" s="55"/>
      <c r="J648" s="55"/>
      <c r="K648" s="55"/>
      <c r="L648" s="55"/>
      <c r="M648" s="55"/>
      <c r="N648" s="55"/>
      <c r="O648" s="55"/>
      <c r="P648" s="55"/>
      <c r="Q648" s="55"/>
      <c r="R648" s="5"/>
      <c r="S648" s="25"/>
      <c r="T648" s="5"/>
    </row>
    <row r="649" spans="1:20" s="3" customFormat="1" x14ac:dyDescent="0.25">
      <c r="A649" s="21" t="s">
        <v>450</v>
      </c>
      <c r="B649" s="246" t="s">
        <v>395</v>
      </c>
      <c r="C649" s="246"/>
      <c r="D649" s="246"/>
      <c r="E649" s="246"/>
      <c r="F649" s="202" t="s">
        <v>333</v>
      </c>
      <c r="G649" s="54"/>
      <c r="H649" s="54"/>
      <c r="I649" s="54"/>
      <c r="J649" s="54"/>
      <c r="K649" s="54"/>
      <c r="L649" s="54"/>
      <c r="M649" s="54"/>
      <c r="N649" s="54"/>
      <c r="O649" s="54"/>
      <c r="P649" s="54"/>
      <c r="Q649" s="54"/>
      <c r="R649" s="5"/>
      <c r="S649" s="25"/>
      <c r="T649" s="5"/>
    </row>
    <row r="650" spans="1:20" s="3" customFormat="1" x14ac:dyDescent="0.25">
      <c r="A650" s="21" t="s">
        <v>450</v>
      </c>
      <c r="B650" s="246" t="s">
        <v>396</v>
      </c>
      <c r="C650" s="246"/>
      <c r="D650" s="246"/>
      <c r="E650" s="246"/>
      <c r="F650" s="202" t="s">
        <v>333</v>
      </c>
      <c r="G650" s="54"/>
      <c r="H650" s="54"/>
      <c r="I650" s="54"/>
      <c r="J650" s="54"/>
      <c r="K650" s="54"/>
      <c r="L650" s="54"/>
      <c r="M650" s="54"/>
      <c r="N650" s="54"/>
      <c r="O650" s="54"/>
      <c r="P650" s="54"/>
      <c r="Q650" s="54"/>
      <c r="R650" s="5"/>
      <c r="S650" s="25"/>
      <c r="T650" s="5"/>
    </row>
    <row r="651" spans="1:20" s="3" customFormat="1" x14ac:dyDescent="0.25">
      <c r="A651" s="21" t="s">
        <v>450</v>
      </c>
      <c r="B651" s="246" t="s">
        <v>393</v>
      </c>
      <c r="C651" s="246"/>
      <c r="D651" s="246"/>
      <c r="E651" s="246" t="s">
        <v>322</v>
      </c>
      <c r="F651" s="202" t="s">
        <v>333</v>
      </c>
      <c r="G651" s="55"/>
      <c r="H651" s="55"/>
      <c r="I651" s="55"/>
      <c r="J651" s="55"/>
      <c r="K651" s="55"/>
      <c r="L651" s="55"/>
      <c r="M651" s="55"/>
      <c r="N651" s="55"/>
      <c r="O651" s="55"/>
      <c r="P651" s="55"/>
      <c r="Q651" s="55"/>
      <c r="R651" s="5"/>
      <c r="S651" s="25"/>
      <c r="T651" s="5"/>
    </row>
    <row r="652" spans="1:20" s="3" customFormat="1" x14ac:dyDescent="0.25">
      <c r="A652" s="21" t="s">
        <v>450</v>
      </c>
      <c r="B652" s="246" t="s">
        <v>397</v>
      </c>
      <c r="C652" s="246"/>
      <c r="D652" s="246"/>
      <c r="E652" s="246" t="s">
        <v>322</v>
      </c>
      <c r="F652" s="202" t="s">
        <v>333</v>
      </c>
      <c r="G652" s="55"/>
      <c r="H652" s="55"/>
      <c r="I652" s="55"/>
      <c r="J652" s="55"/>
      <c r="K652" s="55"/>
      <c r="L652" s="55"/>
      <c r="M652" s="55"/>
      <c r="N652" s="55"/>
      <c r="O652" s="55"/>
      <c r="P652" s="55"/>
      <c r="Q652" s="55"/>
      <c r="R652" s="5"/>
      <c r="S652" s="25"/>
      <c r="T652" s="5"/>
    </row>
    <row r="653" spans="1:20" s="3" customFormat="1" x14ac:dyDescent="0.25">
      <c r="A653" s="21" t="s">
        <v>450</v>
      </c>
      <c r="B653" s="246" t="s">
        <v>398</v>
      </c>
      <c r="C653" s="246"/>
      <c r="D653" s="246"/>
      <c r="E653" s="246"/>
      <c r="F653" s="202" t="s">
        <v>333</v>
      </c>
      <c r="G653" s="54"/>
      <c r="H653" s="54"/>
      <c r="I653" s="54"/>
      <c r="J653" s="54"/>
      <c r="K653" s="54"/>
      <c r="L653" s="54"/>
      <c r="M653" s="54"/>
      <c r="N653" s="54"/>
      <c r="O653" s="54"/>
      <c r="P653" s="54"/>
      <c r="Q653" s="54"/>
      <c r="R653" s="5"/>
      <c r="S653" s="25"/>
      <c r="T653" s="5"/>
    </row>
    <row r="654" spans="1:20" s="3" customFormat="1" x14ac:dyDescent="0.25">
      <c r="A654" s="21" t="s">
        <v>450</v>
      </c>
      <c r="B654" s="246" t="s">
        <v>399</v>
      </c>
      <c r="C654" s="246"/>
      <c r="D654" s="246"/>
      <c r="E654" s="246"/>
      <c r="F654" s="202" t="s">
        <v>333</v>
      </c>
      <c r="G654" s="54"/>
      <c r="H654" s="54"/>
      <c r="I654" s="54"/>
      <c r="J654" s="54"/>
      <c r="K654" s="54"/>
      <c r="L654" s="54"/>
      <c r="M654" s="54"/>
      <c r="N654" s="54"/>
      <c r="O654" s="54"/>
      <c r="P654" s="54"/>
      <c r="Q654" s="54"/>
      <c r="R654" s="5"/>
      <c r="S654" s="25"/>
      <c r="T654" s="5"/>
    </row>
    <row r="655" spans="1:20" s="3" customFormat="1" x14ac:dyDescent="0.25">
      <c r="A655" s="21" t="s">
        <v>450</v>
      </c>
      <c r="B655" s="246" t="s">
        <v>310</v>
      </c>
      <c r="C655" s="246"/>
      <c r="D655" s="246"/>
      <c r="E655" s="246" t="s">
        <v>322</v>
      </c>
      <c r="F655" s="202" t="s">
        <v>333</v>
      </c>
      <c r="G655" s="55">
        <v>12.217000000000001</v>
      </c>
      <c r="H655" s="262">
        <f t="shared" ref="H655:Q655" si="79">G655</f>
        <v>12.217000000000001</v>
      </c>
      <c r="I655" s="262">
        <f t="shared" si="79"/>
        <v>12.217000000000001</v>
      </c>
      <c r="J655" s="262">
        <f t="shared" si="79"/>
        <v>12.217000000000001</v>
      </c>
      <c r="K655" s="262">
        <f t="shared" si="79"/>
        <v>12.217000000000001</v>
      </c>
      <c r="L655" s="262">
        <f t="shared" si="79"/>
        <v>12.217000000000001</v>
      </c>
      <c r="M655" s="262">
        <f t="shared" si="79"/>
        <v>12.217000000000001</v>
      </c>
      <c r="N655" s="262">
        <f t="shared" si="79"/>
        <v>12.217000000000001</v>
      </c>
      <c r="O655" s="262">
        <f t="shared" si="79"/>
        <v>12.217000000000001</v>
      </c>
      <c r="P655" s="262">
        <f t="shared" si="79"/>
        <v>12.217000000000001</v>
      </c>
      <c r="Q655" s="262">
        <f t="shared" si="79"/>
        <v>12.217000000000001</v>
      </c>
      <c r="R655" s="5"/>
      <c r="S655" s="25"/>
      <c r="T655" s="5"/>
    </row>
    <row r="656" spans="1:20" s="3" customFormat="1" x14ac:dyDescent="0.25">
      <c r="A656" s="21" t="s">
        <v>450</v>
      </c>
      <c r="B656" s="246" t="s">
        <v>360</v>
      </c>
      <c r="C656" s="246"/>
      <c r="D656" s="246"/>
      <c r="E656" s="246" t="s">
        <v>321</v>
      </c>
      <c r="F656" s="202" t="s">
        <v>333</v>
      </c>
      <c r="G656" s="55"/>
      <c r="H656" s="55"/>
      <c r="I656" s="55"/>
      <c r="J656" s="55"/>
      <c r="K656" s="55"/>
      <c r="L656" s="55"/>
      <c r="M656" s="55"/>
      <c r="N656" s="55"/>
      <c r="O656" s="55"/>
      <c r="P656" s="55"/>
      <c r="Q656" s="55"/>
      <c r="R656" s="5"/>
      <c r="S656" s="25"/>
      <c r="T656" s="5"/>
    </row>
    <row r="657" spans="1:20" s="3" customFormat="1" x14ac:dyDescent="0.25">
      <c r="A657" s="21" t="s">
        <v>450</v>
      </c>
      <c r="B657" s="67" t="s">
        <v>306</v>
      </c>
      <c r="C657" s="25"/>
      <c r="D657" s="2" t="s">
        <v>469</v>
      </c>
      <c r="E657" s="67" t="s">
        <v>334</v>
      </c>
      <c r="F657" s="202" t="s">
        <v>333</v>
      </c>
      <c r="G657" s="54">
        <v>0.22700000000000001</v>
      </c>
      <c r="H657" s="54">
        <v>0.22700000000000001</v>
      </c>
      <c r="I657" s="54">
        <v>0.22700000000000001</v>
      </c>
      <c r="J657" s="54">
        <v>0.22700000000000001</v>
      </c>
      <c r="K657" s="54">
        <v>0.22700000000000001</v>
      </c>
      <c r="L657" s="54">
        <v>0.22700000000000001</v>
      </c>
      <c r="M657" s="54">
        <v>0.22700000000000001</v>
      </c>
      <c r="N657" s="54">
        <v>0.22700000000000001</v>
      </c>
      <c r="O657" s="54">
        <v>0.22700000000000001</v>
      </c>
      <c r="P657" s="54">
        <v>0.22700000000000001</v>
      </c>
      <c r="Q657" s="54">
        <v>0.22700000000000001</v>
      </c>
      <c r="R657" s="5"/>
      <c r="S657" s="25"/>
      <c r="T657" s="5"/>
    </row>
    <row r="658" spans="1:20" s="3" customFormat="1" x14ac:dyDescent="0.25">
      <c r="A658" s="21" t="s">
        <v>450</v>
      </c>
      <c r="B658" s="4"/>
      <c r="C658" s="13"/>
      <c r="D658" s="4"/>
      <c r="E658" s="4"/>
      <c r="F658" s="9"/>
      <c r="G658" s="4"/>
      <c r="H658" s="4"/>
      <c r="I658" s="4"/>
      <c r="J658" s="4"/>
      <c r="K658" s="4"/>
      <c r="L658" s="4"/>
      <c r="M658" s="4"/>
      <c r="N658" s="4"/>
      <c r="O658" s="4"/>
      <c r="P658" s="4"/>
      <c r="Q658" s="4"/>
      <c r="R658" s="5"/>
      <c r="S658" s="13"/>
      <c r="T658" s="5"/>
    </row>
    <row r="659" spans="1:20" s="3" customFormat="1" x14ac:dyDescent="0.25">
      <c r="A659" s="359" t="s">
        <v>113</v>
      </c>
      <c r="B659" s="4"/>
      <c r="C659" s="13"/>
      <c r="D659" s="4"/>
      <c r="E659" s="4"/>
      <c r="F659" s="9"/>
      <c r="G659" s="4"/>
      <c r="H659" s="4"/>
      <c r="I659" s="4"/>
      <c r="J659" s="4"/>
      <c r="K659" s="4"/>
      <c r="L659" s="4"/>
      <c r="M659" s="4"/>
      <c r="N659" s="4"/>
      <c r="O659" s="4"/>
      <c r="P659" s="4"/>
      <c r="Q659" s="4"/>
      <c r="R659" s="5"/>
      <c r="S659" s="13"/>
      <c r="T659" s="5"/>
    </row>
    <row r="660" spans="1:20" s="3" customFormat="1" x14ac:dyDescent="0.25">
      <c r="A660" s="21" t="s">
        <v>450</v>
      </c>
      <c r="B660" s="67" t="s">
        <v>305</v>
      </c>
      <c r="C660" s="13"/>
      <c r="D660" s="67" t="s">
        <v>467</v>
      </c>
      <c r="E660" s="67" t="s">
        <v>320</v>
      </c>
      <c r="F660" s="202" t="str">
        <f>A659</f>
        <v>Dishwashing</v>
      </c>
      <c r="G660" s="55"/>
      <c r="H660" s="55"/>
      <c r="I660" s="55"/>
      <c r="J660" s="55"/>
      <c r="K660" s="55"/>
      <c r="L660" s="55"/>
      <c r="M660" s="55"/>
      <c r="N660" s="55"/>
      <c r="O660" s="55"/>
      <c r="P660" s="55"/>
      <c r="Q660" s="55"/>
      <c r="R660" s="5"/>
      <c r="S660" s="13"/>
      <c r="T660" s="5"/>
    </row>
    <row r="661" spans="1:20" s="3" customFormat="1" x14ac:dyDescent="0.25">
      <c r="A661" s="21" t="s">
        <v>450</v>
      </c>
      <c r="B661" s="67" t="s">
        <v>47</v>
      </c>
      <c r="C661" s="13"/>
      <c r="D661" s="2"/>
      <c r="E661" s="2"/>
      <c r="F661" s="202" t="s">
        <v>21</v>
      </c>
      <c r="G661" s="4"/>
      <c r="H661" s="4"/>
      <c r="I661" s="4"/>
      <c r="J661" s="4"/>
      <c r="K661" s="4"/>
      <c r="L661" s="4"/>
      <c r="M661" s="4"/>
      <c r="N661" s="4"/>
      <c r="O661" s="4"/>
      <c r="P661" s="4"/>
      <c r="Q661" s="4"/>
      <c r="R661" s="5"/>
      <c r="S661" s="13"/>
      <c r="T661" s="5"/>
    </row>
    <row r="662" spans="1:20" s="3" customFormat="1" x14ac:dyDescent="0.25">
      <c r="A662" s="21" t="s">
        <v>450</v>
      </c>
      <c r="B662" s="67" t="s">
        <v>66</v>
      </c>
      <c r="C662" s="13"/>
      <c r="D662" s="2"/>
      <c r="E662" s="2"/>
      <c r="F662" s="202" t="s">
        <v>35</v>
      </c>
      <c r="G662" s="4">
        <v>10</v>
      </c>
      <c r="H662" s="209">
        <f t="shared" ref="H662:Q662" si="80">G662</f>
        <v>10</v>
      </c>
      <c r="I662" s="209">
        <f t="shared" si="80"/>
        <v>10</v>
      </c>
      <c r="J662" s="209">
        <f t="shared" si="80"/>
        <v>10</v>
      </c>
      <c r="K662" s="209">
        <f t="shared" si="80"/>
        <v>10</v>
      </c>
      <c r="L662" s="209">
        <f t="shared" si="80"/>
        <v>10</v>
      </c>
      <c r="M662" s="209">
        <f t="shared" si="80"/>
        <v>10</v>
      </c>
      <c r="N662" s="209">
        <f t="shared" si="80"/>
        <v>10</v>
      </c>
      <c r="O662" s="209">
        <f t="shared" si="80"/>
        <v>10</v>
      </c>
      <c r="P662" s="209">
        <f t="shared" si="80"/>
        <v>10</v>
      </c>
      <c r="Q662" s="209">
        <f t="shared" si="80"/>
        <v>10</v>
      </c>
      <c r="R662" s="5"/>
      <c r="S662" s="13"/>
      <c r="T662" s="5"/>
    </row>
    <row r="663" spans="1:20" s="3" customFormat="1" x14ac:dyDescent="0.25">
      <c r="A663" s="21" t="s">
        <v>450</v>
      </c>
      <c r="B663" s="67" t="s">
        <v>51</v>
      </c>
      <c r="C663" s="13"/>
      <c r="D663" s="2"/>
      <c r="E663" s="2"/>
      <c r="F663" s="202" t="s">
        <v>410</v>
      </c>
      <c r="G663" s="4"/>
      <c r="H663" s="4"/>
      <c r="I663" s="4"/>
      <c r="J663" s="4"/>
      <c r="K663" s="4"/>
      <c r="L663" s="4"/>
      <c r="M663" s="4"/>
      <c r="N663" s="4"/>
      <c r="O663" s="4"/>
      <c r="P663" s="4"/>
      <c r="Q663" s="4"/>
      <c r="R663" s="5"/>
      <c r="S663" s="13"/>
      <c r="T663" s="5"/>
    </row>
    <row r="664" spans="1:20" s="3" customFormat="1" x14ac:dyDescent="0.25">
      <c r="A664" s="21" t="s">
        <v>450</v>
      </c>
      <c r="B664" s="246" t="s">
        <v>38</v>
      </c>
      <c r="C664" s="246"/>
      <c r="D664" s="246"/>
      <c r="E664" s="246" t="s">
        <v>40</v>
      </c>
      <c r="F664" s="202" t="s">
        <v>410</v>
      </c>
      <c r="G664" s="277">
        <v>1987</v>
      </c>
      <c r="H664" s="278">
        <f t="shared" ref="H664:Q666" si="81">G664</f>
        <v>1987</v>
      </c>
      <c r="I664" s="278">
        <f t="shared" si="81"/>
        <v>1987</v>
      </c>
      <c r="J664" s="278">
        <f t="shared" si="81"/>
        <v>1987</v>
      </c>
      <c r="K664" s="278">
        <f t="shared" si="81"/>
        <v>1987</v>
      </c>
      <c r="L664" s="278">
        <f t="shared" si="81"/>
        <v>1987</v>
      </c>
      <c r="M664" s="278">
        <f t="shared" si="81"/>
        <v>1987</v>
      </c>
      <c r="N664" s="278">
        <f t="shared" si="81"/>
        <v>1987</v>
      </c>
      <c r="O664" s="278">
        <f t="shared" si="81"/>
        <v>1987</v>
      </c>
      <c r="P664" s="278">
        <f t="shared" si="81"/>
        <v>1987</v>
      </c>
      <c r="Q664" s="278">
        <f t="shared" si="81"/>
        <v>1987</v>
      </c>
      <c r="R664" s="5"/>
      <c r="S664" s="25"/>
      <c r="T664" s="5"/>
    </row>
    <row r="665" spans="1:20" s="3" customFormat="1" x14ac:dyDescent="0.25">
      <c r="A665" s="21" t="s">
        <v>450</v>
      </c>
      <c r="B665" s="246" t="s">
        <v>37</v>
      </c>
      <c r="C665" s="246"/>
      <c r="D665" s="246"/>
      <c r="E665" s="246" t="s">
        <v>40</v>
      </c>
      <c r="F665" s="202" t="s">
        <v>410</v>
      </c>
      <c r="G665" s="277">
        <v>2000</v>
      </c>
      <c r="H665" s="278">
        <f t="shared" si="81"/>
        <v>2000</v>
      </c>
      <c r="I665" s="278">
        <f t="shared" si="81"/>
        <v>2000</v>
      </c>
      <c r="J665" s="278">
        <f t="shared" si="81"/>
        <v>2000</v>
      </c>
      <c r="K665" s="278">
        <f t="shared" si="81"/>
        <v>2000</v>
      </c>
      <c r="L665" s="278">
        <f t="shared" si="81"/>
        <v>2000</v>
      </c>
      <c r="M665" s="278">
        <f t="shared" si="81"/>
        <v>2000</v>
      </c>
      <c r="N665" s="278">
        <f t="shared" si="81"/>
        <v>2000</v>
      </c>
      <c r="O665" s="278">
        <f t="shared" si="81"/>
        <v>2000</v>
      </c>
      <c r="P665" s="278">
        <f t="shared" si="81"/>
        <v>2000</v>
      </c>
      <c r="Q665" s="278">
        <f t="shared" si="81"/>
        <v>2000</v>
      </c>
      <c r="R665" s="5"/>
      <c r="S665" s="25"/>
      <c r="T665" s="5"/>
    </row>
    <row r="666" spans="1:20" s="3" customFormat="1" x14ac:dyDescent="0.25">
      <c r="A666" s="21" t="s">
        <v>450</v>
      </c>
      <c r="B666" s="246" t="s">
        <v>39</v>
      </c>
      <c r="C666" s="246"/>
      <c r="D666" s="246"/>
      <c r="E666" s="246" t="s">
        <v>10</v>
      </c>
      <c r="F666" s="202" t="s">
        <v>410</v>
      </c>
      <c r="G666" s="55">
        <v>13</v>
      </c>
      <c r="H666" s="262">
        <f t="shared" si="81"/>
        <v>13</v>
      </c>
      <c r="I666" s="262">
        <f t="shared" si="81"/>
        <v>13</v>
      </c>
      <c r="J666" s="262">
        <f t="shared" si="81"/>
        <v>13</v>
      </c>
      <c r="K666" s="262">
        <f t="shared" si="81"/>
        <v>13</v>
      </c>
      <c r="L666" s="262">
        <f t="shared" si="81"/>
        <v>13</v>
      </c>
      <c r="M666" s="262">
        <f t="shared" si="81"/>
        <v>13</v>
      </c>
      <c r="N666" s="262">
        <f t="shared" si="81"/>
        <v>13</v>
      </c>
      <c r="O666" s="262">
        <f t="shared" si="81"/>
        <v>13</v>
      </c>
      <c r="P666" s="262">
        <f t="shared" si="81"/>
        <v>13</v>
      </c>
      <c r="Q666" s="262">
        <f t="shared" si="81"/>
        <v>13</v>
      </c>
      <c r="R666" s="5"/>
      <c r="S666" s="25"/>
      <c r="T666" s="5"/>
    </row>
    <row r="667" spans="1:20" s="3" customFormat="1" x14ac:dyDescent="0.25">
      <c r="A667" s="21" t="s">
        <v>450</v>
      </c>
      <c r="B667" s="246" t="s">
        <v>361</v>
      </c>
      <c r="C667" s="246"/>
      <c r="D667" s="246"/>
      <c r="E667" s="246" t="s">
        <v>10</v>
      </c>
      <c r="F667" s="202" t="s">
        <v>410</v>
      </c>
      <c r="G667" s="55"/>
      <c r="H667" s="55"/>
      <c r="I667" s="55"/>
      <c r="J667" s="55"/>
      <c r="K667" s="55"/>
      <c r="L667" s="55"/>
      <c r="M667" s="55"/>
      <c r="N667" s="55"/>
      <c r="O667" s="55"/>
      <c r="P667" s="55"/>
      <c r="Q667" s="55"/>
      <c r="R667" s="5"/>
      <c r="S667" s="25"/>
      <c r="T667" s="5"/>
    </row>
    <row r="668" spans="1:20" s="3" customFormat="1" x14ac:dyDescent="0.25">
      <c r="A668" s="21" t="s">
        <v>450</v>
      </c>
      <c r="B668" s="246" t="s">
        <v>309</v>
      </c>
      <c r="C668" s="246"/>
      <c r="D668" s="246"/>
      <c r="E668" s="246" t="s">
        <v>97</v>
      </c>
      <c r="F668" s="202" t="s">
        <v>410</v>
      </c>
      <c r="G668" s="271">
        <v>0.3</v>
      </c>
      <c r="H668" s="274">
        <f t="shared" ref="H668:Q668" si="82">G668</f>
        <v>0.3</v>
      </c>
      <c r="I668" s="274">
        <f t="shared" si="82"/>
        <v>0.3</v>
      </c>
      <c r="J668" s="274">
        <f t="shared" si="82"/>
        <v>0.3</v>
      </c>
      <c r="K668" s="274">
        <f t="shared" si="82"/>
        <v>0.3</v>
      </c>
      <c r="L668" s="274">
        <f t="shared" si="82"/>
        <v>0.3</v>
      </c>
      <c r="M668" s="274">
        <f t="shared" si="82"/>
        <v>0.3</v>
      </c>
      <c r="N668" s="274">
        <f t="shared" si="82"/>
        <v>0.3</v>
      </c>
      <c r="O668" s="274">
        <f t="shared" si="82"/>
        <v>0.3</v>
      </c>
      <c r="P668" s="274">
        <f t="shared" si="82"/>
        <v>0.3</v>
      </c>
      <c r="Q668" s="274">
        <f t="shared" si="82"/>
        <v>0.3</v>
      </c>
      <c r="R668" s="5"/>
      <c r="S668" s="25"/>
      <c r="T668" s="5"/>
    </row>
    <row r="669" spans="1:20" s="3" customFormat="1" x14ac:dyDescent="0.25">
      <c r="A669" s="21" t="s">
        <v>450</v>
      </c>
      <c r="B669" s="246" t="s">
        <v>358</v>
      </c>
      <c r="C669" s="246"/>
      <c r="D669" s="246"/>
      <c r="E669" s="246" t="s">
        <v>97</v>
      </c>
      <c r="F669" s="202" t="s">
        <v>410</v>
      </c>
      <c r="G669" s="271"/>
      <c r="H669" s="271"/>
      <c r="I669" s="271"/>
      <c r="J669" s="271"/>
      <c r="K669" s="271"/>
      <c r="L669" s="271"/>
      <c r="M669" s="271"/>
      <c r="N669" s="271"/>
      <c r="O669" s="271"/>
      <c r="P669" s="271"/>
      <c r="Q669" s="271"/>
      <c r="R669" s="5"/>
      <c r="S669" s="25"/>
      <c r="T669" s="5"/>
    </row>
    <row r="670" spans="1:20" s="3" customFormat="1" x14ac:dyDescent="0.25">
      <c r="A670" s="21" t="s">
        <v>450</v>
      </c>
      <c r="B670" s="246" t="s">
        <v>357</v>
      </c>
      <c r="C670" s="246"/>
      <c r="D670" s="246"/>
      <c r="E670" s="246" t="s">
        <v>97</v>
      </c>
      <c r="F670" s="202" t="s">
        <v>410</v>
      </c>
      <c r="G670" s="271"/>
      <c r="H670" s="271"/>
      <c r="I670" s="271"/>
      <c r="J670" s="271"/>
      <c r="K670" s="271"/>
      <c r="L670" s="271"/>
      <c r="M670" s="271"/>
      <c r="N670" s="271"/>
      <c r="O670" s="271"/>
      <c r="P670" s="271"/>
      <c r="Q670" s="271"/>
      <c r="R670" s="5"/>
      <c r="S670" s="25"/>
      <c r="T670" s="5"/>
    </row>
    <row r="671" spans="1:20" s="3" customFormat="1" x14ac:dyDescent="0.25">
      <c r="A671" s="21" t="s">
        <v>450</v>
      </c>
      <c r="B671" s="246" t="s">
        <v>75</v>
      </c>
      <c r="C671" s="246"/>
      <c r="D671" s="246"/>
      <c r="E671" s="246" t="s">
        <v>97</v>
      </c>
      <c r="F671" s="202" t="s">
        <v>410</v>
      </c>
      <c r="G671" s="271">
        <v>1</v>
      </c>
      <c r="H671" s="271"/>
      <c r="I671" s="271"/>
      <c r="J671" s="271"/>
      <c r="K671" s="271"/>
      <c r="L671" s="271"/>
      <c r="M671" s="271"/>
      <c r="N671" s="271"/>
      <c r="O671" s="271"/>
      <c r="P671" s="271"/>
      <c r="Q671" s="271"/>
      <c r="R671" s="5"/>
      <c r="S671" s="25"/>
      <c r="T671" s="5"/>
    </row>
    <row r="672" spans="1:20" s="3" customFormat="1" x14ac:dyDescent="0.25">
      <c r="A672" s="21" t="s">
        <v>450</v>
      </c>
      <c r="B672" s="68" t="s">
        <v>148</v>
      </c>
      <c r="C672" s="68"/>
      <c r="D672" s="251"/>
      <c r="E672" s="68" t="s">
        <v>97</v>
      </c>
      <c r="F672" s="202" t="s">
        <v>410</v>
      </c>
      <c r="G672" s="271"/>
      <c r="H672" s="271"/>
      <c r="I672" s="271"/>
      <c r="J672" s="271"/>
      <c r="K672" s="271"/>
      <c r="L672" s="271"/>
      <c r="M672" s="271"/>
      <c r="N672" s="271"/>
      <c r="O672" s="271"/>
      <c r="P672" s="271"/>
      <c r="Q672" s="271"/>
      <c r="R672" s="5"/>
      <c r="S672" s="25"/>
      <c r="T672" s="5"/>
    </row>
    <row r="673" spans="1:20" s="3" customFormat="1" x14ac:dyDescent="0.25">
      <c r="A673" s="21" t="s">
        <v>450</v>
      </c>
      <c r="B673" s="68" t="s">
        <v>149</v>
      </c>
      <c r="C673" s="68"/>
      <c r="D673" s="251"/>
      <c r="E673" s="68" t="s">
        <v>97</v>
      </c>
      <c r="F673" s="202" t="s">
        <v>410</v>
      </c>
      <c r="G673" s="271"/>
      <c r="H673" s="271"/>
      <c r="I673" s="271"/>
      <c r="J673" s="271"/>
      <c r="K673" s="271"/>
      <c r="L673" s="271"/>
      <c r="M673" s="271"/>
      <c r="N673" s="271"/>
      <c r="O673" s="271"/>
      <c r="P673" s="271"/>
      <c r="Q673" s="271"/>
      <c r="R673" s="5"/>
      <c r="S673" s="25"/>
      <c r="T673" s="5"/>
    </row>
    <row r="674" spans="1:20" s="3" customFormat="1" x14ac:dyDescent="0.25">
      <c r="A674" s="21" t="s">
        <v>450</v>
      </c>
      <c r="B674" s="68" t="s">
        <v>370</v>
      </c>
      <c r="C674" s="68"/>
      <c r="D674" s="251"/>
      <c r="E674" s="68" t="s">
        <v>97</v>
      </c>
      <c r="F674" s="202" t="s">
        <v>410</v>
      </c>
      <c r="G674" s="271"/>
      <c r="H674" s="271"/>
      <c r="I674" s="271"/>
      <c r="J674" s="271"/>
      <c r="K674" s="271"/>
      <c r="L674" s="271"/>
      <c r="M674" s="271"/>
      <c r="N674" s="271"/>
      <c r="O674" s="271"/>
      <c r="P674" s="271"/>
      <c r="Q674" s="271"/>
      <c r="R674" s="5"/>
      <c r="S674" s="25"/>
      <c r="T674" s="5"/>
    </row>
    <row r="675" spans="1:20" s="3" customFormat="1" x14ac:dyDescent="0.25">
      <c r="A675" s="21" t="s">
        <v>450</v>
      </c>
      <c r="B675" s="68" t="s">
        <v>371</v>
      </c>
      <c r="C675" s="68"/>
      <c r="D675" s="251"/>
      <c r="E675" s="68" t="s">
        <v>97</v>
      </c>
      <c r="F675" s="202" t="s">
        <v>410</v>
      </c>
      <c r="G675" s="271"/>
      <c r="H675" s="271"/>
      <c r="I675" s="271"/>
      <c r="J675" s="271"/>
      <c r="K675" s="271"/>
      <c r="L675" s="271"/>
      <c r="M675" s="271"/>
      <c r="N675" s="271"/>
      <c r="O675" s="271"/>
      <c r="P675" s="271"/>
      <c r="Q675" s="271"/>
      <c r="R675" s="5"/>
      <c r="S675" s="25"/>
      <c r="T675" s="5"/>
    </row>
    <row r="676" spans="1:20" s="3" customFormat="1" x14ac:dyDescent="0.25">
      <c r="A676" s="21" t="s">
        <v>450</v>
      </c>
      <c r="B676" s="246" t="s">
        <v>338</v>
      </c>
      <c r="C676" s="246"/>
      <c r="D676" s="246"/>
      <c r="E676" s="246" t="s">
        <v>320</v>
      </c>
      <c r="F676" s="202" t="s">
        <v>410</v>
      </c>
      <c r="G676" s="55">
        <v>1</v>
      </c>
      <c r="H676" s="262">
        <f t="shared" ref="H676:Q677" si="83">G676</f>
        <v>1</v>
      </c>
      <c r="I676" s="262">
        <f t="shared" si="83"/>
        <v>1</v>
      </c>
      <c r="J676" s="262">
        <f t="shared" si="83"/>
        <v>1</v>
      </c>
      <c r="K676" s="262">
        <f t="shared" si="83"/>
        <v>1</v>
      </c>
      <c r="L676" s="262">
        <f t="shared" si="83"/>
        <v>1</v>
      </c>
      <c r="M676" s="262">
        <f t="shared" si="83"/>
        <v>1</v>
      </c>
      <c r="N676" s="262">
        <f t="shared" si="83"/>
        <v>1</v>
      </c>
      <c r="O676" s="262">
        <f t="shared" si="83"/>
        <v>1</v>
      </c>
      <c r="P676" s="262">
        <f t="shared" si="83"/>
        <v>1</v>
      </c>
      <c r="Q676" s="262">
        <f t="shared" si="83"/>
        <v>1</v>
      </c>
      <c r="R676" s="5"/>
      <c r="S676" s="25"/>
      <c r="T676" s="5"/>
    </row>
    <row r="677" spans="1:20" s="3" customFormat="1" x14ac:dyDescent="0.25">
      <c r="A677" s="21" t="s">
        <v>450</v>
      </c>
      <c r="B677" s="246" t="s">
        <v>152</v>
      </c>
      <c r="C677" s="246"/>
      <c r="D677" s="246"/>
      <c r="E677" s="246" t="s">
        <v>321</v>
      </c>
      <c r="F677" s="202" t="s">
        <v>410</v>
      </c>
      <c r="G677" s="55">
        <v>746.44500000000005</v>
      </c>
      <c r="H677" s="262">
        <f t="shared" si="83"/>
        <v>746.44500000000005</v>
      </c>
      <c r="I677" s="262">
        <f t="shared" si="83"/>
        <v>746.44500000000005</v>
      </c>
      <c r="J677" s="262">
        <f t="shared" si="83"/>
        <v>746.44500000000005</v>
      </c>
      <c r="K677" s="262">
        <f t="shared" si="83"/>
        <v>746.44500000000005</v>
      </c>
      <c r="L677" s="262">
        <f t="shared" si="83"/>
        <v>746.44500000000005</v>
      </c>
      <c r="M677" s="262">
        <f t="shared" si="83"/>
        <v>746.44500000000005</v>
      </c>
      <c r="N677" s="262">
        <f t="shared" si="83"/>
        <v>746.44500000000005</v>
      </c>
      <c r="O677" s="262">
        <f t="shared" si="83"/>
        <v>746.44500000000005</v>
      </c>
      <c r="P677" s="262">
        <f t="shared" si="83"/>
        <v>746.44500000000005</v>
      </c>
      <c r="Q677" s="262">
        <f t="shared" si="83"/>
        <v>746.44500000000005</v>
      </c>
      <c r="R677" s="5"/>
      <c r="S677" s="25"/>
      <c r="T677" s="5"/>
    </row>
    <row r="678" spans="1:20" s="3" customFormat="1" x14ac:dyDescent="0.25">
      <c r="A678" s="21" t="s">
        <v>450</v>
      </c>
      <c r="B678" s="246" t="s">
        <v>383</v>
      </c>
      <c r="C678" s="246"/>
      <c r="D678" s="246"/>
      <c r="E678" s="246" t="s">
        <v>97</v>
      </c>
      <c r="F678" s="202" t="s">
        <v>410</v>
      </c>
      <c r="G678" s="271"/>
      <c r="H678" s="271"/>
      <c r="I678" s="271"/>
      <c r="J678" s="271"/>
      <c r="K678" s="271"/>
      <c r="L678" s="271"/>
      <c r="M678" s="271"/>
      <c r="N678" s="271"/>
      <c r="O678" s="271"/>
      <c r="P678" s="271"/>
      <c r="Q678" s="271"/>
      <c r="R678" s="5"/>
      <c r="S678" s="25"/>
      <c r="T678" s="5"/>
    </row>
    <row r="679" spans="1:20" s="3" customFormat="1" x14ac:dyDescent="0.25">
      <c r="A679" s="21" t="s">
        <v>450</v>
      </c>
      <c r="B679" s="246" t="s">
        <v>446</v>
      </c>
      <c r="C679" s="246"/>
      <c r="D679" s="246"/>
      <c r="E679" s="246" t="s">
        <v>320</v>
      </c>
      <c r="F679" s="202" t="s">
        <v>410</v>
      </c>
      <c r="G679" s="55"/>
      <c r="H679" s="55"/>
      <c r="I679" s="55"/>
      <c r="J679" s="55"/>
      <c r="K679" s="55"/>
      <c r="L679" s="55"/>
      <c r="M679" s="55"/>
      <c r="N679" s="55"/>
      <c r="O679" s="55"/>
      <c r="P679" s="55"/>
      <c r="Q679" s="55"/>
      <c r="R679" s="5"/>
      <c r="S679" s="25"/>
      <c r="T679" s="5"/>
    </row>
    <row r="680" spans="1:20" s="3" customFormat="1" x14ac:dyDescent="0.25">
      <c r="A680" s="21" t="s">
        <v>450</v>
      </c>
      <c r="B680" s="246" t="s">
        <v>387</v>
      </c>
      <c r="C680" s="246"/>
      <c r="D680" s="246"/>
      <c r="E680" s="246"/>
      <c r="F680" s="202" t="s">
        <v>410</v>
      </c>
      <c r="G680" s="54"/>
      <c r="H680" s="54"/>
      <c r="I680" s="54"/>
      <c r="J680" s="54"/>
      <c r="K680" s="54"/>
      <c r="L680" s="54"/>
      <c r="M680" s="54"/>
      <c r="N680" s="54"/>
      <c r="O680" s="54"/>
      <c r="P680" s="54"/>
      <c r="Q680" s="54"/>
      <c r="R680" s="5"/>
      <c r="S680" s="25"/>
      <c r="T680" s="5"/>
    </row>
    <row r="681" spans="1:20" s="3" customFormat="1" x14ac:dyDescent="0.25">
      <c r="A681" s="21" t="s">
        <v>450</v>
      </c>
      <c r="B681" s="246" t="s">
        <v>369</v>
      </c>
      <c r="C681" s="246"/>
      <c r="D681" s="246"/>
      <c r="E681" s="246" t="s">
        <v>97</v>
      </c>
      <c r="F681" s="202" t="s">
        <v>410</v>
      </c>
      <c r="G681" s="271"/>
      <c r="H681" s="271"/>
      <c r="I681" s="271"/>
      <c r="J681" s="271"/>
      <c r="K681" s="271"/>
      <c r="L681" s="271"/>
      <c r="M681" s="271"/>
      <c r="N681" s="271"/>
      <c r="O681" s="271"/>
      <c r="P681" s="271"/>
      <c r="Q681" s="271"/>
      <c r="R681" s="5"/>
      <c r="S681" s="25"/>
      <c r="T681" s="5"/>
    </row>
    <row r="682" spans="1:20" s="3" customFormat="1" x14ac:dyDescent="0.25">
      <c r="A682" s="21" t="s">
        <v>450</v>
      </c>
      <c r="B682" s="246" t="s">
        <v>392</v>
      </c>
      <c r="C682" s="246"/>
      <c r="D682" s="246"/>
      <c r="E682" s="246" t="s">
        <v>321</v>
      </c>
      <c r="F682" s="202" t="s">
        <v>410</v>
      </c>
      <c r="G682" s="55"/>
      <c r="H682" s="262">
        <f t="shared" ref="H682:Q682" si="84">G682</f>
        <v>0</v>
      </c>
      <c r="I682" s="262">
        <f t="shared" si="84"/>
        <v>0</v>
      </c>
      <c r="J682" s="262">
        <f t="shared" si="84"/>
        <v>0</v>
      </c>
      <c r="K682" s="262">
        <f t="shared" si="84"/>
        <v>0</v>
      </c>
      <c r="L682" s="262">
        <f t="shared" si="84"/>
        <v>0</v>
      </c>
      <c r="M682" s="262">
        <f t="shared" si="84"/>
        <v>0</v>
      </c>
      <c r="N682" s="262">
        <f t="shared" si="84"/>
        <v>0</v>
      </c>
      <c r="O682" s="262">
        <f t="shared" si="84"/>
        <v>0</v>
      </c>
      <c r="P682" s="262">
        <f t="shared" si="84"/>
        <v>0</v>
      </c>
      <c r="Q682" s="262">
        <f t="shared" si="84"/>
        <v>0</v>
      </c>
      <c r="R682" s="5"/>
      <c r="S682" s="25"/>
      <c r="T682" s="5"/>
    </row>
    <row r="683" spans="1:20" s="3" customFormat="1" x14ac:dyDescent="0.25">
      <c r="A683" s="21" t="s">
        <v>450</v>
      </c>
      <c r="B683" s="246" t="s">
        <v>394</v>
      </c>
      <c r="C683" s="246"/>
      <c r="D683" s="246"/>
      <c r="E683" s="246" t="s">
        <v>321</v>
      </c>
      <c r="F683" s="202" t="s">
        <v>410</v>
      </c>
      <c r="G683" s="55"/>
      <c r="H683" s="55"/>
      <c r="I683" s="55"/>
      <c r="J683" s="55"/>
      <c r="K683" s="55"/>
      <c r="L683" s="55"/>
      <c r="M683" s="55"/>
      <c r="N683" s="55"/>
      <c r="O683" s="55"/>
      <c r="P683" s="55"/>
      <c r="Q683" s="55"/>
      <c r="R683" s="5"/>
      <c r="S683" s="25"/>
      <c r="T683" s="5"/>
    </row>
    <row r="684" spans="1:20" s="3" customFormat="1" x14ac:dyDescent="0.25">
      <c r="A684" s="21" t="s">
        <v>450</v>
      </c>
      <c r="B684" s="246" t="s">
        <v>395</v>
      </c>
      <c r="C684" s="246"/>
      <c r="D684" s="246"/>
      <c r="E684" s="246"/>
      <c r="F684" s="202" t="s">
        <v>410</v>
      </c>
      <c r="G684" s="54"/>
      <c r="H684" s="54"/>
      <c r="I684" s="54"/>
      <c r="J684" s="54"/>
      <c r="K684" s="54"/>
      <c r="L684" s="54"/>
      <c r="M684" s="54"/>
      <c r="N684" s="54"/>
      <c r="O684" s="54"/>
      <c r="P684" s="54"/>
      <c r="Q684" s="54"/>
      <c r="R684" s="5"/>
      <c r="S684" s="25"/>
      <c r="T684" s="5"/>
    </row>
    <row r="685" spans="1:20" s="3" customFormat="1" x14ac:dyDescent="0.25">
      <c r="A685" s="21" t="s">
        <v>450</v>
      </c>
      <c r="B685" s="246" t="s">
        <v>396</v>
      </c>
      <c r="C685" s="246"/>
      <c r="D685" s="246"/>
      <c r="E685" s="246"/>
      <c r="F685" s="202" t="s">
        <v>410</v>
      </c>
      <c r="G685" s="54"/>
      <c r="H685" s="54"/>
      <c r="I685" s="54"/>
      <c r="J685" s="54"/>
      <c r="K685" s="54"/>
      <c r="L685" s="54"/>
      <c r="M685" s="54"/>
      <c r="N685" s="54"/>
      <c r="O685" s="54"/>
      <c r="P685" s="54"/>
      <c r="Q685" s="54"/>
      <c r="R685" s="5"/>
      <c r="S685" s="25"/>
      <c r="T685" s="5"/>
    </row>
    <row r="686" spans="1:20" s="3" customFormat="1" x14ac:dyDescent="0.25">
      <c r="A686" s="21" t="s">
        <v>450</v>
      </c>
      <c r="B686" s="246" t="s">
        <v>393</v>
      </c>
      <c r="C686" s="246"/>
      <c r="D686" s="246"/>
      <c r="E686" s="246" t="s">
        <v>412</v>
      </c>
      <c r="F686" s="202" t="s">
        <v>410</v>
      </c>
      <c r="G686" s="55"/>
      <c r="H686" s="55"/>
      <c r="I686" s="55"/>
      <c r="J686" s="55"/>
      <c r="K686" s="55"/>
      <c r="L686" s="55"/>
      <c r="M686" s="55"/>
      <c r="N686" s="55"/>
      <c r="O686" s="55"/>
      <c r="P686" s="55"/>
      <c r="Q686" s="55"/>
      <c r="R686" s="5"/>
      <c r="S686" s="25"/>
      <c r="T686" s="5"/>
    </row>
    <row r="687" spans="1:20" s="3" customFormat="1" x14ac:dyDescent="0.25">
      <c r="A687" s="21" t="s">
        <v>450</v>
      </c>
      <c r="B687" s="246" t="s">
        <v>397</v>
      </c>
      <c r="C687" s="246"/>
      <c r="D687" s="246"/>
      <c r="E687" s="246" t="s">
        <v>412</v>
      </c>
      <c r="F687" s="202" t="s">
        <v>410</v>
      </c>
      <c r="G687" s="55"/>
      <c r="H687" s="55"/>
      <c r="I687" s="55"/>
      <c r="J687" s="55"/>
      <c r="K687" s="55"/>
      <c r="L687" s="55"/>
      <c r="M687" s="55"/>
      <c r="N687" s="55"/>
      <c r="O687" s="55"/>
      <c r="P687" s="55"/>
      <c r="Q687" s="55"/>
      <c r="R687" s="5"/>
      <c r="S687" s="25"/>
      <c r="T687" s="5"/>
    </row>
    <row r="688" spans="1:20" s="3" customFormat="1" x14ac:dyDescent="0.25">
      <c r="A688" s="21" t="s">
        <v>450</v>
      </c>
      <c r="B688" s="246" t="s">
        <v>398</v>
      </c>
      <c r="C688" s="246"/>
      <c r="D688" s="246"/>
      <c r="E688" s="246"/>
      <c r="F688" s="202" t="s">
        <v>410</v>
      </c>
      <c r="G688" s="54"/>
      <c r="H688" s="54"/>
      <c r="I688" s="54"/>
      <c r="J688" s="54"/>
      <c r="K688" s="54"/>
      <c r="L688" s="54"/>
      <c r="M688" s="54"/>
      <c r="N688" s="54"/>
      <c r="O688" s="54"/>
      <c r="P688" s="54"/>
      <c r="Q688" s="54"/>
      <c r="R688" s="5"/>
      <c r="S688" s="25"/>
      <c r="T688" s="5"/>
    </row>
    <row r="689" spans="1:20" s="3" customFormat="1" x14ac:dyDescent="0.25">
      <c r="A689" s="21" t="s">
        <v>450</v>
      </c>
      <c r="B689" s="246" t="s">
        <v>399</v>
      </c>
      <c r="C689" s="246"/>
      <c r="D689" s="246"/>
      <c r="E689" s="246"/>
      <c r="F689" s="202" t="s">
        <v>410</v>
      </c>
      <c r="G689" s="54"/>
      <c r="H689" s="54"/>
      <c r="I689" s="54"/>
      <c r="J689" s="54"/>
      <c r="K689" s="54"/>
      <c r="L689" s="54"/>
      <c r="M689" s="54"/>
      <c r="N689" s="54"/>
      <c r="O689" s="54"/>
      <c r="P689" s="54"/>
      <c r="Q689" s="54"/>
      <c r="R689" s="5"/>
      <c r="S689" s="25"/>
      <c r="T689" s="5"/>
    </row>
    <row r="690" spans="1:20" s="3" customFormat="1" x14ac:dyDescent="0.25">
      <c r="A690" s="21" t="s">
        <v>450</v>
      </c>
      <c r="B690" s="246" t="s">
        <v>310</v>
      </c>
      <c r="C690" s="246"/>
      <c r="D690" s="246"/>
      <c r="E690" s="246" t="s">
        <v>412</v>
      </c>
      <c r="F690" s="202" t="s">
        <v>410</v>
      </c>
      <c r="G690" s="55">
        <v>11.249000000000001</v>
      </c>
      <c r="H690" s="262">
        <f t="shared" ref="H690:Q690" si="85">G690</f>
        <v>11.249000000000001</v>
      </c>
      <c r="I690" s="262">
        <f t="shared" si="85"/>
        <v>11.249000000000001</v>
      </c>
      <c r="J690" s="262">
        <f t="shared" si="85"/>
        <v>11.249000000000001</v>
      </c>
      <c r="K690" s="262">
        <f t="shared" si="85"/>
        <v>11.249000000000001</v>
      </c>
      <c r="L690" s="262">
        <f t="shared" si="85"/>
        <v>11.249000000000001</v>
      </c>
      <c r="M690" s="262">
        <f t="shared" si="85"/>
        <v>11.249000000000001</v>
      </c>
      <c r="N690" s="262">
        <f t="shared" si="85"/>
        <v>11.249000000000001</v>
      </c>
      <c r="O690" s="262">
        <f t="shared" si="85"/>
        <v>11.249000000000001</v>
      </c>
      <c r="P690" s="262">
        <f t="shared" si="85"/>
        <v>11.249000000000001</v>
      </c>
      <c r="Q690" s="262">
        <f t="shared" si="85"/>
        <v>11.249000000000001</v>
      </c>
      <c r="R690" s="5"/>
      <c r="S690" s="25"/>
      <c r="T690" s="5"/>
    </row>
    <row r="691" spans="1:20" s="3" customFormat="1" x14ac:dyDescent="0.25">
      <c r="A691" s="21" t="s">
        <v>450</v>
      </c>
      <c r="B691" s="246" t="s">
        <v>360</v>
      </c>
      <c r="C691" s="246"/>
      <c r="D691" s="246"/>
      <c r="E691" s="246" t="s">
        <v>321</v>
      </c>
      <c r="F691" s="202" t="s">
        <v>410</v>
      </c>
      <c r="G691" s="55"/>
      <c r="H691" s="55"/>
      <c r="I691" s="55"/>
      <c r="J691" s="55"/>
      <c r="K691" s="55"/>
      <c r="L691" s="55"/>
      <c r="M691" s="55"/>
      <c r="N691" s="55"/>
      <c r="O691" s="55"/>
      <c r="P691" s="55"/>
      <c r="Q691" s="55"/>
      <c r="R691" s="5"/>
      <c r="S691" s="25"/>
      <c r="T691" s="5"/>
    </row>
    <row r="692" spans="1:20" s="3" customFormat="1" x14ac:dyDescent="0.25">
      <c r="A692" s="21" t="s">
        <v>450</v>
      </c>
      <c r="B692" s="67" t="s">
        <v>306</v>
      </c>
      <c r="C692" s="13"/>
      <c r="D692" s="67" t="s">
        <v>469</v>
      </c>
      <c r="E692" s="67" t="s">
        <v>413</v>
      </c>
      <c r="F692" s="202" t="s">
        <v>410</v>
      </c>
      <c r="G692" s="54">
        <v>0.58199999999999996</v>
      </c>
      <c r="H692" s="54">
        <v>0.58199999999999996</v>
      </c>
      <c r="I692" s="54">
        <v>0.58199999999999996</v>
      </c>
      <c r="J692" s="54">
        <v>0.58199999999999996</v>
      </c>
      <c r="K692" s="54">
        <v>0.58199999999999996</v>
      </c>
      <c r="L692" s="54">
        <v>0.58199999999999996</v>
      </c>
      <c r="M692" s="54">
        <v>0.58199999999999996</v>
      </c>
      <c r="N692" s="54">
        <v>0.58199999999999996</v>
      </c>
      <c r="O692" s="54">
        <v>0.58199999999999996</v>
      </c>
      <c r="P692" s="54">
        <v>0.58199999999999996</v>
      </c>
      <c r="Q692" s="54">
        <v>0.58199999999999996</v>
      </c>
      <c r="R692" s="5"/>
      <c r="S692" s="13"/>
      <c r="T692" s="5"/>
    </row>
    <row r="693" spans="1:20" s="3" customFormat="1" x14ac:dyDescent="0.25">
      <c r="A693" s="21" t="s">
        <v>450</v>
      </c>
      <c r="B693" s="67" t="s">
        <v>306</v>
      </c>
      <c r="C693" s="13"/>
      <c r="D693" s="67" t="s">
        <v>466</v>
      </c>
      <c r="E693" s="67" t="s">
        <v>413</v>
      </c>
      <c r="F693" s="202" t="s">
        <v>410</v>
      </c>
      <c r="G693" s="54">
        <v>10.692</v>
      </c>
      <c r="H693" s="54">
        <v>10.692</v>
      </c>
      <c r="I693" s="54">
        <v>10.692</v>
      </c>
      <c r="J693" s="54">
        <v>10.692</v>
      </c>
      <c r="K693" s="54">
        <v>10.692</v>
      </c>
      <c r="L693" s="54">
        <v>10.692</v>
      </c>
      <c r="M693" s="54">
        <v>10.692</v>
      </c>
      <c r="N693" s="54">
        <v>10.692</v>
      </c>
      <c r="O693" s="54">
        <v>10.692</v>
      </c>
      <c r="P693" s="54">
        <v>10.692</v>
      </c>
      <c r="Q693" s="54">
        <v>10.692</v>
      </c>
      <c r="R693" s="5"/>
      <c r="S693" s="13"/>
      <c r="T693" s="5"/>
    </row>
    <row r="694" spans="1:20" s="3" customFormat="1" x14ac:dyDescent="0.25">
      <c r="A694" s="21" t="s">
        <v>450</v>
      </c>
      <c r="B694" s="67" t="s">
        <v>51</v>
      </c>
      <c r="C694" s="13"/>
      <c r="D694" s="2"/>
      <c r="E694" s="2"/>
      <c r="F694" s="207" t="s">
        <v>411</v>
      </c>
      <c r="G694" s="4"/>
      <c r="H694" s="4"/>
      <c r="I694" s="4"/>
      <c r="J694" s="4"/>
      <c r="K694" s="4"/>
      <c r="L694" s="4"/>
      <c r="M694" s="4"/>
      <c r="N694" s="4"/>
      <c r="O694" s="4"/>
      <c r="P694" s="4"/>
      <c r="Q694" s="4"/>
      <c r="R694" s="5"/>
      <c r="S694" s="13"/>
      <c r="T694" s="5"/>
    </row>
    <row r="695" spans="1:20" s="3" customFormat="1" x14ac:dyDescent="0.25">
      <c r="A695" s="21" t="s">
        <v>450</v>
      </c>
      <c r="B695" s="246" t="s">
        <v>38</v>
      </c>
      <c r="C695" s="246"/>
      <c r="D695" s="246"/>
      <c r="E695" s="246" t="s">
        <v>40</v>
      </c>
      <c r="F695" s="202" t="s">
        <v>411</v>
      </c>
      <c r="G695" s="277">
        <v>2000</v>
      </c>
      <c r="H695" s="278">
        <f t="shared" ref="H695:Q697" si="86">G695</f>
        <v>2000</v>
      </c>
      <c r="I695" s="278">
        <f t="shared" si="86"/>
        <v>2000</v>
      </c>
      <c r="J695" s="278">
        <f t="shared" si="86"/>
        <v>2000</v>
      </c>
      <c r="K695" s="278">
        <f t="shared" si="86"/>
        <v>2000</v>
      </c>
      <c r="L695" s="278">
        <f t="shared" si="86"/>
        <v>2000</v>
      </c>
      <c r="M695" s="278">
        <f t="shared" si="86"/>
        <v>2000</v>
      </c>
      <c r="N695" s="278">
        <f t="shared" si="86"/>
        <v>2000</v>
      </c>
      <c r="O695" s="278">
        <f t="shared" si="86"/>
        <v>2000</v>
      </c>
      <c r="P695" s="278">
        <f t="shared" si="86"/>
        <v>2000</v>
      </c>
      <c r="Q695" s="278">
        <f t="shared" si="86"/>
        <v>2000</v>
      </c>
      <c r="R695" s="5"/>
      <c r="S695" s="25"/>
      <c r="T695" s="5"/>
    </row>
    <row r="696" spans="1:20" s="3" customFormat="1" x14ac:dyDescent="0.25">
      <c r="A696" s="21" t="s">
        <v>450</v>
      </c>
      <c r="B696" s="246" t="s">
        <v>37</v>
      </c>
      <c r="C696" s="246"/>
      <c r="D696" s="246"/>
      <c r="E696" s="246" t="s">
        <v>40</v>
      </c>
      <c r="F696" s="202" t="s">
        <v>411</v>
      </c>
      <c r="G696" s="277">
        <v>2100</v>
      </c>
      <c r="H696" s="278">
        <f t="shared" si="86"/>
        <v>2100</v>
      </c>
      <c r="I696" s="278">
        <f t="shared" si="86"/>
        <v>2100</v>
      </c>
      <c r="J696" s="278">
        <f t="shared" si="86"/>
        <v>2100</v>
      </c>
      <c r="K696" s="278">
        <f t="shared" si="86"/>
        <v>2100</v>
      </c>
      <c r="L696" s="278">
        <f t="shared" si="86"/>
        <v>2100</v>
      </c>
      <c r="M696" s="278">
        <f t="shared" si="86"/>
        <v>2100</v>
      </c>
      <c r="N696" s="278">
        <f t="shared" si="86"/>
        <v>2100</v>
      </c>
      <c r="O696" s="278">
        <f t="shared" si="86"/>
        <v>2100</v>
      </c>
      <c r="P696" s="278">
        <f t="shared" si="86"/>
        <v>2100</v>
      </c>
      <c r="Q696" s="278">
        <f t="shared" si="86"/>
        <v>2100</v>
      </c>
      <c r="R696" s="5"/>
      <c r="S696" s="25"/>
      <c r="T696" s="5"/>
    </row>
    <row r="697" spans="1:20" s="3" customFormat="1" x14ac:dyDescent="0.25">
      <c r="A697" s="21" t="s">
        <v>450</v>
      </c>
      <c r="B697" s="246" t="s">
        <v>39</v>
      </c>
      <c r="C697" s="246"/>
      <c r="D697" s="246"/>
      <c r="E697" s="246" t="s">
        <v>10</v>
      </c>
      <c r="F697" s="202" t="s">
        <v>411</v>
      </c>
      <c r="G697" s="55">
        <v>13</v>
      </c>
      <c r="H697" s="262">
        <f t="shared" si="86"/>
        <v>13</v>
      </c>
      <c r="I697" s="262">
        <f t="shared" si="86"/>
        <v>13</v>
      </c>
      <c r="J697" s="262">
        <f t="shared" si="86"/>
        <v>13</v>
      </c>
      <c r="K697" s="262">
        <f t="shared" si="86"/>
        <v>13</v>
      </c>
      <c r="L697" s="262">
        <f t="shared" si="86"/>
        <v>13</v>
      </c>
      <c r="M697" s="262">
        <f t="shared" si="86"/>
        <v>13</v>
      </c>
      <c r="N697" s="262">
        <f t="shared" si="86"/>
        <v>13</v>
      </c>
      <c r="O697" s="262">
        <f t="shared" si="86"/>
        <v>13</v>
      </c>
      <c r="P697" s="262">
        <f t="shared" si="86"/>
        <v>13</v>
      </c>
      <c r="Q697" s="262">
        <f t="shared" si="86"/>
        <v>13</v>
      </c>
      <c r="R697" s="5"/>
      <c r="S697" s="25"/>
      <c r="T697" s="5"/>
    </row>
    <row r="698" spans="1:20" s="3" customFormat="1" x14ac:dyDescent="0.25">
      <c r="A698" s="21" t="s">
        <v>450</v>
      </c>
      <c r="B698" s="246" t="s">
        <v>361</v>
      </c>
      <c r="C698" s="246"/>
      <c r="D698" s="246"/>
      <c r="E698" s="246" t="s">
        <v>10</v>
      </c>
      <c r="F698" s="202" t="s">
        <v>411</v>
      </c>
      <c r="G698" s="55"/>
      <c r="H698" s="55"/>
      <c r="I698" s="55"/>
      <c r="J698" s="55"/>
      <c r="K698" s="55"/>
      <c r="L698" s="55"/>
      <c r="M698" s="55"/>
      <c r="N698" s="55"/>
      <c r="O698" s="55"/>
      <c r="P698" s="55"/>
      <c r="Q698" s="55"/>
      <c r="R698" s="5"/>
      <c r="S698" s="25"/>
      <c r="T698" s="5"/>
    </row>
    <row r="699" spans="1:20" s="3" customFormat="1" x14ac:dyDescent="0.25">
      <c r="A699" s="21" t="s">
        <v>450</v>
      </c>
      <c r="B699" s="246" t="s">
        <v>309</v>
      </c>
      <c r="C699" s="246"/>
      <c r="D699" s="246"/>
      <c r="E699" s="246" t="s">
        <v>97</v>
      </c>
      <c r="F699" s="202" t="s">
        <v>411</v>
      </c>
      <c r="G699" s="271">
        <v>0.3</v>
      </c>
      <c r="H699" s="274">
        <f t="shared" ref="H699:Q699" si="87">G699</f>
        <v>0.3</v>
      </c>
      <c r="I699" s="274">
        <f t="shared" si="87"/>
        <v>0.3</v>
      </c>
      <c r="J699" s="274">
        <f t="shared" si="87"/>
        <v>0.3</v>
      </c>
      <c r="K699" s="274">
        <f t="shared" si="87"/>
        <v>0.3</v>
      </c>
      <c r="L699" s="274">
        <f t="shared" si="87"/>
        <v>0.3</v>
      </c>
      <c r="M699" s="274">
        <f t="shared" si="87"/>
        <v>0.3</v>
      </c>
      <c r="N699" s="274">
        <f t="shared" si="87"/>
        <v>0.3</v>
      </c>
      <c r="O699" s="274">
        <f t="shared" si="87"/>
        <v>0.3</v>
      </c>
      <c r="P699" s="274">
        <f t="shared" si="87"/>
        <v>0.3</v>
      </c>
      <c r="Q699" s="274">
        <f t="shared" si="87"/>
        <v>0.3</v>
      </c>
      <c r="R699" s="5"/>
      <c r="S699" s="25"/>
      <c r="T699" s="5"/>
    </row>
    <row r="700" spans="1:20" s="3" customFormat="1" x14ac:dyDescent="0.25">
      <c r="A700" s="21" t="s">
        <v>450</v>
      </c>
      <c r="B700" s="246" t="s">
        <v>358</v>
      </c>
      <c r="C700" s="246"/>
      <c r="D700" s="246"/>
      <c r="E700" s="246" t="s">
        <v>97</v>
      </c>
      <c r="F700" s="202" t="s">
        <v>411</v>
      </c>
      <c r="G700" s="271"/>
      <c r="H700" s="271"/>
      <c r="I700" s="271"/>
      <c r="J700" s="271"/>
      <c r="K700" s="271"/>
      <c r="L700" s="271"/>
      <c r="M700" s="271"/>
      <c r="N700" s="271"/>
      <c r="O700" s="271"/>
      <c r="P700" s="271"/>
      <c r="Q700" s="271"/>
      <c r="R700" s="5"/>
      <c r="S700" s="25"/>
      <c r="T700" s="5"/>
    </row>
    <row r="701" spans="1:20" s="3" customFormat="1" x14ac:dyDescent="0.25">
      <c r="A701" s="21" t="s">
        <v>450</v>
      </c>
      <c r="B701" s="246" t="s">
        <v>357</v>
      </c>
      <c r="C701" s="246"/>
      <c r="D701" s="246"/>
      <c r="E701" s="246" t="s">
        <v>97</v>
      </c>
      <c r="F701" s="202" t="s">
        <v>411</v>
      </c>
      <c r="G701" s="271"/>
      <c r="H701" s="271"/>
      <c r="I701" s="271"/>
      <c r="J701" s="271"/>
      <c r="K701" s="271"/>
      <c r="L701" s="271"/>
      <c r="M701" s="271"/>
      <c r="N701" s="271"/>
      <c r="O701" s="271"/>
      <c r="P701" s="271"/>
      <c r="Q701" s="271"/>
      <c r="R701" s="5"/>
      <c r="S701" s="25"/>
      <c r="T701" s="5"/>
    </row>
    <row r="702" spans="1:20" s="3" customFormat="1" x14ac:dyDescent="0.25">
      <c r="A702" s="21" t="s">
        <v>450</v>
      </c>
      <c r="B702" s="246" t="s">
        <v>75</v>
      </c>
      <c r="C702" s="246"/>
      <c r="D702" s="246"/>
      <c r="E702" s="246" t="s">
        <v>97</v>
      </c>
      <c r="F702" s="202" t="s">
        <v>411</v>
      </c>
      <c r="G702" s="271">
        <v>0</v>
      </c>
      <c r="H702" s="271"/>
      <c r="I702" s="271"/>
      <c r="J702" s="271"/>
      <c r="K702" s="271"/>
      <c r="L702" s="271"/>
      <c r="M702" s="271"/>
      <c r="N702" s="271"/>
      <c r="O702" s="271"/>
      <c r="P702" s="271"/>
      <c r="Q702" s="271"/>
      <c r="R702" s="5"/>
      <c r="S702" s="25"/>
      <c r="T702" s="5"/>
    </row>
    <row r="703" spans="1:20" s="3" customFormat="1" x14ac:dyDescent="0.25">
      <c r="A703" s="21" t="s">
        <v>450</v>
      </c>
      <c r="B703" s="68" t="s">
        <v>148</v>
      </c>
      <c r="C703" s="68"/>
      <c r="D703" s="251"/>
      <c r="E703" s="68" t="s">
        <v>97</v>
      </c>
      <c r="F703" s="202" t="s">
        <v>411</v>
      </c>
      <c r="G703" s="271"/>
      <c r="H703" s="271"/>
      <c r="I703" s="271"/>
      <c r="J703" s="271"/>
      <c r="K703" s="271"/>
      <c r="L703" s="271"/>
      <c r="M703" s="271"/>
      <c r="N703" s="271"/>
      <c r="O703" s="271"/>
      <c r="P703" s="271"/>
      <c r="Q703" s="271"/>
      <c r="R703" s="5"/>
      <c r="S703" s="25"/>
      <c r="T703" s="5"/>
    </row>
    <row r="704" spans="1:20" s="3" customFormat="1" x14ac:dyDescent="0.25">
      <c r="A704" s="21" t="s">
        <v>450</v>
      </c>
      <c r="B704" s="68" t="s">
        <v>149</v>
      </c>
      <c r="C704" s="68"/>
      <c r="D704" s="251"/>
      <c r="E704" s="68" t="s">
        <v>97</v>
      </c>
      <c r="F704" s="202" t="s">
        <v>411</v>
      </c>
      <c r="G704" s="271"/>
      <c r="H704" s="271"/>
      <c r="I704" s="271"/>
      <c r="J704" s="271"/>
      <c r="K704" s="271"/>
      <c r="L704" s="271"/>
      <c r="M704" s="271"/>
      <c r="N704" s="271"/>
      <c r="O704" s="271"/>
      <c r="P704" s="271"/>
      <c r="Q704" s="271"/>
      <c r="R704" s="5"/>
      <c r="S704" s="25"/>
      <c r="T704" s="5"/>
    </row>
    <row r="705" spans="1:20" s="3" customFormat="1" x14ac:dyDescent="0.25">
      <c r="A705" s="21" t="s">
        <v>450</v>
      </c>
      <c r="B705" s="68" t="s">
        <v>370</v>
      </c>
      <c r="C705" s="68"/>
      <c r="D705" s="251"/>
      <c r="E705" s="68" t="s">
        <v>97</v>
      </c>
      <c r="F705" s="202" t="s">
        <v>411</v>
      </c>
      <c r="G705" s="271"/>
      <c r="H705" s="271"/>
      <c r="I705" s="271"/>
      <c r="J705" s="271"/>
      <c r="K705" s="271"/>
      <c r="L705" s="271"/>
      <c r="M705" s="271"/>
      <c r="N705" s="271"/>
      <c r="O705" s="271"/>
      <c r="P705" s="271"/>
      <c r="Q705" s="271"/>
      <c r="R705" s="5"/>
      <c r="S705" s="25"/>
      <c r="T705" s="5"/>
    </row>
    <row r="706" spans="1:20" s="3" customFormat="1" x14ac:dyDescent="0.25">
      <c r="A706" s="21" t="s">
        <v>450</v>
      </c>
      <c r="B706" s="68" t="s">
        <v>371</v>
      </c>
      <c r="C706" s="68"/>
      <c r="D706" s="251"/>
      <c r="E706" s="68" t="s">
        <v>97</v>
      </c>
      <c r="F706" s="202" t="s">
        <v>411</v>
      </c>
      <c r="G706" s="271"/>
      <c r="H706" s="271"/>
      <c r="I706" s="271"/>
      <c r="J706" s="271"/>
      <c r="K706" s="271"/>
      <c r="L706" s="271"/>
      <c r="M706" s="271"/>
      <c r="N706" s="271"/>
      <c r="O706" s="271"/>
      <c r="P706" s="271"/>
      <c r="Q706" s="271"/>
      <c r="R706" s="5"/>
      <c r="S706" s="25"/>
      <c r="T706" s="5"/>
    </row>
    <row r="707" spans="1:20" s="3" customFormat="1" x14ac:dyDescent="0.25">
      <c r="A707" s="21" t="s">
        <v>450</v>
      </c>
      <c r="B707" s="246" t="s">
        <v>338</v>
      </c>
      <c r="C707" s="246"/>
      <c r="D707" s="246"/>
      <c r="E707" s="246" t="s">
        <v>320</v>
      </c>
      <c r="F707" s="202" t="s">
        <v>411</v>
      </c>
      <c r="G707" s="55">
        <v>1</v>
      </c>
      <c r="H707" s="262">
        <f t="shared" ref="H707:Q708" si="88">G707</f>
        <v>1</v>
      </c>
      <c r="I707" s="262">
        <f t="shared" si="88"/>
        <v>1</v>
      </c>
      <c r="J707" s="262">
        <f t="shared" si="88"/>
        <v>1</v>
      </c>
      <c r="K707" s="262">
        <f t="shared" si="88"/>
        <v>1</v>
      </c>
      <c r="L707" s="262">
        <f t="shared" si="88"/>
        <v>1</v>
      </c>
      <c r="M707" s="262">
        <f t="shared" si="88"/>
        <v>1</v>
      </c>
      <c r="N707" s="262">
        <f t="shared" si="88"/>
        <v>1</v>
      </c>
      <c r="O707" s="262">
        <f t="shared" si="88"/>
        <v>1</v>
      </c>
      <c r="P707" s="262">
        <f t="shared" si="88"/>
        <v>1</v>
      </c>
      <c r="Q707" s="262">
        <f t="shared" si="88"/>
        <v>1</v>
      </c>
      <c r="R707" s="5"/>
      <c r="S707" s="25"/>
      <c r="T707" s="5"/>
    </row>
    <row r="708" spans="1:20" s="3" customFormat="1" x14ac:dyDescent="0.25">
      <c r="A708" s="21" t="s">
        <v>450</v>
      </c>
      <c r="B708" s="246" t="s">
        <v>152</v>
      </c>
      <c r="C708" s="246"/>
      <c r="D708" s="246"/>
      <c r="E708" s="246" t="s">
        <v>321</v>
      </c>
      <c r="F708" s="202" t="s">
        <v>411</v>
      </c>
      <c r="G708" s="55">
        <v>746.44500000000005</v>
      </c>
      <c r="H708" s="262">
        <f t="shared" si="88"/>
        <v>746.44500000000005</v>
      </c>
      <c r="I708" s="262">
        <f t="shared" si="88"/>
        <v>746.44500000000005</v>
      </c>
      <c r="J708" s="262">
        <f t="shared" si="88"/>
        <v>746.44500000000005</v>
      </c>
      <c r="K708" s="262">
        <f t="shared" si="88"/>
        <v>746.44500000000005</v>
      </c>
      <c r="L708" s="262">
        <f t="shared" si="88"/>
        <v>746.44500000000005</v>
      </c>
      <c r="M708" s="262">
        <f t="shared" si="88"/>
        <v>746.44500000000005</v>
      </c>
      <c r="N708" s="262">
        <f t="shared" si="88"/>
        <v>746.44500000000005</v>
      </c>
      <c r="O708" s="262">
        <f t="shared" si="88"/>
        <v>746.44500000000005</v>
      </c>
      <c r="P708" s="262">
        <f t="shared" si="88"/>
        <v>746.44500000000005</v>
      </c>
      <c r="Q708" s="262">
        <f t="shared" si="88"/>
        <v>746.44500000000005</v>
      </c>
      <c r="R708" s="5"/>
      <c r="S708" s="25"/>
      <c r="T708" s="5"/>
    </row>
    <row r="709" spans="1:20" s="3" customFormat="1" x14ac:dyDescent="0.25">
      <c r="A709" s="21" t="s">
        <v>450</v>
      </c>
      <c r="B709" s="246" t="s">
        <v>383</v>
      </c>
      <c r="C709" s="246"/>
      <c r="D709" s="246"/>
      <c r="E709" s="246" t="s">
        <v>97</v>
      </c>
      <c r="F709" s="202" t="s">
        <v>411</v>
      </c>
      <c r="G709" s="271"/>
      <c r="H709" s="271"/>
      <c r="I709" s="271"/>
      <c r="J709" s="271"/>
      <c r="K709" s="271"/>
      <c r="L709" s="271"/>
      <c r="M709" s="271"/>
      <c r="N709" s="271"/>
      <c r="O709" s="271"/>
      <c r="P709" s="271"/>
      <c r="Q709" s="271"/>
      <c r="R709" s="5"/>
      <c r="S709" s="25"/>
      <c r="T709" s="5"/>
    </row>
    <row r="710" spans="1:20" s="3" customFormat="1" x14ac:dyDescent="0.25">
      <c r="A710" s="21" t="s">
        <v>450</v>
      </c>
      <c r="B710" s="246" t="s">
        <v>446</v>
      </c>
      <c r="C710" s="246"/>
      <c r="D710" s="246"/>
      <c r="E710" s="246" t="s">
        <v>320</v>
      </c>
      <c r="F710" s="202" t="s">
        <v>411</v>
      </c>
      <c r="G710" s="55"/>
      <c r="H710" s="55"/>
      <c r="I710" s="55"/>
      <c r="J710" s="55"/>
      <c r="K710" s="55"/>
      <c r="L710" s="55"/>
      <c r="M710" s="55"/>
      <c r="N710" s="55"/>
      <c r="O710" s="55"/>
      <c r="P710" s="55"/>
      <c r="Q710" s="55"/>
      <c r="R710" s="5"/>
      <c r="S710" s="25"/>
      <c r="T710" s="5"/>
    </row>
    <row r="711" spans="1:20" s="3" customFormat="1" x14ac:dyDescent="0.25">
      <c r="A711" s="21" t="s">
        <v>450</v>
      </c>
      <c r="B711" s="246" t="s">
        <v>387</v>
      </c>
      <c r="C711" s="246"/>
      <c r="D711" s="246"/>
      <c r="E711" s="246"/>
      <c r="F711" s="202" t="s">
        <v>411</v>
      </c>
      <c r="G711" s="54"/>
      <c r="H711" s="54"/>
      <c r="I711" s="54"/>
      <c r="J711" s="54"/>
      <c r="K711" s="54"/>
      <c r="L711" s="54"/>
      <c r="M711" s="54"/>
      <c r="N711" s="54"/>
      <c r="O711" s="54"/>
      <c r="P711" s="54"/>
      <c r="Q711" s="54"/>
      <c r="R711" s="5"/>
      <c r="S711" s="25"/>
      <c r="T711" s="5"/>
    </row>
    <row r="712" spans="1:20" s="3" customFormat="1" x14ac:dyDescent="0.25">
      <c r="A712" s="21" t="s">
        <v>450</v>
      </c>
      <c r="B712" s="246" t="s">
        <v>369</v>
      </c>
      <c r="C712" s="246"/>
      <c r="D712" s="246"/>
      <c r="E712" s="246" t="s">
        <v>97</v>
      </c>
      <c r="F712" s="202" t="s">
        <v>411</v>
      </c>
      <c r="G712" s="271"/>
      <c r="H712" s="271"/>
      <c r="I712" s="271"/>
      <c r="J712" s="271"/>
      <c r="K712" s="271"/>
      <c r="L712" s="271"/>
      <c r="M712" s="271"/>
      <c r="N712" s="271"/>
      <c r="O712" s="271"/>
      <c r="P712" s="271"/>
      <c r="Q712" s="271"/>
      <c r="R712" s="5"/>
      <c r="S712" s="25"/>
      <c r="T712" s="5"/>
    </row>
    <row r="713" spans="1:20" s="3" customFormat="1" x14ac:dyDescent="0.25">
      <c r="A713" s="21" t="s">
        <v>450</v>
      </c>
      <c r="B713" s="246" t="s">
        <v>392</v>
      </c>
      <c r="C713" s="246"/>
      <c r="D713" s="246"/>
      <c r="E713" s="246" t="s">
        <v>321</v>
      </c>
      <c r="F713" s="202" t="s">
        <v>411</v>
      </c>
      <c r="G713" s="55"/>
      <c r="H713" s="262">
        <f t="shared" ref="H713:Q713" si="89">G713</f>
        <v>0</v>
      </c>
      <c r="I713" s="262">
        <f t="shared" si="89"/>
        <v>0</v>
      </c>
      <c r="J713" s="262">
        <f t="shared" si="89"/>
        <v>0</v>
      </c>
      <c r="K713" s="262">
        <f t="shared" si="89"/>
        <v>0</v>
      </c>
      <c r="L713" s="262">
        <f t="shared" si="89"/>
        <v>0</v>
      </c>
      <c r="M713" s="262">
        <f t="shared" si="89"/>
        <v>0</v>
      </c>
      <c r="N713" s="262">
        <f t="shared" si="89"/>
        <v>0</v>
      </c>
      <c r="O713" s="262">
        <f t="shared" si="89"/>
        <v>0</v>
      </c>
      <c r="P713" s="262">
        <f t="shared" si="89"/>
        <v>0</v>
      </c>
      <c r="Q713" s="262">
        <f t="shared" si="89"/>
        <v>0</v>
      </c>
      <c r="R713" s="5"/>
      <c r="S713" s="25"/>
      <c r="T713" s="5"/>
    </row>
    <row r="714" spans="1:20" s="3" customFormat="1" x14ac:dyDescent="0.25">
      <c r="A714" s="21" t="s">
        <v>450</v>
      </c>
      <c r="B714" s="246" t="s">
        <v>394</v>
      </c>
      <c r="C714" s="246"/>
      <c r="D714" s="246"/>
      <c r="E714" s="246" t="s">
        <v>321</v>
      </c>
      <c r="F714" s="202" t="s">
        <v>411</v>
      </c>
      <c r="G714" s="55"/>
      <c r="H714" s="55"/>
      <c r="I714" s="55"/>
      <c r="J714" s="55"/>
      <c r="K714" s="55"/>
      <c r="L714" s="55"/>
      <c r="M714" s="55"/>
      <c r="N714" s="55"/>
      <c r="O714" s="55"/>
      <c r="P714" s="55"/>
      <c r="Q714" s="55"/>
      <c r="R714" s="5"/>
      <c r="S714" s="25"/>
      <c r="T714" s="5"/>
    </row>
    <row r="715" spans="1:20" s="3" customFormat="1" x14ac:dyDescent="0.25">
      <c r="A715" s="21" t="s">
        <v>450</v>
      </c>
      <c r="B715" s="246" t="s">
        <v>395</v>
      </c>
      <c r="C715" s="246"/>
      <c r="D715" s="246"/>
      <c r="E715" s="246"/>
      <c r="F715" s="202" t="s">
        <v>411</v>
      </c>
      <c r="G715" s="54"/>
      <c r="H715" s="54"/>
      <c r="I715" s="54"/>
      <c r="J715" s="54"/>
      <c r="K715" s="54"/>
      <c r="L715" s="54"/>
      <c r="M715" s="54"/>
      <c r="N715" s="54"/>
      <c r="O715" s="54"/>
      <c r="P715" s="54"/>
      <c r="Q715" s="54"/>
      <c r="R715" s="5"/>
      <c r="S715" s="25"/>
      <c r="T715" s="5"/>
    </row>
    <row r="716" spans="1:20" s="3" customFormat="1" x14ac:dyDescent="0.25">
      <c r="A716" s="21" t="s">
        <v>450</v>
      </c>
      <c r="B716" s="246" t="s">
        <v>396</v>
      </c>
      <c r="C716" s="246"/>
      <c r="D716" s="246"/>
      <c r="E716" s="246"/>
      <c r="F716" s="202" t="s">
        <v>411</v>
      </c>
      <c r="G716" s="54"/>
      <c r="H716" s="54"/>
      <c r="I716" s="54"/>
      <c r="J716" s="54"/>
      <c r="K716" s="54"/>
      <c r="L716" s="54"/>
      <c r="M716" s="54"/>
      <c r="N716" s="54"/>
      <c r="O716" s="54"/>
      <c r="P716" s="54"/>
      <c r="Q716" s="54"/>
      <c r="R716" s="5"/>
      <c r="S716" s="25"/>
      <c r="T716" s="5"/>
    </row>
    <row r="717" spans="1:20" s="3" customFormat="1" x14ac:dyDescent="0.25">
      <c r="A717" s="21" t="s">
        <v>450</v>
      </c>
      <c r="B717" s="246" t="s">
        <v>393</v>
      </c>
      <c r="C717" s="246"/>
      <c r="D717" s="246"/>
      <c r="E717" s="246" t="s">
        <v>412</v>
      </c>
      <c r="F717" s="202" t="s">
        <v>411</v>
      </c>
      <c r="G717" s="55"/>
      <c r="H717" s="55"/>
      <c r="I717" s="55"/>
      <c r="J717" s="55"/>
      <c r="K717" s="55"/>
      <c r="L717" s="55"/>
      <c r="M717" s="55"/>
      <c r="N717" s="55"/>
      <c r="O717" s="55"/>
      <c r="P717" s="55"/>
      <c r="Q717" s="55"/>
      <c r="R717" s="5"/>
      <c r="S717" s="25"/>
      <c r="T717" s="5"/>
    </row>
    <row r="718" spans="1:20" s="3" customFormat="1" x14ac:dyDescent="0.25">
      <c r="A718" s="21" t="s">
        <v>450</v>
      </c>
      <c r="B718" s="246" t="s">
        <v>397</v>
      </c>
      <c r="C718" s="246"/>
      <c r="D718" s="246"/>
      <c r="E718" s="246" t="s">
        <v>412</v>
      </c>
      <c r="F718" s="202" t="s">
        <v>411</v>
      </c>
      <c r="G718" s="55"/>
      <c r="H718" s="55"/>
      <c r="I718" s="55"/>
      <c r="J718" s="55"/>
      <c r="K718" s="55"/>
      <c r="L718" s="55"/>
      <c r="M718" s="55"/>
      <c r="N718" s="55"/>
      <c r="O718" s="55"/>
      <c r="P718" s="55"/>
      <c r="Q718" s="55"/>
      <c r="R718" s="5"/>
      <c r="S718" s="25"/>
      <c r="T718" s="5"/>
    </row>
    <row r="719" spans="1:20" s="3" customFormat="1" x14ac:dyDescent="0.25">
      <c r="A719" s="21" t="s">
        <v>450</v>
      </c>
      <c r="B719" s="246" t="s">
        <v>398</v>
      </c>
      <c r="C719" s="246"/>
      <c r="D719" s="246"/>
      <c r="E719" s="246"/>
      <c r="F719" s="202" t="s">
        <v>411</v>
      </c>
      <c r="G719" s="54"/>
      <c r="H719" s="54"/>
      <c r="I719" s="54"/>
      <c r="J719" s="54"/>
      <c r="K719" s="54"/>
      <c r="L719" s="54"/>
      <c r="M719" s="54"/>
      <c r="N719" s="54"/>
      <c r="O719" s="54"/>
      <c r="P719" s="54"/>
      <c r="Q719" s="54"/>
      <c r="R719" s="5"/>
      <c r="S719" s="25"/>
      <c r="T719" s="5"/>
    </row>
    <row r="720" spans="1:20" s="3" customFormat="1" x14ac:dyDescent="0.25">
      <c r="A720" s="21" t="s">
        <v>450</v>
      </c>
      <c r="B720" s="246" t="s">
        <v>399</v>
      </c>
      <c r="C720" s="246"/>
      <c r="D720" s="246"/>
      <c r="E720" s="246"/>
      <c r="F720" s="202" t="s">
        <v>411</v>
      </c>
      <c r="G720" s="54"/>
      <c r="H720" s="54"/>
      <c r="I720" s="54"/>
      <c r="J720" s="54"/>
      <c r="K720" s="54"/>
      <c r="L720" s="54"/>
      <c r="M720" s="54"/>
      <c r="N720" s="54"/>
      <c r="O720" s="54"/>
      <c r="P720" s="54"/>
      <c r="Q720" s="54"/>
      <c r="R720" s="5"/>
      <c r="S720" s="25"/>
      <c r="T720" s="5"/>
    </row>
    <row r="721" spans="1:20" s="3" customFormat="1" x14ac:dyDescent="0.25">
      <c r="A721" s="21" t="s">
        <v>450</v>
      </c>
      <c r="B721" s="246" t="s">
        <v>310</v>
      </c>
      <c r="C721" s="246"/>
      <c r="D721" s="246"/>
      <c r="E721" s="246" t="s">
        <v>412</v>
      </c>
      <c r="F721" s="202" t="s">
        <v>411</v>
      </c>
      <c r="G721" s="55">
        <v>11.249000000000001</v>
      </c>
      <c r="H721" s="262">
        <f t="shared" ref="H721:Q721" si="90">G721</f>
        <v>11.249000000000001</v>
      </c>
      <c r="I721" s="262">
        <f t="shared" si="90"/>
        <v>11.249000000000001</v>
      </c>
      <c r="J721" s="262">
        <f t="shared" si="90"/>
        <v>11.249000000000001</v>
      </c>
      <c r="K721" s="262">
        <f t="shared" si="90"/>
        <v>11.249000000000001</v>
      </c>
      <c r="L721" s="262">
        <f t="shared" si="90"/>
        <v>11.249000000000001</v>
      </c>
      <c r="M721" s="262">
        <f t="shared" si="90"/>
        <v>11.249000000000001</v>
      </c>
      <c r="N721" s="262">
        <f t="shared" si="90"/>
        <v>11.249000000000001</v>
      </c>
      <c r="O721" s="262">
        <f t="shared" si="90"/>
        <v>11.249000000000001</v>
      </c>
      <c r="P721" s="262">
        <f t="shared" si="90"/>
        <v>11.249000000000001</v>
      </c>
      <c r="Q721" s="262">
        <f t="shared" si="90"/>
        <v>11.249000000000001</v>
      </c>
      <c r="R721" s="5"/>
      <c r="S721" s="25"/>
      <c r="T721" s="5"/>
    </row>
    <row r="722" spans="1:20" s="3" customFormat="1" x14ac:dyDescent="0.25">
      <c r="A722" s="21" t="s">
        <v>450</v>
      </c>
      <c r="B722" s="246" t="s">
        <v>360</v>
      </c>
      <c r="C722" s="246"/>
      <c r="D722" s="246"/>
      <c r="E722" s="246" t="s">
        <v>321</v>
      </c>
      <c r="F722" s="202" t="s">
        <v>411</v>
      </c>
      <c r="G722" s="55"/>
      <c r="H722" s="55"/>
      <c r="I722" s="55"/>
      <c r="J722" s="55"/>
      <c r="K722" s="55"/>
      <c r="L722" s="55"/>
      <c r="M722" s="55"/>
      <c r="N722" s="55"/>
      <c r="O722" s="55"/>
      <c r="P722" s="55"/>
      <c r="Q722" s="55"/>
      <c r="R722" s="5"/>
      <c r="S722" s="25"/>
      <c r="T722" s="5"/>
    </row>
    <row r="723" spans="1:20" s="3" customFormat="1" x14ac:dyDescent="0.25">
      <c r="A723" s="21" t="s">
        <v>450</v>
      </c>
      <c r="B723" s="2" t="s">
        <v>306</v>
      </c>
      <c r="C723" s="13"/>
      <c r="D723" s="67" t="s">
        <v>469</v>
      </c>
      <c r="E723" s="67" t="s">
        <v>413</v>
      </c>
      <c r="F723" s="202" t="s">
        <v>411</v>
      </c>
      <c r="G723" s="54">
        <v>0.23499999999999999</v>
      </c>
      <c r="H723" s="54">
        <v>0.23499999999999999</v>
      </c>
      <c r="I723" s="54">
        <v>0.23499999999999999</v>
      </c>
      <c r="J723" s="54">
        <v>0.23499999999999999</v>
      </c>
      <c r="K723" s="54">
        <v>0.23499999999999999</v>
      </c>
      <c r="L723" s="54">
        <v>0.23499999999999999</v>
      </c>
      <c r="M723" s="54">
        <v>0.23499999999999999</v>
      </c>
      <c r="N723" s="54">
        <v>0.23499999999999999</v>
      </c>
      <c r="O723" s="54">
        <v>0.23499999999999999</v>
      </c>
      <c r="P723" s="54">
        <v>0.23499999999999999</v>
      </c>
      <c r="Q723" s="54">
        <v>0.23499999999999999</v>
      </c>
      <c r="R723" s="5"/>
      <c r="S723" s="13"/>
      <c r="T723" s="5"/>
    </row>
    <row r="724" spans="1:20" s="3" customFormat="1" x14ac:dyDescent="0.25">
      <c r="A724" s="21" t="s">
        <v>450</v>
      </c>
      <c r="B724" s="2" t="s">
        <v>306</v>
      </c>
      <c r="C724" s="13"/>
      <c r="D724" s="67" t="s">
        <v>466</v>
      </c>
      <c r="E724" s="67" t="s">
        <v>413</v>
      </c>
      <c r="F724" s="202" t="s">
        <v>411</v>
      </c>
      <c r="G724" s="54">
        <v>4.6399999999999997</v>
      </c>
      <c r="H724" s="54">
        <v>4.6399999999999997</v>
      </c>
      <c r="I724" s="54">
        <v>4.6399999999999997</v>
      </c>
      <c r="J724" s="54">
        <v>4.6399999999999997</v>
      </c>
      <c r="K724" s="54">
        <v>4.6399999999999997</v>
      </c>
      <c r="L724" s="54">
        <v>4.6399999999999997</v>
      </c>
      <c r="M724" s="54">
        <v>4.6399999999999997</v>
      </c>
      <c r="N724" s="54">
        <v>4.6399999999999997</v>
      </c>
      <c r="O724" s="54">
        <v>4.6399999999999997</v>
      </c>
      <c r="P724" s="54">
        <v>4.6399999999999997</v>
      </c>
      <c r="Q724" s="54">
        <v>4.6399999999999997</v>
      </c>
      <c r="R724" s="5"/>
      <c r="S724" s="13"/>
      <c r="T724" s="5"/>
    </row>
    <row r="725" spans="1:20" s="3" customFormat="1" x14ac:dyDescent="0.25">
      <c r="A725" s="21" t="s">
        <v>450</v>
      </c>
      <c r="B725" s="4"/>
      <c r="C725" s="13"/>
      <c r="D725" s="4"/>
      <c r="E725" s="4"/>
      <c r="F725" s="9"/>
      <c r="G725" s="4"/>
      <c r="H725" s="4"/>
      <c r="I725" s="4"/>
      <c r="J725" s="4"/>
      <c r="K725" s="4"/>
      <c r="L725" s="4"/>
      <c r="M725" s="4"/>
      <c r="N725" s="4"/>
      <c r="O725" s="4"/>
      <c r="P725" s="4"/>
      <c r="Q725" s="4"/>
      <c r="R725" s="5"/>
      <c r="S725" s="13"/>
      <c r="T725" s="5"/>
    </row>
    <row r="726" spans="1:20" s="3" customFormat="1" x14ac:dyDescent="0.25">
      <c r="A726" s="359" t="s">
        <v>68</v>
      </c>
      <c r="C726" s="13"/>
      <c r="F726" s="9"/>
      <c r="R726" s="5"/>
      <c r="S726" s="13"/>
      <c r="T726" s="5"/>
    </row>
    <row r="727" spans="1:20" s="3" customFormat="1" x14ac:dyDescent="0.25">
      <c r="A727" s="21" t="s">
        <v>450</v>
      </c>
      <c r="B727" s="67" t="s">
        <v>305</v>
      </c>
      <c r="C727" s="13"/>
      <c r="D727" s="67" t="s">
        <v>468</v>
      </c>
      <c r="E727" s="67" t="s">
        <v>320</v>
      </c>
      <c r="F727" s="202" t="str">
        <f>A726</f>
        <v>Clothes washing</v>
      </c>
      <c r="G727" s="55"/>
      <c r="H727" s="55"/>
      <c r="I727" s="55"/>
      <c r="J727" s="55"/>
      <c r="K727" s="55"/>
      <c r="L727" s="55"/>
      <c r="M727" s="55"/>
      <c r="N727" s="55"/>
      <c r="O727" s="55"/>
      <c r="P727" s="55"/>
      <c r="Q727" s="55"/>
      <c r="R727" s="5"/>
      <c r="S727" s="13"/>
      <c r="T727" s="5"/>
    </row>
    <row r="728" spans="1:20" s="3" customFormat="1" x14ac:dyDescent="0.25">
      <c r="A728" s="21" t="s">
        <v>450</v>
      </c>
      <c r="B728" s="67" t="s">
        <v>47</v>
      </c>
      <c r="C728" s="13"/>
      <c r="D728" s="2"/>
      <c r="E728" s="2"/>
      <c r="F728" s="202" t="s">
        <v>21</v>
      </c>
      <c r="G728" s="4"/>
      <c r="H728" s="4"/>
      <c r="I728" s="4"/>
      <c r="J728" s="4"/>
      <c r="K728" s="4"/>
      <c r="L728" s="4"/>
      <c r="M728" s="4"/>
      <c r="N728" s="4"/>
      <c r="O728" s="4"/>
      <c r="P728" s="4"/>
      <c r="Q728" s="4"/>
      <c r="R728" s="5"/>
      <c r="S728" s="13"/>
      <c r="T728" s="5"/>
    </row>
    <row r="729" spans="1:20" s="3" customFormat="1" x14ac:dyDescent="0.25">
      <c r="A729" s="21" t="s">
        <v>450</v>
      </c>
      <c r="B729" s="67" t="s">
        <v>66</v>
      </c>
      <c r="C729" s="13"/>
      <c r="D729" s="2"/>
      <c r="E729" s="2"/>
      <c r="F729" s="202" t="s">
        <v>35</v>
      </c>
      <c r="G729" s="4">
        <v>10</v>
      </c>
      <c r="H729" s="209">
        <f t="shared" ref="H729:Q729" si="91">G729</f>
        <v>10</v>
      </c>
      <c r="I729" s="209">
        <f t="shared" si="91"/>
        <v>10</v>
      </c>
      <c r="J729" s="209">
        <f t="shared" si="91"/>
        <v>10</v>
      </c>
      <c r="K729" s="209">
        <f t="shared" si="91"/>
        <v>10</v>
      </c>
      <c r="L729" s="209">
        <f t="shared" si="91"/>
        <v>10</v>
      </c>
      <c r="M729" s="209">
        <f t="shared" si="91"/>
        <v>10</v>
      </c>
      <c r="N729" s="209">
        <f t="shared" si="91"/>
        <v>10</v>
      </c>
      <c r="O729" s="209">
        <f t="shared" si="91"/>
        <v>10</v>
      </c>
      <c r="P729" s="209">
        <f t="shared" si="91"/>
        <v>10</v>
      </c>
      <c r="Q729" s="209">
        <f t="shared" si="91"/>
        <v>10</v>
      </c>
      <c r="R729" s="5"/>
      <c r="S729" s="13"/>
      <c r="T729" s="5"/>
    </row>
    <row r="730" spans="1:20" s="3" customFormat="1" x14ac:dyDescent="0.25">
      <c r="A730" s="21" t="s">
        <v>450</v>
      </c>
      <c r="B730" s="67" t="s">
        <v>51</v>
      </c>
      <c r="C730" s="13"/>
      <c r="D730" s="2"/>
      <c r="E730" s="2"/>
      <c r="F730" s="202" t="s">
        <v>414</v>
      </c>
      <c r="G730" s="4"/>
      <c r="H730" s="4"/>
      <c r="I730" s="4"/>
      <c r="J730" s="4"/>
      <c r="K730" s="4"/>
      <c r="L730" s="4"/>
      <c r="M730" s="4"/>
      <c r="N730" s="4"/>
      <c r="O730" s="4"/>
      <c r="P730" s="4"/>
      <c r="Q730" s="4"/>
      <c r="R730" s="5"/>
      <c r="S730" s="13"/>
      <c r="T730" s="5"/>
    </row>
    <row r="731" spans="1:20" s="3" customFormat="1" x14ac:dyDescent="0.25">
      <c r="A731" s="21" t="s">
        <v>450</v>
      </c>
      <c r="B731" s="246" t="s">
        <v>38</v>
      </c>
      <c r="C731" s="246"/>
      <c r="D731" s="246"/>
      <c r="E731" s="246" t="s">
        <v>40</v>
      </c>
      <c r="F731" s="202" t="s">
        <v>414</v>
      </c>
      <c r="G731" s="277">
        <v>1980</v>
      </c>
      <c r="H731" s="278">
        <f t="shared" ref="H731:Q733" si="92">G731</f>
        <v>1980</v>
      </c>
      <c r="I731" s="278">
        <f t="shared" si="92"/>
        <v>1980</v>
      </c>
      <c r="J731" s="278">
        <f t="shared" si="92"/>
        <v>1980</v>
      </c>
      <c r="K731" s="278">
        <f t="shared" si="92"/>
        <v>1980</v>
      </c>
      <c r="L731" s="278">
        <f t="shared" si="92"/>
        <v>1980</v>
      </c>
      <c r="M731" s="278">
        <f t="shared" si="92"/>
        <v>1980</v>
      </c>
      <c r="N731" s="278">
        <f t="shared" si="92"/>
        <v>1980</v>
      </c>
      <c r="O731" s="278">
        <f t="shared" si="92"/>
        <v>1980</v>
      </c>
      <c r="P731" s="278">
        <f t="shared" si="92"/>
        <v>1980</v>
      </c>
      <c r="Q731" s="278">
        <f t="shared" si="92"/>
        <v>1980</v>
      </c>
      <c r="R731" s="5"/>
      <c r="S731" s="25"/>
      <c r="T731" s="5"/>
    </row>
    <row r="732" spans="1:20" s="3" customFormat="1" x14ac:dyDescent="0.25">
      <c r="A732" s="21" t="s">
        <v>450</v>
      </c>
      <c r="B732" s="246" t="s">
        <v>37</v>
      </c>
      <c r="C732" s="246"/>
      <c r="D732" s="246"/>
      <c r="E732" s="246" t="s">
        <v>40</v>
      </c>
      <c r="F732" s="202" t="s">
        <v>414</v>
      </c>
      <c r="G732" s="277">
        <v>2000</v>
      </c>
      <c r="H732" s="278">
        <f t="shared" si="92"/>
        <v>2000</v>
      </c>
      <c r="I732" s="278">
        <f t="shared" si="92"/>
        <v>2000</v>
      </c>
      <c r="J732" s="278">
        <f t="shared" si="92"/>
        <v>2000</v>
      </c>
      <c r="K732" s="278">
        <f t="shared" si="92"/>
        <v>2000</v>
      </c>
      <c r="L732" s="278">
        <f t="shared" si="92"/>
        <v>2000</v>
      </c>
      <c r="M732" s="278">
        <f t="shared" si="92"/>
        <v>2000</v>
      </c>
      <c r="N732" s="278">
        <f t="shared" si="92"/>
        <v>2000</v>
      </c>
      <c r="O732" s="278">
        <f t="shared" si="92"/>
        <v>2000</v>
      </c>
      <c r="P732" s="278">
        <f t="shared" si="92"/>
        <v>2000</v>
      </c>
      <c r="Q732" s="278">
        <f t="shared" si="92"/>
        <v>2000</v>
      </c>
      <c r="R732" s="5"/>
      <c r="S732" s="25"/>
      <c r="T732" s="5"/>
    </row>
    <row r="733" spans="1:20" s="3" customFormat="1" x14ac:dyDescent="0.25">
      <c r="A733" s="21" t="s">
        <v>450</v>
      </c>
      <c r="B733" s="246" t="s">
        <v>39</v>
      </c>
      <c r="C733" s="246"/>
      <c r="D733" s="246"/>
      <c r="E733" s="246" t="s">
        <v>10</v>
      </c>
      <c r="F733" s="202" t="s">
        <v>414</v>
      </c>
      <c r="G733" s="55">
        <v>14</v>
      </c>
      <c r="H733" s="262">
        <f t="shared" si="92"/>
        <v>14</v>
      </c>
      <c r="I733" s="262">
        <f t="shared" si="92"/>
        <v>14</v>
      </c>
      <c r="J733" s="262">
        <f t="shared" si="92"/>
        <v>14</v>
      </c>
      <c r="K733" s="262">
        <f t="shared" si="92"/>
        <v>14</v>
      </c>
      <c r="L733" s="262">
        <f t="shared" si="92"/>
        <v>14</v>
      </c>
      <c r="M733" s="262">
        <f t="shared" si="92"/>
        <v>14</v>
      </c>
      <c r="N733" s="262">
        <f t="shared" si="92"/>
        <v>14</v>
      </c>
      <c r="O733" s="262">
        <f t="shared" si="92"/>
        <v>14</v>
      </c>
      <c r="P733" s="262">
        <f t="shared" si="92"/>
        <v>14</v>
      </c>
      <c r="Q733" s="262">
        <f t="shared" si="92"/>
        <v>14</v>
      </c>
      <c r="R733" s="5"/>
      <c r="S733" s="25"/>
      <c r="T733" s="5"/>
    </row>
    <row r="734" spans="1:20" s="3" customFormat="1" x14ac:dyDescent="0.25">
      <c r="A734" s="21" t="s">
        <v>450</v>
      </c>
      <c r="B734" s="246" t="s">
        <v>361</v>
      </c>
      <c r="C734" s="246"/>
      <c r="D734" s="246"/>
      <c r="E734" s="246" t="s">
        <v>10</v>
      </c>
      <c r="F734" s="202" t="s">
        <v>414</v>
      </c>
      <c r="G734" s="55"/>
      <c r="H734" s="55"/>
      <c r="I734" s="55"/>
      <c r="J734" s="55"/>
      <c r="K734" s="55"/>
      <c r="L734" s="55"/>
      <c r="M734" s="55"/>
      <c r="N734" s="55"/>
      <c r="O734" s="55"/>
      <c r="P734" s="55"/>
      <c r="Q734" s="55"/>
      <c r="R734" s="5"/>
      <c r="S734" s="25"/>
      <c r="T734" s="5"/>
    </row>
    <row r="735" spans="1:20" s="3" customFormat="1" x14ac:dyDescent="0.25">
      <c r="A735" s="21" t="s">
        <v>450</v>
      </c>
      <c r="B735" s="246" t="s">
        <v>309</v>
      </c>
      <c r="C735" s="246"/>
      <c r="D735" s="246"/>
      <c r="E735" s="246" t="s">
        <v>97</v>
      </c>
      <c r="F735" s="202" t="s">
        <v>414</v>
      </c>
      <c r="G735" s="271">
        <v>0.3</v>
      </c>
      <c r="H735" s="274">
        <f t="shared" ref="H735:Q735" si="93">G735</f>
        <v>0.3</v>
      </c>
      <c r="I735" s="274">
        <f t="shared" si="93"/>
        <v>0.3</v>
      </c>
      <c r="J735" s="274">
        <f t="shared" si="93"/>
        <v>0.3</v>
      </c>
      <c r="K735" s="274">
        <f t="shared" si="93"/>
        <v>0.3</v>
      </c>
      <c r="L735" s="274">
        <f t="shared" si="93"/>
        <v>0.3</v>
      </c>
      <c r="M735" s="274">
        <f t="shared" si="93"/>
        <v>0.3</v>
      </c>
      <c r="N735" s="274">
        <f t="shared" si="93"/>
        <v>0.3</v>
      </c>
      <c r="O735" s="274">
        <f t="shared" si="93"/>
        <v>0.3</v>
      </c>
      <c r="P735" s="274">
        <f t="shared" si="93"/>
        <v>0.3</v>
      </c>
      <c r="Q735" s="274">
        <f t="shared" si="93"/>
        <v>0.3</v>
      </c>
      <c r="R735" s="5"/>
      <c r="S735" s="25"/>
      <c r="T735" s="5"/>
    </row>
    <row r="736" spans="1:20" s="3" customFormat="1" x14ac:dyDescent="0.25">
      <c r="A736" s="21" t="s">
        <v>450</v>
      </c>
      <c r="B736" s="246" t="s">
        <v>358</v>
      </c>
      <c r="C736" s="246"/>
      <c r="D736" s="246"/>
      <c r="E736" s="246" t="s">
        <v>97</v>
      </c>
      <c r="F736" s="202" t="s">
        <v>414</v>
      </c>
      <c r="G736" s="271"/>
      <c r="H736" s="271"/>
      <c r="I736" s="271"/>
      <c r="J736" s="271"/>
      <c r="K736" s="271"/>
      <c r="L736" s="271"/>
      <c r="M736" s="271"/>
      <c r="N736" s="271"/>
      <c r="O736" s="271"/>
      <c r="P736" s="271"/>
      <c r="Q736" s="271"/>
      <c r="R736" s="5"/>
      <c r="S736" s="25"/>
      <c r="T736" s="5"/>
    </row>
    <row r="737" spans="1:20" s="3" customFormat="1" x14ac:dyDescent="0.25">
      <c r="A737" s="21" t="s">
        <v>450</v>
      </c>
      <c r="B737" s="246" t="s">
        <v>357</v>
      </c>
      <c r="C737" s="246"/>
      <c r="D737" s="246"/>
      <c r="E737" s="246" t="s">
        <v>97</v>
      </c>
      <c r="F737" s="202" t="s">
        <v>414</v>
      </c>
      <c r="G737" s="271"/>
      <c r="H737" s="271"/>
      <c r="I737" s="271"/>
      <c r="J737" s="271"/>
      <c r="K737" s="271"/>
      <c r="L737" s="271"/>
      <c r="M737" s="271"/>
      <c r="N737" s="271"/>
      <c r="O737" s="271"/>
      <c r="P737" s="271"/>
      <c r="Q737" s="271"/>
      <c r="R737" s="5"/>
      <c r="S737" s="25"/>
      <c r="T737" s="5"/>
    </row>
    <row r="738" spans="1:20" s="3" customFormat="1" x14ac:dyDescent="0.25">
      <c r="A738" s="21" t="s">
        <v>450</v>
      </c>
      <c r="B738" s="246" t="s">
        <v>75</v>
      </c>
      <c r="C738" s="246"/>
      <c r="D738" s="246"/>
      <c r="E738" s="246" t="s">
        <v>97</v>
      </c>
      <c r="F738" s="202" t="s">
        <v>414</v>
      </c>
      <c r="G738" s="271">
        <v>1</v>
      </c>
      <c r="H738" s="271"/>
      <c r="I738" s="271"/>
      <c r="J738" s="271"/>
      <c r="K738" s="271"/>
      <c r="L738" s="271"/>
      <c r="M738" s="271"/>
      <c r="N738" s="271"/>
      <c r="O738" s="271"/>
      <c r="P738" s="271"/>
      <c r="Q738" s="271"/>
      <c r="R738" s="5"/>
      <c r="S738" s="25"/>
      <c r="T738" s="5"/>
    </row>
    <row r="739" spans="1:20" s="3" customFormat="1" x14ac:dyDescent="0.25">
      <c r="A739" s="21" t="s">
        <v>450</v>
      </c>
      <c r="B739" s="68" t="s">
        <v>148</v>
      </c>
      <c r="C739" s="68"/>
      <c r="D739" s="251"/>
      <c r="E739" s="68" t="s">
        <v>97</v>
      </c>
      <c r="F739" s="202" t="s">
        <v>414</v>
      </c>
      <c r="G739" s="271"/>
      <c r="H739" s="271"/>
      <c r="I739" s="271"/>
      <c r="J739" s="271"/>
      <c r="K739" s="271"/>
      <c r="L739" s="271"/>
      <c r="M739" s="271"/>
      <c r="N739" s="271"/>
      <c r="O739" s="271"/>
      <c r="P739" s="271"/>
      <c r="Q739" s="271"/>
      <c r="R739" s="5"/>
      <c r="S739" s="25"/>
      <c r="T739" s="5"/>
    </row>
    <row r="740" spans="1:20" s="3" customFormat="1" x14ac:dyDescent="0.25">
      <c r="A740" s="21" t="s">
        <v>450</v>
      </c>
      <c r="B740" s="68" t="s">
        <v>149</v>
      </c>
      <c r="C740" s="68"/>
      <c r="D740" s="251"/>
      <c r="E740" s="68" t="s">
        <v>97</v>
      </c>
      <c r="F740" s="202" t="s">
        <v>414</v>
      </c>
      <c r="G740" s="271"/>
      <c r="H740" s="271"/>
      <c r="I740" s="271"/>
      <c r="J740" s="271"/>
      <c r="K740" s="271"/>
      <c r="L740" s="271"/>
      <c r="M740" s="271"/>
      <c r="N740" s="271"/>
      <c r="O740" s="271"/>
      <c r="P740" s="271"/>
      <c r="Q740" s="271"/>
      <c r="R740" s="5"/>
      <c r="S740" s="25"/>
      <c r="T740" s="5"/>
    </row>
    <row r="741" spans="1:20" s="3" customFormat="1" x14ac:dyDescent="0.25">
      <c r="A741" s="21" t="s">
        <v>450</v>
      </c>
      <c r="B741" s="68" t="s">
        <v>370</v>
      </c>
      <c r="C741" s="68"/>
      <c r="D741" s="251"/>
      <c r="E741" s="68" t="s">
        <v>97</v>
      </c>
      <c r="F741" s="202" t="s">
        <v>414</v>
      </c>
      <c r="G741" s="271"/>
      <c r="H741" s="271"/>
      <c r="I741" s="271"/>
      <c r="J741" s="271"/>
      <c r="K741" s="271"/>
      <c r="L741" s="271"/>
      <c r="M741" s="271"/>
      <c r="N741" s="271"/>
      <c r="O741" s="271"/>
      <c r="P741" s="271"/>
      <c r="Q741" s="271"/>
      <c r="R741" s="5"/>
      <c r="S741" s="25"/>
      <c r="T741" s="5"/>
    </row>
    <row r="742" spans="1:20" s="3" customFormat="1" x14ac:dyDescent="0.25">
      <c r="A742" s="21" t="s">
        <v>450</v>
      </c>
      <c r="B742" s="68" t="s">
        <v>371</v>
      </c>
      <c r="C742" s="68"/>
      <c r="D742" s="251"/>
      <c r="E742" s="68" t="s">
        <v>97</v>
      </c>
      <c r="F742" s="202" t="s">
        <v>414</v>
      </c>
      <c r="G742" s="271"/>
      <c r="H742" s="271"/>
      <c r="I742" s="271"/>
      <c r="J742" s="271"/>
      <c r="K742" s="271"/>
      <c r="L742" s="271"/>
      <c r="M742" s="271"/>
      <c r="N742" s="271"/>
      <c r="O742" s="271"/>
      <c r="P742" s="271"/>
      <c r="Q742" s="271"/>
      <c r="R742" s="5"/>
      <c r="S742" s="25"/>
      <c r="T742" s="5"/>
    </row>
    <row r="743" spans="1:20" s="3" customFormat="1" x14ac:dyDescent="0.25">
      <c r="A743" s="21" t="s">
        <v>450</v>
      </c>
      <c r="B743" s="246" t="s">
        <v>338</v>
      </c>
      <c r="C743" s="246"/>
      <c r="D743" s="246"/>
      <c r="E743" s="246" t="s">
        <v>320</v>
      </c>
      <c r="F743" s="202" t="s">
        <v>414</v>
      </c>
      <c r="G743" s="55">
        <v>1</v>
      </c>
      <c r="H743" s="262">
        <f t="shared" ref="H743:Q744" si="94">G743</f>
        <v>1</v>
      </c>
      <c r="I743" s="262">
        <f t="shared" si="94"/>
        <v>1</v>
      </c>
      <c r="J743" s="262">
        <f t="shared" si="94"/>
        <v>1</v>
      </c>
      <c r="K743" s="262">
        <f t="shared" si="94"/>
        <v>1</v>
      </c>
      <c r="L743" s="262">
        <f t="shared" si="94"/>
        <v>1</v>
      </c>
      <c r="M743" s="262">
        <f t="shared" si="94"/>
        <v>1</v>
      </c>
      <c r="N743" s="262">
        <f t="shared" si="94"/>
        <v>1</v>
      </c>
      <c r="O743" s="262">
        <f t="shared" si="94"/>
        <v>1</v>
      </c>
      <c r="P743" s="262">
        <f t="shared" si="94"/>
        <v>1</v>
      </c>
      <c r="Q743" s="262">
        <f t="shared" si="94"/>
        <v>1</v>
      </c>
      <c r="R743" s="5"/>
      <c r="S743" s="25"/>
      <c r="T743" s="5"/>
    </row>
    <row r="744" spans="1:20" s="3" customFormat="1" x14ac:dyDescent="0.25">
      <c r="A744" s="21" t="s">
        <v>450</v>
      </c>
      <c r="B744" s="246" t="s">
        <v>152</v>
      </c>
      <c r="C744" s="246"/>
      <c r="D744" s="246"/>
      <c r="E744" s="246" t="s">
        <v>321</v>
      </c>
      <c r="F744" s="202" t="s">
        <v>414</v>
      </c>
      <c r="G744" s="55">
        <v>670.15</v>
      </c>
      <c r="H744" s="262">
        <f t="shared" si="94"/>
        <v>670.15</v>
      </c>
      <c r="I744" s="262">
        <f t="shared" si="94"/>
        <v>670.15</v>
      </c>
      <c r="J744" s="262">
        <f t="shared" si="94"/>
        <v>670.15</v>
      </c>
      <c r="K744" s="262">
        <f t="shared" si="94"/>
        <v>670.15</v>
      </c>
      <c r="L744" s="262">
        <f t="shared" si="94"/>
        <v>670.15</v>
      </c>
      <c r="M744" s="262">
        <f t="shared" si="94"/>
        <v>670.15</v>
      </c>
      <c r="N744" s="262">
        <f t="shared" si="94"/>
        <v>670.15</v>
      </c>
      <c r="O744" s="262">
        <f t="shared" si="94"/>
        <v>670.15</v>
      </c>
      <c r="P744" s="262">
        <f t="shared" si="94"/>
        <v>670.15</v>
      </c>
      <c r="Q744" s="262">
        <f t="shared" si="94"/>
        <v>670.15</v>
      </c>
      <c r="R744" s="5"/>
      <c r="S744" s="25"/>
      <c r="T744" s="5"/>
    </row>
    <row r="745" spans="1:20" s="3" customFormat="1" x14ac:dyDescent="0.25">
      <c r="A745" s="21" t="s">
        <v>450</v>
      </c>
      <c r="B745" s="246" t="s">
        <v>383</v>
      </c>
      <c r="C745" s="246"/>
      <c r="D745" s="246"/>
      <c r="E745" s="246" t="s">
        <v>97</v>
      </c>
      <c r="F745" s="202" t="s">
        <v>414</v>
      </c>
      <c r="G745" s="271"/>
      <c r="H745" s="271"/>
      <c r="I745" s="271"/>
      <c r="J745" s="271"/>
      <c r="K745" s="271"/>
      <c r="L745" s="271"/>
      <c r="M745" s="271"/>
      <c r="N745" s="271"/>
      <c r="O745" s="271"/>
      <c r="P745" s="271"/>
      <c r="Q745" s="271"/>
      <c r="R745" s="5"/>
      <c r="S745" s="25"/>
      <c r="T745" s="5"/>
    </row>
    <row r="746" spans="1:20" s="3" customFormat="1" x14ac:dyDescent="0.25">
      <c r="A746" s="21" t="s">
        <v>450</v>
      </c>
      <c r="B746" s="246" t="s">
        <v>446</v>
      </c>
      <c r="C746" s="246"/>
      <c r="D746" s="246"/>
      <c r="E746" s="246" t="s">
        <v>320</v>
      </c>
      <c r="F746" s="202" t="s">
        <v>414</v>
      </c>
      <c r="G746" s="55"/>
      <c r="H746" s="55"/>
      <c r="I746" s="55"/>
      <c r="J746" s="55"/>
      <c r="K746" s="55"/>
      <c r="L746" s="55"/>
      <c r="M746" s="55"/>
      <c r="N746" s="55"/>
      <c r="O746" s="55"/>
      <c r="P746" s="55"/>
      <c r="Q746" s="55"/>
      <c r="R746" s="5"/>
      <c r="S746" s="25"/>
      <c r="T746" s="5"/>
    </row>
    <row r="747" spans="1:20" s="3" customFormat="1" x14ac:dyDescent="0.25">
      <c r="A747" s="21" t="s">
        <v>450</v>
      </c>
      <c r="B747" s="246" t="s">
        <v>387</v>
      </c>
      <c r="C747" s="246"/>
      <c r="D747" s="246"/>
      <c r="E747" s="246"/>
      <c r="F747" s="202" t="s">
        <v>414</v>
      </c>
      <c r="G747" s="54"/>
      <c r="H747" s="54"/>
      <c r="I747" s="54"/>
      <c r="J747" s="54"/>
      <c r="K747" s="54"/>
      <c r="L747" s="54"/>
      <c r="M747" s="54"/>
      <c r="N747" s="54"/>
      <c r="O747" s="54"/>
      <c r="P747" s="54"/>
      <c r="Q747" s="54"/>
      <c r="R747" s="5"/>
      <c r="S747" s="25"/>
      <c r="T747" s="5"/>
    </row>
    <row r="748" spans="1:20" s="3" customFormat="1" x14ac:dyDescent="0.25">
      <c r="A748" s="21" t="s">
        <v>450</v>
      </c>
      <c r="B748" s="246" t="s">
        <v>369</v>
      </c>
      <c r="C748" s="246"/>
      <c r="D748" s="246"/>
      <c r="E748" s="246" t="s">
        <v>97</v>
      </c>
      <c r="F748" s="202" t="s">
        <v>414</v>
      </c>
      <c r="G748" s="271"/>
      <c r="H748" s="271"/>
      <c r="I748" s="271"/>
      <c r="J748" s="271"/>
      <c r="K748" s="271"/>
      <c r="L748" s="271"/>
      <c r="M748" s="271"/>
      <c r="N748" s="271"/>
      <c r="O748" s="271"/>
      <c r="P748" s="271"/>
      <c r="Q748" s="271"/>
      <c r="R748" s="5"/>
      <c r="S748" s="25"/>
      <c r="T748" s="5"/>
    </row>
    <row r="749" spans="1:20" s="3" customFormat="1" x14ac:dyDescent="0.25">
      <c r="A749" s="21" t="s">
        <v>450</v>
      </c>
      <c r="B749" s="246" t="s">
        <v>392</v>
      </c>
      <c r="C749" s="246"/>
      <c r="D749" s="246"/>
      <c r="E749" s="246" t="s">
        <v>321</v>
      </c>
      <c r="F749" s="202" t="s">
        <v>414</v>
      </c>
      <c r="G749" s="55"/>
      <c r="H749" s="262"/>
      <c r="I749" s="262"/>
      <c r="J749" s="262"/>
      <c r="K749" s="262"/>
      <c r="L749" s="262"/>
      <c r="M749" s="262"/>
      <c r="N749" s="262"/>
      <c r="O749" s="262"/>
      <c r="P749" s="262"/>
      <c r="Q749" s="262"/>
      <c r="R749" s="5"/>
      <c r="S749" s="25"/>
      <c r="T749" s="5"/>
    </row>
    <row r="750" spans="1:20" s="3" customFormat="1" x14ac:dyDescent="0.25">
      <c r="A750" s="21" t="s">
        <v>450</v>
      </c>
      <c r="B750" s="246" t="s">
        <v>394</v>
      </c>
      <c r="C750" s="246"/>
      <c r="D750" s="246"/>
      <c r="E750" s="246" t="s">
        <v>321</v>
      </c>
      <c r="F750" s="202" t="s">
        <v>414</v>
      </c>
      <c r="G750" s="55"/>
      <c r="H750" s="55"/>
      <c r="I750" s="55"/>
      <c r="J750" s="55"/>
      <c r="K750" s="55"/>
      <c r="L750" s="55"/>
      <c r="M750" s="55"/>
      <c r="N750" s="55"/>
      <c r="O750" s="55"/>
      <c r="P750" s="55"/>
      <c r="Q750" s="55"/>
      <c r="R750" s="5"/>
      <c r="S750" s="25"/>
      <c r="T750" s="5"/>
    </row>
    <row r="751" spans="1:20" s="3" customFormat="1" x14ac:dyDescent="0.25">
      <c r="A751" s="21" t="s">
        <v>450</v>
      </c>
      <c r="B751" s="246" t="s">
        <v>395</v>
      </c>
      <c r="C751" s="246"/>
      <c r="D751" s="246"/>
      <c r="E751" s="246"/>
      <c r="F751" s="202" t="s">
        <v>414</v>
      </c>
      <c r="G751" s="54"/>
      <c r="H751" s="54"/>
      <c r="I751" s="54"/>
      <c r="J751" s="54"/>
      <c r="K751" s="54"/>
      <c r="L751" s="54"/>
      <c r="M751" s="54"/>
      <c r="N751" s="54"/>
      <c r="O751" s="54"/>
      <c r="P751" s="54"/>
      <c r="Q751" s="54"/>
      <c r="R751" s="5"/>
      <c r="S751" s="25"/>
      <c r="T751" s="5"/>
    </row>
    <row r="752" spans="1:20" s="3" customFormat="1" x14ac:dyDescent="0.25">
      <c r="A752" s="21" t="s">
        <v>450</v>
      </c>
      <c r="B752" s="246" t="s">
        <v>396</v>
      </c>
      <c r="C752" s="246"/>
      <c r="D752" s="246"/>
      <c r="E752" s="246"/>
      <c r="F752" s="202" t="s">
        <v>414</v>
      </c>
      <c r="G752" s="54"/>
      <c r="H752" s="54"/>
      <c r="I752" s="54"/>
      <c r="J752" s="54"/>
      <c r="K752" s="54"/>
      <c r="L752" s="54"/>
      <c r="M752" s="54"/>
      <c r="N752" s="54"/>
      <c r="O752" s="54"/>
      <c r="P752" s="54"/>
      <c r="Q752" s="54"/>
      <c r="R752" s="5"/>
      <c r="S752" s="25"/>
      <c r="T752" s="5"/>
    </row>
    <row r="753" spans="1:20" s="3" customFormat="1" x14ac:dyDescent="0.25">
      <c r="A753" s="21" t="s">
        <v>450</v>
      </c>
      <c r="B753" s="246" t="s">
        <v>393</v>
      </c>
      <c r="C753" s="246"/>
      <c r="D753" s="246"/>
      <c r="E753" s="246" t="s">
        <v>412</v>
      </c>
      <c r="F753" s="202" t="s">
        <v>414</v>
      </c>
      <c r="G753" s="55"/>
      <c r="H753" s="55"/>
      <c r="I753" s="55"/>
      <c r="J753" s="55"/>
      <c r="K753" s="55"/>
      <c r="L753" s="55"/>
      <c r="M753" s="55"/>
      <c r="N753" s="55"/>
      <c r="O753" s="55"/>
      <c r="P753" s="55"/>
      <c r="Q753" s="55"/>
      <c r="R753" s="5"/>
      <c r="S753" s="25"/>
      <c r="T753" s="5"/>
    </row>
    <row r="754" spans="1:20" s="3" customFormat="1" x14ac:dyDescent="0.25">
      <c r="A754" s="21" t="s">
        <v>450</v>
      </c>
      <c r="B754" s="246" t="s">
        <v>397</v>
      </c>
      <c r="C754" s="246"/>
      <c r="D754" s="246"/>
      <c r="E754" s="246" t="s">
        <v>412</v>
      </c>
      <c r="F754" s="202" t="s">
        <v>414</v>
      </c>
      <c r="G754" s="55"/>
      <c r="H754" s="55"/>
      <c r="I754" s="55"/>
      <c r="J754" s="55"/>
      <c r="K754" s="55"/>
      <c r="L754" s="55"/>
      <c r="M754" s="55"/>
      <c r="N754" s="55"/>
      <c r="O754" s="55"/>
      <c r="P754" s="55"/>
      <c r="Q754" s="55"/>
      <c r="R754" s="5"/>
      <c r="S754" s="25"/>
      <c r="T754" s="5"/>
    </row>
    <row r="755" spans="1:20" s="3" customFormat="1" x14ac:dyDescent="0.25">
      <c r="A755" s="21" t="s">
        <v>450</v>
      </c>
      <c r="B755" s="246" t="s">
        <v>398</v>
      </c>
      <c r="C755" s="246"/>
      <c r="D755" s="246"/>
      <c r="E755" s="246"/>
      <c r="F755" s="202" t="s">
        <v>414</v>
      </c>
      <c r="G755" s="54"/>
      <c r="H755" s="54"/>
      <c r="I755" s="54"/>
      <c r="J755" s="54"/>
      <c r="K755" s="54"/>
      <c r="L755" s="54"/>
      <c r="M755" s="54"/>
      <c r="N755" s="54"/>
      <c r="O755" s="54"/>
      <c r="P755" s="54"/>
      <c r="Q755" s="54"/>
      <c r="R755" s="5"/>
      <c r="S755" s="25"/>
      <c r="T755" s="5"/>
    </row>
    <row r="756" spans="1:20" s="3" customFormat="1" x14ac:dyDescent="0.25">
      <c r="A756" s="21" t="s">
        <v>450</v>
      </c>
      <c r="B756" s="246" t="s">
        <v>399</v>
      </c>
      <c r="C756" s="246"/>
      <c r="D756" s="246"/>
      <c r="E756" s="246"/>
      <c r="F756" s="202" t="s">
        <v>414</v>
      </c>
      <c r="G756" s="54"/>
      <c r="H756" s="54"/>
      <c r="I756" s="54"/>
      <c r="J756" s="54"/>
      <c r="K756" s="54"/>
      <c r="L756" s="54"/>
      <c r="M756" s="54"/>
      <c r="N756" s="54"/>
      <c r="O756" s="54"/>
      <c r="P756" s="54"/>
      <c r="Q756" s="54"/>
      <c r="R756" s="5"/>
      <c r="S756" s="25"/>
      <c r="T756" s="5"/>
    </row>
    <row r="757" spans="1:20" s="3" customFormat="1" x14ac:dyDescent="0.25">
      <c r="A757" s="21" t="s">
        <v>450</v>
      </c>
      <c r="B757" s="246" t="s">
        <v>310</v>
      </c>
      <c r="C757" s="246"/>
      <c r="D757" s="246"/>
      <c r="E757" s="246" t="s">
        <v>412</v>
      </c>
      <c r="F757" s="202" t="s">
        <v>414</v>
      </c>
      <c r="G757" s="55">
        <v>10</v>
      </c>
      <c r="H757" s="262">
        <f t="shared" ref="H757:Q757" si="95">G757</f>
        <v>10</v>
      </c>
      <c r="I757" s="262">
        <f t="shared" si="95"/>
        <v>10</v>
      </c>
      <c r="J757" s="262">
        <f t="shared" si="95"/>
        <v>10</v>
      </c>
      <c r="K757" s="262">
        <f t="shared" si="95"/>
        <v>10</v>
      </c>
      <c r="L757" s="262">
        <f t="shared" si="95"/>
        <v>10</v>
      </c>
      <c r="M757" s="262">
        <f t="shared" si="95"/>
        <v>10</v>
      </c>
      <c r="N757" s="262">
        <f t="shared" si="95"/>
        <v>10</v>
      </c>
      <c r="O757" s="262">
        <f t="shared" si="95"/>
        <v>10</v>
      </c>
      <c r="P757" s="262">
        <f t="shared" si="95"/>
        <v>10</v>
      </c>
      <c r="Q757" s="262">
        <f t="shared" si="95"/>
        <v>10</v>
      </c>
      <c r="R757" s="5"/>
      <c r="S757" s="25"/>
      <c r="T757" s="5"/>
    </row>
    <row r="758" spans="1:20" s="3" customFormat="1" x14ac:dyDescent="0.25">
      <c r="A758" s="21" t="s">
        <v>450</v>
      </c>
      <c r="B758" s="246" t="s">
        <v>360</v>
      </c>
      <c r="C758" s="246"/>
      <c r="D758" s="246"/>
      <c r="E758" s="246" t="s">
        <v>321</v>
      </c>
      <c r="F758" s="202" t="s">
        <v>414</v>
      </c>
      <c r="G758" s="55"/>
      <c r="H758" s="55"/>
      <c r="I758" s="55"/>
      <c r="J758" s="55"/>
      <c r="K758" s="55"/>
      <c r="L758" s="55"/>
      <c r="M758" s="55"/>
      <c r="N758" s="55"/>
      <c r="O758" s="55"/>
      <c r="P758" s="55"/>
      <c r="Q758" s="55"/>
      <c r="R758" s="5"/>
      <c r="S758" s="25"/>
      <c r="T758" s="5"/>
    </row>
    <row r="759" spans="1:20" s="3" customFormat="1" x14ac:dyDescent="0.25">
      <c r="A759" s="21" t="s">
        <v>450</v>
      </c>
      <c r="B759" s="67" t="s">
        <v>306</v>
      </c>
      <c r="C759" s="13"/>
      <c r="D759" s="67" t="s">
        <v>469</v>
      </c>
      <c r="E759" s="67" t="s">
        <v>413</v>
      </c>
      <c r="F759" s="202" t="s">
        <v>414</v>
      </c>
      <c r="G759" s="54">
        <v>0.317</v>
      </c>
      <c r="H759" s="54">
        <v>0.317</v>
      </c>
      <c r="I759" s="54">
        <v>0.317</v>
      </c>
      <c r="J759" s="54">
        <v>0.317</v>
      </c>
      <c r="K759" s="54">
        <v>0.317</v>
      </c>
      <c r="L759" s="54">
        <v>0.317</v>
      </c>
      <c r="M759" s="54">
        <v>0.317</v>
      </c>
      <c r="N759" s="54">
        <v>0.317</v>
      </c>
      <c r="O759" s="54">
        <v>0.317</v>
      </c>
      <c r="P759" s="54">
        <v>0.317</v>
      </c>
      <c r="Q759" s="54">
        <v>0.317</v>
      </c>
      <c r="R759" s="5"/>
      <c r="S759" s="13"/>
      <c r="T759" s="5"/>
    </row>
    <row r="760" spans="1:20" s="3" customFormat="1" x14ac:dyDescent="0.25">
      <c r="A760" s="21" t="s">
        <v>450</v>
      </c>
      <c r="B760" s="67" t="s">
        <v>306</v>
      </c>
      <c r="C760" s="13"/>
      <c r="D760" s="67" t="s">
        <v>466</v>
      </c>
      <c r="E760" s="67" t="s">
        <v>413</v>
      </c>
      <c r="F760" s="202" t="s">
        <v>414</v>
      </c>
      <c r="G760" s="54">
        <v>19.856999999999999</v>
      </c>
      <c r="H760" s="54">
        <v>19.856999999999999</v>
      </c>
      <c r="I760" s="54">
        <v>19.856999999999999</v>
      </c>
      <c r="J760" s="54">
        <v>19.856999999999999</v>
      </c>
      <c r="K760" s="54">
        <v>19.856999999999999</v>
      </c>
      <c r="L760" s="54">
        <v>19.856999999999999</v>
      </c>
      <c r="M760" s="54">
        <v>19.856999999999999</v>
      </c>
      <c r="N760" s="54">
        <v>19.856999999999999</v>
      </c>
      <c r="O760" s="54">
        <v>19.856999999999999</v>
      </c>
      <c r="P760" s="54">
        <v>19.856999999999999</v>
      </c>
      <c r="Q760" s="54">
        <v>19.856999999999999</v>
      </c>
      <c r="R760" s="5"/>
      <c r="S760" s="13"/>
      <c r="T760" s="5"/>
    </row>
    <row r="761" spans="1:20" s="3" customFormat="1" x14ac:dyDescent="0.25">
      <c r="A761" s="21" t="s">
        <v>450</v>
      </c>
      <c r="B761" s="67" t="s">
        <v>51</v>
      </c>
      <c r="C761" s="13"/>
      <c r="D761" s="2"/>
      <c r="E761" s="2"/>
      <c r="F761" s="202" t="s">
        <v>415</v>
      </c>
      <c r="G761" s="4"/>
      <c r="H761" s="4"/>
      <c r="I761" s="4"/>
      <c r="J761" s="4"/>
      <c r="K761" s="4"/>
      <c r="L761" s="4"/>
      <c r="M761" s="4"/>
      <c r="N761" s="4"/>
      <c r="O761" s="4"/>
      <c r="P761" s="4"/>
      <c r="Q761" s="4"/>
      <c r="R761" s="5"/>
      <c r="S761" s="13"/>
      <c r="T761" s="5"/>
    </row>
    <row r="762" spans="1:20" s="3" customFormat="1" x14ac:dyDescent="0.25">
      <c r="A762" s="21" t="s">
        <v>450</v>
      </c>
      <c r="B762" s="246" t="s">
        <v>38</v>
      </c>
      <c r="C762" s="246"/>
      <c r="D762" s="246"/>
      <c r="E762" s="246" t="s">
        <v>40</v>
      </c>
      <c r="F762" s="202" t="s">
        <v>415</v>
      </c>
      <c r="G762" s="277">
        <v>2000</v>
      </c>
      <c r="H762" s="278">
        <f t="shared" ref="H762:Q764" si="96">G762</f>
        <v>2000</v>
      </c>
      <c r="I762" s="278">
        <f t="shared" si="96"/>
        <v>2000</v>
      </c>
      <c r="J762" s="278">
        <f t="shared" si="96"/>
        <v>2000</v>
      </c>
      <c r="K762" s="278">
        <f t="shared" si="96"/>
        <v>2000</v>
      </c>
      <c r="L762" s="278">
        <f t="shared" si="96"/>
        <v>2000</v>
      </c>
      <c r="M762" s="278">
        <f t="shared" si="96"/>
        <v>2000</v>
      </c>
      <c r="N762" s="278">
        <f t="shared" si="96"/>
        <v>2000</v>
      </c>
      <c r="O762" s="278">
        <f t="shared" si="96"/>
        <v>2000</v>
      </c>
      <c r="P762" s="278">
        <f t="shared" si="96"/>
        <v>2000</v>
      </c>
      <c r="Q762" s="278">
        <f t="shared" si="96"/>
        <v>2000</v>
      </c>
      <c r="R762" s="5"/>
      <c r="S762" s="25"/>
      <c r="T762" s="5"/>
    </row>
    <row r="763" spans="1:20" s="3" customFormat="1" x14ac:dyDescent="0.25">
      <c r="A763" s="21" t="s">
        <v>450</v>
      </c>
      <c r="B763" s="246" t="s">
        <v>37</v>
      </c>
      <c r="C763" s="246"/>
      <c r="D763" s="246"/>
      <c r="E763" s="246" t="s">
        <v>40</v>
      </c>
      <c r="F763" s="202" t="s">
        <v>415</v>
      </c>
      <c r="G763" s="277">
        <v>2010</v>
      </c>
      <c r="H763" s="278">
        <f t="shared" si="96"/>
        <v>2010</v>
      </c>
      <c r="I763" s="278">
        <f t="shared" si="96"/>
        <v>2010</v>
      </c>
      <c r="J763" s="278">
        <f t="shared" si="96"/>
        <v>2010</v>
      </c>
      <c r="K763" s="278">
        <f t="shared" si="96"/>
        <v>2010</v>
      </c>
      <c r="L763" s="278">
        <f t="shared" si="96"/>
        <v>2010</v>
      </c>
      <c r="M763" s="278">
        <f t="shared" si="96"/>
        <v>2010</v>
      </c>
      <c r="N763" s="278">
        <f t="shared" si="96"/>
        <v>2010</v>
      </c>
      <c r="O763" s="278">
        <f t="shared" si="96"/>
        <v>2010</v>
      </c>
      <c r="P763" s="278">
        <f t="shared" si="96"/>
        <v>2010</v>
      </c>
      <c r="Q763" s="278">
        <f t="shared" si="96"/>
        <v>2010</v>
      </c>
      <c r="R763" s="5"/>
      <c r="S763" s="25"/>
      <c r="T763" s="5"/>
    </row>
    <row r="764" spans="1:20" s="3" customFormat="1" x14ac:dyDescent="0.25">
      <c r="A764" s="21" t="s">
        <v>450</v>
      </c>
      <c r="B764" s="246" t="s">
        <v>39</v>
      </c>
      <c r="C764" s="246"/>
      <c r="D764" s="246"/>
      <c r="E764" s="246" t="s">
        <v>10</v>
      </c>
      <c r="F764" s="202" t="s">
        <v>415</v>
      </c>
      <c r="G764" s="55">
        <v>14</v>
      </c>
      <c r="H764" s="262">
        <f t="shared" si="96"/>
        <v>14</v>
      </c>
      <c r="I764" s="262">
        <f t="shared" si="96"/>
        <v>14</v>
      </c>
      <c r="J764" s="262">
        <f t="shared" si="96"/>
        <v>14</v>
      </c>
      <c r="K764" s="262">
        <f t="shared" si="96"/>
        <v>14</v>
      </c>
      <c r="L764" s="262">
        <f t="shared" si="96"/>
        <v>14</v>
      </c>
      <c r="M764" s="262">
        <f t="shared" si="96"/>
        <v>14</v>
      </c>
      <c r="N764" s="262">
        <f t="shared" si="96"/>
        <v>14</v>
      </c>
      <c r="O764" s="262">
        <f t="shared" si="96"/>
        <v>14</v>
      </c>
      <c r="P764" s="262">
        <f t="shared" si="96"/>
        <v>14</v>
      </c>
      <c r="Q764" s="262">
        <f t="shared" si="96"/>
        <v>14</v>
      </c>
      <c r="R764" s="5"/>
      <c r="S764" s="25"/>
      <c r="T764" s="5"/>
    </row>
    <row r="765" spans="1:20" s="3" customFormat="1" x14ac:dyDescent="0.25">
      <c r="A765" s="21" t="s">
        <v>450</v>
      </c>
      <c r="B765" s="246" t="s">
        <v>361</v>
      </c>
      <c r="C765" s="246"/>
      <c r="D765" s="246"/>
      <c r="E765" s="246" t="s">
        <v>10</v>
      </c>
      <c r="F765" s="202" t="s">
        <v>415</v>
      </c>
      <c r="G765" s="55"/>
      <c r="H765" s="55"/>
      <c r="I765" s="55"/>
      <c r="J765" s="55"/>
      <c r="K765" s="55"/>
      <c r="L765" s="55"/>
      <c r="M765" s="55"/>
      <c r="N765" s="55"/>
      <c r="O765" s="55"/>
      <c r="P765" s="55"/>
      <c r="Q765" s="55"/>
      <c r="R765" s="5"/>
      <c r="S765" s="25"/>
      <c r="T765" s="5"/>
    </row>
    <row r="766" spans="1:20" s="3" customFormat="1" x14ac:dyDescent="0.25">
      <c r="A766" s="21" t="s">
        <v>450</v>
      </c>
      <c r="B766" s="246" t="s">
        <v>309</v>
      </c>
      <c r="C766" s="246"/>
      <c r="D766" s="246"/>
      <c r="E766" s="246" t="s">
        <v>97</v>
      </c>
      <c r="F766" s="202" t="s">
        <v>415</v>
      </c>
      <c r="G766" s="271">
        <v>0.3</v>
      </c>
      <c r="H766" s="274">
        <f t="shared" ref="H766:Q766" si="97">G766</f>
        <v>0.3</v>
      </c>
      <c r="I766" s="274">
        <f t="shared" si="97"/>
        <v>0.3</v>
      </c>
      <c r="J766" s="274">
        <f t="shared" si="97"/>
        <v>0.3</v>
      </c>
      <c r="K766" s="274">
        <f t="shared" si="97"/>
        <v>0.3</v>
      </c>
      <c r="L766" s="274">
        <f t="shared" si="97"/>
        <v>0.3</v>
      </c>
      <c r="M766" s="274">
        <f t="shared" si="97"/>
        <v>0.3</v>
      </c>
      <c r="N766" s="274">
        <f t="shared" si="97"/>
        <v>0.3</v>
      </c>
      <c r="O766" s="274">
        <f t="shared" si="97"/>
        <v>0.3</v>
      </c>
      <c r="P766" s="274">
        <f t="shared" si="97"/>
        <v>0.3</v>
      </c>
      <c r="Q766" s="274">
        <f t="shared" si="97"/>
        <v>0.3</v>
      </c>
      <c r="R766" s="5"/>
      <c r="S766" s="25"/>
      <c r="T766" s="5"/>
    </row>
    <row r="767" spans="1:20" s="3" customFormat="1" x14ac:dyDescent="0.25">
      <c r="A767" s="21" t="s">
        <v>450</v>
      </c>
      <c r="B767" s="246" t="s">
        <v>358</v>
      </c>
      <c r="C767" s="246"/>
      <c r="D767" s="246"/>
      <c r="E767" s="246" t="s">
        <v>97</v>
      </c>
      <c r="F767" s="202" t="s">
        <v>415</v>
      </c>
      <c r="G767" s="271"/>
      <c r="H767" s="271"/>
      <c r="I767" s="271"/>
      <c r="J767" s="271"/>
      <c r="K767" s="271"/>
      <c r="L767" s="271"/>
      <c r="M767" s="271"/>
      <c r="N767" s="271"/>
      <c r="O767" s="271"/>
      <c r="P767" s="271"/>
      <c r="Q767" s="271"/>
      <c r="R767" s="5"/>
      <c r="S767" s="25"/>
      <c r="T767" s="5"/>
    </row>
    <row r="768" spans="1:20" s="3" customFormat="1" x14ac:dyDescent="0.25">
      <c r="A768" s="21" t="s">
        <v>450</v>
      </c>
      <c r="B768" s="246" t="s">
        <v>357</v>
      </c>
      <c r="C768" s="246"/>
      <c r="D768" s="246"/>
      <c r="E768" s="246" t="s">
        <v>97</v>
      </c>
      <c r="F768" s="202" t="s">
        <v>415</v>
      </c>
      <c r="G768" s="271"/>
      <c r="H768" s="271"/>
      <c r="I768" s="271"/>
      <c r="J768" s="271"/>
      <c r="K768" s="271"/>
      <c r="L768" s="271"/>
      <c r="M768" s="271"/>
      <c r="N768" s="271"/>
      <c r="O768" s="271"/>
      <c r="P768" s="271"/>
      <c r="Q768" s="271"/>
      <c r="R768" s="5"/>
      <c r="S768" s="25"/>
      <c r="T768" s="5"/>
    </row>
    <row r="769" spans="1:20" s="3" customFormat="1" x14ac:dyDescent="0.25">
      <c r="A769" s="21" t="s">
        <v>450</v>
      </c>
      <c r="B769" s="246" t="s">
        <v>75</v>
      </c>
      <c r="C769" s="246"/>
      <c r="D769" s="246"/>
      <c r="E769" s="246" t="s">
        <v>97</v>
      </c>
      <c r="F769" s="202" t="s">
        <v>415</v>
      </c>
      <c r="G769" s="271">
        <v>0</v>
      </c>
      <c r="H769" s="271"/>
      <c r="I769" s="271"/>
      <c r="J769" s="271"/>
      <c r="K769" s="271"/>
      <c r="L769" s="271"/>
      <c r="M769" s="271"/>
      <c r="N769" s="271"/>
      <c r="O769" s="271"/>
      <c r="P769" s="271"/>
      <c r="Q769" s="271"/>
      <c r="R769" s="5"/>
      <c r="S769" s="25"/>
      <c r="T769" s="5"/>
    </row>
    <row r="770" spans="1:20" s="3" customFormat="1" x14ac:dyDescent="0.25">
      <c r="A770" s="21" t="s">
        <v>450</v>
      </c>
      <c r="B770" s="68" t="s">
        <v>148</v>
      </c>
      <c r="C770" s="68"/>
      <c r="D770" s="251"/>
      <c r="E770" s="68" t="s">
        <v>97</v>
      </c>
      <c r="F770" s="202" t="s">
        <v>415</v>
      </c>
      <c r="G770" s="271"/>
      <c r="H770" s="271"/>
      <c r="I770" s="271"/>
      <c r="J770" s="271"/>
      <c r="K770" s="271"/>
      <c r="L770" s="271"/>
      <c r="M770" s="271"/>
      <c r="N770" s="271"/>
      <c r="O770" s="271"/>
      <c r="P770" s="271"/>
      <c r="Q770" s="271"/>
      <c r="R770" s="5"/>
      <c r="S770" s="25"/>
      <c r="T770" s="5"/>
    </row>
    <row r="771" spans="1:20" s="3" customFormat="1" x14ac:dyDescent="0.25">
      <c r="A771" s="21" t="s">
        <v>450</v>
      </c>
      <c r="B771" s="68" t="s">
        <v>149</v>
      </c>
      <c r="C771" s="68"/>
      <c r="D771" s="251"/>
      <c r="E771" s="68" t="s">
        <v>97</v>
      </c>
      <c r="F771" s="202" t="s">
        <v>415</v>
      </c>
      <c r="G771" s="271"/>
      <c r="H771" s="271"/>
      <c r="I771" s="271"/>
      <c r="J771" s="271"/>
      <c r="K771" s="271"/>
      <c r="L771" s="271"/>
      <c r="M771" s="271"/>
      <c r="N771" s="271"/>
      <c r="O771" s="271"/>
      <c r="P771" s="271"/>
      <c r="Q771" s="271"/>
      <c r="R771" s="5"/>
      <c r="S771" s="25"/>
      <c r="T771" s="5"/>
    </row>
    <row r="772" spans="1:20" s="3" customFormat="1" x14ac:dyDescent="0.25">
      <c r="A772" s="21" t="s">
        <v>450</v>
      </c>
      <c r="B772" s="68" t="s">
        <v>370</v>
      </c>
      <c r="C772" s="68"/>
      <c r="D772" s="251"/>
      <c r="E772" s="68" t="s">
        <v>97</v>
      </c>
      <c r="F772" s="202" t="s">
        <v>415</v>
      </c>
      <c r="G772" s="271"/>
      <c r="H772" s="271"/>
      <c r="I772" s="271"/>
      <c r="J772" s="271"/>
      <c r="K772" s="271"/>
      <c r="L772" s="271"/>
      <c r="M772" s="271"/>
      <c r="N772" s="271"/>
      <c r="O772" s="271"/>
      <c r="P772" s="271"/>
      <c r="Q772" s="271"/>
      <c r="R772" s="5"/>
      <c r="S772" s="25"/>
      <c r="T772" s="5"/>
    </row>
    <row r="773" spans="1:20" s="3" customFormat="1" x14ac:dyDescent="0.25">
      <c r="A773" s="21" t="s">
        <v>450</v>
      </c>
      <c r="B773" s="68" t="s">
        <v>371</v>
      </c>
      <c r="C773" s="68"/>
      <c r="D773" s="251"/>
      <c r="E773" s="68" t="s">
        <v>97</v>
      </c>
      <c r="F773" s="202" t="s">
        <v>415</v>
      </c>
      <c r="G773" s="271"/>
      <c r="H773" s="271"/>
      <c r="I773" s="271"/>
      <c r="J773" s="271"/>
      <c r="K773" s="271"/>
      <c r="L773" s="271"/>
      <c r="M773" s="271"/>
      <c r="N773" s="271"/>
      <c r="O773" s="271"/>
      <c r="P773" s="271"/>
      <c r="Q773" s="271"/>
      <c r="R773" s="5"/>
      <c r="S773" s="25"/>
      <c r="T773" s="5"/>
    </row>
    <row r="774" spans="1:20" s="3" customFormat="1" x14ac:dyDescent="0.25">
      <c r="A774" s="21" t="s">
        <v>450</v>
      </c>
      <c r="B774" s="246" t="s">
        <v>338</v>
      </c>
      <c r="C774" s="246"/>
      <c r="D774" s="246"/>
      <c r="E774" s="246" t="s">
        <v>320</v>
      </c>
      <c r="F774" s="202" t="s">
        <v>415</v>
      </c>
      <c r="G774" s="55">
        <v>1</v>
      </c>
      <c r="H774" s="262">
        <f t="shared" ref="H774:Q775" si="98">G774</f>
        <v>1</v>
      </c>
      <c r="I774" s="262">
        <f t="shared" si="98"/>
        <v>1</v>
      </c>
      <c r="J774" s="262">
        <f t="shared" si="98"/>
        <v>1</v>
      </c>
      <c r="K774" s="262">
        <f t="shared" si="98"/>
        <v>1</v>
      </c>
      <c r="L774" s="262">
        <f t="shared" si="98"/>
        <v>1</v>
      </c>
      <c r="M774" s="262">
        <f t="shared" si="98"/>
        <v>1</v>
      </c>
      <c r="N774" s="262">
        <f t="shared" si="98"/>
        <v>1</v>
      </c>
      <c r="O774" s="262">
        <f t="shared" si="98"/>
        <v>1</v>
      </c>
      <c r="P774" s="262">
        <f t="shared" si="98"/>
        <v>1</v>
      </c>
      <c r="Q774" s="262">
        <f t="shared" si="98"/>
        <v>1</v>
      </c>
      <c r="R774" s="5"/>
      <c r="S774" s="25"/>
      <c r="T774" s="5"/>
    </row>
    <row r="775" spans="1:20" s="3" customFormat="1" x14ac:dyDescent="0.25">
      <c r="A775" s="21" t="s">
        <v>450</v>
      </c>
      <c r="B775" s="246" t="s">
        <v>152</v>
      </c>
      <c r="C775" s="246"/>
      <c r="D775" s="246"/>
      <c r="E775" s="246" t="s">
        <v>321</v>
      </c>
      <c r="F775" s="202" t="s">
        <v>415</v>
      </c>
      <c r="G775" s="55">
        <v>670.15</v>
      </c>
      <c r="H775" s="262">
        <f t="shared" si="98"/>
        <v>670.15</v>
      </c>
      <c r="I775" s="262">
        <f t="shared" si="98"/>
        <v>670.15</v>
      </c>
      <c r="J775" s="262">
        <f t="shared" si="98"/>
        <v>670.15</v>
      </c>
      <c r="K775" s="262">
        <f t="shared" si="98"/>
        <v>670.15</v>
      </c>
      <c r="L775" s="262">
        <f t="shared" si="98"/>
        <v>670.15</v>
      </c>
      <c r="M775" s="262">
        <f t="shared" si="98"/>
        <v>670.15</v>
      </c>
      <c r="N775" s="262">
        <f t="shared" si="98"/>
        <v>670.15</v>
      </c>
      <c r="O775" s="262">
        <f t="shared" si="98"/>
        <v>670.15</v>
      </c>
      <c r="P775" s="262">
        <f t="shared" si="98"/>
        <v>670.15</v>
      </c>
      <c r="Q775" s="262">
        <f t="shared" si="98"/>
        <v>670.15</v>
      </c>
      <c r="R775" s="5"/>
      <c r="S775" s="25"/>
      <c r="T775" s="5"/>
    </row>
    <row r="776" spans="1:20" s="3" customFormat="1" x14ac:dyDescent="0.25">
      <c r="A776" s="21" t="s">
        <v>450</v>
      </c>
      <c r="B776" s="246" t="s">
        <v>383</v>
      </c>
      <c r="C776" s="246"/>
      <c r="D776" s="246"/>
      <c r="E776" s="246" t="s">
        <v>97</v>
      </c>
      <c r="F776" s="202" t="s">
        <v>415</v>
      </c>
      <c r="G776" s="271"/>
      <c r="H776" s="271"/>
      <c r="I776" s="271"/>
      <c r="J776" s="271"/>
      <c r="K776" s="271"/>
      <c r="L776" s="271"/>
      <c r="M776" s="271"/>
      <c r="N776" s="271"/>
      <c r="O776" s="271"/>
      <c r="P776" s="271"/>
      <c r="Q776" s="271"/>
      <c r="R776" s="5"/>
      <c r="S776" s="25"/>
      <c r="T776" s="5"/>
    </row>
    <row r="777" spans="1:20" s="3" customFormat="1" x14ac:dyDescent="0.25">
      <c r="A777" s="21" t="s">
        <v>450</v>
      </c>
      <c r="B777" s="246" t="s">
        <v>446</v>
      </c>
      <c r="C777" s="246"/>
      <c r="D777" s="246"/>
      <c r="E777" s="246" t="s">
        <v>320</v>
      </c>
      <c r="F777" s="202" t="s">
        <v>415</v>
      </c>
      <c r="G777" s="55"/>
      <c r="H777" s="55"/>
      <c r="I777" s="55"/>
      <c r="J777" s="55"/>
      <c r="K777" s="55"/>
      <c r="L777" s="55"/>
      <c r="M777" s="55"/>
      <c r="N777" s="55"/>
      <c r="O777" s="55"/>
      <c r="P777" s="55"/>
      <c r="Q777" s="55"/>
      <c r="R777" s="5"/>
      <c r="S777" s="25"/>
      <c r="T777" s="5"/>
    </row>
    <row r="778" spans="1:20" s="3" customFormat="1" x14ac:dyDescent="0.25">
      <c r="A778" s="21" t="s">
        <v>450</v>
      </c>
      <c r="B778" s="246" t="s">
        <v>387</v>
      </c>
      <c r="C778" s="246"/>
      <c r="D778" s="246"/>
      <c r="E778" s="246"/>
      <c r="F778" s="202" t="s">
        <v>415</v>
      </c>
      <c r="G778" s="54"/>
      <c r="H778" s="54"/>
      <c r="I778" s="54"/>
      <c r="J778" s="54"/>
      <c r="K778" s="54"/>
      <c r="L778" s="54"/>
      <c r="M778" s="54"/>
      <c r="N778" s="54"/>
      <c r="O778" s="54"/>
      <c r="P778" s="54"/>
      <c r="Q778" s="54"/>
      <c r="R778" s="5"/>
      <c r="S778" s="25"/>
      <c r="T778" s="5"/>
    </row>
    <row r="779" spans="1:20" s="3" customFormat="1" x14ac:dyDescent="0.25">
      <c r="A779" s="21" t="s">
        <v>450</v>
      </c>
      <c r="B779" s="246" t="s">
        <v>369</v>
      </c>
      <c r="C779" s="246"/>
      <c r="D779" s="246"/>
      <c r="E779" s="246" t="s">
        <v>97</v>
      </c>
      <c r="F779" s="202" t="s">
        <v>415</v>
      </c>
      <c r="G779" s="271"/>
      <c r="H779" s="271"/>
      <c r="I779" s="271"/>
      <c r="J779" s="271"/>
      <c r="K779" s="271"/>
      <c r="L779" s="271"/>
      <c r="M779" s="271"/>
      <c r="N779" s="271"/>
      <c r="O779" s="271"/>
      <c r="P779" s="271"/>
      <c r="Q779" s="271"/>
      <c r="R779" s="5"/>
      <c r="S779" s="25"/>
      <c r="T779" s="5"/>
    </row>
    <row r="780" spans="1:20" s="3" customFormat="1" x14ac:dyDescent="0.25">
      <c r="A780" s="21" t="s">
        <v>450</v>
      </c>
      <c r="B780" s="246" t="s">
        <v>392</v>
      </c>
      <c r="C780" s="246"/>
      <c r="D780" s="246"/>
      <c r="E780" s="246" t="s">
        <v>321</v>
      </c>
      <c r="F780" s="202" t="s">
        <v>415</v>
      </c>
      <c r="G780" s="55"/>
      <c r="H780" s="262"/>
      <c r="I780" s="262"/>
      <c r="J780" s="262"/>
      <c r="K780" s="262"/>
      <c r="L780" s="262"/>
      <c r="M780" s="262"/>
      <c r="N780" s="262"/>
      <c r="O780" s="262"/>
      <c r="P780" s="262"/>
      <c r="Q780" s="262"/>
      <c r="R780" s="5"/>
      <c r="S780" s="25"/>
      <c r="T780" s="5"/>
    </row>
    <row r="781" spans="1:20" s="3" customFormat="1" x14ac:dyDescent="0.25">
      <c r="A781" s="21" t="s">
        <v>450</v>
      </c>
      <c r="B781" s="246" t="s">
        <v>394</v>
      </c>
      <c r="C781" s="246"/>
      <c r="D781" s="246"/>
      <c r="E781" s="246" t="s">
        <v>321</v>
      </c>
      <c r="F781" s="202" t="s">
        <v>415</v>
      </c>
      <c r="G781" s="55"/>
      <c r="H781" s="55"/>
      <c r="I781" s="55"/>
      <c r="J781" s="55"/>
      <c r="K781" s="55"/>
      <c r="L781" s="55"/>
      <c r="M781" s="55"/>
      <c r="N781" s="55"/>
      <c r="O781" s="55"/>
      <c r="P781" s="55"/>
      <c r="Q781" s="55"/>
      <c r="R781" s="5"/>
      <c r="S781" s="25"/>
      <c r="T781" s="5"/>
    </row>
    <row r="782" spans="1:20" s="3" customFormat="1" x14ac:dyDescent="0.25">
      <c r="A782" s="21" t="s">
        <v>450</v>
      </c>
      <c r="B782" s="246" t="s">
        <v>395</v>
      </c>
      <c r="C782" s="246"/>
      <c r="D782" s="246"/>
      <c r="E782" s="246"/>
      <c r="F782" s="202" t="s">
        <v>415</v>
      </c>
      <c r="G782" s="54"/>
      <c r="H782" s="54"/>
      <c r="I782" s="54"/>
      <c r="J782" s="54"/>
      <c r="K782" s="54"/>
      <c r="L782" s="54"/>
      <c r="M782" s="54"/>
      <c r="N782" s="54"/>
      <c r="O782" s="54"/>
      <c r="P782" s="54"/>
      <c r="Q782" s="54"/>
      <c r="R782" s="5"/>
      <c r="S782" s="25"/>
      <c r="T782" s="5"/>
    </row>
    <row r="783" spans="1:20" s="3" customFormat="1" x14ac:dyDescent="0.25">
      <c r="A783" s="21" t="s">
        <v>450</v>
      </c>
      <c r="B783" s="246" t="s">
        <v>396</v>
      </c>
      <c r="C783" s="246"/>
      <c r="D783" s="246"/>
      <c r="E783" s="246"/>
      <c r="F783" s="202" t="s">
        <v>415</v>
      </c>
      <c r="G783" s="54"/>
      <c r="H783" s="54"/>
      <c r="I783" s="54"/>
      <c r="J783" s="54"/>
      <c r="K783" s="54"/>
      <c r="L783" s="54"/>
      <c r="M783" s="54"/>
      <c r="N783" s="54"/>
      <c r="O783" s="54"/>
      <c r="P783" s="54"/>
      <c r="Q783" s="54"/>
      <c r="R783" s="5"/>
      <c r="S783" s="25"/>
      <c r="T783" s="5"/>
    </row>
    <row r="784" spans="1:20" s="3" customFormat="1" x14ac:dyDescent="0.25">
      <c r="A784" s="21" t="s">
        <v>450</v>
      </c>
      <c r="B784" s="246" t="s">
        <v>393</v>
      </c>
      <c r="C784" s="246"/>
      <c r="D784" s="246"/>
      <c r="E784" s="246" t="s">
        <v>412</v>
      </c>
      <c r="F784" s="202" t="s">
        <v>415</v>
      </c>
      <c r="G784" s="55"/>
      <c r="H784" s="55"/>
      <c r="I784" s="55"/>
      <c r="J784" s="55"/>
      <c r="K784" s="55"/>
      <c r="L784" s="55"/>
      <c r="M784" s="55"/>
      <c r="N784" s="55"/>
      <c r="O784" s="55"/>
      <c r="P784" s="55"/>
      <c r="Q784" s="55"/>
      <c r="R784" s="5"/>
      <c r="S784" s="25"/>
      <c r="T784" s="5"/>
    </row>
    <row r="785" spans="1:20" s="3" customFormat="1" x14ac:dyDescent="0.25">
      <c r="A785" s="21" t="s">
        <v>450</v>
      </c>
      <c r="B785" s="246" t="s">
        <v>397</v>
      </c>
      <c r="C785" s="246"/>
      <c r="D785" s="246"/>
      <c r="E785" s="246" t="s">
        <v>412</v>
      </c>
      <c r="F785" s="202" t="s">
        <v>415</v>
      </c>
      <c r="G785" s="55"/>
      <c r="H785" s="55"/>
      <c r="I785" s="55"/>
      <c r="J785" s="55"/>
      <c r="K785" s="55"/>
      <c r="L785" s="55"/>
      <c r="M785" s="55"/>
      <c r="N785" s="55"/>
      <c r="O785" s="55"/>
      <c r="P785" s="55"/>
      <c r="Q785" s="55"/>
      <c r="R785" s="5"/>
      <c r="S785" s="25"/>
      <c r="T785" s="5"/>
    </row>
    <row r="786" spans="1:20" s="3" customFormat="1" x14ac:dyDescent="0.25">
      <c r="A786" s="21" t="s">
        <v>450</v>
      </c>
      <c r="B786" s="246" t="s">
        <v>398</v>
      </c>
      <c r="C786" s="246"/>
      <c r="D786" s="246"/>
      <c r="E786" s="246"/>
      <c r="F786" s="202" t="s">
        <v>415</v>
      </c>
      <c r="G786" s="54"/>
      <c r="H786" s="54"/>
      <c r="I786" s="54"/>
      <c r="J786" s="54"/>
      <c r="K786" s="54"/>
      <c r="L786" s="54"/>
      <c r="M786" s="54"/>
      <c r="N786" s="54"/>
      <c r="O786" s="54"/>
      <c r="P786" s="54"/>
      <c r="Q786" s="54"/>
      <c r="R786" s="5"/>
      <c r="S786" s="25"/>
      <c r="T786" s="5"/>
    </row>
    <row r="787" spans="1:20" s="3" customFormat="1" x14ac:dyDescent="0.25">
      <c r="A787" s="21" t="s">
        <v>450</v>
      </c>
      <c r="B787" s="246" t="s">
        <v>399</v>
      </c>
      <c r="C787" s="246"/>
      <c r="D787" s="246"/>
      <c r="E787" s="246"/>
      <c r="F787" s="202" t="s">
        <v>415</v>
      </c>
      <c r="G787" s="54"/>
      <c r="H787" s="54"/>
      <c r="I787" s="54"/>
      <c r="J787" s="54"/>
      <c r="K787" s="54"/>
      <c r="L787" s="54"/>
      <c r="M787" s="54"/>
      <c r="N787" s="54"/>
      <c r="O787" s="54"/>
      <c r="P787" s="54"/>
      <c r="Q787" s="54"/>
      <c r="R787" s="5"/>
      <c r="S787" s="25"/>
      <c r="T787" s="5"/>
    </row>
    <row r="788" spans="1:20" s="3" customFormat="1" x14ac:dyDescent="0.25">
      <c r="A788" s="21" t="s">
        <v>450</v>
      </c>
      <c r="B788" s="246" t="s">
        <v>310</v>
      </c>
      <c r="C788" s="246"/>
      <c r="D788" s="246"/>
      <c r="E788" s="246" t="s">
        <v>412</v>
      </c>
      <c r="F788" s="202" t="s">
        <v>415</v>
      </c>
      <c r="G788" s="55">
        <v>10</v>
      </c>
      <c r="H788" s="262">
        <f t="shared" ref="H788:Q788" si="99">G788</f>
        <v>10</v>
      </c>
      <c r="I788" s="262">
        <f t="shared" si="99"/>
        <v>10</v>
      </c>
      <c r="J788" s="262">
        <f t="shared" si="99"/>
        <v>10</v>
      </c>
      <c r="K788" s="262">
        <f t="shared" si="99"/>
        <v>10</v>
      </c>
      <c r="L788" s="262">
        <f t="shared" si="99"/>
        <v>10</v>
      </c>
      <c r="M788" s="262">
        <f t="shared" si="99"/>
        <v>10</v>
      </c>
      <c r="N788" s="262">
        <f t="shared" si="99"/>
        <v>10</v>
      </c>
      <c r="O788" s="262">
        <f t="shared" si="99"/>
        <v>10</v>
      </c>
      <c r="P788" s="262">
        <f t="shared" si="99"/>
        <v>10</v>
      </c>
      <c r="Q788" s="262">
        <f t="shared" si="99"/>
        <v>10</v>
      </c>
      <c r="R788" s="5"/>
      <c r="S788" s="25"/>
      <c r="T788" s="5"/>
    </row>
    <row r="789" spans="1:20" s="3" customFormat="1" x14ac:dyDescent="0.25">
      <c r="A789" s="21" t="s">
        <v>450</v>
      </c>
      <c r="B789" s="246" t="s">
        <v>360</v>
      </c>
      <c r="C789" s="246"/>
      <c r="D789" s="246"/>
      <c r="E789" s="246" t="s">
        <v>321</v>
      </c>
      <c r="F789" s="202" t="s">
        <v>415</v>
      </c>
      <c r="G789" s="55"/>
      <c r="H789" s="55"/>
      <c r="I789" s="55"/>
      <c r="J789" s="55"/>
      <c r="K789" s="55"/>
      <c r="L789" s="55"/>
      <c r="M789" s="55"/>
      <c r="N789" s="55"/>
      <c r="O789" s="55"/>
      <c r="P789" s="55"/>
      <c r="Q789" s="55"/>
      <c r="R789" s="5"/>
      <c r="S789" s="25"/>
      <c r="T789" s="5"/>
    </row>
    <row r="790" spans="1:20" s="3" customFormat="1" x14ac:dyDescent="0.25">
      <c r="A790" s="21" t="s">
        <v>450</v>
      </c>
      <c r="B790" s="2" t="s">
        <v>306</v>
      </c>
      <c r="C790" s="13"/>
      <c r="D790" s="67" t="s">
        <v>469</v>
      </c>
      <c r="E790" s="67" t="s">
        <v>413</v>
      </c>
      <c r="F790" s="202" t="s">
        <v>415</v>
      </c>
      <c r="G790" s="54">
        <v>0.251</v>
      </c>
      <c r="H790" s="54">
        <v>0.251</v>
      </c>
      <c r="I790" s="54">
        <v>0.251</v>
      </c>
      <c r="J790" s="54">
        <v>0.251</v>
      </c>
      <c r="K790" s="54">
        <v>0.251</v>
      </c>
      <c r="L790" s="54">
        <v>0.251</v>
      </c>
      <c r="M790" s="54">
        <v>0.251</v>
      </c>
      <c r="N790" s="54">
        <v>0.251</v>
      </c>
      <c r="O790" s="54">
        <v>0.251</v>
      </c>
      <c r="P790" s="54">
        <v>0.251</v>
      </c>
      <c r="Q790" s="54">
        <v>0.251</v>
      </c>
      <c r="R790" s="5"/>
      <c r="S790" s="13"/>
      <c r="T790" s="5"/>
    </row>
    <row r="791" spans="1:20" s="3" customFormat="1" x14ac:dyDescent="0.25">
      <c r="A791" s="21" t="s">
        <v>450</v>
      </c>
      <c r="B791" s="2" t="s">
        <v>306</v>
      </c>
      <c r="C791" s="13"/>
      <c r="D791" s="67" t="s">
        <v>466</v>
      </c>
      <c r="E791" s="67" t="s">
        <v>413</v>
      </c>
      <c r="F791" s="202" t="s">
        <v>415</v>
      </c>
      <c r="G791" s="54">
        <v>11.747999999999999</v>
      </c>
      <c r="H791" s="54">
        <v>11.747999999999999</v>
      </c>
      <c r="I791" s="54">
        <v>11.747999999999999</v>
      </c>
      <c r="J791" s="54">
        <v>11.747999999999999</v>
      </c>
      <c r="K791" s="54">
        <v>11.747999999999999</v>
      </c>
      <c r="L791" s="54">
        <v>11.747999999999999</v>
      </c>
      <c r="M791" s="54">
        <v>11.747999999999999</v>
      </c>
      <c r="N791" s="54">
        <v>11.747999999999999</v>
      </c>
      <c r="O791" s="54">
        <v>11.747999999999999</v>
      </c>
      <c r="P791" s="54">
        <v>11.747999999999999</v>
      </c>
      <c r="Q791" s="54">
        <v>11.747999999999999</v>
      </c>
      <c r="R791" s="5"/>
      <c r="S791" s="13"/>
      <c r="T791" s="5"/>
    </row>
    <row r="792" spans="1:20" s="3" customFormat="1" x14ac:dyDescent="0.25">
      <c r="A792" s="21" t="s">
        <v>450</v>
      </c>
      <c r="B792" s="67" t="s">
        <v>51</v>
      </c>
      <c r="C792" s="13"/>
      <c r="D792" s="2"/>
      <c r="E792" s="2"/>
      <c r="F792" s="202" t="s">
        <v>416</v>
      </c>
      <c r="G792" s="4"/>
      <c r="H792" s="4"/>
      <c r="I792" s="4"/>
      <c r="J792" s="4"/>
      <c r="K792" s="4"/>
      <c r="L792" s="4"/>
      <c r="M792" s="4"/>
      <c r="N792" s="4"/>
      <c r="O792" s="4"/>
      <c r="P792" s="4"/>
      <c r="Q792" s="4"/>
      <c r="R792" s="5"/>
      <c r="S792" s="13"/>
      <c r="T792" s="5"/>
    </row>
    <row r="793" spans="1:20" s="3" customFormat="1" x14ac:dyDescent="0.25">
      <c r="A793" s="21" t="s">
        <v>450</v>
      </c>
      <c r="B793" s="246" t="s">
        <v>38</v>
      </c>
      <c r="C793" s="246"/>
      <c r="D793" s="246"/>
      <c r="E793" s="246" t="s">
        <v>40</v>
      </c>
      <c r="F793" s="202" t="s">
        <v>416</v>
      </c>
      <c r="G793" s="277">
        <v>2000</v>
      </c>
      <c r="H793" s="278">
        <f t="shared" ref="H793:Q795" si="100">G793</f>
        <v>2000</v>
      </c>
      <c r="I793" s="278">
        <f t="shared" si="100"/>
        <v>2000</v>
      </c>
      <c r="J793" s="278">
        <f t="shared" si="100"/>
        <v>2000</v>
      </c>
      <c r="K793" s="278">
        <f t="shared" si="100"/>
        <v>2000</v>
      </c>
      <c r="L793" s="278">
        <f t="shared" si="100"/>
        <v>2000</v>
      </c>
      <c r="M793" s="278">
        <f t="shared" si="100"/>
        <v>2000</v>
      </c>
      <c r="N793" s="278">
        <f t="shared" si="100"/>
        <v>2000</v>
      </c>
      <c r="O793" s="278">
        <f t="shared" si="100"/>
        <v>2000</v>
      </c>
      <c r="P793" s="278">
        <f t="shared" si="100"/>
        <v>2000</v>
      </c>
      <c r="Q793" s="278">
        <f t="shared" si="100"/>
        <v>2000</v>
      </c>
      <c r="R793" s="5"/>
      <c r="S793" s="25"/>
      <c r="T793" s="5"/>
    </row>
    <row r="794" spans="1:20" s="3" customFormat="1" x14ac:dyDescent="0.25">
      <c r="A794" s="21" t="s">
        <v>450</v>
      </c>
      <c r="B794" s="246" t="s">
        <v>37</v>
      </c>
      <c r="C794" s="246"/>
      <c r="D794" s="246"/>
      <c r="E794" s="246" t="s">
        <v>40</v>
      </c>
      <c r="F794" s="202" t="s">
        <v>416</v>
      </c>
      <c r="G794" s="277">
        <v>2100</v>
      </c>
      <c r="H794" s="278">
        <f t="shared" si="100"/>
        <v>2100</v>
      </c>
      <c r="I794" s="278">
        <f t="shared" si="100"/>
        <v>2100</v>
      </c>
      <c r="J794" s="278">
        <f t="shared" si="100"/>
        <v>2100</v>
      </c>
      <c r="K794" s="278">
        <f t="shared" si="100"/>
        <v>2100</v>
      </c>
      <c r="L794" s="278">
        <f t="shared" si="100"/>
        <v>2100</v>
      </c>
      <c r="M794" s="278">
        <f t="shared" si="100"/>
        <v>2100</v>
      </c>
      <c r="N794" s="278">
        <f t="shared" si="100"/>
        <v>2100</v>
      </c>
      <c r="O794" s="278">
        <f t="shared" si="100"/>
        <v>2100</v>
      </c>
      <c r="P794" s="278">
        <f t="shared" si="100"/>
        <v>2100</v>
      </c>
      <c r="Q794" s="278">
        <f t="shared" si="100"/>
        <v>2100</v>
      </c>
      <c r="R794" s="5"/>
      <c r="S794" s="25"/>
      <c r="T794" s="5"/>
    </row>
    <row r="795" spans="1:20" s="3" customFormat="1" x14ac:dyDescent="0.25">
      <c r="A795" s="21" t="s">
        <v>450</v>
      </c>
      <c r="B795" s="246" t="s">
        <v>39</v>
      </c>
      <c r="C795" s="246"/>
      <c r="D795" s="246"/>
      <c r="E795" s="246" t="s">
        <v>10</v>
      </c>
      <c r="F795" s="202" t="s">
        <v>416</v>
      </c>
      <c r="G795" s="55">
        <v>14</v>
      </c>
      <c r="H795" s="262">
        <f t="shared" si="100"/>
        <v>14</v>
      </c>
      <c r="I795" s="262">
        <f t="shared" si="100"/>
        <v>14</v>
      </c>
      <c r="J795" s="262">
        <f t="shared" si="100"/>
        <v>14</v>
      </c>
      <c r="K795" s="262">
        <f t="shared" si="100"/>
        <v>14</v>
      </c>
      <c r="L795" s="262">
        <f t="shared" si="100"/>
        <v>14</v>
      </c>
      <c r="M795" s="262">
        <f t="shared" si="100"/>
        <v>14</v>
      </c>
      <c r="N795" s="262">
        <f t="shared" si="100"/>
        <v>14</v>
      </c>
      <c r="O795" s="262">
        <f t="shared" si="100"/>
        <v>14</v>
      </c>
      <c r="P795" s="262">
        <f t="shared" si="100"/>
        <v>14</v>
      </c>
      <c r="Q795" s="262">
        <f t="shared" si="100"/>
        <v>14</v>
      </c>
      <c r="R795" s="5"/>
      <c r="S795" s="25"/>
      <c r="T795" s="5"/>
    </row>
    <row r="796" spans="1:20" s="3" customFormat="1" x14ac:dyDescent="0.25">
      <c r="A796" s="21" t="s">
        <v>450</v>
      </c>
      <c r="B796" s="246" t="s">
        <v>361</v>
      </c>
      <c r="C796" s="246"/>
      <c r="D796" s="246"/>
      <c r="E796" s="246" t="s">
        <v>10</v>
      </c>
      <c r="F796" s="202" t="s">
        <v>416</v>
      </c>
      <c r="G796" s="55"/>
      <c r="H796" s="55"/>
      <c r="I796" s="55"/>
      <c r="J796" s="55"/>
      <c r="K796" s="55"/>
      <c r="L796" s="55"/>
      <c r="M796" s="55"/>
      <c r="N796" s="55"/>
      <c r="O796" s="55"/>
      <c r="P796" s="55"/>
      <c r="Q796" s="55"/>
      <c r="R796" s="5"/>
      <c r="S796" s="25"/>
      <c r="T796" s="5"/>
    </row>
    <row r="797" spans="1:20" s="3" customFormat="1" x14ac:dyDescent="0.25">
      <c r="A797" s="21" t="s">
        <v>450</v>
      </c>
      <c r="B797" s="246" t="s">
        <v>309</v>
      </c>
      <c r="C797" s="246"/>
      <c r="D797" s="246"/>
      <c r="E797" s="246" t="s">
        <v>97</v>
      </c>
      <c r="F797" s="202" t="s">
        <v>416</v>
      </c>
      <c r="G797" s="271">
        <v>0.3</v>
      </c>
      <c r="H797" s="274">
        <f t="shared" ref="H797:Q797" si="101">G797</f>
        <v>0.3</v>
      </c>
      <c r="I797" s="274">
        <f t="shared" si="101"/>
        <v>0.3</v>
      </c>
      <c r="J797" s="274">
        <f t="shared" si="101"/>
        <v>0.3</v>
      </c>
      <c r="K797" s="274">
        <f t="shared" si="101"/>
        <v>0.3</v>
      </c>
      <c r="L797" s="274">
        <f t="shared" si="101"/>
        <v>0.3</v>
      </c>
      <c r="M797" s="274">
        <f t="shared" si="101"/>
        <v>0.3</v>
      </c>
      <c r="N797" s="274">
        <f t="shared" si="101"/>
        <v>0.3</v>
      </c>
      <c r="O797" s="274">
        <f t="shared" si="101"/>
        <v>0.3</v>
      </c>
      <c r="P797" s="274">
        <f t="shared" si="101"/>
        <v>0.3</v>
      </c>
      <c r="Q797" s="274">
        <f t="shared" si="101"/>
        <v>0.3</v>
      </c>
      <c r="R797" s="5"/>
      <c r="S797" s="25"/>
      <c r="T797" s="5"/>
    </row>
    <row r="798" spans="1:20" s="3" customFormat="1" x14ac:dyDescent="0.25">
      <c r="A798" s="21" t="s">
        <v>450</v>
      </c>
      <c r="B798" s="246" t="s">
        <v>358</v>
      </c>
      <c r="C798" s="246"/>
      <c r="D798" s="246"/>
      <c r="E798" s="246" t="s">
        <v>97</v>
      </c>
      <c r="F798" s="202" t="s">
        <v>416</v>
      </c>
      <c r="G798" s="271"/>
      <c r="H798" s="271"/>
      <c r="I798" s="271"/>
      <c r="J798" s="271"/>
      <c r="K798" s="271"/>
      <c r="L798" s="271"/>
      <c r="M798" s="271"/>
      <c r="N798" s="271"/>
      <c r="O798" s="271"/>
      <c r="P798" s="271"/>
      <c r="Q798" s="271"/>
      <c r="R798" s="5"/>
      <c r="S798" s="25"/>
      <c r="T798" s="5"/>
    </row>
    <row r="799" spans="1:20" s="3" customFormat="1" x14ac:dyDescent="0.25">
      <c r="A799" s="21" t="s">
        <v>450</v>
      </c>
      <c r="B799" s="246" t="s">
        <v>357</v>
      </c>
      <c r="C799" s="246"/>
      <c r="D799" s="246"/>
      <c r="E799" s="246" t="s">
        <v>97</v>
      </c>
      <c r="F799" s="202" t="s">
        <v>416</v>
      </c>
      <c r="G799" s="271"/>
      <c r="H799" s="271"/>
      <c r="I799" s="271"/>
      <c r="J799" s="271"/>
      <c r="K799" s="271"/>
      <c r="L799" s="271"/>
      <c r="M799" s="271"/>
      <c r="N799" s="271"/>
      <c r="O799" s="271"/>
      <c r="P799" s="271"/>
      <c r="Q799" s="271"/>
      <c r="R799" s="5"/>
      <c r="S799" s="25"/>
      <c r="T799" s="5"/>
    </row>
    <row r="800" spans="1:20" s="3" customFormat="1" x14ac:dyDescent="0.25">
      <c r="A800" s="21" t="s">
        <v>450</v>
      </c>
      <c r="B800" s="246" t="s">
        <v>75</v>
      </c>
      <c r="C800" s="246"/>
      <c r="D800" s="246"/>
      <c r="E800" s="246" t="s">
        <v>97</v>
      </c>
      <c r="F800" s="202" t="s">
        <v>416</v>
      </c>
      <c r="G800" s="271">
        <v>0</v>
      </c>
      <c r="H800" s="271"/>
      <c r="I800" s="271"/>
      <c r="J800" s="271"/>
      <c r="K800" s="271"/>
      <c r="L800" s="271"/>
      <c r="M800" s="271"/>
      <c r="N800" s="271"/>
      <c r="O800" s="271"/>
      <c r="P800" s="271"/>
      <c r="Q800" s="271"/>
      <c r="R800" s="5"/>
      <c r="S800" s="25"/>
      <c r="T800" s="5"/>
    </row>
    <row r="801" spans="1:20" s="3" customFormat="1" x14ac:dyDescent="0.25">
      <c r="A801" s="21" t="s">
        <v>450</v>
      </c>
      <c r="B801" s="68" t="s">
        <v>148</v>
      </c>
      <c r="C801" s="68"/>
      <c r="D801" s="251"/>
      <c r="E801" s="68" t="s">
        <v>97</v>
      </c>
      <c r="F801" s="202" t="s">
        <v>416</v>
      </c>
      <c r="G801" s="271"/>
      <c r="H801" s="271"/>
      <c r="I801" s="271"/>
      <c r="J801" s="271"/>
      <c r="K801" s="271"/>
      <c r="L801" s="271"/>
      <c r="M801" s="271"/>
      <c r="N801" s="271"/>
      <c r="O801" s="271"/>
      <c r="P801" s="271"/>
      <c r="Q801" s="271"/>
      <c r="R801" s="5"/>
      <c r="S801" s="25"/>
      <c r="T801" s="5"/>
    </row>
    <row r="802" spans="1:20" s="3" customFormat="1" x14ac:dyDescent="0.25">
      <c r="A802" s="21" t="s">
        <v>450</v>
      </c>
      <c r="B802" s="68" t="s">
        <v>149</v>
      </c>
      <c r="C802" s="68"/>
      <c r="D802" s="251"/>
      <c r="E802" s="68" t="s">
        <v>97</v>
      </c>
      <c r="F802" s="202" t="s">
        <v>416</v>
      </c>
      <c r="G802" s="271"/>
      <c r="H802" s="271"/>
      <c r="I802" s="271"/>
      <c r="J802" s="271"/>
      <c r="K802" s="271"/>
      <c r="L802" s="271"/>
      <c r="M802" s="271"/>
      <c r="N802" s="271"/>
      <c r="O802" s="271"/>
      <c r="P802" s="271"/>
      <c r="Q802" s="271"/>
      <c r="R802" s="5"/>
      <c r="S802" s="25"/>
      <c r="T802" s="5"/>
    </row>
    <row r="803" spans="1:20" s="3" customFormat="1" x14ac:dyDescent="0.25">
      <c r="A803" s="21" t="s">
        <v>450</v>
      </c>
      <c r="B803" s="68" t="s">
        <v>370</v>
      </c>
      <c r="C803" s="68"/>
      <c r="D803" s="251"/>
      <c r="E803" s="68" t="s">
        <v>97</v>
      </c>
      <c r="F803" s="202" t="s">
        <v>416</v>
      </c>
      <c r="G803" s="271"/>
      <c r="H803" s="271"/>
      <c r="I803" s="271"/>
      <c r="J803" s="271"/>
      <c r="K803" s="271"/>
      <c r="L803" s="271"/>
      <c r="M803" s="271"/>
      <c r="N803" s="271"/>
      <c r="O803" s="271"/>
      <c r="P803" s="271"/>
      <c r="Q803" s="271"/>
      <c r="R803" s="5"/>
      <c r="S803" s="25"/>
      <c r="T803" s="5"/>
    </row>
    <row r="804" spans="1:20" s="3" customFormat="1" x14ac:dyDescent="0.25">
      <c r="A804" s="21" t="s">
        <v>450</v>
      </c>
      <c r="B804" s="68" t="s">
        <v>371</v>
      </c>
      <c r="C804" s="68"/>
      <c r="D804" s="251"/>
      <c r="E804" s="68" t="s">
        <v>97</v>
      </c>
      <c r="F804" s="202" t="s">
        <v>416</v>
      </c>
      <c r="G804" s="271"/>
      <c r="H804" s="271"/>
      <c r="I804" s="271"/>
      <c r="J804" s="271"/>
      <c r="K804" s="271"/>
      <c r="L804" s="271"/>
      <c r="M804" s="271"/>
      <c r="N804" s="271"/>
      <c r="O804" s="271"/>
      <c r="P804" s="271"/>
      <c r="Q804" s="271"/>
      <c r="R804" s="5"/>
      <c r="S804" s="25"/>
      <c r="T804" s="5"/>
    </row>
    <row r="805" spans="1:20" s="3" customFormat="1" x14ac:dyDescent="0.25">
      <c r="A805" s="21" t="s">
        <v>450</v>
      </c>
      <c r="B805" s="246" t="s">
        <v>338</v>
      </c>
      <c r="C805" s="246"/>
      <c r="D805" s="246"/>
      <c r="E805" s="246" t="s">
        <v>320</v>
      </c>
      <c r="F805" s="202" t="s">
        <v>416</v>
      </c>
      <c r="G805" s="55">
        <v>1</v>
      </c>
      <c r="H805" s="262">
        <f t="shared" ref="H805:Q810" si="102">G805</f>
        <v>1</v>
      </c>
      <c r="I805" s="262">
        <f t="shared" si="102"/>
        <v>1</v>
      </c>
      <c r="J805" s="262">
        <f t="shared" si="102"/>
        <v>1</v>
      </c>
      <c r="K805" s="262">
        <f t="shared" si="102"/>
        <v>1</v>
      </c>
      <c r="L805" s="262">
        <f t="shared" si="102"/>
        <v>1</v>
      </c>
      <c r="M805" s="262">
        <f t="shared" si="102"/>
        <v>1</v>
      </c>
      <c r="N805" s="262">
        <f t="shared" si="102"/>
        <v>1</v>
      </c>
      <c r="O805" s="262">
        <f t="shared" si="102"/>
        <v>1</v>
      </c>
      <c r="P805" s="262">
        <f t="shared" si="102"/>
        <v>1</v>
      </c>
      <c r="Q805" s="262">
        <f t="shared" si="102"/>
        <v>1</v>
      </c>
      <c r="R805" s="5"/>
      <c r="S805" s="25"/>
      <c r="T805" s="5"/>
    </row>
    <row r="806" spans="1:20" s="3" customFormat="1" x14ac:dyDescent="0.25">
      <c r="A806" s="21" t="s">
        <v>450</v>
      </c>
      <c r="B806" s="246" t="s">
        <v>152</v>
      </c>
      <c r="C806" s="246"/>
      <c r="D806" s="246"/>
      <c r="E806" s="246" t="s">
        <v>321</v>
      </c>
      <c r="F806" s="202" t="s">
        <v>416</v>
      </c>
      <c r="G806" s="55">
        <v>2443.3780000000002</v>
      </c>
      <c r="H806" s="262">
        <f t="shared" si="102"/>
        <v>2443.3780000000002</v>
      </c>
      <c r="I806" s="262">
        <f t="shared" si="102"/>
        <v>2443.3780000000002</v>
      </c>
      <c r="J806" s="262">
        <f t="shared" si="102"/>
        <v>2443.3780000000002</v>
      </c>
      <c r="K806" s="262">
        <f t="shared" si="102"/>
        <v>2443.3780000000002</v>
      </c>
      <c r="L806" s="262">
        <f t="shared" si="102"/>
        <v>2443.3780000000002</v>
      </c>
      <c r="M806" s="262">
        <f t="shared" si="102"/>
        <v>2443.3780000000002</v>
      </c>
      <c r="N806" s="262">
        <f t="shared" si="102"/>
        <v>2443.3780000000002</v>
      </c>
      <c r="O806" s="262">
        <f t="shared" si="102"/>
        <v>2443.3780000000002</v>
      </c>
      <c r="P806" s="262">
        <f t="shared" si="102"/>
        <v>2443.3780000000002</v>
      </c>
      <c r="Q806" s="262">
        <f t="shared" si="102"/>
        <v>2443.3780000000002</v>
      </c>
      <c r="R806" s="5"/>
      <c r="S806" s="25"/>
      <c r="T806" s="5"/>
    </row>
    <row r="807" spans="1:20" s="3" customFormat="1" x14ac:dyDescent="0.25">
      <c r="A807" s="21" t="s">
        <v>450</v>
      </c>
      <c r="B807" s="246" t="s">
        <v>383</v>
      </c>
      <c r="C807" s="246"/>
      <c r="D807" s="246"/>
      <c r="E807" s="246" t="s">
        <v>97</v>
      </c>
      <c r="F807" s="202" t="s">
        <v>416</v>
      </c>
      <c r="G807" s="271">
        <v>0.4</v>
      </c>
      <c r="H807" s="274">
        <f t="shared" si="102"/>
        <v>0.4</v>
      </c>
      <c r="I807" s="274">
        <f t="shared" si="102"/>
        <v>0.4</v>
      </c>
      <c r="J807" s="274">
        <f t="shared" si="102"/>
        <v>0.4</v>
      </c>
      <c r="K807" s="274">
        <f t="shared" si="102"/>
        <v>0.4</v>
      </c>
      <c r="L807" s="274">
        <f t="shared" si="102"/>
        <v>0.4</v>
      </c>
      <c r="M807" s="274">
        <f t="shared" si="102"/>
        <v>0.4</v>
      </c>
      <c r="N807" s="274">
        <f t="shared" si="102"/>
        <v>0.4</v>
      </c>
      <c r="O807" s="274">
        <f t="shared" si="102"/>
        <v>0.4</v>
      </c>
      <c r="P807" s="274">
        <f t="shared" si="102"/>
        <v>0.4</v>
      </c>
      <c r="Q807" s="274">
        <f t="shared" si="102"/>
        <v>0.4</v>
      </c>
      <c r="R807" s="5"/>
      <c r="S807" s="25"/>
      <c r="T807" s="5"/>
    </row>
    <row r="808" spans="1:20" s="3" customFormat="1" x14ac:dyDescent="0.25">
      <c r="A808" s="21" t="s">
        <v>450</v>
      </c>
      <c r="B808" s="246" t="s">
        <v>446</v>
      </c>
      <c r="C808" s="246"/>
      <c r="D808" s="246"/>
      <c r="E808" s="246" t="s">
        <v>320</v>
      </c>
      <c r="F808" s="202" t="s">
        <v>416</v>
      </c>
      <c r="G808" s="55">
        <v>75000</v>
      </c>
      <c r="H808" s="262">
        <f t="shared" si="102"/>
        <v>75000</v>
      </c>
      <c r="I808" s="262">
        <f t="shared" si="102"/>
        <v>75000</v>
      </c>
      <c r="J808" s="262">
        <f t="shared" si="102"/>
        <v>75000</v>
      </c>
      <c r="K808" s="262">
        <f t="shared" si="102"/>
        <v>75000</v>
      </c>
      <c r="L808" s="262">
        <f t="shared" si="102"/>
        <v>75000</v>
      </c>
      <c r="M808" s="262">
        <f t="shared" si="102"/>
        <v>75000</v>
      </c>
      <c r="N808" s="262">
        <f t="shared" si="102"/>
        <v>75000</v>
      </c>
      <c r="O808" s="262">
        <f t="shared" si="102"/>
        <v>75000</v>
      </c>
      <c r="P808" s="262">
        <f t="shared" si="102"/>
        <v>75000</v>
      </c>
      <c r="Q808" s="262">
        <f t="shared" si="102"/>
        <v>75000</v>
      </c>
      <c r="R808" s="5"/>
      <c r="S808" s="25"/>
      <c r="T808" s="5"/>
    </row>
    <row r="809" spans="1:20" s="3" customFormat="1" x14ac:dyDescent="0.25">
      <c r="A809" s="21" t="s">
        <v>450</v>
      </c>
      <c r="B809" s="246" t="s">
        <v>387</v>
      </c>
      <c r="C809" s="246"/>
      <c r="D809" s="246"/>
      <c r="E809" s="246"/>
      <c r="F809" s="202" t="s">
        <v>416</v>
      </c>
      <c r="G809" s="54">
        <v>0.75</v>
      </c>
      <c r="H809" s="285">
        <f t="shared" si="102"/>
        <v>0.75</v>
      </c>
      <c r="I809" s="285">
        <f t="shared" si="102"/>
        <v>0.75</v>
      </c>
      <c r="J809" s="285">
        <f t="shared" si="102"/>
        <v>0.75</v>
      </c>
      <c r="K809" s="285">
        <f t="shared" si="102"/>
        <v>0.75</v>
      </c>
      <c r="L809" s="285">
        <f t="shared" si="102"/>
        <v>0.75</v>
      </c>
      <c r="M809" s="285">
        <f t="shared" si="102"/>
        <v>0.75</v>
      </c>
      <c r="N809" s="285">
        <f t="shared" si="102"/>
        <v>0.75</v>
      </c>
      <c r="O809" s="285">
        <f t="shared" si="102"/>
        <v>0.75</v>
      </c>
      <c r="P809" s="285">
        <f t="shared" si="102"/>
        <v>0.75</v>
      </c>
      <c r="Q809" s="285">
        <f t="shared" si="102"/>
        <v>0.75</v>
      </c>
      <c r="R809" s="5"/>
      <c r="S809" s="25"/>
      <c r="T809" s="5"/>
    </row>
    <row r="810" spans="1:20" s="3" customFormat="1" x14ac:dyDescent="0.25">
      <c r="A810" s="21" t="s">
        <v>450</v>
      </c>
      <c r="B810" s="246" t="s">
        <v>369</v>
      </c>
      <c r="C810" s="246"/>
      <c r="D810" s="246"/>
      <c r="E810" s="246" t="s">
        <v>97</v>
      </c>
      <c r="F810" s="202" t="s">
        <v>416</v>
      </c>
      <c r="G810" s="271">
        <v>0.01</v>
      </c>
      <c r="H810" s="274">
        <f t="shared" si="102"/>
        <v>0.01</v>
      </c>
      <c r="I810" s="274">
        <f t="shared" si="102"/>
        <v>0.01</v>
      </c>
      <c r="J810" s="274">
        <f t="shared" si="102"/>
        <v>0.01</v>
      </c>
      <c r="K810" s="274">
        <f t="shared" si="102"/>
        <v>0.01</v>
      </c>
      <c r="L810" s="274">
        <f t="shared" si="102"/>
        <v>0.01</v>
      </c>
      <c r="M810" s="274">
        <f t="shared" si="102"/>
        <v>0.01</v>
      </c>
      <c r="N810" s="274">
        <f t="shared" si="102"/>
        <v>0.01</v>
      </c>
      <c r="O810" s="274">
        <f t="shared" si="102"/>
        <v>0.01</v>
      </c>
      <c r="P810" s="274">
        <f t="shared" si="102"/>
        <v>0.01</v>
      </c>
      <c r="Q810" s="274">
        <f t="shared" si="102"/>
        <v>0.01</v>
      </c>
      <c r="R810" s="5"/>
      <c r="S810" s="25"/>
      <c r="T810" s="5"/>
    </row>
    <row r="811" spans="1:20" s="3" customFormat="1" x14ac:dyDescent="0.25">
      <c r="A811" s="21" t="s">
        <v>450</v>
      </c>
      <c r="B811" s="246" t="s">
        <v>392</v>
      </c>
      <c r="C811" s="246"/>
      <c r="D811" s="246"/>
      <c r="E811" s="246" t="s">
        <v>321</v>
      </c>
      <c r="F811" s="202" t="s">
        <v>416</v>
      </c>
      <c r="G811" s="55"/>
      <c r="H811" s="262"/>
      <c r="I811" s="262"/>
      <c r="J811" s="262"/>
      <c r="K811" s="262"/>
      <c r="L811" s="262"/>
      <c r="M811" s="262"/>
      <c r="N811" s="262"/>
      <c r="O811" s="262"/>
      <c r="P811" s="262"/>
      <c r="Q811" s="262"/>
      <c r="R811" s="5"/>
      <c r="S811" s="25"/>
      <c r="T811" s="5"/>
    </row>
    <row r="812" spans="1:20" s="3" customFormat="1" x14ac:dyDescent="0.25">
      <c r="A812" s="21" t="s">
        <v>450</v>
      </c>
      <c r="B812" s="246" t="s">
        <v>394</v>
      </c>
      <c r="C812" s="246"/>
      <c r="D812" s="246"/>
      <c r="E812" s="246" t="s">
        <v>321</v>
      </c>
      <c r="F812" s="202" t="s">
        <v>416</v>
      </c>
      <c r="G812" s="55">
        <v>610.84500000000003</v>
      </c>
      <c r="H812" s="262">
        <f t="shared" ref="H812:Q814" si="103">G812</f>
        <v>610.84500000000003</v>
      </c>
      <c r="I812" s="262">
        <f t="shared" si="103"/>
        <v>610.84500000000003</v>
      </c>
      <c r="J812" s="262">
        <f t="shared" si="103"/>
        <v>610.84500000000003</v>
      </c>
      <c r="K812" s="262">
        <f t="shared" si="103"/>
        <v>610.84500000000003</v>
      </c>
      <c r="L812" s="262">
        <f t="shared" si="103"/>
        <v>610.84500000000003</v>
      </c>
      <c r="M812" s="262">
        <f t="shared" si="103"/>
        <v>610.84500000000003</v>
      </c>
      <c r="N812" s="262">
        <f t="shared" si="103"/>
        <v>610.84500000000003</v>
      </c>
      <c r="O812" s="262">
        <f t="shared" si="103"/>
        <v>610.84500000000003</v>
      </c>
      <c r="P812" s="262">
        <f t="shared" si="103"/>
        <v>610.84500000000003</v>
      </c>
      <c r="Q812" s="262">
        <f t="shared" si="103"/>
        <v>610.84500000000003</v>
      </c>
      <c r="R812" s="5"/>
      <c r="S812" s="25"/>
      <c r="T812" s="5"/>
    </row>
    <row r="813" spans="1:20" s="3" customFormat="1" x14ac:dyDescent="0.25">
      <c r="A813" s="21" t="s">
        <v>450</v>
      </c>
      <c r="B813" s="246" t="s">
        <v>395</v>
      </c>
      <c r="C813" s="246"/>
      <c r="D813" s="246"/>
      <c r="E813" s="246"/>
      <c r="F813" s="202" t="s">
        <v>416</v>
      </c>
      <c r="G813" s="54">
        <v>0.65</v>
      </c>
      <c r="H813" s="285">
        <f t="shared" si="103"/>
        <v>0.65</v>
      </c>
      <c r="I813" s="285">
        <f t="shared" si="103"/>
        <v>0.65</v>
      </c>
      <c r="J813" s="285">
        <f t="shared" si="103"/>
        <v>0.65</v>
      </c>
      <c r="K813" s="285">
        <f t="shared" si="103"/>
        <v>0.65</v>
      </c>
      <c r="L813" s="285">
        <f t="shared" si="103"/>
        <v>0.65</v>
      </c>
      <c r="M813" s="285">
        <f t="shared" si="103"/>
        <v>0.65</v>
      </c>
      <c r="N813" s="285">
        <f t="shared" si="103"/>
        <v>0.65</v>
      </c>
      <c r="O813" s="285">
        <f t="shared" si="103"/>
        <v>0.65</v>
      </c>
      <c r="P813" s="285">
        <f t="shared" si="103"/>
        <v>0.65</v>
      </c>
      <c r="Q813" s="285">
        <f t="shared" si="103"/>
        <v>0.65</v>
      </c>
      <c r="R813" s="5"/>
      <c r="S813" s="25"/>
      <c r="T813" s="5"/>
    </row>
    <row r="814" spans="1:20" s="3" customFormat="1" x14ac:dyDescent="0.25">
      <c r="A814" s="21" t="s">
        <v>450</v>
      </c>
      <c r="B814" s="246" t="s">
        <v>396</v>
      </c>
      <c r="C814" s="246"/>
      <c r="D814" s="246"/>
      <c r="E814" s="246"/>
      <c r="F814" s="202" t="s">
        <v>416</v>
      </c>
      <c r="G814" s="54">
        <v>0.4</v>
      </c>
      <c r="H814" s="285">
        <f t="shared" si="103"/>
        <v>0.4</v>
      </c>
      <c r="I814" s="285">
        <f t="shared" si="103"/>
        <v>0.4</v>
      </c>
      <c r="J814" s="285">
        <f t="shared" si="103"/>
        <v>0.4</v>
      </c>
      <c r="K814" s="285">
        <f t="shared" si="103"/>
        <v>0.4</v>
      </c>
      <c r="L814" s="285">
        <f t="shared" si="103"/>
        <v>0.4</v>
      </c>
      <c r="M814" s="285">
        <f t="shared" si="103"/>
        <v>0.4</v>
      </c>
      <c r="N814" s="285">
        <f t="shared" si="103"/>
        <v>0.4</v>
      </c>
      <c r="O814" s="285">
        <f t="shared" si="103"/>
        <v>0.4</v>
      </c>
      <c r="P814" s="285">
        <f t="shared" si="103"/>
        <v>0.4</v>
      </c>
      <c r="Q814" s="285">
        <f t="shared" si="103"/>
        <v>0.4</v>
      </c>
      <c r="R814" s="5"/>
      <c r="S814" s="25"/>
      <c r="T814" s="5"/>
    </row>
    <row r="815" spans="1:20" s="3" customFormat="1" x14ac:dyDescent="0.25">
      <c r="A815" s="21" t="s">
        <v>450</v>
      </c>
      <c r="B815" s="246" t="s">
        <v>393</v>
      </c>
      <c r="C815" s="246"/>
      <c r="D815" s="246"/>
      <c r="E815" s="246" t="s">
        <v>412</v>
      </c>
      <c r="F815" s="202" t="s">
        <v>416</v>
      </c>
      <c r="G815" s="55"/>
      <c r="H815" s="55"/>
      <c r="I815" s="55"/>
      <c r="J815" s="55"/>
      <c r="K815" s="55"/>
      <c r="L815" s="55"/>
      <c r="M815" s="55"/>
      <c r="N815" s="55"/>
      <c r="O815" s="55"/>
      <c r="P815" s="55"/>
      <c r="Q815" s="55"/>
      <c r="R815" s="5"/>
      <c r="S815" s="25"/>
      <c r="T815" s="5"/>
    </row>
    <row r="816" spans="1:20" s="3" customFormat="1" x14ac:dyDescent="0.25">
      <c r="A816" s="21" t="s">
        <v>450</v>
      </c>
      <c r="B816" s="246" t="s">
        <v>397</v>
      </c>
      <c r="C816" s="246"/>
      <c r="D816" s="246"/>
      <c r="E816" s="246" t="s">
        <v>412</v>
      </c>
      <c r="F816" s="202" t="s">
        <v>416</v>
      </c>
      <c r="G816" s="55"/>
      <c r="H816" s="55"/>
      <c r="I816" s="55"/>
      <c r="J816" s="55"/>
      <c r="K816" s="55"/>
      <c r="L816" s="55"/>
      <c r="M816" s="55"/>
      <c r="N816" s="55"/>
      <c r="O816" s="55"/>
      <c r="P816" s="55"/>
      <c r="Q816" s="55"/>
      <c r="R816" s="5"/>
      <c r="S816" s="25"/>
      <c r="T816" s="5"/>
    </row>
    <row r="817" spans="1:20" s="3" customFormat="1" x14ac:dyDescent="0.25">
      <c r="A817" s="21" t="s">
        <v>450</v>
      </c>
      <c r="B817" s="246" t="s">
        <v>398</v>
      </c>
      <c r="C817" s="246"/>
      <c r="D817" s="246"/>
      <c r="E817" s="246"/>
      <c r="F817" s="202" t="s">
        <v>416</v>
      </c>
      <c r="G817" s="54"/>
      <c r="H817" s="54"/>
      <c r="I817" s="54"/>
      <c r="J817" s="54"/>
      <c r="K817" s="54"/>
      <c r="L817" s="54"/>
      <c r="M817" s="54"/>
      <c r="N817" s="54"/>
      <c r="O817" s="54"/>
      <c r="P817" s="54"/>
      <c r="Q817" s="54"/>
      <c r="R817" s="5"/>
      <c r="S817" s="25"/>
      <c r="T817" s="5"/>
    </row>
    <row r="818" spans="1:20" s="3" customFormat="1" x14ac:dyDescent="0.25">
      <c r="A818" s="21" t="s">
        <v>450</v>
      </c>
      <c r="B818" s="246" t="s">
        <v>399</v>
      </c>
      <c r="C818" s="246"/>
      <c r="D818" s="246"/>
      <c r="E818" s="246"/>
      <c r="F818" s="202" t="s">
        <v>416</v>
      </c>
      <c r="G818" s="54"/>
      <c r="H818" s="54"/>
      <c r="I818" s="54"/>
      <c r="J818" s="54"/>
      <c r="K818" s="54"/>
      <c r="L818" s="54"/>
      <c r="M818" s="54"/>
      <c r="N818" s="54"/>
      <c r="O818" s="54"/>
      <c r="P818" s="54"/>
      <c r="Q818" s="54"/>
      <c r="R818" s="5"/>
      <c r="S818" s="25"/>
      <c r="T818" s="5"/>
    </row>
    <row r="819" spans="1:20" s="3" customFormat="1" x14ac:dyDescent="0.25">
      <c r="A819" s="21" t="s">
        <v>450</v>
      </c>
      <c r="B819" s="246" t="s">
        <v>310</v>
      </c>
      <c r="C819" s="246"/>
      <c r="D819" s="246"/>
      <c r="E819" s="246" t="s">
        <v>412</v>
      </c>
      <c r="F819" s="202" t="s">
        <v>416</v>
      </c>
      <c r="G819" s="55">
        <v>10</v>
      </c>
      <c r="H819" s="262">
        <f t="shared" ref="H819:Q819" si="104">G819</f>
        <v>10</v>
      </c>
      <c r="I819" s="262">
        <f t="shared" si="104"/>
        <v>10</v>
      </c>
      <c r="J819" s="262">
        <f t="shared" si="104"/>
        <v>10</v>
      </c>
      <c r="K819" s="262">
        <f t="shared" si="104"/>
        <v>10</v>
      </c>
      <c r="L819" s="262">
        <f t="shared" si="104"/>
        <v>10</v>
      </c>
      <c r="M819" s="262">
        <f t="shared" si="104"/>
        <v>10</v>
      </c>
      <c r="N819" s="262">
        <f t="shared" si="104"/>
        <v>10</v>
      </c>
      <c r="O819" s="262">
        <f t="shared" si="104"/>
        <v>10</v>
      </c>
      <c r="P819" s="262">
        <f t="shared" si="104"/>
        <v>10</v>
      </c>
      <c r="Q819" s="262">
        <f t="shared" si="104"/>
        <v>10</v>
      </c>
      <c r="R819" s="5"/>
      <c r="S819" s="25"/>
      <c r="T819" s="5"/>
    </row>
    <row r="820" spans="1:20" s="3" customFormat="1" x14ac:dyDescent="0.25">
      <c r="A820" s="21" t="s">
        <v>450</v>
      </c>
      <c r="B820" s="246" t="s">
        <v>360</v>
      </c>
      <c r="C820" s="246"/>
      <c r="D820" s="246"/>
      <c r="E820" s="246" t="s">
        <v>321</v>
      </c>
      <c r="F820" s="202" t="s">
        <v>416</v>
      </c>
      <c r="G820" s="55"/>
      <c r="H820" s="55"/>
      <c r="I820" s="55"/>
      <c r="J820" s="55"/>
      <c r="K820" s="55"/>
      <c r="L820" s="55"/>
      <c r="M820" s="55"/>
      <c r="N820" s="55"/>
      <c r="O820" s="55"/>
      <c r="P820" s="55"/>
      <c r="Q820" s="55"/>
      <c r="R820" s="5"/>
      <c r="S820" s="25"/>
      <c r="T820" s="5"/>
    </row>
    <row r="821" spans="1:20" s="3" customFormat="1" x14ac:dyDescent="0.25">
      <c r="A821" s="21" t="s">
        <v>450</v>
      </c>
      <c r="B821" s="2" t="s">
        <v>306</v>
      </c>
      <c r="C821" s="13"/>
      <c r="D821" s="67" t="s">
        <v>469</v>
      </c>
      <c r="E821" s="67" t="s">
        <v>413</v>
      </c>
      <c r="F821" s="202" t="s">
        <v>416</v>
      </c>
      <c r="G821" s="54">
        <v>0.08</v>
      </c>
      <c r="H821" s="54">
        <v>0.08</v>
      </c>
      <c r="I821" s="54">
        <v>0.08</v>
      </c>
      <c r="J821" s="54">
        <v>0.08</v>
      </c>
      <c r="K821" s="54">
        <v>0.08</v>
      </c>
      <c r="L821" s="54">
        <v>0.08</v>
      </c>
      <c r="M821" s="54">
        <v>0.08</v>
      </c>
      <c r="N821" s="54">
        <v>0.08</v>
      </c>
      <c r="O821" s="54">
        <v>0.08</v>
      </c>
      <c r="P821" s="54">
        <v>0.08</v>
      </c>
      <c r="Q821" s="54">
        <v>0.08</v>
      </c>
      <c r="R821" s="5"/>
      <c r="S821" s="13"/>
      <c r="T821" s="5"/>
    </row>
    <row r="822" spans="1:20" s="3" customFormat="1" x14ac:dyDescent="0.25">
      <c r="A822" s="21" t="s">
        <v>450</v>
      </c>
      <c r="B822" s="2" t="s">
        <v>306</v>
      </c>
      <c r="C822" s="13"/>
      <c r="D822" s="67" t="s">
        <v>466</v>
      </c>
      <c r="E822" s="67" t="s">
        <v>413</v>
      </c>
      <c r="F822" s="202" t="s">
        <v>416</v>
      </c>
      <c r="G822" s="54">
        <v>2.0499999999999998</v>
      </c>
      <c r="H822" s="54">
        <v>2.0499999999999998</v>
      </c>
      <c r="I822" s="54">
        <v>2.0499999999999998</v>
      </c>
      <c r="J822" s="54">
        <v>2.0499999999999998</v>
      </c>
      <c r="K822" s="54">
        <v>2.0499999999999998</v>
      </c>
      <c r="L822" s="54">
        <v>2.0499999999999998</v>
      </c>
      <c r="M822" s="54">
        <v>2.0499999999999998</v>
      </c>
      <c r="N822" s="54">
        <v>2.0499999999999998</v>
      </c>
      <c r="O822" s="54">
        <v>2.0499999999999998</v>
      </c>
      <c r="P822" s="54">
        <v>2.0499999999999998</v>
      </c>
      <c r="Q822" s="54">
        <v>2.0499999999999998</v>
      </c>
      <c r="R822" s="5"/>
      <c r="S822" s="13"/>
      <c r="T822" s="5"/>
    </row>
    <row r="823" spans="1:20" s="3" customFormat="1" x14ac:dyDescent="0.25">
      <c r="A823" s="21" t="s">
        <v>450</v>
      </c>
      <c r="C823" s="13"/>
      <c r="F823" s="9"/>
      <c r="R823" s="5"/>
      <c r="S823" s="13"/>
      <c r="T823" s="5"/>
    </row>
    <row r="824" spans="1:20" s="3" customFormat="1" x14ac:dyDescent="0.25">
      <c r="A824" s="359" t="s">
        <v>2</v>
      </c>
      <c r="C824" s="13"/>
      <c r="F824" s="9"/>
      <c r="R824" s="5"/>
      <c r="S824" s="13"/>
      <c r="T824" s="5"/>
    </row>
    <row r="825" spans="1:20" s="3" customFormat="1" x14ac:dyDescent="0.25">
      <c r="A825" s="21" t="s">
        <v>450</v>
      </c>
      <c r="B825" t="s">
        <v>305</v>
      </c>
      <c r="C825" s="13"/>
      <c r="D825" s="2" t="s">
        <v>469</v>
      </c>
      <c r="E825" s="2" t="s">
        <v>34</v>
      </c>
      <c r="F825" s="26" t="str">
        <f>A824</f>
        <v>Electricity</v>
      </c>
      <c r="G825" s="276"/>
      <c r="H825" s="276"/>
      <c r="I825" s="276"/>
      <c r="J825" s="276"/>
      <c r="K825" s="276"/>
      <c r="L825" s="276"/>
      <c r="M825" s="276"/>
      <c r="N825" s="276"/>
      <c r="O825" s="276"/>
      <c r="P825" s="276"/>
      <c r="Q825" s="276"/>
      <c r="R825" s="5"/>
      <c r="S825" s="13"/>
      <c r="T825" s="5"/>
    </row>
    <row r="826" spans="1:20" s="3" customFormat="1" x14ac:dyDescent="0.25">
      <c r="A826" s="21"/>
      <c r="B826" s="67" t="s">
        <v>481</v>
      </c>
      <c r="C826" s="25"/>
      <c r="D826" s="67"/>
      <c r="E826" s="67"/>
      <c r="F826" s="202" t="s">
        <v>112</v>
      </c>
      <c r="G826" s="17"/>
      <c r="H826" s="17"/>
      <c r="I826" s="17"/>
      <c r="J826" s="17"/>
      <c r="K826" s="17"/>
      <c r="L826" s="17"/>
      <c r="M826" s="17"/>
      <c r="N826" s="17"/>
      <c r="O826" s="17"/>
      <c r="P826" s="17"/>
      <c r="Q826" s="17"/>
      <c r="R826" s="5"/>
      <c r="S826" s="25"/>
      <c r="T826" s="5"/>
    </row>
    <row r="827" spans="1:20" s="3" customFormat="1" x14ac:dyDescent="0.25">
      <c r="A827" s="21" t="s">
        <v>450</v>
      </c>
      <c r="B827" s="67" t="s">
        <v>47</v>
      </c>
      <c r="C827" s="25"/>
      <c r="D827" s="2"/>
      <c r="E827" s="2"/>
      <c r="F827" s="202" t="s">
        <v>22</v>
      </c>
      <c r="G827" s="4"/>
      <c r="H827" s="4"/>
      <c r="I827" s="4"/>
      <c r="J827" s="4"/>
      <c r="K827" s="4"/>
      <c r="L827" s="4"/>
      <c r="M827" s="4"/>
      <c r="N827" s="4"/>
      <c r="O827" s="4"/>
      <c r="P827" s="4"/>
      <c r="Q827" s="4"/>
      <c r="R827" s="5"/>
      <c r="S827" s="25"/>
      <c r="T827" s="5"/>
    </row>
    <row r="828" spans="1:20" s="3" customFormat="1" x14ac:dyDescent="0.25">
      <c r="A828" s="21" t="s">
        <v>450</v>
      </c>
      <c r="B828" t="s">
        <v>7</v>
      </c>
      <c r="C828" s="13"/>
      <c r="D828" s="2"/>
      <c r="E828" s="2"/>
      <c r="F828" s="26" t="s">
        <v>35</v>
      </c>
      <c r="G828" s="191">
        <v>0.4</v>
      </c>
      <c r="H828" s="208">
        <f>G828</f>
        <v>0.4</v>
      </c>
      <c r="I828" s="208">
        <f t="shared" ref="I828:Q828" si="105">H828</f>
        <v>0.4</v>
      </c>
      <c r="J828" s="208">
        <f t="shared" si="105"/>
        <v>0.4</v>
      </c>
      <c r="K828" s="208">
        <f t="shared" si="105"/>
        <v>0.4</v>
      </c>
      <c r="L828" s="208">
        <f t="shared" si="105"/>
        <v>0.4</v>
      </c>
      <c r="M828" s="208">
        <f t="shared" si="105"/>
        <v>0.4</v>
      </c>
      <c r="N828" s="208">
        <f t="shared" si="105"/>
        <v>0.4</v>
      </c>
      <c r="O828" s="208">
        <f t="shared" si="105"/>
        <v>0.4</v>
      </c>
      <c r="P828" s="208">
        <f t="shared" si="105"/>
        <v>0.4</v>
      </c>
      <c r="Q828" s="208">
        <f t="shared" si="105"/>
        <v>0.4</v>
      </c>
      <c r="R828" s="5"/>
      <c r="S828" s="13"/>
      <c r="T828" s="5"/>
    </row>
    <row r="829" spans="1:20" s="3" customFormat="1" x14ac:dyDescent="0.25">
      <c r="A829" s="21" t="s">
        <v>450</v>
      </c>
      <c r="B829" t="s">
        <v>311</v>
      </c>
      <c r="C829" s="13"/>
      <c r="D829" s="2"/>
      <c r="E829" s="2" t="s">
        <v>97</v>
      </c>
      <c r="F829" s="26" t="s">
        <v>41</v>
      </c>
      <c r="G829" s="273">
        <v>0.1</v>
      </c>
      <c r="H829" s="272">
        <f t="shared" ref="H829:Q831" si="106">G829</f>
        <v>0.1</v>
      </c>
      <c r="I829" s="272">
        <f t="shared" si="106"/>
        <v>0.1</v>
      </c>
      <c r="J829" s="272">
        <f t="shared" si="106"/>
        <v>0.1</v>
      </c>
      <c r="K829" s="272">
        <f t="shared" si="106"/>
        <v>0.1</v>
      </c>
      <c r="L829" s="272">
        <f t="shared" si="106"/>
        <v>0.1</v>
      </c>
      <c r="M829" s="272">
        <f t="shared" si="106"/>
        <v>0.1</v>
      </c>
      <c r="N829" s="272">
        <f t="shared" si="106"/>
        <v>0.1</v>
      </c>
      <c r="O829" s="272">
        <f t="shared" si="106"/>
        <v>0.1</v>
      </c>
      <c r="P829" s="272">
        <f t="shared" si="106"/>
        <v>0.1</v>
      </c>
      <c r="Q829" s="272">
        <f t="shared" si="106"/>
        <v>0.1</v>
      </c>
      <c r="R829" s="5"/>
      <c r="S829" s="13"/>
      <c r="T829" s="5"/>
    </row>
    <row r="830" spans="1:20" s="3" customFormat="1" x14ac:dyDescent="0.25">
      <c r="A830" s="21" t="s">
        <v>450</v>
      </c>
      <c r="B830" t="s">
        <v>50</v>
      </c>
      <c r="C830" s="13"/>
      <c r="D830" s="2"/>
      <c r="E830" s="2" t="s">
        <v>97</v>
      </c>
      <c r="F830" s="26"/>
      <c r="G830" s="273">
        <v>0.1</v>
      </c>
      <c r="H830" s="272">
        <f t="shared" si="106"/>
        <v>0.1</v>
      </c>
      <c r="I830" s="272">
        <f t="shared" si="106"/>
        <v>0.1</v>
      </c>
      <c r="J830" s="272">
        <f t="shared" si="106"/>
        <v>0.1</v>
      </c>
      <c r="K830" s="272">
        <f t="shared" si="106"/>
        <v>0.1</v>
      </c>
      <c r="L830" s="272">
        <f t="shared" si="106"/>
        <v>0.1</v>
      </c>
      <c r="M830" s="272">
        <f t="shared" si="106"/>
        <v>0.1</v>
      </c>
      <c r="N830" s="272">
        <f t="shared" si="106"/>
        <v>0.1</v>
      </c>
      <c r="O830" s="272">
        <f t="shared" si="106"/>
        <v>0.1</v>
      </c>
      <c r="P830" s="272">
        <f t="shared" si="106"/>
        <v>0.1</v>
      </c>
      <c r="Q830" s="272">
        <f t="shared" si="106"/>
        <v>0.1</v>
      </c>
      <c r="R830" s="5"/>
      <c r="S830" s="13"/>
      <c r="T830" s="5"/>
    </row>
    <row r="831" spans="1:20" s="3" customFormat="1" x14ac:dyDescent="0.25">
      <c r="A831" s="21" t="s">
        <v>450</v>
      </c>
      <c r="B831" t="s">
        <v>20</v>
      </c>
      <c r="C831" s="13"/>
      <c r="D831" s="2"/>
      <c r="E831" s="2"/>
      <c r="F831" s="26" t="s">
        <v>42</v>
      </c>
      <c r="G831" s="191">
        <v>1</v>
      </c>
      <c r="H831" s="208">
        <f t="shared" si="106"/>
        <v>1</v>
      </c>
      <c r="I831" s="208">
        <f t="shared" si="106"/>
        <v>1</v>
      </c>
      <c r="J831" s="208">
        <f t="shared" si="106"/>
        <v>1</v>
      </c>
      <c r="K831" s="208">
        <f t="shared" si="106"/>
        <v>1</v>
      </c>
      <c r="L831" s="208">
        <f t="shared" si="106"/>
        <v>1</v>
      </c>
      <c r="M831" s="208">
        <f t="shared" si="106"/>
        <v>1</v>
      </c>
      <c r="N831" s="208">
        <f t="shared" si="106"/>
        <v>1</v>
      </c>
      <c r="O831" s="208">
        <f t="shared" si="106"/>
        <v>1</v>
      </c>
      <c r="P831" s="208">
        <f t="shared" si="106"/>
        <v>1</v>
      </c>
      <c r="Q831" s="208">
        <f t="shared" si="106"/>
        <v>1</v>
      </c>
      <c r="R831" s="5"/>
      <c r="S831" s="13"/>
      <c r="T831" s="5"/>
    </row>
    <row r="832" spans="1:20" s="3" customFormat="1" x14ac:dyDescent="0.25">
      <c r="A832" s="21" t="s">
        <v>450</v>
      </c>
      <c r="B832" s="15" t="s">
        <v>269</v>
      </c>
      <c r="C832" s="25" t="s">
        <v>281</v>
      </c>
      <c r="D832" s="15"/>
      <c r="E832" s="15" t="s">
        <v>322</v>
      </c>
      <c r="F832" s="16" t="s">
        <v>12</v>
      </c>
      <c r="G832" s="34">
        <f>INDEX(FuelPrices_Industrial,MATCH("Alberta",FuelPrices_Region,0)+MATCH("Oil",FuelPrices_Type,0)-1,MATCH(G$2,Year,0))/Prices!G$12</f>
        <v>3.713594017570093</v>
      </c>
      <c r="H832" s="34">
        <f>INDEX(FuelPrices_Industrial,MATCH("Alberta",FuelPrices_Region,0)+MATCH("Oil",FuelPrices_Type,0)-1,MATCH(H$2,Year,0))/Prices!H$12</f>
        <v>3.7562051565968173</v>
      </c>
      <c r="I832" s="34">
        <f>INDEX(FuelPrices_Industrial,MATCH("Alberta",FuelPrices_Region,0)+MATCH("Oil",FuelPrices_Type,0)-1,MATCH(I$2,Year,0))/Prices!I$12</f>
        <v>2.2048627745400187</v>
      </c>
      <c r="J832" s="34">
        <f>INDEX(FuelPrices_Industrial,MATCH("Alberta",FuelPrices_Region,0)+MATCH("Oil",FuelPrices_Type,0)-1,MATCH(J$2,Year,0))/Prices!J$12</f>
        <v>3.7962319002957341</v>
      </c>
      <c r="K832" s="34">
        <f>INDEX(FuelPrices_Industrial,MATCH("Alberta",FuelPrices_Region,0)+MATCH("Oil",FuelPrices_Type,0)-1,MATCH(K$2,Year,0))/Prices!K$12</f>
        <v>5.5729559285078665</v>
      </c>
      <c r="L832" s="34">
        <f>INDEX(FuelPrices_Industrial,MATCH("Alberta",FuelPrices_Region,0)+MATCH("Oil",FuelPrices_Type,0)-1,MATCH(L$2,Year,0))/Prices!L$12</f>
        <v>3.1680912706293727</v>
      </c>
      <c r="M832" s="34">
        <f>INDEX(FuelPrices_Industrial,MATCH("Alberta",FuelPrices_Region,0)+MATCH("Oil",FuelPrices_Type,0)-1,MATCH(M$2,Year,0))/Prices!M$12</f>
        <v>2.9650980293385198</v>
      </c>
      <c r="N832" s="34">
        <f>INDEX(FuelPrices_Industrial,MATCH("Alberta",FuelPrices_Region,0)+MATCH("Oil",FuelPrices_Type,0)-1,MATCH(N$2,Year,0))/Prices!N$12</f>
        <v>2.9424996321635044</v>
      </c>
      <c r="O832" s="34">
        <f>INDEX(FuelPrices_Industrial,MATCH("Alberta",FuelPrices_Region,0)+MATCH("Oil",FuelPrices_Type,0)-1,MATCH(O$2,Year,0))/Prices!O$12</f>
        <v>2.9076604365186882</v>
      </c>
      <c r="P832" s="34">
        <f>INDEX(FuelPrices_Industrial,MATCH("Alberta",FuelPrices_Region,0)+MATCH("Oil",FuelPrices_Type,0)-1,MATCH(P$2,Year,0))/Prices!P$12</f>
        <v>2.9076604365186882</v>
      </c>
      <c r="Q832" s="34">
        <f>INDEX(FuelPrices_Industrial,MATCH("Alberta",FuelPrices_Region,0)+MATCH("Oil",FuelPrices_Type,0)-1,MATCH(Q$2,Year,0))/Prices!Q$12</f>
        <v>2.9076604365186882</v>
      </c>
      <c r="R832" s="5"/>
      <c r="S832" s="13"/>
      <c r="T832" s="5"/>
    </row>
    <row r="833" spans="1:20" s="3" customFormat="1" x14ac:dyDescent="0.25">
      <c r="A833" s="21" t="s">
        <v>450</v>
      </c>
      <c r="B833" s="15" t="s">
        <v>269</v>
      </c>
      <c r="C833" s="25" t="s">
        <v>281</v>
      </c>
      <c r="D833" s="15"/>
      <c r="E833" s="15" t="s">
        <v>322</v>
      </c>
      <c r="F833" s="16" t="s">
        <v>13</v>
      </c>
      <c r="G833" s="34">
        <f>INDEX(FuelPrices_Industrial,MATCH("Alberta",FuelPrices_Region,0)+MATCH("Oil",FuelPrices_Type,0)-1,MATCH(G$2,Year,0))/Prices!G$12</f>
        <v>3.713594017570093</v>
      </c>
      <c r="H833" s="34">
        <f>INDEX(FuelPrices_Industrial,MATCH("Alberta",FuelPrices_Region,0)+MATCH("Oil",FuelPrices_Type,0)-1,MATCH(H$2,Year,0))/Prices!H$12</f>
        <v>3.7562051565968173</v>
      </c>
      <c r="I833" s="34">
        <f>INDEX(FuelPrices_Industrial,MATCH("Alberta",FuelPrices_Region,0)+MATCH("Oil",FuelPrices_Type,0)-1,MATCH(I$2,Year,0))/Prices!I$12</f>
        <v>2.2048627745400187</v>
      </c>
      <c r="J833" s="34">
        <f>INDEX(FuelPrices_Industrial,MATCH("Alberta",FuelPrices_Region,0)+MATCH("Oil",FuelPrices_Type,0)-1,MATCH(J$2,Year,0))/Prices!J$12</f>
        <v>3.7962319002957341</v>
      </c>
      <c r="K833" s="34">
        <f>INDEX(FuelPrices_Industrial,MATCH("Alberta",FuelPrices_Region,0)+MATCH("Oil",FuelPrices_Type,0)-1,MATCH(K$2,Year,0))/Prices!K$12</f>
        <v>5.5729559285078665</v>
      </c>
      <c r="L833" s="34">
        <f>INDEX(FuelPrices_Industrial,MATCH("Alberta",FuelPrices_Region,0)+MATCH("Oil",FuelPrices_Type,0)-1,MATCH(L$2,Year,0))/Prices!L$12</f>
        <v>3.1680912706293727</v>
      </c>
      <c r="M833" s="34">
        <f>INDEX(FuelPrices_Industrial,MATCH("Alberta",FuelPrices_Region,0)+MATCH("Oil",FuelPrices_Type,0)-1,MATCH(M$2,Year,0))/Prices!M$12</f>
        <v>2.9650980293385198</v>
      </c>
      <c r="N833" s="34">
        <f>INDEX(FuelPrices_Industrial,MATCH("Alberta",FuelPrices_Region,0)+MATCH("Oil",FuelPrices_Type,0)-1,MATCH(N$2,Year,0))/Prices!N$12</f>
        <v>2.9424996321635044</v>
      </c>
      <c r="O833" s="34">
        <f>INDEX(FuelPrices_Industrial,MATCH("Alberta",FuelPrices_Region,0)+MATCH("Oil",FuelPrices_Type,0)-1,MATCH(O$2,Year,0))/Prices!O$12</f>
        <v>2.9076604365186882</v>
      </c>
      <c r="P833" s="34">
        <f>INDEX(FuelPrices_Industrial,MATCH("Alberta",FuelPrices_Region,0)+MATCH("Oil",FuelPrices_Type,0)-1,MATCH(P$2,Year,0))/Prices!P$12</f>
        <v>2.9076604365186882</v>
      </c>
      <c r="Q833" s="34">
        <f>INDEX(FuelPrices_Industrial,MATCH("Alberta",FuelPrices_Region,0)+MATCH("Oil",FuelPrices_Type,0)-1,MATCH(Q$2,Year,0))/Prices!Q$12</f>
        <v>2.9076604365186882</v>
      </c>
      <c r="R833" s="5"/>
      <c r="S833" s="13"/>
      <c r="T833" s="5"/>
    </row>
    <row r="834" spans="1:20" s="3" customFormat="1" x14ac:dyDescent="0.25">
      <c r="A834" s="21" t="s">
        <v>450</v>
      </c>
      <c r="B834" s="15" t="s">
        <v>269</v>
      </c>
      <c r="C834" s="25" t="s">
        <v>281</v>
      </c>
      <c r="D834" s="15"/>
      <c r="E834" s="15" t="s">
        <v>322</v>
      </c>
      <c r="F834" s="16" t="s">
        <v>14</v>
      </c>
      <c r="G834" s="34">
        <f>INDEX(FuelPrices_Industrial,MATCH("Alberta",FuelPrices_Region,0)+MATCH("Natural Gas",FuelPrices_Type,0)-1,MATCH(G$2,Year,0))/Prices!G$15</f>
        <v>1.5282088982789364</v>
      </c>
      <c r="H834" s="34">
        <f>INDEX(FuelPrices_Industrial,MATCH("Alberta",FuelPrices_Region,0)+MATCH("Natural Gas",FuelPrices_Type,0)-1,MATCH(H$2,Year,0))/Prices!H$15</f>
        <v>1.5457443840700189</v>
      </c>
      <c r="I834" s="34">
        <f>INDEX(FuelPrices_Industrial,MATCH("Alberta",FuelPrices_Region,0)+MATCH("Natural Gas",FuelPrices_Type,0)-1,MATCH(I$2,Year,0))/Prices!I$15</f>
        <v>1.9723349612774701</v>
      </c>
      <c r="J834" s="34">
        <f>INDEX(FuelPrices_Industrial,MATCH("Alberta",FuelPrices_Region,0)+MATCH("Natural Gas",FuelPrices_Type,0)-1,MATCH(J$2,Year,0))/Prices!J$15</f>
        <v>1.4950194997688102</v>
      </c>
      <c r="K834" s="34">
        <f>INDEX(FuelPrices_Industrial,MATCH("Alberta",FuelPrices_Region,0)+MATCH("Natural Gas",FuelPrices_Type,0)-1,MATCH(K$2,Year,0))/Prices!K$15</f>
        <v>3.350280691170624</v>
      </c>
      <c r="L834" s="34">
        <f>INDEX(FuelPrices_Industrial,MATCH("Alberta",FuelPrices_Region,0)+MATCH("Natural Gas",FuelPrices_Type,0)-1,MATCH(L$2,Year,0))/Prices!L$15</f>
        <v>2.8114396323863913</v>
      </c>
      <c r="M834" s="34">
        <f>INDEX(FuelPrices_Industrial,MATCH("Alberta",FuelPrices_Region,0)+MATCH("Natural Gas",FuelPrices_Type,0)-1,MATCH(M$2,Year,0))/Prices!M$15</f>
        <v>2.4301046420728545</v>
      </c>
      <c r="N834" s="34">
        <f>INDEX(FuelPrices_Industrial,MATCH("Alberta",FuelPrices_Region,0)+MATCH("Natural Gas",FuelPrices_Type,0)-1,MATCH(N$2,Year,0))/Prices!N$15</f>
        <v>2.1065653373010944</v>
      </c>
      <c r="O834" s="34">
        <f>INDEX(FuelPrices_Industrial,MATCH("Alberta",FuelPrices_Region,0)+MATCH("Natural Gas",FuelPrices_Type,0)-1,MATCH(O$2,Year,0))/Prices!O$15</f>
        <v>1.9786460787456583</v>
      </c>
      <c r="P834" s="34">
        <f>INDEX(FuelPrices_Industrial,MATCH("Alberta",FuelPrices_Region,0)+MATCH("Natural Gas",FuelPrices_Type,0)-1,MATCH(P$2,Year,0))/Prices!P$15</f>
        <v>1.9786460787456583</v>
      </c>
      <c r="Q834" s="34">
        <f>INDEX(FuelPrices_Industrial,MATCH("Alberta",FuelPrices_Region,0)+MATCH("Natural Gas",FuelPrices_Type,0)-1,MATCH(Q$2,Year,0))/Prices!Q$15</f>
        <v>1.9786460787456583</v>
      </c>
      <c r="R834" s="5"/>
      <c r="S834" s="13"/>
      <c r="T834" s="5"/>
    </row>
    <row r="835" spans="1:20" s="3" customFormat="1" x14ac:dyDescent="0.25">
      <c r="A835" s="21" t="s">
        <v>450</v>
      </c>
      <c r="B835" s="15" t="s">
        <v>269</v>
      </c>
      <c r="C835" s="25" t="s">
        <v>281</v>
      </c>
      <c r="D835" s="15"/>
      <c r="E835" s="15" t="s">
        <v>322</v>
      </c>
      <c r="F835" s="16" t="s">
        <v>2</v>
      </c>
      <c r="G835" s="34">
        <v>2</v>
      </c>
      <c r="H835" s="34">
        <v>2</v>
      </c>
      <c r="I835" s="34">
        <v>2</v>
      </c>
      <c r="J835" s="34">
        <v>2</v>
      </c>
      <c r="K835" s="34">
        <v>2</v>
      </c>
      <c r="L835" s="34">
        <v>2</v>
      </c>
      <c r="M835" s="34">
        <v>2</v>
      </c>
      <c r="N835" s="34">
        <v>2</v>
      </c>
      <c r="O835" s="34">
        <v>2</v>
      </c>
      <c r="P835" s="34">
        <v>2</v>
      </c>
      <c r="Q835" s="34">
        <v>2</v>
      </c>
      <c r="R835" s="5"/>
      <c r="S835" s="13"/>
      <c r="T835" s="5"/>
    </row>
    <row r="836" spans="1:20" s="3" customFormat="1" x14ac:dyDescent="0.25">
      <c r="A836" s="21" t="s">
        <v>450</v>
      </c>
      <c r="B836" s="15" t="s">
        <v>269</v>
      </c>
      <c r="C836" s="25" t="s">
        <v>281</v>
      </c>
      <c r="D836" s="15"/>
      <c r="E836" s="15" t="s">
        <v>322</v>
      </c>
      <c r="F836" s="16" t="s">
        <v>15</v>
      </c>
      <c r="G836" s="34">
        <v>1.1000000000000001</v>
      </c>
      <c r="H836" s="34">
        <v>1.1000000000000001</v>
      </c>
      <c r="I836" s="34">
        <v>1.1000000000000001</v>
      </c>
      <c r="J836" s="34">
        <v>1.1000000000000001</v>
      </c>
      <c r="K836" s="34">
        <v>1.1000000000000001</v>
      </c>
      <c r="L836" s="34">
        <v>1.1000000000000001</v>
      </c>
      <c r="M836" s="34">
        <v>1.1000000000000001</v>
      </c>
      <c r="N836" s="34">
        <v>1.1000000000000001</v>
      </c>
      <c r="O836" s="34">
        <v>1.1000000000000001</v>
      </c>
      <c r="P836" s="34">
        <v>1.1000000000000001</v>
      </c>
      <c r="Q836" s="34">
        <v>1.1000000000000001</v>
      </c>
      <c r="R836" s="5"/>
      <c r="S836" s="13"/>
      <c r="T836" s="5"/>
    </row>
    <row r="837" spans="1:20" s="3" customFormat="1" x14ac:dyDescent="0.25">
      <c r="A837" s="21" t="s">
        <v>450</v>
      </c>
      <c r="B837" t="s">
        <v>11</v>
      </c>
      <c r="C837" s="13"/>
      <c r="D837" s="2"/>
      <c r="E837" s="2" t="s">
        <v>323</v>
      </c>
      <c r="F837" s="14" t="s">
        <v>17</v>
      </c>
      <c r="G837" s="282">
        <v>0</v>
      </c>
      <c r="H837" s="282">
        <v>0</v>
      </c>
      <c r="I837" s="282">
        <v>0</v>
      </c>
      <c r="J837" s="282">
        <v>0</v>
      </c>
      <c r="K837" s="282">
        <v>0</v>
      </c>
      <c r="L837" s="282">
        <v>0</v>
      </c>
      <c r="M837" s="282">
        <v>0</v>
      </c>
      <c r="N837" s="282">
        <v>0</v>
      </c>
      <c r="O837" s="282">
        <v>0</v>
      </c>
      <c r="P837" s="282">
        <v>0</v>
      </c>
      <c r="Q837" s="282">
        <v>0</v>
      </c>
      <c r="R837" s="5"/>
      <c r="S837" s="13"/>
      <c r="T837" s="5"/>
    </row>
    <row r="838" spans="1:20" s="3" customFormat="1" x14ac:dyDescent="0.25">
      <c r="A838" s="21" t="s">
        <v>450</v>
      </c>
      <c r="B838" t="s">
        <v>11</v>
      </c>
      <c r="C838" s="13"/>
      <c r="D838" s="2"/>
      <c r="E838" s="2" t="s">
        <v>323</v>
      </c>
      <c r="F838" s="14" t="s">
        <v>18</v>
      </c>
      <c r="G838" s="282">
        <v>0</v>
      </c>
      <c r="H838" s="282">
        <v>0</v>
      </c>
      <c r="I838" s="282">
        <v>0</v>
      </c>
      <c r="J838" s="282">
        <v>0</v>
      </c>
      <c r="K838" s="282">
        <v>0</v>
      </c>
      <c r="L838" s="282">
        <v>0</v>
      </c>
      <c r="M838" s="282">
        <v>0</v>
      </c>
      <c r="N838" s="282">
        <v>0</v>
      </c>
      <c r="O838" s="282">
        <v>0</v>
      </c>
      <c r="P838" s="282">
        <v>0</v>
      </c>
      <c r="Q838" s="282">
        <v>0</v>
      </c>
      <c r="R838" s="5"/>
      <c r="S838" s="13"/>
      <c r="T838" s="5"/>
    </row>
    <row r="839" spans="1:20" s="3" customFormat="1" x14ac:dyDescent="0.25">
      <c r="A839" s="21" t="s">
        <v>450</v>
      </c>
      <c r="B839" t="s">
        <v>11</v>
      </c>
      <c r="C839" s="13"/>
      <c r="D839" s="2"/>
      <c r="E839" s="2" t="s">
        <v>323</v>
      </c>
      <c r="F839" s="14" t="s">
        <v>19</v>
      </c>
      <c r="G839" s="282">
        <v>0</v>
      </c>
      <c r="H839" s="282">
        <v>0</v>
      </c>
      <c r="I839" s="282">
        <v>0</v>
      </c>
      <c r="J839" s="282">
        <v>0</v>
      </c>
      <c r="K839" s="282">
        <v>0</v>
      </c>
      <c r="L839" s="282">
        <v>0</v>
      </c>
      <c r="M839" s="282">
        <v>0</v>
      </c>
      <c r="N839" s="282">
        <v>0</v>
      </c>
      <c r="O839" s="282">
        <v>0</v>
      </c>
      <c r="P839" s="282">
        <v>0</v>
      </c>
      <c r="Q839" s="282">
        <v>0</v>
      </c>
      <c r="R839" s="5"/>
      <c r="S839" s="13"/>
      <c r="T839" s="5"/>
    </row>
    <row r="840" spans="1:20" s="3" customFormat="1" x14ac:dyDescent="0.25">
      <c r="A840" s="21" t="s">
        <v>450</v>
      </c>
      <c r="B840" t="s">
        <v>312</v>
      </c>
      <c r="C840" s="13" t="s">
        <v>297</v>
      </c>
      <c r="D840" s="2"/>
      <c r="E840" s="2" t="s">
        <v>250</v>
      </c>
      <c r="F840" s="14" t="s">
        <v>17</v>
      </c>
      <c r="G840" s="282">
        <f>IFERROR(INDEX(CO2_GJ,MATCH($F$825,CoeffIndex,0),MATCH(G$2,CoeffYear,0)),F840)</f>
        <v>0</v>
      </c>
      <c r="H840" s="282">
        <f>IFERROR(INDEX(CO2_GJ,MATCH($F$825,CoeffIndex,0),MATCH(H$2,CoeffYear,0)),G840)</f>
        <v>0</v>
      </c>
      <c r="I840" s="282">
        <f>IFERROR(INDEX(CO2_GJ,MATCH($F$825,CoeffIndex,0),MATCH(I$2,CoeffYear,0)),H840)</f>
        <v>0</v>
      </c>
      <c r="J840" s="282">
        <f>IFERROR(INDEX(CO2_GJ,MATCH($F$825,CoeffIndex,0),MATCH(J$2,CoeffYear,0)),I840)</f>
        <v>0</v>
      </c>
      <c r="K840" s="282">
        <f>IFERROR(INDEX(CO2_GJ,MATCH($F$825,CoeffIndex,0),MATCH(K$2,CoeffYear,0)),J840)</f>
        <v>0</v>
      </c>
      <c r="L840" s="282">
        <f>IFERROR(INDEX(CO2_GJ,MATCH($F$825,CoeffIndex,0),MATCH(L$2,CoeffYear,0)),K840)</f>
        <v>0</v>
      </c>
      <c r="M840" s="282">
        <f>IFERROR(INDEX(CO2_GJ,MATCH($F$825,CoeffIndex,0),MATCH(M$2,CoeffYear,0)),L840)</f>
        <v>0</v>
      </c>
      <c r="N840" s="282">
        <f>IFERROR(INDEX(CO2_GJ,MATCH($F$825,CoeffIndex,0),MATCH(N$2,CoeffYear,0)),M840)</f>
        <v>0</v>
      </c>
      <c r="O840" s="282">
        <f>IFERROR(INDEX(CO2_GJ,MATCH($F$825,CoeffIndex,0),MATCH(O$2,CoeffYear,0)),N840)</f>
        <v>0</v>
      </c>
      <c r="P840" s="282">
        <f>IFERROR(INDEX(CO2_GJ,MATCH($F$825,CoeffIndex,0),MATCH(P$2,CoeffYear,0)),O840)</f>
        <v>0</v>
      </c>
      <c r="Q840" s="282">
        <f>IFERROR(INDEX(CO2_GJ,MATCH($F$825,CoeffIndex,0),MATCH(Q$2,CoeffYear,0)),P840)</f>
        <v>0</v>
      </c>
      <c r="R840" s="5"/>
      <c r="S840" s="13"/>
      <c r="T840" s="5"/>
    </row>
    <row r="841" spans="1:20" s="3" customFormat="1" x14ac:dyDescent="0.25">
      <c r="A841" s="21" t="s">
        <v>450</v>
      </c>
      <c r="B841" t="s">
        <v>312</v>
      </c>
      <c r="C841" s="13" t="s">
        <v>297</v>
      </c>
      <c r="D841" s="2"/>
      <c r="E841" s="2" t="s">
        <v>250</v>
      </c>
      <c r="F841" s="14" t="s">
        <v>18</v>
      </c>
      <c r="G841" s="282">
        <f>IFERROR(INDEX(CH4_GJ,MATCH($F$825,CoeffIndex,0),MATCH(G$2,CoeffYear,0)),F841)</f>
        <v>0</v>
      </c>
      <c r="H841" s="282">
        <f>IFERROR(INDEX(CH4_GJ,MATCH($F$825,CoeffIndex,0),MATCH(H$2,CoeffYear,0)),G841)</f>
        <v>0</v>
      </c>
      <c r="I841" s="282">
        <f>IFERROR(INDEX(CH4_GJ,MATCH($F$825,CoeffIndex,0),MATCH(I$2,CoeffYear,0)),H841)</f>
        <v>0</v>
      </c>
      <c r="J841" s="282">
        <f>IFERROR(INDEX(CH4_GJ,MATCH($F$825,CoeffIndex,0),MATCH(J$2,CoeffYear,0)),I841)</f>
        <v>0</v>
      </c>
      <c r="K841" s="282">
        <f>IFERROR(INDEX(CH4_GJ,MATCH($F$825,CoeffIndex,0),MATCH(K$2,CoeffYear,0)),J841)</f>
        <v>0</v>
      </c>
      <c r="L841" s="282">
        <f>IFERROR(INDEX(CH4_GJ,MATCH($F$825,CoeffIndex,0),MATCH(L$2,CoeffYear,0)),K841)</f>
        <v>0</v>
      </c>
      <c r="M841" s="282">
        <f>IFERROR(INDEX(CH4_GJ,MATCH($F$825,CoeffIndex,0),MATCH(M$2,CoeffYear,0)),L841)</f>
        <v>0</v>
      </c>
      <c r="N841" s="282">
        <f>IFERROR(INDEX(CH4_GJ,MATCH($F$825,CoeffIndex,0),MATCH(N$2,CoeffYear,0)),M841)</f>
        <v>0</v>
      </c>
      <c r="O841" s="282">
        <f>IFERROR(INDEX(CH4_GJ,MATCH($F$825,CoeffIndex,0),MATCH(O$2,CoeffYear,0)),N841)</f>
        <v>0</v>
      </c>
      <c r="P841" s="282">
        <f>IFERROR(INDEX(CH4_GJ,MATCH($F$825,CoeffIndex,0),MATCH(P$2,CoeffYear,0)),O841)</f>
        <v>0</v>
      </c>
      <c r="Q841" s="282">
        <f>IFERROR(INDEX(CH4_GJ,MATCH($F$825,CoeffIndex,0),MATCH(Q$2,CoeffYear,0)),P841)</f>
        <v>0</v>
      </c>
      <c r="R841" s="5"/>
      <c r="S841" s="13"/>
      <c r="T841" s="5"/>
    </row>
    <row r="842" spans="1:20" s="3" customFormat="1" x14ac:dyDescent="0.25">
      <c r="A842" s="21" t="s">
        <v>450</v>
      </c>
      <c r="B842" t="s">
        <v>312</v>
      </c>
      <c r="C842" s="13" t="s">
        <v>297</v>
      </c>
      <c r="D842" s="2"/>
      <c r="E842" s="2" t="s">
        <v>250</v>
      </c>
      <c r="F842" s="14" t="s">
        <v>19</v>
      </c>
      <c r="G842" s="282">
        <f>IFERROR(INDEX(N2O_GJ,MATCH($F$825,CoeffIndex,0),MATCH(G$2,CoeffYear,0)),F842)</f>
        <v>0</v>
      </c>
      <c r="H842" s="282">
        <f>IFERROR(INDEX(N2O_GJ,MATCH($F$825,CoeffIndex,0),MATCH(H$2,CoeffYear,0)),G842)</f>
        <v>0</v>
      </c>
      <c r="I842" s="282">
        <f>IFERROR(INDEX(N2O_GJ,MATCH($F$825,CoeffIndex,0),MATCH(I$2,CoeffYear,0)),H842)</f>
        <v>0</v>
      </c>
      <c r="J842" s="282">
        <f>IFERROR(INDEX(N2O_GJ,MATCH($F$825,CoeffIndex,0),MATCH(J$2,CoeffYear,0)),I842)</f>
        <v>0</v>
      </c>
      <c r="K842" s="282">
        <f>IFERROR(INDEX(N2O_GJ,MATCH($F$825,CoeffIndex,0),MATCH(K$2,CoeffYear,0)),J842)</f>
        <v>0</v>
      </c>
      <c r="L842" s="282">
        <f>IFERROR(INDEX(N2O_GJ,MATCH($F$825,CoeffIndex,0),MATCH(L$2,CoeffYear,0)),K842)</f>
        <v>0</v>
      </c>
      <c r="M842" s="282">
        <f>IFERROR(INDEX(N2O_GJ,MATCH($F$825,CoeffIndex,0),MATCH(M$2,CoeffYear,0)),L842)</f>
        <v>0</v>
      </c>
      <c r="N842" s="282">
        <f>IFERROR(INDEX(N2O_GJ,MATCH($F$825,CoeffIndex,0),MATCH(N$2,CoeffYear,0)),M842)</f>
        <v>0</v>
      </c>
      <c r="O842" s="282">
        <f>IFERROR(INDEX(N2O_GJ,MATCH($F$825,CoeffIndex,0),MATCH(O$2,CoeffYear,0)),N842)</f>
        <v>0</v>
      </c>
      <c r="P842" s="282">
        <f>IFERROR(INDEX(N2O_GJ,MATCH($F$825,CoeffIndex,0),MATCH(P$2,CoeffYear,0)),O842)</f>
        <v>0</v>
      </c>
      <c r="Q842" s="282">
        <f>IFERROR(INDEX(N2O_GJ,MATCH($F$825,CoeffIndex,0),MATCH(Q$2,CoeffYear,0)),P842)</f>
        <v>0</v>
      </c>
      <c r="R842" s="5"/>
      <c r="S842" s="13"/>
      <c r="T842" s="5"/>
    </row>
    <row r="843" spans="1:20" s="3" customFormat="1" x14ac:dyDescent="0.25">
      <c r="A843" s="21" t="s">
        <v>450</v>
      </c>
      <c r="B843" t="s">
        <v>306</v>
      </c>
      <c r="C843" s="13" t="s">
        <v>296</v>
      </c>
      <c r="D843" s="2" t="s">
        <v>470</v>
      </c>
      <c r="E843" s="15" t="s">
        <v>345</v>
      </c>
      <c r="F843" s="26"/>
      <c r="G843" s="282">
        <f>1/3.6</f>
        <v>0.27777777777777779</v>
      </c>
      <c r="H843" s="282">
        <f t="shared" ref="H843:Q843" si="107">1/3.6</f>
        <v>0.27777777777777779</v>
      </c>
      <c r="I843" s="282">
        <f t="shared" si="107"/>
        <v>0.27777777777777779</v>
      </c>
      <c r="J843" s="282">
        <f t="shared" si="107"/>
        <v>0.27777777777777779</v>
      </c>
      <c r="K843" s="282">
        <f t="shared" si="107"/>
        <v>0.27777777777777779</v>
      </c>
      <c r="L843" s="282">
        <f t="shared" si="107"/>
        <v>0.27777777777777779</v>
      </c>
      <c r="M843" s="282">
        <f t="shared" si="107"/>
        <v>0.27777777777777779</v>
      </c>
      <c r="N843" s="282">
        <f t="shared" si="107"/>
        <v>0.27777777777777779</v>
      </c>
      <c r="O843" s="282">
        <f t="shared" si="107"/>
        <v>0.27777777777777779</v>
      </c>
      <c r="P843" s="282">
        <f t="shared" si="107"/>
        <v>0.27777777777777779</v>
      </c>
      <c r="Q843" s="282">
        <f t="shared" si="107"/>
        <v>0.27777777777777779</v>
      </c>
      <c r="R843" s="5"/>
      <c r="S843" s="13"/>
      <c r="T843" s="5"/>
    </row>
    <row r="844" spans="1:20" s="3" customFormat="1" x14ac:dyDescent="0.25">
      <c r="A844" s="21" t="s">
        <v>450</v>
      </c>
      <c r="C844" s="13"/>
      <c r="F844" s="9"/>
      <c r="R844" s="5"/>
      <c r="S844" s="13"/>
      <c r="T844" s="5"/>
    </row>
    <row r="845" spans="1:20" s="3" customFormat="1" x14ac:dyDescent="0.25">
      <c r="A845" s="359" t="s">
        <v>4</v>
      </c>
      <c r="C845" s="13"/>
      <c r="F845" s="9"/>
      <c r="R845" s="5"/>
      <c r="S845" s="13"/>
      <c r="T845" s="5"/>
    </row>
    <row r="846" spans="1:20" s="3" customFormat="1" x14ac:dyDescent="0.25">
      <c r="A846" s="21" t="s">
        <v>450</v>
      </c>
      <c r="B846" s="15" t="s">
        <v>305</v>
      </c>
      <c r="C846" s="13"/>
      <c r="D846" s="15" t="s">
        <v>470</v>
      </c>
      <c r="E846" s="15" t="s">
        <v>191</v>
      </c>
      <c r="F846" s="202" t="str">
        <f>A845</f>
        <v>Generation</v>
      </c>
      <c r="G846" s="225"/>
      <c r="H846" s="225"/>
      <c r="I846" s="225"/>
      <c r="J846" s="225"/>
      <c r="K846" s="225"/>
      <c r="L846" s="225"/>
      <c r="M846" s="225"/>
      <c r="N846" s="225"/>
      <c r="O846" s="225"/>
      <c r="P846" s="225"/>
      <c r="Q846" s="225"/>
      <c r="R846" s="5"/>
      <c r="S846" s="13"/>
      <c r="T846" s="5"/>
    </row>
    <row r="847" spans="1:20" s="3" customFormat="1" x14ac:dyDescent="0.25">
      <c r="A847" s="21" t="s">
        <v>450</v>
      </c>
      <c r="B847" s="67" t="s">
        <v>47</v>
      </c>
      <c r="C847" s="25"/>
      <c r="D847" s="2"/>
      <c r="E847" s="2"/>
      <c r="F847" s="202" t="s">
        <v>22</v>
      </c>
      <c r="G847" s="4"/>
      <c r="H847" s="4"/>
      <c r="I847" s="4"/>
      <c r="J847" s="4"/>
      <c r="K847" s="4"/>
      <c r="L847" s="4"/>
      <c r="M847" s="4"/>
      <c r="N847" s="4"/>
      <c r="O847" s="4"/>
      <c r="P847" s="4"/>
      <c r="Q847" s="4"/>
      <c r="R847" s="5"/>
      <c r="S847" s="25"/>
      <c r="T847" s="5"/>
    </row>
    <row r="848" spans="1:20" s="3" customFormat="1" x14ac:dyDescent="0.25">
      <c r="A848" s="21" t="s">
        <v>450</v>
      </c>
      <c r="B848" s="2" t="s">
        <v>126</v>
      </c>
      <c r="C848" s="13"/>
      <c r="D848" s="2"/>
      <c r="E848" s="2" t="s">
        <v>191</v>
      </c>
      <c r="F848" s="16"/>
      <c r="G848" s="225">
        <f>1084490/3.6</f>
        <v>301247.22222222219</v>
      </c>
      <c r="H848" s="229"/>
      <c r="I848" s="229"/>
      <c r="J848" s="229"/>
      <c r="K848" s="229"/>
      <c r="L848" s="229"/>
      <c r="M848" s="229"/>
      <c r="N848" s="229"/>
      <c r="O848" s="229"/>
      <c r="P848" s="229"/>
      <c r="Q848" s="229"/>
      <c r="R848" s="5"/>
      <c r="S848" s="13"/>
      <c r="T848" s="5"/>
    </row>
    <row r="849" spans="1:20" s="3" customFormat="1" x14ac:dyDescent="0.25">
      <c r="A849" s="21" t="s">
        <v>450</v>
      </c>
      <c r="B849" s="2" t="s">
        <v>335</v>
      </c>
      <c r="C849" s="13"/>
      <c r="D849" s="2"/>
      <c r="E849" s="2" t="s">
        <v>191</v>
      </c>
      <c r="F849" s="16"/>
      <c r="G849" s="225">
        <f>G848</f>
        <v>301247.22222222219</v>
      </c>
      <c r="H849" s="281">
        <f t="shared" ref="H849:Q849" si="108">$G849*0.8</f>
        <v>240997.77777777775</v>
      </c>
      <c r="I849" s="281">
        <f t="shared" si="108"/>
        <v>240997.77777777775</v>
      </c>
      <c r="J849" s="281">
        <f t="shared" si="108"/>
        <v>240997.77777777775</v>
      </c>
      <c r="K849" s="281">
        <f t="shared" si="108"/>
        <v>240997.77777777775</v>
      </c>
      <c r="L849" s="281">
        <f t="shared" si="108"/>
        <v>240997.77777777775</v>
      </c>
      <c r="M849" s="281">
        <f t="shared" si="108"/>
        <v>240997.77777777775</v>
      </c>
      <c r="N849" s="281">
        <f t="shared" si="108"/>
        <v>240997.77777777775</v>
      </c>
      <c r="O849" s="281">
        <f t="shared" si="108"/>
        <v>240997.77777777775</v>
      </c>
      <c r="P849" s="281">
        <f t="shared" si="108"/>
        <v>240997.77777777775</v>
      </c>
      <c r="Q849" s="281">
        <f t="shared" si="108"/>
        <v>240997.77777777775</v>
      </c>
      <c r="R849" s="5"/>
      <c r="S849" s="13"/>
      <c r="T849" s="5"/>
    </row>
    <row r="850" spans="1:20" s="3" customFormat="1" x14ac:dyDescent="0.25">
      <c r="A850" s="21" t="s">
        <v>450</v>
      </c>
      <c r="B850" s="15" t="s">
        <v>306</v>
      </c>
      <c r="C850" s="13"/>
      <c r="D850" s="15" t="s">
        <v>471</v>
      </c>
      <c r="E850" s="15" t="s">
        <v>346</v>
      </c>
      <c r="F850" s="16" t="s">
        <v>3</v>
      </c>
      <c r="G850" s="34">
        <v>1</v>
      </c>
      <c r="H850" s="34">
        <v>1</v>
      </c>
      <c r="I850" s="34">
        <v>1</v>
      </c>
      <c r="J850" s="34">
        <v>1</v>
      </c>
      <c r="K850" s="34">
        <v>1</v>
      </c>
      <c r="L850" s="34">
        <v>1</v>
      </c>
      <c r="M850" s="34">
        <v>1</v>
      </c>
      <c r="N850" s="34">
        <v>1</v>
      </c>
      <c r="O850" s="34">
        <v>1</v>
      </c>
      <c r="P850" s="34">
        <v>1</v>
      </c>
      <c r="Q850" s="34">
        <v>1</v>
      </c>
      <c r="R850" s="5"/>
      <c r="S850" s="13"/>
      <c r="T850" s="5"/>
    </row>
    <row r="851" spans="1:20" s="3" customFormat="1" x14ac:dyDescent="0.25">
      <c r="A851" s="21" t="s">
        <v>450</v>
      </c>
      <c r="C851" s="13"/>
      <c r="F851" s="9"/>
      <c r="R851" s="5"/>
      <c r="S851" s="13"/>
      <c r="T851" s="5"/>
    </row>
    <row r="852" spans="1:20" s="3" customFormat="1" x14ac:dyDescent="0.25">
      <c r="A852" s="359" t="s">
        <v>3</v>
      </c>
      <c r="C852" s="13"/>
      <c r="F852" s="9"/>
      <c r="R852" s="5"/>
      <c r="S852" s="13"/>
      <c r="T852" s="5"/>
    </row>
    <row r="853" spans="1:20" s="3" customFormat="1" x14ac:dyDescent="0.25">
      <c r="A853" s="21" t="s">
        <v>450</v>
      </c>
      <c r="B853" s="4" t="s">
        <v>305</v>
      </c>
      <c r="C853" s="13"/>
      <c r="D853" s="2" t="s">
        <v>471</v>
      </c>
      <c r="E853" s="3" t="s">
        <v>191</v>
      </c>
      <c r="F853" s="202" t="str">
        <f>A852</f>
        <v>Base load</v>
      </c>
      <c r="G853" s="225"/>
      <c r="H853" s="225"/>
      <c r="I853" s="225"/>
      <c r="J853" s="225"/>
      <c r="K853" s="225"/>
      <c r="L853" s="225"/>
      <c r="M853" s="225"/>
      <c r="N853" s="225"/>
      <c r="O853" s="225"/>
      <c r="P853" s="225"/>
      <c r="Q853" s="225"/>
      <c r="R853" s="5"/>
      <c r="S853" s="13"/>
      <c r="T853" s="5"/>
    </row>
    <row r="854" spans="1:20" s="3" customFormat="1" x14ac:dyDescent="0.25">
      <c r="A854" s="21" t="s">
        <v>450</v>
      </c>
      <c r="B854" s="2" t="s">
        <v>47</v>
      </c>
      <c r="C854" s="13"/>
      <c r="D854" s="2"/>
      <c r="E854" s="2"/>
      <c r="F854" s="16" t="s">
        <v>21</v>
      </c>
      <c r="R854" s="5"/>
      <c r="S854" s="13"/>
      <c r="T854" s="5"/>
    </row>
    <row r="855" spans="1:20" s="3" customFormat="1" x14ac:dyDescent="0.25">
      <c r="A855" s="21" t="s">
        <v>450</v>
      </c>
      <c r="B855" s="2" t="s">
        <v>66</v>
      </c>
      <c r="C855" s="13"/>
      <c r="D855" s="2"/>
      <c r="E855" s="2"/>
      <c r="F855" s="16" t="s">
        <v>35</v>
      </c>
      <c r="G855" s="3">
        <v>10</v>
      </c>
      <c r="H855" s="209">
        <f>G855</f>
        <v>10</v>
      </c>
      <c r="I855" s="209">
        <f t="shared" ref="I855:Q855" si="109">H855</f>
        <v>10</v>
      </c>
      <c r="J855" s="209">
        <f t="shared" si="109"/>
        <v>10</v>
      </c>
      <c r="K855" s="209">
        <f t="shared" si="109"/>
        <v>10</v>
      </c>
      <c r="L855" s="209">
        <f t="shared" si="109"/>
        <v>10</v>
      </c>
      <c r="M855" s="209">
        <f t="shared" si="109"/>
        <v>10</v>
      </c>
      <c r="N855" s="209">
        <f t="shared" si="109"/>
        <v>10</v>
      </c>
      <c r="O855" s="209">
        <f t="shared" si="109"/>
        <v>10</v>
      </c>
      <c r="P855" s="209">
        <f t="shared" si="109"/>
        <v>10</v>
      </c>
      <c r="Q855" s="209">
        <f t="shared" si="109"/>
        <v>10</v>
      </c>
      <c r="R855" s="5"/>
      <c r="S855" s="13"/>
      <c r="T855" s="5"/>
    </row>
    <row r="856" spans="1:20" s="3" customFormat="1" x14ac:dyDescent="0.25">
      <c r="A856" s="21" t="s">
        <v>450</v>
      </c>
      <c r="B856" s="67" t="s">
        <v>74</v>
      </c>
      <c r="C856" s="192"/>
      <c r="D856" s="189"/>
      <c r="E856" s="189"/>
      <c r="F856" s="190" t="s">
        <v>71</v>
      </c>
      <c r="G856" s="189"/>
      <c r="H856" s="189"/>
      <c r="I856" s="189"/>
      <c r="J856" s="189"/>
      <c r="K856" s="189"/>
      <c r="L856" s="189"/>
      <c r="M856" s="189"/>
      <c r="N856" s="189"/>
      <c r="O856" s="189"/>
      <c r="P856" s="189"/>
      <c r="Q856" s="189"/>
      <c r="R856" s="5"/>
      <c r="S856" s="13"/>
      <c r="T856" s="5"/>
    </row>
    <row r="857" spans="1:20" s="3" customFormat="1" x14ac:dyDescent="0.25">
      <c r="A857" s="21" t="s">
        <v>450</v>
      </c>
      <c r="B857" s="246" t="s">
        <v>38</v>
      </c>
      <c r="C857" s="246"/>
      <c r="D857" s="246"/>
      <c r="E857" s="246" t="s">
        <v>40</v>
      </c>
      <c r="F857" s="16" t="s">
        <v>71</v>
      </c>
      <c r="G857" s="279">
        <v>2000</v>
      </c>
      <c r="H857" s="278">
        <f t="shared" ref="H857:Q858" si="110">G857</f>
        <v>2000</v>
      </c>
      <c r="I857" s="278">
        <f t="shared" si="110"/>
        <v>2000</v>
      </c>
      <c r="J857" s="278">
        <f t="shared" si="110"/>
        <v>2000</v>
      </c>
      <c r="K857" s="278">
        <f t="shared" si="110"/>
        <v>2000</v>
      </c>
      <c r="L857" s="278">
        <f t="shared" si="110"/>
        <v>2000</v>
      </c>
      <c r="M857" s="278">
        <f t="shared" si="110"/>
        <v>2000</v>
      </c>
      <c r="N857" s="278">
        <f t="shared" si="110"/>
        <v>2000</v>
      </c>
      <c r="O857" s="278">
        <f t="shared" si="110"/>
        <v>2000</v>
      </c>
      <c r="P857" s="278">
        <f t="shared" si="110"/>
        <v>2000</v>
      </c>
      <c r="Q857" s="278">
        <f t="shared" si="110"/>
        <v>2000</v>
      </c>
      <c r="R857" s="5"/>
      <c r="S857" s="25"/>
      <c r="T857" s="5"/>
    </row>
    <row r="858" spans="1:20" s="3" customFormat="1" x14ac:dyDescent="0.25">
      <c r="A858" s="21" t="s">
        <v>450</v>
      </c>
      <c r="B858" s="246" t="s">
        <v>37</v>
      </c>
      <c r="C858" s="246"/>
      <c r="D858" s="246"/>
      <c r="E858" s="246" t="s">
        <v>40</v>
      </c>
      <c r="F858" s="16" t="s">
        <v>71</v>
      </c>
      <c r="G858" s="279">
        <v>2100</v>
      </c>
      <c r="H858" s="278">
        <f t="shared" si="110"/>
        <v>2100</v>
      </c>
      <c r="I858" s="278">
        <f t="shared" si="110"/>
        <v>2100</v>
      </c>
      <c r="J858" s="278">
        <f t="shared" si="110"/>
        <v>2100</v>
      </c>
      <c r="K858" s="278">
        <f t="shared" si="110"/>
        <v>2100</v>
      </c>
      <c r="L858" s="278">
        <f t="shared" si="110"/>
        <v>2100</v>
      </c>
      <c r="M858" s="278">
        <f t="shared" si="110"/>
        <v>2100</v>
      </c>
      <c r="N858" s="278">
        <f t="shared" si="110"/>
        <v>2100</v>
      </c>
      <c r="O858" s="278">
        <f t="shared" si="110"/>
        <v>2100</v>
      </c>
      <c r="P858" s="278">
        <f t="shared" si="110"/>
        <v>2100</v>
      </c>
      <c r="Q858" s="278">
        <f t="shared" si="110"/>
        <v>2100</v>
      </c>
      <c r="R858" s="5"/>
      <c r="S858" s="25"/>
      <c r="T858" s="5"/>
    </row>
    <row r="859" spans="1:20" s="3" customFormat="1" x14ac:dyDescent="0.25">
      <c r="A859" s="21" t="s">
        <v>450</v>
      </c>
      <c r="B859" s="246" t="s">
        <v>39</v>
      </c>
      <c r="C859" s="246"/>
      <c r="D859" s="246"/>
      <c r="E859" s="246" t="s">
        <v>10</v>
      </c>
      <c r="F859" s="16" t="s">
        <v>71</v>
      </c>
      <c r="G859" s="55"/>
      <c r="H859" s="55"/>
      <c r="I859" s="55"/>
      <c r="J859" s="55"/>
      <c r="K859" s="55"/>
      <c r="L859" s="55"/>
      <c r="M859" s="55"/>
      <c r="N859" s="55"/>
      <c r="O859" s="55"/>
      <c r="P859" s="55"/>
      <c r="Q859" s="55"/>
      <c r="R859" s="5"/>
      <c r="S859" s="25"/>
      <c r="T859" s="5"/>
    </row>
    <row r="860" spans="1:20" s="3" customFormat="1" x14ac:dyDescent="0.25">
      <c r="A860" s="21" t="s">
        <v>450</v>
      </c>
      <c r="B860" s="246" t="s">
        <v>361</v>
      </c>
      <c r="C860" s="246"/>
      <c r="D860" s="246"/>
      <c r="E860" s="246" t="s">
        <v>10</v>
      </c>
      <c r="F860" s="16" t="s">
        <v>71</v>
      </c>
      <c r="G860" s="55"/>
      <c r="H860" s="55"/>
      <c r="I860" s="55"/>
      <c r="J860" s="55"/>
      <c r="K860" s="55"/>
      <c r="L860" s="55"/>
      <c r="M860" s="55"/>
      <c r="N860" s="55"/>
      <c r="O860" s="55"/>
      <c r="P860" s="55"/>
      <c r="Q860" s="55"/>
      <c r="R860" s="5"/>
      <c r="S860" s="25"/>
      <c r="T860" s="5"/>
    </row>
    <row r="861" spans="1:20" s="3" customFormat="1" x14ac:dyDescent="0.25">
      <c r="A861" s="21" t="s">
        <v>450</v>
      </c>
      <c r="B861" s="246" t="s">
        <v>309</v>
      </c>
      <c r="C861" s="246"/>
      <c r="D861" s="246"/>
      <c r="E861" s="246" t="s">
        <v>97</v>
      </c>
      <c r="F861" s="16" t="s">
        <v>71</v>
      </c>
      <c r="G861" s="271"/>
      <c r="H861" s="271"/>
      <c r="I861" s="271"/>
      <c r="J861" s="271"/>
      <c r="K861" s="271"/>
      <c r="L861" s="271"/>
      <c r="M861" s="271"/>
      <c r="N861" s="271"/>
      <c r="O861" s="271"/>
      <c r="P861" s="271"/>
      <c r="Q861" s="271"/>
      <c r="R861" s="5"/>
      <c r="S861" s="25"/>
      <c r="T861" s="5"/>
    </row>
    <row r="862" spans="1:20" s="3" customFormat="1" x14ac:dyDescent="0.25">
      <c r="A862" s="21" t="s">
        <v>450</v>
      </c>
      <c r="B862" s="246" t="s">
        <v>358</v>
      </c>
      <c r="C862" s="246"/>
      <c r="D862" s="246"/>
      <c r="E862" s="246" t="s">
        <v>97</v>
      </c>
      <c r="F862" s="16" t="s">
        <v>71</v>
      </c>
      <c r="G862" s="271"/>
      <c r="H862" s="271"/>
      <c r="I862" s="271"/>
      <c r="J862" s="271"/>
      <c r="K862" s="271"/>
      <c r="L862" s="271"/>
      <c r="M862" s="271"/>
      <c r="N862" s="271"/>
      <c r="O862" s="271"/>
      <c r="P862" s="271"/>
      <c r="Q862" s="271"/>
      <c r="R862" s="5"/>
      <c r="S862" s="25"/>
      <c r="T862" s="5"/>
    </row>
    <row r="863" spans="1:20" s="3" customFormat="1" x14ac:dyDescent="0.25">
      <c r="A863" s="21" t="s">
        <v>450</v>
      </c>
      <c r="B863" s="246" t="s">
        <v>357</v>
      </c>
      <c r="C863" s="246"/>
      <c r="D863" s="246"/>
      <c r="E863" s="246" t="s">
        <v>97</v>
      </c>
      <c r="F863" s="16" t="s">
        <v>71</v>
      </c>
      <c r="G863" s="271"/>
      <c r="H863" s="271"/>
      <c r="I863" s="271"/>
      <c r="J863" s="271"/>
      <c r="K863" s="271"/>
      <c r="L863" s="271"/>
      <c r="M863" s="271"/>
      <c r="N863" s="271"/>
      <c r="O863" s="271"/>
      <c r="P863" s="271"/>
      <c r="Q863" s="271"/>
      <c r="R863" s="5"/>
      <c r="S863" s="25"/>
      <c r="T863" s="5"/>
    </row>
    <row r="864" spans="1:20" s="3" customFormat="1" x14ac:dyDescent="0.25">
      <c r="A864" s="21" t="s">
        <v>450</v>
      </c>
      <c r="B864" s="246" t="s">
        <v>75</v>
      </c>
      <c r="C864" s="246"/>
      <c r="D864" s="246"/>
      <c r="E864" s="246" t="s">
        <v>97</v>
      </c>
      <c r="F864" s="16" t="s">
        <v>71</v>
      </c>
      <c r="G864" s="271">
        <v>0.98499999999999999</v>
      </c>
      <c r="H864" s="271"/>
      <c r="I864" s="271"/>
      <c r="J864" s="271"/>
      <c r="K864" s="271"/>
      <c r="L864" s="271"/>
      <c r="M864" s="271"/>
      <c r="N864" s="271"/>
      <c r="O864" s="271"/>
      <c r="P864" s="271"/>
      <c r="Q864" s="271"/>
      <c r="R864" s="5"/>
      <c r="S864" s="25"/>
      <c r="T864" s="5"/>
    </row>
    <row r="865" spans="1:20" s="3" customFormat="1" x14ac:dyDescent="0.25">
      <c r="A865" s="21" t="s">
        <v>450</v>
      </c>
      <c r="B865" s="68" t="s">
        <v>148</v>
      </c>
      <c r="C865" s="68"/>
      <c r="D865" s="251"/>
      <c r="E865" s="68" t="s">
        <v>97</v>
      </c>
      <c r="F865" s="16" t="s">
        <v>71</v>
      </c>
      <c r="G865" s="271"/>
      <c r="H865" s="271"/>
      <c r="I865" s="271"/>
      <c r="J865" s="271"/>
      <c r="K865" s="271"/>
      <c r="L865" s="271"/>
      <c r="M865" s="271"/>
      <c r="N865" s="271"/>
      <c r="O865" s="271"/>
      <c r="P865" s="271"/>
      <c r="Q865" s="271"/>
      <c r="R865" s="5"/>
      <c r="S865" s="25"/>
      <c r="T865" s="5"/>
    </row>
    <row r="866" spans="1:20" s="3" customFormat="1" x14ac:dyDescent="0.25">
      <c r="A866" s="21" t="s">
        <v>450</v>
      </c>
      <c r="B866" s="68" t="s">
        <v>149</v>
      </c>
      <c r="C866" s="68"/>
      <c r="D866" s="251"/>
      <c r="E866" s="68" t="s">
        <v>97</v>
      </c>
      <c r="F866" s="16" t="s">
        <v>71</v>
      </c>
      <c r="G866" s="271"/>
      <c r="H866" s="271"/>
      <c r="I866" s="271"/>
      <c r="J866" s="271"/>
      <c r="K866" s="271"/>
      <c r="L866" s="271"/>
      <c r="M866" s="271"/>
      <c r="N866" s="271"/>
      <c r="O866" s="271"/>
      <c r="P866" s="271"/>
      <c r="Q866" s="271"/>
      <c r="R866" s="5"/>
      <c r="S866" s="25"/>
      <c r="T866" s="5"/>
    </row>
    <row r="867" spans="1:20" s="3" customFormat="1" x14ac:dyDescent="0.25">
      <c r="A867" s="21" t="s">
        <v>450</v>
      </c>
      <c r="B867" s="68" t="s">
        <v>370</v>
      </c>
      <c r="C867" s="68"/>
      <c r="D867" s="251"/>
      <c r="E867" s="68" t="s">
        <v>97</v>
      </c>
      <c r="F867" s="16" t="s">
        <v>71</v>
      </c>
      <c r="G867" s="271"/>
      <c r="H867" s="271"/>
      <c r="I867" s="271"/>
      <c r="J867" s="271"/>
      <c r="K867" s="271"/>
      <c r="L867" s="271"/>
      <c r="M867" s="271"/>
      <c r="N867" s="271"/>
      <c r="O867" s="271"/>
      <c r="P867" s="271"/>
      <c r="Q867" s="271"/>
      <c r="R867" s="5"/>
      <c r="S867" s="25"/>
      <c r="T867" s="5"/>
    </row>
    <row r="868" spans="1:20" s="3" customFormat="1" x14ac:dyDescent="0.25">
      <c r="A868" s="21" t="s">
        <v>450</v>
      </c>
      <c r="B868" s="68" t="s">
        <v>371</v>
      </c>
      <c r="C868" s="68"/>
      <c r="D868" s="251"/>
      <c r="E868" s="68" t="s">
        <v>97</v>
      </c>
      <c r="F868" s="16" t="s">
        <v>71</v>
      </c>
      <c r="G868" s="271"/>
      <c r="H868" s="271"/>
      <c r="I868" s="271"/>
      <c r="J868" s="271"/>
      <c r="K868" s="271"/>
      <c r="L868" s="271"/>
      <c r="M868" s="271"/>
      <c r="N868" s="271"/>
      <c r="O868" s="271"/>
      <c r="P868" s="271"/>
      <c r="Q868" s="271"/>
      <c r="R868" s="5"/>
      <c r="S868" s="25"/>
      <c r="T868" s="5"/>
    </row>
    <row r="869" spans="1:20" s="3" customFormat="1" x14ac:dyDescent="0.25">
      <c r="A869" s="21" t="s">
        <v>450</v>
      </c>
      <c r="B869" s="246" t="s">
        <v>338</v>
      </c>
      <c r="C869" s="246"/>
      <c r="D869" s="246"/>
      <c r="E869" s="246" t="s">
        <v>191</v>
      </c>
      <c r="F869" s="16" t="s">
        <v>71</v>
      </c>
      <c r="G869" s="55"/>
      <c r="H869" s="55"/>
      <c r="I869" s="55"/>
      <c r="J869" s="55"/>
      <c r="K869" s="55"/>
      <c r="L869" s="55"/>
      <c r="M869" s="55"/>
      <c r="N869" s="55"/>
      <c r="O869" s="55"/>
      <c r="P869" s="55"/>
      <c r="Q869" s="55"/>
      <c r="R869" s="5"/>
      <c r="S869" s="25"/>
      <c r="T869" s="5"/>
    </row>
    <row r="870" spans="1:20" s="3" customFormat="1" x14ac:dyDescent="0.25">
      <c r="A870" s="21" t="s">
        <v>450</v>
      </c>
      <c r="B870" s="246" t="s">
        <v>152</v>
      </c>
      <c r="C870" s="246"/>
      <c r="D870" s="246"/>
      <c r="E870" s="246" t="s">
        <v>321</v>
      </c>
      <c r="F870" s="16" t="s">
        <v>71</v>
      </c>
      <c r="G870" s="55"/>
      <c r="H870" s="55"/>
      <c r="I870" s="55"/>
      <c r="J870" s="55"/>
      <c r="K870" s="55"/>
      <c r="L870" s="55"/>
      <c r="M870" s="55"/>
      <c r="N870" s="55"/>
      <c r="O870" s="55"/>
      <c r="P870" s="55"/>
      <c r="Q870" s="55"/>
      <c r="R870" s="5"/>
      <c r="S870" s="25"/>
      <c r="T870" s="5"/>
    </row>
    <row r="871" spans="1:20" s="3" customFormat="1" x14ac:dyDescent="0.25">
      <c r="A871" s="21" t="s">
        <v>450</v>
      </c>
      <c r="B871" s="246" t="s">
        <v>383</v>
      </c>
      <c r="C871" s="246"/>
      <c r="D871" s="246"/>
      <c r="E871" s="246" t="s">
        <v>97</v>
      </c>
      <c r="F871" s="16" t="s">
        <v>71</v>
      </c>
      <c r="G871" s="271"/>
      <c r="H871" s="271"/>
      <c r="I871" s="271"/>
      <c r="J871" s="271"/>
      <c r="K871" s="271"/>
      <c r="L871" s="271"/>
      <c r="M871" s="271"/>
      <c r="N871" s="271"/>
      <c r="O871" s="271"/>
      <c r="P871" s="271"/>
      <c r="Q871" s="271"/>
      <c r="R871" s="5"/>
      <c r="S871" s="25"/>
      <c r="T871" s="5"/>
    </row>
    <row r="872" spans="1:20" s="3" customFormat="1" x14ac:dyDescent="0.25">
      <c r="A872" s="21" t="s">
        <v>450</v>
      </c>
      <c r="B872" s="246" t="s">
        <v>446</v>
      </c>
      <c r="C872" s="246"/>
      <c r="D872" s="246"/>
      <c r="E872" s="246" t="s">
        <v>191</v>
      </c>
      <c r="F872" s="16" t="s">
        <v>71</v>
      </c>
      <c r="G872" s="55"/>
      <c r="H872" s="55"/>
      <c r="I872" s="55"/>
      <c r="J872" s="55"/>
      <c r="K872" s="55"/>
      <c r="L872" s="55"/>
      <c r="M872" s="55"/>
      <c r="N872" s="55"/>
      <c r="O872" s="55"/>
      <c r="P872" s="55"/>
      <c r="Q872" s="55"/>
      <c r="R872" s="5"/>
      <c r="S872" s="25"/>
      <c r="T872" s="5"/>
    </row>
    <row r="873" spans="1:20" s="3" customFormat="1" x14ac:dyDescent="0.25">
      <c r="A873" s="21" t="s">
        <v>450</v>
      </c>
      <c r="B873" s="246" t="s">
        <v>387</v>
      </c>
      <c r="C873" s="246"/>
      <c r="D873" s="246"/>
      <c r="E873" s="246"/>
      <c r="F873" s="16" t="s">
        <v>71</v>
      </c>
      <c r="G873" s="54"/>
      <c r="H873" s="54"/>
      <c r="I873" s="54"/>
      <c r="J873" s="54"/>
      <c r="K873" s="54"/>
      <c r="L873" s="54"/>
      <c r="M873" s="54"/>
      <c r="N873" s="54"/>
      <c r="O873" s="54"/>
      <c r="P873" s="54"/>
      <c r="Q873" s="54"/>
      <c r="R873" s="5"/>
      <c r="S873" s="25"/>
      <c r="T873" s="5"/>
    </row>
    <row r="874" spans="1:20" s="3" customFormat="1" x14ac:dyDescent="0.25">
      <c r="A874" s="21" t="s">
        <v>450</v>
      </c>
      <c r="B874" s="246" t="s">
        <v>369</v>
      </c>
      <c r="C874" s="246"/>
      <c r="D874" s="246"/>
      <c r="E874" s="246" t="s">
        <v>97</v>
      </c>
      <c r="F874" s="16" t="s">
        <v>71</v>
      </c>
      <c r="G874" s="271"/>
      <c r="H874" s="271"/>
      <c r="I874" s="271"/>
      <c r="J874" s="271"/>
      <c r="K874" s="271"/>
      <c r="L874" s="271"/>
      <c r="M874" s="271"/>
      <c r="N874" s="271"/>
      <c r="O874" s="271"/>
      <c r="P874" s="271"/>
      <c r="Q874" s="271"/>
      <c r="R874" s="5"/>
      <c r="S874" s="25"/>
      <c r="T874" s="5"/>
    </row>
    <row r="875" spans="1:20" s="3" customFormat="1" x14ac:dyDescent="0.25">
      <c r="A875" s="21" t="s">
        <v>450</v>
      </c>
      <c r="B875" s="246" t="s">
        <v>392</v>
      </c>
      <c r="C875" s="246"/>
      <c r="D875" s="246"/>
      <c r="E875" s="246" t="s">
        <v>321</v>
      </c>
      <c r="F875" s="16" t="s">
        <v>71</v>
      </c>
      <c r="G875" s="55"/>
      <c r="H875" s="55"/>
      <c r="I875" s="55"/>
      <c r="J875" s="55"/>
      <c r="K875" s="55"/>
      <c r="L875" s="55"/>
      <c r="M875" s="55"/>
      <c r="N875" s="55"/>
      <c r="O875" s="55"/>
      <c r="P875" s="55"/>
      <c r="Q875" s="55"/>
      <c r="R875" s="5"/>
      <c r="S875" s="25"/>
      <c r="T875" s="5"/>
    </row>
    <row r="876" spans="1:20" s="3" customFormat="1" x14ac:dyDescent="0.25">
      <c r="A876" s="21" t="s">
        <v>450</v>
      </c>
      <c r="B876" s="246" t="s">
        <v>394</v>
      </c>
      <c r="C876" s="246"/>
      <c r="D876" s="246"/>
      <c r="E876" s="246" t="s">
        <v>321</v>
      </c>
      <c r="F876" s="16" t="s">
        <v>71</v>
      </c>
      <c r="G876" s="55"/>
      <c r="H876" s="55"/>
      <c r="I876" s="55"/>
      <c r="J876" s="55"/>
      <c r="K876" s="55"/>
      <c r="L876" s="55"/>
      <c r="M876" s="55"/>
      <c r="N876" s="55"/>
      <c r="O876" s="55"/>
      <c r="P876" s="55"/>
      <c r="Q876" s="55"/>
      <c r="R876" s="5"/>
      <c r="S876" s="25"/>
      <c r="T876" s="5"/>
    </row>
    <row r="877" spans="1:20" s="3" customFormat="1" x14ac:dyDescent="0.25">
      <c r="A877" s="21" t="s">
        <v>450</v>
      </c>
      <c r="B877" s="246" t="s">
        <v>395</v>
      </c>
      <c r="C877" s="246"/>
      <c r="D877" s="246"/>
      <c r="E877" s="246"/>
      <c r="F877" s="16" t="s">
        <v>71</v>
      </c>
      <c r="G877" s="54"/>
      <c r="H877" s="54"/>
      <c r="I877" s="54"/>
      <c r="J877" s="54"/>
      <c r="K877" s="54"/>
      <c r="L877" s="54"/>
      <c r="M877" s="54"/>
      <c r="N877" s="54"/>
      <c r="O877" s="54"/>
      <c r="P877" s="54"/>
      <c r="Q877" s="54"/>
      <c r="R877" s="5"/>
      <c r="S877" s="25"/>
      <c r="T877" s="5"/>
    </row>
    <row r="878" spans="1:20" s="3" customFormat="1" x14ac:dyDescent="0.25">
      <c r="A878" s="21" t="s">
        <v>450</v>
      </c>
      <c r="B878" s="246" t="s">
        <v>396</v>
      </c>
      <c r="C878" s="246"/>
      <c r="D878" s="246"/>
      <c r="E878" s="246"/>
      <c r="F878" s="16" t="s">
        <v>71</v>
      </c>
      <c r="G878" s="54"/>
      <c r="H878" s="54"/>
      <c r="I878" s="54"/>
      <c r="J878" s="54"/>
      <c r="K878" s="54"/>
      <c r="L878" s="54"/>
      <c r="M878" s="54"/>
      <c r="N878" s="54"/>
      <c r="O878" s="54"/>
      <c r="P878" s="54"/>
      <c r="Q878" s="54"/>
      <c r="R878" s="5"/>
      <c r="S878" s="25"/>
      <c r="T878" s="5"/>
    </row>
    <row r="879" spans="1:20" s="3" customFormat="1" x14ac:dyDescent="0.25">
      <c r="A879" s="21" t="s">
        <v>450</v>
      </c>
      <c r="B879" s="246" t="s">
        <v>393</v>
      </c>
      <c r="C879" s="246"/>
      <c r="D879" s="246"/>
      <c r="E879" s="246" t="s">
        <v>337</v>
      </c>
      <c r="F879" s="16" t="s">
        <v>71</v>
      </c>
      <c r="G879" s="55"/>
      <c r="H879" s="55"/>
      <c r="I879" s="55"/>
      <c r="J879" s="55"/>
      <c r="K879" s="55"/>
      <c r="L879" s="55"/>
      <c r="M879" s="55"/>
      <c r="N879" s="55"/>
      <c r="O879" s="55"/>
      <c r="P879" s="55"/>
      <c r="Q879" s="55"/>
      <c r="R879" s="5"/>
      <c r="S879" s="25"/>
      <c r="T879" s="5"/>
    </row>
    <row r="880" spans="1:20" s="3" customFormat="1" x14ac:dyDescent="0.25">
      <c r="A880" s="21" t="s">
        <v>450</v>
      </c>
      <c r="B880" s="246" t="s">
        <v>397</v>
      </c>
      <c r="C880" s="246"/>
      <c r="D880" s="246"/>
      <c r="E880" s="246" t="s">
        <v>337</v>
      </c>
      <c r="F880" s="16" t="s">
        <v>71</v>
      </c>
      <c r="G880" s="55"/>
      <c r="H880" s="55"/>
      <c r="I880" s="55"/>
      <c r="J880" s="55"/>
      <c r="K880" s="55"/>
      <c r="L880" s="55"/>
      <c r="M880" s="55"/>
      <c r="N880" s="55"/>
      <c r="O880" s="55"/>
      <c r="P880" s="55"/>
      <c r="Q880" s="55"/>
      <c r="R880" s="5"/>
      <c r="S880" s="25"/>
      <c r="T880" s="5"/>
    </row>
    <row r="881" spans="1:20" s="3" customFormat="1" x14ac:dyDescent="0.25">
      <c r="A881" s="21" t="s">
        <v>450</v>
      </c>
      <c r="B881" s="246" t="s">
        <v>398</v>
      </c>
      <c r="C881" s="246"/>
      <c r="D881" s="246"/>
      <c r="E881" s="246"/>
      <c r="F881" s="16" t="s">
        <v>71</v>
      </c>
      <c r="G881" s="54"/>
      <c r="H881" s="54"/>
      <c r="I881" s="54"/>
      <c r="J881" s="54"/>
      <c r="K881" s="54"/>
      <c r="L881" s="54"/>
      <c r="M881" s="54"/>
      <c r="N881" s="54"/>
      <c r="O881" s="54"/>
      <c r="P881" s="54"/>
      <c r="Q881" s="54"/>
      <c r="R881" s="5"/>
      <c r="S881" s="25"/>
      <c r="T881" s="5"/>
    </row>
    <row r="882" spans="1:20" s="3" customFormat="1" x14ac:dyDescent="0.25">
      <c r="A882" s="21" t="s">
        <v>450</v>
      </c>
      <c r="B882" s="246" t="s">
        <v>399</v>
      </c>
      <c r="C882" s="246"/>
      <c r="D882" s="246"/>
      <c r="E882" s="246"/>
      <c r="F882" s="16" t="s">
        <v>71</v>
      </c>
      <c r="G882" s="54"/>
      <c r="H882" s="54"/>
      <c r="I882" s="54"/>
      <c r="J882" s="54"/>
      <c r="K882" s="54"/>
      <c r="L882" s="54"/>
      <c r="M882" s="54"/>
      <c r="N882" s="54"/>
      <c r="O882" s="54"/>
      <c r="P882" s="54"/>
      <c r="Q882" s="54"/>
      <c r="R882" s="5"/>
      <c r="S882" s="25"/>
      <c r="T882" s="5"/>
    </row>
    <row r="883" spans="1:20" s="3" customFormat="1" x14ac:dyDescent="0.25">
      <c r="A883" s="21" t="s">
        <v>450</v>
      </c>
      <c r="B883" s="246" t="s">
        <v>310</v>
      </c>
      <c r="C883" s="246"/>
      <c r="D883" s="246"/>
      <c r="E883" s="246" t="s">
        <v>337</v>
      </c>
      <c r="F883" s="16" t="s">
        <v>71</v>
      </c>
      <c r="G883" s="55"/>
      <c r="H883" s="55"/>
      <c r="I883" s="55"/>
      <c r="J883" s="55"/>
      <c r="K883" s="55"/>
      <c r="L883" s="55"/>
      <c r="M883" s="55"/>
      <c r="N883" s="55"/>
      <c r="O883" s="55"/>
      <c r="P883" s="55"/>
      <c r="Q883" s="55"/>
      <c r="R883" s="5"/>
      <c r="S883" s="25"/>
      <c r="T883" s="5"/>
    </row>
    <row r="884" spans="1:20" s="3" customFormat="1" x14ac:dyDescent="0.25">
      <c r="A884" s="21" t="s">
        <v>450</v>
      </c>
      <c r="B884" s="246" t="s">
        <v>360</v>
      </c>
      <c r="C884" s="246"/>
      <c r="D884" s="246"/>
      <c r="E884" s="246" t="s">
        <v>321</v>
      </c>
      <c r="F884" s="16" t="s">
        <v>71</v>
      </c>
      <c r="G884" s="55"/>
      <c r="H884" s="55"/>
      <c r="I884" s="55"/>
      <c r="J884" s="55"/>
      <c r="K884" s="55"/>
      <c r="L884" s="55"/>
      <c r="M884" s="55"/>
      <c r="N884" s="55"/>
      <c r="O884" s="55"/>
      <c r="P884" s="55"/>
      <c r="Q884" s="55"/>
      <c r="R884" s="5"/>
      <c r="S884" s="25"/>
      <c r="T884" s="5"/>
    </row>
    <row r="885" spans="1:20" s="3" customFormat="1" x14ac:dyDescent="0.25">
      <c r="A885" s="21" t="s">
        <v>450</v>
      </c>
      <c r="B885" s="2" t="s">
        <v>306</v>
      </c>
      <c r="C885" s="13"/>
      <c r="D885" s="2" t="s">
        <v>472</v>
      </c>
      <c r="E885" s="2" t="s">
        <v>346</v>
      </c>
      <c r="F885" s="16" t="s">
        <v>71</v>
      </c>
      <c r="G885" s="283">
        <v>1</v>
      </c>
      <c r="H885" s="283">
        <f>G885</f>
        <v>1</v>
      </c>
      <c r="I885" s="283">
        <f t="shared" ref="I885:Q885" si="111">H885</f>
        <v>1</v>
      </c>
      <c r="J885" s="283">
        <f t="shared" si="111"/>
        <v>1</v>
      </c>
      <c r="K885" s="283">
        <f t="shared" si="111"/>
        <v>1</v>
      </c>
      <c r="L885" s="283">
        <f t="shared" si="111"/>
        <v>1</v>
      </c>
      <c r="M885" s="283">
        <f t="shared" si="111"/>
        <v>1</v>
      </c>
      <c r="N885" s="283">
        <f t="shared" si="111"/>
        <v>1</v>
      </c>
      <c r="O885" s="283">
        <f t="shared" si="111"/>
        <v>1</v>
      </c>
      <c r="P885" s="283">
        <f t="shared" si="111"/>
        <v>1</v>
      </c>
      <c r="Q885" s="283">
        <f t="shared" si="111"/>
        <v>1</v>
      </c>
      <c r="R885" s="5"/>
      <c r="S885" s="13"/>
      <c r="T885" s="5"/>
    </row>
    <row r="886" spans="1:20" s="3" customFormat="1" x14ac:dyDescent="0.25">
      <c r="A886" s="21" t="s">
        <v>450</v>
      </c>
      <c r="B886" s="67" t="s">
        <v>74</v>
      </c>
      <c r="C886" s="192"/>
      <c r="D886" s="189"/>
      <c r="E886" s="189"/>
      <c r="F886" s="190" t="s">
        <v>72</v>
      </c>
      <c r="G886" s="189"/>
      <c r="H886" s="189"/>
      <c r="I886" s="189"/>
      <c r="J886" s="189"/>
      <c r="K886" s="189"/>
      <c r="L886" s="189"/>
      <c r="M886" s="189"/>
      <c r="N886" s="189"/>
      <c r="O886" s="189"/>
      <c r="P886" s="189"/>
      <c r="Q886" s="189"/>
      <c r="R886" s="5"/>
      <c r="S886" s="13"/>
      <c r="T886" s="5"/>
    </row>
    <row r="887" spans="1:20" s="3" customFormat="1" x14ac:dyDescent="0.25">
      <c r="A887" s="21" t="s">
        <v>450</v>
      </c>
      <c r="B887" s="246" t="s">
        <v>38</v>
      </c>
      <c r="C887" s="246"/>
      <c r="D887" s="246"/>
      <c r="E887" s="246" t="s">
        <v>40</v>
      </c>
      <c r="F887" s="16" t="s">
        <v>72</v>
      </c>
      <c r="G887" s="279">
        <v>2000</v>
      </c>
      <c r="H887" s="278">
        <f t="shared" ref="H887:Q888" si="112">G887</f>
        <v>2000</v>
      </c>
      <c r="I887" s="278">
        <f t="shared" si="112"/>
        <v>2000</v>
      </c>
      <c r="J887" s="278">
        <f t="shared" si="112"/>
        <v>2000</v>
      </c>
      <c r="K887" s="278">
        <f t="shared" si="112"/>
        <v>2000</v>
      </c>
      <c r="L887" s="278">
        <f t="shared" si="112"/>
        <v>2000</v>
      </c>
      <c r="M887" s="278">
        <f t="shared" si="112"/>
        <v>2000</v>
      </c>
      <c r="N887" s="278">
        <f t="shared" si="112"/>
        <v>2000</v>
      </c>
      <c r="O887" s="278">
        <f t="shared" si="112"/>
        <v>2000</v>
      </c>
      <c r="P887" s="278">
        <f t="shared" si="112"/>
        <v>2000</v>
      </c>
      <c r="Q887" s="278">
        <f t="shared" si="112"/>
        <v>2000</v>
      </c>
      <c r="R887" s="5"/>
      <c r="S887" s="25"/>
      <c r="T887" s="5"/>
    </row>
    <row r="888" spans="1:20" s="3" customFormat="1" x14ac:dyDescent="0.25">
      <c r="A888" s="21" t="s">
        <v>450</v>
      </c>
      <c r="B888" s="246" t="s">
        <v>37</v>
      </c>
      <c r="C888" s="246"/>
      <c r="D888" s="246"/>
      <c r="E888" s="246" t="s">
        <v>40</v>
      </c>
      <c r="F888" s="16" t="s">
        <v>72</v>
      </c>
      <c r="G888" s="279">
        <v>2100</v>
      </c>
      <c r="H888" s="278">
        <f t="shared" si="112"/>
        <v>2100</v>
      </c>
      <c r="I888" s="278">
        <f t="shared" si="112"/>
        <v>2100</v>
      </c>
      <c r="J888" s="278">
        <f t="shared" si="112"/>
        <v>2100</v>
      </c>
      <c r="K888" s="278">
        <f t="shared" si="112"/>
        <v>2100</v>
      </c>
      <c r="L888" s="278">
        <f t="shared" si="112"/>
        <v>2100</v>
      </c>
      <c r="M888" s="278">
        <f t="shared" si="112"/>
        <v>2100</v>
      </c>
      <c r="N888" s="278">
        <f t="shared" si="112"/>
        <v>2100</v>
      </c>
      <c r="O888" s="278">
        <f t="shared" si="112"/>
        <v>2100</v>
      </c>
      <c r="P888" s="278">
        <f t="shared" si="112"/>
        <v>2100</v>
      </c>
      <c r="Q888" s="278">
        <f t="shared" si="112"/>
        <v>2100</v>
      </c>
      <c r="R888" s="5"/>
      <c r="S888" s="25"/>
      <c r="T888" s="5"/>
    </row>
    <row r="889" spans="1:20" s="3" customFormat="1" x14ac:dyDescent="0.25">
      <c r="A889" s="21" t="s">
        <v>450</v>
      </c>
      <c r="B889" s="246" t="s">
        <v>39</v>
      </c>
      <c r="C889" s="246"/>
      <c r="D889" s="246"/>
      <c r="E889" s="246" t="s">
        <v>10</v>
      </c>
      <c r="F889" s="16" t="s">
        <v>72</v>
      </c>
      <c r="G889" s="55"/>
      <c r="H889" s="55"/>
      <c r="I889" s="55"/>
      <c r="J889" s="55"/>
      <c r="K889" s="55"/>
      <c r="L889" s="55"/>
      <c r="M889" s="55"/>
      <c r="N889" s="55"/>
      <c r="O889" s="55"/>
      <c r="P889" s="55"/>
      <c r="Q889" s="55"/>
      <c r="R889" s="5"/>
      <c r="S889" s="25"/>
      <c r="T889" s="5"/>
    </row>
    <row r="890" spans="1:20" s="3" customFormat="1" x14ac:dyDescent="0.25">
      <c r="A890" s="21" t="s">
        <v>450</v>
      </c>
      <c r="B890" s="246" t="s">
        <v>361</v>
      </c>
      <c r="C890" s="246"/>
      <c r="D890" s="246"/>
      <c r="E890" s="246" t="s">
        <v>10</v>
      </c>
      <c r="F890" s="16" t="s">
        <v>72</v>
      </c>
      <c r="G890" s="55"/>
      <c r="H890" s="55"/>
      <c r="I890" s="55"/>
      <c r="J890" s="55"/>
      <c r="K890" s="55"/>
      <c r="L890" s="55"/>
      <c r="M890" s="55"/>
      <c r="N890" s="55"/>
      <c r="O890" s="55"/>
      <c r="P890" s="55"/>
      <c r="Q890" s="55"/>
      <c r="R890" s="5"/>
      <c r="S890" s="25"/>
      <c r="T890" s="5"/>
    </row>
    <row r="891" spans="1:20" s="3" customFormat="1" x14ac:dyDescent="0.25">
      <c r="A891" s="21" t="s">
        <v>450</v>
      </c>
      <c r="B891" s="246" t="s">
        <v>309</v>
      </c>
      <c r="C891" s="246"/>
      <c r="D891" s="246"/>
      <c r="E891" s="246" t="s">
        <v>97</v>
      </c>
      <c r="F891" s="16" t="s">
        <v>72</v>
      </c>
      <c r="G891" s="271"/>
      <c r="H891" s="271"/>
      <c r="I891" s="271"/>
      <c r="J891" s="271"/>
      <c r="K891" s="271"/>
      <c r="L891" s="271"/>
      <c r="M891" s="271"/>
      <c r="N891" s="271"/>
      <c r="O891" s="271"/>
      <c r="P891" s="271"/>
      <c r="Q891" s="271"/>
      <c r="R891" s="5"/>
      <c r="S891" s="25"/>
      <c r="T891" s="5"/>
    </row>
    <row r="892" spans="1:20" s="3" customFormat="1" x14ac:dyDescent="0.25">
      <c r="A892" s="21" t="s">
        <v>450</v>
      </c>
      <c r="B892" s="246" t="s">
        <v>358</v>
      </c>
      <c r="C892" s="246"/>
      <c r="D892" s="246"/>
      <c r="E892" s="246" t="s">
        <v>97</v>
      </c>
      <c r="F892" s="16" t="s">
        <v>72</v>
      </c>
      <c r="G892" s="271"/>
      <c r="H892" s="271"/>
      <c r="I892" s="271"/>
      <c r="J892" s="271"/>
      <c r="K892" s="271"/>
      <c r="L892" s="271"/>
      <c r="M892" s="271"/>
      <c r="N892" s="271"/>
      <c r="O892" s="271"/>
      <c r="P892" s="271"/>
      <c r="Q892" s="271"/>
      <c r="R892" s="5"/>
      <c r="S892" s="25"/>
      <c r="T892" s="5"/>
    </row>
    <row r="893" spans="1:20" s="3" customFormat="1" x14ac:dyDescent="0.25">
      <c r="A893" s="21" t="s">
        <v>450</v>
      </c>
      <c r="B893" s="246" t="s">
        <v>357</v>
      </c>
      <c r="C893" s="246"/>
      <c r="D893" s="246"/>
      <c r="E893" s="246" t="s">
        <v>97</v>
      </c>
      <c r="F893" s="16" t="s">
        <v>72</v>
      </c>
      <c r="G893" s="271"/>
      <c r="H893" s="271"/>
      <c r="I893" s="271"/>
      <c r="J893" s="271"/>
      <c r="K893" s="271"/>
      <c r="L893" s="271"/>
      <c r="M893" s="271"/>
      <c r="N893" s="271"/>
      <c r="O893" s="271"/>
      <c r="P893" s="271"/>
      <c r="Q893" s="271"/>
      <c r="R893" s="5"/>
      <c r="S893" s="25"/>
      <c r="T893" s="5"/>
    </row>
    <row r="894" spans="1:20" s="3" customFormat="1" x14ac:dyDescent="0.25">
      <c r="A894" s="21" t="s">
        <v>450</v>
      </c>
      <c r="B894" s="246" t="s">
        <v>75</v>
      </c>
      <c r="C894" s="246"/>
      <c r="D894" s="246"/>
      <c r="E894" s="246" t="s">
        <v>97</v>
      </c>
      <c r="F894" s="16" t="s">
        <v>72</v>
      </c>
      <c r="G894" s="271">
        <v>1.4999999999999999E-2</v>
      </c>
      <c r="H894" s="271"/>
      <c r="I894" s="271"/>
      <c r="J894" s="271"/>
      <c r="K894" s="271"/>
      <c r="L894" s="271"/>
      <c r="M894" s="271"/>
      <c r="N894" s="271"/>
      <c r="O894" s="271"/>
      <c r="P894" s="271"/>
      <c r="Q894" s="271"/>
      <c r="R894" s="5"/>
      <c r="S894" s="25"/>
      <c r="T894" s="5"/>
    </row>
    <row r="895" spans="1:20" s="3" customFormat="1" x14ac:dyDescent="0.25">
      <c r="A895" s="21" t="s">
        <v>450</v>
      </c>
      <c r="B895" s="68" t="s">
        <v>148</v>
      </c>
      <c r="C895" s="68"/>
      <c r="D895" s="251"/>
      <c r="E895" s="68" t="s">
        <v>97</v>
      </c>
      <c r="F895" s="16" t="s">
        <v>72</v>
      </c>
      <c r="G895" s="271"/>
      <c r="H895" s="271"/>
      <c r="I895" s="271"/>
      <c r="J895" s="271"/>
      <c r="K895" s="271"/>
      <c r="L895" s="271"/>
      <c r="M895" s="271"/>
      <c r="N895" s="271"/>
      <c r="O895" s="271"/>
      <c r="P895" s="271"/>
      <c r="Q895" s="271"/>
      <c r="R895" s="5"/>
      <c r="S895" s="25"/>
      <c r="T895" s="5"/>
    </row>
    <row r="896" spans="1:20" s="3" customFormat="1" x14ac:dyDescent="0.25">
      <c r="A896" s="21" t="s">
        <v>450</v>
      </c>
      <c r="B896" s="68" t="s">
        <v>149</v>
      </c>
      <c r="C896" s="68"/>
      <c r="D896" s="251"/>
      <c r="E896" s="68" t="s">
        <v>97</v>
      </c>
      <c r="F896" s="16" t="s">
        <v>72</v>
      </c>
      <c r="G896" s="271"/>
      <c r="H896" s="271"/>
      <c r="I896" s="271"/>
      <c r="J896" s="271"/>
      <c r="K896" s="271"/>
      <c r="L896" s="271"/>
      <c r="M896" s="271"/>
      <c r="N896" s="271"/>
      <c r="O896" s="271"/>
      <c r="P896" s="271"/>
      <c r="Q896" s="271"/>
      <c r="R896" s="5"/>
      <c r="S896" s="25"/>
      <c r="T896" s="5"/>
    </row>
    <row r="897" spans="1:20" s="3" customFormat="1" x14ac:dyDescent="0.25">
      <c r="A897" s="21" t="s">
        <v>450</v>
      </c>
      <c r="B897" s="68" t="s">
        <v>370</v>
      </c>
      <c r="C897" s="68"/>
      <c r="D897" s="251"/>
      <c r="E897" s="68" t="s">
        <v>97</v>
      </c>
      <c r="F897" s="16" t="s">
        <v>72</v>
      </c>
      <c r="G897" s="271"/>
      <c r="H897" s="271"/>
      <c r="I897" s="271"/>
      <c r="J897" s="271"/>
      <c r="K897" s="271"/>
      <c r="L897" s="271"/>
      <c r="M897" s="271"/>
      <c r="N897" s="271"/>
      <c r="O897" s="271"/>
      <c r="P897" s="271"/>
      <c r="Q897" s="271"/>
      <c r="R897" s="5"/>
      <c r="S897" s="25"/>
      <c r="T897" s="5"/>
    </row>
    <row r="898" spans="1:20" s="3" customFormat="1" x14ac:dyDescent="0.25">
      <c r="A898" s="21" t="s">
        <v>450</v>
      </c>
      <c r="B898" s="68" t="s">
        <v>371</v>
      </c>
      <c r="C898" s="68"/>
      <c r="D898" s="251"/>
      <c r="E898" s="68" t="s">
        <v>97</v>
      </c>
      <c r="F898" s="16" t="s">
        <v>72</v>
      </c>
      <c r="G898" s="271"/>
      <c r="H898" s="271"/>
      <c r="I898" s="271"/>
      <c r="J898" s="271"/>
      <c r="K898" s="271"/>
      <c r="L898" s="271"/>
      <c r="M898" s="271"/>
      <c r="N898" s="271"/>
      <c r="O898" s="271"/>
      <c r="P898" s="271"/>
      <c r="Q898" s="271"/>
      <c r="R898" s="5"/>
      <c r="S898" s="25"/>
      <c r="T898" s="5"/>
    </row>
    <row r="899" spans="1:20" s="3" customFormat="1" x14ac:dyDescent="0.25">
      <c r="A899" s="21" t="s">
        <v>450</v>
      </c>
      <c r="B899" s="246" t="s">
        <v>338</v>
      </c>
      <c r="C899" s="246"/>
      <c r="D899" s="246"/>
      <c r="E899" s="246" t="s">
        <v>191</v>
      </c>
      <c r="F899" s="16" t="s">
        <v>72</v>
      </c>
      <c r="G899" s="55"/>
      <c r="H899" s="55"/>
      <c r="I899" s="55"/>
      <c r="J899" s="55"/>
      <c r="K899" s="55"/>
      <c r="L899" s="55"/>
      <c r="M899" s="55"/>
      <c r="N899" s="55"/>
      <c r="O899" s="55"/>
      <c r="P899" s="55"/>
      <c r="Q899" s="55"/>
      <c r="R899" s="5"/>
      <c r="S899" s="25"/>
      <c r="T899" s="5"/>
    </row>
    <row r="900" spans="1:20" s="3" customFormat="1" x14ac:dyDescent="0.25">
      <c r="A900" s="21" t="s">
        <v>450</v>
      </c>
      <c r="B900" s="246" t="s">
        <v>152</v>
      </c>
      <c r="C900" s="246"/>
      <c r="D900" s="246"/>
      <c r="E900" s="246" t="s">
        <v>321</v>
      </c>
      <c r="F900" s="16" t="s">
        <v>72</v>
      </c>
      <c r="G900" s="55"/>
      <c r="H900" s="55"/>
      <c r="I900" s="55"/>
      <c r="J900" s="55"/>
      <c r="K900" s="55"/>
      <c r="L900" s="55"/>
      <c r="M900" s="55"/>
      <c r="N900" s="55"/>
      <c r="O900" s="55"/>
      <c r="P900" s="55"/>
      <c r="Q900" s="55"/>
      <c r="R900" s="5"/>
      <c r="S900" s="25"/>
      <c r="T900" s="5"/>
    </row>
    <row r="901" spans="1:20" s="3" customFormat="1" x14ac:dyDescent="0.25">
      <c r="A901" s="21" t="s">
        <v>450</v>
      </c>
      <c r="B901" s="246" t="s">
        <v>383</v>
      </c>
      <c r="C901" s="246"/>
      <c r="D901" s="246"/>
      <c r="E901" s="246" t="s">
        <v>97</v>
      </c>
      <c r="F901" s="16" t="s">
        <v>72</v>
      </c>
      <c r="G901" s="271"/>
      <c r="H901" s="271"/>
      <c r="I901" s="271"/>
      <c r="J901" s="271"/>
      <c r="K901" s="271"/>
      <c r="L901" s="271"/>
      <c r="M901" s="271"/>
      <c r="N901" s="271"/>
      <c r="O901" s="271"/>
      <c r="P901" s="271"/>
      <c r="Q901" s="271"/>
      <c r="R901" s="5"/>
      <c r="S901" s="25"/>
      <c r="T901" s="5"/>
    </row>
    <row r="902" spans="1:20" s="3" customFormat="1" x14ac:dyDescent="0.25">
      <c r="A902" s="21" t="s">
        <v>450</v>
      </c>
      <c r="B902" s="246" t="s">
        <v>446</v>
      </c>
      <c r="C902" s="246"/>
      <c r="D902" s="246"/>
      <c r="E902" s="246" t="s">
        <v>191</v>
      </c>
      <c r="F902" s="16" t="s">
        <v>72</v>
      </c>
      <c r="G902" s="55"/>
      <c r="H902" s="55"/>
      <c r="I902" s="55"/>
      <c r="J902" s="55"/>
      <c r="K902" s="55"/>
      <c r="L902" s="55"/>
      <c r="M902" s="55"/>
      <c r="N902" s="55"/>
      <c r="O902" s="55"/>
      <c r="P902" s="55"/>
      <c r="Q902" s="55"/>
      <c r="R902" s="5"/>
      <c r="S902" s="25"/>
      <c r="T902" s="5"/>
    </row>
    <row r="903" spans="1:20" s="3" customFormat="1" x14ac:dyDescent="0.25">
      <c r="A903" s="21" t="s">
        <v>450</v>
      </c>
      <c r="B903" s="246" t="s">
        <v>387</v>
      </c>
      <c r="C903" s="246"/>
      <c r="D903" s="246"/>
      <c r="E903" s="246"/>
      <c r="F903" s="16" t="s">
        <v>72</v>
      </c>
      <c r="G903" s="54"/>
      <c r="H903" s="54"/>
      <c r="I903" s="54"/>
      <c r="J903" s="54"/>
      <c r="K903" s="54"/>
      <c r="L903" s="54"/>
      <c r="M903" s="54"/>
      <c r="N903" s="54"/>
      <c r="O903" s="54"/>
      <c r="P903" s="54"/>
      <c r="Q903" s="54"/>
      <c r="R903" s="5"/>
      <c r="S903" s="25"/>
      <c r="T903" s="5"/>
    </row>
    <row r="904" spans="1:20" s="3" customFormat="1" x14ac:dyDescent="0.25">
      <c r="A904" s="21" t="s">
        <v>450</v>
      </c>
      <c r="B904" s="246" t="s">
        <v>369</v>
      </c>
      <c r="C904" s="246"/>
      <c r="D904" s="246"/>
      <c r="E904" s="246" t="s">
        <v>97</v>
      </c>
      <c r="F904" s="16" t="s">
        <v>72</v>
      </c>
      <c r="G904" s="271"/>
      <c r="H904" s="271"/>
      <c r="I904" s="271"/>
      <c r="J904" s="271"/>
      <c r="K904" s="271"/>
      <c r="L904" s="271"/>
      <c r="M904" s="271"/>
      <c r="N904" s="271"/>
      <c r="O904" s="271"/>
      <c r="P904" s="271"/>
      <c r="Q904" s="271"/>
      <c r="R904" s="5"/>
      <c r="S904" s="25"/>
      <c r="T904" s="5"/>
    </row>
    <row r="905" spans="1:20" s="3" customFormat="1" x14ac:dyDescent="0.25">
      <c r="A905" s="21" t="s">
        <v>450</v>
      </c>
      <c r="B905" s="246" t="s">
        <v>392</v>
      </c>
      <c r="C905" s="246"/>
      <c r="D905" s="246"/>
      <c r="E905" s="246" t="s">
        <v>321</v>
      </c>
      <c r="F905" s="16" t="s">
        <v>72</v>
      </c>
      <c r="G905" s="55"/>
      <c r="H905" s="55"/>
      <c r="I905" s="55"/>
      <c r="J905" s="55"/>
      <c r="K905" s="55"/>
      <c r="L905" s="55"/>
      <c r="M905" s="55"/>
      <c r="N905" s="55"/>
      <c r="O905" s="55"/>
      <c r="P905" s="55"/>
      <c r="Q905" s="55"/>
      <c r="R905" s="5"/>
      <c r="S905" s="25"/>
      <c r="T905" s="5"/>
    </row>
    <row r="906" spans="1:20" s="3" customFormat="1" x14ac:dyDescent="0.25">
      <c r="A906" s="21" t="s">
        <v>450</v>
      </c>
      <c r="B906" s="246" t="s">
        <v>394</v>
      </c>
      <c r="C906" s="246"/>
      <c r="D906" s="246"/>
      <c r="E906" s="246" t="s">
        <v>321</v>
      </c>
      <c r="F906" s="16" t="s">
        <v>72</v>
      </c>
      <c r="G906" s="55"/>
      <c r="H906" s="55"/>
      <c r="I906" s="55"/>
      <c r="J906" s="55"/>
      <c r="K906" s="55"/>
      <c r="L906" s="55"/>
      <c r="M906" s="55"/>
      <c r="N906" s="55"/>
      <c r="O906" s="55"/>
      <c r="P906" s="55"/>
      <c r="Q906" s="55"/>
      <c r="R906" s="5"/>
      <c r="S906" s="25"/>
      <c r="T906" s="5"/>
    </row>
    <row r="907" spans="1:20" s="3" customFormat="1" x14ac:dyDescent="0.25">
      <c r="A907" s="21" t="s">
        <v>450</v>
      </c>
      <c r="B907" s="246" t="s">
        <v>395</v>
      </c>
      <c r="C907" s="246"/>
      <c r="D907" s="246"/>
      <c r="E907" s="246"/>
      <c r="F907" s="16" t="s">
        <v>72</v>
      </c>
      <c r="G907" s="54"/>
      <c r="H907" s="54"/>
      <c r="I907" s="54"/>
      <c r="J907" s="54"/>
      <c r="K907" s="54"/>
      <c r="L907" s="54"/>
      <c r="M907" s="54"/>
      <c r="N907" s="54"/>
      <c r="O907" s="54"/>
      <c r="P907" s="54"/>
      <c r="Q907" s="54"/>
      <c r="R907" s="5"/>
      <c r="S907" s="25"/>
      <c r="T907" s="5"/>
    </row>
    <row r="908" spans="1:20" s="3" customFormat="1" x14ac:dyDescent="0.25">
      <c r="A908" s="21" t="s">
        <v>450</v>
      </c>
      <c r="B908" s="246" t="s">
        <v>396</v>
      </c>
      <c r="C908" s="246"/>
      <c r="D908" s="246"/>
      <c r="E908" s="246"/>
      <c r="F908" s="16" t="s">
        <v>72</v>
      </c>
      <c r="G908" s="54"/>
      <c r="H908" s="54"/>
      <c r="I908" s="54"/>
      <c r="J908" s="54"/>
      <c r="K908" s="54"/>
      <c r="L908" s="54"/>
      <c r="M908" s="54"/>
      <c r="N908" s="54"/>
      <c r="O908" s="54"/>
      <c r="P908" s="54"/>
      <c r="Q908" s="54"/>
      <c r="R908" s="5"/>
      <c r="S908" s="25"/>
      <c r="T908" s="5"/>
    </row>
    <row r="909" spans="1:20" s="3" customFormat="1" x14ac:dyDescent="0.25">
      <c r="A909" s="21" t="s">
        <v>450</v>
      </c>
      <c r="B909" s="246" t="s">
        <v>393</v>
      </c>
      <c r="C909" s="246"/>
      <c r="D909" s="246"/>
      <c r="E909" s="246" t="s">
        <v>337</v>
      </c>
      <c r="F909" s="16" t="s">
        <v>72</v>
      </c>
      <c r="G909" s="55"/>
      <c r="H909" s="55"/>
      <c r="I909" s="55"/>
      <c r="J909" s="55"/>
      <c r="K909" s="55"/>
      <c r="L909" s="55"/>
      <c r="M909" s="55"/>
      <c r="N909" s="55"/>
      <c r="O909" s="55"/>
      <c r="P909" s="55"/>
      <c r="Q909" s="55"/>
      <c r="R909" s="5"/>
      <c r="S909" s="25"/>
      <c r="T909" s="5"/>
    </row>
    <row r="910" spans="1:20" s="3" customFormat="1" x14ac:dyDescent="0.25">
      <c r="A910" s="21" t="s">
        <v>450</v>
      </c>
      <c r="B910" s="246" t="s">
        <v>397</v>
      </c>
      <c r="C910" s="246"/>
      <c r="D910" s="246"/>
      <c r="E910" s="246" t="s">
        <v>337</v>
      </c>
      <c r="F910" s="16" t="s">
        <v>72</v>
      </c>
      <c r="G910" s="55"/>
      <c r="H910" s="55"/>
      <c r="I910" s="55"/>
      <c r="J910" s="55"/>
      <c r="K910" s="55"/>
      <c r="L910" s="55"/>
      <c r="M910" s="55"/>
      <c r="N910" s="55"/>
      <c r="O910" s="55"/>
      <c r="P910" s="55"/>
      <c r="Q910" s="55"/>
      <c r="R910" s="5"/>
      <c r="S910" s="25"/>
      <c r="T910" s="5"/>
    </row>
    <row r="911" spans="1:20" s="3" customFormat="1" x14ac:dyDescent="0.25">
      <c r="A911" s="21" t="s">
        <v>450</v>
      </c>
      <c r="B911" s="246" t="s">
        <v>398</v>
      </c>
      <c r="C911" s="246"/>
      <c r="D911" s="246"/>
      <c r="E911" s="246"/>
      <c r="F911" s="16" t="s">
        <v>72</v>
      </c>
      <c r="G911" s="54"/>
      <c r="H911" s="54"/>
      <c r="I911" s="54"/>
      <c r="J911" s="54"/>
      <c r="K911" s="54"/>
      <c r="L911" s="54"/>
      <c r="M911" s="54"/>
      <c r="N911" s="54"/>
      <c r="O911" s="54"/>
      <c r="P911" s="54"/>
      <c r="Q911" s="54"/>
      <c r="R911" s="5"/>
      <c r="S911" s="25"/>
      <c r="T911" s="5"/>
    </row>
    <row r="912" spans="1:20" s="3" customFormat="1" x14ac:dyDescent="0.25">
      <c r="A912" s="21" t="s">
        <v>450</v>
      </c>
      <c r="B912" s="246" t="s">
        <v>399</v>
      </c>
      <c r="C912" s="246"/>
      <c r="D912" s="246"/>
      <c r="E912" s="246"/>
      <c r="F912" s="16" t="s">
        <v>72</v>
      </c>
      <c r="G912" s="54"/>
      <c r="H912" s="54"/>
      <c r="I912" s="54"/>
      <c r="J912" s="54"/>
      <c r="K912" s="54"/>
      <c r="L912" s="54"/>
      <c r="M912" s="54"/>
      <c r="N912" s="54"/>
      <c r="O912" s="54"/>
      <c r="P912" s="54"/>
      <c r="Q912" s="54"/>
      <c r="R912" s="5"/>
      <c r="S912" s="25"/>
      <c r="T912" s="5"/>
    </row>
    <row r="913" spans="1:20" s="3" customFormat="1" x14ac:dyDescent="0.25">
      <c r="A913" s="21" t="s">
        <v>450</v>
      </c>
      <c r="B913" s="246" t="s">
        <v>310</v>
      </c>
      <c r="C913" s="246"/>
      <c r="D913" s="246"/>
      <c r="E913" s="246" t="s">
        <v>337</v>
      </c>
      <c r="F913" s="16" t="s">
        <v>72</v>
      </c>
      <c r="G913" s="55"/>
      <c r="H913" s="55"/>
      <c r="I913" s="55"/>
      <c r="J913" s="55"/>
      <c r="K913" s="55"/>
      <c r="L913" s="55"/>
      <c r="M913" s="55"/>
      <c r="N913" s="55"/>
      <c r="O913" s="55"/>
      <c r="P913" s="55"/>
      <c r="Q913" s="55"/>
      <c r="R913" s="5"/>
      <c r="S913" s="25"/>
      <c r="T913" s="5"/>
    </row>
    <row r="914" spans="1:20" s="3" customFormat="1" x14ac:dyDescent="0.25">
      <c r="A914" s="21" t="s">
        <v>450</v>
      </c>
      <c r="B914" s="2" t="s">
        <v>306</v>
      </c>
      <c r="C914" s="13"/>
      <c r="D914" s="2" t="s">
        <v>473</v>
      </c>
      <c r="E914" s="2" t="s">
        <v>346</v>
      </c>
      <c r="F914" s="16" t="s">
        <v>72</v>
      </c>
      <c r="G914" s="283">
        <v>1</v>
      </c>
      <c r="H914" s="283">
        <f>G914</f>
        <v>1</v>
      </c>
      <c r="I914" s="283">
        <f t="shared" ref="I914:Q914" si="113">H914</f>
        <v>1</v>
      </c>
      <c r="J914" s="283">
        <f t="shared" si="113"/>
        <v>1</v>
      </c>
      <c r="K914" s="283">
        <f t="shared" si="113"/>
        <v>1</v>
      </c>
      <c r="L914" s="283">
        <f t="shared" si="113"/>
        <v>1</v>
      </c>
      <c r="M914" s="283">
        <f t="shared" si="113"/>
        <v>1</v>
      </c>
      <c r="N914" s="283">
        <f t="shared" si="113"/>
        <v>1</v>
      </c>
      <c r="O914" s="283">
        <f t="shared" si="113"/>
        <v>1</v>
      </c>
      <c r="P914" s="283">
        <f t="shared" si="113"/>
        <v>1</v>
      </c>
      <c r="Q914" s="283">
        <f t="shared" si="113"/>
        <v>1</v>
      </c>
      <c r="R914" s="5"/>
      <c r="S914" s="13"/>
      <c r="T914" s="5"/>
    </row>
    <row r="915" spans="1:20" s="3" customFormat="1" x14ac:dyDescent="0.25">
      <c r="A915" s="21" t="s">
        <v>450</v>
      </c>
      <c r="C915" s="13"/>
      <c r="F915" s="9"/>
      <c r="R915" s="5"/>
      <c r="S915" s="13"/>
      <c r="T915" s="5"/>
    </row>
    <row r="916" spans="1:20" s="3" customFormat="1" x14ac:dyDescent="0.25">
      <c r="A916" s="359" t="s">
        <v>71</v>
      </c>
      <c r="C916" s="13"/>
      <c r="F916" s="9"/>
      <c r="R916" s="5"/>
      <c r="S916" s="13"/>
      <c r="T916" s="5"/>
    </row>
    <row r="917" spans="1:20" s="3" customFormat="1" x14ac:dyDescent="0.25">
      <c r="A917" s="21" t="s">
        <v>450</v>
      </c>
      <c r="B917" s="2" t="s">
        <v>305</v>
      </c>
      <c r="C917" s="13"/>
      <c r="D917" s="2" t="s">
        <v>472</v>
      </c>
      <c r="E917" s="3" t="s">
        <v>191</v>
      </c>
      <c r="F917" s="202" t="str">
        <f>A916</f>
        <v>Conventional</v>
      </c>
      <c r="G917" s="55"/>
      <c r="H917" s="55"/>
      <c r="I917" s="55"/>
      <c r="J917" s="55"/>
      <c r="K917" s="55"/>
      <c r="L917" s="55"/>
      <c r="M917" s="55"/>
      <c r="N917" s="55"/>
      <c r="O917" s="55"/>
      <c r="P917" s="55"/>
      <c r="Q917" s="55"/>
      <c r="R917" s="5"/>
      <c r="S917" s="13"/>
      <c r="T917" s="5"/>
    </row>
    <row r="918" spans="1:20" s="3" customFormat="1" x14ac:dyDescent="0.25">
      <c r="A918" s="21" t="s">
        <v>450</v>
      </c>
      <c r="B918" s="2" t="s">
        <v>47</v>
      </c>
      <c r="C918" s="13"/>
      <c r="D918" s="2"/>
      <c r="E918" s="2"/>
      <c r="F918" s="16" t="s">
        <v>21</v>
      </c>
      <c r="G918" s="4"/>
      <c r="H918" s="4"/>
      <c r="I918" s="4"/>
      <c r="J918" s="4"/>
      <c r="K918" s="4"/>
      <c r="L918" s="4"/>
      <c r="M918" s="4"/>
      <c r="N918" s="4"/>
      <c r="O918" s="4"/>
      <c r="P918" s="4"/>
      <c r="Q918" s="4"/>
      <c r="R918" s="5"/>
      <c r="S918" s="13"/>
      <c r="T918" s="5"/>
    </row>
    <row r="919" spans="1:20" s="3" customFormat="1" x14ac:dyDescent="0.25">
      <c r="A919" s="21" t="s">
        <v>450</v>
      </c>
      <c r="B919" s="2" t="s">
        <v>66</v>
      </c>
      <c r="C919" s="13"/>
      <c r="D919" s="2"/>
      <c r="E919" s="2"/>
      <c r="F919" s="16" t="s">
        <v>35</v>
      </c>
      <c r="G919" s="4">
        <v>10</v>
      </c>
      <c r="H919" s="209">
        <f>G919</f>
        <v>10</v>
      </c>
      <c r="I919" s="209">
        <f t="shared" ref="I919:Q920" si="114">H919</f>
        <v>10</v>
      </c>
      <c r="J919" s="209">
        <f t="shared" si="114"/>
        <v>10</v>
      </c>
      <c r="K919" s="209">
        <f t="shared" si="114"/>
        <v>10</v>
      </c>
      <c r="L919" s="209">
        <f t="shared" si="114"/>
        <v>10</v>
      </c>
      <c r="M919" s="209">
        <f t="shared" si="114"/>
        <v>10</v>
      </c>
      <c r="N919" s="209">
        <f t="shared" si="114"/>
        <v>10</v>
      </c>
      <c r="O919" s="209">
        <f t="shared" si="114"/>
        <v>10</v>
      </c>
      <c r="P919" s="209">
        <f t="shared" si="114"/>
        <v>10</v>
      </c>
      <c r="Q919" s="209">
        <f t="shared" si="114"/>
        <v>10</v>
      </c>
      <c r="R919" s="5"/>
      <c r="S919" s="13"/>
      <c r="T919" s="5"/>
    </row>
    <row r="920" spans="1:20" s="3" customFormat="1" x14ac:dyDescent="0.25">
      <c r="A920" s="21" t="s">
        <v>450</v>
      </c>
      <c r="B920" s="2" t="s">
        <v>311</v>
      </c>
      <c r="C920" s="13"/>
      <c r="D920" s="2"/>
      <c r="E920" s="2" t="s">
        <v>97</v>
      </c>
      <c r="F920" s="16" t="s">
        <v>41</v>
      </c>
      <c r="G920" s="271">
        <v>0.25</v>
      </c>
      <c r="H920" s="272">
        <f>G920</f>
        <v>0.25</v>
      </c>
      <c r="I920" s="272">
        <f t="shared" si="114"/>
        <v>0.25</v>
      </c>
      <c r="J920" s="272">
        <f t="shared" si="114"/>
        <v>0.25</v>
      </c>
      <c r="K920" s="272">
        <f t="shared" si="114"/>
        <v>0.25</v>
      </c>
      <c r="L920" s="272">
        <f t="shared" si="114"/>
        <v>0.25</v>
      </c>
      <c r="M920" s="272">
        <f t="shared" si="114"/>
        <v>0.25</v>
      </c>
      <c r="N920" s="272">
        <f t="shared" si="114"/>
        <v>0.25</v>
      </c>
      <c r="O920" s="272">
        <f t="shared" si="114"/>
        <v>0.25</v>
      </c>
      <c r="P920" s="272">
        <f t="shared" si="114"/>
        <v>0.25</v>
      </c>
      <c r="Q920" s="272">
        <f t="shared" si="114"/>
        <v>0.25</v>
      </c>
      <c r="R920" s="5"/>
      <c r="S920" s="13"/>
      <c r="T920" s="5"/>
    </row>
    <row r="921" spans="1:20" s="3" customFormat="1" x14ac:dyDescent="0.25">
      <c r="A921" s="21" t="s">
        <v>450</v>
      </c>
      <c r="B921" s="67" t="s">
        <v>51</v>
      </c>
      <c r="C921" s="13"/>
      <c r="D921" s="2"/>
      <c r="E921" s="2"/>
      <c r="F921" s="63" t="s">
        <v>170</v>
      </c>
      <c r="G921" s="198"/>
      <c r="H921" s="198"/>
      <c r="I921" s="4"/>
      <c r="J921" s="4"/>
      <c r="K921" s="4"/>
      <c r="L921" s="4"/>
      <c r="M921" s="4"/>
      <c r="N921" s="4"/>
      <c r="O921" s="4"/>
      <c r="P921" s="4"/>
      <c r="Q921" s="4"/>
      <c r="R921" s="5"/>
      <c r="S921" s="13"/>
      <c r="T921" s="5"/>
    </row>
    <row r="922" spans="1:20" s="3" customFormat="1" x14ac:dyDescent="0.25">
      <c r="A922" s="21" t="s">
        <v>450</v>
      </c>
      <c r="B922" s="246" t="s">
        <v>38</v>
      </c>
      <c r="C922" s="246"/>
      <c r="D922" s="246"/>
      <c r="E922" s="246" t="s">
        <v>40</v>
      </c>
      <c r="F922" s="9" t="s">
        <v>170</v>
      </c>
      <c r="G922" s="277">
        <v>2000</v>
      </c>
      <c r="H922" s="280">
        <f t="shared" ref="H922:Q924" si="115">G922</f>
        <v>2000</v>
      </c>
      <c r="I922" s="280">
        <f t="shared" si="115"/>
        <v>2000</v>
      </c>
      <c r="J922" s="280">
        <f t="shared" si="115"/>
        <v>2000</v>
      </c>
      <c r="K922" s="280">
        <f t="shared" si="115"/>
        <v>2000</v>
      </c>
      <c r="L922" s="280">
        <f t="shared" si="115"/>
        <v>2000</v>
      </c>
      <c r="M922" s="280">
        <f t="shared" si="115"/>
        <v>2000</v>
      </c>
      <c r="N922" s="280">
        <f t="shared" si="115"/>
        <v>2000</v>
      </c>
      <c r="O922" s="280">
        <f t="shared" si="115"/>
        <v>2000</v>
      </c>
      <c r="P922" s="280">
        <f t="shared" si="115"/>
        <v>2000</v>
      </c>
      <c r="Q922" s="280">
        <f t="shared" si="115"/>
        <v>2000</v>
      </c>
      <c r="R922" s="5"/>
      <c r="S922" s="25"/>
      <c r="T922" s="5"/>
    </row>
    <row r="923" spans="1:20" s="3" customFormat="1" x14ac:dyDescent="0.25">
      <c r="A923" s="21" t="s">
        <v>450</v>
      </c>
      <c r="B923" s="246" t="s">
        <v>37</v>
      </c>
      <c r="C923" s="246"/>
      <c r="D923" s="246"/>
      <c r="E923" s="246" t="s">
        <v>40</v>
      </c>
      <c r="F923" s="9" t="s">
        <v>170</v>
      </c>
      <c r="G923" s="277">
        <v>2100</v>
      </c>
      <c r="H923" s="280">
        <f t="shared" si="115"/>
        <v>2100</v>
      </c>
      <c r="I923" s="280">
        <f t="shared" si="115"/>
        <v>2100</v>
      </c>
      <c r="J923" s="280">
        <f t="shared" si="115"/>
        <v>2100</v>
      </c>
      <c r="K923" s="280">
        <f t="shared" si="115"/>
        <v>2100</v>
      </c>
      <c r="L923" s="280">
        <f t="shared" si="115"/>
        <v>2100</v>
      </c>
      <c r="M923" s="280">
        <f t="shared" si="115"/>
        <v>2100</v>
      </c>
      <c r="N923" s="280">
        <f t="shared" si="115"/>
        <v>2100</v>
      </c>
      <c r="O923" s="280">
        <f t="shared" si="115"/>
        <v>2100</v>
      </c>
      <c r="P923" s="280">
        <f t="shared" si="115"/>
        <v>2100</v>
      </c>
      <c r="Q923" s="280">
        <f t="shared" si="115"/>
        <v>2100</v>
      </c>
      <c r="R923" s="5"/>
      <c r="S923" s="25"/>
      <c r="T923" s="5"/>
    </row>
    <row r="924" spans="1:20" s="3" customFormat="1" x14ac:dyDescent="0.25">
      <c r="A924" s="21" t="s">
        <v>450</v>
      </c>
      <c r="B924" s="246" t="s">
        <v>39</v>
      </c>
      <c r="C924" s="246"/>
      <c r="D924" s="246"/>
      <c r="E924" s="246" t="s">
        <v>10</v>
      </c>
      <c r="F924" s="9" t="s">
        <v>170</v>
      </c>
      <c r="G924" s="55">
        <v>30</v>
      </c>
      <c r="H924" s="262">
        <f t="shared" si="115"/>
        <v>30</v>
      </c>
      <c r="I924" s="262">
        <f t="shared" si="115"/>
        <v>30</v>
      </c>
      <c r="J924" s="262">
        <f t="shared" si="115"/>
        <v>30</v>
      </c>
      <c r="K924" s="262">
        <f t="shared" si="115"/>
        <v>30</v>
      </c>
      <c r="L924" s="262">
        <f t="shared" si="115"/>
        <v>30</v>
      </c>
      <c r="M924" s="262">
        <f t="shared" si="115"/>
        <v>30</v>
      </c>
      <c r="N924" s="262">
        <f t="shared" si="115"/>
        <v>30</v>
      </c>
      <c r="O924" s="262">
        <f t="shared" si="115"/>
        <v>30</v>
      </c>
      <c r="P924" s="262">
        <f t="shared" si="115"/>
        <v>30</v>
      </c>
      <c r="Q924" s="262">
        <f t="shared" si="115"/>
        <v>30</v>
      </c>
      <c r="R924" s="5"/>
      <c r="S924" s="25"/>
      <c r="T924" s="5"/>
    </row>
    <row r="925" spans="1:20" s="3" customFormat="1" x14ac:dyDescent="0.25">
      <c r="A925" s="21" t="s">
        <v>450</v>
      </c>
      <c r="B925" s="246" t="s">
        <v>361</v>
      </c>
      <c r="C925" s="246"/>
      <c r="D925" s="246"/>
      <c r="E925" s="246" t="s">
        <v>10</v>
      </c>
      <c r="F925" s="9" t="s">
        <v>170</v>
      </c>
      <c r="G925" s="55"/>
      <c r="H925" s="55"/>
      <c r="I925" s="55"/>
      <c r="J925" s="55"/>
      <c r="K925" s="55"/>
      <c r="L925" s="55"/>
      <c r="M925" s="55"/>
      <c r="N925" s="55"/>
      <c r="O925" s="55"/>
      <c r="P925" s="55"/>
      <c r="Q925" s="55"/>
      <c r="R925" s="5"/>
      <c r="S925" s="25"/>
      <c r="T925" s="5"/>
    </row>
    <row r="926" spans="1:20" s="3" customFormat="1" x14ac:dyDescent="0.25">
      <c r="A926" s="21" t="s">
        <v>450</v>
      </c>
      <c r="B926" s="246" t="s">
        <v>309</v>
      </c>
      <c r="C926" s="246"/>
      <c r="D926" s="246"/>
      <c r="E926" s="246" t="s">
        <v>97</v>
      </c>
      <c r="F926" s="9" t="s">
        <v>170</v>
      </c>
      <c r="G926" s="271">
        <v>0.125</v>
      </c>
      <c r="H926" s="274">
        <f t="shared" ref="H926:Q926" si="116">G926</f>
        <v>0.125</v>
      </c>
      <c r="I926" s="274">
        <f t="shared" si="116"/>
        <v>0.125</v>
      </c>
      <c r="J926" s="274">
        <f t="shared" si="116"/>
        <v>0.125</v>
      </c>
      <c r="K926" s="274">
        <f t="shared" si="116"/>
        <v>0.125</v>
      </c>
      <c r="L926" s="274">
        <f t="shared" si="116"/>
        <v>0.125</v>
      </c>
      <c r="M926" s="274">
        <f t="shared" si="116"/>
        <v>0.125</v>
      </c>
      <c r="N926" s="274">
        <f t="shared" si="116"/>
        <v>0.125</v>
      </c>
      <c r="O926" s="274">
        <f t="shared" si="116"/>
        <v>0.125</v>
      </c>
      <c r="P926" s="274">
        <f t="shared" si="116"/>
        <v>0.125</v>
      </c>
      <c r="Q926" s="274">
        <f t="shared" si="116"/>
        <v>0.125</v>
      </c>
      <c r="R926" s="5"/>
      <c r="S926" s="25"/>
      <c r="T926" s="5"/>
    </row>
    <row r="927" spans="1:20" s="3" customFormat="1" x14ac:dyDescent="0.25">
      <c r="A927" s="21" t="s">
        <v>450</v>
      </c>
      <c r="B927" s="246" t="s">
        <v>358</v>
      </c>
      <c r="C927" s="246"/>
      <c r="D927" s="246"/>
      <c r="E927" s="246" t="s">
        <v>97</v>
      </c>
      <c r="F927" s="9" t="s">
        <v>170</v>
      </c>
      <c r="G927" s="271"/>
      <c r="H927" s="271"/>
      <c r="I927" s="271"/>
      <c r="J927" s="271"/>
      <c r="K927" s="271"/>
      <c r="L927" s="271"/>
      <c r="M927" s="271"/>
      <c r="N927" s="271"/>
      <c r="O927" s="271"/>
      <c r="P927" s="271"/>
      <c r="Q927" s="271"/>
      <c r="R927" s="5"/>
      <c r="S927" s="25"/>
      <c r="T927" s="5"/>
    </row>
    <row r="928" spans="1:20" s="3" customFormat="1" x14ac:dyDescent="0.25">
      <c r="A928" s="21" t="s">
        <v>450</v>
      </c>
      <c r="B928" s="246" t="s">
        <v>357</v>
      </c>
      <c r="C928" s="246"/>
      <c r="D928" s="246"/>
      <c r="E928" s="246" t="s">
        <v>97</v>
      </c>
      <c r="F928" s="9" t="s">
        <v>170</v>
      </c>
      <c r="G928" s="271"/>
      <c r="H928" s="271"/>
      <c r="I928" s="271"/>
      <c r="J928" s="271"/>
      <c r="K928" s="271"/>
      <c r="L928" s="271"/>
      <c r="M928" s="271"/>
      <c r="N928" s="271"/>
      <c r="O928" s="271"/>
      <c r="P928" s="271"/>
      <c r="Q928" s="271"/>
      <c r="R928" s="5"/>
      <c r="S928" s="25"/>
      <c r="T928" s="5"/>
    </row>
    <row r="929" spans="1:20" s="3" customFormat="1" x14ac:dyDescent="0.25">
      <c r="A929" s="21" t="s">
        <v>450</v>
      </c>
      <c r="B929" s="246" t="s">
        <v>75</v>
      </c>
      <c r="C929" s="246"/>
      <c r="D929" s="246"/>
      <c r="E929" s="246" t="s">
        <v>97</v>
      </c>
      <c r="F929" s="9" t="s">
        <v>170</v>
      </c>
      <c r="G929" s="271">
        <v>0.9</v>
      </c>
      <c r="H929" s="271"/>
      <c r="I929" s="271"/>
      <c r="J929" s="271"/>
      <c r="K929" s="271"/>
      <c r="L929" s="271"/>
      <c r="M929" s="271"/>
      <c r="N929" s="271"/>
      <c r="O929" s="271"/>
      <c r="P929" s="271"/>
      <c r="Q929" s="271"/>
      <c r="R929" s="5"/>
      <c r="S929" s="25"/>
      <c r="T929" s="5"/>
    </row>
    <row r="930" spans="1:20" s="3" customFormat="1" x14ac:dyDescent="0.25">
      <c r="A930" s="21" t="s">
        <v>450</v>
      </c>
      <c r="B930" s="68" t="s">
        <v>148</v>
      </c>
      <c r="C930" s="68"/>
      <c r="D930" s="251"/>
      <c r="E930" s="68" t="s">
        <v>97</v>
      </c>
      <c r="F930" s="9" t="s">
        <v>170</v>
      </c>
      <c r="G930" s="271"/>
      <c r="H930" s="271"/>
      <c r="I930" s="271"/>
      <c r="J930" s="271"/>
      <c r="K930" s="271"/>
      <c r="L930" s="271"/>
      <c r="M930" s="271"/>
      <c r="N930" s="271"/>
      <c r="O930" s="271"/>
      <c r="P930" s="271"/>
      <c r="Q930" s="271"/>
      <c r="R930" s="5"/>
      <c r="S930" s="25"/>
      <c r="T930" s="5"/>
    </row>
    <row r="931" spans="1:20" s="3" customFormat="1" x14ac:dyDescent="0.25">
      <c r="A931" s="21" t="s">
        <v>450</v>
      </c>
      <c r="B931" s="68" t="s">
        <v>149</v>
      </c>
      <c r="C931" s="68"/>
      <c r="D931" s="251"/>
      <c r="E931" s="68" t="s">
        <v>97</v>
      </c>
      <c r="F931" s="9" t="s">
        <v>170</v>
      </c>
      <c r="G931" s="271"/>
      <c r="H931" s="271"/>
      <c r="I931" s="271"/>
      <c r="J931" s="271"/>
      <c r="K931" s="271"/>
      <c r="L931" s="271"/>
      <c r="M931" s="271"/>
      <c r="N931" s="271"/>
      <c r="O931" s="271"/>
      <c r="P931" s="271"/>
      <c r="Q931" s="271"/>
      <c r="R931" s="5"/>
      <c r="S931" s="25"/>
      <c r="T931" s="5"/>
    </row>
    <row r="932" spans="1:20" s="3" customFormat="1" x14ac:dyDescent="0.25">
      <c r="A932" s="21" t="s">
        <v>450</v>
      </c>
      <c r="B932" s="68" t="s">
        <v>370</v>
      </c>
      <c r="C932" s="68"/>
      <c r="D932" s="251"/>
      <c r="E932" s="68" t="s">
        <v>97</v>
      </c>
      <c r="F932" s="9" t="s">
        <v>170</v>
      </c>
      <c r="G932" s="271"/>
      <c r="H932" s="271"/>
      <c r="I932" s="271"/>
      <c r="J932" s="271"/>
      <c r="K932" s="271"/>
      <c r="L932" s="271"/>
      <c r="M932" s="271"/>
      <c r="N932" s="271"/>
      <c r="O932" s="271"/>
      <c r="P932" s="271"/>
      <c r="Q932" s="271"/>
      <c r="R932" s="5"/>
      <c r="S932" s="25"/>
      <c r="T932" s="5"/>
    </row>
    <row r="933" spans="1:20" s="3" customFormat="1" x14ac:dyDescent="0.25">
      <c r="A933" s="21" t="s">
        <v>450</v>
      </c>
      <c r="B933" s="68" t="s">
        <v>371</v>
      </c>
      <c r="C933" s="68"/>
      <c r="D933" s="251"/>
      <c r="E933" s="68" t="s">
        <v>97</v>
      </c>
      <c r="F933" s="9" t="s">
        <v>170</v>
      </c>
      <c r="G933" s="271"/>
      <c r="H933" s="271"/>
      <c r="I933" s="271"/>
      <c r="J933" s="271"/>
      <c r="K933" s="271"/>
      <c r="L933" s="271"/>
      <c r="M933" s="271"/>
      <c r="N933" s="271"/>
      <c r="O933" s="271"/>
      <c r="P933" s="271"/>
      <c r="Q933" s="271"/>
      <c r="R933" s="5"/>
      <c r="S933" s="25"/>
      <c r="T933" s="5"/>
    </row>
    <row r="934" spans="1:20" s="3" customFormat="1" x14ac:dyDescent="0.25">
      <c r="A934" s="21" t="s">
        <v>450</v>
      </c>
      <c r="B934" s="246" t="s">
        <v>338</v>
      </c>
      <c r="C934" s="246"/>
      <c r="D934" s="246"/>
      <c r="E934" s="246" t="s">
        <v>191</v>
      </c>
      <c r="F934" s="9" t="s">
        <v>170</v>
      </c>
      <c r="G934" s="55">
        <f>75*8760*0.56</f>
        <v>367920.00000000006</v>
      </c>
      <c r="H934" s="262">
        <f t="shared" ref="H934:Q935" si="117">G934</f>
        <v>367920.00000000006</v>
      </c>
      <c r="I934" s="262">
        <f t="shared" si="117"/>
        <v>367920.00000000006</v>
      </c>
      <c r="J934" s="262">
        <f t="shared" si="117"/>
        <v>367920.00000000006</v>
      </c>
      <c r="K934" s="262">
        <f t="shared" si="117"/>
        <v>367920.00000000006</v>
      </c>
      <c r="L934" s="262">
        <f t="shared" si="117"/>
        <v>367920.00000000006</v>
      </c>
      <c r="M934" s="262">
        <f t="shared" si="117"/>
        <v>367920.00000000006</v>
      </c>
      <c r="N934" s="262">
        <f t="shared" si="117"/>
        <v>367920.00000000006</v>
      </c>
      <c r="O934" s="262">
        <f t="shared" si="117"/>
        <v>367920.00000000006</v>
      </c>
      <c r="P934" s="262">
        <f t="shared" si="117"/>
        <v>367920.00000000006</v>
      </c>
      <c r="Q934" s="262">
        <f t="shared" si="117"/>
        <v>367920.00000000006</v>
      </c>
      <c r="R934" s="5"/>
      <c r="S934" s="25"/>
      <c r="T934" s="5"/>
    </row>
    <row r="935" spans="1:20" s="3" customFormat="1" x14ac:dyDescent="0.25">
      <c r="A935" s="21" t="s">
        <v>450</v>
      </c>
      <c r="B935" s="246" t="s">
        <v>152</v>
      </c>
      <c r="C935" s="246"/>
      <c r="D935" s="246"/>
      <c r="E935" s="246" t="s">
        <v>321</v>
      </c>
      <c r="F935" s="9" t="s">
        <v>170</v>
      </c>
      <c r="G935" s="55">
        <v>70000000</v>
      </c>
      <c r="H935" s="262">
        <f t="shared" si="117"/>
        <v>70000000</v>
      </c>
      <c r="I935" s="262">
        <f t="shared" si="117"/>
        <v>70000000</v>
      </c>
      <c r="J935" s="262">
        <f t="shared" si="117"/>
        <v>70000000</v>
      </c>
      <c r="K935" s="262">
        <f t="shared" si="117"/>
        <v>70000000</v>
      </c>
      <c r="L935" s="262">
        <f t="shared" si="117"/>
        <v>70000000</v>
      </c>
      <c r="M935" s="262">
        <f t="shared" si="117"/>
        <v>70000000</v>
      </c>
      <c r="N935" s="262">
        <f t="shared" si="117"/>
        <v>70000000</v>
      </c>
      <c r="O935" s="262">
        <f t="shared" si="117"/>
        <v>70000000</v>
      </c>
      <c r="P935" s="262">
        <f t="shared" si="117"/>
        <v>70000000</v>
      </c>
      <c r="Q935" s="262">
        <f t="shared" si="117"/>
        <v>70000000</v>
      </c>
      <c r="R935" s="5"/>
      <c r="S935" s="25"/>
      <c r="T935" s="5"/>
    </row>
    <row r="936" spans="1:20" s="3" customFormat="1" x14ac:dyDescent="0.25">
      <c r="A936" s="21" t="s">
        <v>450</v>
      </c>
      <c r="B936" s="246" t="s">
        <v>383</v>
      </c>
      <c r="C936" s="246"/>
      <c r="D936" s="246"/>
      <c r="E936" s="246" t="s">
        <v>97</v>
      </c>
      <c r="F936" s="9" t="s">
        <v>170</v>
      </c>
      <c r="G936" s="271"/>
      <c r="H936" s="271"/>
      <c r="I936" s="271"/>
      <c r="J936" s="271"/>
      <c r="K936" s="271"/>
      <c r="L936" s="271"/>
      <c r="M936" s="271"/>
      <c r="N936" s="271"/>
      <c r="O936" s="271"/>
      <c r="P936" s="271"/>
      <c r="Q936" s="271"/>
      <c r="R936" s="5"/>
      <c r="S936" s="25"/>
      <c r="T936" s="5"/>
    </row>
    <row r="937" spans="1:20" s="3" customFormat="1" x14ac:dyDescent="0.25">
      <c r="A937" s="21" t="s">
        <v>450</v>
      </c>
      <c r="B937" s="246" t="s">
        <v>446</v>
      </c>
      <c r="C937" s="246"/>
      <c r="D937" s="246"/>
      <c r="E937" s="246" t="s">
        <v>191</v>
      </c>
      <c r="F937" s="9" t="s">
        <v>170</v>
      </c>
      <c r="G937" s="55"/>
      <c r="H937" s="55"/>
      <c r="I937" s="55"/>
      <c r="J937" s="55"/>
      <c r="K937" s="55"/>
      <c r="L937" s="55"/>
      <c r="M937" s="55"/>
      <c r="N937" s="55"/>
      <c r="O937" s="55"/>
      <c r="P937" s="55"/>
      <c r="Q937" s="55"/>
      <c r="R937" s="5"/>
      <c r="S937" s="25"/>
      <c r="T937" s="5"/>
    </row>
    <row r="938" spans="1:20" s="3" customFormat="1" x14ac:dyDescent="0.25">
      <c r="A938" s="21" t="s">
        <v>450</v>
      </c>
      <c r="B938" s="246" t="s">
        <v>387</v>
      </c>
      <c r="C938" s="246"/>
      <c r="D938" s="246"/>
      <c r="E938" s="246"/>
      <c r="F938" s="9" t="s">
        <v>170</v>
      </c>
      <c r="G938" s="54"/>
      <c r="H938" s="54"/>
      <c r="I938" s="54"/>
      <c r="J938" s="54"/>
      <c r="K938" s="54"/>
      <c r="L938" s="54"/>
      <c r="M938" s="54"/>
      <c r="N938" s="54"/>
      <c r="O938" s="54"/>
      <c r="P938" s="54"/>
      <c r="Q938" s="54"/>
      <c r="R938" s="5"/>
      <c r="S938" s="25"/>
      <c r="T938" s="5"/>
    </row>
    <row r="939" spans="1:20" s="3" customFormat="1" x14ac:dyDescent="0.25">
      <c r="A939" s="21" t="s">
        <v>450</v>
      </c>
      <c r="B939" s="246" t="s">
        <v>369</v>
      </c>
      <c r="C939" s="246"/>
      <c r="D939" s="246"/>
      <c r="E939" s="246" t="s">
        <v>97</v>
      </c>
      <c r="F939" s="9" t="s">
        <v>170</v>
      </c>
      <c r="G939" s="271"/>
      <c r="H939" s="271"/>
      <c r="I939" s="271"/>
      <c r="J939" s="271"/>
      <c r="K939" s="271"/>
      <c r="L939" s="271"/>
      <c r="M939" s="271"/>
      <c r="N939" s="271"/>
      <c r="O939" s="271"/>
      <c r="P939" s="271"/>
      <c r="Q939" s="271"/>
      <c r="R939" s="5"/>
      <c r="S939" s="25"/>
      <c r="T939" s="5"/>
    </row>
    <row r="940" spans="1:20" s="3" customFormat="1" x14ac:dyDescent="0.25">
      <c r="A940" s="21" t="s">
        <v>450</v>
      </c>
      <c r="B940" s="246" t="s">
        <v>392</v>
      </c>
      <c r="C940" s="246"/>
      <c r="D940" s="246"/>
      <c r="E940" s="246" t="s">
        <v>321</v>
      </c>
      <c r="F940" s="9" t="s">
        <v>170</v>
      </c>
      <c r="G940" s="55"/>
      <c r="H940" s="55"/>
      <c r="I940" s="55"/>
      <c r="J940" s="55"/>
      <c r="K940" s="55"/>
      <c r="L940" s="55"/>
      <c r="M940" s="55"/>
      <c r="N940" s="55"/>
      <c r="O940" s="55"/>
      <c r="P940" s="55"/>
      <c r="Q940" s="55"/>
      <c r="R940" s="5"/>
      <c r="S940" s="25"/>
      <c r="T940" s="5"/>
    </row>
    <row r="941" spans="1:20" s="3" customFormat="1" x14ac:dyDescent="0.25">
      <c r="A941" s="21" t="s">
        <v>450</v>
      </c>
      <c r="B941" s="246" t="s">
        <v>394</v>
      </c>
      <c r="C941" s="246"/>
      <c r="D941" s="246"/>
      <c r="E941" s="246" t="s">
        <v>321</v>
      </c>
      <c r="F941" s="9" t="s">
        <v>170</v>
      </c>
      <c r="G941" s="55"/>
      <c r="H941" s="55"/>
      <c r="I941" s="55"/>
      <c r="J941" s="55"/>
      <c r="K941" s="55"/>
      <c r="L941" s="55"/>
      <c r="M941" s="55"/>
      <c r="N941" s="55"/>
      <c r="O941" s="55"/>
      <c r="P941" s="55"/>
      <c r="Q941" s="55"/>
      <c r="R941" s="5"/>
      <c r="S941" s="25"/>
      <c r="T941" s="5"/>
    </row>
    <row r="942" spans="1:20" s="3" customFormat="1" x14ac:dyDescent="0.25">
      <c r="A942" s="21" t="s">
        <v>450</v>
      </c>
      <c r="B942" s="246" t="s">
        <v>395</v>
      </c>
      <c r="C942" s="246"/>
      <c r="D942" s="246"/>
      <c r="E942" s="246"/>
      <c r="F942" s="9" t="s">
        <v>170</v>
      </c>
      <c r="G942" s="54"/>
      <c r="H942" s="54"/>
      <c r="I942" s="54"/>
      <c r="J942" s="54"/>
      <c r="K942" s="54"/>
      <c r="L942" s="54"/>
      <c r="M942" s="54"/>
      <c r="N942" s="54"/>
      <c r="O942" s="54"/>
      <c r="P942" s="54"/>
      <c r="Q942" s="54"/>
      <c r="R942" s="5"/>
      <c r="S942" s="25"/>
      <c r="T942" s="5"/>
    </row>
    <row r="943" spans="1:20" s="3" customFormat="1" x14ac:dyDescent="0.25">
      <c r="A943" s="21" t="s">
        <v>450</v>
      </c>
      <c r="B943" s="246" t="s">
        <v>396</v>
      </c>
      <c r="C943" s="246"/>
      <c r="D943" s="246"/>
      <c r="E943" s="246"/>
      <c r="F943" s="9" t="s">
        <v>170</v>
      </c>
      <c r="G943" s="54"/>
      <c r="H943" s="54"/>
      <c r="I943" s="54"/>
      <c r="J943" s="54"/>
      <c r="K943" s="54"/>
      <c r="L943" s="54"/>
      <c r="M943" s="54"/>
      <c r="N943" s="54"/>
      <c r="O943" s="54"/>
      <c r="P943" s="54"/>
      <c r="Q943" s="54"/>
      <c r="R943" s="5"/>
      <c r="S943" s="25"/>
      <c r="T943" s="5"/>
    </row>
    <row r="944" spans="1:20" s="3" customFormat="1" x14ac:dyDescent="0.25">
      <c r="A944" s="21" t="s">
        <v>450</v>
      </c>
      <c r="B944" s="246" t="s">
        <v>393</v>
      </c>
      <c r="C944" s="246"/>
      <c r="D944" s="246"/>
      <c r="E944" s="246" t="s">
        <v>337</v>
      </c>
      <c r="F944" s="9" t="s">
        <v>170</v>
      </c>
      <c r="G944" s="55"/>
      <c r="H944" s="55"/>
      <c r="I944" s="55"/>
      <c r="J944" s="55"/>
      <c r="K944" s="55"/>
      <c r="L944" s="55"/>
      <c r="M944" s="55"/>
      <c r="N944" s="55"/>
      <c r="O944" s="55"/>
      <c r="P944" s="55"/>
      <c r="Q944" s="55"/>
      <c r="R944" s="5"/>
      <c r="S944" s="25"/>
      <c r="T944" s="5"/>
    </row>
    <row r="945" spans="1:20" s="3" customFormat="1" x14ac:dyDescent="0.25">
      <c r="A945" s="21" t="s">
        <v>450</v>
      </c>
      <c r="B945" s="246" t="s">
        <v>397</v>
      </c>
      <c r="C945" s="246"/>
      <c r="D945" s="246"/>
      <c r="E945" s="246" t="s">
        <v>337</v>
      </c>
      <c r="F945" s="9" t="s">
        <v>170</v>
      </c>
      <c r="G945" s="55"/>
      <c r="H945" s="55"/>
      <c r="I945" s="55"/>
      <c r="J945" s="55"/>
      <c r="K945" s="55"/>
      <c r="L945" s="55"/>
      <c r="M945" s="55"/>
      <c r="N945" s="55"/>
      <c r="O945" s="55"/>
      <c r="P945" s="55"/>
      <c r="Q945" s="55"/>
      <c r="R945" s="5"/>
      <c r="S945" s="25"/>
      <c r="T945" s="5"/>
    </row>
    <row r="946" spans="1:20" s="3" customFormat="1" x14ac:dyDescent="0.25">
      <c r="A946" s="21" t="s">
        <v>450</v>
      </c>
      <c r="B946" s="246" t="s">
        <v>398</v>
      </c>
      <c r="C946" s="246"/>
      <c r="D946" s="246"/>
      <c r="E946" s="246"/>
      <c r="F946" s="9" t="s">
        <v>170</v>
      </c>
      <c r="G946" s="54"/>
      <c r="H946" s="54"/>
      <c r="I946" s="54"/>
      <c r="J946" s="54"/>
      <c r="K946" s="54"/>
      <c r="L946" s="54"/>
      <c r="M946" s="54"/>
      <c r="N946" s="54"/>
      <c r="O946" s="54"/>
      <c r="P946" s="54"/>
      <c r="Q946" s="54"/>
      <c r="R946" s="5"/>
      <c r="S946" s="25"/>
      <c r="T946" s="5"/>
    </row>
    <row r="947" spans="1:20" s="3" customFormat="1" x14ac:dyDescent="0.25">
      <c r="A947" s="21" t="s">
        <v>450</v>
      </c>
      <c r="B947" s="246" t="s">
        <v>399</v>
      </c>
      <c r="C947" s="246"/>
      <c r="D947" s="246"/>
      <c r="E947" s="246"/>
      <c r="F947" s="9" t="s">
        <v>170</v>
      </c>
      <c r="G947" s="54"/>
      <c r="H947" s="54"/>
      <c r="I947" s="54"/>
      <c r="J947" s="54"/>
      <c r="K947" s="54"/>
      <c r="L947" s="54"/>
      <c r="M947" s="54"/>
      <c r="N947" s="54"/>
      <c r="O947" s="54"/>
      <c r="P947" s="54"/>
      <c r="Q947" s="54"/>
      <c r="R947" s="5"/>
      <c r="S947" s="25"/>
      <c r="T947" s="5"/>
    </row>
    <row r="948" spans="1:20" s="3" customFormat="1" x14ac:dyDescent="0.25">
      <c r="A948" s="21" t="s">
        <v>450</v>
      </c>
      <c r="B948" s="246" t="s">
        <v>310</v>
      </c>
      <c r="C948" s="246"/>
      <c r="D948" s="246"/>
      <c r="E948" s="246" t="s">
        <v>337</v>
      </c>
      <c r="F948" s="9" t="s">
        <v>170</v>
      </c>
      <c r="G948" s="55">
        <v>1000000</v>
      </c>
      <c r="H948" s="262">
        <f t="shared" ref="H948:Q948" si="118">G948</f>
        <v>1000000</v>
      </c>
      <c r="I948" s="262">
        <f t="shared" si="118"/>
        <v>1000000</v>
      </c>
      <c r="J948" s="262">
        <f t="shared" si="118"/>
        <v>1000000</v>
      </c>
      <c r="K948" s="262">
        <f t="shared" si="118"/>
        <v>1000000</v>
      </c>
      <c r="L948" s="262">
        <f t="shared" si="118"/>
        <v>1000000</v>
      </c>
      <c r="M948" s="262">
        <f t="shared" si="118"/>
        <v>1000000</v>
      </c>
      <c r="N948" s="262">
        <f t="shared" si="118"/>
        <v>1000000</v>
      </c>
      <c r="O948" s="262">
        <f t="shared" si="118"/>
        <v>1000000</v>
      </c>
      <c r="P948" s="262">
        <f t="shared" si="118"/>
        <v>1000000</v>
      </c>
      <c r="Q948" s="262">
        <f t="shared" si="118"/>
        <v>1000000</v>
      </c>
      <c r="R948" s="5"/>
      <c r="S948" s="25"/>
      <c r="T948" s="5"/>
    </row>
    <row r="949" spans="1:20" s="3" customFormat="1" x14ac:dyDescent="0.25">
      <c r="A949" s="21" t="s">
        <v>450</v>
      </c>
      <c r="B949" s="246" t="s">
        <v>360</v>
      </c>
      <c r="C949" s="246"/>
      <c r="D949" s="246"/>
      <c r="E949" s="246" t="s">
        <v>321</v>
      </c>
      <c r="F949" s="9" t="s">
        <v>170</v>
      </c>
      <c r="G949" s="55"/>
      <c r="H949" s="55"/>
      <c r="I949" s="55"/>
      <c r="J949" s="55"/>
      <c r="K949" s="55"/>
      <c r="L949" s="55"/>
      <c r="M949" s="55"/>
      <c r="N949" s="55"/>
      <c r="O949" s="55"/>
      <c r="P949" s="55"/>
      <c r="Q949" s="55"/>
      <c r="R949" s="5"/>
      <c r="S949" s="25"/>
      <c r="T949" s="5"/>
    </row>
    <row r="950" spans="1:20" s="3" customFormat="1" x14ac:dyDescent="0.25">
      <c r="A950" s="21" t="s">
        <v>450</v>
      </c>
      <c r="B950" s="67" t="s">
        <v>306</v>
      </c>
      <c r="C950" s="13"/>
      <c r="D950" s="3" t="s">
        <v>475</v>
      </c>
      <c r="E950" s="2" t="s">
        <v>350</v>
      </c>
      <c r="F950" s="9" t="s">
        <v>170</v>
      </c>
      <c r="G950" s="54">
        <f>GJ_per_MWh/0.33</f>
        <v>10.909090909090908</v>
      </c>
      <c r="H950" s="284">
        <f t="shared" ref="H950:Q951" si="119">G950</f>
        <v>10.909090909090908</v>
      </c>
      <c r="I950" s="284">
        <f t="shared" si="119"/>
        <v>10.909090909090908</v>
      </c>
      <c r="J950" s="284">
        <f t="shared" si="119"/>
        <v>10.909090909090908</v>
      </c>
      <c r="K950" s="284">
        <f t="shared" si="119"/>
        <v>10.909090909090908</v>
      </c>
      <c r="L950" s="284">
        <f t="shared" si="119"/>
        <v>10.909090909090908</v>
      </c>
      <c r="M950" s="284">
        <f t="shared" si="119"/>
        <v>10.909090909090908</v>
      </c>
      <c r="N950" s="284">
        <f t="shared" si="119"/>
        <v>10.909090909090908</v>
      </c>
      <c r="O950" s="284">
        <f t="shared" si="119"/>
        <v>10.909090909090908</v>
      </c>
      <c r="P950" s="284">
        <f t="shared" si="119"/>
        <v>10.909090909090908</v>
      </c>
      <c r="Q950" s="284">
        <f t="shared" si="119"/>
        <v>10.909090909090908</v>
      </c>
      <c r="R950" s="5"/>
      <c r="S950" s="13"/>
      <c r="T950" s="5"/>
    </row>
    <row r="951" spans="1:20" s="3" customFormat="1" x14ac:dyDescent="0.25">
      <c r="A951" s="21" t="s">
        <v>450</v>
      </c>
      <c r="B951" s="67" t="s">
        <v>306</v>
      </c>
      <c r="C951" s="13"/>
      <c r="D951" s="3" t="s">
        <v>480</v>
      </c>
      <c r="E951" s="2" t="s">
        <v>351</v>
      </c>
      <c r="F951" s="9" t="s">
        <v>170</v>
      </c>
      <c r="G951" s="54">
        <v>1</v>
      </c>
      <c r="H951" s="284">
        <f t="shared" si="119"/>
        <v>1</v>
      </c>
      <c r="I951" s="284">
        <f t="shared" si="119"/>
        <v>1</v>
      </c>
      <c r="J951" s="284">
        <f t="shared" si="119"/>
        <v>1</v>
      </c>
      <c r="K951" s="284">
        <f t="shared" si="119"/>
        <v>1</v>
      </c>
      <c r="L951" s="284">
        <f t="shared" si="119"/>
        <v>1</v>
      </c>
      <c r="M951" s="284">
        <f t="shared" si="119"/>
        <v>1</v>
      </c>
      <c r="N951" s="284">
        <f t="shared" si="119"/>
        <v>1</v>
      </c>
      <c r="O951" s="284">
        <f t="shared" si="119"/>
        <v>1</v>
      </c>
      <c r="P951" s="284">
        <f t="shared" si="119"/>
        <v>1</v>
      </c>
      <c r="Q951" s="284">
        <f t="shared" si="119"/>
        <v>1</v>
      </c>
      <c r="R951" s="5"/>
      <c r="S951" s="13"/>
      <c r="T951" s="5"/>
    </row>
    <row r="952" spans="1:20" s="3" customFormat="1" x14ac:dyDescent="0.25">
      <c r="A952" s="21" t="s">
        <v>450</v>
      </c>
      <c r="B952" s="67" t="s">
        <v>51</v>
      </c>
      <c r="C952" s="13"/>
      <c r="D952" s="2"/>
      <c r="E952" s="2"/>
      <c r="F952" s="63" t="s">
        <v>267</v>
      </c>
      <c r="G952" s="198"/>
      <c r="H952" s="198"/>
      <c r="I952" s="4"/>
      <c r="J952" s="4"/>
      <c r="K952" s="4"/>
      <c r="L952" s="4"/>
      <c r="M952" s="4"/>
      <c r="N952" s="4"/>
      <c r="O952" s="4"/>
      <c r="P952" s="4"/>
      <c r="Q952" s="4"/>
      <c r="R952" s="5"/>
      <c r="S952" s="13"/>
      <c r="T952" s="5"/>
    </row>
    <row r="953" spans="1:20" s="3" customFormat="1" x14ac:dyDescent="0.25">
      <c r="A953" s="21" t="s">
        <v>450</v>
      </c>
      <c r="B953" s="246" t="s">
        <v>38</v>
      </c>
      <c r="C953" s="246"/>
      <c r="D953" s="246"/>
      <c r="E953" s="246" t="s">
        <v>40</v>
      </c>
      <c r="F953" s="9" t="s">
        <v>267</v>
      </c>
      <c r="G953" s="277">
        <v>2000</v>
      </c>
      <c r="H953" s="280">
        <f t="shared" ref="H953:Q955" si="120">G953</f>
        <v>2000</v>
      </c>
      <c r="I953" s="280">
        <f t="shared" si="120"/>
        <v>2000</v>
      </c>
      <c r="J953" s="280">
        <f t="shared" si="120"/>
        <v>2000</v>
      </c>
      <c r="K953" s="280">
        <f t="shared" si="120"/>
        <v>2000</v>
      </c>
      <c r="L953" s="280">
        <f t="shared" si="120"/>
        <v>2000</v>
      </c>
      <c r="M953" s="280">
        <f t="shared" si="120"/>
        <v>2000</v>
      </c>
      <c r="N953" s="280">
        <f t="shared" si="120"/>
        <v>2000</v>
      </c>
      <c r="O953" s="280">
        <f t="shared" si="120"/>
        <v>2000</v>
      </c>
      <c r="P953" s="280">
        <f t="shared" si="120"/>
        <v>2000</v>
      </c>
      <c r="Q953" s="280">
        <f t="shared" si="120"/>
        <v>2000</v>
      </c>
      <c r="R953" s="5"/>
      <c r="S953" s="25"/>
      <c r="T953" s="5"/>
    </row>
    <row r="954" spans="1:20" s="3" customFormat="1" x14ac:dyDescent="0.25">
      <c r="A954" s="21" t="s">
        <v>450</v>
      </c>
      <c r="B954" s="246" t="s">
        <v>37</v>
      </c>
      <c r="C954" s="246"/>
      <c r="D954" s="246"/>
      <c r="E954" s="246" t="s">
        <v>40</v>
      </c>
      <c r="F954" s="9" t="s">
        <v>267</v>
      </c>
      <c r="G954" s="277">
        <v>2100</v>
      </c>
      <c r="H954" s="280">
        <f t="shared" si="120"/>
        <v>2100</v>
      </c>
      <c r="I954" s="280">
        <f t="shared" si="120"/>
        <v>2100</v>
      </c>
      <c r="J954" s="280">
        <f t="shared" si="120"/>
        <v>2100</v>
      </c>
      <c r="K954" s="280">
        <f t="shared" si="120"/>
        <v>2100</v>
      </c>
      <c r="L954" s="280">
        <f t="shared" si="120"/>
        <v>2100</v>
      </c>
      <c r="M954" s="280">
        <f t="shared" si="120"/>
        <v>2100</v>
      </c>
      <c r="N954" s="280">
        <f t="shared" si="120"/>
        <v>2100</v>
      </c>
      <c r="O954" s="280">
        <f t="shared" si="120"/>
        <v>2100</v>
      </c>
      <c r="P954" s="280">
        <f t="shared" si="120"/>
        <v>2100</v>
      </c>
      <c r="Q954" s="280">
        <f t="shared" si="120"/>
        <v>2100</v>
      </c>
      <c r="R954" s="5"/>
      <c r="S954" s="25"/>
      <c r="T954" s="5"/>
    </row>
    <row r="955" spans="1:20" s="3" customFormat="1" x14ac:dyDescent="0.25">
      <c r="A955" s="21" t="s">
        <v>450</v>
      </c>
      <c r="B955" s="246" t="s">
        <v>39</v>
      </c>
      <c r="C955" s="246"/>
      <c r="D955" s="246"/>
      <c r="E955" s="246" t="s">
        <v>10</v>
      </c>
      <c r="F955" s="9" t="s">
        <v>267</v>
      </c>
      <c r="G955" s="55">
        <v>30</v>
      </c>
      <c r="H955" s="262">
        <f t="shared" si="120"/>
        <v>30</v>
      </c>
      <c r="I955" s="262">
        <f t="shared" si="120"/>
        <v>30</v>
      </c>
      <c r="J955" s="262">
        <f t="shared" si="120"/>
        <v>30</v>
      </c>
      <c r="K955" s="262">
        <f t="shared" si="120"/>
        <v>30</v>
      </c>
      <c r="L955" s="262">
        <f t="shared" si="120"/>
        <v>30</v>
      </c>
      <c r="M955" s="262">
        <f t="shared" si="120"/>
        <v>30</v>
      </c>
      <c r="N955" s="262">
        <f t="shared" si="120"/>
        <v>30</v>
      </c>
      <c r="O955" s="262">
        <f t="shared" si="120"/>
        <v>30</v>
      </c>
      <c r="P955" s="262">
        <f t="shared" si="120"/>
        <v>30</v>
      </c>
      <c r="Q955" s="262">
        <f t="shared" si="120"/>
        <v>30</v>
      </c>
      <c r="R955" s="5"/>
      <c r="S955" s="25"/>
      <c r="T955" s="5"/>
    </row>
    <row r="956" spans="1:20" s="3" customFormat="1" x14ac:dyDescent="0.25">
      <c r="A956" s="21" t="s">
        <v>450</v>
      </c>
      <c r="B956" s="246" t="s">
        <v>361</v>
      </c>
      <c r="C956" s="246"/>
      <c r="D956" s="246"/>
      <c r="E956" s="246" t="s">
        <v>10</v>
      </c>
      <c r="F956" s="9" t="s">
        <v>267</v>
      </c>
      <c r="G956" s="55"/>
      <c r="H956" s="55"/>
      <c r="I956" s="55"/>
      <c r="J956" s="55"/>
      <c r="K956" s="55"/>
      <c r="L956" s="55"/>
      <c r="M956" s="55"/>
      <c r="N956" s="55"/>
      <c r="O956" s="55"/>
      <c r="P956" s="55"/>
      <c r="Q956" s="55"/>
      <c r="R956" s="5"/>
      <c r="S956" s="25"/>
      <c r="T956" s="5"/>
    </row>
    <row r="957" spans="1:20" s="3" customFormat="1" x14ac:dyDescent="0.25">
      <c r="A957" s="21" t="s">
        <v>450</v>
      </c>
      <c r="B957" s="246" t="s">
        <v>309</v>
      </c>
      <c r="C957" s="246"/>
      <c r="D957" s="246"/>
      <c r="E957" s="246" t="s">
        <v>97</v>
      </c>
      <c r="F957" s="9" t="s">
        <v>267</v>
      </c>
      <c r="G957" s="271">
        <v>0.125</v>
      </c>
      <c r="H957" s="274">
        <f t="shared" ref="H957:Q957" si="121">G957</f>
        <v>0.125</v>
      </c>
      <c r="I957" s="274">
        <f t="shared" si="121"/>
        <v>0.125</v>
      </c>
      <c r="J957" s="274">
        <f t="shared" si="121"/>
        <v>0.125</v>
      </c>
      <c r="K957" s="274">
        <f t="shared" si="121"/>
        <v>0.125</v>
      </c>
      <c r="L957" s="274">
        <f t="shared" si="121"/>
        <v>0.125</v>
      </c>
      <c r="M957" s="274">
        <f t="shared" si="121"/>
        <v>0.125</v>
      </c>
      <c r="N957" s="274">
        <f t="shared" si="121"/>
        <v>0.125</v>
      </c>
      <c r="O957" s="274">
        <f t="shared" si="121"/>
        <v>0.125</v>
      </c>
      <c r="P957" s="274">
        <f t="shared" si="121"/>
        <v>0.125</v>
      </c>
      <c r="Q957" s="274">
        <f t="shared" si="121"/>
        <v>0.125</v>
      </c>
      <c r="R957" s="5"/>
      <c r="S957" s="25"/>
      <c r="T957" s="5"/>
    </row>
    <row r="958" spans="1:20" s="3" customFormat="1" x14ac:dyDescent="0.25">
      <c r="A958" s="21" t="s">
        <v>450</v>
      </c>
      <c r="B958" s="246" t="s">
        <v>358</v>
      </c>
      <c r="C958" s="246"/>
      <c r="D958" s="246"/>
      <c r="E958" s="246" t="s">
        <v>97</v>
      </c>
      <c r="F958" s="9" t="s">
        <v>267</v>
      </c>
      <c r="G958" s="271"/>
      <c r="H958" s="271"/>
      <c r="I958" s="271"/>
      <c r="J958" s="271"/>
      <c r="K958" s="271"/>
      <c r="L958" s="271"/>
      <c r="M958" s="271"/>
      <c r="N958" s="271"/>
      <c r="O958" s="271"/>
      <c r="P958" s="271"/>
      <c r="Q958" s="271"/>
      <c r="R958" s="5"/>
      <c r="S958" s="25"/>
      <c r="T958" s="5"/>
    </row>
    <row r="959" spans="1:20" s="3" customFormat="1" x14ac:dyDescent="0.25">
      <c r="A959" s="21" t="s">
        <v>450</v>
      </c>
      <c r="B959" s="246" t="s">
        <v>357</v>
      </c>
      <c r="C959" s="246"/>
      <c r="D959" s="246"/>
      <c r="E959" s="246" t="s">
        <v>97</v>
      </c>
      <c r="F959" s="9" t="s">
        <v>267</v>
      </c>
      <c r="G959" s="271"/>
      <c r="H959" s="271"/>
      <c r="I959" s="271"/>
      <c r="J959" s="271"/>
      <c r="K959" s="271"/>
      <c r="L959" s="271"/>
      <c r="M959" s="271"/>
      <c r="N959" s="271"/>
      <c r="O959" s="271"/>
      <c r="P959" s="271"/>
      <c r="Q959" s="271"/>
      <c r="R959" s="5"/>
      <c r="S959" s="25"/>
      <c r="T959" s="5"/>
    </row>
    <row r="960" spans="1:20" s="3" customFormat="1" x14ac:dyDescent="0.25">
      <c r="A960" s="21" t="s">
        <v>450</v>
      </c>
      <c r="B960" s="246" t="s">
        <v>75</v>
      </c>
      <c r="C960" s="246"/>
      <c r="D960" s="246"/>
      <c r="E960" s="246" t="s">
        <v>97</v>
      </c>
      <c r="F960" s="9" t="s">
        <v>267</v>
      </c>
      <c r="G960" s="271">
        <v>0</v>
      </c>
      <c r="H960" s="271"/>
      <c r="I960" s="271"/>
      <c r="J960" s="271"/>
      <c r="K960" s="271"/>
      <c r="L960" s="271"/>
      <c r="M960" s="271"/>
      <c r="N960" s="271"/>
      <c r="O960" s="271"/>
      <c r="P960" s="271"/>
      <c r="Q960" s="271"/>
      <c r="R960" s="5"/>
      <c r="S960" s="25"/>
      <c r="T960" s="5"/>
    </row>
    <row r="961" spans="1:20" s="3" customFormat="1" x14ac:dyDescent="0.25">
      <c r="A961" s="21" t="s">
        <v>450</v>
      </c>
      <c r="B961" s="68" t="s">
        <v>148</v>
      </c>
      <c r="C961" s="68"/>
      <c r="D961" s="251"/>
      <c r="E961" s="68" t="s">
        <v>97</v>
      </c>
      <c r="F961" s="9" t="s">
        <v>267</v>
      </c>
      <c r="G961" s="271"/>
      <c r="H961" s="271"/>
      <c r="I961" s="271"/>
      <c r="J961" s="271"/>
      <c r="K961" s="271"/>
      <c r="L961" s="271"/>
      <c r="M961" s="271"/>
      <c r="N961" s="271"/>
      <c r="O961" s="271"/>
      <c r="P961" s="271"/>
      <c r="Q961" s="271"/>
      <c r="R961" s="5"/>
      <c r="S961" s="25"/>
      <c r="T961" s="5"/>
    </row>
    <row r="962" spans="1:20" s="3" customFormat="1" x14ac:dyDescent="0.25">
      <c r="A962" s="21" t="s">
        <v>450</v>
      </c>
      <c r="B962" s="68" t="s">
        <v>149</v>
      </c>
      <c r="C962" s="68"/>
      <c r="D962" s="251"/>
      <c r="E962" s="68" t="s">
        <v>97</v>
      </c>
      <c r="F962" s="9" t="s">
        <v>267</v>
      </c>
      <c r="G962" s="271"/>
      <c r="H962" s="271"/>
      <c r="I962" s="271"/>
      <c r="J962" s="271"/>
      <c r="K962" s="271"/>
      <c r="L962" s="271"/>
      <c r="M962" s="271"/>
      <c r="N962" s="271"/>
      <c r="O962" s="271"/>
      <c r="P962" s="271"/>
      <c r="Q962" s="271"/>
      <c r="R962" s="5"/>
      <c r="S962" s="25"/>
      <c r="T962" s="5"/>
    </row>
    <row r="963" spans="1:20" s="3" customFormat="1" x14ac:dyDescent="0.25">
      <c r="A963" s="21" t="s">
        <v>450</v>
      </c>
      <c r="B963" s="68" t="s">
        <v>370</v>
      </c>
      <c r="C963" s="68"/>
      <c r="D963" s="251"/>
      <c r="E963" s="68" t="s">
        <v>97</v>
      </c>
      <c r="F963" s="9" t="s">
        <v>267</v>
      </c>
      <c r="G963" s="271"/>
      <c r="H963" s="271"/>
      <c r="I963" s="271"/>
      <c r="J963" s="271"/>
      <c r="K963" s="271"/>
      <c r="L963" s="271"/>
      <c r="M963" s="271"/>
      <c r="N963" s="271"/>
      <c r="O963" s="271"/>
      <c r="P963" s="271"/>
      <c r="Q963" s="271"/>
      <c r="R963" s="5"/>
      <c r="S963" s="25"/>
      <c r="T963" s="5"/>
    </row>
    <row r="964" spans="1:20" s="3" customFormat="1" x14ac:dyDescent="0.25">
      <c r="A964" s="21" t="s">
        <v>450</v>
      </c>
      <c r="B964" s="68" t="s">
        <v>371</v>
      </c>
      <c r="C964" s="68"/>
      <c r="D964" s="251"/>
      <c r="E964" s="68" t="s">
        <v>97</v>
      </c>
      <c r="F964" s="9" t="s">
        <v>267</v>
      </c>
      <c r="G964" s="271"/>
      <c r="H964" s="271"/>
      <c r="I964" s="271"/>
      <c r="J964" s="271"/>
      <c r="K964" s="271"/>
      <c r="L964" s="271"/>
      <c r="M964" s="271"/>
      <c r="N964" s="271"/>
      <c r="O964" s="271"/>
      <c r="P964" s="271"/>
      <c r="Q964" s="271"/>
      <c r="R964" s="5"/>
      <c r="S964" s="25"/>
      <c r="T964" s="5"/>
    </row>
    <row r="965" spans="1:20" s="3" customFormat="1" x14ac:dyDescent="0.25">
      <c r="A965" s="21" t="s">
        <v>450</v>
      </c>
      <c r="B965" s="246" t="s">
        <v>338</v>
      </c>
      <c r="C965" s="246"/>
      <c r="D965" s="246"/>
      <c r="E965" s="246" t="s">
        <v>191</v>
      </c>
      <c r="F965" s="9" t="s">
        <v>267</v>
      </c>
      <c r="G965" s="55">
        <f>150*8760*0.56</f>
        <v>735840.00000000012</v>
      </c>
      <c r="H965" s="262">
        <f t="shared" ref="H965:Q966" si="122">G965</f>
        <v>735840.00000000012</v>
      </c>
      <c r="I965" s="262">
        <f t="shared" si="122"/>
        <v>735840.00000000012</v>
      </c>
      <c r="J965" s="262">
        <f t="shared" si="122"/>
        <v>735840.00000000012</v>
      </c>
      <c r="K965" s="262">
        <f t="shared" si="122"/>
        <v>735840.00000000012</v>
      </c>
      <c r="L965" s="262">
        <f t="shared" si="122"/>
        <v>735840.00000000012</v>
      </c>
      <c r="M965" s="262">
        <f t="shared" si="122"/>
        <v>735840.00000000012</v>
      </c>
      <c r="N965" s="262">
        <f t="shared" si="122"/>
        <v>735840.00000000012</v>
      </c>
      <c r="O965" s="262">
        <f t="shared" si="122"/>
        <v>735840.00000000012</v>
      </c>
      <c r="P965" s="262">
        <f t="shared" si="122"/>
        <v>735840.00000000012</v>
      </c>
      <c r="Q965" s="262">
        <f t="shared" si="122"/>
        <v>735840.00000000012</v>
      </c>
      <c r="R965" s="5"/>
      <c r="S965" s="25"/>
      <c r="T965" s="5"/>
    </row>
    <row r="966" spans="1:20" s="3" customFormat="1" x14ac:dyDescent="0.25">
      <c r="A966" s="21" t="s">
        <v>450</v>
      </c>
      <c r="B966" s="246" t="s">
        <v>152</v>
      </c>
      <c r="C966" s="246"/>
      <c r="D966" s="246"/>
      <c r="E966" s="246" t="s">
        <v>321</v>
      </c>
      <c r="F966" s="9" t="s">
        <v>267</v>
      </c>
      <c r="G966" s="55">
        <v>146700000</v>
      </c>
      <c r="H966" s="262">
        <f t="shared" si="122"/>
        <v>146700000</v>
      </c>
      <c r="I966" s="262">
        <f t="shared" si="122"/>
        <v>146700000</v>
      </c>
      <c r="J966" s="262">
        <f t="shared" si="122"/>
        <v>146700000</v>
      </c>
      <c r="K966" s="262">
        <f t="shared" si="122"/>
        <v>146700000</v>
      </c>
      <c r="L966" s="262">
        <f t="shared" si="122"/>
        <v>146700000</v>
      </c>
      <c r="M966" s="262">
        <f t="shared" si="122"/>
        <v>146700000</v>
      </c>
      <c r="N966" s="262">
        <f t="shared" si="122"/>
        <v>146700000</v>
      </c>
      <c r="O966" s="262">
        <f t="shared" si="122"/>
        <v>146700000</v>
      </c>
      <c r="P966" s="262">
        <f t="shared" si="122"/>
        <v>146700000</v>
      </c>
      <c r="Q966" s="262">
        <f t="shared" si="122"/>
        <v>146700000</v>
      </c>
      <c r="R966" s="5"/>
      <c r="S966" s="25"/>
      <c r="T966" s="5"/>
    </row>
    <row r="967" spans="1:20" s="3" customFormat="1" x14ac:dyDescent="0.25">
      <c r="A967" s="21" t="s">
        <v>450</v>
      </c>
      <c r="B967" s="246" t="s">
        <v>383</v>
      </c>
      <c r="C967" s="246"/>
      <c r="D967" s="246"/>
      <c r="E967" s="246" t="s">
        <v>97</v>
      </c>
      <c r="F967" s="9" t="s">
        <v>267</v>
      </c>
      <c r="G967" s="271"/>
      <c r="H967" s="271"/>
      <c r="I967" s="271"/>
      <c r="J967" s="271"/>
      <c r="K967" s="271"/>
      <c r="L967" s="271"/>
      <c r="M967" s="271"/>
      <c r="N967" s="271"/>
      <c r="O967" s="271"/>
      <c r="P967" s="271"/>
      <c r="Q967" s="271"/>
      <c r="R967" s="5"/>
      <c r="S967" s="25"/>
      <c r="T967" s="5"/>
    </row>
    <row r="968" spans="1:20" s="3" customFormat="1" x14ac:dyDescent="0.25">
      <c r="A968" s="21" t="s">
        <v>450</v>
      </c>
      <c r="B968" s="246" t="s">
        <v>446</v>
      </c>
      <c r="C968" s="246"/>
      <c r="D968" s="246"/>
      <c r="E968" s="246" t="s">
        <v>191</v>
      </c>
      <c r="F968" s="9" t="s">
        <v>267</v>
      </c>
      <c r="G968" s="55"/>
      <c r="H968" s="55"/>
      <c r="I968" s="55"/>
      <c r="J968" s="55"/>
      <c r="K968" s="55"/>
      <c r="L968" s="55"/>
      <c r="M968" s="55"/>
      <c r="N968" s="55"/>
      <c r="O968" s="55"/>
      <c r="P968" s="55"/>
      <c r="Q968" s="55"/>
      <c r="R968" s="5"/>
      <c r="S968" s="25"/>
      <c r="T968" s="5"/>
    </row>
    <row r="969" spans="1:20" s="3" customFormat="1" x14ac:dyDescent="0.25">
      <c r="A969" s="21" t="s">
        <v>450</v>
      </c>
      <c r="B969" s="246" t="s">
        <v>387</v>
      </c>
      <c r="C969" s="246"/>
      <c r="D969" s="246"/>
      <c r="E969" s="246"/>
      <c r="F969" s="9" t="s">
        <v>267</v>
      </c>
      <c r="G969" s="54"/>
      <c r="H969" s="54"/>
      <c r="I969" s="54"/>
      <c r="J969" s="54"/>
      <c r="K969" s="54"/>
      <c r="L969" s="54"/>
      <c r="M969" s="54"/>
      <c r="N969" s="54"/>
      <c r="O969" s="54"/>
      <c r="P969" s="54"/>
      <c r="Q969" s="54"/>
      <c r="R969" s="5"/>
      <c r="S969" s="25"/>
      <c r="T969" s="5"/>
    </row>
    <row r="970" spans="1:20" s="3" customFormat="1" x14ac:dyDescent="0.25">
      <c r="A970" s="21" t="s">
        <v>450</v>
      </c>
      <c r="B970" s="246" t="s">
        <v>369</v>
      </c>
      <c r="C970" s="246"/>
      <c r="D970" s="246"/>
      <c r="E970" s="246" t="s">
        <v>97</v>
      </c>
      <c r="F970" s="9" t="s">
        <v>267</v>
      </c>
      <c r="G970" s="271"/>
      <c r="H970" s="271"/>
      <c r="I970" s="271"/>
      <c r="J970" s="271"/>
      <c r="K970" s="271"/>
      <c r="L970" s="271"/>
      <c r="M970" s="271"/>
      <c r="N970" s="271"/>
      <c r="O970" s="271"/>
      <c r="P970" s="271"/>
      <c r="Q970" s="271"/>
      <c r="R970" s="5"/>
      <c r="S970" s="25"/>
      <c r="T970" s="5"/>
    </row>
    <row r="971" spans="1:20" s="3" customFormat="1" x14ac:dyDescent="0.25">
      <c r="A971" s="21" t="s">
        <v>450</v>
      </c>
      <c r="B971" s="246" t="s">
        <v>392</v>
      </c>
      <c r="C971" s="246"/>
      <c r="D971" s="246"/>
      <c r="E971" s="246" t="s">
        <v>321</v>
      </c>
      <c r="F971" s="9" t="s">
        <v>267</v>
      </c>
      <c r="G971" s="55"/>
      <c r="H971" s="55"/>
      <c r="I971" s="55"/>
      <c r="J971" s="55"/>
      <c r="K971" s="55"/>
      <c r="L971" s="55"/>
      <c r="M971" s="55"/>
      <c r="N971" s="55"/>
      <c r="O971" s="55"/>
      <c r="P971" s="55"/>
      <c r="Q971" s="55"/>
      <c r="R971" s="5"/>
      <c r="S971" s="25"/>
      <c r="T971" s="5"/>
    </row>
    <row r="972" spans="1:20" s="3" customFormat="1" x14ac:dyDescent="0.25">
      <c r="A972" s="21" t="s">
        <v>450</v>
      </c>
      <c r="B972" s="246" t="s">
        <v>394</v>
      </c>
      <c r="C972" s="246"/>
      <c r="D972" s="246"/>
      <c r="E972" s="246" t="s">
        <v>321</v>
      </c>
      <c r="F972" s="9" t="s">
        <v>267</v>
      </c>
      <c r="G972" s="55"/>
      <c r="H972" s="55"/>
      <c r="I972" s="55"/>
      <c r="J972" s="55"/>
      <c r="K972" s="55"/>
      <c r="L972" s="55"/>
      <c r="M972" s="55"/>
      <c r="N972" s="55"/>
      <c r="O972" s="55"/>
      <c r="P972" s="55"/>
      <c r="Q972" s="55"/>
      <c r="R972" s="5"/>
      <c r="S972" s="25"/>
      <c r="T972" s="5"/>
    </row>
    <row r="973" spans="1:20" s="3" customFormat="1" x14ac:dyDescent="0.25">
      <c r="A973" s="21" t="s">
        <v>450</v>
      </c>
      <c r="B973" s="246" t="s">
        <v>395</v>
      </c>
      <c r="C973" s="246"/>
      <c r="D973" s="246"/>
      <c r="E973" s="246"/>
      <c r="F973" s="9" t="s">
        <v>267</v>
      </c>
      <c r="G973" s="54"/>
      <c r="H973" s="54"/>
      <c r="I973" s="54"/>
      <c r="J973" s="54"/>
      <c r="K973" s="54"/>
      <c r="L973" s="54"/>
      <c r="M973" s="54"/>
      <c r="N973" s="54"/>
      <c r="O973" s="54"/>
      <c r="P973" s="54"/>
      <c r="Q973" s="54"/>
      <c r="R973" s="5"/>
      <c r="S973" s="25"/>
      <c r="T973" s="5"/>
    </row>
    <row r="974" spans="1:20" s="3" customFormat="1" x14ac:dyDescent="0.25">
      <c r="A974" s="21" t="s">
        <v>450</v>
      </c>
      <c r="B974" s="246" t="s">
        <v>396</v>
      </c>
      <c r="C974" s="246"/>
      <c r="D974" s="246"/>
      <c r="E974" s="246"/>
      <c r="F974" s="9" t="s">
        <v>267</v>
      </c>
      <c r="G974" s="54"/>
      <c r="H974" s="54"/>
      <c r="I974" s="54"/>
      <c r="J974" s="54"/>
      <c r="K974" s="54"/>
      <c r="L974" s="54"/>
      <c r="M974" s="54"/>
      <c r="N974" s="54"/>
      <c r="O974" s="54"/>
      <c r="P974" s="54"/>
      <c r="Q974" s="54"/>
      <c r="R974" s="5"/>
      <c r="S974" s="25"/>
      <c r="T974" s="5"/>
    </row>
    <row r="975" spans="1:20" s="3" customFormat="1" x14ac:dyDescent="0.25">
      <c r="A975" s="21" t="s">
        <v>450</v>
      </c>
      <c r="B975" s="246" t="s">
        <v>393</v>
      </c>
      <c r="C975" s="246"/>
      <c r="D975" s="246"/>
      <c r="E975" s="246" t="s">
        <v>337</v>
      </c>
      <c r="F975" s="9" t="s">
        <v>267</v>
      </c>
      <c r="G975" s="55"/>
      <c r="H975" s="55"/>
      <c r="I975" s="55"/>
      <c r="J975" s="55"/>
      <c r="K975" s="55"/>
      <c r="L975" s="55"/>
      <c r="M975" s="55"/>
      <c r="N975" s="55"/>
      <c r="O975" s="55"/>
      <c r="P975" s="55"/>
      <c r="Q975" s="55"/>
      <c r="R975" s="5"/>
      <c r="S975" s="25"/>
      <c r="T975" s="5"/>
    </row>
    <row r="976" spans="1:20" s="3" customFormat="1" x14ac:dyDescent="0.25">
      <c r="A976" s="21" t="s">
        <v>450</v>
      </c>
      <c r="B976" s="246" t="s">
        <v>397</v>
      </c>
      <c r="C976" s="246"/>
      <c r="D976" s="246"/>
      <c r="E976" s="246" t="s">
        <v>337</v>
      </c>
      <c r="F976" s="9" t="s">
        <v>267</v>
      </c>
      <c r="G976" s="55"/>
      <c r="H976" s="55"/>
      <c r="I976" s="55"/>
      <c r="J976" s="55"/>
      <c r="K976" s="55"/>
      <c r="L976" s="55"/>
      <c r="M976" s="55"/>
      <c r="N976" s="55"/>
      <c r="O976" s="55"/>
      <c r="P976" s="55"/>
      <c r="Q976" s="55"/>
      <c r="R976" s="5"/>
      <c r="S976" s="25"/>
      <c r="T976" s="5"/>
    </row>
    <row r="977" spans="1:20" s="3" customFormat="1" x14ac:dyDescent="0.25">
      <c r="A977" s="21" t="s">
        <v>450</v>
      </c>
      <c r="B977" s="246" t="s">
        <v>398</v>
      </c>
      <c r="C977" s="246"/>
      <c r="D977" s="246"/>
      <c r="E977" s="246"/>
      <c r="F977" s="9" t="s">
        <v>267</v>
      </c>
      <c r="G977" s="54"/>
      <c r="H977" s="54"/>
      <c r="I977" s="54"/>
      <c r="J977" s="54"/>
      <c r="K977" s="54"/>
      <c r="L977" s="54"/>
      <c r="M977" s="54"/>
      <c r="N977" s="54"/>
      <c r="O977" s="54"/>
      <c r="P977" s="54"/>
      <c r="Q977" s="54"/>
      <c r="R977" s="5"/>
      <c r="S977" s="25"/>
      <c r="T977" s="5"/>
    </row>
    <row r="978" spans="1:20" s="3" customFormat="1" x14ac:dyDescent="0.25">
      <c r="A978" s="21" t="s">
        <v>450</v>
      </c>
      <c r="B978" s="246" t="s">
        <v>399</v>
      </c>
      <c r="C978" s="246"/>
      <c r="D978" s="246"/>
      <c r="E978" s="246"/>
      <c r="F978" s="9" t="s">
        <v>267</v>
      </c>
      <c r="G978" s="54"/>
      <c r="H978" s="54"/>
      <c r="I978" s="54"/>
      <c r="J978" s="54"/>
      <c r="K978" s="54"/>
      <c r="L978" s="54"/>
      <c r="M978" s="54"/>
      <c r="N978" s="54"/>
      <c r="O978" s="54"/>
      <c r="P978" s="54"/>
      <c r="Q978" s="54"/>
      <c r="R978" s="5"/>
      <c r="S978" s="25"/>
      <c r="T978" s="5"/>
    </row>
    <row r="979" spans="1:20" s="3" customFormat="1" x14ac:dyDescent="0.25">
      <c r="A979" s="21" t="s">
        <v>450</v>
      </c>
      <c r="B979" s="246" t="s">
        <v>310</v>
      </c>
      <c r="C979" s="246"/>
      <c r="D979" s="246"/>
      <c r="E979" s="246" t="s">
        <v>337</v>
      </c>
      <c r="F979" s="9" t="s">
        <v>267</v>
      </c>
      <c r="G979" s="55">
        <v>1200000</v>
      </c>
      <c r="H979" s="262">
        <f t="shared" ref="H979:Q979" si="123">G979</f>
        <v>1200000</v>
      </c>
      <c r="I979" s="262">
        <f t="shared" si="123"/>
        <v>1200000</v>
      </c>
      <c r="J979" s="262">
        <f t="shared" si="123"/>
        <v>1200000</v>
      </c>
      <c r="K979" s="262">
        <f t="shared" si="123"/>
        <v>1200000</v>
      </c>
      <c r="L979" s="262">
        <f t="shared" si="123"/>
        <v>1200000</v>
      </c>
      <c r="M979" s="262">
        <f t="shared" si="123"/>
        <v>1200000</v>
      </c>
      <c r="N979" s="262">
        <f t="shared" si="123"/>
        <v>1200000</v>
      </c>
      <c r="O979" s="262">
        <f t="shared" si="123"/>
        <v>1200000</v>
      </c>
      <c r="P979" s="262">
        <f t="shared" si="123"/>
        <v>1200000</v>
      </c>
      <c r="Q979" s="262">
        <f t="shared" si="123"/>
        <v>1200000</v>
      </c>
      <c r="R979" s="5"/>
      <c r="S979" s="25"/>
      <c r="T979" s="5"/>
    </row>
    <row r="980" spans="1:20" s="3" customFormat="1" x14ac:dyDescent="0.25">
      <c r="A980" s="21" t="s">
        <v>450</v>
      </c>
      <c r="B980" s="246" t="s">
        <v>360</v>
      </c>
      <c r="C980" s="246"/>
      <c r="D980" s="246"/>
      <c r="E980" s="246" t="s">
        <v>321</v>
      </c>
      <c r="F980" s="9" t="s">
        <v>267</v>
      </c>
      <c r="G980" s="55"/>
      <c r="H980" s="55"/>
      <c r="I980" s="55"/>
      <c r="J980" s="55"/>
      <c r="K980" s="55"/>
      <c r="L980" s="55"/>
      <c r="M980" s="55"/>
      <c r="N980" s="55"/>
      <c r="O980" s="55"/>
      <c r="P980" s="55"/>
      <c r="Q980" s="55"/>
      <c r="R980" s="5"/>
      <c r="S980" s="25"/>
      <c r="T980" s="5"/>
    </row>
    <row r="981" spans="1:20" s="3" customFormat="1" x14ac:dyDescent="0.25">
      <c r="A981" s="21" t="s">
        <v>450</v>
      </c>
      <c r="B981" s="67" t="s">
        <v>306</v>
      </c>
      <c r="C981" s="13"/>
      <c r="D981" s="3" t="s">
        <v>475</v>
      </c>
      <c r="E981" s="2" t="s">
        <v>350</v>
      </c>
      <c r="F981" s="9" t="s">
        <v>267</v>
      </c>
      <c r="G981" s="54">
        <f>GJ_per_MWh/0.45</f>
        <v>8</v>
      </c>
      <c r="H981" s="284">
        <f t="shared" ref="H981:Q982" si="124">G981</f>
        <v>8</v>
      </c>
      <c r="I981" s="284">
        <f t="shared" si="124"/>
        <v>8</v>
      </c>
      <c r="J981" s="284">
        <f t="shared" si="124"/>
        <v>8</v>
      </c>
      <c r="K981" s="284">
        <f t="shared" si="124"/>
        <v>8</v>
      </c>
      <c r="L981" s="284">
        <f t="shared" si="124"/>
        <v>8</v>
      </c>
      <c r="M981" s="284">
        <f t="shared" si="124"/>
        <v>8</v>
      </c>
      <c r="N981" s="284">
        <f t="shared" si="124"/>
        <v>8</v>
      </c>
      <c r="O981" s="284">
        <f t="shared" si="124"/>
        <v>8</v>
      </c>
      <c r="P981" s="284">
        <f t="shared" si="124"/>
        <v>8</v>
      </c>
      <c r="Q981" s="284">
        <f t="shared" si="124"/>
        <v>8</v>
      </c>
      <c r="R981" s="5"/>
      <c r="S981" s="13"/>
      <c r="T981" s="5"/>
    </row>
    <row r="982" spans="1:20" s="3" customFormat="1" x14ac:dyDescent="0.25">
      <c r="A982" s="21" t="s">
        <v>450</v>
      </c>
      <c r="B982" s="67" t="s">
        <v>306</v>
      </c>
      <c r="C982" s="13"/>
      <c r="D982" s="3" t="s">
        <v>480</v>
      </c>
      <c r="E982" s="2" t="s">
        <v>351</v>
      </c>
      <c r="F982" s="9" t="s">
        <v>267</v>
      </c>
      <c r="G982" s="54">
        <v>1</v>
      </c>
      <c r="H982" s="284">
        <f t="shared" si="124"/>
        <v>1</v>
      </c>
      <c r="I982" s="284">
        <f t="shared" si="124"/>
        <v>1</v>
      </c>
      <c r="J982" s="284">
        <f t="shared" si="124"/>
        <v>1</v>
      </c>
      <c r="K982" s="284">
        <f t="shared" si="124"/>
        <v>1</v>
      </c>
      <c r="L982" s="284">
        <f t="shared" si="124"/>
        <v>1</v>
      </c>
      <c r="M982" s="284">
        <f t="shared" si="124"/>
        <v>1</v>
      </c>
      <c r="N982" s="284">
        <f t="shared" si="124"/>
        <v>1</v>
      </c>
      <c r="O982" s="284">
        <f t="shared" si="124"/>
        <v>1</v>
      </c>
      <c r="P982" s="284">
        <f t="shared" si="124"/>
        <v>1</v>
      </c>
      <c r="Q982" s="284">
        <f t="shared" si="124"/>
        <v>1</v>
      </c>
      <c r="R982" s="5"/>
      <c r="S982" s="13"/>
      <c r="T982" s="5"/>
    </row>
    <row r="983" spans="1:20" s="3" customFormat="1" x14ac:dyDescent="0.25">
      <c r="A983" s="21" t="s">
        <v>450</v>
      </c>
      <c r="B983" s="67" t="s">
        <v>51</v>
      </c>
      <c r="C983" s="13"/>
      <c r="D983" s="2"/>
      <c r="E983" s="2"/>
      <c r="F983" s="63" t="s">
        <v>268</v>
      </c>
      <c r="G983" s="198"/>
      <c r="H983" s="198"/>
      <c r="I983" s="4"/>
      <c r="J983" s="4"/>
      <c r="K983" s="4"/>
      <c r="L983" s="4"/>
      <c r="M983" s="4"/>
      <c r="N983" s="4"/>
      <c r="O983" s="4"/>
      <c r="P983" s="4"/>
      <c r="Q983" s="4"/>
      <c r="R983" s="5"/>
      <c r="S983" s="13"/>
      <c r="T983" s="5"/>
    </row>
    <row r="984" spans="1:20" s="3" customFormat="1" x14ac:dyDescent="0.25">
      <c r="A984" s="21" t="s">
        <v>450</v>
      </c>
      <c r="B984" s="246" t="s">
        <v>38</v>
      </c>
      <c r="C984" s="246"/>
      <c r="D984" s="246"/>
      <c r="E984" s="246" t="s">
        <v>40</v>
      </c>
      <c r="F984" s="9" t="s">
        <v>268</v>
      </c>
      <c r="G984" s="277">
        <v>2000</v>
      </c>
      <c r="H984" s="280">
        <f t="shared" ref="H984:Q986" si="125">G984</f>
        <v>2000</v>
      </c>
      <c r="I984" s="280">
        <f t="shared" si="125"/>
        <v>2000</v>
      </c>
      <c r="J984" s="280">
        <f t="shared" si="125"/>
        <v>2000</v>
      </c>
      <c r="K984" s="280">
        <f t="shared" si="125"/>
        <v>2000</v>
      </c>
      <c r="L984" s="280">
        <f t="shared" si="125"/>
        <v>2000</v>
      </c>
      <c r="M984" s="280">
        <f t="shared" si="125"/>
        <v>2000</v>
      </c>
      <c r="N984" s="280">
        <f t="shared" si="125"/>
        <v>2000</v>
      </c>
      <c r="O984" s="280">
        <f t="shared" si="125"/>
        <v>2000</v>
      </c>
      <c r="P984" s="280">
        <f t="shared" si="125"/>
        <v>2000</v>
      </c>
      <c r="Q984" s="280">
        <f t="shared" si="125"/>
        <v>2000</v>
      </c>
      <c r="R984" s="5"/>
      <c r="S984" s="25"/>
      <c r="T984" s="5"/>
    </row>
    <row r="985" spans="1:20" s="3" customFormat="1" x14ac:dyDescent="0.25">
      <c r="A985" s="21" t="s">
        <v>450</v>
      </c>
      <c r="B985" s="246" t="s">
        <v>37</v>
      </c>
      <c r="C985" s="246"/>
      <c r="D985" s="246"/>
      <c r="E985" s="246" t="s">
        <v>40</v>
      </c>
      <c r="F985" s="9" t="s">
        <v>268</v>
      </c>
      <c r="G985" s="277">
        <v>2100</v>
      </c>
      <c r="H985" s="280">
        <f t="shared" si="125"/>
        <v>2100</v>
      </c>
      <c r="I985" s="280">
        <f t="shared" si="125"/>
        <v>2100</v>
      </c>
      <c r="J985" s="280">
        <f t="shared" si="125"/>
        <v>2100</v>
      </c>
      <c r="K985" s="280">
        <f t="shared" si="125"/>
        <v>2100</v>
      </c>
      <c r="L985" s="280">
        <f t="shared" si="125"/>
        <v>2100</v>
      </c>
      <c r="M985" s="280">
        <f t="shared" si="125"/>
        <v>2100</v>
      </c>
      <c r="N985" s="280">
        <f t="shared" si="125"/>
        <v>2100</v>
      </c>
      <c r="O985" s="280">
        <f t="shared" si="125"/>
        <v>2100</v>
      </c>
      <c r="P985" s="280">
        <f t="shared" si="125"/>
        <v>2100</v>
      </c>
      <c r="Q985" s="280">
        <f t="shared" si="125"/>
        <v>2100</v>
      </c>
      <c r="R985" s="5"/>
      <c r="S985" s="25"/>
      <c r="T985" s="5"/>
    </row>
    <row r="986" spans="1:20" s="3" customFormat="1" x14ac:dyDescent="0.25">
      <c r="A986" s="21" t="s">
        <v>450</v>
      </c>
      <c r="B986" s="246" t="s">
        <v>39</v>
      </c>
      <c r="C986" s="246"/>
      <c r="D986" s="246"/>
      <c r="E986" s="246" t="s">
        <v>10</v>
      </c>
      <c r="F986" s="9" t="s">
        <v>268</v>
      </c>
      <c r="G986" s="55">
        <v>50</v>
      </c>
      <c r="H986" s="262">
        <f t="shared" si="125"/>
        <v>50</v>
      </c>
      <c r="I986" s="262">
        <f t="shared" si="125"/>
        <v>50</v>
      </c>
      <c r="J986" s="262">
        <f t="shared" si="125"/>
        <v>50</v>
      </c>
      <c r="K986" s="262">
        <f t="shared" si="125"/>
        <v>50</v>
      </c>
      <c r="L986" s="262">
        <f t="shared" si="125"/>
        <v>50</v>
      </c>
      <c r="M986" s="262">
        <f t="shared" si="125"/>
        <v>50</v>
      </c>
      <c r="N986" s="262">
        <f t="shared" si="125"/>
        <v>50</v>
      </c>
      <c r="O986" s="262">
        <f t="shared" si="125"/>
        <v>50</v>
      </c>
      <c r="P986" s="262">
        <f t="shared" si="125"/>
        <v>50</v>
      </c>
      <c r="Q986" s="262">
        <f t="shared" si="125"/>
        <v>50</v>
      </c>
      <c r="R986" s="5"/>
      <c r="S986" s="25"/>
      <c r="T986" s="5"/>
    </row>
    <row r="987" spans="1:20" s="3" customFormat="1" x14ac:dyDescent="0.25">
      <c r="A987" s="21" t="s">
        <v>450</v>
      </c>
      <c r="B987" s="246" t="s">
        <v>361</v>
      </c>
      <c r="C987" s="246"/>
      <c r="D987" s="246"/>
      <c r="E987" s="246" t="s">
        <v>10</v>
      </c>
      <c r="F987" s="9" t="s">
        <v>268</v>
      </c>
      <c r="G987" s="225"/>
      <c r="H987" s="225"/>
      <c r="I987" s="225"/>
      <c r="J987" s="225"/>
      <c r="K987" s="225"/>
      <c r="L987" s="225"/>
      <c r="M987" s="225"/>
      <c r="N987" s="225"/>
      <c r="O987" s="225"/>
      <c r="P987" s="225"/>
      <c r="Q987" s="225"/>
      <c r="R987" s="5"/>
      <c r="S987" s="25"/>
      <c r="T987" s="5"/>
    </row>
    <row r="988" spans="1:20" s="3" customFormat="1" x14ac:dyDescent="0.25">
      <c r="A988" s="21" t="s">
        <v>450</v>
      </c>
      <c r="B988" s="246" t="s">
        <v>309</v>
      </c>
      <c r="C988" s="246"/>
      <c r="D988" s="246"/>
      <c r="E988" s="246" t="s">
        <v>97</v>
      </c>
      <c r="F988" s="9" t="s">
        <v>268</v>
      </c>
      <c r="G988" s="271">
        <v>0.125</v>
      </c>
      <c r="H988" s="274">
        <f t="shared" ref="H988:Q988" si="126">G988</f>
        <v>0.125</v>
      </c>
      <c r="I988" s="274">
        <f t="shared" si="126"/>
        <v>0.125</v>
      </c>
      <c r="J988" s="274">
        <f t="shared" si="126"/>
        <v>0.125</v>
      </c>
      <c r="K988" s="274">
        <f t="shared" si="126"/>
        <v>0.125</v>
      </c>
      <c r="L988" s="274">
        <f t="shared" si="126"/>
        <v>0.125</v>
      </c>
      <c r="M988" s="274">
        <f t="shared" si="126"/>
        <v>0.125</v>
      </c>
      <c r="N988" s="274">
        <f t="shared" si="126"/>
        <v>0.125</v>
      </c>
      <c r="O988" s="274">
        <f t="shared" si="126"/>
        <v>0.125</v>
      </c>
      <c r="P988" s="274">
        <f t="shared" si="126"/>
        <v>0.125</v>
      </c>
      <c r="Q988" s="274">
        <f t="shared" si="126"/>
        <v>0.125</v>
      </c>
      <c r="R988" s="5"/>
      <c r="S988" s="25"/>
      <c r="T988" s="5"/>
    </row>
    <row r="989" spans="1:20" s="3" customFormat="1" x14ac:dyDescent="0.25">
      <c r="A989" s="21" t="s">
        <v>450</v>
      </c>
      <c r="B989" s="246" t="s">
        <v>358</v>
      </c>
      <c r="C989" s="246"/>
      <c r="D989" s="246"/>
      <c r="E989" s="246" t="s">
        <v>97</v>
      </c>
      <c r="F989" s="9" t="s">
        <v>268</v>
      </c>
      <c r="G989" s="271"/>
      <c r="H989" s="271"/>
      <c r="I989" s="271"/>
      <c r="J989" s="271"/>
      <c r="K989" s="271"/>
      <c r="L989" s="271"/>
      <c r="M989" s="271"/>
      <c r="N989" s="271"/>
      <c r="O989" s="271"/>
      <c r="P989" s="271"/>
      <c r="Q989" s="271"/>
      <c r="R989" s="5"/>
      <c r="S989" s="25"/>
      <c r="T989" s="5"/>
    </row>
    <row r="990" spans="1:20" s="3" customFormat="1" x14ac:dyDescent="0.25">
      <c r="A990" s="21" t="s">
        <v>450</v>
      </c>
      <c r="B990" s="246" t="s">
        <v>357</v>
      </c>
      <c r="C990" s="246"/>
      <c r="D990" s="246"/>
      <c r="E990" s="246" t="s">
        <v>97</v>
      </c>
      <c r="F990" s="9" t="s">
        <v>268</v>
      </c>
      <c r="G990" s="271"/>
      <c r="H990" s="271"/>
      <c r="I990" s="271"/>
      <c r="J990" s="271"/>
      <c r="K990" s="271"/>
      <c r="L990" s="271"/>
      <c r="M990" s="271"/>
      <c r="N990" s="271"/>
      <c r="O990" s="271"/>
      <c r="P990" s="271"/>
      <c r="Q990" s="271"/>
      <c r="R990" s="5"/>
      <c r="S990" s="25"/>
      <c r="T990" s="5"/>
    </row>
    <row r="991" spans="1:20" s="3" customFormat="1" x14ac:dyDescent="0.25">
      <c r="A991" s="21" t="s">
        <v>450</v>
      </c>
      <c r="B991" s="246" t="s">
        <v>75</v>
      </c>
      <c r="C991" s="246"/>
      <c r="D991" s="246"/>
      <c r="E991" s="246" t="s">
        <v>97</v>
      </c>
      <c r="F991" s="9" t="s">
        <v>268</v>
      </c>
      <c r="G991" s="271">
        <v>0.1</v>
      </c>
      <c r="H991" s="271"/>
      <c r="I991" s="271"/>
      <c r="J991" s="271"/>
      <c r="K991" s="271"/>
      <c r="L991" s="271"/>
      <c r="M991" s="271"/>
      <c r="N991" s="271"/>
      <c r="O991" s="271"/>
      <c r="P991" s="271"/>
      <c r="Q991" s="271"/>
      <c r="R991" s="5"/>
      <c r="S991" s="25"/>
      <c r="T991" s="5"/>
    </row>
    <row r="992" spans="1:20" s="3" customFormat="1" x14ac:dyDescent="0.25">
      <c r="A992" s="21" t="s">
        <v>450</v>
      </c>
      <c r="B992" s="68" t="s">
        <v>148</v>
      </c>
      <c r="C992" s="68"/>
      <c r="D992" s="251"/>
      <c r="E992" s="68" t="s">
        <v>97</v>
      </c>
      <c r="F992" s="9" t="s">
        <v>268</v>
      </c>
      <c r="G992" s="271"/>
      <c r="H992" s="271"/>
      <c r="I992" s="271"/>
      <c r="J992" s="271"/>
      <c r="K992" s="271"/>
      <c r="L992" s="271"/>
      <c r="M992" s="271"/>
      <c r="N992" s="271"/>
      <c r="O992" s="271"/>
      <c r="P992" s="271"/>
      <c r="Q992" s="271"/>
      <c r="R992" s="5"/>
      <c r="S992" s="25"/>
      <c r="T992" s="5"/>
    </row>
    <row r="993" spans="1:20" s="3" customFormat="1" x14ac:dyDescent="0.25">
      <c r="A993" s="21" t="s">
        <v>450</v>
      </c>
      <c r="B993" s="68" t="s">
        <v>149</v>
      </c>
      <c r="C993" s="68"/>
      <c r="D993" s="251"/>
      <c r="E993" s="68" t="s">
        <v>97</v>
      </c>
      <c r="F993" s="9" t="s">
        <v>268</v>
      </c>
      <c r="G993" s="271"/>
      <c r="H993" s="271"/>
      <c r="I993" s="271"/>
      <c r="J993" s="271"/>
      <c r="K993" s="271"/>
      <c r="L993" s="271"/>
      <c r="M993" s="271"/>
      <c r="N993" s="271"/>
      <c r="O993" s="271"/>
      <c r="P993" s="271"/>
      <c r="Q993" s="271"/>
      <c r="R993" s="5"/>
      <c r="S993" s="25"/>
      <c r="T993" s="5"/>
    </row>
    <row r="994" spans="1:20" s="3" customFormat="1" x14ac:dyDescent="0.25">
      <c r="A994" s="21" t="s">
        <v>450</v>
      </c>
      <c r="B994" s="68" t="s">
        <v>370</v>
      </c>
      <c r="C994" s="68"/>
      <c r="D994" s="251"/>
      <c r="E994" s="68" t="s">
        <v>97</v>
      </c>
      <c r="F994" s="9" t="s">
        <v>268</v>
      </c>
      <c r="G994" s="271"/>
      <c r="H994" s="271"/>
      <c r="I994" s="271"/>
      <c r="J994" s="271"/>
      <c r="K994" s="271"/>
      <c r="L994" s="271"/>
      <c r="M994" s="271"/>
      <c r="N994" s="271"/>
      <c r="O994" s="271"/>
      <c r="P994" s="271"/>
      <c r="Q994" s="271"/>
      <c r="R994" s="5"/>
      <c r="S994" s="25"/>
      <c r="T994" s="5"/>
    </row>
    <row r="995" spans="1:20" s="3" customFormat="1" x14ac:dyDescent="0.25">
      <c r="A995" s="21" t="s">
        <v>450</v>
      </c>
      <c r="B995" s="68" t="s">
        <v>371</v>
      </c>
      <c r="C995" s="68"/>
      <c r="D995" s="251"/>
      <c r="E995" s="68" t="s">
        <v>97</v>
      </c>
      <c r="F995" s="9" t="s">
        <v>268</v>
      </c>
      <c r="G995" s="271"/>
      <c r="H995" s="271"/>
      <c r="I995" s="271"/>
      <c r="J995" s="271"/>
      <c r="K995" s="271"/>
      <c r="L995" s="271"/>
      <c r="M995" s="271"/>
      <c r="N995" s="271"/>
      <c r="O995" s="271"/>
      <c r="P995" s="271"/>
      <c r="Q995" s="271"/>
      <c r="R995" s="5"/>
      <c r="S995" s="25"/>
      <c r="T995" s="5"/>
    </row>
    <row r="996" spans="1:20" s="3" customFormat="1" x14ac:dyDescent="0.25">
      <c r="A996" s="21" t="s">
        <v>450</v>
      </c>
      <c r="B996" s="246" t="s">
        <v>338</v>
      </c>
      <c r="C996" s="246"/>
      <c r="D996" s="246"/>
      <c r="E996" s="246" t="s">
        <v>191</v>
      </c>
      <c r="F996" s="9" t="s">
        <v>268</v>
      </c>
      <c r="G996" s="55">
        <f>300*8760*0.55</f>
        <v>1445400.0000000002</v>
      </c>
      <c r="H996" s="262">
        <f t="shared" ref="H996:Q997" si="127">G996</f>
        <v>1445400.0000000002</v>
      </c>
      <c r="I996" s="262">
        <f t="shared" si="127"/>
        <v>1445400.0000000002</v>
      </c>
      <c r="J996" s="262">
        <f t="shared" si="127"/>
        <v>1445400.0000000002</v>
      </c>
      <c r="K996" s="262">
        <f t="shared" si="127"/>
        <v>1445400.0000000002</v>
      </c>
      <c r="L996" s="262">
        <f t="shared" si="127"/>
        <v>1445400.0000000002</v>
      </c>
      <c r="M996" s="262">
        <f t="shared" si="127"/>
        <v>1445400.0000000002</v>
      </c>
      <c r="N996" s="262">
        <f t="shared" si="127"/>
        <v>1445400.0000000002</v>
      </c>
      <c r="O996" s="262">
        <f t="shared" si="127"/>
        <v>1445400.0000000002</v>
      </c>
      <c r="P996" s="262">
        <f t="shared" si="127"/>
        <v>1445400.0000000002</v>
      </c>
      <c r="Q996" s="262">
        <f t="shared" si="127"/>
        <v>1445400.0000000002</v>
      </c>
      <c r="R996" s="5"/>
      <c r="S996" s="25"/>
      <c r="T996" s="5"/>
    </row>
    <row r="997" spans="1:20" s="3" customFormat="1" x14ac:dyDescent="0.25">
      <c r="A997" s="21" t="s">
        <v>450</v>
      </c>
      <c r="B997" s="246" t="s">
        <v>152</v>
      </c>
      <c r="C997" s="246"/>
      <c r="D997" s="246"/>
      <c r="E997" s="246" t="s">
        <v>321</v>
      </c>
      <c r="F997" s="9" t="s">
        <v>268</v>
      </c>
      <c r="G997" s="55">
        <v>1500000000</v>
      </c>
      <c r="H997" s="262">
        <f t="shared" si="127"/>
        <v>1500000000</v>
      </c>
      <c r="I997" s="262">
        <f t="shared" si="127"/>
        <v>1500000000</v>
      </c>
      <c r="J997" s="262">
        <f t="shared" si="127"/>
        <v>1500000000</v>
      </c>
      <c r="K997" s="262">
        <f t="shared" si="127"/>
        <v>1500000000</v>
      </c>
      <c r="L997" s="262">
        <f t="shared" si="127"/>
        <v>1500000000</v>
      </c>
      <c r="M997" s="262">
        <f t="shared" si="127"/>
        <v>1500000000</v>
      </c>
      <c r="N997" s="262">
        <f t="shared" si="127"/>
        <v>1500000000</v>
      </c>
      <c r="O997" s="262">
        <f t="shared" si="127"/>
        <v>1500000000</v>
      </c>
      <c r="P997" s="262">
        <f t="shared" si="127"/>
        <v>1500000000</v>
      </c>
      <c r="Q997" s="262">
        <f t="shared" si="127"/>
        <v>1500000000</v>
      </c>
      <c r="R997" s="5"/>
      <c r="S997" s="25"/>
      <c r="T997" s="5"/>
    </row>
    <row r="998" spans="1:20" s="3" customFormat="1" x14ac:dyDescent="0.25">
      <c r="A998" s="21" t="s">
        <v>450</v>
      </c>
      <c r="B998" s="246" t="s">
        <v>383</v>
      </c>
      <c r="C998" s="246"/>
      <c r="D998" s="246"/>
      <c r="E998" s="246" t="s">
        <v>97</v>
      </c>
      <c r="F998" s="9" t="s">
        <v>268</v>
      </c>
      <c r="G998" s="271"/>
      <c r="H998" s="271"/>
      <c r="I998" s="271"/>
      <c r="J998" s="271"/>
      <c r="K998" s="271"/>
      <c r="L998" s="271"/>
      <c r="M998" s="271"/>
      <c r="N998" s="271"/>
      <c r="O998" s="271"/>
      <c r="P998" s="271"/>
      <c r="Q998" s="271"/>
      <c r="R998" s="5"/>
      <c r="S998" s="25"/>
      <c r="T998" s="5"/>
    </row>
    <row r="999" spans="1:20" s="3" customFormat="1" x14ac:dyDescent="0.25">
      <c r="A999" s="21" t="s">
        <v>450</v>
      </c>
      <c r="B999" s="246" t="s">
        <v>446</v>
      </c>
      <c r="C999" s="246"/>
      <c r="D999" s="246"/>
      <c r="E999" s="246" t="s">
        <v>191</v>
      </c>
      <c r="F999" s="9" t="s">
        <v>268</v>
      </c>
      <c r="G999" s="55"/>
      <c r="H999" s="55"/>
      <c r="I999" s="55"/>
      <c r="J999" s="55"/>
      <c r="K999" s="55"/>
      <c r="L999" s="55"/>
      <c r="M999" s="55"/>
      <c r="N999" s="55"/>
      <c r="O999" s="55"/>
      <c r="P999" s="55"/>
      <c r="Q999" s="55"/>
      <c r="R999" s="5"/>
      <c r="S999" s="25"/>
      <c r="T999" s="5"/>
    </row>
    <row r="1000" spans="1:20" s="3" customFormat="1" x14ac:dyDescent="0.25">
      <c r="A1000" s="21" t="s">
        <v>450</v>
      </c>
      <c r="B1000" s="246" t="s">
        <v>387</v>
      </c>
      <c r="C1000" s="246"/>
      <c r="D1000" s="246"/>
      <c r="E1000" s="246"/>
      <c r="F1000" s="9" t="s">
        <v>268</v>
      </c>
      <c r="G1000" s="54"/>
      <c r="H1000" s="54"/>
      <c r="I1000" s="54"/>
      <c r="J1000" s="54"/>
      <c r="K1000" s="54"/>
      <c r="L1000" s="54"/>
      <c r="M1000" s="54"/>
      <c r="N1000" s="54"/>
      <c r="O1000" s="54"/>
      <c r="P1000" s="54"/>
      <c r="Q1000" s="54"/>
      <c r="R1000" s="5"/>
      <c r="S1000" s="25"/>
      <c r="T1000" s="5"/>
    </row>
    <row r="1001" spans="1:20" s="3" customFormat="1" x14ac:dyDescent="0.25">
      <c r="A1001" s="21" t="s">
        <v>450</v>
      </c>
      <c r="B1001" s="246" t="s">
        <v>369</v>
      </c>
      <c r="C1001" s="246"/>
      <c r="D1001" s="246"/>
      <c r="E1001" s="246" t="s">
        <v>97</v>
      </c>
      <c r="F1001" s="9" t="s">
        <v>268</v>
      </c>
      <c r="G1001" s="271"/>
      <c r="H1001" s="271"/>
      <c r="I1001" s="271"/>
      <c r="J1001" s="271"/>
      <c r="K1001" s="271"/>
      <c r="L1001" s="271"/>
      <c r="M1001" s="271"/>
      <c r="N1001" s="271"/>
      <c r="O1001" s="271"/>
      <c r="P1001" s="271"/>
      <c r="Q1001" s="271"/>
      <c r="R1001" s="5"/>
      <c r="S1001" s="25"/>
      <c r="T1001" s="5"/>
    </row>
    <row r="1002" spans="1:20" s="3" customFormat="1" x14ac:dyDescent="0.25">
      <c r="A1002" s="21" t="s">
        <v>450</v>
      </c>
      <c r="B1002" s="246" t="s">
        <v>392</v>
      </c>
      <c r="C1002" s="246"/>
      <c r="D1002" s="246"/>
      <c r="E1002" s="246" t="s">
        <v>321</v>
      </c>
      <c r="F1002" s="9" t="s">
        <v>268</v>
      </c>
      <c r="G1002" s="55"/>
      <c r="H1002" s="55"/>
      <c r="I1002" s="55"/>
      <c r="J1002" s="55"/>
      <c r="K1002" s="55"/>
      <c r="L1002" s="55"/>
      <c r="M1002" s="55"/>
      <c r="N1002" s="55"/>
      <c r="O1002" s="55"/>
      <c r="P1002" s="55"/>
      <c r="Q1002" s="55"/>
      <c r="R1002" s="5"/>
      <c r="S1002" s="25"/>
      <c r="T1002" s="5"/>
    </row>
    <row r="1003" spans="1:20" s="3" customFormat="1" x14ac:dyDescent="0.25">
      <c r="A1003" s="21" t="s">
        <v>450</v>
      </c>
      <c r="B1003" s="246" t="s">
        <v>394</v>
      </c>
      <c r="C1003" s="246"/>
      <c r="D1003" s="246"/>
      <c r="E1003" s="246" t="s">
        <v>321</v>
      </c>
      <c r="F1003" s="9" t="s">
        <v>268</v>
      </c>
      <c r="G1003" s="55"/>
      <c r="H1003" s="55"/>
      <c r="I1003" s="55"/>
      <c r="J1003" s="55"/>
      <c r="K1003" s="55"/>
      <c r="L1003" s="55"/>
      <c r="M1003" s="55"/>
      <c r="N1003" s="55"/>
      <c r="O1003" s="55"/>
      <c r="P1003" s="55"/>
      <c r="Q1003" s="55"/>
      <c r="R1003" s="5"/>
      <c r="S1003" s="25"/>
      <c r="T1003" s="5"/>
    </row>
    <row r="1004" spans="1:20" s="3" customFormat="1" x14ac:dyDescent="0.25">
      <c r="A1004" s="21" t="s">
        <v>450</v>
      </c>
      <c r="B1004" s="246" t="s">
        <v>395</v>
      </c>
      <c r="C1004" s="246"/>
      <c r="D1004" s="246"/>
      <c r="E1004" s="246"/>
      <c r="F1004" s="9" t="s">
        <v>268</v>
      </c>
      <c r="G1004" s="54"/>
      <c r="H1004" s="54"/>
      <c r="I1004" s="54"/>
      <c r="J1004" s="54"/>
      <c r="K1004" s="54"/>
      <c r="L1004" s="54"/>
      <c r="M1004" s="54"/>
      <c r="N1004" s="54"/>
      <c r="O1004" s="54"/>
      <c r="P1004" s="54"/>
      <c r="Q1004" s="54"/>
      <c r="R1004" s="5"/>
      <c r="S1004" s="25"/>
      <c r="T1004" s="5"/>
    </row>
    <row r="1005" spans="1:20" s="3" customFormat="1" x14ac:dyDescent="0.25">
      <c r="A1005" s="21" t="s">
        <v>450</v>
      </c>
      <c r="B1005" s="246" t="s">
        <v>396</v>
      </c>
      <c r="C1005" s="246"/>
      <c r="D1005" s="246"/>
      <c r="E1005" s="246"/>
      <c r="F1005" s="9" t="s">
        <v>268</v>
      </c>
      <c r="G1005" s="54"/>
      <c r="H1005" s="54"/>
      <c r="I1005" s="54"/>
      <c r="J1005" s="54"/>
      <c r="K1005" s="54"/>
      <c r="L1005" s="54"/>
      <c r="M1005" s="54"/>
      <c r="N1005" s="54"/>
      <c r="O1005" s="54"/>
      <c r="P1005" s="54"/>
      <c r="Q1005" s="54"/>
      <c r="R1005" s="5"/>
      <c r="S1005" s="25"/>
      <c r="T1005" s="5"/>
    </row>
    <row r="1006" spans="1:20" s="3" customFormat="1" x14ac:dyDescent="0.25">
      <c r="A1006" s="21" t="s">
        <v>450</v>
      </c>
      <c r="B1006" s="246" t="s">
        <v>393</v>
      </c>
      <c r="C1006" s="246"/>
      <c r="D1006" s="246"/>
      <c r="E1006" s="246" t="s">
        <v>337</v>
      </c>
      <c r="F1006" s="9" t="s">
        <v>268</v>
      </c>
      <c r="G1006" s="55"/>
      <c r="H1006" s="55"/>
      <c r="I1006" s="55"/>
      <c r="J1006" s="55"/>
      <c r="K1006" s="55"/>
      <c r="L1006" s="55"/>
      <c r="M1006" s="55"/>
      <c r="N1006" s="55"/>
      <c r="O1006" s="55"/>
      <c r="P1006" s="55"/>
      <c r="Q1006" s="55"/>
      <c r="R1006" s="5"/>
      <c r="S1006" s="25"/>
      <c r="T1006" s="5"/>
    </row>
    <row r="1007" spans="1:20" s="3" customFormat="1" x14ac:dyDescent="0.25">
      <c r="A1007" s="21" t="s">
        <v>450</v>
      </c>
      <c r="B1007" s="246" t="s">
        <v>397</v>
      </c>
      <c r="C1007" s="246"/>
      <c r="D1007" s="246"/>
      <c r="E1007" s="246" t="s">
        <v>337</v>
      </c>
      <c r="F1007" s="9" t="s">
        <v>268</v>
      </c>
      <c r="G1007" s="55"/>
      <c r="H1007" s="55"/>
      <c r="I1007" s="55"/>
      <c r="J1007" s="55"/>
      <c r="K1007" s="55"/>
      <c r="L1007" s="55"/>
      <c r="M1007" s="55"/>
      <c r="N1007" s="55"/>
      <c r="O1007" s="55"/>
      <c r="P1007" s="55"/>
      <c r="Q1007" s="55"/>
      <c r="R1007" s="5"/>
      <c r="S1007" s="25"/>
      <c r="T1007" s="5"/>
    </row>
    <row r="1008" spans="1:20" s="3" customFormat="1" x14ac:dyDescent="0.25">
      <c r="A1008" s="21" t="s">
        <v>450</v>
      </c>
      <c r="B1008" s="246" t="s">
        <v>398</v>
      </c>
      <c r="C1008" s="246"/>
      <c r="D1008" s="246"/>
      <c r="E1008" s="246"/>
      <c r="F1008" s="9" t="s">
        <v>268</v>
      </c>
      <c r="G1008" s="54"/>
      <c r="H1008" s="54"/>
      <c r="I1008" s="54"/>
      <c r="J1008" s="54"/>
      <c r="K1008" s="54"/>
      <c r="L1008" s="54"/>
      <c r="M1008" s="54"/>
      <c r="N1008" s="54"/>
      <c r="O1008" s="54"/>
      <c r="P1008" s="54"/>
      <c r="Q1008" s="54"/>
      <c r="R1008" s="5"/>
      <c r="S1008" s="25"/>
      <c r="T1008" s="5"/>
    </row>
    <row r="1009" spans="1:20" s="3" customFormat="1" x14ac:dyDescent="0.25">
      <c r="A1009" s="21" t="s">
        <v>450</v>
      </c>
      <c r="B1009" s="246" t="s">
        <v>399</v>
      </c>
      <c r="C1009" s="246"/>
      <c r="D1009" s="246"/>
      <c r="E1009" s="246"/>
      <c r="F1009" s="9" t="s">
        <v>268</v>
      </c>
      <c r="G1009" s="54"/>
      <c r="H1009" s="54"/>
      <c r="I1009" s="54"/>
      <c r="J1009" s="54"/>
      <c r="K1009" s="54"/>
      <c r="L1009" s="54"/>
      <c r="M1009" s="54"/>
      <c r="N1009" s="54"/>
      <c r="O1009" s="54"/>
      <c r="P1009" s="54"/>
      <c r="Q1009" s="54"/>
      <c r="R1009" s="5"/>
      <c r="S1009" s="25"/>
      <c r="T1009" s="5"/>
    </row>
    <row r="1010" spans="1:20" s="3" customFormat="1" x14ac:dyDescent="0.25">
      <c r="A1010" s="21" t="s">
        <v>450</v>
      </c>
      <c r="B1010" s="246" t="s">
        <v>310</v>
      </c>
      <c r="C1010" s="246"/>
      <c r="D1010" s="246"/>
      <c r="E1010" s="246" t="s">
        <v>337</v>
      </c>
      <c r="F1010" s="9" t="s">
        <v>268</v>
      </c>
      <c r="G1010" s="55">
        <v>3000000</v>
      </c>
      <c r="H1010" s="262">
        <f t="shared" ref="H1010:Q1010" si="128">G1010</f>
        <v>3000000</v>
      </c>
      <c r="I1010" s="262">
        <f t="shared" si="128"/>
        <v>3000000</v>
      </c>
      <c r="J1010" s="262">
        <f t="shared" si="128"/>
        <v>3000000</v>
      </c>
      <c r="K1010" s="262">
        <f t="shared" si="128"/>
        <v>3000000</v>
      </c>
      <c r="L1010" s="262">
        <f t="shared" si="128"/>
        <v>3000000</v>
      </c>
      <c r="M1010" s="262">
        <f t="shared" si="128"/>
        <v>3000000</v>
      </c>
      <c r="N1010" s="262">
        <f t="shared" si="128"/>
        <v>3000000</v>
      </c>
      <c r="O1010" s="262">
        <f t="shared" si="128"/>
        <v>3000000</v>
      </c>
      <c r="P1010" s="262">
        <f t="shared" si="128"/>
        <v>3000000</v>
      </c>
      <c r="Q1010" s="262">
        <f t="shared" si="128"/>
        <v>3000000</v>
      </c>
      <c r="R1010" s="5"/>
      <c r="S1010" s="25"/>
      <c r="T1010" s="5"/>
    </row>
    <row r="1011" spans="1:20" s="3" customFormat="1" x14ac:dyDescent="0.25">
      <c r="A1011" s="21" t="s">
        <v>450</v>
      </c>
      <c r="B1011" s="246" t="s">
        <v>360</v>
      </c>
      <c r="C1011" s="246"/>
      <c r="D1011" s="246"/>
      <c r="E1011" s="246" t="s">
        <v>321</v>
      </c>
      <c r="F1011" s="9" t="s">
        <v>268</v>
      </c>
      <c r="G1011" s="55"/>
      <c r="H1011" s="55"/>
      <c r="I1011" s="55"/>
      <c r="J1011" s="55"/>
      <c r="K1011" s="55"/>
      <c r="L1011" s="55"/>
      <c r="M1011" s="55"/>
      <c r="N1011" s="55"/>
      <c r="O1011" s="55"/>
      <c r="P1011" s="55"/>
      <c r="Q1011" s="55"/>
      <c r="R1011" s="5"/>
      <c r="S1011" s="25"/>
      <c r="T1011" s="5"/>
    </row>
    <row r="1012" spans="1:20" s="3" customFormat="1" x14ac:dyDescent="0.25">
      <c r="A1012" s="21" t="s">
        <v>450</v>
      </c>
      <c r="B1012" s="67" t="s">
        <v>306</v>
      </c>
      <c r="C1012" s="13"/>
      <c r="D1012" s="3" t="s">
        <v>478</v>
      </c>
      <c r="E1012" s="2" t="s">
        <v>350</v>
      </c>
      <c r="F1012" s="9" t="s">
        <v>268</v>
      </c>
      <c r="G1012" s="54">
        <f>GJ_per_MWh/0.9</f>
        <v>4</v>
      </c>
      <c r="H1012" s="284">
        <f t="shared" ref="H1012:Q1013" si="129">G1012</f>
        <v>4</v>
      </c>
      <c r="I1012" s="284">
        <f t="shared" si="129"/>
        <v>4</v>
      </c>
      <c r="J1012" s="284">
        <f t="shared" si="129"/>
        <v>4</v>
      </c>
      <c r="K1012" s="284">
        <f t="shared" si="129"/>
        <v>4</v>
      </c>
      <c r="L1012" s="284">
        <f t="shared" si="129"/>
        <v>4</v>
      </c>
      <c r="M1012" s="284">
        <f t="shared" si="129"/>
        <v>4</v>
      </c>
      <c r="N1012" s="284">
        <f t="shared" si="129"/>
        <v>4</v>
      </c>
      <c r="O1012" s="284">
        <f t="shared" si="129"/>
        <v>4</v>
      </c>
      <c r="P1012" s="284">
        <f t="shared" si="129"/>
        <v>4</v>
      </c>
      <c r="Q1012" s="284">
        <f t="shared" si="129"/>
        <v>4</v>
      </c>
      <c r="R1012" s="5"/>
      <c r="S1012" s="13"/>
      <c r="T1012" s="5"/>
    </row>
    <row r="1013" spans="1:20" s="3" customFormat="1" x14ac:dyDescent="0.25">
      <c r="A1013" s="21" t="s">
        <v>450</v>
      </c>
      <c r="B1013" s="67" t="s">
        <v>306</v>
      </c>
      <c r="C1013" s="13"/>
      <c r="D1013" s="3" t="s">
        <v>480</v>
      </c>
      <c r="E1013" s="2" t="s">
        <v>351</v>
      </c>
      <c r="F1013" s="9" t="s">
        <v>268</v>
      </c>
      <c r="G1013" s="54">
        <v>1</v>
      </c>
      <c r="H1013" s="284">
        <f t="shared" si="129"/>
        <v>1</v>
      </c>
      <c r="I1013" s="284">
        <f t="shared" si="129"/>
        <v>1</v>
      </c>
      <c r="J1013" s="284">
        <f t="shared" si="129"/>
        <v>1</v>
      </c>
      <c r="K1013" s="284">
        <f t="shared" si="129"/>
        <v>1</v>
      </c>
      <c r="L1013" s="284">
        <f t="shared" si="129"/>
        <v>1</v>
      </c>
      <c r="M1013" s="284">
        <f t="shared" si="129"/>
        <v>1</v>
      </c>
      <c r="N1013" s="284">
        <f t="shared" si="129"/>
        <v>1</v>
      </c>
      <c r="O1013" s="284">
        <f t="shared" si="129"/>
        <v>1</v>
      </c>
      <c r="P1013" s="284">
        <f t="shared" si="129"/>
        <v>1</v>
      </c>
      <c r="Q1013" s="284">
        <f t="shared" si="129"/>
        <v>1</v>
      </c>
      <c r="R1013" s="5"/>
      <c r="S1013" s="13"/>
      <c r="T1013" s="5"/>
    </row>
    <row r="1014" spans="1:20" s="3" customFormat="1" x14ac:dyDescent="0.25">
      <c r="A1014" s="21" t="s">
        <v>450</v>
      </c>
      <c r="B1014" s="2"/>
      <c r="C1014" s="13"/>
      <c r="D1014" s="2"/>
      <c r="E1014" s="2"/>
      <c r="F1014" s="16"/>
      <c r="G1014" s="4"/>
      <c r="H1014" s="4"/>
      <c r="I1014" s="4"/>
      <c r="J1014" s="4"/>
      <c r="K1014" s="4"/>
      <c r="L1014" s="4"/>
      <c r="M1014" s="4"/>
      <c r="N1014" s="4"/>
      <c r="O1014" s="4"/>
      <c r="P1014" s="4"/>
      <c r="Q1014" s="4"/>
      <c r="R1014" s="5"/>
      <c r="S1014" s="13"/>
      <c r="T1014" s="5"/>
    </row>
    <row r="1015" spans="1:20" s="3" customFormat="1" x14ac:dyDescent="0.25">
      <c r="A1015" s="359" t="s">
        <v>72</v>
      </c>
      <c r="B1015" s="2"/>
      <c r="C1015" s="13"/>
      <c r="D1015" s="2"/>
      <c r="E1015" s="2"/>
      <c r="F1015" s="16"/>
      <c r="G1015" s="4"/>
      <c r="H1015" s="4"/>
      <c r="I1015" s="4"/>
      <c r="J1015" s="4"/>
      <c r="K1015" s="4"/>
      <c r="L1015" s="4"/>
      <c r="M1015" s="4"/>
      <c r="N1015" s="4"/>
      <c r="O1015" s="4"/>
      <c r="P1015" s="4"/>
      <c r="Q1015" s="4"/>
      <c r="R1015" s="5"/>
      <c r="S1015" s="13"/>
      <c r="T1015" s="5"/>
    </row>
    <row r="1016" spans="1:20" s="3" customFormat="1" x14ac:dyDescent="0.25">
      <c r="A1016" s="21" t="s">
        <v>450</v>
      </c>
      <c r="B1016" s="2" t="s">
        <v>305</v>
      </c>
      <c r="C1016" s="13"/>
      <c r="D1016" s="2" t="s">
        <v>473</v>
      </c>
      <c r="E1016" s="2" t="s">
        <v>191</v>
      </c>
      <c r="F1016" s="202" t="str">
        <f>A1015</f>
        <v>Renewables</v>
      </c>
      <c r="G1016" s="55"/>
      <c r="H1016" s="55"/>
      <c r="I1016" s="55"/>
      <c r="J1016" s="55"/>
      <c r="K1016" s="55"/>
      <c r="L1016" s="55"/>
      <c r="M1016" s="55"/>
      <c r="N1016" s="55"/>
      <c r="O1016" s="55"/>
      <c r="P1016" s="55"/>
      <c r="Q1016" s="55"/>
      <c r="R1016" s="5"/>
      <c r="S1016" s="13"/>
      <c r="T1016" s="5"/>
    </row>
    <row r="1017" spans="1:20" s="3" customFormat="1" x14ac:dyDescent="0.25">
      <c r="A1017" s="21" t="s">
        <v>450</v>
      </c>
      <c r="B1017" s="2" t="s">
        <v>47</v>
      </c>
      <c r="C1017" s="13"/>
      <c r="D1017" s="2"/>
      <c r="E1017" s="2"/>
      <c r="F1017" s="16" t="s">
        <v>21</v>
      </c>
      <c r="G1017" s="4"/>
      <c r="H1017" s="4"/>
      <c r="I1017" s="4"/>
      <c r="J1017" s="4"/>
      <c r="K1017" s="4"/>
      <c r="L1017" s="4"/>
      <c r="M1017" s="4"/>
      <c r="N1017" s="4"/>
      <c r="O1017" s="4"/>
      <c r="P1017" s="4"/>
      <c r="Q1017" s="4"/>
      <c r="R1017" s="5"/>
      <c r="S1017" s="13"/>
      <c r="T1017" s="5"/>
    </row>
    <row r="1018" spans="1:20" s="3" customFormat="1" x14ac:dyDescent="0.25">
      <c r="A1018" s="21" t="s">
        <v>450</v>
      </c>
      <c r="B1018" s="2" t="s">
        <v>66</v>
      </c>
      <c r="C1018" s="13"/>
      <c r="D1018" s="2"/>
      <c r="E1018" s="2"/>
      <c r="F1018" s="9" t="s">
        <v>35</v>
      </c>
      <c r="G1018" s="4">
        <v>10</v>
      </c>
      <c r="H1018" s="261">
        <f t="shared" ref="H1018:Q1019" si="130">G1018</f>
        <v>10</v>
      </c>
      <c r="I1018" s="261">
        <f t="shared" si="130"/>
        <v>10</v>
      </c>
      <c r="J1018" s="261">
        <f t="shared" si="130"/>
        <v>10</v>
      </c>
      <c r="K1018" s="261">
        <f t="shared" si="130"/>
        <v>10</v>
      </c>
      <c r="L1018" s="261">
        <f t="shared" si="130"/>
        <v>10</v>
      </c>
      <c r="M1018" s="261">
        <f t="shared" si="130"/>
        <v>10</v>
      </c>
      <c r="N1018" s="261">
        <f t="shared" si="130"/>
        <v>10</v>
      </c>
      <c r="O1018" s="261">
        <f t="shared" si="130"/>
        <v>10</v>
      </c>
      <c r="P1018" s="261">
        <f t="shared" si="130"/>
        <v>10</v>
      </c>
      <c r="Q1018" s="261">
        <f t="shared" si="130"/>
        <v>10</v>
      </c>
      <c r="R1018" s="5"/>
      <c r="S1018" s="13"/>
      <c r="T1018" s="5"/>
    </row>
    <row r="1019" spans="1:20" s="3" customFormat="1" x14ac:dyDescent="0.25">
      <c r="A1019" s="21" t="s">
        <v>450</v>
      </c>
      <c r="B1019" s="2" t="s">
        <v>311</v>
      </c>
      <c r="C1019" s="13"/>
      <c r="D1019" s="2"/>
      <c r="E1019" s="2" t="s">
        <v>97</v>
      </c>
      <c r="F1019" s="9" t="s">
        <v>41</v>
      </c>
      <c r="G1019" s="271">
        <v>0.25</v>
      </c>
      <c r="H1019" s="274">
        <f t="shared" si="130"/>
        <v>0.25</v>
      </c>
      <c r="I1019" s="274">
        <f t="shared" si="130"/>
        <v>0.25</v>
      </c>
      <c r="J1019" s="274">
        <f t="shared" si="130"/>
        <v>0.25</v>
      </c>
      <c r="K1019" s="274">
        <f t="shared" si="130"/>
        <v>0.25</v>
      </c>
      <c r="L1019" s="274">
        <f t="shared" si="130"/>
        <v>0.25</v>
      </c>
      <c r="M1019" s="274">
        <f t="shared" si="130"/>
        <v>0.25</v>
      </c>
      <c r="N1019" s="274">
        <f t="shared" si="130"/>
        <v>0.25</v>
      </c>
      <c r="O1019" s="274">
        <f t="shared" si="130"/>
        <v>0.25</v>
      </c>
      <c r="P1019" s="274">
        <f t="shared" si="130"/>
        <v>0.25</v>
      </c>
      <c r="Q1019" s="274">
        <f t="shared" si="130"/>
        <v>0.25</v>
      </c>
      <c r="R1019" s="5"/>
      <c r="S1019" s="13"/>
      <c r="T1019" s="5"/>
    </row>
    <row r="1020" spans="1:20" s="3" customFormat="1" x14ac:dyDescent="0.25">
      <c r="A1020" s="21" t="s">
        <v>450</v>
      </c>
      <c r="B1020" s="67" t="s">
        <v>51</v>
      </c>
      <c r="C1020" s="13"/>
      <c r="D1020" s="2"/>
      <c r="E1020" s="2"/>
      <c r="F1020" s="63" t="s">
        <v>171</v>
      </c>
      <c r="G1020" s="198"/>
      <c r="H1020" s="198"/>
      <c r="I1020" s="4"/>
      <c r="J1020" s="4"/>
      <c r="K1020" s="4"/>
      <c r="L1020" s="4"/>
      <c r="M1020" s="4"/>
      <c r="N1020" s="4"/>
      <c r="O1020" s="4"/>
      <c r="P1020" s="4"/>
      <c r="Q1020" s="4"/>
      <c r="R1020" s="5"/>
      <c r="S1020" s="13"/>
      <c r="T1020" s="5"/>
    </row>
    <row r="1021" spans="1:20" s="3" customFormat="1" x14ac:dyDescent="0.25">
      <c r="A1021" s="21" t="s">
        <v>450</v>
      </c>
      <c r="B1021" s="246" t="s">
        <v>38</v>
      </c>
      <c r="C1021" s="246"/>
      <c r="D1021" s="246"/>
      <c r="E1021" s="246" t="s">
        <v>40</v>
      </c>
      <c r="F1021" s="9" t="s">
        <v>171</v>
      </c>
      <c r="G1021" s="277">
        <v>2010</v>
      </c>
      <c r="H1021" s="280">
        <f t="shared" ref="H1021:Q1023" si="131">G1021</f>
        <v>2010</v>
      </c>
      <c r="I1021" s="280">
        <f t="shared" si="131"/>
        <v>2010</v>
      </c>
      <c r="J1021" s="280">
        <f t="shared" si="131"/>
        <v>2010</v>
      </c>
      <c r="K1021" s="280">
        <f t="shared" si="131"/>
        <v>2010</v>
      </c>
      <c r="L1021" s="280">
        <f t="shared" si="131"/>
        <v>2010</v>
      </c>
      <c r="M1021" s="280">
        <f t="shared" si="131"/>
        <v>2010</v>
      </c>
      <c r="N1021" s="280">
        <f t="shared" si="131"/>
        <v>2010</v>
      </c>
      <c r="O1021" s="280">
        <f t="shared" si="131"/>
        <v>2010</v>
      </c>
      <c r="P1021" s="280">
        <f t="shared" si="131"/>
        <v>2010</v>
      </c>
      <c r="Q1021" s="280">
        <f t="shared" si="131"/>
        <v>2010</v>
      </c>
      <c r="R1021" s="5"/>
      <c r="S1021" s="25"/>
      <c r="T1021" s="5"/>
    </row>
    <row r="1022" spans="1:20" s="3" customFormat="1" x14ac:dyDescent="0.25">
      <c r="A1022" s="21" t="s">
        <v>450</v>
      </c>
      <c r="B1022" s="246" t="s">
        <v>37</v>
      </c>
      <c r="C1022" s="246"/>
      <c r="D1022" s="246"/>
      <c r="E1022" s="246" t="s">
        <v>40</v>
      </c>
      <c r="F1022" s="9" t="s">
        <v>171</v>
      </c>
      <c r="G1022" s="277">
        <v>2100</v>
      </c>
      <c r="H1022" s="280">
        <f t="shared" si="131"/>
        <v>2100</v>
      </c>
      <c r="I1022" s="280">
        <f t="shared" si="131"/>
        <v>2100</v>
      </c>
      <c r="J1022" s="280">
        <f t="shared" si="131"/>
        <v>2100</v>
      </c>
      <c r="K1022" s="280">
        <f t="shared" si="131"/>
        <v>2100</v>
      </c>
      <c r="L1022" s="280">
        <f t="shared" si="131"/>
        <v>2100</v>
      </c>
      <c r="M1022" s="280">
        <f t="shared" si="131"/>
        <v>2100</v>
      </c>
      <c r="N1022" s="280">
        <f t="shared" si="131"/>
        <v>2100</v>
      </c>
      <c r="O1022" s="280">
        <f t="shared" si="131"/>
        <v>2100</v>
      </c>
      <c r="P1022" s="280">
        <f t="shared" si="131"/>
        <v>2100</v>
      </c>
      <c r="Q1022" s="280">
        <f t="shared" si="131"/>
        <v>2100</v>
      </c>
      <c r="R1022" s="5"/>
      <c r="S1022" s="25"/>
      <c r="T1022" s="5"/>
    </row>
    <row r="1023" spans="1:20" s="3" customFormat="1" x14ac:dyDescent="0.25">
      <c r="A1023" s="21" t="s">
        <v>450</v>
      </c>
      <c r="B1023" s="246" t="s">
        <v>39</v>
      </c>
      <c r="C1023" s="246"/>
      <c r="D1023" s="246"/>
      <c r="E1023" s="246" t="s">
        <v>10</v>
      </c>
      <c r="F1023" s="9" t="s">
        <v>171</v>
      </c>
      <c r="G1023" s="55">
        <v>30</v>
      </c>
      <c r="H1023" s="262">
        <f t="shared" si="131"/>
        <v>30</v>
      </c>
      <c r="I1023" s="262">
        <f t="shared" si="131"/>
        <v>30</v>
      </c>
      <c r="J1023" s="262">
        <f t="shared" si="131"/>
        <v>30</v>
      </c>
      <c r="K1023" s="262">
        <f t="shared" si="131"/>
        <v>30</v>
      </c>
      <c r="L1023" s="262">
        <f t="shared" si="131"/>
        <v>30</v>
      </c>
      <c r="M1023" s="262">
        <f t="shared" si="131"/>
        <v>30</v>
      </c>
      <c r="N1023" s="262">
        <f t="shared" si="131"/>
        <v>30</v>
      </c>
      <c r="O1023" s="262">
        <f t="shared" si="131"/>
        <v>30</v>
      </c>
      <c r="P1023" s="262">
        <f t="shared" si="131"/>
        <v>30</v>
      </c>
      <c r="Q1023" s="262">
        <f t="shared" si="131"/>
        <v>30</v>
      </c>
      <c r="R1023" s="5"/>
      <c r="S1023" s="25"/>
      <c r="T1023" s="5"/>
    </row>
    <row r="1024" spans="1:20" s="3" customFormat="1" x14ac:dyDescent="0.25">
      <c r="A1024" s="21" t="s">
        <v>450</v>
      </c>
      <c r="B1024" s="246" t="s">
        <v>361</v>
      </c>
      <c r="C1024" s="246"/>
      <c r="D1024" s="246"/>
      <c r="E1024" s="246" t="s">
        <v>10</v>
      </c>
      <c r="F1024" s="9" t="s">
        <v>171</v>
      </c>
      <c r="G1024" s="55"/>
      <c r="H1024" s="55"/>
      <c r="I1024" s="55"/>
      <c r="J1024" s="55"/>
      <c r="K1024" s="55"/>
      <c r="L1024" s="55"/>
      <c r="M1024" s="55"/>
      <c r="N1024" s="55"/>
      <c r="O1024" s="55"/>
      <c r="P1024" s="55"/>
      <c r="Q1024" s="55"/>
      <c r="R1024" s="5"/>
      <c r="S1024" s="25"/>
      <c r="T1024" s="5"/>
    </row>
    <row r="1025" spans="1:20" s="3" customFormat="1" x14ac:dyDescent="0.25">
      <c r="A1025" s="21" t="s">
        <v>450</v>
      </c>
      <c r="B1025" s="246" t="s">
        <v>309</v>
      </c>
      <c r="C1025" s="246"/>
      <c r="D1025" s="246"/>
      <c r="E1025" s="246" t="s">
        <v>97</v>
      </c>
      <c r="F1025" s="9" t="s">
        <v>171</v>
      </c>
      <c r="G1025" s="271">
        <v>0.125</v>
      </c>
      <c r="H1025" s="274">
        <f t="shared" ref="H1025:Q1025" si="132">G1025</f>
        <v>0.125</v>
      </c>
      <c r="I1025" s="274">
        <f t="shared" si="132"/>
        <v>0.125</v>
      </c>
      <c r="J1025" s="274">
        <f t="shared" si="132"/>
        <v>0.125</v>
      </c>
      <c r="K1025" s="274">
        <f t="shared" si="132"/>
        <v>0.125</v>
      </c>
      <c r="L1025" s="274">
        <f t="shared" si="132"/>
        <v>0.125</v>
      </c>
      <c r="M1025" s="274">
        <f t="shared" si="132"/>
        <v>0.125</v>
      </c>
      <c r="N1025" s="274">
        <f t="shared" si="132"/>
        <v>0.125</v>
      </c>
      <c r="O1025" s="274">
        <f t="shared" si="132"/>
        <v>0.125</v>
      </c>
      <c r="P1025" s="274">
        <f t="shared" si="132"/>
        <v>0.125</v>
      </c>
      <c r="Q1025" s="274">
        <f t="shared" si="132"/>
        <v>0.125</v>
      </c>
      <c r="R1025" s="5"/>
      <c r="S1025" s="25"/>
      <c r="T1025" s="5"/>
    </row>
    <row r="1026" spans="1:20" s="3" customFormat="1" x14ac:dyDescent="0.25">
      <c r="A1026" s="21" t="s">
        <v>450</v>
      </c>
      <c r="B1026" s="246" t="s">
        <v>358</v>
      </c>
      <c r="C1026" s="246"/>
      <c r="D1026" s="246"/>
      <c r="E1026" s="246" t="s">
        <v>97</v>
      </c>
      <c r="F1026" s="9" t="s">
        <v>171</v>
      </c>
      <c r="G1026" s="271"/>
      <c r="H1026" s="271"/>
      <c r="I1026" s="271"/>
      <c r="J1026" s="271"/>
      <c r="K1026" s="271"/>
      <c r="L1026" s="271"/>
      <c r="M1026" s="271"/>
      <c r="N1026" s="271"/>
      <c r="O1026" s="271"/>
      <c r="P1026" s="271"/>
      <c r="Q1026" s="271"/>
      <c r="R1026" s="5"/>
      <c r="S1026" s="25"/>
      <c r="T1026" s="5"/>
    </row>
    <row r="1027" spans="1:20" s="3" customFormat="1" x14ac:dyDescent="0.25">
      <c r="A1027" s="21" t="s">
        <v>450</v>
      </c>
      <c r="B1027" s="246" t="s">
        <v>357</v>
      </c>
      <c r="C1027" s="246"/>
      <c r="D1027" s="246"/>
      <c r="E1027" s="246" t="s">
        <v>97</v>
      </c>
      <c r="F1027" s="9" t="s">
        <v>171</v>
      </c>
      <c r="G1027" s="271"/>
      <c r="H1027" s="271"/>
      <c r="I1027" s="271"/>
      <c r="J1027" s="271"/>
      <c r="K1027" s="271"/>
      <c r="L1027" s="271"/>
      <c r="M1027" s="271"/>
      <c r="N1027" s="271"/>
      <c r="O1027" s="271"/>
      <c r="P1027" s="271"/>
      <c r="Q1027" s="271"/>
      <c r="R1027" s="5"/>
      <c r="S1027" s="25"/>
      <c r="T1027" s="5"/>
    </row>
    <row r="1028" spans="1:20" s="3" customFormat="1" x14ac:dyDescent="0.25">
      <c r="A1028" s="21" t="s">
        <v>450</v>
      </c>
      <c r="B1028" s="246" t="s">
        <v>75</v>
      </c>
      <c r="C1028" s="246"/>
      <c r="D1028" s="246"/>
      <c r="E1028" s="246" t="s">
        <v>97</v>
      </c>
      <c r="F1028" s="9" t="s">
        <v>171</v>
      </c>
      <c r="G1028" s="271">
        <v>0.2</v>
      </c>
      <c r="H1028" s="271"/>
      <c r="I1028" s="271"/>
      <c r="J1028" s="271"/>
      <c r="K1028" s="271"/>
      <c r="L1028" s="271"/>
      <c r="M1028" s="271"/>
      <c r="N1028" s="271"/>
      <c r="O1028" s="271"/>
      <c r="P1028" s="271"/>
      <c r="Q1028" s="271"/>
      <c r="R1028" s="5"/>
      <c r="S1028" s="25"/>
      <c r="T1028" s="5"/>
    </row>
    <row r="1029" spans="1:20" s="3" customFormat="1" x14ac:dyDescent="0.25">
      <c r="A1029" s="21" t="s">
        <v>450</v>
      </c>
      <c r="B1029" s="68" t="s">
        <v>148</v>
      </c>
      <c r="C1029" s="68"/>
      <c r="D1029" s="251"/>
      <c r="E1029" s="68" t="s">
        <v>97</v>
      </c>
      <c r="F1029" s="9" t="s">
        <v>171</v>
      </c>
      <c r="G1029" s="271"/>
      <c r="H1029" s="271"/>
      <c r="I1029" s="271"/>
      <c r="J1029" s="271"/>
      <c r="K1029" s="271"/>
      <c r="L1029" s="271"/>
      <c r="M1029" s="271"/>
      <c r="N1029" s="271"/>
      <c r="O1029" s="271"/>
      <c r="P1029" s="271"/>
      <c r="Q1029" s="271"/>
      <c r="R1029" s="5"/>
      <c r="S1029" s="25"/>
      <c r="T1029" s="5"/>
    </row>
    <row r="1030" spans="1:20" s="3" customFormat="1" x14ac:dyDescent="0.25">
      <c r="A1030" s="21" t="s">
        <v>450</v>
      </c>
      <c r="B1030" s="68" t="s">
        <v>149</v>
      </c>
      <c r="C1030" s="68"/>
      <c r="D1030" s="251"/>
      <c r="E1030" s="68" t="s">
        <v>97</v>
      </c>
      <c r="F1030" s="9" t="s">
        <v>171</v>
      </c>
      <c r="G1030" s="271"/>
      <c r="H1030" s="271"/>
      <c r="I1030" s="271"/>
      <c r="J1030" s="271"/>
      <c r="K1030" s="271"/>
      <c r="L1030" s="271"/>
      <c r="M1030" s="271"/>
      <c r="N1030" s="271"/>
      <c r="O1030" s="271"/>
      <c r="P1030" s="271"/>
      <c r="Q1030" s="271"/>
      <c r="R1030" s="5"/>
      <c r="S1030" s="25"/>
      <c r="T1030" s="5"/>
    </row>
    <row r="1031" spans="1:20" s="3" customFormat="1" x14ac:dyDescent="0.25">
      <c r="A1031" s="21" t="s">
        <v>450</v>
      </c>
      <c r="B1031" s="68" t="s">
        <v>370</v>
      </c>
      <c r="C1031" s="68"/>
      <c r="D1031" s="251"/>
      <c r="E1031" s="68" t="s">
        <v>97</v>
      </c>
      <c r="F1031" s="9" t="s">
        <v>171</v>
      </c>
      <c r="G1031" s="271"/>
      <c r="H1031" s="271"/>
      <c r="I1031" s="271"/>
      <c r="J1031" s="271"/>
      <c r="K1031" s="271"/>
      <c r="L1031" s="271"/>
      <c r="M1031" s="271"/>
      <c r="N1031" s="271"/>
      <c r="O1031" s="271"/>
      <c r="P1031" s="271"/>
      <c r="Q1031" s="271"/>
      <c r="R1031" s="5"/>
      <c r="S1031" s="25"/>
      <c r="T1031" s="5"/>
    </row>
    <row r="1032" spans="1:20" s="3" customFormat="1" x14ac:dyDescent="0.25">
      <c r="A1032" s="21" t="s">
        <v>450</v>
      </c>
      <c r="B1032" s="68" t="s">
        <v>371</v>
      </c>
      <c r="C1032" s="68"/>
      <c r="D1032" s="251"/>
      <c r="E1032" s="68" t="s">
        <v>97</v>
      </c>
      <c r="F1032" s="9" t="s">
        <v>171</v>
      </c>
      <c r="G1032" s="271"/>
      <c r="H1032" s="271"/>
      <c r="I1032" s="271"/>
      <c r="J1032" s="271"/>
      <c r="K1032" s="271"/>
      <c r="L1032" s="271"/>
      <c r="M1032" s="271"/>
      <c r="N1032" s="271"/>
      <c r="O1032" s="271"/>
      <c r="P1032" s="271"/>
      <c r="Q1032" s="271"/>
      <c r="R1032" s="5"/>
      <c r="S1032" s="25"/>
      <c r="T1032" s="5"/>
    </row>
    <row r="1033" spans="1:20" s="3" customFormat="1" x14ac:dyDescent="0.25">
      <c r="A1033" s="21" t="s">
        <v>450</v>
      </c>
      <c r="B1033" s="246" t="s">
        <v>338</v>
      </c>
      <c r="C1033" s="246"/>
      <c r="D1033" s="246"/>
      <c r="E1033" s="246" t="s">
        <v>191</v>
      </c>
      <c r="F1033" s="9" t="s">
        <v>171</v>
      </c>
      <c r="G1033" s="55">
        <f>20*8760*0.15</f>
        <v>26280</v>
      </c>
      <c r="H1033" s="262">
        <f t="shared" ref="H1033:Q1034" si="133">G1033</f>
        <v>26280</v>
      </c>
      <c r="I1033" s="262">
        <f t="shared" si="133"/>
        <v>26280</v>
      </c>
      <c r="J1033" s="262">
        <f t="shared" si="133"/>
        <v>26280</v>
      </c>
      <c r="K1033" s="262">
        <f t="shared" si="133"/>
        <v>26280</v>
      </c>
      <c r="L1033" s="262">
        <f t="shared" si="133"/>
        <v>26280</v>
      </c>
      <c r="M1033" s="262">
        <f t="shared" si="133"/>
        <v>26280</v>
      </c>
      <c r="N1033" s="262">
        <f t="shared" si="133"/>
        <v>26280</v>
      </c>
      <c r="O1033" s="262">
        <f t="shared" si="133"/>
        <v>26280</v>
      </c>
      <c r="P1033" s="262">
        <f t="shared" si="133"/>
        <v>26280</v>
      </c>
      <c r="Q1033" s="262">
        <f t="shared" si="133"/>
        <v>26280</v>
      </c>
      <c r="R1033" s="5"/>
      <c r="S1033" s="25"/>
      <c r="T1033" s="5"/>
    </row>
    <row r="1034" spans="1:20" s="3" customFormat="1" x14ac:dyDescent="0.25">
      <c r="A1034" s="21" t="s">
        <v>450</v>
      </c>
      <c r="B1034" s="246" t="s">
        <v>152</v>
      </c>
      <c r="C1034" s="246"/>
      <c r="D1034" s="246"/>
      <c r="E1034" s="246" t="s">
        <v>321</v>
      </c>
      <c r="F1034" s="9" t="s">
        <v>171</v>
      </c>
      <c r="G1034" s="55">
        <v>50000000</v>
      </c>
      <c r="H1034" s="262">
        <f t="shared" si="133"/>
        <v>50000000</v>
      </c>
      <c r="I1034" s="262">
        <f t="shared" si="133"/>
        <v>50000000</v>
      </c>
      <c r="J1034" s="262">
        <f t="shared" si="133"/>
        <v>50000000</v>
      </c>
      <c r="K1034" s="262">
        <f t="shared" si="133"/>
        <v>50000000</v>
      </c>
      <c r="L1034" s="262">
        <f t="shared" si="133"/>
        <v>50000000</v>
      </c>
      <c r="M1034" s="262">
        <f t="shared" si="133"/>
        <v>50000000</v>
      </c>
      <c r="N1034" s="262">
        <f t="shared" si="133"/>
        <v>50000000</v>
      </c>
      <c r="O1034" s="262">
        <f t="shared" si="133"/>
        <v>50000000</v>
      </c>
      <c r="P1034" s="262">
        <f t="shared" si="133"/>
        <v>50000000</v>
      </c>
      <c r="Q1034" s="262">
        <f t="shared" si="133"/>
        <v>50000000</v>
      </c>
      <c r="R1034" s="5"/>
      <c r="S1034" s="25"/>
      <c r="T1034" s="5"/>
    </row>
    <row r="1035" spans="1:20" s="3" customFormat="1" x14ac:dyDescent="0.25">
      <c r="A1035" s="21" t="s">
        <v>450</v>
      </c>
      <c r="B1035" s="246" t="s">
        <v>383</v>
      </c>
      <c r="C1035" s="246"/>
      <c r="D1035" s="246"/>
      <c r="E1035" s="246" t="s">
        <v>97</v>
      </c>
      <c r="F1035" s="9" t="s">
        <v>171</v>
      </c>
      <c r="G1035" s="271"/>
      <c r="H1035" s="271"/>
      <c r="I1035" s="271"/>
      <c r="J1035" s="271"/>
      <c r="K1035" s="271"/>
      <c r="L1035" s="271"/>
      <c r="M1035" s="271"/>
      <c r="N1035" s="271"/>
      <c r="O1035" s="271"/>
      <c r="P1035" s="271"/>
      <c r="Q1035" s="271"/>
      <c r="R1035" s="5"/>
      <c r="S1035" s="25"/>
      <c r="T1035" s="5"/>
    </row>
    <row r="1036" spans="1:20" s="3" customFormat="1" x14ac:dyDescent="0.25">
      <c r="A1036" s="21" t="s">
        <v>450</v>
      </c>
      <c r="B1036" s="246" t="s">
        <v>446</v>
      </c>
      <c r="C1036" s="246"/>
      <c r="D1036" s="246"/>
      <c r="E1036" s="246" t="s">
        <v>191</v>
      </c>
      <c r="F1036" s="9" t="s">
        <v>171</v>
      </c>
      <c r="G1036" s="55"/>
      <c r="H1036" s="55"/>
      <c r="I1036" s="55"/>
      <c r="J1036" s="55"/>
      <c r="K1036" s="55"/>
      <c r="L1036" s="55"/>
      <c r="M1036" s="55"/>
      <c r="N1036" s="55"/>
      <c r="O1036" s="55"/>
      <c r="P1036" s="55"/>
      <c r="Q1036" s="55"/>
      <c r="R1036" s="5"/>
      <c r="S1036" s="25"/>
      <c r="T1036" s="5"/>
    </row>
    <row r="1037" spans="1:20" s="3" customFormat="1" x14ac:dyDescent="0.25">
      <c r="A1037" s="21" t="s">
        <v>450</v>
      </c>
      <c r="B1037" s="246" t="s">
        <v>387</v>
      </c>
      <c r="C1037" s="246"/>
      <c r="D1037" s="246"/>
      <c r="E1037" s="246"/>
      <c r="F1037" s="9" t="s">
        <v>171</v>
      </c>
      <c r="G1037" s="54"/>
      <c r="H1037" s="54"/>
      <c r="I1037" s="54"/>
      <c r="J1037" s="54"/>
      <c r="K1037" s="54"/>
      <c r="L1037" s="54"/>
      <c r="M1037" s="54"/>
      <c r="N1037" s="54"/>
      <c r="O1037" s="54"/>
      <c r="P1037" s="54"/>
      <c r="Q1037" s="54"/>
      <c r="R1037" s="5"/>
      <c r="S1037" s="25"/>
      <c r="T1037" s="5"/>
    </row>
    <row r="1038" spans="1:20" s="3" customFormat="1" x14ac:dyDescent="0.25">
      <c r="A1038" s="21" t="s">
        <v>450</v>
      </c>
      <c r="B1038" s="246" t="s">
        <v>369</v>
      </c>
      <c r="C1038" s="246"/>
      <c r="D1038" s="246"/>
      <c r="E1038" s="246" t="s">
        <v>97</v>
      </c>
      <c r="F1038" s="9" t="s">
        <v>171</v>
      </c>
      <c r="G1038" s="271"/>
      <c r="H1038" s="271"/>
      <c r="I1038" s="271"/>
      <c r="J1038" s="271"/>
      <c r="K1038" s="271"/>
      <c r="L1038" s="271"/>
      <c r="M1038" s="271"/>
      <c r="N1038" s="271"/>
      <c r="O1038" s="271"/>
      <c r="P1038" s="271"/>
      <c r="Q1038" s="271"/>
      <c r="R1038" s="5"/>
      <c r="S1038" s="25"/>
      <c r="T1038" s="5"/>
    </row>
    <row r="1039" spans="1:20" s="3" customFormat="1" x14ac:dyDescent="0.25">
      <c r="A1039" s="21" t="s">
        <v>450</v>
      </c>
      <c r="B1039" s="246" t="s">
        <v>392</v>
      </c>
      <c r="C1039" s="246"/>
      <c r="D1039" s="246"/>
      <c r="E1039" s="246" t="s">
        <v>321</v>
      </c>
      <c r="F1039" s="9" t="s">
        <v>171</v>
      </c>
      <c r="G1039" s="55"/>
      <c r="H1039" s="55"/>
      <c r="I1039" s="55"/>
      <c r="J1039" s="55"/>
      <c r="K1039" s="55"/>
      <c r="L1039" s="55"/>
      <c r="M1039" s="55"/>
      <c r="N1039" s="55"/>
      <c r="O1039" s="55"/>
      <c r="P1039" s="55"/>
      <c r="Q1039" s="55"/>
      <c r="R1039" s="5"/>
      <c r="S1039" s="25"/>
      <c r="T1039" s="5"/>
    </row>
    <row r="1040" spans="1:20" s="3" customFormat="1" x14ac:dyDescent="0.25">
      <c r="A1040" s="21" t="s">
        <v>450</v>
      </c>
      <c r="B1040" s="246" t="s">
        <v>394</v>
      </c>
      <c r="C1040" s="246"/>
      <c r="D1040" s="246"/>
      <c r="E1040" s="246" t="s">
        <v>321</v>
      </c>
      <c r="F1040" s="9" t="s">
        <v>171</v>
      </c>
      <c r="G1040" s="55"/>
      <c r="H1040" s="55"/>
      <c r="I1040" s="55"/>
      <c r="J1040" s="55"/>
      <c r="K1040" s="55"/>
      <c r="L1040" s="55"/>
      <c r="M1040" s="55"/>
      <c r="N1040" s="55"/>
      <c r="O1040" s="55"/>
      <c r="P1040" s="55"/>
      <c r="Q1040" s="55"/>
      <c r="R1040" s="5"/>
      <c r="S1040" s="25"/>
      <c r="T1040" s="5"/>
    </row>
    <row r="1041" spans="1:20" s="3" customFormat="1" x14ac:dyDescent="0.25">
      <c r="A1041" s="21" t="s">
        <v>450</v>
      </c>
      <c r="B1041" s="246" t="s">
        <v>395</v>
      </c>
      <c r="C1041" s="246"/>
      <c r="D1041" s="246"/>
      <c r="E1041" s="246"/>
      <c r="F1041" s="9" t="s">
        <v>171</v>
      </c>
      <c r="G1041" s="54"/>
      <c r="H1041" s="54"/>
      <c r="I1041" s="54"/>
      <c r="J1041" s="54"/>
      <c r="K1041" s="54"/>
      <c r="L1041" s="54"/>
      <c r="M1041" s="54"/>
      <c r="N1041" s="54"/>
      <c r="O1041" s="54"/>
      <c r="P1041" s="54"/>
      <c r="Q1041" s="54"/>
      <c r="R1041" s="5"/>
      <c r="S1041" s="25"/>
      <c r="T1041" s="5"/>
    </row>
    <row r="1042" spans="1:20" s="3" customFormat="1" x14ac:dyDescent="0.25">
      <c r="A1042" s="21" t="s">
        <v>450</v>
      </c>
      <c r="B1042" s="246" t="s">
        <v>396</v>
      </c>
      <c r="C1042" s="246"/>
      <c r="D1042" s="246"/>
      <c r="E1042" s="246"/>
      <c r="F1042" s="9" t="s">
        <v>171</v>
      </c>
      <c r="G1042" s="54"/>
      <c r="H1042" s="54"/>
      <c r="I1042" s="54"/>
      <c r="J1042" s="54"/>
      <c r="K1042" s="54"/>
      <c r="L1042" s="54"/>
      <c r="M1042" s="54"/>
      <c r="N1042" s="54"/>
      <c r="O1042" s="54"/>
      <c r="P1042" s="54"/>
      <c r="Q1042" s="54"/>
      <c r="R1042" s="5"/>
      <c r="S1042" s="25"/>
      <c r="T1042" s="5"/>
    </row>
    <row r="1043" spans="1:20" s="3" customFormat="1" x14ac:dyDescent="0.25">
      <c r="A1043" s="21" t="s">
        <v>450</v>
      </c>
      <c r="B1043" s="246" t="s">
        <v>393</v>
      </c>
      <c r="C1043" s="246"/>
      <c r="D1043" s="246"/>
      <c r="E1043" s="246" t="s">
        <v>337</v>
      </c>
      <c r="F1043" s="9" t="s">
        <v>171</v>
      </c>
      <c r="G1043" s="55"/>
      <c r="H1043" s="55"/>
      <c r="I1043" s="55"/>
      <c r="J1043" s="55"/>
      <c r="K1043" s="55"/>
      <c r="L1043" s="55"/>
      <c r="M1043" s="55"/>
      <c r="N1043" s="55"/>
      <c r="O1043" s="55"/>
      <c r="P1043" s="55"/>
      <c r="Q1043" s="55"/>
      <c r="R1043" s="5"/>
      <c r="S1043" s="25"/>
      <c r="T1043" s="5"/>
    </row>
    <row r="1044" spans="1:20" s="3" customFormat="1" x14ac:dyDescent="0.25">
      <c r="A1044" s="21" t="s">
        <v>450</v>
      </c>
      <c r="B1044" s="246" t="s">
        <v>397</v>
      </c>
      <c r="C1044" s="246"/>
      <c r="D1044" s="246"/>
      <c r="E1044" s="246" t="s">
        <v>337</v>
      </c>
      <c r="F1044" s="9" t="s">
        <v>171</v>
      </c>
      <c r="G1044" s="55"/>
      <c r="H1044" s="55"/>
      <c r="I1044" s="55"/>
      <c r="J1044" s="55"/>
      <c r="K1044" s="55"/>
      <c r="L1044" s="55"/>
      <c r="M1044" s="55"/>
      <c r="N1044" s="55"/>
      <c r="O1044" s="55"/>
      <c r="P1044" s="55"/>
      <c r="Q1044" s="55"/>
      <c r="R1044" s="5"/>
      <c r="S1044" s="25"/>
      <c r="T1044" s="5"/>
    </row>
    <row r="1045" spans="1:20" s="3" customFormat="1" x14ac:dyDescent="0.25">
      <c r="A1045" s="21" t="s">
        <v>450</v>
      </c>
      <c r="B1045" s="246" t="s">
        <v>398</v>
      </c>
      <c r="C1045" s="246"/>
      <c r="D1045" s="246"/>
      <c r="E1045" s="246"/>
      <c r="F1045" s="9" t="s">
        <v>171</v>
      </c>
      <c r="G1045" s="54"/>
      <c r="H1045" s="54"/>
      <c r="I1045" s="54"/>
      <c r="J1045" s="54"/>
      <c r="K1045" s="54"/>
      <c r="L1045" s="54"/>
      <c r="M1045" s="54"/>
      <c r="N1045" s="54"/>
      <c r="O1045" s="54"/>
      <c r="P1045" s="54"/>
      <c r="Q1045" s="54"/>
      <c r="R1045" s="5"/>
      <c r="S1045" s="25"/>
      <c r="T1045" s="5"/>
    </row>
    <row r="1046" spans="1:20" s="3" customFormat="1" x14ac:dyDescent="0.25">
      <c r="A1046" s="21" t="s">
        <v>450</v>
      </c>
      <c r="B1046" s="246" t="s">
        <v>399</v>
      </c>
      <c r="C1046" s="246"/>
      <c r="D1046" s="246"/>
      <c r="E1046" s="246"/>
      <c r="F1046" s="9" t="s">
        <v>171</v>
      </c>
      <c r="G1046" s="54"/>
      <c r="H1046" s="54"/>
      <c r="I1046" s="54"/>
      <c r="J1046" s="54"/>
      <c r="K1046" s="54"/>
      <c r="L1046" s="54"/>
      <c r="M1046" s="54"/>
      <c r="N1046" s="54"/>
      <c r="O1046" s="54"/>
      <c r="P1046" s="54"/>
      <c r="Q1046" s="54"/>
      <c r="R1046" s="5"/>
      <c r="S1046" s="25"/>
      <c r="T1046" s="5"/>
    </row>
    <row r="1047" spans="1:20" s="3" customFormat="1" x14ac:dyDescent="0.25">
      <c r="A1047" s="21" t="s">
        <v>450</v>
      </c>
      <c r="B1047" s="246" t="s">
        <v>310</v>
      </c>
      <c r="C1047" s="246"/>
      <c r="D1047" s="246"/>
      <c r="E1047" s="246" t="s">
        <v>337</v>
      </c>
      <c r="F1047" s="9" t="s">
        <v>171</v>
      </c>
      <c r="G1047" s="55">
        <v>500000</v>
      </c>
      <c r="H1047" s="262">
        <f t="shared" ref="H1047:Q1047" si="134">G1047</f>
        <v>500000</v>
      </c>
      <c r="I1047" s="262">
        <f t="shared" si="134"/>
        <v>500000</v>
      </c>
      <c r="J1047" s="262">
        <f t="shared" si="134"/>
        <v>500000</v>
      </c>
      <c r="K1047" s="262">
        <f t="shared" si="134"/>
        <v>500000</v>
      </c>
      <c r="L1047" s="262">
        <f t="shared" si="134"/>
        <v>500000</v>
      </c>
      <c r="M1047" s="262">
        <f t="shared" si="134"/>
        <v>500000</v>
      </c>
      <c r="N1047" s="262">
        <f t="shared" si="134"/>
        <v>500000</v>
      </c>
      <c r="O1047" s="262">
        <f t="shared" si="134"/>
        <v>500000</v>
      </c>
      <c r="P1047" s="262">
        <f t="shared" si="134"/>
        <v>500000</v>
      </c>
      <c r="Q1047" s="262">
        <f t="shared" si="134"/>
        <v>500000</v>
      </c>
      <c r="R1047" s="5"/>
      <c r="S1047" s="25"/>
      <c r="T1047" s="5"/>
    </row>
    <row r="1048" spans="1:20" s="3" customFormat="1" x14ac:dyDescent="0.25">
      <c r="A1048" s="21" t="s">
        <v>450</v>
      </c>
      <c r="B1048" s="246" t="s">
        <v>360</v>
      </c>
      <c r="C1048" s="246"/>
      <c r="D1048" s="246"/>
      <c r="E1048" s="246" t="s">
        <v>321</v>
      </c>
      <c r="F1048" s="9" t="s">
        <v>171</v>
      </c>
      <c r="G1048" s="55"/>
      <c r="H1048" s="55"/>
      <c r="I1048" s="55"/>
      <c r="J1048" s="55"/>
      <c r="K1048" s="55"/>
      <c r="L1048" s="55"/>
      <c r="M1048" s="55"/>
      <c r="N1048" s="55"/>
      <c r="O1048" s="55"/>
      <c r="P1048" s="55"/>
      <c r="Q1048" s="55"/>
      <c r="R1048" s="5"/>
      <c r="S1048" s="25"/>
      <c r="T1048" s="5"/>
    </row>
    <row r="1049" spans="1:20" s="3" customFormat="1" x14ac:dyDescent="0.25">
      <c r="A1049" s="21" t="s">
        <v>450</v>
      </c>
      <c r="B1049" s="67" t="s">
        <v>306</v>
      </c>
      <c r="C1049" s="13"/>
      <c r="D1049" s="3" t="s">
        <v>476</v>
      </c>
      <c r="E1049" s="2" t="s">
        <v>350</v>
      </c>
      <c r="F1049" s="9" t="s">
        <v>171</v>
      </c>
      <c r="G1049" s="54">
        <f>1/0.15</f>
        <v>6.666666666666667</v>
      </c>
      <c r="H1049" s="284">
        <f t="shared" ref="H1049:Q1050" si="135">G1049</f>
        <v>6.666666666666667</v>
      </c>
      <c r="I1049" s="284">
        <f t="shared" si="135"/>
        <v>6.666666666666667</v>
      </c>
      <c r="J1049" s="284">
        <f t="shared" si="135"/>
        <v>6.666666666666667</v>
      </c>
      <c r="K1049" s="284">
        <f t="shared" si="135"/>
        <v>6.666666666666667</v>
      </c>
      <c r="L1049" s="284">
        <f t="shared" si="135"/>
        <v>6.666666666666667</v>
      </c>
      <c r="M1049" s="284">
        <f t="shared" si="135"/>
        <v>6.666666666666667</v>
      </c>
      <c r="N1049" s="284">
        <f t="shared" si="135"/>
        <v>6.666666666666667</v>
      </c>
      <c r="O1049" s="284">
        <f t="shared" si="135"/>
        <v>6.666666666666667</v>
      </c>
      <c r="P1049" s="284">
        <f t="shared" si="135"/>
        <v>6.666666666666667</v>
      </c>
      <c r="Q1049" s="284">
        <f t="shared" si="135"/>
        <v>6.666666666666667</v>
      </c>
      <c r="R1049" s="5"/>
      <c r="S1049" s="13"/>
      <c r="T1049" s="5"/>
    </row>
    <row r="1050" spans="1:20" s="3" customFormat="1" x14ac:dyDescent="0.25">
      <c r="A1050" s="21" t="s">
        <v>450</v>
      </c>
      <c r="B1050" s="67" t="s">
        <v>306</v>
      </c>
      <c r="C1050" s="13"/>
      <c r="D1050" s="3" t="s">
        <v>480</v>
      </c>
      <c r="E1050" s="2" t="s">
        <v>351</v>
      </c>
      <c r="F1050" s="9" t="s">
        <v>171</v>
      </c>
      <c r="G1050" s="54">
        <v>1</v>
      </c>
      <c r="H1050" s="284">
        <f t="shared" si="135"/>
        <v>1</v>
      </c>
      <c r="I1050" s="284">
        <f t="shared" si="135"/>
        <v>1</v>
      </c>
      <c r="J1050" s="284">
        <f t="shared" si="135"/>
        <v>1</v>
      </c>
      <c r="K1050" s="284">
        <f t="shared" si="135"/>
        <v>1</v>
      </c>
      <c r="L1050" s="284">
        <f t="shared" si="135"/>
        <v>1</v>
      </c>
      <c r="M1050" s="284">
        <f t="shared" si="135"/>
        <v>1</v>
      </c>
      <c r="N1050" s="284">
        <f t="shared" si="135"/>
        <v>1</v>
      </c>
      <c r="O1050" s="284">
        <f t="shared" si="135"/>
        <v>1</v>
      </c>
      <c r="P1050" s="284">
        <f t="shared" si="135"/>
        <v>1</v>
      </c>
      <c r="Q1050" s="284">
        <f t="shared" si="135"/>
        <v>1</v>
      </c>
      <c r="R1050" s="5"/>
      <c r="S1050" s="13"/>
      <c r="T1050" s="5"/>
    </row>
    <row r="1051" spans="1:20" s="3" customFormat="1" x14ac:dyDescent="0.25">
      <c r="A1051" s="21" t="s">
        <v>450</v>
      </c>
      <c r="B1051" s="67" t="s">
        <v>51</v>
      </c>
      <c r="C1051" s="13"/>
      <c r="D1051" s="2"/>
      <c r="E1051" s="2"/>
      <c r="F1051" s="63" t="s">
        <v>172</v>
      </c>
      <c r="G1051" s="198"/>
      <c r="H1051" s="198"/>
      <c r="I1051" s="4"/>
      <c r="J1051" s="4"/>
      <c r="K1051" s="4"/>
      <c r="L1051" s="4"/>
      <c r="M1051" s="4"/>
      <c r="N1051" s="4"/>
      <c r="O1051" s="4"/>
      <c r="P1051" s="4"/>
      <c r="Q1051" s="4"/>
      <c r="R1051" s="5"/>
      <c r="S1051" s="13"/>
      <c r="T1051" s="5"/>
    </row>
    <row r="1052" spans="1:20" s="3" customFormat="1" x14ac:dyDescent="0.25">
      <c r="A1052" s="21" t="s">
        <v>450</v>
      </c>
      <c r="B1052" s="246" t="s">
        <v>38</v>
      </c>
      <c r="C1052" s="246"/>
      <c r="D1052" s="246"/>
      <c r="E1052" s="246" t="s">
        <v>40</v>
      </c>
      <c r="F1052" s="9" t="s">
        <v>172</v>
      </c>
      <c r="G1052" s="277">
        <v>2000</v>
      </c>
      <c r="H1052" s="280">
        <f t="shared" ref="H1052:Q1054" si="136">G1052</f>
        <v>2000</v>
      </c>
      <c r="I1052" s="280">
        <f t="shared" si="136"/>
        <v>2000</v>
      </c>
      <c r="J1052" s="280">
        <f t="shared" si="136"/>
        <v>2000</v>
      </c>
      <c r="K1052" s="280">
        <f t="shared" si="136"/>
        <v>2000</v>
      </c>
      <c r="L1052" s="280">
        <f t="shared" si="136"/>
        <v>2000</v>
      </c>
      <c r="M1052" s="280">
        <f t="shared" si="136"/>
        <v>2000</v>
      </c>
      <c r="N1052" s="280">
        <f t="shared" si="136"/>
        <v>2000</v>
      </c>
      <c r="O1052" s="280">
        <f t="shared" si="136"/>
        <v>2000</v>
      </c>
      <c r="P1052" s="280">
        <f t="shared" si="136"/>
        <v>2000</v>
      </c>
      <c r="Q1052" s="280">
        <f t="shared" si="136"/>
        <v>2000</v>
      </c>
      <c r="R1052" s="5"/>
      <c r="S1052" s="25"/>
      <c r="T1052" s="5"/>
    </row>
    <row r="1053" spans="1:20" s="3" customFormat="1" x14ac:dyDescent="0.25">
      <c r="A1053" s="21" t="s">
        <v>450</v>
      </c>
      <c r="B1053" s="246" t="s">
        <v>37</v>
      </c>
      <c r="C1053" s="246"/>
      <c r="D1053" s="246"/>
      <c r="E1053" s="246" t="s">
        <v>40</v>
      </c>
      <c r="F1053" s="9" t="s">
        <v>172</v>
      </c>
      <c r="G1053" s="277">
        <v>2100</v>
      </c>
      <c r="H1053" s="280">
        <f t="shared" si="136"/>
        <v>2100</v>
      </c>
      <c r="I1053" s="280">
        <f t="shared" si="136"/>
        <v>2100</v>
      </c>
      <c r="J1053" s="280">
        <f t="shared" si="136"/>
        <v>2100</v>
      </c>
      <c r="K1053" s="280">
        <f t="shared" si="136"/>
        <v>2100</v>
      </c>
      <c r="L1053" s="280">
        <f t="shared" si="136"/>
        <v>2100</v>
      </c>
      <c r="M1053" s="280">
        <f t="shared" si="136"/>
        <v>2100</v>
      </c>
      <c r="N1053" s="280">
        <f t="shared" si="136"/>
        <v>2100</v>
      </c>
      <c r="O1053" s="280">
        <f t="shared" si="136"/>
        <v>2100</v>
      </c>
      <c r="P1053" s="280">
        <f t="shared" si="136"/>
        <v>2100</v>
      </c>
      <c r="Q1053" s="280">
        <f t="shared" si="136"/>
        <v>2100</v>
      </c>
      <c r="R1053" s="5"/>
      <c r="S1053" s="25"/>
      <c r="T1053" s="5"/>
    </row>
    <row r="1054" spans="1:20" s="3" customFormat="1" x14ac:dyDescent="0.25">
      <c r="A1054" s="21" t="s">
        <v>450</v>
      </c>
      <c r="B1054" s="246" t="s">
        <v>39</v>
      </c>
      <c r="C1054" s="246"/>
      <c r="D1054" s="246"/>
      <c r="E1054" s="246" t="s">
        <v>10</v>
      </c>
      <c r="F1054" s="9" t="s">
        <v>172</v>
      </c>
      <c r="G1054" s="55">
        <v>30</v>
      </c>
      <c r="H1054" s="262">
        <f t="shared" si="136"/>
        <v>30</v>
      </c>
      <c r="I1054" s="262">
        <f t="shared" si="136"/>
        <v>30</v>
      </c>
      <c r="J1054" s="262">
        <f t="shared" si="136"/>
        <v>30</v>
      </c>
      <c r="K1054" s="262">
        <f t="shared" si="136"/>
        <v>30</v>
      </c>
      <c r="L1054" s="262">
        <f t="shared" si="136"/>
        <v>30</v>
      </c>
      <c r="M1054" s="262">
        <f t="shared" si="136"/>
        <v>30</v>
      </c>
      <c r="N1054" s="262">
        <f t="shared" si="136"/>
        <v>30</v>
      </c>
      <c r="O1054" s="262">
        <f t="shared" si="136"/>
        <v>30</v>
      </c>
      <c r="P1054" s="262">
        <f t="shared" si="136"/>
        <v>30</v>
      </c>
      <c r="Q1054" s="262">
        <f t="shared" si="136"/>
        <v>30</v>
      </c>
      <c r="R1054" s="5"/>
      <c r="S1054" s="25"/>
      <c r="T1054" s="5"/>
    </row>
    <row r="1055" spans="1:20" s="3" customFormat="1" x14ac:dyDescent="0.25">
      <c r="A1055" s="21" t="s">
        <v>450</v>
      </c>
      <c r="B1055" s="246" t="s">
        <v>361</v>
      </c>
      <c r="C1055" s="246"/>
      <c r="D1055" s="246"/>
      <c r="E1055" s="246" t="s">
        <v>10</v>
      </c>
      <c r="F1055" s="9" t="s">
        <v>172</v>
      </c>
      <c r="G1055" s="55"/>
      <c r="H1055" s="55"/>
      <c r="I1055" s="55"/>
      <c r="J1055" s="55"/>
      <c r="K1055" s="55"/>
      <c r="L1055" s="55"/>
      <c r="M1055" s="55"/>
      <c r="N1055" s="55"/>
      <c r="O1055" s="55"/>
      <c r="P1055" s="55"/>
      <c r="Q1055" s="55"/>
      <c r="R1055" s="5"/>
      <c r="S1055" s="25"/>
      <c r="T1055" s="5"/>
    </row>
    <row r="1056" spans="1:20" s="3" customFormat="1" x14ac:dyDescent="0.25">
      <c r="A1056" s="21" t="s">
        <v>450</v>
      </c>
      <c r="B1056" s="246" t="s">
        <v>309</v>
      </c>
      <c r="C1056" s="246"/>
      <c r="D1056" s="246"/>
      <c r="E1056" s="246" t="s">
        <v>97</v>
      </c>
      <c r="F1056" s="9" t="s">
        <v>172</v>
      </c>
      <c r="G1056" s="271">
        <v>0.125</v>
      </c>
      <c r="H1056" s="274">
        <f t="shared" ref="H1056:Q1056" si="137">G1056</f>
        <v>0.125</v>
      </c>
      <c r="I1056" s="274">
        <f t="shared" si="137"/>
        <v>0.125</v>
      </c>
      <c r="J1056" s="274">
        <f t="shared" si="137"/>
        <v>0.125</v>
      </c>
      <c r="K1056" s="274">
        <f t="shared" si="137"/>
        <v>0.125</v>
      </c>
      <c r="L1056" s="274">
        <f t="shared" si="137"/>
        <v>0.125</v>
      </c>
      <c r="M1056" s="274">
        <f t="shared" si="137"/>
        <v>0.125</v>
      </c>
      <c r="N1056" s="274">
        <f t="shared" si="137"/>
        <v>0.125</v>
      </c>
      <c r="O1056" s="274">
        <f t="shared" si="137"/>
        <v>0.125</v>
      </c>
      <c r="P1056" s="274">
        <f t="shared" si="137"/>
        <v>0.125</v>
      </c>
      <c r="Q1056" s="274">
        <f t="shared" si="137"/>
        <v>0.125</v>
      </c>
      <c r="R1056" s="5"/>
      <c r="S1056" s="25"/>
      <c r="T1056" s="5"/>
    </row>
    <row r="1057" spans="1:20" s="3" customFormat="1" x14ac:dyDescent="0.25">
      <c r="A1057" s="21" t="s">
        <v>450</v>
      </c>
      <c r="B1057" s="246" t="s">
        <v>358</v>
      </c>
      <c r="C1057" s="246"/>
      <c r="D1057" s="246"/>
      <c r="E1057" s="246" t="s">
        <v>97</v>
      </c>
      <c r="F1057" s="9" t="s">
        <v>172</v>
      </c>
      <c r="G1057" s="271"/>
      <c r="H1057" s="271"/>
      <c r="I1057" s="271"/>
      <c r="J1057" s="271"/>
      <c r="K1057" s="271"/>
      <c r="L1057" s="271"/>
      <c r="M1057" s="271"/>
      <c r="N1057" s="271"/>
      <c r="O1057" s="271"/>
      <c r="P1057" s="271"/>
      <c r="Q1057" s="271"/>
      <c r="R1057" s="5"/>
      <c r="S1057" s="25"/>
      <c r="T1057" s="5"/>
    </row>
    <row r="1058" spans="1:20" s="3" customFormat="1" x14ac:dyDescent="0.25">
      <c r="A1058" s="21" t="s">
        <v>450</v>
      </c>
      <c r="B1058" s="246" t="s">
        <v>357</v>
      </c>
      <c r="C1058" s="246"/>
      <c r="D1058" s="246"/>
      <c r="E1058" s="246" t="s">
        <v>97</v>
      </c>
      <c r="F1058" s="9" t="s">
        <v>172</v>
      </c>
      <c r="G1058" s="271"/>
      <c r="H1058" s="271"/>
      <c r="I1058" s="271"/>
      <c r="J1058" s="271"/>
      <c r="K1058" s="271"/>
      <c r="L1058" s="271"/>
      <c r="M1058" s="271"/>
      <c r="N1058" s="271"/>
      <c r="O1058" s="271"/>
      <c r="P1058" s="271"/>
      <c r="Q1058" s="271"/>
      <c r="R1058" s="5"/>
      <c r="S1058" s="25"/>
      <c r="T1058" s="5"/>
    </row>
    <row r="1059" spans="1:20" s="3" customFormat="1" x14ac:dyDescent="0.25">
      <c r="A1059" s="21" t="s">
        <v>450</v>
      </c>
      <c r="B1059" s="246" t="s">
        <v>75</v>
      </c>
      <c r="C1059" s="246"/>
      <c r="D1059" s="246"/>
      <c r="E1059" s="246" t="s">
        <v>97</v>
      </c>
      <c r="F1059" s="9" t="s">
        <v>172</v>
      </c>
      <c r="G1059" s="271">
        <v>0.8</v>
      </c>
      <c r="H1059" s="271"/>
      <c r="I1059" s="271"/>
      <c r="J1059" s="271"/>
      <c r="K1059" s="271"/>
      <c r="L1059" s="271"/>
      <c r="M1059" s="271"/>
      <c r="N1059" s="271"/>
      <c r="O1059" s="271"/>
      <c r="P1059" s="271"/>
      <c r="Q1059" s="271"/>
      <c r="R1059" s="5"/>
      <c r="S1059" s="25"/>
      <c r="T1059" s="5"/>
    </row>
    <row r="1060" spans="1:20" s="3" customFormat="1" x14ac:dyDescent="0.25">
      <c r="A1060" s="21" t="s">
        <v>450</v>
      </c>
      <c r="B1060" s="68" t="s">
        <v>148</v>
      </c>
      <c r="C1060" s="68"/>
      <c r="D1060" s="251"/>
      <c r="E1060" s="68" t="s">
        <v>97</v>
      </c>
      <c r="F1060" s="9" t="s">
        <v>172</v>
      </c>
      <c r="G1060" s="271"/>
      <c r="H1060" s="271"/>
      <c r="I1060" s="271"/>
      <c r="J1060" s="271"/>
      <c r="K1060" s="271"/>
      <c r="L1060" s="271"/>
      <c r="M1060" s="271"/>
      <c r="N1060" s="271"/>
      <c r="O1060" s="271"/>
      <c r="P1060" s="271"/>
      <c r="Q1060" s="271"/>
      <c r="R1060" s="5"/>
      <c r="S1060" s="25"/>
      <c r="T1060" s="5"/>
    </row>
    <row r="1061" spans="1:20" s="3" customFormat="1" x14ac:dyDescent="0.25">
      <c r="A1061" s="21" t="s">
        <v>450</v>
      </c>
      <c r="B1061" s="68" t="s">
        <v>149</v>
      </c>
      <c r="C1061" s="68"/>
      <c r="D1061" s="251"/>
      <c r="E1061" s="68" t="s">
        <v>97</v>
      </c>
      <c r="F1061" s="9" t="s">
        <v>172</v>
      </c>
      <c r="G1061" s="271"/>
      <c r="H1061" s="271"/>
      <c r="I1061" s="271"/>
      <c r="J1061" s="271"/>
      <c r="K1061" s="271"/>
      <c r="L1061" s="271"/>
      <c r="M1061" s="271"/>
      <c r="N1061" s="271"/>
      <c r="O1061" s="271"/>
      <c r="P1061" s="271"/>
      <c r="Q1061" s="271"/>
      <c r="R1061" s="5"/>
      <c r="S1061" s="25"/>
      <c r="T1061" s="5"/>
    </row>
    <row r="1062" spans="1:20" s="3" customFormat="1" x14ac:dyDescent="0.25">
      <c r="A1062" s="21" t="s">
        <v>450</v>
      </c>
      <c r="B1062" s="68" t="s">
        <v>370</v>
      </c>
      <c r="C1062" s="68"/>
      <c r="D1062" s="251"/>
      <c r="E1062" s="68" t="s">
        <v>97</v>
      </c>
      <c r="F1062" s="9" t="s">
        <v>172</v>
      </c>
      <c r="G1062" s="271"/>
      <c r="H1062" s="271"/>
      <c r="I1062" s="271"/>
      <c r="J1062" s="271"/>
      <c r="K1062" s="271"/>
      <c r="L1062" s="271"/>
      <c r="M1062" s="271"/>
      <c r="N1062" s="271"/>
      <c r="O1062" s="271"/>
      <c r="P1062" s="271"/>
      <c r="Q1062" s="271"/>
      <c r="R1062" s="5"/>
      <c r="S1062" s="25"/>
      <c r="T1062" s="5"/>
    </row>
    <row r="1063" spans="1:20" s="3" customFormat="1" x14ac:dyDescent="0.25">
      <c r="A1063" s="21" t="s">
        <v>450</v>
      </c>
      <c r="B1063" s="68" t="s">
        <v>371</v>
      </c>
      <c r="C1063" s="68"/>
      <c r="D1063" s="251"/>
      <c r="E1063" s="68" t="s">
        <v>97</v>
      </c>
      <c r="F1063" s="9" t="s">
        <v>172</v>
      </c>
      <c r="G1063" s="271"/>
      <c r="H1063" s="271"/>
      <c r="I1063" s="271"/>
      <c r="J1063" s="271"/>
      <c r="K1063" s="271"/>
      <c r="L1063" s="271"/>
      <c r="M1063" s="271"/>
      <c r="N1063" s="271"/>
      <c r="O1063" s="271"/>
      <c r="P1063" s="271"/>
      <c r="Q1063" s="271"/>
      <c r="R1063" s="5"/>
      <c r="S1063" s="25"/>
      <c r="T1063" s="5"/>
    </row>
    <row r="1064" spans="1:20" s="3" customFormat="1" x14ac:dyDescent="0.25">
      <c r="A1064" s="21" t="s">
        <v>450</v>
      </c>
      <c r="B1064" s="246" t="s">
        <v>338</v>
      </c>
      <c r="C1064" s="246"/>
      <c r="D1064" s="246"/>
      <c r="E1064" s="246" t="s">
        <v>191</v>
      </c>
      <c r="F1064" s="9" t="s">
        <v>172</v>
      </c>
      <c r="G1064" s="55">
        <f>100*8760*0.15</f>
        <v>131400</v>
      </c>
      <c r="H1064" s="262">
        <f t="shared" ref="H1064:Q1065" si="138">G1064</f>
        <v>131400</v>
      </c>
      <c r="I1064" s="262">
        <f t="shared" si="138"/>
        <v>131400</v>
      </c>
      <c r="J1064" s="262">
        <f t="shared" si="138"/>
        <v>131400</v>
      </c>
      <c r="K1064" s="262">
        <f t="shared" si="138"/>
        <v>131400</v>
      </c>
      <c r="L1064" s="262">
        <f t="shared" si="138"/>
        <v>131400</v>
      </c>
      <c r="M1064" s="262">
        <f t="shared" si="138"/>
        <v>131400</v>
      </c>
      <c r="N1064" s="262">
        <f t="shared" si="138"/>
        <v>131400</v>
      </c>
      <c r="O1064" s="262">
        <f t="shared" si="138"/>
        <v>131400</v>
      </c>
      <c r="P1064" s="262">
        <f t="shared" si="138"/>
        <v>131400</v>
      </c>
      <c r="Q1064" s="262">
        <f t="shared" si="138"/>
        <v>131400</v>
      </c>
      <c r="R1064" s="5"/>
      <c r="S1064" s="25"/>
      <c r="T1064" s="5"/>
    </row>
    <row r="1065" spans="1:20" s="3" customFormat="1" x14ac:dyDescent="0.25">
      <c r="A1065" s="21" t="s">
        <v>450</v>
      </c>
      <c r="B1065" s="246" t="s">
        <v>152</v>
      </c>
      <c r="C1065" s="246"/>
      <c r="D1065" s="246"/>
      <c r="E1065" s="246" t="s">
        <v>321</v>
      </c>
      <c r="F1065" s="9" t="s">
        <v>172</v>
      </c>
      <c r="G1065" s="55">
        <v>190000000</v>
      </c>
      <c r="H1065" s="262">
        <f t="shared" si="138"/>
        <v>190000000</v>
      </c>
      <c r="I1065" s="262">
        <f t="shared" si="138"/>
        <v>190000000</v>
      </c>
      <c r="J1065" s="262">
        <f t="shared" si="138"/>
        <v>190000000</v>
      </c>
      <c r="K1065" s="262">
        <f t="shared" si="138"/>
        <v>190000000</v>
      </c>
      <c r="L1065" s="262">
        <f t="shared" si="138"/>
        <v>190000000</v>
      </c>
      <c r="M1065" s="262">
        <f t="shared" si="138"/>
        <v>190000000</v>
      </c>
      <c r="N1065" s="262">
        <f t="shared" si="138"/>
        <v>190000000</v>
      </c>
      <c r="O1065" s="262">
        <f t="shared" si="138"/>
        <v>190000000</v>
      </c>
      <c r="P1065" s="262">
        <f t="shared" si="138"/>
        <v>190000000</v>
      </c>
      <c r="Q1065" s="262">
        <f t="shared" si="138"/>
        <v>190000000</v>
      </c>
      <c r="R1065" s="5"/>
      <c r="S1065" s="25"/>
      <c r="T1065" s="5"/>
    </row>
    <row r="1066" spans="1:20" s="3" customFormat="1" x14ac:dyDescent="0.25">
      <c r="A1066" s="21" t="s">
        <v>450</v>
      </c>
      <c r="B1066" s="246" t="s">
        <v>383</v>
      </c>
      <c r="C1066" s="246"/>
      <c r="D1066" s="246"/>
      <c r="E1066" s="246" t="s">
        <v>97</v>
      </c>
      <c r="F1066" s="9" t="s">
        <v>172</v>
      </c>
      <c r="G1066" s="271"/>
      <c r="H1066" s="271"/>
      <c r="I1066" s="271"/>
      <c r="J1066" s="271"/>
      <c r="K1066" s="271"/>
      <c r="L1066" s="271"/>
      <c r="M1066" s="271"/>
      <c r="N1066" s="271"/>
      <c r="O1066" s="271"/>
      <c r="P1066" s="271"/>
      <c r="Q1066" s="271"/>
      <c r="R1066" s="5"/>
      <c r="S1066" s="25"/>
      <c r="T1066" s="5"/>
    </row>
    <row r="1067" spans="1:20" s="3" customFormat="1" x14ac:dyDescent="0.25">
      <c r="A1067" s="21" t="s">
        <v>450</v>
      </c>
      <c r="B1067" s="246" t="s">
        <v>446</v>
      </c>
      <c r="C1067" s="246"/>
      <c r="D1067" s="246"/>
      <c r="E1067" s="246" t="s">
        <v>191</v>
      </c>
      <c r="F1067" s="9" t="s">
        <v>172</v>
      </c>
      <c r="G1067" s="55"/>
      <c r="H1067" s="55"/>
      <c r="I1067" s="55"/>
      <c r="J1067" s="55"/>
      <c r="K1067" s="55"/>
      <c r="L1067" s="55"/>
      <c r="M1067" s="55"/>
      <c r="N1067" s="55"/>
      <c r="O1067" s="55"/>
      <c r="P1067" s="55"/>
      <c r="Q1067" s="55"/>
      <c r="R1067" s="5"/>
      <c r="S1067" s="25"/>
      <c r="T1067" s="5"/>
    </row>
    <row r="1068" spans="1:20" s="3" customFormat="1" x14ac:dyDescent="0.25">
      <c r="A1068" s="21" t="s">
        <v>450</v>
      </c>
      <c r="B1068" s="246" t="s">
        <v>387</v>
      </c>
      <c r="C1068" s="246"/>
      <c r="D1068" s="246"/>
      <c r="E1068" s="246"/>
      <c r="F1068" s="9" t="s">
        <v>172</v>
      </c>
      <c r="G1068" s="54"/>
      <c r="H1068" s="54"/>
      <c r="I1068" s="54"/>
      <c r="J1068" s="54"/>
      <c r="K1068" s="54"/>
      <c r="L1068" s="54"/>
      <c r="M1068" s="54"/>
      <c r="N1068" s="54"/>
      <c r="O1068" s="54"/>
      <c r="P1068" s="54"/>
      <c r="Q1068" s="54"/>
      <c r="R1068" s="5"/>
      <c r="S1068" s="25"/>
      <c r="T1068" s="5"/>
    </row>
    <row r="1069" spans="1:20" s="3" customFormat="1" x14ac:dyDescent="0.25">
      <c r="A1069" s="21" t="s">
        <v>450</v>
      </c>
      <c r="B1069" s="246" t="s">
        <v>369</v>
      </c>
      <c r="C1069" s="246"/>
      <c r="D1069" s="246"/>
      <c r="E1069" s="246" t="s">
        <v>97</v>
      </c>
      <c r="F1069" s="9" t="s">
        <v>172</v>
      </c>
      <c r="G1069" s="271"/>
      <c r="H1069" s="271"/>
      <c r="I1069" s="271"/>
      <c r="J1069" s="271"/>
      <c r="K1069" s="271"/>
      <c r="L1069" s="271"/>
      <c r="M1069" s="271"/>
      <c r="N1069" s="271"/>
      <c r="O1069" s="271"/>
      <c r="P1069" s="271"/>
      <c r="Q1069" s="271"/>
      <c r="R1069" s="5"/>
      <c r="S1069" s="25"/>
      <c r="T1069" s="5"/>
    </row>
    <row r="1070" spans="1:20" s="3" customFormat="1" x14ac:dyDescent="0.25">
      <c r="A1070" s="21" t="s">
        <v>450</v>
      </c>
      <c r="B1070" s="246" t="s">
        <v>392</v>
      </c>
      <c r="C1070" s="246"/>
      <c r="D1070" s="246"/>
      <c r="E1070" s="246" t="s">
        <v>321</v>
      </c>
      <c r="F1070" s="9" t="s">
        <v>172</v>
      </c>
      <c r="G1070" s="55"/>
      <c r="H1070" s="55"/>
      <c r="I1070" s="55"/>
      <c r="J1070" s="55"/>
      <c r="K1070" s="55"/>
      <c r="L1070" s="55"/>
      <c r="M1070" s="55"/>
      <c r="N1070" s="55"/>
      <c r="O1070" s="55"/>
      <c r="P1070" s="55"/>
      <c r="Q1070" s="55"/>
      <c r="R1070" s="5"/>
      <c r="S1070" s="25"/>
      <c r="T1070" s="5"/>
    </row>
    <row r="1071" spans="1:20" s="3" customFormat="1" x14ac:dyDescent="0.25">
      <c r="A1071" s="21" t="s">
        <v>450</v>
      </c>
      <c r="B1071" s="246" t="s">
        <v>394</v>
      </c>
      <c r="C1071" s="246"/>
      <c r="D1071" s="246"/>
      <c r="E1071" s="246" t="s">
        <v>321</v>
      </c>
      <c r="F1071" s="9" t="s">
        <v>172</v>
      </c>
      <c r="G1071" s="55"/>
      <c r="H1071" s="55"/>
      <c r="I1071" s="55"/>
      <c r="J1071" s="55"/>
      <c r="K1071" s="55"/>
      <c r="L1071" s="55"/>
      <c r="M1071" s="55"/>
      <c r="N1071" s="55"/>
      <c r="O1071" s="55"/>
      <c r="P1071" s="55"/>
      <c r="Q1071" s="55"/>
      <c r="R1071" s="5"/>
      <c r="S1071" s="25"/>
      <c r="T1071" s="5"/>
    </row>
    <row r="1072" spans="1:20" s="3" customFormat="1" x14ac:dyDescent="0.25">
      <c r="A1072" s="21" t="s">
        <v>450</v>
      </c>
      <c r="B1072" s="246" t="s">
        <v>395</v>
      </c>
      <c r="C1072" s="246"/>
      <c r="D1072" s="246"/>
      <c r="E1072" s="246"/>
      <c r="F1072" s="9" t="s">
        <v>172</v>
      </c>
      <c r="G1072" s="54"/>
      <c r="H1072" s="54"/>
      <c r="I1072" s="54"/>
      <c r="J1072" s="54"/>
      <c r="K1072" s="54"/>
      <c r="L1072" s="54"/>
      <c r="M1072" s="54"/>
      <c r="N1072" s="54"/>
      <c r="O1072" s="54"/>
      <c r="P1072" s="54"/>
      <c r="Q1072" s="54"/>
      <c r="R1072" s="5"/>
      <c r="S1072" s="25"/>
      <c r="T1072" s="5"/>
    </row>
    <row r="1073" spans="1:20" s="3" customFormat="1" x14ac:dyDescent="0.25">
      <c r="A1073" s="21" t="s">
        <v>450</v>
      </c>
      <c r="B1073" s="246" t="s">
        <v>396</v>
      </c>
      <c r="C1073" s="246"/>
      <c r="D1073" s="246"/>
      <c r="E1073" s="246"/>
      <c r="F1073" s="9" t="s">
        <v>172</v>
      </c>
      <c r="G1073" s="54"/>
      <c r="H1073" s="54"/>
      <c r="I1073" s="54"/>
      <c r="J1073" s="54"/>
      <c r="K1073" s="54"/>
      <c r="L1073" s="54"/>
      <c r="M1073" s="54"/>
      <c r="N1073" s="54"/>
      <c r="O1073" s="54"/>
      <c r="P1073" s="54"/>
      <c r="Q1073" s="54"/>
      <c r="R1073" s="5"/>
      <c r="S1073" s="25"/>
      <c r="T1073" s="5"/>
    </row>
    <row r="1074" spans="1:20" s="3" customFormat="1" x14ac:dyDescent="0.25">
      <c r="A1074" s="21" t="s">
        <v>450</v>
      </c>
      <c r="B1074" s="246" t="s">
        <v>393</v>
      </c>
      <c r="C1074" s="246"/>
      <c r="D1074" s="246"/>
      <c r="E1074" s="246" t="s">
        <v>337</v>
      </c>
      <c r="F1074" s="9" t="s">
        <v>172</v>
      </c>
      <c r="G1074" s="55"/>
      <c r="H1074" s="55"/>
      <c r="I1074" s="55"/>
      <c r="J1074" s="55"/>
      <c r="K1074" s="55"/>
      <c r="L1074" s="55"/>
      <c r="M1074" s="55"/>
      <c r="N1074" s="55"/>
      <c r="O1074" s="55"/>
      <c r="P1074" s="55"/>
      <c r="Q1074" s="55"/>
      <c r="R1074" s="5"/>
      <c r="S1074" s="25"/>
      <c r="T1074" s="5"/>
    </row>
    <row r="1075" spans="1:20" s="3" customFormat="1" x14ac:dyDescent="0.25">
      <c r="A1075" s="21" t="s">
        <v>450</v>
      </c>
      <c r="B1075" s="246" t="s">
        <v>397</v>
      </c>
      <c r="C1075" s="246"/>
      <c r="D1075" s="246"/>
      <c r="E1075" s="246" t="s">
        <v>337</v>
      </c>
      <c r="F1075" s="9" t="s">
        <v>172</v>
      </c>
      <c r="G1075" s="55"/>
      <c r="H1075" s="55"/>
      <c r="I1075" s="55"/>
      <c r="J1075" s="55"/>
      <c r="K1075" s="55"/>
      <c r="L1075" s="55"/>
      <c r="M1075" s="55"/>
      <c r="N1075" s="55"/>
      <c r="O1075" s="55"/>
      <c r="P1075" s="55"/>
      <c r="Q1075" s="55"/>
      <c r="R1075" s="5"/>
      <c r="S1075" s="25"/>
      <c r="T1075" s="5"/>
    </row>
    <row r="1076" spans="1:20" s="3" customFormat="1" x14ac:dyDescent="0.25">
      <c r="A1076" s="21" t="s">
        <v>450</v>
      </c>
      <c r="B1076" s="246" t="s">
        <v>398</v>
      </c>
      <c r="C1076" s="246"/>
      <c r="D1076" s="246"/>
      <c r="E1076" s="246"/>
      <c r="F1076" s="9" t="s">
        <v>172</v>
      </c>
      <c r="G1076" s="54"/>
      <c r="H1076" s="54"/>
      <c r="I1076" s="54"/>
      <c r="J1076" s="54"/>
      <c r="K1076" s="54"/>
      <c r="L1076" s="54"/>
      <c r="M1076" s="54"/>
      <c r="N1076" s="54"/>
      <c r="O1076" s="54"/>
      <c r="P1076" s="54"/>
      <c r="Q1076" s="54"/>
      <c r="R1076" s="5"/>
      <c r="S1076" s="25"/>
      <c r="T1076" s="5"/>
    </row>
    <row r="1077" spans="1:20" s="3" customFormat="1" x14ac:dyDescent="0.25">
      <c r="A1077" s="21" t="s">
        <v>450</v>
      </c>
      <c r="B1077" s="246" t="s">
        <v>399</v>
      </c>
      <c r="C1077" s="246"/>
      <c r="D1077" s="246"/>
      <c r="E1077" s="246"/>
      <c r="F1077" s="9" t="s">
        <v>172</v>
      </c>
      <c r="G1077" s="54"/>
      <c r="H1077" s="54"/>
      <c r="I1077" s="54"/>
      <c r="J1077" s="54"/>
      <c r="K1077" s="54"/>
      <c r="L1077" s="54"/>
      <c r="M1077" s="54"/>
      <c r="N1077" s="54"/>
      <c r="O1077" s="54"/>
      <c r="P1077" s="54"/>
      <c r="Q1077" s="54"/>
      <c r="R1077" s="5"/>
      <c r="S1077" s="25"/>
      <c r="T1077" s="5"/>
    </row>
    <row r="1078" spans="1:20" s="3" customFormat="1" x14ac:dyDescent="0.25">
      <c r="A1078" s="21" t="s">
        <v>450</v>
      </c>
      <c r="B1078" s="246" t="s">
        <v>310</v>
      </c>
      <c r="C1078" s="246"/>
      <c r="D1078" s="246"/>
      <c r="E1078" s="246" t="s">
        <v>337</v>
      </c>
      <c r="F1078" s="9" t="s">
        <v>172</v>
      </c>
      <c r="G1078" s="55">
        <v>4000000</v>
      </c>
      <c r="H1078" s="262">
        <f t="shared" ref="H1078:Q1078" si="139">G1078</f>
        <v>4000000</v>
      </c>
      <c r="I1078" s="262">
        <f t="shared" si="139"/>
        <v>4000000</v>
      </c>
      <c r="J1078" s="262">
        <f t="shared" si="139"/>
        <v>4000000</v>
      </c>
      <c r="K1078" s="262">
        <f t="shared" si="139"/>
        <v>4000000</v>
      </c>
      <c r="L1078" s="262">
        <f t="shared" si="139"/>
        <v>4000000</v>
      </c>
      <c r="M1078" s="262">
        <f t="shared" si="139"/>
        <v>4000000</v>
      </c>
      <c r="N1078" s="262">
        <f t="shared" si="139"/>
        <v>4000000</v>
      </c>
      <c r="O1078" s="262">
        <f t="shared" si="139"/>
        <v>4000000</v>
      </c>
      <c r="P1078" s="262">
        <f t="shared" si="139"/>
        <v>4000000</v>
      </c>
      <c r="Q1078" s="262">
        <f t="shared" si="139"/>
        <v>4000000</v>
      </c>
      <c r="R1078" s="5"/>
      <c r="S1078" s="25"/>
      <c r="T1078" s="5"/>
    </row>
    <row r="1079" spans="1:20" s="3" customFormat="1" x14ac:dyDescent="0.25">
      <c r="A1079" s="21" t="s">
        <v>450</v>
      </c>
      <c r="B1079" s="246" t="s">
        <v>360</v>
      </c>
      <c r="C1079" s="246"/>
      <c r="D1079" s="246"/>
      <c r="E1079" s="246" t="s">
        <v>321</v>
      </c>
      <c r="F1079" s="9" t="s">
        <v>172</v>
      </c>
      <c r="G1079" s="55"/>
      <c r="H1079" s="55"/>
      <c r="I1079" s="55"/>
      <c r="J1079" s="55"/>
      <c r="K1079" s="55"/>
      <c r="L1079" s="55"/>
      <c r="M1079" s="55"/>
      <c r="N1079" s="55"/>
      <c r="O1079" s="55"/>
      <c r="P1079" s="55"/>
      <c r="Q1079" s="55"/>
      <c r="R1079" s="5"/>
      <c r="S1079" s="25"/>
      <c r="T1079" s="5"/>
    </row>
    <row r="1080" spans="1:20" s="3" customFormat="1" x14ac:dyDescent="0.25">
      <c r="A1080" s="21" t="s">
        <v>450</v>
      </c>
      <c r="B1080" s="67" t="s">
        <v>306</v>
      </c>
      <c r="C1080" s="13"/>
      <c r="D1080" s="3" t="s">
        <v>477</v>
      </c>
      <c r="E1080" s="2" t="s">
        <v>350</v>
      </c>
      <c r="F1080" s="9" t="s">
        <v>172</v>
      </c>
      <c r="G1080" s="54">
        <f>1/0.35</f>
        <v>2.8571428571428572</v>
      </c>
      <c r="H1080" s="284">
        <f t="shared" ref="H1080:Q1081" si="140">G1080</f>
        <v>2.8571428571428572</v>
      </c>
      <c r="I1080" s="284">
        <f t="shared" si="140"/>
        <v>2.8571428571428572</v>
      </c>
      <c r="J1080" s="284">
        <f t="shared" si="140"/>
        <v>2.8571428571428572</v>
      </c>
      <c r="K1080" s="284">
        <f t="shared" si="140"/>
        <v>2.8571428571428572</v>
      </c>
      <c r="L1080" s="284">
        <f t="shared" si="140"/>
        <v>2.8571428571428572</v>
      </c>
      <c r="M1080" s="284">
        <f t="shared" si="140"/>
        <v>2.8571428571428572</v>
      </c>
      <c r="N1080" s="284">
        <f t="shared" si="140"/>
        <v>2.8571428571428572</v>
      </c>
      <c r="O1080" s="284">
        <f t="shared" si="140"/>
        <v>2.8571428571428572</v>
      </c>
      <c r="P1080" s="284">
        <f t="shared" si="140"/>
        <v>2.8571428571428572</v>
      </c>
      <c r="Q1080" s="284">
        <f t="shared" si="140"/>
        <v>2.8571428571428572</v>
      </c>
      <c r="R1080" s="5"/>
      <c r="S1080" s="13"/>
      <c r="T1080" s="5"/>
    </row>
    <row r="1081" spans="1:20" s="3" customFormat="1" x14ac:dyDescent="0.25">
      <c r="A1081" s="21" t="s">
        <v>450</v>
      </c>
      <c r="B1081" s="67" t="s">
        <v>306</v>
      </c>
      <c r="C1081" s="13"/>
      <c r="D1081" s="3" t="s">
        <v>480</v>
      </c>
      <c r="E1081" s="2" t="s">
        <v>351</v>
      </c>
      <c r="F1081" s="9" t="s">
        <v>172</v>
      </c>
      <c r="G1081" s="54">
        <v>1</v>
      </c>
      <c r="H1081" s="284">
        <f t="shared" si="140"/>
        <v>1</v>
      </c>
      <c r="I1081" s="284">
        <f t="shared" si="140"/>
        <v>1</v>
      </c>
      <c r="J1081" s="284">
        <f t="shared" si="140"/>
        <v>1</v>
      </c>
      <c r="K1081" s="284">
        <f t="shared" si="140"/>
        <v>1</v>
      </c>
      <c r="L1081" s="284">
        <f t="shared" si="140"/>
        <v>1</v>
      </c>
      <c r="M1081" s="284">
        <f t="shared" si="140"/>
        <v>1</v>
      </c>
      <c r="N1081" s="284">
        <f t="shared" si="140"/>
        <v>1</v>
      </c>
      <c r="O1081" s="284">
        <f t="shared" si="140"/>
        <v>1</v>
      </c>
      <c r="P1081" s="284">
        <f t="shared" si="140"/>
        <v>1</v>
      </c>
      <c r="Q1081" s="284">
        <f t="shared" si="140"/>
        <v>1</v>
      </c>
      <c r="R1081" s="5"/>
      <c r="S1081" s="13"/>
      <c r="T1081" s="5"/>
    </row>
    <row r="1082" spans="1:20" s="3" customFormat="1" x14ac:dyDescent="0.25">
      <c r="A1082" s="21" t="s">
        <v>450</v>
      </c>
      <c r="B1082" s="2"/>
      <c r="C1082" s="13"/>
      <c r="D1082" s="2"/>
      <c r="E1082" s="2"/>
      <c r="F1082" s="16"/>
      <c r="G1082" s="4"/>
      <c r="H1082" s="4"/>
      <c r="I1082" s="4"/>
      <c r="J1082" s="4"/>
      <c r="K1082" s="4"/>
      <c r="L1082" s="4"/>
      <c r="M1082" s="4"/>
      <c r="N1082" s="4"/>
      <c r="O1082" s="4"/>
      <c r="P1082" s="4"/>
      <c r="Q1082" s="4"/>
      <c r="R1082" s="5"/>
      <c r="S1082" s="13"/>
      <c r="T1082" s="5"/>
    </row>
    <row r="1083" spans="1:20" s="3" customFormat="1" x14ac:dyDescent="0.25">
      <c r="A1083" s="359" t="s">
        <v>339</v>
      </c>
      <c r="B1083" s="2"/>
      <c r="C1083" s="13"/>
      <c r="D1083" s="2"/>
      <c r="E1083" s="2"/>
      <c r="F1083" s="16"/>
      <c r="G1083" s="4"/>
      <c r="H1083" s="4"/>
      <c r="I1083" s="4"/>
      <c r="J1083" s="4"/>
      <c r="K1083" s="4"/>
      <c r="L1083" s="4"/>
      <c r="M1083" s="4"/>
      <c r="N1083" s="4"/>
      <c r="O1083" s="4"/>
      <c r="P1083" s="4"/>
      <c r="Q1083" s="4"/>
      <c r="R1083" s="5"/>
      <c r="S1083" s="13"/>
      <c r="T1083" s="5"/>
    </row>
    <row r="1084" spans="1:20" s="3" customFormat="1" x14ac:dyDescent="0.25">
      <c r="A1084" s="21" t="s">
        <v>450</v>
      </c>
      <c r="B1084" s="2" t="s">
        <v>305</v>
      </c>
      <c r="C1084" s="13"/>
      <c r="D1084" s="2" t="s">
        <v>480</v>
      </c>
      <c r="E1084" s="2" t="s">
        <v>320</v>
      </c>
      <c r="F1084" s="202" t="str">
        <f>A1083</f>
        <v>Transmission Losses</v>
      </c>
      <c r="G1084" s="55"/>
      <c r="H1084" s="55"/>
      <c r="I1084" s="55"/>
      <c r="J1084" s="55"/>
      <c r="K1084" s="55"/>
      <c r="L1084" s="55"/>
      <c r="M1084" s="55"/>
      <c r="N1084" s="55"/>
      <c r="O1084" s="55"/>
      <c r="P1084" s="55"/>
      <c r="Q1084" s="55"/>
      <c r="R1084" s="5"/>
      <c r="S1084" s="13"/>
      <c r="T1084" s="5"/>
    </row>
    <row r="1085" spans="1:20" s="3" customFormat="1" x14ac:dyDescent="0.25">
      <c r="A1085" s="21" t="s">
        <v>450</v>
      </c>
      <c r="B1085" s="2" t="s">
        <v>47</v>
      </c>
      <c r="C1085" s="13"/>
      <c r="D1085" s="2"/>
      <c r="E1085" s="2"/>
      <c r="F1085" s="16" t="s">
        <v>21</v>
      </c>
      <c r="G1085" s="132"/>
      <c r="H1085" s="132"/>
      <c r="I1085" s="132"/>
      <c r="J1085" s="132"/>
      <c r="K1085" s="132"/>
      <c r="L1085" s="132"/>
      <c r="M1085" s="132"/>
      <c r="N1085" s="132"/>
      <c r="O1085" s="132"/>
      <c r="P1085" s="132"/>
      <c r="Q1085" s="132"/>
      <c r="R1085" s="5"/>
      <c r="S1085" s="13"/>
      <c r="T1085" s="5"/>
    </row>
    <row r="1086" spans="1:20" s="3" customFormat="1" x14ac:dyDescent="0.25">
      <c r="A1086" s="21" t="s">
        <v>450</v>
      </c>
      <c r="B1086" s="2" t="s">
        <v>66</v>
      </c>
      <c r="C1086" s="13"/>
      <c r="D1086" s="2"/>
      <c r="E1086" s="2"/>
      <c r="F1086" s="16" t="s">
        <v>35</v>
      </c>
      <c r="G1086" s="230">
        <v>10</v>
      </c>
      <c r="H1086" s="132"/>
      <c r="I1086" s="132"/>
      <c r="J1086" s="132"/>
      <c r="K1086" s="132"/>
      <c r="L1086" s="132"/>
      <c r="M1086" s="132"/>
      <c r="N1086" s="132"/>
      <c r="O1086" s="132"/>
      <c r="P1086" s="132"/>
      <c r="Q1086" s="132"/>
      <c r="R1086" s="5"/>
      <c r="S1086" s="13"/>
      <c r="T1086" s="5"/>
    </row>
    <row r="1087" spans="1:20" s="3" customFormat="1" x14ac:dyDescent="0.25">
      <c r="A1087" s="21" t="s">
        <v>450</v>
      </c>
      <c r="B1087" s="2" t="s">
        <v>311</v>
      </c>
      <c r="C1087" s="13"/>
      <c r="D1087" s="2"/>
      <c r="E1087" s="2" t="s">
        <v>97</v>
      </c>
      <c r="F1087" s="9" t="s">
        <v>41</v>
      </c>
      <c r="G1087" s="275">
        <v>0.25</v>
      </c>
      <c r="H1087" s="271"/>
      <c r="I1087" s="271"/>
      <c r="J1087" s="271"/>
      <c r="K1087" s="271"/>
      <c r="L1087" s="271"/>
      <c r="M1087" s="271"/>
      <c r="N1087" s="271"/>
      <c r="O1087" s="271"/>
      <c r="P1087" s="271"/>
      <c r="Q1087" s="271"/>
      <c r="R1087" s="5"/>
      <c r="S1087" s="13"/>
      <c r="T1087" s="5"/>
    </row>
    <row r="1088" spans="1:20" s="3" customFormat="1" x14ac:dyDescent="0.25">
      <c r="A1088" s="21" t="s">
        <v>450</v>
      </c>
      <c r="B1088" s="67" t="s">
        <v>51</v>
      </c>
      <c r="C1088" s="13"/>
      <c r="D1088" s="2"/>
      <c r="E1088" s="2"/>
      <c r="F1088" s="9" t="s">
        <v>339</v>
      </c>
      <c r="G1088" s="231"/>
      <c r="H1088" s="4"/>
      <c r="I1088" s="4"/>
      <c r="J1088" s="4"/>
      <c r="K1088" s="4"/>
      <c r="L1088" s="4"/>
      <c r="M1088" s="4"/>
      <c r="N1088" s="4"/>
      <c r="O1088" s="4"/>
      <c r="P1088" s="4"/>
      <c r="Q1088" s="4"/>
      <c r="R1088" s="5"/>
      <c r="S1088" s="13"/>
      <c r="T1088" s="5"/>
    </row>
    <row r="1089" spans="1:20" s="3" customFormat="1" x14ac:dyDescent="0.25">
      <c r="A1089" s="21" t="s">
        <v>450</v>
      </c>
      <c r="B1089" s="246" t="s">
        <v>38</v>
      </c>
      <c r="C1089" s="246"/>
      <c r="D1089" s="246"/>
      <c r="E1089" s="246" t="s">
        <v>40</v>
      </c>
      <c r="F1089" s="9" t="s">
        <v>339</v>
      </c>
      <c r="G1089" s="277">
        <v>2000</v>
      </c>
      <c r="H1089" s="280">
        <f t="shared" ref="H1089:Q1091" si="141">G1089</f>
        <v>2000</v>
      </c>
      <c r="I1089" s="280">
        <f t="shared" si="141"/>
        <v>2000</v>
      </c>
      <c r="J1089" s="280">
        <f t="shared" si="141"/>
        <v>2000</v>
      </c>
      <c r="K1089" s="280">
        <f t="shared" si="141"/>
        <v>2000</v>
      </c>
      <c r="L1089" s="280">
        <f t="shared" si="141"/>
        <v>2000</v>
      </c>
      <c r="M1089" s="280">
        <f t="shared" si="141"/>
        <v>2000</v>
      </c>
      <c r="N1089" s="280">
        <f t="shared" si="141"/>
        <v>2000</v>
      </c>
      <c r="O1089" s="280">
        <f t="shared" si="141"/>
        <v>2000</v>
      </c>
      <c r="P1089" s="280">
        <f t="shared" si="141"/>
        <v>2000</v>
      </c>
      <c r="Q1089" s="280">
        <f t="shared" si="141"/>
        <v>2000</v>
      </c>
      <c r="R1089" s="5"/>
      <c r="S1089" s="25"/>
      <c r="T1089" s="5"/>
    </row>
    <row r="1090" spans="1:20" s="3" customFormat="1" x14ac:dyDescent="0.25">
      <c r="A1090" s="21" t="s">
        <v>450</v>
      </c>
      <c r="B1090" s="246" t="s">
        <v>37</v>
      </c>
      <c r="C1090" s="246"/>
      <c r="D1090" s="246"/>
      <c r="E1090" s="246" t="s">
        <v>40</v>
      </c>
      <c r="F1090" s="9" t="s">
        <v>339</v>
      </c>
      <c r="G1090" s="277">
        <v>2100</v>
      </c>
      <c r="H1090" s="280">
        <f t="shared" si="141"/>
        <v>2100</v>
      </c>
      <c r="I1090" s="280">
        <f t="shared" si="141"/>
        <v>2100</v>
      </c>
      <c r="J1090" s="280">
        <f t="shared" si="141"/>
        <v>2100</v>
      </c>
      <c r="K1090" s="280">
        <f t="shared" si="141"/>
        <v>2100</v>
      </c>
      <c r="L1090" s="280">
        <f t="shared" si="141"/>
        <v>2100</v>
      </c>
      <c r="M1090" s="280">
        <f t="shared" si="141"/>
        <v>2100</v>
      </c>
      <c r="N1090" s="280">
        <f t="shared" si="141"/>
        <v>2100</v>
      </c>
      <c r="O1090" s="280">
        <f t="shared" si="141"/>
        <v>2100</v>
      </c>
      <c r="P1090" s="280">
        <f t="shared" si="141"/>
        <v>2100</v>
      </c>
      <c r="Q1090" s="280">
        <f t="shared" si="141"/>
        <v>2100</v>
      </c>
      <c r="R1090" s="5"/>
      <c r="S1090" s="25"/>
      <c r="T1090" s="5"/>
    </row>
    <row r="1091" spans="1:20" s="3" customFormat="1" x14ac:dyDescent="0.25">
      <c r="A1091" s="21" t="s">
        <v>450</v>
      </c>
      <c r="B1091" s="246" t="s">
        <v>39</v>
      </c>
      <c r="C1091" s="246"/>
      <c r="D1091" s="246"/>
      <c r="E1091" s="246" t="s">
        <v>10</v>
      </c>
      <c r="F1091" s="9" t="s">
        <v>339</v>
      </c>
      <c r="G1091" s="55">
        <v>50</v>
      </c>
      <c r="H1091" s="262">
        <f t="shared" si="141"/>
        <v>50</v>
      </c>
      <c r="I1091" s="262">
        <f t="shared" si="141"/>
        <v>50</v>
      </c>
      <c r="J1091" s="262">
        <f t="shared" si="141"/>
        <v>50</v>
      </c>
      <c r="K1091" s="262">
        <f t="shared" si="141"/>
        <v>50</v>
      </c>
      <c r="L1091" s="262">
        <f t="shared" si="141"/>
        <v>50</v>
      </c>
      <c r="M1091" s="262">
        <f t="shared" si="141"/>
        <v>50</v>
      </c>
      <c r="N1091" s="262">
        <f t="shared" si="141"/>
        <v>50</v>
      </c>
      <c r="O1091" s="262">
        <f t="shared" si="141"/>
        <v>50</v>
      </c>
      <c r="P1091" s="262">
        <f t="shared" si="141"/>
        <v>50</v>
      </c>
      <c r="Q1091" s="262">
        <f t="shared" si="141"/>
        <v>50</v>
      </c>
      <c r="R1091" s="5"/>
      <c r="S1091" s="25"/>
      <c r="T1091" s="5"/>
    </row>
    <row r="1092" spans="1:20" s="3" customFormat="1" x14ac:dyDescent="0.25">
      <c r="A1092" s="21" t="s">
        <v>450</v>
      </c>
      <c r="B1092" s="246" t="s">
        <v>361</v>
      </c>
      <c r="C1092" s="246"/>
      <c r="D1092" s="246"/>
      <c r="E1092" s="246" t="s">
        <v>10</v>
      </c>
      <c r="F1092" s="9" t="s">
        <v>339</v>
      </c>
      <c r="G1092" s="55"/>
      <c r="H1092" s="55"/>
      <c r="I1092" s="55"/>
      <c r="J1092" s="55"/>
      <c r="K1092" s="55"/>
      <c r="L1092" s="55"/>
      <c r="M1092" s="55"/>
      <c r="N1092" s="55"/>
      <c r="O1092" s="55"/>
      <c r="P1092" s="55"/>
      <c r="Q1092" s="55"/>
      <c r="R1092" s="5"/>
      <c r="S1092" s="25"/>
      <c r="T1092" s="5"/>
    </row>
    <row r="1093" spans="1:20" s="3" customFormat="1" x14ac:dyDescent="0.25">
      <c r="A1093" s="21" t="s">
        <v>450</v>
      </c>
      <c r="B1093" s="246" t="s">
        <v>309</v>
      </c>
      <c r="C1093" s="246"/>
      <c r="D1093" s="246"/>
      <c r="E1093" s="246" t="s">
        <v>97</v>
      </c>
      <c r="F1093" s="9" t="s">
        <v>339</v>
      </c>
      <c r="G1093" s="275">
        <v>0.125</v>
      </c>
      <c r="H1093" s="274">
        <f t="shared" ref="H1093:Q1093" si="142">G1093</f>
        <v>0.125</v>
      </c>
      <c r="I1093" s="274">
        <f t="shared" si="142"/>
        <v>0.125</v>
      </c>
      <c r="J1093" s="274">
        <f t="shared" si="142"/>
        <v>0.125</v>
      </c>
      <c r="K1093" s="274">
        <f t="shared" si="142"/>
        <v>0.125</v>
      </c>
      <c r="L1093" s="274">
        <f t="shared" si="142"/>
        <v>0.125</v>
      </c>
      <c r="M1093" s="274">
        <f t="shared" si="142"/>
        <v>0.125</v>
      </c>
      <c r="N1093" s="274">
        <f t="shared" si="142"/>
        <v>0.125</v>
      </c>
      <c r="O1093" s="274">
        <f t="shared" si="142"/>
        <v>0.125</v>
      </c>
      <c r="P1093" s="274">
        <f t="shared" si="142"/>
        <v>0.125</v>
      </c>
      <c r="Q1093" s="274">
        <f t="shared" si="142"/>
        <v>0.125</v>
      </c>
      <c r="R1093" s="5"/>
      <c r="S1093" s="25"/>
      <c r="T1093" s="5"/>
    </row>
    <row r="1094" spans="1:20" s="3" customFormat="1" x14ac:dyDescent="0.25">
      <c r="A1094" s="21" t="s">
        <v>450</v>
      </c>
      <c r="B1094" s="246" t="s">
        <v>358</v>
      </c>
      <c r="C1094" s="246"/>
      <c r="D1094" s="246"/>
      <c r="E1094" s="246" t="s">
        <v>97</v>
      </c>
      <c r="F1094" s="9" t="s">
        <v>339</v>
      </c>
      <c r="G1094" s="271"/>
      <c r="H1094" s="271"/>
      <c r="I1094" s="271"/>
      <c r="J1094" s="271"/>
      <c r="K1094" s="271"/>
      <c r="L1094" s="271"/>
      <c r="M1094" s="271"/>
      <c r="N1094" s="271"/>
      <c r="O1094" s="271"/>
      <c r="P1094" s="271"/>
      <c r="Q1094" s="271"/>
      <c r="R1094" s="5"/>
      <c r="S1094" s="25"/>
      <c r="T1094" s="5"/>
    </row>
    <row r="1095" spans="1:20" s="3" customFormat="1" x14ac:dyDescent="0.25">
      <c r="A1095" s="21" t="s">
        <v>450</v>
      </c>
      <c r="B1095" s="246" t="s">
        <v>357</v>
      </c>
      <c r="C1095" s="246"/>
      <c r="D1095" s="246"/>
      <c r="E1095" s="246" t="s">
        <v>97</v>
      </c>
      <c r="F1095" s="9" t="s">
        <v>339</v>
      </c>
      <c r="G1095" s="271"/>
      <c r="H1095" s="271"/>
      <c r="I1095" s="271"/>
      <c r="J1095" s="271"/>
      <c r="K1095" s="271"/>
      <c r="L1095" s="271"/>
      <c r="M1095" s="271"/>
      <c r="N1095" s="271"/>
      <c r="O1095" s="271"/>
      <c r="P1095" s="271"/>
      <c r="Q1095" s="271"/>
      <c r="R1095" s="5"/>
      <c r="S1095" s="25"/>
      <c r="T1095" s="5"/>
    </row>
    <row r="1096" spans="1:20" s="3" customFormat="1" x14ac:dyDescent="0.25">
      <c r="A1096" s="21" t="s">
        <v>450</v>
      </c>
      <c r="B1096" s="246" t="s">
        <v>75</v>
      </c>
      <c r="C1096" s="246"/>
      <c r="D1096" s="246"/>
      <c r="E1096" s="246" t="s">
        <v>97</v>
      </c>
      <c r="F1096" s="9" t="s">
        <v>339</v>
      </c>
      <c r="G1096" s="271">
        <v>1</v>
      </c>
      <c r="H1096" s="271"/>
      <c r="I1096" s="271"/>
      <c r="J1096" s="271"/>
      <c r="K1096" s="271"/>
      <c r="L1096" s="271"/>
      <c r="M1096" s="271"/>
      <c r="N1096" s="271"/>
      <c r="O1096" s="271"/>
      <c r="P1096" s="271"/>
      <c r="Q1096" s="271"/>
      <c r="R1096" s="5"/>
      <c r="S1096" s="25"/>
      <c r="T1096" s="5"/>
    </row>
    <row r="1097" spans="1:20" s="3" customFormat="1" x14ac:dyDescent="0.25">
      <c r="A1097" s="21" t="s">
        <v>450</v>
      </c>
      <c r="B1097" s="68" t="s">
        <v>148</v>
      </c>
      <c r="C1097" s="68"/>
      <c r="D1097" s="251"/>
      <c r="E1097" s="68" t="s">
        <v>97</v>
      </c>
      <c r="F1097" s="9" t="s">
        <v>339</v>
      </c>
      <c r="G1097" s="271"/>
      <c r="H1097" s="271"/>
      <c r="I1097" s="271"/>
      <c r="J1097" s="271"/>
      <c r="K1097" s="271"/>
      <c r="L1097" s="271"/>
      <c r="M1097" s="271"/>
      <c r="N1097" s="271"/>
      <c r="O1097" s="271"/>
      <c r="P1097" s="271"/>
      <c r="Q1097" s="271"/>
      <c r="R1097" s="5"/>
      <c r="S1097" s="25"/>
      <c r="T1097" s="5"/>
    </row>
    <row r="1098" spans="1:20" s="3" customFormat="1" x14ac:dyDescent="0.25">
      <c r="A1098" s="21" t="s">
        <v>450</v>
      </c>
      <c r="B1098" s="68" t="s">
        <v>149</v>
      </c>
      <c r="C1098" s="68"/>
      <c r="D1098" s="251"/>
      <c r="E1098" s="68" t="s">
        <v>97</v>
      </c>
      <c r="F1098" s="9" t="s">
        <v>339</v>
      </c>
      <c r="G1098" s="271"/>
      <c r="H1098" s="271"/>
      <c r="I1098" s="271"/>
      <c r="J1098" s="271"/>
      <c r="K1098" s="271"/>
      <c r="L1098" s="271"/>
      <c r="M1098" s="271"/>
      <c r="N1098" s="271"/>
      <c r="O1098" s="271"/>
      <c r="P1098" s="271"/>
      <c r="Q1098" s="271"/>
      <c r="R1098" s="5"/>
      <c r="S1098" s="25"/>
      <c r="T1098" s="5"/>
    </row>
    <row r="1099" spans="1:20" s="3" customFormat="1" x14ac:dyDescent="0.25">
      <c r="A1099" s="21" t="s">
        <v>450</v>
      </c>
      <c r="B1099" s="68" t="s">
        <v>370</v>
      </c>
      <c r="C1099" s="68"/>
      <c r="D1099" s="251"/>
      <c r="E1099" s="68" t="s">
        <v>97</v>
      </c>
      <c r="F1099" s="9" t="s">
        <v>339</v>
      </c>
      <c r="G1099" s="271"/>
      <c r="H1099" s="271"/>
      <c r="I1099" s="271"/>
      <c r="J1099" s="271"/>
      <c r="K1099" s="271"/>
      <c r="L1099" s="271"/>
      <c r="M1099" s="271"/>
      <c r="N1099" s="271"/>
      <c r="O1099" s="271"/>
      <c r="P1099" s="271"/>
      <c r="Q1099" s="271"/>
      <c r="R1099" s="5"/>
      <c r="S1099" s="25"/>
      <c r="T1099" s="5"/>
    </row>
    <row r="1100" spans="1:20" s="3" customFormat="1" x14ac:dyDescent="0.25">
      <c r="A1100" s="21" t="s">
        <v>450</v>
      </c>
      <c r="B1100" s="68" t="s">
        <v>371</v>
      </c>
      <c r="C1100" s="68"/>
      <c r="D1100" s="251"/>
      <c r="E1100" s="68" t="s">
        <v>97</v>
      </c>
      <c r="F1100" s="9" t="s">
        <v>339</v>
      </c>
      <c r="G1100" s="271"/>
      <c r="H1100" s="271"/>
      <c r="I1100" s="271"/>
      <c r="J1100" s="271"/>
      <c r="K1100" s="271"/>
      <c r="L1100" s="271"/>
      <c r="M1100" s="271"/>
      <c r="N1100" s="271"/>
      <c r="O1100" s="271"/>
      <c r="P1100" s="271"/>
      <c r="Q1100" s="271"/>
      <c r="R1100" s="5"/>
      <c r="S1100" s="25"/>
      <c r="T1100" s="5"/>
    </row>
    <row r="1101" spans="1:20" s="3" customFormat="1" x14ac:dyDescent="0.25">
      <c r="A1101" s="21" t="s">
        <v>450</v>
      </c>
      <c r="B1101" s="246" t="s">
        <v>338</v>
      </c>
      <c r="C1101" s="246"/>
      <c r="D1101" s="246"/>
      <c r="E1101" s="246" t="s">
        <v>320</v>
      </c>
      <c r="F1101" s="9" t="s">
        <v>339</v>
      </c>
      <c r="G1101" s="55">
        <v>1</v>
      </c>
      <c r="H1101" s="262">
        <f t="shared" ref="H1101:Q1102" si="143">G1101</f>
        <v>1</v>
      </c>
      <c r="I1101" s="262">
        <f t="shared" si="143"/>
        <v>1</v>
      </c>
      <c r="J1101" s="262">
        <f t="shared" si="143"/>
        <v>1</v>
      </c>
      <c r="K1101" s="262">
        <f t="shared" si="143"/>
        <v>1</v>
      </c>
      <c r="L1101" s="262">
        <f t="shared" si="143"/>
        <v>1</v>
      </c>
      <c r="M1101" s="262">
        <f t="shared" si="143"/>
        <v>1</v>
      </c>
      <c r="N1101" s="262">
        <f t="shared" si="143"/>
        <v>1</v>
      </c>
      <c r="O1101" s="262">
        <f t="shared" si="143"/>
        <v>1</v>
      </c>
      <c r="P1101" s="262">
        <f t="shared" si="143"/>
        <v>1</v>
      </c>
      <c r="Q1101" s="262">
        <f t="shared" si="143"/>
        <v>1</v>
      </c>
      <c r="R1101" s="5"/>
      <c r="S1101" s="25"/>
      <c r="T1101" s="5"/>
    </row>
    <row r="1102" spans="1:20" s="3" customFormat="1" x14ac:dyDescent="0.25">
      <c r="A1102" s="21" t="s">
        <v>450</v>
      </c>
      <c r="B1102" s="246" t="s">
        <v>152</v>
      </c>
      <c r="C1102" s="246"/>
      <c r="D1102" s="246"/>
      <c r="E1102" s="246" t="s">
        <v>321</v>
      </c>
      <c r="F1102" s="9" t="s">
        <v>339</v>
      </c>
      <c r="G1102" s="55">
        <v>10</v>
      </c>
      <c r="H1102" s="262">
        <f t="shared" si="143"/>
        <v>10</v>
      </c>
      <c r="I1102" s="262">
        <f t="shared" si="143"/>
        <v>10</v>
      </c>
      <c r="J1102" s="262">
        <f t="shared" si="143"/>
        <v>10</v>
      </c>
      <c r="K1102" s="262">
        <f t="shared" si="143"/>
        <v>10</v>
      </c>
      <c r="L1102" s="262">
        <f t="shared" si="143"/>
        <v>10</v>
      </c>
      <c r="M1102" s="262">
        <f t="shared" si="143"/>
        <v>10</v>
      </c>
      <c r="N1102" s="262">
        <f t="shared" si="143"/>
        <v>10</v>
      </c>
      <c r="O1102" s="262">
        <f t="shared" si="143"/>
        <v>10</v>
      </c>
      <c r="P1102" s="262">
        <f t="shared" si="143"/>
        <v>10</v>
      </c>
      <c r="Q1102" s="262">
        <f t="shared" si="143"/>
        <v>10</v>
      </c>
      <c r="R1102" s="5"/>
      <c r="S1102" s="25"/>
      <c r="T1102" s="5"/>
    </row>
    <row r="1103" spans="1:20" s="3" customFormat="1" x14ac:dyDescent="0.25">
      <c r="A1103" s="21" t="s">
        <v>450</v>
      </c>
      <c r="B1103" s="246" t="s">
        <v>383</v>
      </c>
      <c r="C1103" s="246"/>
      <c r="D1103" s="246"/>
      <c r="E1103" s="246" t="s">
        <v>97</v>
      </c>
      <c r="F1103" s="9" t="s">
        <v>339</v>
      </c>
      <c r="G1103" s="271"/>
      <c r="H1103" s="271"/>
      <c r="I1103" s="271"/>
      <c r="J1103" s="271"/>
      <c r="K1103" s="271"/>
      <c r="L1103" s="271"/>
      <c r="M1103" s="271"/>
      <c r="N1103" s="271"/>
      <c r="O1103" s="271"/>
      <c r="P1103" s="271"/>
      <c r="Q1103" s="271"/>
      <c r="R1103" s="5"/>
      <c r="S1103" s="25"/>
      <c r="T1103" s="5"/>
    </row>
    <row r="1104" spans="1:20" s="3" customFormat="1" x14ac:dyDescent="0.25">
      <c r="A1104" s="21" t="s">
        <v>450</v>
      </c>
      <c r="B1104" s="246" t="s">
        <v>446</v>
      </c>
      <c r="C1104" s="246"/>
      <c r="D1104" s="246"/>
      <c r="E1104" s="246" t="s">
        <v>320</v>
      </c>
      <c r="F1104" s="9" t="s">
        <v>339</v>
      </c>
      <c r="G1104" s="55"/>
      <c r="H1104" s="55"/>
      <c r="I1104" s="55"/>
      <c r="J1104" s="55"/>
      <c r="K1104" s="55"/>
      <c r="L1104" s="55"/>
      <c r="M1104" s="55"/>
      <c r="N1104" s="55"/>
      <c r="O1104" s="55"/>
      <c r="P1104" s="55"/>
      <c r="Q1104" s="55"/>
      <c r="R1104" s="5"/>
      <c r="S1104" s="25"/>
      <c r="T1104" s="5"/>
    </row>
    <row r="1105" spans="1:20" s="3" customFormat="1" x14ac:dyDescent="0.25">
      <c r="A1105" s="21" t="s">
        <v>450</v>
      </c>
      <c r="B1105" s="246" t="s">
        <v>387</v>
      </c>
      <c r="C1105" s="246"/>
      <c r="D1105" s="246"/>
      <c r="E1105" s="246"/>
      <c r="F1105" s="9" t="s">
        <v>339</v>
      </c>
      <c r="G1105" s="54"/>
      <c r="H1105" s="54"/>
      <c r="I1105" s="54"/>
      <c r="J1105" s="54"/>
      <c r="K1105" s="54"/>
      <c r="L1105" s="54"/>
      <c r="M1105" s="54"/>
      <c r="N1105" s="54"/>
      <c r="O1105" s="54"/>
      <c r="P1105" s="54"/>
      <c r="Q1105" s="54"/>
      <c r="R1105" s="5"/>
      <c r="S1105" s="25"/>
      <c r="T1105" s="5"/>
    </row>
    <row r="1106" spans="1:20" s="3" customFormat="1" x14ac:dyDescent="0.25">
      <c r="A1106" s="21" t="s">
        <v>450</v>
      </c>
      <c r="B1106" s="246" t="s">
        <v>369</v>
      </c>
      <c r="C1106" s="246"/>
      <c r="D1106" s="246"/>
      <c r="E1106" s="246" t="s">
        <v>97</v>
      </c>
      <c r="F1106" s="9" t="s">
        <v>339</v>
      </c>
      <c r="G1106" s="271"/>
      <c r="H1106" s="271"/>
      <c r="I1106" s="271"/>
      <c r="J1106" s="271"/>
      <c r="K1106" s="271"/>
      <c r="L1106" s="271"/>
      <c r="M1106" s="271"/>
      <c r="N1106" s="271"/>
      <c r="O1106" s="271"/>
      <c r="P1106" s="271"/>
      <c r="Q1106" s="271"/>
      <c r="R1106" s="5"/>
      <c r="S1106" s="25"/>
      <c r="T1106" s="5"/>
    </row>
    <row r="1107" spans="1:20" s="3" customFormat="1" x14ac:dyDescent="0.25">
      <c r="A1107" s="21" t="s">
        <v>450</v>
      </c>
      <c r="B1107" s="246" t="s">
        <v>392</v>
      </c>
      <c r="C1107" s="246"/>
      <c r="D1107" s="246"/>
      <c r="E1107" s="246" t="s">
        <v>321</v>
      </c>
      <c r="F1107" s="9" t="s">
        <v>339</v>
      </c>
      <c r="G1107" s="55"/>
      <c r="H1107" s="55"/>
      <c r="I1107" s="55"/>
      <c r="J1107" s="55"/>
      <c r="K1107" s="55"/>
      <c r="L1107" s="55"/>
      <c r="M1107" s="55"/>
      <c r="N1107" s="55"/>
      <c r="O1107" s="55"/>
      <c r="P1107" s="55"/>
      <c r="Q1107" s="55"/>
      <c r="R1107" s="5"/>
      <c r="S1107" s="25"/>
      <c r="T1107" s="5"/>
    </row>
    <row r="1108" spans="1:20" s="3" customFormat="1" x14ac:dyDescent="0.25">
      <c r="A1108" s="21" t="s">
        <v>450</v>
      </c>
      <c r="B1108" s="246" t="s">
        <v>394</v>
      </c>
      <c r="C1108" s="246"/>
      <c r="D1108" s="246"/>
      <c r="E1108" s="246" t="s">
        <v>321</v>
      </c>
      <c r="F1108" s="9" t="s">
        <v>339</v>
      </c>
      <c r="G1108" s="55"/>
      <c r="H1108" s="55"/>
      <c r="I1108" s="55"/>
      <c r="J1108" s="55"/>
      <c r="K1108" s="55"/>
      <c r="L1108" s="55"/>
      <c r="M1108" s="55"/>
      <c r="N1108" s="55"/>
      <c r="O1108" s="55"/>
      <c r="P1108" s="55"/>
      <c r="Q1108" s="55"/>
      <c r="R1108" s="5"/>
      <c r="S1108" s="25"/>
      <c r="T1108" s="5"/>
    </row>
    <row r="1109" spans="1:20" s="3" customFormat="1" x14ac:dyDescent="0.25">
      <c r="A1109" s="21" t="s">
        <v>450</v>
      </c>
      <c r="B1109" s="246" t="s">
        <v>395</v>
      </c>
      <c r="C1109" s="246"/>
      <c r="D1109" s="246"/>
      <c r="E1109" s="246"/>
      <c r="F1109" s="9" t="s">
        <v>339</v>
      </c>
      <c r="G1109" s="54"/>
      <c r="H1109" s="54"/>
      <c r="I1109" s="54"/>
      <c r="J1109" s="54"/>
      <c r="K1109" s="54"/>
      <c r="L1109" s="54"/>
      <c r="M1109" s="54"/>
      <c r="N1109" s="54"/>
      <c r="O1109" s="54"/>
      <c r="P1109" s="54"/>
      <c r="Q1109" s="54"/>
      <c r="R1109" s="5"/>
      <c r="S1109" s="25"/>
      <c r="T1109" s="5"/>
    </row>
    <row r="1110" spans="1:20" s="3" customFormat="1" x14ac:dyDescent="0.25">
      <c r="A1110" s="21" t="s">
        <v>450</v>
      </c>
      <c r="B1110" s="246" t="s">
        <v>396</v>
      </c>
      <c r="C1110" s="246"/>
      <c r="D1110" s="246"/>
      <c r="E1110" s="246"/>
      <c r="F1110" s="9" t="s">
        <v>339</v>
      </c>
      <c r="G1110" s="54"/>
      <c r="H1110" s="54"/>
      <c r="I1110" s="54"/>
      <c r="J1110" s="54"/>
      <c r="K1110" s="54"/>
      <c r="L1110" s="54"/>
      <c r="M1110" s="54"/>
      <c r="N1110" s="54"/>
      <c r="O1110" s="54"/>
      <c r="P1110" s="54"/>
      <c r="Q1110" s="54"/>
      <c r="R1110" s="5"/>
      <c r="S1110" s="25"/>
      <c r="T1110" s="5"/>
    </row>
    <row r="1111" spans="1:20" s="3" customFormat="1" x14ac:dyDescent="0.25">
      <c r="A1111" s="21" t="s">
        <v>450</v>
      </c>
      <c r="B1111" s="246" t="s">
        <v>393</v>
      </c>
      <c r="C1111" s="246"/>
      <c r="D1111" s="246"/>
      <c r="E1111" s="246" t="s">
        <v>412</v>
      </c>
      <c r="F1111" s="9" t="s">
        <v>339</v>
      </c>
      <c r="G1111" s="55"/>
      <c r="H1111" s="55"/>
      <c r="I1111" s="55"/>
      <c r="J1111" s="55"/>
      <c r="K1111" s="55"/>
      <c r="L1111" s="55"/>
      <c r="M1111" s="55"/>
      <c r="N1111" s="55"/>
      <c r="O1111" s="55"/>
      <c r="P1111" s="55"/>
      <c r="Q1111" s="55"/>
      <c r="R1111" s="5"/>
      <c r="S1111" s="25"/>
      <c r="T1111" s="5"/>
    </row>
    <row r="1112" spans="1:20" s="3" customFormat="1" x14ac:dyDescent="0.25">
      <c r="A1112" s="21" t="s">
        <v>450</v>
      </c>
      <c r="B1112" s="246" t="s">
        <v>397</v>
      </c>
      <c r="C1112" s="246"/>
      <c r="D1112" s="246"/>
      <c r="E1112" s="246" t="s">
        <v>412</v>
      </c>
      <c r="F1112" s="9" t="s">
        <v>339</v>
      </c>
      <c r="G1112" s="55"/>
      <c r="H1112" s="55"/>
      <c r="I1112" s="55"/>
      <c r="J1112" s="55"/>
      <c r="K1112" s="55"/>
      <c r="L1112" s="55"/>
      <c r="M1112" s="55"/>
      <c r="N1112" s="55"/>
      <c r="O1112" s="55"/>
      <c r="P1112" s="55"/>
      <c r="Q1112" s="55"/>
      <c r="R1112" s="5"/>
      <c r="S1112" s="25"/>
      <c r="T1112" s="5"/>
    </row>
    <row r="1113" spans="1:20" s="3" customFormat="1" x14ac:dyDescent="0.25">
      <c r="A1113" s="21" t="s">
        <v>450</v>
      </c>
      <c r="B1113" s="246" t="s">
        <v>398</v>
      </c>
      <c r="C1113" s="246"/>
      <c r="D1113" s="246"/>
      <c r="E1113" s="246"/>
      <c r="F1113" s="9" t="s">
        <v>339</v>
      </c>
      <c r="G1113" s="54"/>
      <c r="H1113" s="54"/>
      <c r="I1113" s="54"/>
      <c r="J1113" s="54"/>
      <c r="K1113" s="54"/>
      <c r="L1113" s="54"/>
      <c r="M1113" s="54"/>
      <c r="N1113" s="54"/>
      <c r="O1113" s="54"/>
      <c r="P1113" s="54"/>
      <c r="Q1113" s="54"/>
      <c r="R1113" s="5"/>
      <c r="S1113" s="25"/>
      <c r="T1113" s="5"/>
    </row>
    <row r="1114" spans="1:20" s="3" customFormat="1" x14ac:dyDescent="0.25">
      <c r="A1114" s="21" t="s">
        <v>450</v>
      </c>
      <c r="B1114" s="246" t="s">
        <v>399</v>
      </c>
      <c r="C1114" s="246"/>
      <c r="D1114" s="246"/>
      <c r="E1114" s="246"/>
      <c r="F1114" s="9" t="s">
        <v>339</v>
      </c>
      <c r="G1114" s="54"/>
      <c r="H1114" s="54"/>
      <c r="I1114" s="54"/>
      <c r="J1114" s="54"/>
      <c r="K1114" s="54"/>
      <c r="L1114" s="54"/>
      <c r="M1114" s="54"/>
      <c r="N1114" s="54"/>
      <c r="O1114" s="54"/>
      <c r="P1114" s="54"/>
      <c r="Q1114" s="54"/>
      <c r="R1114" s="5"/>
      <c r="S1114" s="25"/>
      <c r="T1114" s="5"/>
    </row>
    <row r="1115" spans="1:20" s="3" customFormat="1" x14ac:dyDescent="0.25">
      <c r="A1115" s="21" t="s">
        <v>450</v>
      </c>
      <c r="B1115" s="246" t="s">
        <v>310</v>
      </c>
      <c r="C1115" s="246"/>
      <c r="D1115" s="246"/>
      <c r="E1115" s="246" t="s">
        <v>412</v>
      </c>
      <c r="F1115" s="9" t="s">
        <v>339</v>
      </c>
      <c r="G1115" s="55">
        <v>1.22</v>
      </c>
      <c r="H1115" s="262">
        <f t="shared" ref="H1115:Q1115" si="144">G1115</f>
        <v>1.22</v>
      </c>
      <c r="I1115" s="262">
        <f t="shared" si="144"/>
        <v>1.22</v>
      </c>
      <c r="J1115" s="262">
        <f t="shared" si="144"/>
        <v>1.22</v>
      </c>
      <c r="K1115" s="262">
        <f t="shared" si="144"/>
        <v>1.22</v>
      </c>
      <c r="L1115" s="262">
        <f t="shared" si="144"/>
        <v>1.22</v>
      </c>
      <c r="M1115" s="262">
        <f t="shared" si="144"/>
        <v>1.22</v>
      </c>
      <c r="N1115" s="262">
        <f t="shared" si="144"/>
        <v>1.22</v>
      </c>
      <c r="O1115" s="262">
        <f t="shared" si="144"/>
        <v>1.22</v>
      </c>
      <c r="P1115" s="262">
        <f t="shared" si="144"/>
        <v>1.22</v>
      </c>
      <c r="Q1115" s="262">
        <f t="shared" si="144"/>
        <v>1.22</v>
      </c>
      <c r="R1115" s="5"/>
      <c r="S1115" s="25"/>
      <c r="T1115" s="5"/>
    </row>
    <row r="1116" spans="1:20" s="3" customFormat="1" x14ac:dyDescent="0.25">
      <c r="A1116" s="21" t="s">
        <v>450</v>
      </c>
      <c r="B1116" s="246" t="s">
        <v>360</v>
      </c>
      <c r="C1116" s="246"/>
      <c r="D1116" s="246"/>
      <c r="E1116" s="246" t="s">
        <v>321</v>
      </c>
      <c r="F1116" s="9" t="s">
        <v>339</v>
      </c>
      <c r="G1116" s="55"/>
      <c r="H1116" s="55"/>
      <c r="I1116" s="55"/>
      <c r="J1116" s="55"/>
      <c r="K1116" s="55"/>
      <c r="L1116" s="55"/>
      <c r="M1116" s="55"/>
      <c r="N1116" s="55"/>
      <c r="O1116" s="55"/>
      <c r="P1116" s="55"/>
      <c r="Q1116" s="55"/>
      <c r="R1116" s="5"/>
      <c r="S1116" s="25"/>
      <c r="T1116" s="5"/>
    </row>
    <row r="1117" spans="1:20" s="3" customFormat="1" x14ac:dyDescent="0.25">
      <c r="A1117" s="21" t="s">
        <v>450</v>
      </c>
      <c r="B1117" s="2"/>
      <c r="C1117" s="13"/>
      <c r="D1117" s="2"/>
      <c r="E1117" s="2"/>
      <c r="F1117" s="9"/>
      <c r="G1117" s="4"/>
      <c r="H1117" s="4"/>
      <c r="I1117" s="4"/>
      <c r="J1117" s="4"/>
      <c r="K1117" s="4"/>
      <c r="L1117" s="4"/>
      <c r="M1117" s="4"/>
      <c r="N1117" s="4"/>
      <c r="O1117" s="4"/>
      <c r="P1117" s="4"/>
      <c r="Q1117" s="4"/>
      <c r="R1117" s="5"/>
      <c r="S1117" s="13"/>
      <c r="T1117" s="5"/>
    </row>
    <row r="1118" spans="1:20" s="3" customFormat="1" x14ac:dyDescent="0.25">
      <c r="A1118" s="359" t="s">
        <v>14</v>
      </c>
      <c r="B1118" s="2"/>
      <c r="C1118" s="13"/>
      <c r="D1118" s="2"/>
      <c r="E1118" s="2"/>
      <c r="F1118" s="16"/>
      <c r="G1118" s="4"/>
      <c r="H1118" s="4"/>
      <c r="I1118" s="4"/>
      <c r="J1118" s="4"/>
      <c r="K1118" s="4"/>
      <c r="L1118" s="4"/>
      <c r="M1118" s="4"/>
      <c r="N1118" s="4"/>
      <c r="O1118" s="4"/>
      <c r="P1118" s="4"/>
      <c r="Q1118" s="4"/>
      <c r="R1118" s="5"/>
      <c r="S1118" s="13"/>
      <c r="T1118" s="5"/>
    </row>
    <row r="1119" spans="1:20" s="3" customFormat="1" x14ac:dyDescent="0.25">
      <c r="A1119" s="21" t="s">
        <v>450</v>
      </c>
      <c r="B1119" t="s">
        <v>305</v>
      </c>
      <c r="C1119" s="13"/>
      <c r="D1119" s="2" t="s">
        <v>475</v>
      </c>
      <c r="E1119" s="2" t="s">
        <v>34</v>
      </c>
      <c r="F1119" s="26" t="str">
        <f>A1118</f>
        <v>Natural Gas</v>
      </c>
      <c r="G1119" s="55"/>
      <c r="H1119" s="55"/>
      <c r="I1119" s="55"/>
      <c r="J1119" s="55"/>
      <c r="K1119" s="55"/>
      <c r="L1119" s="55"/>
      <c r="M1119" s="55"/>
      <c r="N1119" s="55"/>
      <c r="O1119" s="55"/>
      <c r="P1119" s="55"/>
      <c r="Q1119" s="55"/>
      <c r="R1119" s="5"/>
      <c r="S1119" s="13"/>
      <c r="T1119" s="5"/>
    </row>
    <row r="1120" spans="1:20" s="3" customFormat="1" x14ac:dyDescent="0.25">
      <c r="A1120" s="21"/>
      <c r="B1120" s="67" t="s">
        <v>481</v>
      </c>
      <c r="C1120" s="25"/>
      <c r="D1120" s="67"/>
      <c r="E1120" s="67"/>
      <c r="F1120" s="202" t="s">
        <v>112</v>
      </c>
      <c r="G1120" s="17"/>
      <c r="H1120" s="17"/>
      <c r="I1120" s="17"/>
      <c r="J1120" s="17"/>
      <c r="K1120" s="17"/>
      <c r="L1120" s="17"/>
      <c r="M1120" s="17"/>
      <c r="N1120" s="17"/>
      <c r="O1120" s="17"/>
      <c r="P1120" s="17"/>
      <c r="Q1120" s="17"/>
      <c r="R1120" s="5"/>
      <c r="S1120" s="25"/>
      <c r="T1120" s="5"/>
    </row>
    <row r="1121" spans="1:20" s="3" customFormat="1" x14ac:dyDescent="0.25">
      <c r="A1121" s="21" t="s">
        <v>450</v>
      </c>
      <c r="B1121" s="2" t="s">
        <v>47</v>
      </c>
      <c r="C1121" s="13"/>
      <c r="D1121" s="2"/>
      <c r="E1121" s="2"/>
      <c r="F1121" s="16" t="s">
        <v>456</v>
      </c>
      <c r="G1121" s="132"/>
      <c r="H1121" s="132"/>
      <c r="I1121" s="132"/>
      <c r="J1121" s="132"/>
      <c r="K1121" s="132"/>
      <c r="L1121" s="132"/>
      <c r="M1121" s="132"/>
      <c r="N1121" s="132"/>
      <c r="O1121" s="132"/>
      <c r="P1121" s="132"/>
      <c r="Q1121" s="132"/>
      <c r="R1121" s="5"/>
      <c r="S1121" s="13"/>
      <c r="T1121" s="5"/>
    </row>
    <row r="1122" spans="1:20" s="3" customFormat="1" x14ac:dyDescent="0.25">
      <c r="A1122" s="21" t="s">
        <v>450</v>
      </c>
      <c r="B1122" t="s">
        <v>7</v>
      </c>
      <c r="C1122" s="13"/>
      <c r="D1122" s="2"/>
      <c r="E1122" s="2"/>
      <c r="F1122" s="26" t="s">
        <v>35</v>
      </c>
      <c r="G1122" s="4"/>
      <c r="H1122" s="4"/>
      <c r="I1122" s="4"/>
      <c r="J1122" s="4"/>
      <c r="K1122" s="4"/>
      <c r="L1122" s="4"/>
      <c r="M1122" s="4"/>
      <c r="N1122" s="4"/>
      <c r="O1122" s="4"/>
      <c r="P1122" s="4"/>
      <c r="Q1122" s="4"/>
      <c r="R1122" s="5"/>
      <c r="S1122" s="13"/>
      <c r="T1122" s="5"/>
    </row>
    <row r="1123" spans="1:20" s="3" customFormat="1" x14ac:dyDescent="0.25">
      <c r="A1123" s="21" t="s">
        <v>450</v>
      </c>
      <c r="B1123" t="s">
        <v>311</v>
      </c>
      <c r="C1123" s="13"/>
      <c r="D1123" s="2"/>
      <c r="E1123" s="2" t="s">
        <v>97</v>
      </c>
      <c r="F1123" s="26" t="s">
        <v>41</v>
      </c>
      <c r="G1123" s="271"/>
      <c r="H1123" s="271"/>
      <c r="I1123" s="271"/>
      <c r="J1123" s="271"/>
      <c r="K1123" s="271"/>
      <c r="L1123" s="271"/>
      <c r="M1123" s="271"/>
      <c r="N1123" s="271"/>
      <c r="O1123" s="271"/>
      <c r="P1123" s="271"/>
      <c r="Q1123" s="271"/>
      <c r="R1123" s="5"/>
      <c r="S1123" s="13"/>
      <c r="T1123" s="5"/>
    </row>
    <row r="1124" spans="1:20" s="3" customFormat="1" x14ac:dyDescent="0.25">
      <c r="A1124" s="21" t="s">
        <v>450</v>
      </c>
      <c r="B1124" t="s">
        <v>50</v>
      </c>
      <c r="C1124" s="13"/>
      <c r="D1124" s="2"/>
      <c r="E1124" s="2" t="s">
        <v>97</v>
      </c>
      <c r="F1124" s="26"/>
      <c r="G1124" s="271"/>
      <c r="H1124" s="271"/>
      <c r="I1124" s="271"/>
      <c r="J1124" s="271"/>
      <c r="K1124" s="271"/>
      <c r="L1124" s="271"/>
      <c r="M1124" s="271"/>
      <c r="N1124" s="271"/>
      <c r="O1124" s="271"/>
      <c r="P1124" s="271"/>
      <c r="Q1124" s="271"/>
      <c r="R1124" s="5"/>
      <c r="S1124" s="13"/>
      <c r="T1124" s="5"/>
    </row>
    <row r="1125" spans="1:20" s="3" customFormat="1" x14ac:dyDescent="0.25">
      <c r="A1125" s="21" t="s">
        <v>450</v>
      </c>
      <c r="B1125" t="s">
        <v>20</v>
      </c>
      <c r="C1125" s="13"/>
      <c r="D1125" s="2"/>
      <c r="E1125" s="2"/>
      <c r="F1125" s="26" t="s">
        <v>42</v>
      </c>
      <c r="G1125" s="4"/>
      <c r="H1125" s="4"/>
      <c r="I1125" s="4"/>
      <c r="J1125" s="4"/>
      <c r="K1125" s="4"/>
      <c r="L1125" s="4"/>
      <c r="M1125" s="4"/>
      <c r="N1125" s="4"/>
      <c r="O1125" s="4"/>
      <c r="P1125" s="4"/>
      <c r="Q1125" s="4"/>
      <c r="R1125" s="5"/>
      <c r="S1125" s="13"/>
      <c r="T1125" s="5"/>
    </row>
    <row r="1126" spans="1:20" s="3" customFormat="1" x14ac:dyDescent="0.25">
      <c r="A1126" s="21" t="s">
        <v>450</v>
      </c>
      <c r="B1126" s="15" t="s">
        <v>11</v>
      </c>
      <c r="C1126" s="13"/>
      <c r="D1126" s="2"/>
      <c r="E1126" s="2" t="s">
        <v>322</v>
      </c>
      <c r="F1126" s="14" t="s">
        <v>12</v>
      </c>
      <c r="G1126" s="55"/>
      <c r="H1126" s="55"/>
      <c r="I1126" s="55"/>
      <c r="J1126" s="55"/>
      <c r="K1126" s="55"/>
      <c r="L1126" s="55"/>
      <c r="M1126" s="55"/>
      <c r="N1126" s="55"/>
      <c r="O1126" s="55"/>
      <c r="P1126" s="55"/>
      <c r="Q1126" s="55"/>
      <c r="R1126" s="5"/>
      <c r="S1126" s="13"/>
      <c r="T1126" s="5"/>
    </row>
    <row r="1127" spans="1:20" s="3" customFormat="1" x14ac:dyDescent="0.25">
      <c r="A1127" s="21" t="s">
        <v>450</v>
      </c>
      <c r="B1127" s="15" t="s">
        <v>11</v>
      </c>
      <c r="C1127" s="13"/>
      <c r="D1127" s="2"/>
      <c r="E1127" s="2" t="s">
        <v>322</v>
      </c>
      <c r="F1127" s="14" t="s">
        <v>13</v>
      </c>
      <c r="G1127" s="55"/>
      <c r="H1127" s="55"/>
      <c r="I1127" s="55"/>
      <c r="J1127" s="55"/>
      <c r="K1127" s="55"/>
      <c r="L1127" s="55"/>
      <c r="M1127" s="55"/>
      <c r="N1127" s="55"/>
      <c r="O1127" s="55"/>
      <c r="P1127" s="55"/>
      <c r="Q1127" s="55"/>
      <c r="R1127" s="5"/>
      <c r="S1127" s="13"/>
      <c r="T1127" s="5"/>
    </row>
    <row r="1128" spans="1:20" s="3" customFormat="1" x14ac:dyDescent="0.25">
      <c r="A1128" s="21" t="s">
        <v>450</v>
      </c>
      <c r="B1128" s="15" t="s">
        <v>11</v>
      </c>
      <c r="C1128" s="13"/>
      <c r="D1128" s="2"/>
      <c r="E1128" s="2" t="s">
        <v>322</v>
      </c>
      <c r="F1128" s="14" t="s">
        <v>14</v>
      </c>
      <c r="G1128" s="55"/>
      <c r="H1128" s="55"/>
      <c r="I1128" s="55"/>
      <c r="J1128" s="55"/>
      <c r="K1128" s="55"/>
      <c r="L1128" s="55"/>
      <c r="M1128" s="55"/>
      <c r="N1128" s="55"/>
      <c r="O1128" s="55"/>
      <c r="P1128" s="55"/>
      <c r="Q1128" s="55"/>
      <c r="R1128" s="5"/>
      <c r="S1128" s="13"/>
      <c r="T1128" s="5"/>
    </row>
    <row r="1129" spans="1:20" s="3" customFormat="1" x14ac:dyDescent="0.25">
      <c r="A1129" s="21" t="s">
        <v>450</v>
      </c>
      <c r="B1129" s="15" t="s">
        <v>11</v>
      </c>
      <c r="C1129" s="13"/>
      <c r="D1129" s="2"/>
      <c r="E1129" s="2" t="s">
        <v>322</v>
      </c>
      <c r="F1129" s="14" t="s">
        <v>2</v>
      </c>
      <c r="G1129" s="55"/>
      <c r="H1129" s="55"/>
      <c r="I1129" s="55"/>
      <c r="J1129" s="55"/>
      <c r="K1129" s="55"/>
      <c r="L1129" s="55"/>
      <c r="M1129" s="55"/>
      <c r="N1129" s="55"/>
      <c r="O1129" s="55"/>
      <c r="P1129" s="55"/>
      <c r="Q1129" s="55"/>
      <c r="R1129" s="5"/>
      <c r="S1129" s="13"/>
      <c r="T1129" s="5"/>
    </row>
    <row r="1130" spans="1:20" s="3" customFormat="1" x14ac:dyDescent="0.25">
      <c r="A1130" s="21" t="s">
        <v>450</v>
      </c>
      <c r="B1130" s="15" t="s">
        <v>11</v>
      </c>
      <c r="C1130" s="13"/>
      <c r="D1130" s="2"/>
      <c r="E1130" s="2" t="s">
        <v>322</v>
      </c>
      <c r="F1130" s="14" t="s">
        <v>15</v>
      </c>
      <c r="G1130" s="55"/>
      <c r="H1130" s="55"/>
      <c r="I1130" s="55"/>
      <c r="J1130" s="55"/>
      <c r="K1130" s="55"/>
      <c r="L1130" s="55"/>
      <c r="M1130" s="55"/>
      <c r="N1130" s="55"/>
      <c r="O1130" s="55"/>
      <c r="P1130" s="55"/>
      <c r="Q1130" s="55"/>
      <c r="R1130" s="5"/>
      <c r="S1130" s="13"/>
      <c r="T1130" s="5"/>
    </row>
    <row r="1131" spans="1:20" s="3" customFormat="1" x14ac:dyDescent="0.25">
      <c r="A1131" s="21" t="s">
        <v>450</v>
      </c>
      <c r="B1131" t="s">
        <v>11</v>
      </c>
      <c r="C1131" s="13"/>
      <c r="D1131" s="2"/>
      <c r="E1131" s="2" t="s">
        <v>323</v>
      </c>
      <c r="F1131" s="14" t="s">
        <v>17</v>
      </c>
      <c r="G1131" s="282">
        <v>0</v>
      </c>
      <c r="H1131" s="282">
        <v>0</v>
      </c>
      <c r="I1131" s="282">
        <v>0</v>
      </c>
      <c r="J1131" s="282">
        <v>0</v>
      </c>
      <c r="K1131" s="282">
        <v>0</v>
      </c>
      <c r="L1131" s="282">
        <v>0</v>
      </c>
      <c r="M1131" s="282">
        <v>0</v>
      </c>
      <c r="N1131" s="282">
        <v>0</v>
      </c>
      <c r="O1131" s="282">
        <v>0</v>
      </c>
      <c r="P1131" s="282">
        <v>0</v>
      </c>
      <c r="Q1131" s="282">
        <v>0</v>
      </c>
      <c r="R1131" s="5"/>
      <c r="S1131" s="13"/>
      <c r="T1131" s="5"/>
    </row>
    <row r="1132" spans="1:20" s="3" customFormat="1" x14ac:dyDescent="0.25">
      <c r="A1132" s="21" t="s">
        <v>450</v>
      </c>
      <c r="B1132" t="s">
        <v>11</v>
      </c>
      <c r="C1132" s="13"/>
      <c r="D1132" s="2"/>
      <c r="E1132" s="2" t="s">
        <v>323</v>
      </c>
      <c r="F1132" s="14" t="s">
        <v>18</v>
      </c>
      <c r="G1132" s="282">
        <v>0</v>
      </c>
      <c r="H1132" s="282">
        <v>0</v>
      </c>
      <c r="I1132" s="282">
        <v>0</v>
      </c>
      <c r="J1132" s="282">
        <v>0</v>
      </c>
      <c r="K1132" s="282">
        <v>0</v>
      </c>
      <c r="L1132" s="282">
        <v>0</v>
      </c>
      <c r="M1132" s="282">
        <v>0</v>
      </c>
      <c r="N1132" s="282">
        <v>0</v>
      </c>
      <c r="O1132" s="282">
        <v>0</v>
      </c>
      <c r="P1132" s="282">
        <v>0</v>
      </c>
      <c r="Q1132" s="282">
        <v>0</v>
      </c>
      <c r="R1132" s="5"/>
      <c r="S1132" s="13"/>
      <c r="T1132" s="5"/>
    </row>
    <row r="1133" spans="1:20" s="3" customFormat="1" x14ac:dyDescent="0.25">
      <c r="A1133" s="21" t="s">
        <v>450</v>
      </c>
      <c r="B1133" t="s">
        <v>11</v>
      </c>
      <c r="C1133" s="13"/>
      <c r="D1133" s="2"/>
      <c r="E1133" s="2" t="s">
        <v>323</v>
      </c>
      <c r="F1133" s="14" t="s">
        <v>19</v>
      </c>
      <c r="G1133" s="282">
        <v>0</v>
      </c>
      <c r="H1133" s="282">
        <v>0</v>
      </c>
      <c r="I1133" s="282">
        <v>0</v>
      </c>
      <c r="J1133" s="282">
        <v>0</v>
      </c>
      <c r="K1133" s="282">
        <v>0</v>
      </c>
      <c r="L1133" s="282">
        <v>0</v>
      </c>
      <c r="M1133" s="282">
        <v>0</v>
      </c>
      <c r="N1133" s="282">
        <v>0</v>
      </c>
      <c r="O1133" s="282">
        <v>0</v>
      </c>
      <c r="P1133" s="282">
        <v>0</v>
      </c>
      <c r="Q1133" s="282">
        <v>0</v>
      </c>
      <c r="R1133" s="5"/>
      <c r="S1133" s="13"/>
      <c r="T1133" s="5"/>
    </row>
    <row r="1134" spans="1:20" s="3" customFormat="1" x14ac:dyDescent="0.25">
      <c r="A1134" s="21" t="s">
        <v>450</v>
      </c>
      <c r="B1134" t="s">
        <v>266</v>
      </c>
      <c r="C1134" s="13"/>
      <c r="D1134" s="2"/>
      <c r="E1134" s="2" t="s">
        <v>252</v>
      </c>
      <c r="F1134" s="14"/>
      <c r="G1134" s="282">
        <f>IFERROR(INDEX(Coefficients!$D$5:$AR$32,MATCH($F$1119,Coefficients!$A$5:$A$32,0),MATCH(G$2,Coefficients!$D$1:$AR$1,0)),F1134)</f>
        <v>37.989999934966505</v>
      </c>
      <c r="H1134" s="282">
        <f>IFERROR(INDEX(Coefficients!$D$5:$AR$32,MATCH($F$1119,Coefficients!$A$5:$A$32,0),MATCH(H$2,Coefficients!$D$1:$AR$1,0)),G1134)</f>
        <v>38.259998958056819</v>
      </c>
      <c r="I1134" s="282">
        <f>IFERROR(INDEX(Coefficients!$D$5:$AR$32,MATCH($F$1119,Coefficients!$A$5:$A$32,0),MATCH(I$2,Coefficients!$D$1:$AR$1,0)),H1134)</f>
        <v>38.51999993949601</v>
      </c>
      <c r="J1134" s="282">
        <f>IFERROR(INDEX(Coefficients!$D$5:$AR$32,MATCH($F$1119,Coefficients!$A$5:$A$32,0),MATCH(J$2,Coefficients!$D$1:$AR$1,0)),I1134)</f>
        <v>39.239999484440986</v>
      </c>
      <c r="K1134" s="282">
        <f>IFERROR(INDEX(Coefficients!$D$5:$AR$32,MATCH($F$1119,Coefficients!$A$5:$A$32,0),MATCH(K$2,Coefficients!$D$1:$AR$1,0)),J1134)</f>
        <v>39.219991490126624</v>
      </c>
      <c r="L1134" s="282">
        <f>IFERROR(INDEX(Coefficients!$D$5:$AR$32,MATCH($F$1119,Coefficients!$A$5:$A$32,0),MATCH(L$2,Coefficients!$D$1:$AR$1,0)),K1134)</f>
        <v>39.219991490126624</v>
      </c>
      <c r="M1134" s="282">
        <f>IFERROR(INDEX(Coefficients!$D$5:$AR$32,MATCH($F$1119,Coefficients!$A$5:$A$32,0),MATCH(M$2,Coefficients!$D$1:$AR$1,0)),L1134)</f>
        <v>39.219991490126624</v>
      </c>
      <c r="N1134" s="282">
        <f>IFERROR(INDEX(Coefficients!$D$5:$AR$32,MATCH($F$1119,Coefficients!$A$5:$A$32,0),MATCH(N$2,Coefficients!$D$1:$AR$1,0)),M1134)</f>
        <v>39.219991490126624</v>
      </c>
      <c r="O1134" s="282">
        <f>IFERROR(INDEX(Coefficients!$D$5:$AR$32,MATCH($F$1119,Coefficients!$A$5:$A$32,0),MATCH(O$2,Coefficients!$D$1:$AR$1,0)),N1134)</f>
        <v>39.219991490126624</v>
      </c>
      <c r="P1134" s="282">
        <f>IFERROR(INDEX(Coefficients!$D$5:$AR$32,MATCH($F$1119,Coefficients!$A$5:$A$32,0),MATCH(P$2,Coefficients!$D$1:$AR$1,0)),O1134)</f>
        <v>39.219991490126624</v>
      </c>
      <c r="Q1134" s="282">
        <f>IFERROR(INDEX(Coefficients!$D$5:$AR$32,MATCH($F$1119,Coefficients!$A$5:$A$32,0),MATCH(Q$2,Coefficients!$D$1:$AR$1,0)),P1134)</f>
        <v>39.219991490126624</v>
      </c>
      <c r="R1134" s="5"/>
      <c r="S1134" s="13"/>
      <c r="T1134" s="5"/>
    </row>
    <row r="1135" spans="1:20" s="3" customFormat="1" x14ac:dyDescent="0.25">
      <c r="A1135" s="21" t="s">
        <v>450</v>
      </c>
      <c r="B1135" t="s">
        <v>312</v>
      </c>
      <c r="C1135" s="13"/>
      <c r="D1135" s="2"/>
      <c r="E1135" s="2" t="s">
        <v>250</v>
      </c>
      <c r="F1135" s="14" t="s">
        <v>17</v>
      </c>
      <c r="G1135" s="282">
        <f>IFERROR(INDEX(CO2_GJ,MATCH($F$1119,CoeffIndex,0),MATCH(G$2,CoeffYear,0)),F1135)</f>
        <v>5.0659506393256851E-2</v>
      </c>
      <c r="H1135" s="282">
        <f>IFERROR(INDEX(CO2_GJ,MATCH($F$1119,CoeffIndex,0),MATCH(H$2,CoeffYear,0)),G1135)</f>
        <v>5.0269095405659998E-2</v>
      </c>
      <c r="I1135" s="282">
        <f>IFERROR(INDEX(CO2_GJ,MATCH($F$1119,CoeffIndex,0),MATCH(I$2,CoeffYear,0)),H1135)</f>
        <v>4.9926715324116293E-2</v>
      </c>
      <c r="J1135" s="282">
        <f>IFERROR(INDEX(CO2_GJ,MATCH($F$1119,CoeffIndex,0),MATCH(J$2,CoeffYear,0)),I1135)</f>
        <v>4.9022590682876281E-2</v>
      </c>
      <c r="K1135" s="282">
        <f>IFERROR(INDEX(CO2_GJ,MATCH($F$1119,CoeffIndex,0),MATCH(K$2,CoeffYear,0)),J1135)</f>
        <v>4.9047599452087906E-2</v>
      </c>
      <c r="L1135" s="282">
        <f>IFERROR(INDEX(CO2_GJ,MATCH($F$1119,CoeffIndex,0),MATCH(L$2,CoeffYear,0)),K1135)</f>
        <v>4.9047599452087906E-2</v>
      </c>
      <c r="M1135" s="282">
        <f>IFERROR(INDEX(CO2_GJ,MATCH($F$1119,CoeffIndex,0),MATCH(M$2,CoeffYear,0)),L1135)</f>
        <v>4.9047599452087906E-2</v>
      </c>
      <c r="N1135" s="282">
        <f>IFERROR(INDEX(CO2_GJ,MATCH($F$1119,CoeffIndex,0),MATCH(N$2,CoeffYear,0)),M1135)</f>
        <v>4.9047599452087906E-2</v>
      </c>
      <c r="O1135" s="282">
        <f>IFERROR(INDEX(CO2_GJ,MATCH($F$1119,CoeffIndex,0),MATCH(O$2,CoeffYear,0)),N1135)</f>
        <v>4.9047599452087906E-2</v>
      </c>
      <c r="P1135" s="282">
        <f>IFERROR(INDEX(CO2_GJ,MATCH($F$1119,CoeffIndex,0),MATCH(P$2,CoeffYear,0)),O1135)</f>
        <v>4.9047599452087906E-2</v>
      </c>
      <c r="Q1135" s="282">
        <f>IFERROR(INDEX(CO2_GJ,MATCH($F$1119,CoeffIndex,0),MATCH(Q$2,CoeffYear,0)),P1135)</f>
        <v>4.9047599452087906E-2</v>
      </c>
      <c r="R1135" s="5"/>
      <c r="S1135" s="13"/>
      <c r="T1135" s="5"/>
    </row>
    <row r="1136" spans="1:20" s="3" customFormat="1" x14ac:dyDescent="0.25">
      <c r="A1136" s="21" t="s">
        <v>450</v>
      </c>
      <c r="B1136" t="s">
        <v>312</v>
      </c>
      <c r="C1136" s="13"/>
      <c r="D1136" s="2"/>
      <c r="E1136" s="2" t="s">
        <v>250</v>
      </c>
      <c r="F1136" s="14" t="s">
        <v>18</v>
      </c>
      <c r="G1136" s="282">
        <f>IFERROR(INDEX(CH4_GJ,MATCH($F$1119,CoeffIndex,0),MATCH(G$2,CoeffYear,0)),F1136)</f>
        <v>2.727033434518255E-5</v>
      </c>
      <c r="H1136" s="282">
        <f>IFERROR(INDEX(CH4_GJ,MATCH($F$1119,CoeffIndex,0),MATCH(H$2,CoeffYear,0)),G1136)</f>
        <v>2.7077888871239459E-5</v>
      </c>
      <c r="I1136" s="282">
        <f>IFERROR(INDEX(CH4_GJ,MATCH($F$1119,CoeffIndex,0),MATCH(I$2,CoeffYear,0)),H1136)</f>
        <v>2.6895119460728506E-5</v>
      </c>
      <c r="J1136" s="282">
        <f>IFERROR(INDEX(CH4_GJ,MATCH($F$1119,CoeffIndex,0),MATCH(J$2,CoeffYear,0)),I1136)</f>
        <v>2.6401631335667657E-5</v>
      </c>
      <c r="K1136" s="282">
        <f>IFERROR(INDEX(CH4_GJ,MATCH($F$1119,CoeffIndex,0),MATCH(K$2,CoeffYear,0)),J1136)</f>
        <v>2.6415100071115674E-5</v>
      </c>
      <c r="L1136" s="282">
        <f>IFERROR(INDEX(CH4_GJ,MATCH($F$1119,CoeffIndex,0),MATCH(L$2,CoeffYear,0)),K1136)</f>
        <v>2.6415100071115674E-5</v>
      </c>
      <c r="M1136" s="282">
        <f>IFERROR(INDEX(CH4_GJ,MATCH($F$1119,CoeffIndex,0),MATCH(M$2,CoeffYear,0)),L1136)</f>
        <v>2.6415100071115674E-5</v>
      </c>
      <c r="N1136" s="282">
        <f>IFERROR(INDEX(CH4_GJ,MATCH($F$1119,CoeffIndex,0),MATCH(N$2,CoeffYear,0)),M1136)</f>
        <v>2.6415100071115674E-5</v>
      </c>
      <c r="O1136" s="282">
        <f>IFERROR(INDEX(CH4_GJ,MATCH($F$1119,CoeffIndex,0),MATCH(O$2,CoeffYear,0)),N1136)</f>
        <v>2.6415100071115674E-5</v>
      </c>
      <c r="P1136" s="282">
        <f>IFERROR(INDEX(CH4_GJ,MATCH($F$1119,CoeffIndex,0),MATCH(P$2,CoeffYear,0)),O1136)</f>
        <v>2.6415100071115674E-5</v>
      </c>
      <c r="Q1136" s="282">
        <f>IFERROR(INDEX(CH4_GJ,MATCH($F$1119,CoeffIndex,0),MATCH(Q$2,CoeffYear,0)),P1136)</f>
        <v>2.6415100071115674E-5</v>
      </c>
      <c r="R1136" s="5"/>
      <c r="S1136" s="13"/>
      <c r="T1136" s="5"/>
    </row>
    <row r="1137" spans="1:20" s="3" customFormat="1" x14ac:dyDescent="0.25">
      <c r="A1137" s="21" t="s">
        <v>450</v>
      </c>
      <c r="B1137" t="s">
        <v>312</v>
      </c>
      <c r="C1137" s="13"/>
      <c r="D1137" s="2"/>
      <c r="E1137" s="2" t="s">
        <v>250</v>
      </c>
      <c r="F1137" s="14" t="s">
        <v>19</v>
      </c>
      <c r="G1137" s="282">
        <f>IFERROR(INDEX(N2O_GJ,MATCH($F$1119,CoeffIndex,0),MATCH(G$2,CoeffYear,0)),F1137)</f>
        <v>2.3019215622453807E-4</v>
      </c>
      <c r="H1137" s="282">
        <f>IFERROR(INDEX(N2O_GJ,MATCH($F$1119,CoeffIndex,0),MATCH(H$2,CoeffYear,0)),G1137)</f>
        <v>2.2856770094497014E-4</v>
      </c>
      <c r="I1137" s="282">
        <f>IFERROR(INDEX(N2O_GJ,MATCH($F$1119,CoeffIndex,0),MATCH(I$2,CoeffYear,0)),H1137)</f>
        <v>2.270249224749718E-4</v>
      </c>
      <c r="J1137" s="282">
        <f>IFERROR(INDEX(N2O_GJ,MATCH($F$1119,CoeffIndex,0),MATCH(J$2,CoeffYear,0)),I1137)</f>
        <v>2.2285933014518699E-4</v>
      </c>
      <c r="K1137" s="282">
        <f>IFERROR(INDEX(N2O_GJ,MATCH($F$1119,CoeffIndex,0),MATCH(K$2,CoeffYear,0)),J1137)</f>
        <v>2.2297302135319168E-4</v>
      </c>
      <c r="L1137" s="282">
        <f>IFERROR(INDEX(N2O_GJ,MATCH($F$1119,CoeffIndex,0),MATCH(L$2,CoeffYear,0)),K1137)</f>
        <v>2.2297302135319168E-4</v>
      </c>
      <c r="M1137" s="282">
        <f>IFERROR(INDEX(N2O_GJ,MATCH($F$1119,CoeffIndex,0),MATCH(M$2,CoeffYear,0)),L1137)</f>
        <v>2.2297302135319168E-4</v>
      </c>
      <c r="N1137" s="282">
        <f>IFERROR(INDEX(N2O_GJ,MATCH($F$1119,CoeffIndex,0),MATCH(N$2,CoeffYear,0)),M1137)</f>
        <v>2.2297302135319168E-4</v>
      </c>
      <c r="O1137" s="282">
        <f>IFERROR(INDEX(N2O_GJ,MATCH($F$1119,CoeffIndex,0),MATCH(O$2,CoeffYear,0)),N1137)</f>
        <v>2.2297302135319168E-4</v>
      </c>
      <c r="P1137" s="282">
        <f>IFERROR(INDEX(N2O_GJ,MATCH($F$1119,CoeffIndex,0),MATCH(P$2,CoeffYear,0)),O1137)</f>
        <v>2.2297302135319168E-4</v>
      </c>
      <c r="Q1137" s="282">
        <f>IFERROR(INDEX(N2O_GJ,MATCH($F$1119,CoeffIndex,0),MATCH(Q$2,CoeffYear,0)),P1137)</f>
        <v>2.2297302135319168E-4</v>
      </c>
      <c r="R1137" s="5"/>
      <c r="S1137" s="13"/>
      <c r="T1137" s="5"/>
    </row>
    <row r="1138" spans="1:20" s="3" customFormat="1" x14ac:dyDescent="0.25">
      <c r="A1138" s="21" t="s">
        <v>450</v>
      </c>
      <c r="B1138" s="2"/>
      <c r="C1138" s="13"/>
      <c r="D1138" s="2"/>
      <c r="E1138" s="2"/>
      <c r="F1138" s="16"/>
      <c r="G1138" s="4"/>
      <c r="H1138" s="4"/>
      <c r="I1138" s="4"/>
      <c r="J1138" s="4"/>
      <c r="K1138" s="4"/>
      <c r="L1138" s="4"/>
      <c r="M1138" s="4"/>
      <c r="N1138" s="4"/>
      <c r="O1138" s="4"/>
      <c r="P1138" s="4"/>
      <c r="Q1138" s="4"/>
      <c r="R1138" s="5"/>
      <c r="S1138" s="13"/>
      <c r="T1138" s="5"/>
    </row>
    <row r="1139" spans="1:20" s="3" customFormat="1" x14ac:dyDescent="0.25">
      <c r="A1139" s="359" t="s">
        <v>253</v>
      </c>
      <c r="B1139" s="2"/>
      <c r="C1139" s="13"/>
      <c r="D1139" s="2"/>
      <c r="E1139" s="2"/>
      <c r="F1139" s="16"/>
      <c r="G1139" s="4"/>
      <c r="H1139" s="4"/>
      <c r="I1139" s="4"/>
      <c r="J1139" s="4"/>
      <c r="K1139" s="4"/>
      <c r="L1139" s="4"/>
      <c r="M1139" s="4"/>
      <c r="N1139" s="4"/>
      <c r="O1139" s="4"/>
      <c r="P1139" s="4"/>
      <c r="Q1139" s="4"/>
      <c r="R1139" s="5"/>
      <c r="S1139" s="13"/>
      <c r="T1139" s="5"/>
    </row>
    <row r="1140" spans="1:20" s="3" customFormat="1" x14ac:dyDescent="0.25">
      <c r="A1140" s="21" t="s">
        <v>450</v>
      </c>
      <c r="B1140" t="s">
        <v>305</v>
      </c>
      <c r="C1140" s="13"/>
      <c r="D1140" s="2" t="s">
        <v>476</v>
      </c>
      <c r="E1140" s="2" t="s">
        <v>34</v>
      </c>
      <c r="F1140" s="26" t="str">
        <f>A1139</f>
        <v>Solar</v>
      </c>
      <c r="G1140" s="55"/>
      <c r="H1140" s="55"/>
      <c r="I1140" s="55"/>
      <c r="J1140" s="55"/>
      <c r="K1140" s="55"/>
      <c r="L1140" s="55"/>
      <c r="M1140" s="55"/>
      <c r="N1140" s="55"/>
      <c r="O1140" s="55"/>
      <c r="P1140" s="55"/>
      <c r="Q1140" s="55"/>
      <c r="R1140" s="5"/>
      <c r="S1140" s="13"/>
      <c r="T1140" s="5"/>
    </row>
    <row r="1141" spans="1:20" s="3" customFormat="1" x14ac:dyDescent="0.25">
      <c r="A1141" s="21"/>
      <c r="B1141" s="67" t="s">
        <v>481</v>
      </c>
      <c r="C1141" s="25"/>
      <c r="D1141" s="67"/>
      <c r="E1141" s="67"/>
      <c r="F1141" s="202" t="s">
        <v>112</v>
      </c>
      <c r="G1141" s="17"/>
      <c r="H1141" s="17"/>
      <c r="I1141" s="17"/>
      <c r="J1141" s="17"/>
      <c r="K1141" s="17"/>
      <c r="L1141" s="17"/>
      <c r="M1141" s="17"/>
      <c r="N1141" s="17"/>
      <c r="O1141" s="17"/>
      <c r="P1141" s="17"/>
      <c r="Q1141" s="17"/>
      <c r="R1141" s="5"/>
      <c r="S1141" s="25"/>
      <c r="T1141" s="5"/>
    </row>
    <row r="1142" spans="1:20" s="3" customFormat="1" x14ac:dyDescent="0.25">
      <c r="A1142" s="21" t="s">
        <v>450</v>
      </c>
      <c r="B1142" s="2" t="s">
        <v>47</v>
      </c>
      <c r="C1142" s="13"/>
      <c r="D1142" s="2"/>
      <c r="E1142" s="2"/>
      <c r="F1142" s="16" t="s">
        <v>456</v>
      </c>
      <c r="G1142" s="132"/>
      <c r="H1142" s="132"/>
      <c r="I1142" s="132"/>
      <c r="J1142" s="132"/>
      <c r="K1142" s="132"/>
      <c r="L1142" s="132"/>
      <c r="M1142" s="132"/>
      <c r="N1142" s="132"/>
      <c r="O1142" s="132"/>
      <c r="P1142" s="132"/>
      <c r="Q1142" s="132"/>
      <c r="R1142" s="5"/>
      <c r="S1142" s="13"/>
      <c r="T1142" s="5"/>
    </row>
    <row r="1143" spans="1:20" s="3" customFormat="1" x14ac:dyDescent="0.25">
      <c r="A1143" s="21" t="s">
        <v>450</v>
      </c>
      <c r="B1143" s="2"/>
      <c r="C1143" s="13"/>
      <c r="D1143" s="2"/>
      <c r="E1143" s="2"/>
      <c r="F1143" s="16"/>
      <c r="G1143" s="4"/>
      <c r="H1143" s="4"/>
      <c r="I1143" s="4"/>
      <c r="J1143" s="4"/>
      <c r="K1143" s="4"/>
      <c r="L1143" s="4"/>
      <c r="M1143" s="4"/>
      <c r="N1143" s="4"/>
      <c r="O1143" s="4"/>
      <c r="P1143" s="4"/>
      <c r="Q1143" s="4"/>
      <c r="R1143" s="5"/>
      <c r="S1143" s="13"/>
      <c r="T1143" s="5"/>
    </row>
    <row r="1144" spans="1:20" s="3" customFormat="1" x14ac:dyDescent="0.25">
      <c r="A1144" s="359" t="s">
        <v>172</v>
      </c>
      <c r="B1144" s="2"/>
      <c r="C1144" s="13"/>
      <c r="D1144" s="2"/>
      <c r="E1144" s="2"/>
      <c r="F1144" s="16"/>
      <c r="G1144" s="4"/>
      <c r="H1144" s="4"/>
      <c r="I1144" s="4"/>
      <c r="J1144" s="4"/>
      <c r="K1144" s="4"/>
      <c r="L1144" s="4"/>
      <c r="M1144" s="4"/>
      <c r="N1144" s="4"/>
      <c r="O1144" s="4"/>
      <c r="P1144" s="4"/>
      <c r="Q1144" s="4"/>
      <c r="R1144" s="5"/>
      <c r="S1144" s="13"/>
      <c r="T1144" s="5"/>
    </row>
    <row r="1145" spans="1:20" s="3" customFormat="1" x14ac:dyDescent="0.25">
      <c r="A1145" s="21" t="s">
        <v>450</v>
      </c>
      <c r="B1145" t="s">
        <v>305</v>
      </c>
      <c r="C1145" s="13"/>
      <c r="D1145" s="2" t="s">
        <v>477</v>
      </c>
      <c r="E1145" s="2" t="s">
        <v>34</v>
      </c>
      <c r="F1145" s="26" t="str">
        <f>A1144</f>
        <v>Wind</v>
      </c>
      <c r="G1145" s="55"/>
      <c r="H1145" s="55"/>
      <c r="I1145" s="55"/>
      <c r="J1145" s="55"/>
      <c r="K1145" s="55"/>
      <c r="L1145" s="55"/>
      <c r="M1145" s="55"/>
      <c r="N1145" s="55"/>
      <c r="O1145" s="55"/>
      <c r="P1145" s="55"/>
      <c r="Q1145" s="55"/>
      <c r="R1145" s="5"/>
      <c r="S1145" s="13"/>
      <c r="T1145" s="5"/>
    </row>
    <row r="1146" spans="1:20" s="3" customFormat="1" x14ac:dyDescent="0.25">
      <c r="A1146" s="21"/>
      <c r="B1146" s="67" t="s">
        <v>481</v>
      </c>
      <c r="C1146" s="25"/>
      <c r="D1146" s="67"/>
      <c r="E1146" s="67"/>
      <c r="F1146" s="202" t="s">
        <v>112</v>
      </c>
      <c r="G1146" s="17"/>
      <c r="H1146" s="17"/>
      <c r="I1146" s="17"/>
      <c r="J1146" s="17"/>
      <c r="K1146" s="17"/>
      <c r="L1146" s="17"/>
      <c r="M1146" s="17"/>
      <c r="N1146" s="17"/>
      <c r="O1146" s="17"/>
      <c r="P1146" s="17"/>
      <c r="Q1146" s="17"/>
      <c r="R1146" s="5"/>
      <c r="S1146" s="25"/>
      <c r="T1146" s="5"/>
    </row>
    <row r="1147" spans="1:20" s="3" customFormat="1" x14ac:dyDescent="0.25">
      <c r="A1147" s="21" t="s">
        <v>450</v>
      </c>
      <c r="B1147" s="2" t="s">
        <v>47</v>
      </c>
      <c r="C1147" s="13"/>
      <c r="D1147" s="2"/>
      <c r="E1147" s="2"/>
      <c r="F1147" s="16" t="s">
        <v>456</v>
      </c>
      <c r="G1147" s="132"/>
      <c r="H1147" s="132"/>
      <c r="I1147" s="132"/>
      <c r="J1147" s="132"/>
      <c r="K1147" s="132"/>
      <c r="L1147" s="132"/>
      <c r="M1147" s="132"/>
      <c r="N1147" s="132"/>
      <c r="O1147" s="132"/>
      <c r="P1147" s="132"/>
      <c r="Q1147" s="132"/>
      <c r="R1147" s="5"/>
      <c r="S1147" s="13"/>
      <c r="T1147" s="5"/>
    </row>
    <row r="1148" spans="1:20" s="3" customFormat="1" x14ac:dyDescent="0.25">
      <c r="A1148" s="21" t="s">
        <v>450</v>
      </c>
      <c r="B1148" s="2"/>
      <c r="C1148" s="13"/>
      <c r="D1148" s="2"/>
      <c r="E1148" s="2"/>
      <c r="F1148" s="16"/>
      <c r="G1148" s="4"/>
      <c r="H1148" s="4"/>
      <c r="I1148" s="4"/>
      <c r="J1148" s="4"/>
      <c r="K1148" s="4"/>
      <c r="L1148" s="4"/>
      <c r="M1148" s="4"/>
      <c r="N1148" s="4"/>
      <c r="O1148" s="4"/>
      <c r="P1148" s="4"/>
      <c r="Q1148" s="4"/>
      <c r="R1148" s="5"/>
      <c r="S1148" s="13"/>
      <c r="T1148" s="5"/>
    </row>
    <row r="1149" spans="1:20" s="3" customFormat="1" x14ac:dyDescent="0.25">
      <c r="A1149" s="359" t="s">
        <v>419</v>
      </c>
      <c r="B1149" s="2"/>
      <c r="C1149" s="13"/>
      <c r="D1149" s="2"/>
      <c r="E1149" s="2"/>
      <c r="F1149" s="16"/>
      <c r="G1149" s="4"/>
      <c r="H1149" s="4"/>
      <c r="I1149" s="4"/>
      <c r="J1149" s="4"/>
      <c r="K1149" s="4"/>
      <c r="L1149" s="4"/>
      <c r="M1149" s="4"/>
      <c r="N1149" s="4"/>
      <c r="O1149" s="4"/>
      <c r="P1149" s="4"/>
      <c r="Q1149" s="4"/>
      <c r="R1149" s="5"/>
      <c r="S1149" s="13"/>
      <c r="T1149" s="5"/>
    </row>
    <row r="1150" spans="1:20" s="3" customFormat="1" x14ac:dyDescent="0.25">
      <c r="A1150" s="21" t="s">
        <v>450</v>
      </c>
      <c r="B1150" t="s">
        <v>305</v>
      </c>
      <c r="C1150" s="13"/>
      <c r="D1150" s="2" t="s">
        <v>478</v>
      </c>
      <c r="E1150" s="2" t="s">
        <v>34</v>
      </c>
      <c r="F1150" s="26" t="str">
        <f>A1149</f>
        <v>Water</v>
      </c>
      <c r="G1150" s="55"/>
      <c r="H1150" s="55"/>
      <c r="I1150" s="55"/>
      <c r="J1150" s="55"/>
      <c r="K1150" s="55"/>
      <c r="L1150" s="55"/>
      <c r="M1150" s="55"/>
      <c r="N1150" s="55"/>
      <c r="O1150" s="55"/>
      <c r="P1150" s="55"/>
      <c r="Q1150" s="55"/>
      <c r="R1150" s="5"/>
      <c r="S1150" s="13"/>
      <c r="T1150" s="5"/>
    </row>
    <row r="1151" spans="1:20" s="3" customFormat="1" x14ac:dyDescent="0.25">
      <c r="A1151" s="21"/>
      <c r="B1151" s="67" t="s">
        <v>481</v>
      </c>
      <c r="C1151" s="25"/>
      <c r="D1151" s="67"/>
      <c r="E1151" s="67"/>
      <c r="F1151" s="202" t="s">
        <v>112</v>
      </c>
      <c r="G1151" s="17"/>
      <c r="H1151" s="17"/>
      <c r="I1151" s="17"/>
      <c r="J1151" s="17"/>
      <c r="K1151" s="17"/>
      <c r="L1151" s="17"/>
      <c r="M1151" s="17"/>
      <c r="N1151" s="17"/>
      <c r="O1151" s="17"/>
      <c r="P1151" s="17"/>
      <c r="Q1151" s="17"/>
      <c r="R1151" s="5"/>
      <c r="S1151" s="25"/>
      <c r="T1151" s="5"/>
    </row>
    <row r="1152" spans="1:20" s="3" customFormat="1" x14ac:dyDescent="0.25">
      <c r="A1152" s="21" t="s">
        <v>450</v>
      </c>
      <c r="B1152" s="2" t="s">
        <v>47</v>
      </c>
      <c r="C1152" s="13"/>
      <c r="D1152" s="2"/>
      <c r="E1152" s="2"/>
      <c r="F1152" s="16" t="s">
        <v>456</v>
      </c>
      <c r="G1152" s="132"/>
      <c r="H1152" s="132"/>
      <c r="I1152" s="132"/>
      <c r="J1152" s="132"/>
      <c r="K1152" s="132"/>
      <c r="L1152" s="132"/>
      <c r="M1152" s="132"/>
      <c r="N1152" s="132"/>
      <c r="O1152" s="132"/>
      <c r="P1152" s="132"/>
      <c r="Q1152" s="132"/>
      <c r="R1152" s="5"/>
      <c r="S1152" s="13"/>
      <c r="T1152" s="5"/>
    </row>
    <row r="1153" spans="1:20" s="3" customFormat="1" x14ac:dyDescent="0.25">
      <c r="A1153" s="21" t="s">
        <v>450</v>
      </c>
      <c r="B1153" s="2"/>
      <c r="C1153" s="13"/>
      <c r="D1153" s="2"/>
      <c r="E1153" s="2"/>
      <c r="F1153" s="16"/>
      <c r="G1153" s="4"/>
      <c r="H1153" s="4"/>
      <c r="I1153" s="4"/>
      <c r="J1153" s="4"/>
      <c r="K1153" s="4"/>
      <c r="L1153" s="4"/>
      <c r="M1153" s="4"/>
      <c r="N1153" s="4"/>
      <c r="O1153" s="4"/>
      <c r="P1153" s="4"/>
      <c r="Q1153" s="4"/>
      <c r="R1153" s="5"/>
      <c r="S1153" s="13"/>
      <c r="T1153" s="5"/>
    </row>
    <row r="1154" spans="1:20" s="3" customFormat="1" x14ac:dyDescent="0.25">
      <c r="A1154" s="21" t="s">
        <v>450</v>
      </c>
      <c r="B1154" s="2"/>
      <c r="C1154" s="13"/>
      <c r="D1154" s="2"/>
      <c r="E1154" s="2"/>
      <c r="F1154" s="16"/>
      <c r="G1154" s="4"/>
      <c r="H1154" s="4"/>
      <c r="I1154" s="4"/>
      <c r="J1154" s="4"/>
      <c r="K1154" s="4"/>
      <c r="L1154" s="4"/>
      <c r="M1154" s="4"/>
      <c r="N1154" s="4"/>
      <c r="O1154" s="4"/>
      <c r="P1154" s="4"/>
      <c r="Q1154" s="4"/>
      <c r="R1154" s="5"/>
      <c r="S1154" s="13"/>
      <c r="T1154" s="5"/>
    </row>
    <row r="1155" spans="1:20" s="3" customFormat="1" x14ac:dyDescent="0.25">
      <c r="A1155" s="21" t="s">
        <v>450</v>
      </c>
      <c r="B1155" s="2"/>
      <c r="C1155" s="13"/>
      <c r="D1155" s="2"/>
      <c r="E1155" s="2"/>
      <c r="F1155" s="16"/>
      <c r="G1155" s="4"/>
      <c r="H1155" s="4"/>
      <c r="I1155" s="4"/>
      <c r="J1155" s="4"/>
      <c r="K1155" s="4"/>
      <c r="L1155" s="4"/>
      <c r="M1155" s="4"/>
      <c r="N1155" s="4"/>
      <c r="O1155" s="4"/>
      <c r="P1155" s="4"/>
      <c r="Q1155" s="4"/>
      <c r="R1155" s="5"/>
      <c r="S1155" s="13"/>
      <c r="T1155" s="5"/>
    </row>
    <row r="1156" spans="1:20" s="3" customFormat="1" x14ac:dyDescent="0.25">
      <c r="A1156" s="21" t="s">
        <v>450</v>
      </c>
      <c r="B1156" s="2"/>
      <c r="C1156" s="13"/>
      <c r="D1156" s="2"/>
      <c r="E1156" s="2"/>
      <c r="F1156" s="16"/>
      <c r="G1156" s="4"/>
      <c r="H1156" s="4"/>
      <c r="I1156" s="4"/>
      <c r="J1156" s="4"/>
      <c r="K1156" s="4"/>
      <c r="L1156" s="4"/>
      <c r="M1156" s="4"/>
      <c r="N1156" s="4"/>
      <c r="O1156" s="4"/>
      <c r="P1156" s="4"/>
      <c r="Q1156" s="4"/>
      <c r="R1156" s="5"/>
      <c r="S1156" s="13"/>
      <c r="T1156" s="5"/>
    </row>
    <row r="1157" spans="1:20" s="3" customFormat="1" x14ac:dyDescent="0.25">
      <c r="A1157" s="21" t="s">
        <v>450</v>
      </c>
      <c r="B1157" s="2"/>
      <c r="C1157" s="13"/>
      <c r="D1157" s="2"/>
      <c r="E1157" s="2"/>
      <c r="F1157" s="16"/>
      <c r="G1157" s="4"/>
      <c r="H1157" s="4"/>
      <c r="I1157" s="4"/>
      <c r="J1157" s="4"/>
      <c r="K1157" s="4"/>
      <c r="L1157" s="4"/>
      <c r="M1157" s="4"/>
      <c r="N1157" s="4"/>
      <c r="O1157" s="4"/>
      <c r="P1157" s="4"/>
      <c r="Q1157" s="4"/>
      <c r="R1157" s="5"/>
      <c r="S1157" s="13"/>
      <c r="T1157" s="5"/>
    </row>
    <row r="1158" spans="1:20" s="3" customFormat="1" x14ac:dyDescent="0.25">
      <c r="A1158" s="21" t="s">
        <v>450</v>
      </c>
      <c r="B1158" s="2"/>
      <c r="C1158" s="13"/>
      <c r="D1158" s="2"/>
      <c r="E1158" s="2"/>
      <c r="F1158" s="16"/>
      <c r="G1158" s="4"/>
      <c r="H1158" s="4"/>
      <c r="I1158" s="4"/>
      <c r="J1158" s="4"/>
      <c r="K1158" s="4"/>
      <c r="L1158" s="4"/>
      <c r="M1158" s="4"/>
      <c r="N1158" s="4"/>
      <c r="O1158" s="4"/>
      <c r="P1158" s="4"/>
      <c r="Q1158" s="4"/>
      <c r="R1158" s="5"/>
      <c r="S1158" s="13"/>
      <c r="T1158" s="5"/>
    </row>
    <row r="1159" spans="1:20" s="3" customFormat="1" x14ac:dyDescent="0.25">
      <c r="A1159" s="21" t="s">
        <v>450</v>
      </c>
      <c r="B1159" s="2"/>
      <c r="C1159" s="13"/>
      <c r="D1159" s="2"/>
      <c r="E1159" s="2"/>
      <c r="F1159" s="16"/>
      <c r="G1159" s="4"/>
      <c r="H1159" s="4"/>
      <c r="I1159" s="4"/>
      <c r="J1159" s="4"/>
      <c r="K1159" s="4"/>
      <c r="L1159" s="4"/>
      <c r="M1159" s="4"/>
      <c r="N1159" s="4"/>
      <c r="O1159" s="4"/>
      <c r="P1159" s="4"/>
      <c r="Q1159" s="4"/>
      <c r="R1159" s="5"/>
      <c r="S1159" s="13"/>
      <c r="T1159" s="5"/>
    </row>
    <row r="1160" spans="1:20" s="3" customFormat="1" x14ac:dyDescent="0.25">
      <c r="A1160" s="21" t="s">
        <v>450</v>
      </c>
      <c r="B1160" s="2"/>
      <c r="C1160" s="13"/>
      <c r="D1160" s="2"/>
      <c r="E1160" s="2"/>
      <c r="F1160" s="16"/>
      <c r="G1160" s="4"/>
      <c r="H1160" s="4"/>
      <c r="I1160" s="4"/>
      <c r="J1160" s="4"/>
      <c r="K1160" s="4"/>
      <c r="L1160" s="4"/>
      <c r="M1160" s="4"/>
      <c r="N1160" s="4"/>
      <c r="O1160" s="4"/>
      <c r="P1160" s="4"/>
      <c r="Q1160" s="4"/>
      <c r="R1160" s="5"/>
      <c r="S1160" s="13"/>
      <c r="T1160" s="5"/>
    </row>
    <row r="1161" spans="1:20" s="3" customFormat="1" x14ac:dyDescent="0.25">
      <c r="A1161" s="21" t="s">
        <v>450</v>
      </c>
      <c r="B1161" s="2"/>
      <c r="C1161" s="13"/>
      <c r="D1161" s="2"/>
      <c r="E1161" s="2"/>
      <c r="F1161" s="16"/>
      <c r="G1161" s="4"/>
      <c r="H1161" s="4"/>
      <c r="I1161" s="4"/>
      <c r="J1161" s="4"/>
      <c r="K1161" s="4"/>
      <c r="L1161" s="4"/>
      <c r="M1161" s="4"/>
      <c r="N1161" s="4"/>
      <c r="O1161" s="4"/>
      <c r="P1161" s="4"/>
      <c r="Q1161" s="4"/>
      <c r="R1161" s="5"/>
      <c r="S1161" s="13"/>
      <c r="T1161" s="5"/>
    </row>
    <row r="1162" spans="1:20" s="3" customFormat="1" x14ac:dyDescent="0.25">
      <c r="A1162" s="21" t="s">
        <v>450</v>
      </c>
      <c r="B1162" s="2"/>
      <c r="C1162" s="13"/>
      <c r="D1162" s="2"/>
      <c r="E1162" s="2"/>
      <c r="F1162" s="16"/>
      <c r="G1162" s="4"/>
      <c r="H1162" s="4"/>
      <c r="I1162" s="4"/>
      <c r="J1162" s="4"/>
      <c r="K1162" s="4"/>
      <c r="L1162" s="4"/>
      <c r="M1162" s="4"/>
      <c r="N1162" s="4"/>
      <c r="O1162" s="4"/>
      <c r="P1162" s="4"/>
      <c r="Q1162" s="4"/>
      <c r="R1162" s="5"/>
      <c r="S1162" s="13"/>
      <c r="T1162" s="5"/>
    </row>
    <row r="1163" spans="1:20" s="3" customFormat="1" x14ac:dyDescent="0.25">
      <c r="A1163" s="21" t="s">
        <v>450</v>
      </c>
      <c r="B1163" s="2"/>
      <c r="C1163" s="13"/>
      <c r="D1163" s="2"/>
      <c r="E1163" s="2"/>
      <c r="F1163" s="16"/>
      <c r="G1163" s="4"/>
      <c r="H1163" s="4"/>
      <c r="I1163" s="4"/>
      <c r="J1163" s="4"/>
      <c r="K1163" s="4"/>
      <c r="L1163" s="4"/>
      <c r="M1163" s="4"/>
      <c r="N1163" s="4"/>
      <c r="O1163" s="4"/>
      <c r="P1163" s="4"/>
      <c r="Q1163" s="4"/>
      <c r="R1163" s="5"/>
      <c r="S1163" s="13"/>
      <c r="T1163" s="5"/>
    </row>
    <row r="1164" spans="1:20" s="3" customFormat="1" x14ac:dyDescent="0.25">
      <c r="A1164" s="21" t="s">
        <v>450</v>
      </c>
      <c r="B1164" s="2"/>
      <c r="C1164" s="13"/>
      <c r="D1164" s="2"/>
      <c r="E1164" s="2"/>
      <c r="F1164" s="16"/>
      <c r="G1164" s="4"/>
      <c r="H1164" s="4"/>
      <c r="I1164" s="4"/>
      <c r="J1164" s="4"/>
      <c r="K1164" s="4"/>
      <c r="L1164" s="4"/>
      <c r="M1164" s="4"/>
      <c r="N1164" s="4"/>
      <c r="O1164" s="4"/>
      <c r="P1164" s="4"/>
      <c r="Q1164" s="4"/>
      <c r="R1164" s="5"/>
      <c r="S1164" s="13"/>
      <c r="T1164" s="5"/>
    </row>
    <row r="1165" spans="1:20" s="3" customFormat="1" x14ac:dyDescent="0.25">
      <c r="A1165" s="21" t="s">
        <v>450</v>
      </c>
      <c r="B1165" s="2"/>
      <c r="C1165" s="13"/>
      <c r="D1165" s="2"/>
      <c r="E1165" s="2"/>
      <c r="F1165" s="16"/>
      <c r="G1165" s="4"/>
      <c r="H1165" s="4"/>
      <c r="I1165" s="4"/>
      <c r="J1165" s="4"/>
      <c r="K1165" s="4"/>
      <c r="L1165" s="4"/>
      <c r="M1165" s="4"/>
      <c r="N1165" s="4"/>
      <c r="O1165" s="4"/>
      <c r="P1165" s="4"/>
      <c r="Q1165" s="4"/>
      <c r="R1165" s="5"/>
      <c r="S1165" s="13"/>
      <c r="T1165" s="5"/>
    </row>
    <row r="1166" spans="1:20" s="3" customFormat="1" x14ac:dyDescent="0.25">
      <c r="A1166" s="21" t="s">
        <v>450</v>
      </c>
      <c r="B1166" s="2"/>
      <c r="C1166" s="13"/>
      <c r="D1166" s="2"/>
      <c r="E1166" s="2"/>
      <c r="F1166" s="16"/>
      <c r="G1166" s="4"/>
      <c r="H1166" s="4"/>
      <c r="I1166" s="4"/>
      <c r="J1166" s="4"/>
      <c r="K1166" s="4"/>
      <c r="L1166" s="4"/>
      <c r="M1166" s="4"/>
      <c r="N1166" s="4"/>
      <c r="O1166" s="4"/>
      <c r="P1166" s="4"/>
      <c r="Q1166" s="4"/>
      <c r="R1166" s="5"/>
      <c r="S1166" s="13"/>
      <c r="T1166" s="5"/>
    </row>
    <row r="1167" spans="1:20" s="3" customFormat="1" x14ac:dyDescent="0.25">
      <c r="A1167" s="21" t="s">
        <v>450</v>
      </c>
      <c r="B1167" s="2"/>
      <c r="C1167" s="13"/>
      <c r="D1167" s="2"/>
      <c r="E1167" s="2"/>
      <c r="F1167" s="16"/>
      <c r="G1167" s="4"/>
      <c r="H1167" s="4"/>
      <c r="I1167" s="4"/>
      <c r="J1167" s="4"/>
      <c r="K1167" s="4"/>
      <c r="L1167" s="4"/>
      <c r="M1167" s="4"/>
      <c r="N1167" s="4"/>
      <c r="O1167" s="4"/>
      <c r="P1167" s="4"/>
      <c r="Q1167" s="4"/>
      <c r="R1167" s="5"/>
      <c r="S1167" s="13"/>
      <c r="T1167" s="5"/>
    </row>
    <row r="1168" spans="1:20" s="3" customFormat="1" x14ac:dyDescent="0.25">
      <c r="A1168" s="21" t="s">
        <v>450</v>
      </c>
      <c r="B1168" s="2"/>
      <c r="C1168" s="13"/>
      <c r="D1168" s="2"/>
      <c r="E1168" s="2"/>
      <c r="F1168" s="16"/>
      <c r="G1168" s="4"/>
      <c r="H1168" s="4"/>
      <c r="I1168" s="4"/>
      <c r="J1168" s="4"/>
      <c r="K1168" s="4"/>
      <c r="L1168" s="4"/>
      <c r="M1168" s="4"/>
      <c r="N1168" s="4"/>
      <c r="O1168" s="4"/>
      <c r="P1168" s="4"/>
      <c r="Q1168" s="4"/>
      <c r="R1168" s="5"/>
      <c r="S1168" s="13"/>
      <c r="T1168" s="5"/>
    </row>
    <row r="1169" spans="1:20" s="3" customFormat="1" x14ac:dyDescent="0.25">
      <c r="A1169" s="21" t="s">
        <v>450</v>
      </c>
      <c r="B1169" s="2"/>
      <c r="C1169" s="13"/>
      <c r="D1169" s="2"/>
      <c r="E1169" s="2"/>
      <c r="F1169" s="16"/>
      <c r="G1169" s="4"/>
      <c r="H1169" s="4"/>
      <c r="I1169" s="4"/>
      <c r="J1169" s="4"/>
      <c r="K1169" s="4"/>
      <c r="L1169" s="4"/>
      <c r="M1169" s="4"/>
      <c r="N1169" s="4"/>
      <c r="O1169" s="4"/>
      <c r="P1169" s="4"/>
      <c r="Q1169" s="4"/>
      <c r="R1169" s="5"/>
      <c r="S1169" s="13"/>
      <c r="T1169" s="5"/>
    </row>
    <row r="1170" spans="1:20" s="3" customFormat="1" x14ac:dyDescent="0.25">
      <c r="A1170" s="21" t="s">
        <v>450</v>
      </c>
      <c r="B1170" s="2"/>
      <c r="C1170" s="13"/>
      <c r="D1170" s="2"/>
      <c r="E1170" s="2"/>
      <c r="F1170" s="16"/>
      <c r="G1170" s="4"/>
      <c r="H1170" s="4"/>
      <c r="I1170" s="4"/>
      <c r="J1170" s="4"/>
      <c r="K1170" s="4"/>
      <c r="L1170" s="4"/>
      <c r="M1170" s="4"/>
      <c r="N1170" s="4"/>
      <c r="O1170" s="4"/>
      <c r="P1170" s="4"/>
      <c r="Q1170" s="4"/>
      <c r="R1170" s="5"/>
      <c r="S1170" s="13"/>
      <c r="T1170" s="5"/>
    </row>
    <row r="1171" spans="1:20" s="3" customFormat="1" x14ac:dyDescent="0.25">
      <c r="A1171" s="21" t="s">
        <v>450</v>
      </c>
      <c r="B1171" s="2"/>
      <c r="C1171" s="13"/>
      <c r="D1171" s="2"/>
      <c r="E1171" s="2"/>
      <c r="F1171" s="16"/>
      <c r="G1171" s="4"/>
      <c r="H1171" s="4"/>
      <c r="I1171" s="4"/>
      <c r="J1171" s="4"/>
      <c r="K1171" s="4"/>
      <c r="L1171" s="4"/>
      <c r="M1171" s="4"/>
      <c r="N1171" s="4"/>
      <c r="O1171" s="4"/>
      <c r="P1171" s="4"/>
      <c r="Q1171" s="4"/>
      <c r="R1171" s="5"/>
      <c r="S1171" s="13"/>
      <c r="T1171" s="5"/>
    </row>
    <row r="1172" spans="1:20" s="3" customFormat="1" x14ac:dyDescent="0.25">
      <c r="A1172" s="21" t="s">
        <v>450</v>
      </c>
      <c r="B1172" s="2"/>
      <c r="C1172" s="13"/>
      <c r="D1172" s="2"/>
      <c r="E1172" s="2"/>
      <c r="F1172" s="16"/>
      <c r="G1172" s="4"/>
      <c r="H1172" s="4"/>
      <c r="I1172" s="4"/>
      <c r="J1172" s="4"/>
      <c r="K1172" s="4"/>
      <c r="L1172" s="4"/>
      <c r="M1172" s="4"/>
      <c r="N1172" s="4"/>
      <c r="O1172" s="4"/>
      <c r="P1172" s="4"/>
      <c r="Q1172" s="4"/>
      <c r="R1172" s="5"/>
      <c r="S1172" s="13"/>
      <c r="T1172" s="5"/>
    </row>
    <row r="1173" spans="1:20" s="3" customFormat="1" x14ac:dyDescent="0.25">
      <c r="A1173" s="21" t="s">
        <v>450</v>
      </c>
      <c r="B1173" s="2"/>
      <c r="C1173" s="13"/>
      <c r="D1173" s="2"/>
      <c r="E1173" s="2"/>
      <c r="F1173" s="16"/>
      <c r="G1173" s="4"/>
      <c r="H1173" s="4"/>
      <c r="I1173" s="4"/>
      <c r="J1173" s="4"/>
      <c r="K1173" s="4"/>
      <c r="L1173" s="4"/>
      <c r="M1173" s="4"/>
      <c r="N1173" s="4"/>
      <c r="O1173" s="4"/>
      <c r="P1173" s="4"/>
      <c r="Q1173" s="4"/>
      <c r="R1173" s="5"/>
      <c r="S1173" s="13"/>
      <c r="T1173" s="5"/>
    </row>
    <row r="1174" spans="1:20" x14ac:dyDescent="0.25">
      <c r="A1174" s="21" t="s">
        <v>450</v>
      </c>
      <c r="C1174" s="13"/>
      <c r="F1174" s="16"/>
      <c r="G1174" s="18"/>
      <c r="H1174" s="18"/>
      <c r="I1174" s="18"/>
      <c r="J1174" s="18"/>
      <c r="K1174" s="18"/>
      <c r="L1174" s="18"/>
      <c r="M1174" s="18"/>
      <c r="N1174" s="18"/>
      <c r="O1174" s="18"/>
      <c r="P1174" s="18"/>
      <c r="Q1174" s="18"/>
      <c r="R1174" s="5"/>
      <c r="S1174" s="13"/>
      <c r="T1174" s="5"/>
    </row>
  </sheetData>
  <autoFilter ref="A2:Q1174" xr:uid="{F15D2B19-AC18-462B-AA3D-79CC91612AA2}"/>
  <conditionalFormatting sqref="A3:Z100000">
    <cfRule type="expression" dxfId="3" priority="1" stopIfTrue="1">
      <formula>$A3&lt;&gt;""</formula>
    </cfRule>
  </conditionalFormatting>
  <conditionalFormatting sqref="B3:Z100000">
    <cfRule type="expression" dxfId="2" priority="2" stopIfTrue="1">
      <formula>$B3="Technology"</formula>
    </cfRule>
    <cfRule type="expression" dxfId="1" priority="3" stopIfTrue="1">
      <formula>$B3="Service"</formula>
    </cfRule>
  </conditionalFormatting>
  <conditionalFormatting sqref="C3:C100000">
    <cfRule type="expression" dxfId="0" priority="4" stopIfTrue="1">
      <formula>AND(C3="",$G3&lt;&gt;"")</formula>
    </cfRule>
  </conditionalFormatting>
  <dataValidations disablePrompts="1" count="1">
    <dataValidation type="list" allowBlank="1" showInputMessage="1" showErrorMessage="1" sqref="F290 F70 F225 F416 F661 F854 F918 F1017 F1085 F728 F46 F827 F33 F17 F12 F847 F1121 F1142 F1147 F1152 F7" xr:uid="{50CCA800-BDAB-456E-B8F0-6485910F555D}">
      <formula1>Competition</formula1>
    </dataValidation>
  </dataValidations>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533110-9A09-455F-BCE5-7582A57454DD}">
  <sheetPr codeName="Sheet11">
    <tabColor rgb="FF0070C0"/>
    <outlinePr summaryBelow="0" summaryRight="0"/>
  </sheetPr>
  <dimension ref="A1:CG271"/>
  <sheetViews>
    <sheetView zoomScale="70" zoomScaleNormal="70" workbookViewId="0">
      <pane xSplit="1" ySplit="2" topLeftCell="E3" activePane="bottomRight" state="frozen"/>
      <selection pane="topRight" activeCell="B1" sqref="B1"/>
      <selection pane="bottomLeft" activeCell="A2" sqref="A2"/>
      <selection pane="bottomRight" activeCell="H5" sqref="H5"/>
    </sheetView>
    <sheetView zoomScale="70" zoomScaleNormal="70" workbookViewId="1"/>
  </sheetViews>
  <sheetFormatPr defaultRowHeight="15" outlineLevelRow="1" outlineLevelCol="1" x14ac:dyDescent="0.25"/>
  <cols>
    <col min="1" max="1" width="2.7109375" style="256" customWidth="1"/>
    <col min="2" max="2" width="24" style="293" customWidth="1" outlineLevel="1"/>
    <col min="3" max="3" width="20.5703125" style="254" customWidth="1" outlineLevel="1"/>
    <col min="4" max="4" width="16.85546875" style="254" customWidth="1" outlineLevel="1"/>
    <col min="5" max="5" width="2.7109375" style="256" customWidth="1"/>
    <col min="6" max="6" width="49.140625" style="257" customWidth="1"/>
    <col min="7" max="7" width="2.7109375" style="256" customWidth="1"/>
    <col min="8" max="8" width="44" style="257" bestFit="1" customWidth="1"/>
    <col min="9" max="9" width="49.140625" style="257" customWidth="1"/>
    <col min="10" max="10" width="10.28515625" style="257" bestFit="1" customWidth="1"/>
    <col min="11" max="11" width="27.7109375" style="257" bestFit="1" customWidth="1"/>
    <col min="12" max="12" width="82.7109375" style="258" customWidth="1"/>
    <col min="13" max="13" width="9.140625" style="301"/>
    <col min="14" max="23" width="9.140625" style="68"/>
    <col min="24" max="24" width="2.7109375" style="257" customWidth="1"/>
    <col min="25" max="16384" width="9.140625" style="68"/>
  </cols>
  <sheetData>
    <row r="1" spans="1:85" x14ac:dyDescent="0.25">
      <c r="N1" s="326" t="s">
        <v>428</v>
      </c>
    </row>
    <row r="2" spans="1:85" x14ac:dyDescent="0.25">
      <c r="A2" s="232"/>
      <c r="B2" s="289" t="s">
        <v>359</v>
      </c>
      <c r="C2" s="236" t="s">
        <v>365</v>
      </c>
      <c r="D2" s="236" t="s">
        <v>364</v>
      </c>
      <c r="E2" s="232"/>
      <c r="F2" s="233" t="s">
        <v>427</v>
      </c>
      <c r="G2" s="232"/>
      <c r="H2" s="233" t="s">
        <v>9</v>
      </c>
      <c r="I2" s="233" t="s">
        <v>77</v>
      </c>
      <c r="J2" s="233" t="s">
        <v>6</v>
      </c>
      <c r="K2" s="233" t="s">
        <v>16</v>
      </c>
      <c r="L2" s="234" t="s">
        <v>115</v>
      </c>
      <c r="M2" s="299">
        <v>2000</v>
      </c>
      <c r="N2" s="33">
        <v>2005</v>
      </c>
      <c r="O2" s="33">
        <v>2010</v>
      </c>
      <c r="P2" s="33">
        <v>2015</v>
      </c>
      <c r="Q2" s="33">
        <v>2020</v>
      </c>
      <c r="R2" s="33">
        <v>2025</v>
      </c>
      <c r="S2" s="33">
        <v>2030</v>
      </c>
      <c r="T2" s="33">
        <v>2035</v>
      </c>
      <c r="U2" s="33">
        <v>2040</v>
      </c>
      <c r="V2" s="33">
        <v>2045</v>
      </c>
      <c r="W2" s="33">
        <v>2050</v>
      </c>
      <c r="X2" s="235"/>
      <c r="Y2" s="33">
        <v>2000</v>
      </c>
      <c r="Z2" s="33">
        <v>2001</v>
      </c>
      <c r="AA2" s="33">
        <v>2002</v>
      </c>
      <c r="AB2" s="33">
        <v>2003</v>
      </c>
      <c r="AC2" s="33">
        <v>2004</v>
      </c>
      <c r="AD2" s="33">
        <v>2005</v>
      </c>
      <c r="AE2" s="33">
        <v>2006</v>
      </c>
      <c r="AF2" s="33">
        <v>2007</v>
      </c>
      <c r="AG2" s="33">
        <v>2008</v>
      </c>
      <c r="AH2" s="33">
        <v>2009</v>
      </c>
      <c r="AI2" s="33">
        <v>2010</v>
      </c>
      <c r="AJ2" s="33">
        <v>2011</v>
      </c>
      <c r="AK2" s="33">
        <v>2012</v>
      </c>
      <c r="AL2" s="33">
        <v>2013</v>
      </c>
      <c r="AM2" s="33">
        <v>2014</v>
      </c>
      <c r="AN2" s="33">
        <v>2015</v>
      </c>
      <c r="AO2" s="33">
        <v>2016</v>
      </c>
      <c r="AP2" s="33">
        <v>2017</v>
      </c>
      <c r="AQ2" s="33">
        <v>2018</v>
      </c>
      <c r="AR2" s="33">
        <v>2019</v>
      </c>
      <c r="AS2" s="33">
        <v>2020</v>
      </c>
      <c r="AT2" s="33">
        <v>2021</v>
      </c>
      <c r="AU2" s="33">
        <v>2022</v>
      </c>
      <c r="AV2" s="33">
        <v>2023</v>
      </c>
      <c r="AW2" s="33">
        <v>2024</v>
      </c>
      <c r="AX2" s="33">
        <v>2025</v>
      </c>
      <c r="AY2" s="33">
        <v>2026</v>
      </c>
      <c r="AZ2" s="33">
        <v>2027</v>
      </c>
      <c r="BA2" s="33">
        <v>2028</v>
      </c>
      <c r="BB2" s="33">
        <v>2029</v>
      </c>
      <c r="BC2" s="33">
        <v>2030</v>
      </c>
      <c r="BD2" s="33">
        <v>2031</v>
      </c>
      <c r="BE2" s="33">
        <v>2032</v>
      </c>
      <c r="BF2" s="33">
        <v>2033</v>
      </c>
      <c r="BG2" s="33">
        <v>2034</v>
      </c>
      <c r="BH2" s="33">
        <v>2035</v>
      </c>
      <c r="BI2" s="33">
        <v>2036</v>
      </c>
      <c r="BJ2" s="33">
        <v>2037</v>
      </c>
      <c r="BK2" s="33">
        <v>2038</v>
      </c>
      <c r="BL2" s="33">
        <v>2039</v>
      </c>
      <c r="BM2" s="33">
        <v>2040</v>
      </c>
      <c r="BN2" s="33">
        <v>2041</v>
      </c>
      <c r="BO2" s="33">
        <v>2042</v>
      </c>
      <c r="BP2" s="33">
        <v>2043</v>
      </c>
      <c r="BQ2" s="33">
        <v>2044</v>
      </c>
      <c r="BR2" s="33">
        <v>2045</v>
      </c>
      <c r="BS2" s="33">
        <v>2046</v>
      </c>
      <c r="BT2" s="33">
        <v>2047</v>
      </c>
      <c r="BU2" s="33">
        <v>2048</v>
      </c>
      <c r="BV2" s="33">
        <v>2049</v>
      </c>
      <c r="BW2" s="33">
        <v>2050</v>
      </c>
      <c r="BX2" s="33">
        <v>2051</v>
      </c>
      <c r="BY2" s="33">
        <v>2052</v>
      </c>
      <c r="BZ2" s="33">
        <v>2053</v>
      </c>
      <c r="CA2" s="33">
        <v>2054</v>
      </c>
      <c r="CB2" s="33">
        <v>2055</v>
      </c>
      <c r="CC2" s="33">
        <v>2056</v>
      </c>
      <c r="CD2" s="33">
        <v>2057</v>
      </c>
      <c r="CE2" s="33">
        <v>2058</v>
      </c>
      <c r="CF2" s="33">
        <v>2059</v>
      </c>
      <c r="CG2" s="33">
        <v>2060</v>
      </c>
    </row>
    <row r="3" spans="1:85" s="240" customFormat="1" x14ac:dyDescent="0.25">
      <c r="B3" s="290"/>
      <c r="C3" s="244"/>
      <c r="D3" s="244"/>
      <c r="F3" s="241"/>
      <c r="H3" s="241" t="s">
        <v>353</v>
      </c>
      <c r="I3" s="241"/>
      <c r="K3" s="241"/>
      <c r="L3" s="242"/>
      <c r="M3" s="300"/>
      <c r="X3" s="243"/>
    </row>
    <row r="4" spans="1:85" outlineLevel="1" x14ac:dyDescent="0.25">
      <c r="A4" s="245"/>
      <c r="B4" s="291" t="s">
        <v>362</v>
      </c>
      <c r="C4" s="259" t="s">
        <v>367</v>
      </c>
      <c r="D4" s="250">
        <v>2000</v>
      </c>
      <c r="E4" s="245"/>
      <c r="F4" s="246"/>
      <c r="G4" s="245"/>
      <c r="H4" s="246" t="s">
        <v>38</v>
      </c>
      <c r="I4" s="246"/>
      <c r="J4" s="246"/>
      <c r="K4" s="246" t="s">
        <v>40</v>
      </c>
      <c r="L4" s="247" t="s">
        <v>377</v>
      </c>
      <c r="X4" s="248"/>
    </row>
    <row r="5" spans="1:85" s="251" customFormat="1" ht="30" outlineLevel="1" x14ac:dyDescent="0.25">
      <c r="A5" s="245"/>
      <c r="B5" s="291" t="s">
        <v>362</v>
      </c>
      <c r="C5" s="259" t="s">
        <v>367</v>
      </c>
      <c r="D5" s="250">
        <v>2100</v>
      </c>
      <c r="E5" s="245"/>
      <c r="F5" s="246"/>
      <c r="G5" s="245"/>
      <c r="H5" s="246" t="s">
        <v>37</v>
      </c>
      <c r="I5" s="246"/>
      <c r="J5" s="246"/>
      <c r="K5" s="246" t="s">
        <v>40</v>
      </c>
      <c r="L5" s="247" t="s">
        <v>376</v>
      </c>
      <c r="M5" s="302"/>
      <c r="X5" s="248"/>
    </row>
    <row r="6" spans="1:85" s="251" customFormat="1" outlineLevel="1" x14ac:dyDescent="0.25">
      <c r="A6" s="245"/>
      <c r="B6" s="291" t="s">
        <v>362</v>
      </c>
      <c r="C6" s="259" t="s">
        <v>367</v>
      </c>
      <c r="D6" s="250">
        <v>10</v>
      </c>
      <c r="E6" s="245"/>
      <c r="F6" s="246"/>
      <c r="G6" s="245"/>
      <c r="H6" s="246" t="s">
        <v>39</v>
      </c>
      <c r="I6" s="246"/>
      <c r="J6" s="246"/>
      <c r="K6" s="246" t="s">
        <v>10</v>
      </c>
      <c r="L6" s="247"/>
      <c r="M6" s="302"/>
      <c r="X6" s="248"/>
    </row>
    <row r="7" spans="1:85" s="251" customFormat="1" outlineLevel="1" x14ac:dyDescent="0.25">
      <c r="A7" s="245"/>
      <c r="B7" s="292" t="s">
        <v>363</v>
      </c>
      <c r="C7" s="260" t="s">
        <v>368</v>
      </c>
      <c r="D7" s="252"/>
      <c r="E7" s="245"/>
      <c r="F7" s="246"/>
      <c r="G7" s="245"/>
      <c r="H7" s="246" t="s">
        <v>361</v>
      </c>
      <c r="I7" s="246"/>
      <c r="J7" s="246"/>
      <c r="K7" s="246" t="s">
        <v>10</v>
      </c>
      <c r="L7" s="247"/>
      <c r="M7" s="302"/>
      <c r="X7" s="248"/>
    </row>
    <row r="8" spans="1:85" s="251" customFormat="1" outlineLevel="1" x14ac:dyDescent="0.25">
      <c r="A8" s="245"/>
      <c r="B8" s="291" t="s">
        <v>362</v>
      </c>
      <c r="C8" s="259" t="s">
        <v>367</v>
      </c>
      <c r="D8" s="252">
        <v>0.1</v>
      </c>
      <c r="E8" s="245"/>
      <c r="F8" s="246"/>
      <c r="G8" s="245"/>
      <c r="H8" s="246" t="s">
        <v>309</v>
      </c>
      <c r="I8" s="246"/>
      <c r="J8" s="246"/>
      <c r="K8" s="246" t="s">
        <v>97</v>
      </c>
      <c r="L8" s="247"/>
      <c r="M8" s="302"/>
      <c r="X8" s="248"/>
    </row>
    <row r="9" spans="1:85" s="251" customFormat="1" outlineLevel="1" x14ac:dyDescent="0.25">
      <c r="A9" s="245"/>
      <c r="B9" s="291" t="s">
        <v>362</v>
      </c>
      <c r="C9" s="259" t="s">
        <v>367</v>
      </c>
      <c r="D9" s="252">
        <v>0.1</v>
      </c>
      <c r="E9" s="245"/>
      <c r="F9" s="246"/>
      <c r="G9" s="245"/>
      <c r="H9" s="246" t="s">
        <v>358</v>
      </c>
      <c r="I9" s="246"/>
      <c r="J9" s="246"/>
      <c r="K9" s="246" t="s">
        <v>97</v>
      </c>
      <c r="L9" s="247"/>
      <c r="M9" s="302"/>
      <c r="X9" s="248"/>
    </row>
    <row r="10" spans="1:85" s="251" customFormat="1" outlineLevel="1" x14ac:dyDescent="0.25">
      <c r="A10" s="245"/>
      <c r="B10" s="291" t="s">
        <v>362</v>
      </c>
      <c r="C10" s="259" t="s">
        <v>367</v>
      </c>
      <c r="D10" s="252">
        <v>0.1</v>
      </c>
      <c r="E10" s="245"/>
      <c r="F10" s="246"/>
      <c r="G10" s="245"/>
      <c r="H10" s="246" t="s">
        <v>357</v>
      </c>
      <c r="I10" s="246"/>
      <c r="J10" s="246"/>
      <c r="K10" s="246" t="s">
        <v>97</v>
      </c>
      <c r="L10" s="247"/>
      <c r="M10" s="302"/>
      <c r="X10" s="248"/>
    </row>
    <row r="11" spans="1:85" s="251" customFormat="1" outlineLevel="1" x14ac:dyDescent="0.25">
      <c r="A11" s="245"/>
      <c r="B11" s="291" t="s">
        <v>362</v>
      </c>
      <c r="C11" s="249" t="s">
        <v>366</v>
      </c>
      <c r="D11" s="250"/>
      <c r="E11" s="245"/>
      <c r="F11" s="246"/>
      <c r="G11" s="245"/>
      <c r="H11" s="246" t="s">
        <v>75</v>
      </c>
      <c r="I11" s="246"/>
      <c r="J11" s="246"/>
      <c r="K11" s="246" t="s">
        <v>97</v>
      </c>
      <c r="L11" s="247" t="s">
        <v>382</v>
      </c>
      <c r="M11" s="302"/>
      <c r="X11" s="248"/>
    </row>
    <row r="12" spans="1:85" s="251" customFormat="1" ht="30" outlineLevel="1" x14ac:dyDescent="0.25">
      <c r="A12" s="245"/>
      <c r="B12" s="291" t="s">
        <v>362</v>
      </c>
      <c r="C12" s="260" t="s">
        <v>368</v>
      </c>
      <c r="D12" s="253">
        <v>1</v>
      </c>
      <c r="E12" s="245"/>
      <c r="F12" s="68"/>
      <c r="G12" s="245"/>
      <c r="H12" s="68" t="s">
        <v>148</v>
      </c>
      <c r="I12" s="68"/>
      <c r="K12" s="68" t="s">
        <v>97</v>
      </c>
      <c r="L12" s="69" t="s">
        <v>372</v>
      </c>
      <c r="M12" s="302"/>
      <c r="X12" s="248"/>
    </row>
    <row r="13" spans="1:85" s="251" customFormat="1" ht="45" outlineLevel="1" x14ac:dyDescent="0.25">
      <c r="A13" s="245"/>
      <c r="B13" s="291" t="s">
        <v>362</v>
      </c>
      <c r="C13" s="260" t="s">
        <v>368</v>
      </c>
      <c r="D13" s="253">
        <v>0</v>
      </c>
      <c r="E13" s="245"/>
      <c r="F13" s="68"/>
      <c r="G13" s="245"/>
      <c r="H13" s="68" t="s">
        <v>149</v>
      </c>
      <c r="I13" s="68"/>
      <c r="K13" s="68" t="s">
        <v>97</v>
      </c>
      <c r="L13" s="69" t="s">
        <v>373</v>
      </c>
      <c r="M13" s="302"/>
      <c r="X13" s="248"/>
    </row>
    <row r="14" spans="1:85" s="251" customFormat="1" ht="30" outlineLevel="1" x14ac:dyDescent="0.25">
      <c r="A14" s="245"/>
      <c r="B14" s="291" t="s">
        <v>362</v>
      </c>
      <c r="C14" s="260" t="s">
        <v>368</v>
      </c>
      <c r="D14" s="253">
        <v>1</v>
      </c>
      <c r="E14" s="245"/>
      <c r="F14" s="68"/>
      <c r="G14" s="245"/>
      <c r="H14" s="68" t="s">
        <v>370</v>
      </c>
      <c r="I14" s="68"/>
      <c r="K14" s="68" t="s">
        <v>97</v>
      </c>
      <c r="L14" s="69" t="s">
        <v>374</v>
      </c>
      <c r="M14" s="302"/>
      <c r="X14" s="248"/>
    </row>
    <row r="15" spans="1:85" s="251" customFormat="1" ht="30" outlineLevel="1" x14ac:dyDescent="0.25">
      <c r="A15" s="245"/>
      <c r="B15" s="291" t="s">
        <v>362</v>
      </c>
      <c r="C15" s="260" t="s">
        <v>368</v>
      </c>
      <c r="D15" s="253">
        <v>0</v>
      </c>
      <c r="E15" s="245"/>
      <c r="F15" s="68"/>
      <c r="G15" s="245"/>
      <c r="H15" s="68" t="s">
        <v>371</v>
      </c>
      <c r="I15" s="68"/>
      <c r="K15" s="68" t="s">
        <v>97</v>
      </c>
      <c r="L15" s="69" t="s">
        <v>375</v>
      </c>
      <c r="M15" s="302"/>
      <c r="X15" s="248"/>
    </row>
    <row r="16" spans="1:85" s="251" customFormat="1" outlineLevel="1" x14ac:dyDescent="0.25">
      <c r="A16" s="245"/>
      <c r="B16" s="292" t="s">
        <v>363</v>
      </c>
      <c r="C16" s="259" t="s">
        <v>367</v>
      </c>
      <c r="D16" s="250">
        <v>1</v>
      </c>
      <c r="E16" s="245"/>
      <c r="F16" s="246"/>
      <c r="G16" s="245"/>
      <c r="H16" s="246" t="s">
        <v>338</v>
      </c>
      <c r="I16" s="246"/>
      <c r="J16" s="246"/>
      <c r="K16" s="246" t="s">
        <v>356</v>
      </c>
      <c r="L16" s="247" t="s">
        <v>381</v>
      </c>
      <c r="M16" s="302"/>
      <c r="X16" s="248"/>
    </row>
    <row r="17" spans="1:24" s="251" customFormat="1" ht="30" outlineLevel="1" x14ac:dyDescent="0.25">
      <c r="A17" s="245"/>
      <c r="B17" s="292" t="s">
        <v>363</v>
      </c>
      <c r="C17" s="259" t="s">
        <v>367</v>
      </c>
      <c r="D17" s="253">
        <v>0</v>
      </c>
      <c r="E17" s="245"/>
      <c r="F17" s="246"/>
      <c r="G17" s="245"/>
      <c r="H17" s="246" t="s">
        <v>152</v>
      </c>
      <c r="I17" s="246"/>
      <c r="J17" s="246"/>
      <c r="K17" s="246" t="s">
        <v>321</v>
      </c>
      <c r="L17" s="247" t="s">
        <v>380</v>
      </c>
      <c r="M17" s="302"/>
      <c r="X17" s="248"/>
    </row>
    <row r="18" spans="1:24" s="251" customFormat="1" ht="75" outlineLevel="1" x14ac:dyDescent="0.25">
      <c r="A18" s="245"/>
      <c r="B18" s="292" t="s">
        <v>363</v>
      </c>
      <c r="C18" s="259" t="s">
        <v>367</v>
      </c>
      <c r="D18" s="253">
        <v>0</v>
      </c>
      <c r="E18" s="245"/>
      <c r="F18" s="246"/>
      <c r="G18" s="245"/>
      <c r="H18" s="246" t="s">
        <v>383</v>
      </c>
      <c r="I18" s="246"/>
      <c r="J18" s="246"/>
      <c r="K18" s="246" t="s">
        <v>97</v>
      </c>
      <c r="L18" s="247" t="s">
        <v>401</v>
      </c>
      <c r="M18" s="302"/>
      <c r="X18" s="248"/>
    </row>
    <row r="19" spans="1:24" s="251" customFormat="1" outlineLevel="1" x14ac:dyDescent="0.25">
      <c r="A19" s="245"/>
      <c r="B19" s="292" t="s">
        <v>363</v>
      </c>
      <c r="C19" s="259" t="s">
        <v>367</v>
      </c>
      <c r="D19" s="253">
        <v>0</v>
      </c>
      <c r="E19" s="245"/>
      <c r="F19" s="246"/>
      <c r="G19" s="245"/>
      <c r="H19" s="246" t="s">
        <v>446</v>
      </c>
      <c r="I19" s="246"/>
      <c r="J19" s="246"/>
      <c r="K19" s="246" t="s">
        <v>356</v>
      </c>
      <c r="L19" s="247" t="s">
        <v>447</v>
      </c>
      <c r="M19" s="302"/>
      <c r="X19" s="248"/>
    </row>
    <row r="20" spans="1:24" s="251" customFormat="1" ht="30" outlineLevel="1" x14ac:dyDescent="0.25">
      <c r="A20" s="245"/>
      <c r="B20" s="292" t="s">
        <v>363</v>
      </c>
      <c r="C20" s="259" t="s">
        <v>367</v>
      </c>
      <c r="D20" s="253">
        <v>1</v>
      </c>
      <c r="E20" s="245"/>
      <c r="F20" s="246"/>
      <c r="G20" s="245"/>
      <c r="H20" s="246" t="s">
        <v>387</v>
      </c>
      <c r="I20" s="246"/>
      <c r="J20" s="246"/>
      <c r="K20" s="246"/>
      <c r="L20" s="247" t="s">
        <v>388</v>
      </c>
      <c r="M20" s="302"/>
      <c r="X20" s="248"/>
    </row>
    <row r="21" spans="1:24" s="251" customFormat="1" ht="30" outlineLevel="1" x14ac:dyDescent="0.25">
      <c r="A21" s="245"/>
      <c r="B21" s="292" t="s">
        <v>363</v>
      </c>
      <c r="C21" s="259" t="s">
        <v>367</v>
      </c>
      <c r="D21" s="253">
        <v>0</v>
      </c>
      <c r="E21" s="245"/>
      <c r="F21" s="246"/>
      <c r="G21" s="245"/>
      <c r="H21" s="246" t="s">
        <v>369</v>
      </c>
      <c r="I21" s="246"/>
      <c r="J21" s="246"/>
      <c r="K21" s="246" t="s">
        <v>97</v>
      </c>
      <c r="L21" s="247" t="s">
        <v>402</v>
      </c>
      <c r="M21" s="302"/>
      <c r="X21" s="248"/>
    </row>
    <row r="22" spans="1:24" s="251" customFormat="1" ht="30" outlineLevel="1" x14ac:dyDescent="0.25">
      <c r="A22" s="245"/>
      <c r="B22" s="292" t="s">
        <v>363</v>
      </c>
      <c r="C22" s="259" t="s">
        <v>367</v>
      </c>
      <c r="D22" s="253">
        <v>0</v>
      </c>
      <c r="E22" s="245"/>
      <c r="F22" s="246"/>
      <c r="G22" s="245"/>
      <c r="H22" s="246" t="s">
        <v>392</v>
      </c>
      <c r="I22" s="246"/>
      <c r="J22" s="246"/>
      <c r="K22" s="246" t="s">
        <v>321</v>
      </c>
      <c r="L22" s="247" t="s">
        <v>379</v>
      </c>
      <c r="M22" s="302"/>
      <c r="X22" s="248"/>
    </row>
    <row r="23" spans="1:24" s="251" customFormat="1" ht="30" outlineLevel="1" x14ac:dyDescent="0.25">
      <c r="A23" s="245"/>
      <c r="B23" s="292" t="s">
        <v>363</v>
      </c>
      <c r="C23" s="259" t="s">
        <v>367</v>
      </c>
      <c r="D23" s="253">
        <v>0</v>
      </c>
      <c r="E23" s="245"/>
      <c r="F23" s="246"/>
      <c r="G23" s="245"/>
      <c r="H23" s="246" t="s">
        <v>394</v>
      </c>
      <c r="I23" s="246"/>
      <c r="J23" s="246"/>
      <c r="K23" s="246" t="s">
        <v>321</v>
      </c>
      <c r="L23" s="247" t="s">
        <v>400</v>
      </c>
      <c r="M23" s="302"/>
      <c r="X23" s="248"/>
    </row>
    <row r="24" spans="1:24" s="251" customFormat="1" outlineLevel="1" x14ac:dyDescent="0.25">
      <c r="A24" s="245"/>
      <c r="B24" s="292" t="s">
        <v>363</v>
      </c>
      <c r="C24" s="259" t="s">
        <v>367</v>
      </c>
      <c r="D24" s="253">
        <v>0</v>
      </c>
      <c r="E24" s="245"/>
      <c r="F24" s="246"/>
      <c r="G24" s="245"/>
      <c r="H24" s="246" t="s">
        <v>395</v>
      </c>
      <c r="I24" s="246"/>
      <c r="J24" s="246"/>
      <c r="K24" s="246"/>
      <c r="L24" s="247"/>
      <c r="M24" s="302"/>
      <c r="X24" s="248"/>
    </row>
    <row r="25" spans="1:24" s="251" customFormat="1" outlineLevel="1" x14ac:dyDescent="0.25">
      <c r="A25" s="245"/>
      <c r="B25" s="292" t="s">
        <v>363</v>
      </c>
      <c r="C25" s="259" t="s">
        <v>367</v>
      </c>
      <c r="D25" s="253">
        <v>0</v>
      </c>
      <c r="E25" s="245"/>
      <c r="F25" s="246"/>
      <c r="G25" s="245"/>
      <c r="H25" s="246" t="s">
        <v>396</v>
      </c>
      <c r="I25" s="246"/>
      <c r="J25" s="246"/>
      <c r="K25" s="246"/>
      <c r="L25" s="247"/>
      <c r="M25" s="302"/>
      <c r="X25" s="248"/>
    </row>
    <row r="26" spans="1:24" s="251" customFormat="1" outlineLevel="1" x14ac:dyDescent="0.25">
      <c r="A26" s="245"/>
      <c r="B26" s="292" t="s">
        <v>363</v>
      </c>
      <c r="C26" s="259" t="s">
        <v>367</v>
      </c>
      <c r="D26" s="253">
        <v>0</v>
      </c>
      <c r="E26" s="245"/>
      <c r="F26" s="246"/>
      <c r="G26" s="245"/>
      <c r="H26" s="246" t="s">
        <v>393</v>
      </c>
      <c r="I26" s="246"/>
      <c r="J26" s="246"/>
      <c r="K26" s="246" t="s">
        <v>355</v>
      </c>
      <c r="L26" s="247" t="s">
        <v>438</v>
      </c>
      <c r="M26" s="302"/>
      <c r="X26" s="248"/>
    </row>
    <row r="27" spans="1:24" s="251" customFormat="1" ht="45" customHeight="1" outlineLevel="1" x14ac:dyDescent="0.25">
      <c r="A27" s="245"/>
      <c r="B27" s="292" t="s">
        <v>363</v>
      </c>
      <c r="C27" s="259" t="s">
        <v>367</v>
      </c>
      <c r="D27" s="253">
        <v>0</v>
      </c>
      <c r="E27" s="245"/>
      <c r="F27" s="246"/>
      <c r="G27" s="245"/>
      <c r="H27" s="246" t="s">
        <v>397</v>
      </c>
      <c r="I27" s="246"/>
      <c r="J27" s="246"/>
      <c r="K27" s="246" t="s">
        <v>355</v>
      </c>
      <c r="L27" s="247" t="s">
        <v>439</v>
      </c>
      <c r="M27" s="302"/>
      <c r="X27" s="248"/>
    </row>
    <row r="28" spans="1:24" s="251" customFormat="1" outlineLevel="1" x14ac:dyDescent="0.25">
      <c r="A28" s="245"/>
      <c r="B28" s="292" t="s">
        <v>363</v>
      </c>
      <c r="C28" s="259" t="s">
        <v>367</v>
      </c>
      <c r="D28" s="253">
        <v>0</v>
      </c>
      <c r="E28" s="245"/>
      <c r="F28" s="246"/>
      <c r="G28" s="245"/>
      <c r="H28" s="246" t="s">
        <v>398</v>
      </c>
      <c r="I28" s="246"/>
      <c r="J28" s="246"/>
      <c r="K28" s="246"/>
      <c r="L28" s="247"/>
      <c r="M28" s="302"/>
      <c r="X28" s="248"/>
    </row>
    <row r="29" spans="1:24" s="251" customFormat="1" outlineLevel="1" x14ac:dyDescent="0.25">
      <c r="A29" s="245"/>
      <c r="B29" s="292" t="s">
        <v>363</v>
      </c>
      <c r="C29" s="259" t="s">
        <v>367</v>
      </c>
      <c r="D29" s="253">
        <v>0</v>
      </c>
      <c r="E29" s="245"/>
      <c r="F29" s="246"/>
      <c r="G29" s="245"/>
      <c r="H29" s="246" t="s">
        <v>399</v>
      </c>
      <c r="I29" s="246"/>
      <c r="J29" s="246"/>
      <c r="K29" s="246"/>
      <c r="L29" s="247"/>
      <c r="M29" s="302"/>
      <c r="X29" s="248"/>
    </row>
    <row r="30" spans="1:24" s="251" customFormat="1" outlineLevel="1" x14ac:dyDescent="0.25">
      <c r="A30" s="245"/>
      <c r="B30" s="292" t="s">
        <v>363</v>
      </c>
      <c r="C30" s="259" t="s">
        <v>367</v>
      </c>
      <c r="D30" s="253">
        <v>0</v>
      </c>
      <c r="E30" s="245"/>
      <c r="F30" s="246"/>
      <c r="G30" s="245"/>
      <c r="H30" s="246" t="s">
        <v>310</v>
      </c>
      <c r="I30" s="246"/>
      <c r="J30" s="246"/>
      <c r="K30" s="246" t="s">
        <v>355</v>
      </c>
      <c r="L30" s="247" t="s">
        <v>437</v>
      </c>
      <c r="M30" s="302"/>
      <c r="X30" s="248"/>
    </row>
    <row r="31" spans="1:24" s="251" customFormat="1" ht="30" outlineLevel="1" x14ac:dyDescent="0.25">
      <c r="A31" s="245"/>
      <c r="B31" s="292" t="s">
        <v>363</v>
      </c>
      <c r="C31" s="260" t="s">
        <v>368</v>
      </c>
      <c r="D31" s="253">
        <v>0</v>
      </c>
      <c r="E31" s="245"/>
      <c r="F31" s="246"/>
      <c r="G31" s="245"/>
      <c r="H31" s="246" t="s">
        <v>360</v>
      </c>
      <c r="I31" s="246"/>
      <c r="J31" s="246"/>
      <c r="K31" s="246" t="s">
        <v>321</v>
      </c>
      <c r="L31" s="247" t="s">
        <v>378</v>
      </c>
      <c r="M31" s="302"/>
      <c r="X31" s="248"/>
    </row>
    <row r="32" spans="1:24" s="251" customFormat="1" outlineLevel="1" x14ac:dyDescent="0.25">
      <c r="A32" s="245"/>
      <c r="B32" s="292" t="s">
        <v>363</v>
      </c>
      <c r="C32" s="260" t="s">
        <v>368</v>
      </c>
      <c r="D32" s="250"/>
      <c r="E32" s="245"/>
      <c r="F32" s="246"/>
      <c r="G32" s="245"/>
      <c r="H32" s="246" t="s">
        <v>306</v>
      </c>
      <c r="I32" s="246"/>
      <c r="J32" s="246" t="s">
        <v>424</v>
      </c>
      <c r="K32" s="246" t="s">
        <v>354</v>
      </c>
      <c r="L32" s="246"/>
      <c r="M32" s="302"/>
      <c r="X32" s="248"/>
    </row>
    <row r="33" spans="1:24" s="251" customFormat="1" outlineLevel="1" x14ac:dyDescent="0.25">
      <c r="A33" s="245"/>
      <c r="B33" s="292" t="s">
        <v>363</v>
      </c>
      <c r="C33" s="260" t="s">
        <v>368</v>
      </c>
      <c r="D33" s="250"/>
      <c r="E33" s="245"/>
      <c r="F33" s="246"/>
      <c r="G33" s="245"/>
      <c r="H33" s="246" t="s">
        <v>306</v>
      </c>
      <c r="I33" s="246"/>
      <c r="J33" s="246" t="s">
        <v>425</v>
      </c>
      <c r="K33" s="246" t="s">
        <v>354</v>
      </c>
      <c r="L33" s="246"/>
      <c r="M33" s="302"/>
      <c r="X33" s="248"/>
    </row>
    <row r="34" spans="1:24" s="251" customFormat="1" outlineLevel="1" x14ac:dyDescent="0.25">
      <c r="A34" s="245"/>
      <c r="B34" s="292" t="s">
        <v>363</v>
      </c>
      <c r="C34" s="260" t="s">
        <v>368</v>
      </c>
      <c r="D34" s="250"/>
      <c r="E34" s="245"/>
      <c r="F34" s="246"/>
      <c r="G34" s="245"/>
      <c r="H34" s="246" t="s">
        <v>306</v>
      </c>
      <c r="I34" s="246"/>
      <c r="J34" s="246" t="s">
        <v>426</v>
      </c>
      <c r="K34" s="246" t="s">
        <v>354</v>
      </c>
      <c r="L34" s="246"/>
      <c r="M34" s="302"/>
      <c r="X34" s="248"/>
    </row>
    <row r="35" spans="1:24" s="251" customFormat="1" x14ac:dyDescent="0.25">
      <c r="A35" s="245"/>
      <c r="B35" s="293"/>
      <c r="C35" s="254"/>
      <c r="D35" s="254"/>
      <c r="E35" s="245"/>
      <c r="F35" s="246"/>
      <c r="G35" s="245"/>
      <c r="H35" s="246"/>
      <c r="I35" s="246"/>
      <c r="J35" s="246"/>
      <c r="K35" s="246"/>
      <c r="L35" s="247"/>
      <c r="M35" s="302"/>
      <c r="X35" s="248"/>
    </row>
    <row r="36" spans="1:24" s="315" customFormat="1" x14ac:dyDescent="0.25">
      <c r="A36" s="308"/>
      <c r="B36" s="309"/>
      <c r="C36" s="310"/>
      <c r="D36" s="310"/>
      <c r="E36" s="308"/>
      <c r="F36" s="311"/>
      <c r="G36" s="308"/>
      <c r="H36" s="312" t="s">
        <v>0</v>
      </c>
      <c r="I36" s="311"/>
      <c r="J36" s="311"/>
      <c r="K36" s="311"/>
      <c r="L36" s="313"/>
      <c r="M36" s="314"/>
      <c r="X36" s="316"/>
    </row>
    <row r="37" spans="1:24" s="324" customFormat="1" x14ac:dyDescent="0.25">
      <c r="A37" s="317"/>
      <c r="B37" s="318"/>
      <c r="C37" s="319"/>
      <c r="D37" s="319"/>
      <c r="E37" s="317"/>
      <c r="F37" s="320"/>
      <c r="G37" s="317"/>
      <c r="H37" s="321" t="s">
        <v>1</v>
      </c>
      <c r="I37" s="320"/>
      <c r="J37" s="320"/>
      <c r="K37" s="320"/>
      <c r="L37" s="322"/>
      <c r="M37" s="323"/>
      <c r="X37" s="325"/>
    </row>
    <row r="38" spans="1:24" s="305" customFormat="1" x14ac:dyDescent="0.25">
      <c r="A38" s="240"/>
      <c r="B38" s="304"/>
      <c r="C38" s="223"/>
      <c r="D38" s="223"/>
      <c r="E38" s="240"/>
      <c r="F38" s="220"/>
      <c r="G38" s="240"/>
      <c r="H38" s="303" t="s">
        <v>51</v>
      </c>
      <c r="I38" s="220"/>
      <c r="J38" s="219"/>
      <c r="K38" s="219"/>
      <c r="L38" s="223" t="s">
        <v>28</v>
      </c>
      <c r="M38" s="304"/>
      <c r="N38" s="223"/>
      <c r="O38" s="223"/>
      <c r="P38" s="223"/>
      <c r="Q38" s="223"/>
      <c r="R38" s="223"/>
      <c r="S38" s="223"/>
      <c r="T38" s="223"/>
      <c r="U38" s="223"/>
      <c r="V38" s="223"/>
      <c r="W38" s="223"/>
      <c r="X38" s="243"/>
    </row>
    <row r="39" spans="1:24" s="251" customFormat="1" outlineLevel="1" x14ac:dyDescent="0.25">
      <c r="A39" s="245"/>
      <c r="B39" s="294"/>
      <c r="C39" s="278"/>
      <c r="D39" s="278"/>
      <c r="E39" s="245"/>
      <c r="F39" s="246"/>
      <c r="G39" s="245"/>
      <c r="H39" s="246" t="s">
        <v>38</v>
      </c>
      <c r="I39" s="246"/>
      <c r="J39" s="246"/>
      <c r="K39" s="67" t="s">
        <v>40</v>
      </c>
      <c r="L39" s="288" t="s">
        <v>28</v>
      </c>
      <c r="M39" s="294">
        <v>1940</v>
      </c>
      <c r="N39" s="278">
        <f t="shared" ref="N39:W41" si="0">M39</f>
        <v>1940</v>
      </c>
      <c r="O39" s="278">
        <f t="shared" si="0"/>
        <v>1940</v>
      </c>
      <c r="P39" s="278">
        <f t="shared" si="0"/>
        <v>1940</v>
      </c>
      <c r="Q39" s="278">
        <f t="shared" si="0"/>
        <v>1940</v>
      </c>
      <c r="R39" s="278">
        <f t="shared" si="0"/>
        <v>1940</v>
      </c>
      <c r="S39" s="278">
        <f t="shared" si="0"/>
        <v>1940</v>
      </c>
      <c r="T39" s="278">
        <f t="shared" si="0"/>
        <v>1940</v>
      </c>
      <c r="U39" s="278">
        <f t="shared" si="0"/>
        <v>1940</v>
      </c>
      <c r="V39" s="278">
        <f t="shared" si="0"/>
        <v>1940</v>
      </c>
      <c r="W39" s="278">
        <f t="shared" si="0"/>
        <v>1940</v>
      </c>
      <c r="X39" s="248"/>
    </row>
    <row r="40" spans="1:24" s="251" customFormat="1" outlineLevel="1" x14ac:dyDescent="0.25">
      <c r="A40" s="245"/>
      <c r="B40" s="294"/>
      <c r="C40" s="278"/>
      <c r="D40" s="278"/>
      <c r="E40" s="245"/>
      <c r="F40" s="246"/>
      <c r="G40" s="245"/>
      <c r="H40" s="246" t="s">
        <v>37</v>
      </c>
      <c r="I40" s="246"/>
      <c r="J40" s="246"/>
      <c r="K40" s="67" t="s">
        <v>40</v>
      </c>
      <c r="L40" s="288" t="s">
        <v>28</v>
      </c>
      <c r="M40" s="294">
        <v>2000</v>
      </c>
      <c r="N40" s="278">
        <f t="shared" si="0"/>
        <v>2000</v>
      </c>
      <c r="O40" s="278">
        <f t="shared" si="0"/>
        <v>2000</v>
      </c>
      <c r="P40" s="278">
        <f t="shared" si="0"/>
        <v>2000</v>
      </c>
      <c r="Q40" s="278">
        <f t="shared" si="0"/>
        <v>2000</v>
      </c>
      <c r="R40" s="278">
        <f t="shared" si="0"/>
        <v>2000</v>
      </c>
      <c r="S40" s="278">
        <f t="shared" si="0"/>
        <v>2000</v>
      </c>
      <c r="T40" s="278">
        <f t="shared" si="0"/>
        <v>2000</v>
      </c>
      <c r="U40" s="278">
        <f t="shared" si="0"/>
        <v>2000</v>
      </c>
      <c r="V40" s="278">
        <f t="shared" si="0"/>
        <v>2000</v>
      </c>
      <c r="W40" s="278">
        <f t="shared" si="0"/>
        <v>2000</v>
      </c>
      <c r="X40" s="248"/>
    </row>
    <row r="41" spans="1:24" s="251" customFormat="1" outlineLevel="1" x14ac:dyDescent="0.25">
      <c r="A41" s="245"/>
      <c r="B41" s="295"/>
      <c r="C41" s="229"/>
      <c r="D41" s="229"/>
      <c r="E41" s="245"/>
      <c r="F41" s="246"/>
      <c r="G41" s="245"/>
      <c r="H41" s="246" t="s">
        <v>39</v>
      </c>
      <c r="I41" s="246"/>
      <c r="J41" s="246"/>
      <c r="K41" s="67" t="s">
        <v>10</v>
      </c>
      <c r="L41" s="288" t="s">
        <v>28</v>
      </c>
      <c r="M41" s="295">
        <v>25</v>
      </c>
      <c r="N41" s="229">
        <f t="shared" si="0"/>
        <v>25</v>
      </c>
      <c r="O41" s="229">
        <f t="shared" si="0"/>
        <v>25</v>
      </c>
      <c r="P41" s="229">
        <f t="shared" si="0"/>
        <v>25</v>
      </c>
      <c r="Q41" s="229">
        <f t="shared" si="0"/>
        <v>25</v>
      </c>
      <c r="R41" s="229">
        <f t="shared" si="0"/>
        <v>25</v>
      </c>
      <c r="S41" s="229">
        <f t="shared" si="0"/>
        <v>25</v>
      </c>
      <c r="T41" s="229">
        <f t="shared" si="0"/>
        <v>25</v>
      </c>
      <c r="U41" s="229">
        <f t="shared" si="0"/>
        <v>25</v>
      </c>
      <c r="V41" s="229">
        <f t="shared" si="0"/>
        <v>25</v>
      </c>
      <c r="W41" s="229">
        <f t="shared" si="0"/>
        <v>25</v>
      </c>
      <c r="X41" s="248"/>
    </row>
    <row r="42" spans="1:24" s="251" customFormat="1" outlineLevel="1" x14ac:dyDescent="0.25">
      <c r="A42" s="245"/>
      <c r="B42" s="295"/>
      <c r="C42" s="55"/>
      <c r="D42" s="55"/>
      <c r="E42" s="245"/>
      <c r="F42" s="246"/>
      <c r="G42" s="245"/>
      <c r="H42" s="246" t="s">
        <v>361</v>
      </c>
      <c r="I42" s="246"/>
      <c r="J42" s="246"/>
      <c r="K42" s="246" t="s">
        <v>10</v>
      </c>
      <c r="L42" s="288" t="s">
        <v>28</v>
      </c>
      <c r="M42" s="295"/>
      <c r="N42" s="55"/>
      <c r="O42" s="55"/>
      <c r="P42" s="55"/>
      <c r="Q42" s="55"/>
      <c r="R42" s="55"/>
      <c r="S42" s="55"/>
      <c r="T42" s="55"/>
      <c r="U42" s="55"/>
      <c r="V42" s="55"/>
      <c r="W42" s="55"/>
      <c r="X42" s="248"/>
    </row>
    <row r="43" spans="1:24" s="251" customFormat="1" outlineLevel="1" x14ac:dyDescent="0.25">
      <c r="A43" s="245"/>
      <c r="B43" s="296"/>
      <c r="C43" s="272"/>
      <c r="D43" s="272"/>
      <c r="E43" s="245"/>
      <c r="F43" s="246"/>
      <c r="G43" s="245"/>
      <c r="H43" s="246" t="s">
        <v>309</v>
      </c>
      <c r="I43" s="246"/>
      <c r="J43" s="246"/>
      <c r="K43" s="67" t="s">
        <v>97</v>
      </c>
      <c r="L43" s="288" t="s">
        <v>28</v>
      </c>
      <c r="M43" s="296">
        <v>0.25</v>
      </c>
      <c r="N43" s="272">
        <f t="shared" ref="N43:W43" si="1">M43</f>
        <v>0.25</v>
      </c>
      <c r="O43" s="272">
        <f t="shared" si="1"/>
        <v>0.25</v>
      </c>
      <c r="P43" s="272">
        <f t="shared" si="1"/>
        <v>0.25</v>
      </c>
      <c r="Q43" s="272">
        <f t="shared" si="1"/>
        <v>0.25</v>
      </c>
      <c r="R43" s="272">
        <f t="shared" si="1"/>
        <v>0.25</v>
      </c>
      <c r="S43" s="272">
        <f t="shared" si="1"/>
        <v>0.25</v>
      </c>
      <c r="T43" s="272">
        <f t="shared" si="1"/>
        <v>0.25</v>
      </c>
      <c r="U43" s="272">
        <f t="shared" si="1"/>
        <v>0.25</v>
      </c>
      <c r="V43" s="272">
        <f t="shared" si="1"/>
        <v>0.25</v>
      </c>
      <c r="W43" s="272">
        <f t="shared" si="1"/>
        <v>0.25</v>
      </c>
      <c r="X43" s="248"/>
    </row>
    <row r="44" spans="1:24" s="251" customFormat="1" outlineLevel="1" x14ac:dyDescent="0.25">
      <c r="A44" s="245"/>
      <c r="B44" s="296"/>
      <c r="C44" s="271"/>
      <c r="D44" s="271"/>
      <c r="E44" s="245"/>
      <c r="F44" s="246"/>
      <c r="G44" s="245"/>
      <c r="H44" s="246" t="s">
        <v>358</v>
      </c>
      <c r="I44" s="246"/>
      <c r="J44" s="246"/>
      <c r="K44" s="246" t="s">
        <v>97</v>
      </c>
      <c r="L44" s="288" t="s">
        <v>28</v>
      </c>
      <c r="M44" s="296"/>
      <c r="N44" s="271"/>
      <c r="O44" s="271"/>
      <c r="P44" s="271"/>
      <c r="Q44" s="271"/>
      <c r="R44" s="271"/>
      <c r="S44" s="271"/>
      <c r="T44" s="271"/>
      <c r="U44" s="271"/>
      <c r="V44" s="271"/>
      <c r="W44" s="271"/>
      <c r="X44" s="248"/>
    </row>
    <row r="45" spans="1:24" s="251" customFormat="1" outlineLevel="1" x14ac:dyDescent="0.25">
      <c r="A45" s="245"/>
      <c r="B45" s="296"/>
      <c r="C45" s="271"/>
      <c r="D45" s="271"/>
      <c r="E45" s="245"/>
      <c r="F45" s="246"/>
      <c r="G45" s="245"/>
      <c r="H45" s="246" t="s">
        <v>357</v>
      </c>
      <c r="I45" s="246"/>
      <c r="J45" s="246"/>
      <c r="K45" s="246" t="s">
        <v>97</v>
      </c>
      <c r="L45" s="288" t="s">
        <v>28</v>
      </c>
      <c r="M45" s="296"/>
      <c r="N45" s="271"/>
      <c r="O45" s="271"/>
      <c r="P45" s="271"/>
      <c r="Q45" s="271"/>
      <c r="R45" s="271"/>
      <c r="S45" s="271"/>
      <c r="T45" s="271"/>
      <c r="U45" s="271"/>
      <c r="V45" s="271"/>
      <c r="W45" s="271"/>
      <c r="X45" s="248"/>
    </row>
    <row r="46" spans="1:24" s="251" customFormat="1" outlineLevel="1" x14ac:dyDescent="0.25">
      <c r="A46" s="245"/>
      <c r="B46" s="296"/>
      <c r="C46" s="271"/>
      <c r="D46" s="271"/>
      <c r="E46" s="245"/>
      <c r="F46" s="246"/>
      <c r="G46" s="245"/>
      <c r="H46" s="246" t="s">
        <v>75</v>
      </c>
      <c r="I46" s="246"/>
      <c r="J46" s="246"/>
      <c r="K46" s="67" t="s">
        <v>97</v>
      </c>
      <c r="L46" s="288" t="s">
        <v>28</v>
      </c>
      <c r="M46" s="296">
        <v>0.16700000000000001</v>
      </c>
      <c r="N46" s="271"/>
      <c r="O46" s="271"/>
      <c r="P46" s="271"/>
      <c r="Q46" s="271"/>
      <c r="R46" s="271"/>
      <c r="S46" s="271"/>
      <c r="T46" s="271"/>
      <c r="U46" s="271"/>
      <c r="V46" s="271"/>
      <c r="W46" s="271"/>
      <c r="X46" s="248"/>
    </row>
    <row r="47" spans="1:24" s="251" customFormat="1" outlineLevel="1" x14ac:dyDescent="0.25">
      <c r="A47" s="245"/>
      <c r="B47" s="296"/>
      <c r="C47" s="271"/>
      <c r="D47" s="271"/>
      <c r="E47" s="245"/>
      <c r="F47" s="68"/>
      <c r="G47" s="245"/>
      <c r="H47" s="68" t="s">
        <v>148</v>
      </c>
      <c r="I47" s="68"/>
      <c r="K47" s="68" t="s">
        <v>97</v>
      </c>
      <c r="L47" s="288" t="s">
        <v>28</v>
      </c>
      <c r="M47" s="296"/>
      <c r="N47" s="271"/>
      <c r="O47" s="271"/>
      <c r="P47" s="271"/>
      <c r="Q47" s="271"/>
      <c r="R47" s="271"/>
      <c r="S47" s="271"/>
      <c r="T47" s="271"/>
      <c r="U47" s="271"/>
      <c r="V47" s="271"/>
      <c r="W47" s="271"/>
      <c r="X47" s="248"/>
    </row>
    <row r="48" spans="1:24" s="251" customFormat="1" outlineLevel="1" x14ac:dyDescent="0.25">
      <c r="A48" s="245"/>
      <c r="B48" s="296"/>
      <c r="C48" s="271"/>
      <c r="D48" s="271"/>
      <c r="E48" s="245"/>
      <c r="F48" s="68"/>
      <c r="G48" s="245"/>
      <c r="H48" s="68" t="s">
        <v>149</v>
      </c>
      <c r="I48" s="68"/>
      <c r="K48" s="68" t="s">
        <v>97</v>
      </c>
      <c r="L48" s="288" t="s">
        <v>28</v>
      </c>
      <c r="M48" s="296"/>
      <c r="N48" s="271"/>
      <c r="O48" s="271"/>
      <c r="P48" s="271"/>
      <c r="Q48" s="271"/>
      <c r="R48" s="271"/>
      <c r="S48" s="271"/>
      <c r="T48" s="271"/>
      <c r="U48" s="271"/>
      <c r="V48" s="271"/>
      <c r="W48" s="271"/>
      <c r="X48" s="248"/>
    </row>
    <row r="49" spans="1:24" s="251" customFormat="1" outlineLevel="1" x14ac:dyDescent="0.25">
      <c r="A49" s="245"/>
      <c r="B49" s="296"/>
      <c r="C49" s="271"/>
      <c r="D49" s="271"/>
      <c r="E49" s="245"/>
      <c r="F49" s="68"/>
      <c r="G49" s="245"/>
      <c r="H49" s="68" t="s">
        <v>370</v>
      </c>
      <c r="I49" s="68"/>
      <c r="K49" s="68" t="s">
        <v>97</v>
      </c>
      <c r="L49" s="288" t="s">
        <v>28</v>
      </c>
      <c r="M49" s="296"/>
      <c r="N49" s="271"/>
      <c r="O49" s="271"/>
      <c r="P49" s="271"/>
      <c r="Q49" s="271"/>
      <c r="R49" s="271"/>
      <c r="S49" s="271"/>
      <c r="T49" s="271"/>
      <c r="U49" s="271"/>
      <c r="V49" s="271"/>
      <c r="W49" s="271"/>
      <c r="X49" s="248"/>
    </row>
    <row r="50" spans="1:24" s="251" customFormat="1" outlineLevel="1" x14ac:dyDescent="0.25">
      <c r="A50" s="245"/>
      <c r="B50" s="296"/>
      <c r="C50" s="271"/>
      <c r="D50" s="271"/>
      <c r="E50" s="245"/>
      <c r="F50" s="68"/>
      <c r="G50" s="245"/>
      <c r="H50" s="68" t="s">
        <v>371</v>
      </c>
      <c r="I50" s="68"/>
      <c r="K50" s="68" t="s">
        <v>97</v>
      </c>
      <c r="L50" s="288" t="s">
        <v>28</v>
      </c>
      <c r="M50" s="296"/>
      <c r="N50" s="271"/>
      <c r="O50" s="271"/>
      <c r="P50" s="271"/>
      <c r="Q50" s="271"/>
      <c r="R50" s="271"/>
      <c r="S50" s="271"/>
      <c r="T50" s="271"/>
      <c r="U50" s="271"/>
      <c r="V50" s="271"/>
      <c r="W50" s="271"/>
      <c r="X50" s="248"/>
    </row>
    <row r="51" spans="1:24" s="251" customFormat="1" outlineLevel="1" x14ac:dyDescent="0.25">
      <c r="A51" s="245"/>
      <c r="B51" s="295"/>
      <c r="C51" s="55"/>
      <c r="D51" s="55"/>
      <c r="E51" s="245"/>
      <c r="F51" s="246"/>
      <c r="G51" s="245"/>
      <c r="H51" s="246" t="s">
        <v>338</v>
      </c>
      <c r="I51" s="246"/>
      <c r="J51" s="246"/>
      <c r="K51" s="67" t="s">
        <v>36</v>
      </c>
      <c r="L51" s="288" t="s">
        <v>28</v>
      </c>
      <c r="M51" s="295"/>
      <c r="N51" s="55"/>
      <c r="O51" s="55"/>
      <c r="P51" s="55"/>
      <c r="Q51" s="55"/>
      <c r="R51" s="55"/>
      <c r="S51" s="55"/>
      <c r="T51" s="55"/>
      <c r="U51" s="55"/>
      <c r="V51" s="55"/>
      <c r="W51" s="55"/>
      <c r="X51" s="248"/>
    </row>
    <row r="52" spans="1:24" s="251" customFormat="1" outlineLevel="1" x14ac:dyDescent="0.25">
      <c r="A52" s="245"/>
      <c r="B52" s="295"/>
      <c r="C52" s="55"/>
      <c r="D52" s="55"/>
      <c r="E52" s="245"/>
      <c r="F52" s="246"/>
      <c r="G52" s="245"/>
      <c r="H52" s="246" t="s">
        <v>152</v>
      </c>
      <c r="I52" s="246"/>
      <c r="J52" s="246"/>
      <c r="K52" s="67" t="s">
        <v>321</v>
      </c>
      <c r="L52" s="288" t="s">
        <v>28</v>
      </c>
      <c r="M52" s="295"/>
      <c r="N52" s="55"/>
      <c r="O52" s="55"/>
      <c r="P52" s="55"/>
      <c r="Q52" s="55"/>
      <c r="R52" s="55"/>
      <c r="S52" s="55"/>
      <c r="T52" s="55"/>
      <c r="U52" s="55"/>
      <c r="V52" s="55"/>
      <c r="W52" s="55"/>
      <c r="X52" s="248"/>
    </row>
    <row r="53" spans="1:24" s="251" customFormat="1" outlineLevel="1" x14ac:dyDescent="0.25">
      <c r="A53" s="245"/>
      <c r="B53" s="296"/>
      <c r="C53" s="271"/>
      <c r="D53" s="271"/>
      <c r="E53" s="245"/>
      <c r="F53" s="246"/>
      <c r="G53" s="245"/>
      <c r="H53" s="246" t="s">
        <v>383</v>
      </c>
      <c r="I53" s="246"/>
      <c r="J53" s="246"/>
      <c r="K53" s="246" t="s">
        <v>97</v>
      </c>
      <c r="L53" s="288" t="s">
        <v>28</v>
      </c>
      <c r="M53" s="296"/>
      <c r="N53" s="271"/>
      <c r="O53" s="271"/>
      <c r="P53" s="271"/>
      <c r="Q53" s="271"/>
      <c r="R53" s="271"/>
      <c r="S53" s="271"/>
      <c r="T53" s="271"/>
      <c r="U53" s="271"/>
      <c r="V53" s="271"/>
      <c r="W53" s="271"/>
      <c r="X53" s="248"/>
    </row>
    <row r="54" spans="1:24" s="251" customFormat="1" outlineLevel="1" x14ac:dyDescent="0.25">
      <c r="A54" s="245"/>
      <c r="B54" s="295"/>
      <c r="C54" s="55"/>
      <c r="D54" s="55"/>
      <c r="E54" s="245"/>
      <c r="F54" s="246"/>
      <c r="G54" s="245"/>
      <c r="H54" s="246" t="s">
        <v>446</v>
      </c>
      <c r="I54" s="246"/>
      <c r="J54" s="246"/>
      <c r="K54" s="67" t="s">
        <v>36</v>
      </c>
      <c r="L54" s="288" t="s">
        <v>28</v>
      </c>
      <c r="M54" s="295"/>
      <c r="N54" s="55"/>
      <c r="O54" s="55"/>
      <c r="P54" s="55"/>
      <c r="Q54" s="55"/>
      <c r="R54" s="55"/>
      <c r="S54" s="55"/>
      <c r="T54" s="55"/>
      <c r="U54" s="55"/>
      <c r="V54" s="55"/>
      <c r="W54" s="55"/>
      <c r="X54" s="248"/>
    </row>
    <row r="55" spans="1:24" s="251" customFormat="1" outlineLevel="1" x14ac:dyDescent="0.25">
      <c r="A55" s="245"/>
      <c r="B55" s="297"/>
      <c r="C55" s="54"/>
      <c r="D55" s="54"/>
      <c r="E55" s="245"/>
      <c r="F55" s="246"/>
      <c r="G55" s="245"/>
      <c r="H55" s="246" t="s">
        <v>387</v>
      </c>
      <c r="I55" s="246"/>
      <c r="J55" s="246"/>
      <c r="K55" s="246"/>
      <c r="L55" s="288" t="s">
        <v>28</v>
      </c>
      <c r="M55" s="297"/>
      <c r="N55" s="54"/>
      <c r="O55" s="54"/>
      <c r="P55" s="54"/>
      <c r="Q55" s="54"/>
      <c r="R55" s="54"/>
      <c r="S55" s="54"/>
      <c r="T55" s="54"/>
      <c r="U55" s="54"/>
      <c r="V55" s="54"/>
      <c r="W55" s="54"/>
      <c r="X55" s="248"/>
    </row>
    <row r="56" spans="1:24" s="251" customFormat="1" outlineLevel="1" x14ac:dyDescent="0.25">
      <c r="A56" s="245"/>
      <c r="B56" s="296"/>
      <c r="C56" s="271"/>
      <c r="D56" s="271"/>
      <c r="E56" s="245"/>
      <c r="F56" s="246"/>
      <c r="G56" s="245"/>
      <c r="H56" s="246" t="s">
        <v>369</v>
      </c>
      <c r="I56" s="246"/>
      <c r="J56" s="246"/>
      <c r="K56" s="246" t="s">
        <v>97</v>
      </c>
      <c r="L56" s="288" t="s">
        <v>28</v>
      </c>
      <c r="M56" s="296"/>
      <c r="N56" s="271"/>
      <c r="O56" s="271"/>
      <c r="P56" s="271"/>
      <c r="Q56" s="271"/>
      <c r="R56" s="271"/>
      <c r="S56" s="271"/>
      <c r="T56" s="271"/>
      <c r="U56" s="271"/>
      <c r="V56" s="271"/>
      <c r="W56" s="271"/>
      <c r="X56" s="248"/>
    </row>
    <row r="57" spans="1:24" s="251" customFormat="1" outlineLevel="1" x14ac:dyDescent="0.25">
      <c r="A57" s="245"/>
      <c r="B57" s="295"/>
      <c r="C57" s="55"/>
      <c r="D57" s="55"/>
      <c r="E57" s="245"/>
      <c r="F57" s="246"/>
      <c r="G57" s="245"/>
      <c r="H57" s="246" t="s">
        <v>392</v>
      </c>
      <c r="I57" s="246"/>
      <c r="J57" s="246"/>
      <c r="K57" s="246" t="s">
        <v>321</v>
      </c>
      <c r="L57" s="288" t="s">
        <v>28</v>
      </c>
      <c r="M57" s="295"/>
      <c r="N57" s="55"/>
      <c r="O57" s="55"/>
      <c r="P57" s="55"/>
      <c r="Q57" s="55"/>
      <c r="R57" s="55"/>
      <c r="S57" s="55"/>
      <c r="T57" s="55"/>
      <c r="U57" s="55"/>
      <c r="V57" s="55"/>
      <c r="W57" s="55"/>
      <c r="X57" s="248"/>
    </row>
    <row r="58" spans="1:24" s="251" customFormat="1" outlineLevel="1" x14ac:dyDescent="0.25">
      <c r="A58" s="245"/>
      <c r="B58" s="295"/>
      <c r="C58" s="55"/>
      <c r="D58" s="55"/>
      <c r="E58" s="245"/>
      <c r="F58" s="246"/>
      <c r="G58" s="245"/>
      <c r="H58" s="246" t="s">
        <v>394</v>
      </c>
      <c r="I58" s="246"/>
      <c r="J58" s="246"/>
      <c r="K58" s="246" t="s">
        <v>321</v>
      </c>
      <c r="L58" s="288" t="s">
        <v>28</v>
      </c>
      <c r="M58" s="295"/>
      <c r="N58" s="55"/>
      <c r="O58" s="55"/>
      <c r="P58" s="55"/>
      <c r="Q58" s="55"/>
      <c r="R58" s="55"/>
      <c r="S58" s="55"/>
      <c r="T58" s="55"/>
      <c r="U58" s="55"/>
      <c r="V58" s="55"/>
      <c r="W58" s="55"/>
      <c r="X58" s="248"/>
    </row>
    <row r="59" spans="1:24" s="251" customFormat="1" outlineLevel="1" x14ac:dyDescent="0.25">
      <c r="A59" s="245"/>
      <c r="B59" s="297"/>
      <c r="C59" s="54"/>
      <c r="D59" s="54"/>
      <c r="E59" s="245"/>
      <c r="F59" s="246"/>
      <c r="G59" s="245"/>
      <c r="H59" s="246" t="s">
        <v>395</v>
      </c>
      <c r="I59" s="246"/>
      <c r="J59" s="246"/>
      <c r="K59" s="246"/>
      <c r="L59" s="288" t="s">
        <v>28</v>
      </c>
      <c r="M59" s="297"/>
      <c r="N59" s="54"/>
      <c r="O59" s="54"/>
      <c r="P59" s="54"/>
      <c r="Q59" s="54"/>
      <c r="R59" s="54"/>
      <c r="S59" s="54"/>
      <c r="T59" s="54"/>
      <c r="U59" s="54"/>
      <c r="V59" s="54"/>
      <c r="W59" s="54"/>
      <c r="X59" s="248"/>
    </row>
    <row r="60" spans="1:24" s="251" customFormat="1" outlineLevel="1" x14ac:dyDescent="0.25">
      <c r="A60" s="245"/>
      <c r="B60" s="297"/>
      <c r="C60" s="54"/>
      <c r="D60" s="54"/>
      <c r="E60" s="245"/>
      <c r="F60" s="246"/>
      <c r="G60" s="245"/>
      <c r="H60" s="246" t="s">
        <v>396</v>
      </c>
      <c r="I60" s="246"/>
      <c r="J60" s="246"/>
      <c r="K60" s="246"/>
      <c r="L60" s="288" t="s">
        <v>28</v>
      </c>
      <c r="M60" s="297"/>
      <c r="N60" s="54"/>
      <c r="O60" s="54"/>
      <c r="P60" s="54"/>
      <c r="Q60" s="54"/>
      <c r="R60" s="54"/>
      <c r="S60" s="54"/>
      <c r="T60" s="54"/>
      <c r="U60" s="54"/>
      <c r="V60" s="54"/>
      <c r="W60" s="54"/>
      <c r="X60" s="248"/>
    </row>
    <row r="61" spans="1:24" s="251" customFormat="1" outlineLevel="1" x14ac:dyDescent="0.25">
      <c r="A61" s="245"/>
      <c r="B61" s="295"/>
      <c r="C61" s="55"/>
      <c r="D61" s="55"/>
      <c r="E61" s="245"/>
      <c r="F61" s="246"/>
      <c r="G61" s="245"/>
      <c r="H61" s="246" t="s">
        <v>393</v>
      </c>
      <c r="I61" s="246"/>
      <c r="J61" s="246"/>
      <c r="K61" s="67" t="s">
        <v>324</v>
      </c>
      <c r="L61" s="288" t="s">
        <v>28</v>
      </c>
      <c r="M61" s="295"/>
      <c r="N61" s="55"/>
      <c r="O61" s="55"/>
      <c r="P61" s="55"/>
      <c r="Q61" s="55"/>
      <c r="R61" s="55"/>
      <c r="S61" s="55"/>
      <c r="T61" s="55"/>
      <c r="U61" s="55"/>
      <c r="V61" s="55"/>
      <c r="W61" s="55"/>
      <c r="X61" s="248"/>
    </row>
    <row r="62" spans="1:24" s="251" customFormat="1" outlineLevel="1" x14ac:dyDescent="0.25">
      <c r="A62" s="245"/>
      <c r="B62" s="295"/>
      <c r="C62" s="55"/>
      <c r="D62" s="55"/>
      <c r="E62" s="245"/>
      <c r="F62" s="246"/>
      <c r="G62" s="245"/>
      <c r="H62" s="246" t="s">
        <v>397</v>
      </c>
      <c r="I62" s="246"/>
      <c r="J62" s="246"/>
      <c r="K62" s="67" t="s">
        <v>324</v>
      </c>
      <c r="L62" s="288" t="s">
        <v>28</v>
      </c>
      <c r="M62" s="295"/>
      <c r="N62" s="55"/>
      <c r="O62" s="55"/>
      <c r="P62" s="55"/>
      <c r="Q62" s="55"/>
      <c r="R62" s="55"/>
      <c r="S62" s="55"/>
      <c r="T62" s="55"/>
      <c r="U62" s="55"/>
      <c r="V62" s="55"/>
      <c r="W62" s="55"/>
      <c r="X62" s="248"/>
    </row>
    <row r="63" spans="1:24" s="251" customFormat="1" outlineLevel="1" x14ac:dyDescent="0.25">
      <c r="A63" s="245"/>
      <c r="B63" s="297"/>
      <c r="C63" s="54"/>
      <c r="D63" s="54"/>
      <c r="E63" s="245"/>
      <c r="F63" s="246"/>
      <c r="G63" s="245"/>
      <c r="H63" s="246" t="s">
        <v>398</v>
      </c>
      <c r="I63" s="246"/>
      <c r="J63" s="246"/>
      <c r="K63" s="246"/>
      <c r="L63" s="288" t="s">
        <v>28</v>
      </c>
      <c r="M63" s="297"/>
      <c r="N63" s="54"/>
      <c r="O63" s="54"/>
      <c r="P63" s="54"/>
      <c r="Q63" s="54"/>
      <c r="R63" s="54"/>
      <c r="S63" s="54"/>
      <c r="T63" s="54"/>
      <c r="U63" s="54"/>
      <c r="V63" s="54"/>
      <c r="W63" s="54"/>
      <c r="X63" s="248"/>
    </row>
    <row r="64" spans="1:24" s="251" customFormat="1" outlineLevel="1" x14ac:dyDescent="0.25">
      <c r="A64" s="245"/>
      <c r="B64" s="297"/>
      <c r="C64" s="54"/>
      <c r="D64" s="54"/>
      <c r="E64" s="245"/>
      <c r="F64" s="246"/>
      <c r="G64" s="245"/>
      <c r="H64" s="246" t="s">
        <v>399</v>
      </c>
      <c r="I64" s="246"/>
      <c r="J64" s="246"/>
      <c r="K64" s="246"/>
      <c r="L64" s="288" t="s">
        <v>28</v>
      </c>
      <c r="M64" s="297"/>
      <c r="N64" s="54"/>
      <c r="O64" s="54"/>
      <c r="P64" s="54"/>
      <c r="Q64" s="54"/>
      <c r="R64" s="54"/>
      <c r="S64" s="54"/>
      <c r="T64" s="54"/>
      <c r="U64" s="54"/>
      <c r="V64" s="54"/>
      <c r="W64" s="54"/>
      <c r="X64" s="248"/>
    </row>
    <row r="65" spans="1:24" s="251" customFormat="1" outlineLevel="1" x14ac:dyDescent="0.25">
      <c r="A65" s="245"/>
      <c r="B65" s="295"/>
      <c r="C65" s="55"/>
      <c r="D65" s="55"/>
      <c r="E65" s="245"/>
      <c r="F65" s="246"/>
      <c r="G65" s="245"/>
      <c r="H65" s="246" t="s">
        <v>310</v>
      </c>
      <c r="I65" s="246"/>
      <c r="J65" s="246"/>
      <c r="K65" s="67" t="s">
        <v>324</v>
      </c>
      <c r="L65" s="288" t="s">
        <v>28</v>
      </c>
      <c r="M65" s="295"/>
      <c r="N65" s="55"/>
      <c r="O65" s="55"/>
      <c r="P65" s="55"/>
      <c r="Q65" s="55"/>
      <c r="R65" s="55"/>
      <c r="S65" s="55"/>
      <c r="T65" s="55"/>
      <c r="U65" s="55"/>
      <c r="V65" s="55"/>
      <c r="W65" s="55"/>
      <c r="X65" s="248"/>
    </row>
    <row r="66" spans="1:24" s="251" customFormat="1" outlineLevel="1" x14ac:dyDescent="0.25">
      <c r="A66" s="245"/>
      <c r="B66" s="295"/>
      <c r="C66" s="55"/>
      <c r="D66" s="55"/>
      <c r="E66" s="245"/>
      <c r="F66" s="246"/>
      <c r="G66" s="245"/>
      <c r="H66" s="246" t="s">
        <v>360</v>
      </c>
      <c r="I66" s="246"/>
      <c r="J66" s="246"/>
      <c r="K66" s="246" t="s">
        <v>321</v>
      </c>
      <c r="L66" s="288" t="s">
        <v>28</v>
      </c>
      <c r="M66" s="295"/>
      <c r="N66" s="55"/>
      <c r="O66" s="55"/>
      <c r="P66" s="55"/>
      <c r="Q66" s="55"/>
      <c r="R66" s="55"/>
      <c r="S66" s="55"/>
      <c r="T66" s="55"/>
      <c r="U66" s="55"/>
      <c r="V66" s="55"/>
      <c r="W66" s="55"/>
      <c r="X66" s="248"/>
    </row>
    <row r="67" spans="1:24" s="251" customFormat="1" outlineLevel="1" x14ac:dyDescent="0.25">
      <c r="A67" s="245"/>
      <c r="B67" s="297"/>
      <c r="C67" s="54"/>
      <c r="D67" s="54"/>
      <c r="E67" s="245"/>
      <c r="F67" s="25"/>
      <c r="G67" s="245"/>
      <c r="H67" s="67" t="s">
        <v>306</v>
      </c>
      <c r="I67" s="25"/>
      <c r="J67" s="67"/>
      <c r="K67" s="67" t="s">
        <v>45</v>
      </c>
      <c r="L67" s="288" t="s">
        <v>28</v>
      </c>
      <c r="M67" s="297">
        <v>0.997</v>
      </c>
      <c r="N67" s="54">
        <f>M67</f>
        <v>0.997</v>
      </c>
      <c r="O67" s="54">
        <f t="shared" ref="O67:W68" si="2">N67</f>
        <v>0.997</v>
      </c>
      <c r="P67" s="54">
        <f t="shared" si="2"/>
        <v>0.997</v>
      </c>
      <c r="Q67" s="54">
        <f t="shared" si="2"/>
        <v>0.997</v>
      </c>
      <c r="R67" s="54">
        <f t="shared" si="2"/>
        <v>0.997</v>
      </c>
      <c r="S67" s="54">
        <f t="shared" si="2"/>
        <v>0.997</v>
      </c>
      <c r="T67" s="54">
        <f t="shared" si="2"/>
        <v>0.997</v>
      </c>
      <c r="U67" s="54">
        <f t="shared" si="2"/>
        <v>0.997</v>
      </c>
      <c r="V67" s="54">
        <f t="shared" si="2"/>
        <v>0.997</v>
      </c>
      <c r="W67" s="54">
        <f t="shared" si="2"/>
        <v>0.997</v>
      </c>
      <c r="X67" s="248"/>
    </row>
    <row r="68" spans="1:24" s="251" customFormat="1" outlineLevel="1" x14ac:dyDescent="0.25">
      <c r="A68" s="245"/>
      <c r="B68" s="297"/>
      <c r="C68" s="54"/>
      <c r="D68" s="54"/>
      <c r="E68" s="245"/>
      <c r="F68" s="25"/>
      <c r="G68" s="245"/>
      <c r="H68" s="67" t="s">
        <v>306</v>
      </c>
      <c r="I68" s="25"/>
      <c r="J68" s="67"/>
      <c r="K68" s="67" t="s">
        <v>45</v>
      </c>
      <c r="L68" s="288" t="s">
        <v>28</v>
      </c>
      <c r="M68" s="297">
        <v>0.109</v>
      </c>
      <c r="N68" s="54">
        <f>M68</f>
        <v>0.109</v>
      </c>
      <c r="O68" s="54">
        <f t="shared" si="2"/>
        <v>0.109</v>
      </c>
      <c r="P68" s="54">
        <f t="shared" si="2"/>
        <v>0.109</v>
      </c>
      <c r="Q68" s="54">
        <f t="shared" si="2"/>
        <v>0.109</v>
      </c>
      <c r="R68" s="54">
        <f t="shared" si="2"/>
        <v>0.109</v>
      </c>
      <c r="S68" s="54">
        <f t="shared" si="2"/>
        <v>0.109</v>
      </c>
      <c r="T68" s="54">
        <f t="shared" si="2"/>
        <v>0.109</v>
      </c>
      <c r="U68" s="54">
        <f t="shared" si="2"/>
        <v>0.109</v>
      </c>
      <c r="V68" s="54">
        <f t="shared" si="2"/>
        <v>0.109</v>
      </c>
      <c r="W68" s="54">
        <f t="shared" si="2"/>
        <v>0.109</v>
      </c>
      <c r="X68" s="248"/>
    </row>
    <row r="69" spans="1:24" s="305" customFormat="1" x14ac:dyDescent="0.25">
      <c r="A69" s="240"/>
      <c r="B69" s="290"/>
      <c r="C69" s="306"/>
      <c r="D69" s="306"/>
      <c r="E69" s="240"/>
      <c r="F69" s="220"/>
      <c r="G69" s="240"/>
      <c r="H69" s="303" t="s">
        <v>51</v>
      </c>
      <c r="I69" s="220"/>
      <c r="J69" s="219"/>
      <c r="K69" s="219"/>
      <c r="L69" s="307" t="s">
        <v>27</v>
      </c>
      <c r="M69" s="223"/>
      <c r="N69" s="223"/>
      <c r="O69" s="223"/>
      <c r="P69" s="223"/>
      <c r="Q69" s="223"/>
      <c r="R69" s="223"/>
      <c r="S69" s="223"/>
      <c r="T69" s="223"/>
      <c r="U69" s="223"/>
      <c r="V69" s="223"/>
      <c r="W69" s="223"/>
      <c r="X69" s="243"/>
    </row>
    <row r="70" spans="1:24" s="251" customFormat="1" outlineLevel="1" x14ac:dyDescent="0.25">
      <c r="A70" s="245"/>
      <c r="B70" s="293"/>
      <c r="C70" s="254"/>
      <c r="D70" s="254"/>
      <c r="E70" s="245"/>
      <c r="F70" s="246"/>
      <c r="G70" s="245"/>
      <c r="H70" s="246" t="s">
        <v>38</v>
      </c>
      <c r="I70" s="246"/>
      <c r="J70" s="246"/>
      <c r="K70" s="67" t="s">
        <v>40</v>
      </c>
      <c r="L70" s="202" t="s">
        <v>27</v>
      </c>
      <c r="M70" s="277">
        <v>1960</v>
      </c>
      <c r="N70" s="278">
        <f t="shared" ref="N70:W72" si="3">M70</f>
        <v>1960</v>
      </c>
      <c r="O70" s="278">
        <f t="shared" si="3"/>
        <v>1960</v>
      </c>
      <c r="P70" s="278">
        <f t="shared" si="3"/>
        <v>1960</v>
      </c>
      <c r="Q70" s="278">
        <f t="shared" si="3"/>
        <v>1960</v>
      </c>
      <c r="R70" s="278">
        <f t="shared" si="3"/>
        <v>1960</v>
      </c>
      <c r="S70" s="278">
        <f t="shared" si="3"/>
        <v>1960</v>
      </c>
      <c r="T70" s="278">
        <f t="shared" si="3"/>
        <v>1960</v>
      </c>
      <c r="U70" s="278">
        <f t="shared" si="3"/>
        <v>1960</v>
      </c>
      <c r="V70" s="278">
        <f t="shared" si="3"/>
        <v>1960</v>
      </c>
      <c r="W70" s="278">
        <f t="shared" si="3"/>
        <v>1960</v>
      </c>
      <c r="X70" s="248"/>
    </row>
    <row r="71" spans="1:24" s="251" customFormat="1" outlineLevel="1" x14ac:dyDescent="0.25">
      <c r="A71" s="245"/>
      <c r="B71" s="293"/>
      <c r="C71" s="254"/>
      <c r="D71" s="254"/>
      <c r="E71" s="245"/>
      <c r="F71" s="246"/>
      <c r="G71" s="245"/>
      <c r="H71" s="246" t="s">
        <v>37</v>
      </c>
      <c r="I71" s="246"/>
      <c r="J71" s="246"/>
      <c r="K71" s="67" t="s">
        <v>40</v>
      </c>
      <c r="L71" s="202" t="s">
        <v>27</v>
      </c>
      <c r="M71" s="277">
        <v>2000</v>
      </c>
      <c r="N71" s="278">
        <f t="shared" si="3"/>
        <v>2000</v>
      </c>
      <c r="O71" s="278">
        <f t="shared" si="3"/>
        <v>2000</v>
      </c>
      <c r="P71" s="278">
        <f t="shared" si="3"/>
        <v>2000</v>
      </c>
      <c r="Q71" s="278">
        <f t="shared" si="3"/>
        <v>2000</v>
      </c>
      <c r="R71" s="278">
        <f t="shared" si="3"/>
        <v>2000</v>
      </c>
      <c r="S71" s="278">
        <f t="shared" si="3"/>
        <v>2000</v>
      </c>
      <c r="T71" s="278">
        <f t="shared" si="3"/>
        <v>2000</v>
      </c>
      <c r="U71" s="278">
        <f t="shared" si="3"/>
        <v>2000</v>
      </c>
      <c r="V71" s="278">
        <f t="shared" si="3"/>
        <v>2000</v>
      </c>
      <c r="W71" s="278">
        <f t="shared" si="3"/>
        <v>2000</v>
      </c>
      <c r="X71" s="248"/>
    </row>
    <row r="72" spans="1:24" s="251" customFormat="1" outlineLevel="1" x14ac:dyDescent="0.25">
      <c r="A72" s="245"/>
      <c r="B72" s="293"/>
      <c r="C72" s="254"/>
      <c r="D72" s="254"/>
      <c r="E72" s="245"/>
      <c r="F72" s="246"/>
      <c r="G72" s="245"/>
      <c r="H72" s="246" t="s">
        <v>39</v>
      </c>
      <c r="I72" s="246"/>
      <c r="J72" s="246"/>
      <c r="K72" s="67" t="s">
        <v>10</v>
      </c>
      <c r="L72" s="202" t="s">
        <v>27</v>
      </c>
      <c r="M72" s="55">
        <v>25</v>
      </c>
      <c r="N72" s="229">
        <f t="shared" si="3"/>
        <v>25</v>
      </c>
      <c r="O72" s="229">
        <f t="shared" si="3"/>
        <v>25</v>
      </c>
      <c r="P72" s="229">
        <f t="shared" si="3"/>
        <v>25</v>
      </c>
      <c r="Q72" s="229">
        <f t="shared" si="3"/>
        <v>25</v>
      </c>
      <c r="R72" s="229">
        <f t="shared" si="3"/>
        <v>25</v>
      </c>
      <c r="S72" s="229">
        <f t="shared" si="3"/>
        <v>25</v>
      </c>
      <c r="T72" s="229">
        <f t="shared" si="3"/>
        <v>25</v>
      </c>
      <c r="U72" s="229">
        <f t="shared" si="3"/>
        <v>25</v>
      </c>
      <c r="V72" s="229">
        <f t="shared" si="3"/>
        <v>25</v>
      </c>
      <c r="W72" s="229">
        <f t="shared" si="3"/>
        <v>25</v>
      </c>
      <c r="X72" s="248"/>
    </row>
    <row r="73" spans="1:24" s="251" customFormat="1" outlineLevel="1" x14ac:dyDescent="0.25">
      <c r="A73" s="245"/>
      <c r="B73" s="293"/>
      <c r="C73" s="254"/>
      <c r="D73" s="254"/>
      <c r="E73" s="245"/>
      <c r="F73" s="246"/>
      <c r="G73" s="245"/>
      <c r="H73" s="246" t="s">
        <v>361</v>
      </c>
      <c r="I73" s="246"/>
      <c r="J73" s="246"/>
      <c r="K73" s="246" t="s">
        <v>10</v>
      </c>
      <c r="L73" s="202" t="s">
        <v>27</v>
      </c>
      <c r="M73" s="55"/>
      <c r="N73" s="55"/>
      <c r="O73" s="55"/>
      <c r="P73" s="55"/>
      <c r="Q73" s="55"/>
      <c r="R73" s="55"/>
      <c r="S73" s="55"/>
      <c r="T73" s="55"/>
      <c r="U73" s="55"/>
      <c r="V73" s="55"/>
      <c r="W73" s="55"/>
      <c r="X73" s="248"/>
    </row>
    <row r="74" spans="1:24" s="251" customFormat="1" outlineLevel="1" x14ac:dyDescent="0.25">
      <c r="A74" s="245"/>
      <c r="B74" s="293"/>
      <c r="C74" s="254"/>
      <c r="D74" s="254"/>
      <c r="E74" s="245"/>
      <c r="F74" s="246"/>
      <c r="G74" s="245"/>
      <c r="H74" s="246" t="s">
        <v>309</v>
      </c>
      <c r="I74" s="246"/>
      <c r="J74" s="246"/>
      <c r="K74" s="67" t="s">
        <v>97</v>
      </c>
      <c r="L74" s="202" t="s">
        <v>27</v>
      </c>
      <c r="M74" s="271">
        <v>0.25</v>
      </c>
      <c r="N74" s="272">
        <f t="shared" ref="N74:W74" si="4">M74</f>
        <v>0.25</v>
      </c>
      <c r="O74" s="272">
        <f t="shared" si="4"/>
        <v>0.25</v>
      </c>
      <c r="P74" s="272">
        <f t="shared" si="4"/>
        <v>0.25</v>
      </c>
      <c r="Q74" s="272">
        <f t="shared" si="4"/>
        <v>0.25</v>
      </c>
      <c r="R74" s="272">
        <f t="shared" si="4"/>
        <v>0.25</v>
      </c>
      <c r="S74" s="272">
        <f t="shared" si="4"/>
        <v>0.25</v>
      </c>
      <c r="T74" s="272">
        <f t="shared" si="4"/>
        <v>0.25</v>
      </c>
      <c r="U74" s="272">
        <f t="shared" si="4"/>
        <v>0.25</v>
      </c>
      <c r="V74" s="272">
        <f t="shared" si="4"/>
        <v>0.25</v>
      </c>
      <c r="W74" s="272">
        <f t="shared" si="4"/>
        <v>0.25</v>
      </c>
      <c r="X74" s="248"/>
    </row>
    <row r="75" spans="1:24" s="251" customFormat="1" outlineLevel="1" x14ac:dyDescent="0.25">
      <c r="A75" s="245"/>
      <c r="B75" s="293"/>
      <c r="C75" s="254"/>
      <c r="D75" s="254"/>
      <c r="E75" s="245"/>
      <c r="F75" s="246"/>
      <c r="G75" s="245"/>
      <c r="H75" s="246" t="s">
        <v>358</v>
      </c>
      <c r="I75" s="246"/>
      <c r="J75" s="246"/>
      <c r="K75" s="246" t="s">
        <v>97</v>
      </c>
      <c r="L75" s="202" t="s">
        <v>27</v>
      </c>
      <c r="M75" s="271"/>
      <c r="N75" s="271"/>
      <c r="O75" s="271"/>
      <c r="P75" s="271"/>
      <c r="Q75" s="271"/>
      <c r="R75" s="271"/>
      <c r="S75" s="271"/>
      <c r="T75" s="271"/>
      <c r="U75" s="271"/>
      <c r="V75" s="271"/>
      <c r="W75" s="271"/>
      <c r="X75" s="248"/>
    </row>
    <row r="76" spans="1:24" s="251" customFormat="1" outlineLevel="1" x14ac:dyDescent="0.25">
      <c r="A76" s="245"/>
      <c r="B76" s="293"/>
      <c r="C76" s="254"/>
      <c r="D76" s="254"/>
      <c r="E76" s="245"/>
      <c r="F76" s="246"/>
      <c r="G76" s="245"/>
      <c r="H76" s="246" t="s">
        <v>357</v>
      </c>
      <c r="I76" s="246"/>
      <c r="J76" s="246"/>
      <c r="K76" s="246" t="s">
        <v>97</v>
      </c>
      <c r="L76" s="202" t="s">
        <v>27</v>
      </c>
      <c r="M76" s="271"/>
      <c r="N76" s="271"/>
      <c r="O76" s="271"/>
      <c r="P76" s="271"/>
      <c r="Q76" s="271"/>
      <c r="R76" s="271"/>
      <c r="S76" s="271"/>
      <c r="T76" s="271"/>
      <c r="U76" s="271"/>
      <c r="V76" s="271"/>
      <c r="W76" s="271"/>
      <c r="X76" s="248"/>
    </row>
    <row r="77" spans="1:24" s="251" customFormat="1" outlineLevel="1" x14ac:dyDescent="0.25">
      <c r="A77" s="245"/>
      <c r="B77" s="293"/>
      <c r="C77" s="254"/>
      <c r="D77" s="254"/>
      <c r="E77" s="245"/>
      <c r="F77" s="246"/>
      <c r="G77" s="245"/>
      <c r="H77" s="246" t="s">
        <v>75</v>
      </c>
      <c r="I77" s="246"/>
      <c r="J77" s="246"/>
      <c r="K77" s="67" t="s">
        <v>97</v>
      </c>
      <c r="L77" s="202" t="s">
        <v>27</v>
      </c>
      <c r="M77" s="271">
        <v>0.83299999999999996</v>
      </c>
      <c r="N77" s="271"/>
      <c r="O77" s="271"/>
      <c r="P77" s="271"/>
      <c r="Q77" s="271"/>
      <c r="R77" s="271"/>
      <c r="S77" s="271"/>
      <c r="T77" s="271"/>
      <c r="U77" s="271"/>
      <c r="V77" s="271"/>
      <c r="W77" s="271"/>
      <c r="X77" s="248"/>
    </row>
    <row r="78" spans="1:24" s="251" customFormat="1" outlineLevel="1" x14ac:dyDescent="0.25">
      <c r="A78" s="245"/>
      <c r="B78" s="293"/>
      <c r="C78" s="254"/>
      <c r="D78" s="254"/>
      <c r="E78" s="245"/>
      <c r="F78" s="68"/>
      <c r="G78" s="245"/>
      <c r="H78" s="68" t="s">
        <v>148</v>
      </c>
      <c r="I78" s="68"/>
      <c r="K78" s="68" t="s">
        <v>97</v>
      </c>
      <c r="L78" s="202" t="s">
        <v>27</v>
      </c>
      <c r="M78" s="271"/>
      <c r="N78" s="271"/>
      <c r="O78" s="271"/>
      <c r="P78" s="271"/>
      <c r="Q78" s="271"/>
      <c r="R78" s="271"/>
      <c r="S78" s="271"/>
      <c r="T78" s="271"/>
      <c r="U78" s="271"/>
      <c r="V78" s="271"/>
      <c r="W78" s="271"/>
      <c r="X78" s="248"/>
    </row>
    <row r="79" spans="1:24" s="251" customFormat="1" outlineLevel="1" x14ac:dyDescent="0.25">
      <c r="A79" s="245"/>
      <c r="B79" s="293"/>
      <c r="C79" s="254"/>
      <c r="D79" s="254"/>
      <c r="E79" s="245"/>
      <c r="F79" s="68"/>
      <c r="G79" s="245"/>
      <c r="H79" s="68" t="s">
        <v>149</v>
      </c>
      <c r="I79" s="68"/>
      <c r="K79" s="68" t="s">
        <v>97</v>
      </c>
      <c r="L79" s="202" t="s">
        <v>27</v>
      </c>
      <c r="M79" s="271"/>
      <c r="N79" s="271"/>
      <c r="O79" s="271"/>
      <c r="P79" s="271"/>
      <c r="Q79" s="271"/>
      <c r="R79" s="271"/>
      <c r="S79" s="271"/>
      <c r="T79" s="271"/>
      <c r="U79" s="271"/>
      <c r="V79" s="271"/>
      <c r="W79" s="271"/>
      <c r="X79" s="248"/>
    </row>
    <row r="80" spans="1:24" s="251" customFormat="1" outlineLevel="1" x14ac:dyDescent="0.25">
      <c r="A80" s="245"/>
      <c r="B80" s="293"/>
      <c r="C80" s="254"/>
      <c r="D80" s="254"/>
      <c r="E80" s="245"/>
      <c r="F80" s="68"/>
      <c r="G80" s="245"/>
      <c r="H80" s="68" t="s">
        <v>370</v>
      </c>
      <c r="I80" s="68"/>
      <c r="K80" s="68" t="s">
        <v>97</v>
      </c>
      <c r="L80" s="202" t="s">
        <v>27</v>
      </c>
      <c r="M80" s="271"/>
      <c r="N80" s="271"/>
      <c r="O80" s="271"/>
      <c r="P80" s="271"/>
      <c r="Q80" s="271"/>
      <c r="R80" s="271"/>
      <c r="S80" s="271"/>
      <c r="T80" s="271"/>
      <c r="U80" s="271"/>
      <c r="V80" s="271"/>
      <c r="W80" s="271"/>
      <c r="X80" s="248"/>
    </row>
    <row r="81" spans="1:24" s="251" customFormat="1" outlineLevel="1" x14ac:dyDescent="0.25">
      <c r="A81" s="245"/>
      <c r="B81" s="293"/>
      <c r="C81" s="254"/>
      <c r="D81" s="254"/>
      <c r="E81" s="245"/>
      <c r="F81" s="68"/>
      <c r="G81" s="245"/>
      <c r="H81" s="68" t="s">
        <v>371</v>
      </c>
      <c r="I81" s="68"/>
      <c r="K81" s="68" t="s">
        <v>97</v>
      </c>
      <c r="L81" s="202" t="s">
        <v>27</v>
      </c>
      <c r="M81" s="271"/>
      <c r="N81" s="271"/>
      <c r="O81" s="271"/>
      <c r="P81" s="271"/>
      <c r="Q81" s="271"/>
      <c r="R81" s="271"/>
      <c r="S81" s="271"/>
      <c r="T81" s="271"/>
      <c r="U81" s="271"/>
      <c r="V81" s="271"/>
      <c r="W81" s="271"/>
      <c r="X81" s="248"/>
    </row>
    <row r="82" spans="1:24" s="251" customFormat="1" outlineLevel="1" x14ac:dyDescent="0.25">
      <c r="A82" s="245"/>
      <c r="B82" s="293"/>
      <c r="C82" s="254"/>
      <c r="D82" s="254"/>
      <c r="E82" s="245"/>
      <c r="F82" s="246"/>
      <c r="G82" s="245"/>
      <c r="H82" s="246" t="s">
        <v>338</v>
      </c>
      <c r="I82" s="246"/>
      <c r="J82" s="246"/>
      <c r="K82" s="67" t="s">
        <v>36</v>
      </c>
      <c r="L82" s="202" t="s">
        <v>27</v>
      </c>
      <c r="M82" s="55"/>
      <c r="N82" s="55"/>
      <c r="O82" s="55"/>
      <c r="P82" s="55"/>
      <c r="Q82" s="55"/>
      <c r="R82" s="55"/>
      <c r="S82" s="55"/>
      <c r="T82" s="55"/>
      <c r="U82" s="55"/>
      <c r="V82" s="55"/>
      <c r="W82" s="55"/>
      <c r="X82" s="248"/>
    </row>
    <row r="83" spans="1:24" s="251" customFormat="1" outlineLevel="1" x14ac:dyDescent="0.25">
      <c r="A83" s="245"/>
      <c r="B83" s="293"/>
      <c r="C83" s="254"/>
      <c r="D83" s="254"/>
      <c r="E83" s="245"/>
      <c r="F83" s="246"/>
      <c r="G83" s="245"/>
      <c r="H83" s="246" t="s">
        <v>152</v>
      </c>
      <c r="I83" s="246"/>
      <c r="J83" s="246"/>
      <c r="K83" s="67" t="s">
        <v>321</v>
      </c>
      <c r="L83" s="202" t="s">
        <v>27</v>
      </c>
      <c r="M83" s="55"/>
      <c r="N83" s="55"/>
      <c r="O83" s="55"/>
      <c r="P83" s="55"/>
      <c r="Q83" s="55"/>
      <c r="R83" s="55"/>
      <c r="S83" s="55"/>
      <c r="T83" s="55"/>
      <c r="U83" s="55"/>
      <c r="V83" s="55"/>
      <c r="W83" s="55"/>
      <c r="X83" s="248"/>
    </row>
    <row r="84" spans="1:24" s="251" customFormat="1" outlineLevel="1" x14ac:dyDescent="0.25">
      <c r="A84" s="245"/>
      <c r="B84" s="293"/>
      <c r="C84" s="254"/>
      <c r="D84" s="254"/>
      <c r="E84" s="245"/>
      <c r="F84" s="246"/>
      <c r="G84" s="245"/>
      <c r="H84" s="246" t="s">
        <v>383</v>
      </c>
      <c r="I84" s="246"/>
      <c r="J84" s="246"/>
      <c r="K84" s="246" t="s">
        <v>97</v>
      </c>
      <c r="L84" s="202" t="s">
        <v>27</v>
      </c>
      <c r="M84" s="271"/>
      <c r="N84" s="271"/>
      <c r="O84" s="271"/>
      <c r="P84" s="271"/>
      <c r="Q84" s="271"/>
      <c r="R84" s="271"/>
      <c r="S84" s="271"/>
      <c r="T84" s="271"/>
      <c r="U84" s="271"/>
      <c r="V84" s="271"/>
      <c r="W84" s="271"/>
      <c r="X84" s="248"/>
    </row>
    <row r="85" spans="1:24" s="251" customFormat="1" outlineLevel="1" x14ac:dyDescent="0.25">
      <c r="A85" s="245"/>
      <c r="B85" s="293"/>
      <c r="C85" s="254"/>
      <c r="D85" s="254"/>
      <c r="E85" s="245"/>
      <c r="F85" s="246"/>
      <c r="G85" s="245"/>
      <c r="H85" s="246" t="s">
        <v>446</v>
      </c>
      <c r="I85" s="246"/>
      <c r="J85" s="246"/>
      <c r="K85" s="67" t="s">
        <v>36</v>
      </c>
      <c r="L85" s="202" t="s">
        <v>27</v>
      </c>
      <c r="M85" s="55"/>
      <c r="N85" s="55"/>
      <c r="O85" s="55"/>
      <c r="P85" s="55"/>
      <c r="Q85" s="55"/>
      <c r="R85" s="55"/>
      <c r="S85" s="55"/>
      <c r="T85" s="55"/>
      <c r="U85" s="55"/>
      <c r="V85" s="55"/>
      <c r="W85" s="55"/>
      <c r="X85" s="248"/>
    </row>
    <row r="86" spans="1:24" s="251" customFormat="1" outlineLevel="1" x14ac:dyDescent="0.25">
      <c r="A86" s="245"/>
      <c r="B86" s="293"/>
      <c r="C86" s="254"/>
      <c r="D86" s="254"/>
      <c r="E86" s="245"/>
      <c r="F86" s="246"/>
      <c r="G86" s="245"/>
      <c r="H86" s="246" t="s">
        <v>387</v>
      </c>
      <c r="I86" s="246"/>
      <c r="J86" s="246"/>
      <c r="K86" s="246"/>
      <c r="L86" s="202" t="s">
        <v>27</v>
      </c>
      <c r="M86" s="54"/>
      <c r="N86" s="54"/>
      <c r="O86" s="54"/>
      <c r="P86" s="54"/>
      <c r="Q86" s="54"/>
      <c r="R86" s="54"/>
      <c r="S86" s="54"/>
      <c r="T86" s="54"/>
      <c r="U86" s="54"/>
      <c r="V86" s="54"/>
      <c r="W86" s="54"/>
      <c r="X86" s="248"/>
    </row>
    <row r="87" spans="1:24" s="251" customFormat="1" outlineLevel="1" x14ac:dyDescent="0.25">
      <c r="A87" s="245"/>
      <c r="B87" s="293"/>
      <c r="C87" s="254"/>
      <c r="D87" s="254"/>
      <c r="E87" s="245"/>
      <c r="F87" s="246"/>
      <c r="G87" s="245"/>
      <c r="H87" s="246" t="s">
        <v>369</v>
      </c>
      <c r="I87" s="246"/>
      <c r="J87" s="246"/>
      <c r="K87" s="246" t="s">
        <v>97</v>
      </c>
      <c r="L87" s="202" t="s">
        <v>27</v>
      </c>
      <c r="M87" s="271"/>
      <c r="N87" s="271"/>
      <c r="O87" s="271"/>
      <c r="P87" s="271"/>
      <c r="Q87" s="271"/>
      <c r="R87" s="271"/>
      <c r="S87" s="271"/>
      <c r="T87" s="271"/>
      <c r="U87" s="271"/>
      <c r="V87" s="271"/>
      <c r="W87" s="271"/>
      <c r="X87" s="248"/>
    </row>
    <row r="88" spans="1:24" s="251" customFormat="1" outlineLevel="1" x14ac:dyDescent="0.25">
      <c r="A88" s="245"/>
      <c r="B88" s="293"/>
      <c r="C88" s="254"/>
      <c r="D88" s="254"/>
      <c r="E88" s="245"/>
      <c r="F88" s="246"/>
      <c r="G88" s="245"/>
      <c r="H88" s="246" t="s">
        <v>392</v>
      </c>
      <c r="I88" s="246"/>
      <c r="J88" s="246"/>
      <c r="K88" s="246" t="s">
        <v>321</v>
      </c>
      <c r="L88" s="202" t="s">
        <v>27</v>
      </c>
      <c r="M88" s="55"/>
      <c r="N88" s="55"/>
      <c r="O88" s="55"/>
      <c r="P88" s="55"/>
      <c r="Q88" s="55"/>
      <c r="R88" s="55"/>
      <c r="S88" s="55"/>
      <c r="T88" s="55"/>
      <c r="U88" s="55"/>
      <c r="V88" s="55"/>
      <c r="W88" s="55"/>
      <c r="X88" s="248"/>
    </row>
    <row r="89" spans="1:24" s="251" customFormat="1" outlineLevel="1" x14ac:dyDescent="0.25">
      <c r="A89" s="245"/>
      <c r="B89" s="293"/>
      <c r="C89" s="254"/>
      <c r="D89" s="254"/>
      <c r="E89" s="245"/>
      <c r="F89" s="246"/>
      <c r="G89" s="245"/>
      <c r="H89" s="246" t="s">
        <v>394</v>
      </c>
      <c r="I89" s="246"/>
      <c r="J89" s="246"/>
      <c r="K89" s="246" t="s">
        <v>321</v>
      </c>
      <c r="L89" s="202" t="s">
        <v>27</v>
      </c>
      <c r="M89" s="55"/>
      <c r="N89" s="55"/>
      <c r="O89" s="55"/>
      <c r="P89" s="55"/>
      <c r="Q89" s="55"/>
      <c r="R89" s="55"/>
      <c r="S89" s="55"/>
      <c r="T89" s="55"/>
      <c r="U89" s="55"/>
      <c r="V89" s="55"/>
      <c r="W89" s="55"/>
      <c r="X89" s="248"/>
    </row>
    <row r="90" spans="1:24" s="251" customFormat="1" outlineLevel="1" x14ac:dyDescent="0.25">
      <c r="A90" s="245"/>
      <c r="B90" s="298"/>
      <c r="C90" s="239"/>
      <c r="D90" s="239"/>
      <c r="E90" s="245"/>
      <c r="F90" s="246"/>
      <c r="G90" s="245"/>
      <c r="H90" s="246" t="s">
        <v>395</v>
      </c>
      <c r="I90" s="246"/>
      <c r="J90" s="246"/>
      <c r="K90" s="246"/>
      <c r="L90" s="202" t="s">
        <v>27</v>
      </c>
      <c r="M90" s="54"/>
      <c r="N90" s="54"/>
      <c r="O90" s="54"/>
      <c r="P90" s="54"/>
      <c r="Q90" s="54"/>
      <c r="R90" s="54"/>
      <c r="S90" s="54"/>
      <c r="T90" s="54"/>
      <c r="U90" s="54"/>
      <c r="V90" s="54"/>
      <c r="W90" s="54"/>
      <c r="X90" s="248"/>
    </row>
    <row r="91" spans="1:24" s="251" customFormat="1" outlineLevel="1" x14ac:dyDescent="0.25">
      <c r="A91" s="245"/>
      <c r="B91" s="298"/>
      <c r="C91" s="239"/>
      <c r="D91" s="239"/>
      <c r="E91" s="245"/>
      <c r="F91" s="246"/>
      <c r="G91" s="245"/>
      <c r="H91" s="246" t="s">
        <v>396</v>
      </c>
      <c r="I91" s="246"/>
      <c r="J91" s="246"/>
      <c r="K91" s="246"/>
      <c r="L91" s="202" t="s">
        <v>27</v>
      </c>
      <c r="M91" s="54"/>
      <c r="N91" s="54"/>
      <c r="O91" s="54"/>
      <c r="P91" s="54"/>
      <c r="Q91" s="54"/>
      <c r="R91" s="54"/>
      <c r="S91" s="54"/>
      <c r="T91" s="54"/>
      <c r="U91" s="54"/>
      <c r="V91" s="54"/>
      <c r="W91" s="54"/>
      <c r="X91" s="248"/>
    </row>
    <row r="92" spans="1:24" s="251" customFormat="1" outlineLevel="1" x14ac:dyDescent="0.25">
      <c r="A92" s="245"/>
      <c r="B92" s="298"/>
      <c r="C92" s="239"/>
      <c r="D92" s="239"/>
      <c r="E92" s="245"/>
      <c r="F92" s="246"/>
      <c r="G92" s="245"/>
      <c r="H92" s="246" t="s">
        <v>393</v>
      </c>
      <c r="I92" s="246"/>
      <c r="J92" s="246"/>
      <c r="K92" s="67" t="s">
        <v>324</v>
      </c>
      <c r="L92" s="202" t="s">
        <v>27</v>
      </c>
      <c r="M92" s="55"/>
      <c r="N92" s="55"/>
      <c r="O92" s="55"/>
      <c r="P92" s="55"/>
      <c r="Q92" s="55"/>
      <c r="R92" s="55"/>
      <c r="S92" s="55"/>
      <c r="T92" s="55"/>
      <c r="U92" s="55"/>
      <c r="V92" s="55"/>
      <c r="W92" s="55"/>
      <c r="X92" s="248"/>
    </row>
    <row r="93" spans="1:24" s="251" customFormat="1" outlineLevel="1" x14ac:dyDescent="0.25">
      <c r="A93" s="245"/>
      <c r="B93" s="298"/>
      <c r="C93" s="239"/>
      <c r="D93" s="239"/>
      <c r="E93" s="245"/>
      <c r="F93" s="246"/>
      <c r="G93" s="245"/>
      <c r="H93" s="246" t="s">
        <v>397</v>
      </c>
      <c r="I93" s="246"/>
      <c r="J93" s="246"/>
      <c r="K93" s="67" t="s">
        <v>324</v>
      </c>
      <c r="L93" s="202" t="s">
        <v>27</v>
      </c>
      <c r="M93" s="55"/>
      <c r="N93" s="55"/>
      <c r="O93" s="55"/>
      <c r="P93" s="55"/>
      <c r="Q93" s="55"/>
      <c r="R93" s="55"/>
      <c r="S93" s="55"/>
      <c r="T93" s="55"/>
      <c r="U93" s="55"/>
      <c r="V93" s="55"/>
      <c r="W93" s="55"/>
      <c r="X93" s="248"/>
    </row>
    <row r="94" spans="1:24" s="251" customFormat="1" outlineLevel="1" x14ac:dyDescent="0.25">
      <c r="A94" s="245"/>
      <c r="B94" s="298"/>
      <c r="C94" s="239"/>
      <c r="D94" s="239"/>
      <c r="E94" s="245"/>
      <c r="F94" s="246"/>
      <c r="G94" s="245"/>
      <c r="H94" s="246" t="s">
        <v>398</v>
      </c>
      <c r="I94" s="246"/>
      <c r="J94" s="246"/>
      <c r="K94" s="246"/>
      <c r="L94" s="202" t="s">
        <v>27</v>
      </c>
      <c r="M94" s="54"/>
      <c r="N94" s="54"/>
      <c r="O94" s="54"/>
      <c r="P94" s="54"/>
      <c r="Q94" s="54"/>
      <c r="R94" s="54"/>
      <c r="S94" s="54"/>
      <c r="T94" s="54"/>
      <c r="U94" s="54"/>
      <c r="V94" s="54"/>
      <c r="W94" s="54"/>
      <c r="X94" s="248"/>
    </row>
    <row r="95" spans="1:24" s="251" customFormat="1" outlineLevel="1" x14ac:dyDescent="0.25">
      <c r="A95" s="245"/>
      <c r="B95" s="298"/>
      <c r="C95" s="239"/>
      <c r="D95" s="239"/>
      <c r="E95" s="245"/>
      <c r="F95" s="246"/>
      <c r="G95" s="245"/>
      <c r="H95" s="246" t="s">
        <v>399</v>
      </c>
      <c r="I95" s="246"/>
      <c r="J95" s="246"/>
      <c r="K95" s="246"/>
      <c r="L95" s="202" t="s">
        <v>27</v>
      </c>
      <c r="M95" s="54"/>
      <c r="N95" s="54"/>
      <c r="O95" s="54"/>
      <c r="P95" s="54"/>
      <c r="Q95" s="54"/>
      <c r="R95" s="54"/>
      <c r="S95" s="54"/>
      <c r="T95" s="54"/>
      <c r="U95" s="54"/>
      <c r="V95" s="54"/>
      <c r="W95" s="54"/>
      <c r="X95" s="248"/>
    </row>
    <row r="96" spans="1:24" s="251" customFormat="1" outlineLevel="1" x14ac:dyDescent="0.25">
      <c r="A96" s="245"/>
      <c r="B96" s="298"/>
      <c r="C96" s="239"/>
      <c r="D96" s="239"/>
      <c r="E96" s="245"/>
      <c r="F96" s="246"/>
      <c r="G96" s="245"/>
      <c r="H96" s="246" t="s">
        <v>310</v>
      </c>
      <c r="I96" s="246"/>
      <c r="J96" s="246"/>
      <c r="K96" s="67" t="s">
        <v>324</v>
      </c>
      <c r="L96" s="202" t="s">
        <v>27</v>
      </c>
      <c r="M96" s="55"/>
      <c r="N96" s="55"/>
      <c r="O96" s="55"/>
      <c r="P96" s="55"/>
      <c r="Q96" s="55"/>
      <c r="R96" s="55"/>
      <c r="S96" s="55"/>
      <c r="T96" s="55"/>
      <c r="U96" s="55"/>
      <c r="V96" s="55"/>
      <c r="W96" s="55"/>
      <c r="X96" s="248"/>
    </row>
    <row r="97" spans="1:24" s="251" customFormat="1" outlineLevel="1" x14ac:dyDescent="0.25">
      <c r="A97" s="245"/>
      <c r="B97" s="298"/>
      <c r="C97" s="239"/>
      <c r="D97" s="239"/>
      <c r="E97" s="245"/>
      <c r="F97" s="246"/>
      <c r="G97" s="245"/>
      <c r="H97" s="246" t="s">
        <v>360</v>
      </c>
      <c r="I97" s="246"/>
      <c r="J97" s="246"/>
      <c r="K97" s="246" t="s">
        <v>321</v>
      </c>
      <c r="L97" s="202" t="s">
        <v>27</v>
      </c>
      <c r="M97" s="55"/>
      <c r="N97" s="55"/>
      <c r="O97" s="55"/>
      <c r="P97" s="55"/>
      <c r="Q97" s="55"/>
      <c r="R97" s="55"/>
      <c r="S97" s="55"/>
      <c r="T97" s="55"/>
      <c r="U97" s="55"/>
      <c r="V97" s="55"/>
      <c r="W97" s="55"/>
      <c r="X97" s="248"/>
    </row>
    <row r="98" spans="1:24" s="251" customFormat="1" outlineLevel="1" x14ac:dyDescent="0.25">
      <c r="A98" s="245"/>
      <c r="B98" s="298"/>
      <c r="C98" s="239"/>
      <c r="D98" s="239"/>
      <c r="E98" s="245"/>
      <c r="F98" s="25"/>
      <c r="G98" s="245"/>
      <c r="H98" s="67" t="s">
        <v>306</v>
      </c>
      <c r="I98" s="25"/>
      <c r="J98" s="67"/>
      <c r="K98" s="67" t="s">
        <v>45</v>
      </c>
      <c r="L98" s="202" t="s">
        <v>27</v>
      </c>
      <c r="M98" s="54">
        <v>0.63300000000000001</v>
      </c>
      <c r="N98" s="54">
        <f t="shared" ref="N98:W99" si="5">M98</f>
        <v>0.63300000000000001</v>
      </c>
      <c r="O98" s="54">
        <f t="shared" si="5"/>
        <v>0.63300000000000001</v>
      </c>
      <c r="P98" s="54">
        <f t="shared" si="5"/>
        <v>0.63300000000000001</v>
      </c>
      <c r="Q98" s="54">
        <f t="shared" si="5"/>
        <v>0.63300000000000001</v>
      </c>
      <c r="R98" s="54">
        <f t="shared" si="5"/>
        <v>0.63300000000000001</v>
      </c>
      <c r="S98" s="54">
        <f t="shared" si="5"/>
        <v>0.63300000000000001</v>
      </c>
      <c r="T98" s="54">
        <f t="shared" si="5"/>
        <v>0.63300000000000001</v>
      </c>
      <c r="U98" s="54">
        <f t="shared" si="5"/>
        <v>0.63300000000000001</v>
      </c>
      <c r="V98" s="54">
        <f t="shared" si="5"/>
        <v>0.63300000000000001</v>
      </c>
      <c r="W98" s="54">
        <f t="shared" si="5"/>
        <v>0.63300000000000001</v>
      </c>
      <c r="X98" s="248"/>
    </row>
    <row r="99" spans="1:24" s="251" customFormat="1" outlineLevel="1" x14ac:dyDescent="0.25">
      <c r="A99" s="245"/>
      <c r="B99" s="298"/>
      <c r="C99" s="239"/>
      <c r="D99" s="239"/>
      <c r="E99" s="245"/>
      <c r="F99" s="25"/>
      <c r="G99" s="245"/>
      <c r="H99" s="67" t="s">
        <v>306</v>
      </c>
      <c r="I99" s="25"/>
      <c r="J99" s="67"/>
      <c r="K99" s="67" t="s">
        <v>45</v>
      </c>
      <c r="L99" s="202" t="s">
        <v>27</v>
      </c>
      <c r="M99" s="54">
        <v>6.9000000000000006E-2</v>
      </c>
      <c r="N99" s="54">
        <f t="shared" si="5"/>
        <v>6.9000000000000006E-2</v>
      </c>
      <c r="O99" s="54">
        <f t="shared" si="5"/>
        <v>6.9000000000000006E-2</v>
      </c>
      <c r="P99" s="54">
        <f t="shared" si="5"/>
        <v>6.9000000000000006E-2</v>
      </c>
      <c r="Q99" s="54">
        <f t="shared" si="5"/>
        <v>6.9000000000000006E-2</v>
      </c>
      <c r="R99" s="54">
        <f t="shared" si="5"/>
        <v>6.9000000000000006E-2</v>
      </c>
      <c r="S99" s="54">
        <f t="shared" si="5"/>
        <v>6.9000000000000006E-2</v>
      </c>
      <c r="T99" s="54">
        <f t="shared" si="5"/>
        <v>6.9000000000000006E-2</v>
      </c>
      <c r="U99" s="54">
        <f t="shared" si="5"/>
        <v>6.9000000000000006E-2</v>
      </c>
      <c r="V99" s="54">
        <f t="shared" si="5"/>
        <v>6.9000000000000006E-2</v>
      </c>
      <c r="W99" s="54">
        <f t="shared" si="5"/>
        <v>6.9000000000000006E-2</v>
      </c>
      <c r="X99" s="248"/>
    </row>
    <row r="100" spans="1:24" s="305" customFormat="1" x14ac:dyDescent="0.25">
      <c r="A100" s="240"/>
      <c r="B100" s="290"/>
      <c r="C100" s="244"/>
      <c r="D100" s="244"/>
      <c r="E100" s="240"/>
      <c r="F100" s="220"/>
      <c r="G100" s="240"/>
      <c r="H100" s="303" t="s">
        <v>51</v>
      </c>
      <c r="I100" s="220"/>
      <c r="J100" s="219"/>
      <c r="K100" s="219"/>
      <c r="L100" s="307" t="s">
        <v>29</v>
      </c>
      <c r="M100" s="223"/>
      <c r="N100" s="223"/>
      <c r="O100" s="223"/>
      <c r="P100" s="223"/>
      <c r="Q100" s="223"/>
      <c r="R100" s="223"/>
      <c r="S100" s="223"/>
      <c r="T100" s="223"/>
      <c r="U100" s="223"/>
      <c r="V100" s="223"/>
      <c r="W100" s="223"/>
      <c r="X100" s="243"/>
    </row>
    <row r="101" spans="1:24" s="251" customFormat="1" outlineLevel="1" x14ac:dyDescent="0.25">
      <c r="A101" s="245"/>
      <c r="B101" s="298"/>
      <c r="C101" s="239"/>
      <c r="D101" s="239"/>
      <c r="E101" s="245"/>
      <c r="F101" s="246"/>
      <c r="G101" s="245"/>
      <c r="H101" s="246" t="s">
        <v>38</v>
      </c>
      <c r="I101" s="246"/>
      <c r="J101" s="246"/>
      <c r="K101" s="67" t="s">
        <v>40</v>
      </c>
      <c r="L101" s="202" t="s">
        <v>29</v>
      </c>
      <c r="M101" s="277">
        <v>2000</v>
      </c>
      <c r="N101" s="278">
        <f t="shared" ref="N101:W103" si="6">M101</f>
        <v>2000</v>
      </c>
      <c r="O101" s="278">
        <f t="shared" si="6"/>
        <v>2000</v>
      </c>
      <c r="P101" s="278">
        <f t="shared" si="6"/>
        <v>2000</v>
      </c>
      <c r="Q101" s="278">
        <f t="shared" si="6"/>
        <v>2000</v>
      </c>
      <c r="R101" s="278">
        <f t="shared" si="6"/>
        <v>2000</v>
      </c>
      <c r="S101" s="278">
        <f t="shared" si="6"/>
        <v>2000</v>
      </c>
      <c r="T101" s="278">
        <f t="shared" si="6"/>
        <v>2000</v>
      </c>
      <c r="U101" s="278">
        <f t="shared" si="6"/>
        <v>2000</v>
      </c>
      <c r="V101" s="278">
        <f t="shared" si="6"/>
        <v>2000</v>
      </c>
      <c r="W101" s="278">
        <f t="shared" si="6"/>
        <v>2000</v>
      </c>
      <c r="X101" s="248"/>
    </row>
    <row r="102" spans="1:24" s="251" customFormat="1" outlineLevel="1" x14ac:dyDescent="0.25">
      <c r="A102" s="245"/>
      <c r="B102" s="298"/>
      <c r="C102" s="239"/>
      <c r="D102" s="239"/>
      <c r="E102" s="245"/>
      <c r="F102" s="246"/>
      <c r="G102" s="245"/>
      <c r="H102" s="246" t="s">
        <v>37</v>
      </c>
      <c r="I102" s="246"/>
      <c r="J102" s="246"/>
      <c r="K102" s="67" t="s">
        <v>40</v>
      </c>
      <c r="L102" s="202" t="s">
        <v>29</v>
      </c>
      <c r="M102" s="277">
        <v>2100</v>
      </c>
      <c r="N102" s="278">
        <f t="shared" si="6"/>
        <v>2100</v>
      </c>
      <c r="O102" s="278">
        <f t="shared" si="6"/>
        <v>2100</v>
      </c>
      <c r="P102" s="278">
        <f t="shared" si="6"/>
        <v>2100</v>
      </c>
      <c r="Q102" s="278">
        <f t="shared" si="6"/>
        <v>2100</v>
      </c>
      <c r="R102" s="278">
        <f t="shared" si="6"/>
        <v>2100</v>
      </c>
      <c r="S102" s="278">
        <f t="shared" si="6"/>
        <v>2100</v>
      </c>
      <c r="T102" s="278">
        <f t="shared" si="6"/>
        <v>2100</v>
      </c>
      <c r="U102" s="278">
        <f t="shared" si="6"/>
        <v>2100</v>
      </c>
      <c r="V102" s="278">
        <f t="shared" si="6"/>
        <v>2100</v>
      </c>
      <c r="W102" s="278">
        <f t="shared" si="6"/>
        <v>2100</v>
      </c>
      <c r="X102" s="248"/>
    </row>
    <row r="103" spans="1:24" s="251" customFormat="1" outlineLevel="1" x14ac:dyDescent="0.25">
      <c r="A103" s="245"/>
      <c r="B103" s="298"/>
      <c r="C103" s="239"/>
      <c r="D103" s="239"/>
      <c r="E103" s="245"/>
      <c r="F103" s="246"/>
      <c r="G103" s="245"/>
      <c r="H103" s="246" t="s">
        <v>39</v>
      </c>
      <c r="I103" s="246"/>
      <c r="J103" s="246"/>
      <c r="K103" s="67" t="s">
        <v>10</v>
      </c>
      <c r="L103" s="202" t="s">
        <v>29</v>
      </c>
      <c r="M103" s="55">
        <v>25</v>
      </c>
      <c r="N103" s="229">
        <f t="shared" si="6"/>
        <v>25</v>
      </c>
      <c r="O103" s="229">
        <f t="shared" si="6"/>
        <v>25</v>
      </c>
      <c r="P103" s="229">
        <f t="shared" si="6"/>
        <v>25</v>
      </c>
      <c r="Q103" s="229">
        <f t="shared" si="6"/>
        <v>25</v>
      </c>
      <c r="R103" s="229">
        <f t="shared" si="6"/>
        <v>25</v>
      </c>
      <c r="S103" s="229">
        <f t="shared" si="6"/>
        <v>25</v>
      </c>
      <c r="T103" s="229">
        <f t="shared" si="6"/>
        <v>25</v>
      </c>
      <c r="U103" s="229">
        <f t="shared" si="6"/>
        <v>25</v>
      </c>
      <c r="V103" s="229">
        <f t="shared" si="6"/>
        <v>25</v>
      </c>
      <c r="W103" s="229">
        <f t="shared" si="6"/>
        <v>25</v>
      </c>
      <c r="X103" s="248"/>
    </row>
    <row r="104" spans="1:24" s="251" customFormat="1" outlineLevel="1" x14ac:dyDescent="0.25">
      <c r="A104" s="245"/>
      <c r="B104" s="298"/>
      <c r="C104" s="239"/>
      <c r="D104" s="239"/>
      <c r="E104" s="245"/>
      <c r="F104" s="246"/>
      <c r="G104" s="245"/>
      <c r="H104" s="246" t="s">
        <v>361</v>
      </c>
      <c r="I104" s="246"/>
      <c r="J104" s="246"/>
      <c r="K104" s="246" t="s">
        <v>10</v>
      </c>
      <c r="L104" s="202" t="s">
        <v>29</v>
      </c>
      <c r="M104" s="55"/>
      <c r="N104" s="55"/>
      <c r="O104" s="55"/>
      <c r="P104" s="55"/>
      <c r="Q104" s="55"/>
      <c r="R104" s="55"/>
      <c r="S104" s="55"/>
      <c r="T104" s="55"/>
      <c r="U104" s="55"/>
      <c r="V104" s="55"/>
      <c r="W104" s="55"/>
      <c r="X104" s="248"/>
    </row>
    <row r="105" spans="1:24" s="251" customFormat="1" outlineLevel="1" x14ac:dyDescent="0.25">
      <c r="A105" s="245"/>
      <c r="B105" s="298"/>
      <c r="C105" s="239"/>
      <c r="D105" s="239"/>
      <c r="E105" s="245"/>
      <c r="F105" s="246"/>
      <c r="G105" s="245"/>
      <c r="H105" s="246" t="s">
        <v>309</v>
      </c>
      <c r="I105" s="246"/>
      <c r="J105" s="246"/>
      <c r="K105" s="67" t="s">
        <v>97</v>
      </c>
      <c r="L105" s="202" t="s">
        <v>29</v>
      </c>
      <c r="M105" s="271">
        <v>0.25</v>
      </c>
      <c r="N105" s="272">
        <f t="shared" ref="N105:W105" si="7">M105</f>
        <v>0.25</v>
      </c>
      <c r="O105" s="272">
        <f t="shared" si="7"/>
        <v>0.25</v>
      </c>
      <c r="P105" s="272">
        <f t="shared" si="7"/>
        <v>0.25</v>
      </c>
      <c r="Q105" s="272">
        <f t="shared" si="7"/>
        <v>0.25</v>
      </c>
      <c r="R105" s="272">
        <f t="shared" si="7"/>
        <v>0.25</v>
      </c>
      <c r="S105" s="272">
        <f t="shared" si="7"/>
        <v>0.25</v>
      </c>
      <c r="T105" s="272">
        <f t="shared" si="7"/>
        <v>0.25</v>
      </c>
      <c r="U105" s="272">
        <f t="shared" si="7"/>
        <v>0.25</v>
      </c>
      <c r="V105" s="272">
        <f t="shared" si="7"/>
        <v>0.25</v>
      </c>
      <c r="W105" s="272">
        <f t="shared" si="7"/>
        <v>0.25</v>
      </c>
      <c r="X105" s="248"/>
    </row>
    <row r="106" spans="1:24" s="251" customFormat="1" outlineLevel="1" x14ac:dyDescent="0.25">
      <c r="A106" s="245"/>
      <c r="B106" s="298"/>
      <c r="C106" s="239"/>
      <c r="D106" s="239"/>
      <c r="E106" s="245"/>
      <c r="F106" s="246"/>
      <c r="G106" s="245"/>
      <c r="H106" s="246" t="s">
        <v>358</v>
      </c>
      <c r="I106" s="246"/>
      <c r="J106" s="246"/>
      <c r="K106" s="246" t="s">
        <v>97</v>
      </c>
      <c r="L106" s="202" t="s">
        <v>29</v>
      </c>
      <c r="M106" s="271"/>
      <c r="N106" s="271"/>
      <c r="O106" s="271"/>
      <c r="P106" s="271"/>
      <c r="Q106" s="271"/>
      <c r="R106" s="271"/>
      <c r="S106" s="271"/>
      <c r="T106" s="271"/>
      <c r="U106" s="271"/>
      <c r="V106" s="271"/>
      <c r="W106" s="271"/>
      <c r="X106" s="248"/>
    </row>
    <row r="107" spans="1:24" s="251" customFormat="1" outlineLevel="1" x14ac:dyDescent="0.25">
      <c r="A107" s="245"/>
      <c r="B107" s="298"/>
      <c r="C107" s="239"/>
      <c r="D107" s="239"/>
      <c r="E107" s="245"/>
      <c r="F107" s="246"/>
      <c r="G107" s="245"/>
      <c r="H107" s="246" t="s">
        <v>357</v>
      </c>
      <c r="I107" s="246"/>
      <c r="J107" s="246"/>
      <c r="K107" s="246" t="s">
        <v>97</v>
      </c>
      <c r="L107" s="202" t="s">
        <v>29</v>
      </c>
      <c r="M107" s="271"/>
      <c r="N107" s="271"/>
      <c r="O107" s="271"/>
      <c r="P107" s="271"/>
      <c r="Q107" s="271"/>
      <c r="R107" s="271"/>
      <c r="S107" s="271"/>
      <c r="T107" s="271"/>
      <c r="U107" s="271"/>
      <c r="V107" s="271"/>
      <c r="W107" s="271"/>
      <c r="X107" s="248"/>
    </row>
    <row r="108" spans="1:24" s="251" customFormat="1" outlineLevel="1" x14ac:dyDescent="0.25">
      <c r="A108" s="245"/>
      <c r="B108" s="298"/>
      <c r="C108" s="239"/>
      <c r="D108" s="239"/>
      <c r="E108" s="245"/>
      <c r="F108" s="246"/>
      <c r="G108" s="245"/>
      <c r="H108" s="246" t="s">
        <v>75</v>
      </c>
      <c r="I108" s="246"/>
      <c r="J108" s="246"/>
      <c r="K108" s="67" t="s">
        <v>97</v>
      </c>
      <c r="L108" s="202" t="s">
        <v>29</v>
      </c>
      <c r="M108" s="271">
        <v>0</v>
      </c>
      <c r="N108" s="271"/>
      <c r="O108" s="271"/>
      <c r="P108" s="271"/>
      <c r="Q108" s="271"/>
      <c r="R108" s="271"/>
      <c r="S108" s="271"/>
      <c r="T108" s="271"/>
      <c r="U108" s="271"/>
      <c r="V108" s="271"/>
      <c r="W108" s="271"/>
      <c r="X108" s="248"/>
    </row>
    <row r="109" spans="1:24" s="251" customFormat="1" outlineLevel="1" x14ac:dyDescent="0.25">
      <c r="A109" s="245"/>
      <c r="B109" s="298"/>
      <c r="C109" s="239"/>
      <c r="D109" s="239"/>
      <c r="E109" s="245"/>
      <c r="F109" s="68"/>
      <c r="G109" s="245"/>
      <c r="H109" s="68" t="s">
        <v>148</v>
      </c>
      <c r="I109" s="68"/>
      <c r="K109" s="68" t="s">
        <v>97</v>
      </c>
      <c r="L109" s="202" t="s">
        <v>29</v>
      </c>
      <c r="M109" s="271"/>
      <c r="N109" s="271"/>
      <c r="O109" s="271"/>
      <c r="P109" s="271"/>
      <c r="Q109" s="271"/>
      <c r="R109" s="271"/>
      <c r="S109" s="271"/>
      <c r="T109" s="271"/>
      <c r="U109" s="271"/>
      <c r="V109" s="271"/>
      <c r="W109" s="271"/>
      <c r="X109" s="248"/>
    </row>
    <row r="110" spans="1:24" s="251" customFormat="1" outlineLevel="1" x14ac:dyDescent="0.25">
      <c r="A110" s="245"/>
      <c r="B110" s="298"/>
      <c r="C110" s="239"/>
      <c r="D110" s="239"/>
      <c r="E110" s="245"/>
      <c r="F110" s="68"/>
      <c r="G110" s="245"/>
      <c r="H110" s="68" t="s">
        <v>149</v>
      </c>
      <c r="I110" s="68"/>
      <c r="K110" s="68" t="s">
        <v>97</v>
      </c>
      <c r="L110" s="202" t="s">
        <v>29</v>
      </c>
      <c r="M110" s="271"/>
      <c r="N110" s="271"/>
      <c r="O110" s="271"/>
      <c r="P110" s="271"/>
      <c r="Q110" s="271"/>
      <c r="R110" s="271"/>
      <c r="S110" s="271"/>
      <c r="T110" s="271"/>
      <c r="U110" s="271"/>
      <c r="V110" s="271"/>
      <c r="W110" s="271"/>
      <c r="X110" s="248"/>
    </row>
    <row r="111" spans="1:24" s="251" customFormat="1" outlineLevel="1" x14ac:dyDescent="0.25">
      <c r="A111" s="245"/>
      <c r="B111" s="298"/>
      <c r="C111" s="239"/>
      <c r="D111" s="239"/>
      <c r="E111" s="245"/>
      <c r="F111" s="68"/>
      <c r="G111" s="245"/>
      <c r="H111" s="68" t="s">
        <v>370</v>
      </c>
      <c r="I111" s="68"/>
      <c r="K111" s="68" t="s">
        <v>97</v>
      </c>
      <c r="L111" s="202" t="s">
        <v>29</v>
      </c>
      <c r="M111" s="271"/>
      <c r="N111" s="271"/>
      <c r="O111" s="271"/>
      <c r="P111" s="271"/>
      <c r="Q111" s="271"/>
      <c r="R111" s="271"/>
      <c r="S111" s="271"/>
      <c r="T111" s="271"/>
      <c r="U111" s="271"/>
      <c r="V111" s="271"/>
      <c r="W111" s="271"/>
      <c r="X111" s="248"/>
    </row>
    <row r="112" spans="1:24" s="251" customFormat="1" outlineLevel="1" x14ac:dyDescent="0.25">
      <c r="A112" s="245"/>
      <c r="B112" s="298"/>
      <c r="C112" s="239"/>
      <c r="D112" s="239"/>
      <c r="E112" s="245"/>
      <c r="F112" s="68"/>
      <c r="G112" s="245"/>
      <c r="H112" s="68" t="s">
        <v>371</v>
      </c>
      <c r="I112" s="68"/>
      <c r="K112" s="68" t="s">
        <v>97</v>
      </c>
      <c r="L112" s="202" t="s">
        <v>29</v>
      </c>
      <c r="M112" s="271"/>
      <c r="N112" s="271"/>
      <c r="O112" s="271"/>
      <c r="P112" s="271"/>
      <c r="Q112" s="271"/>
      <c r="R112" s="271"/>
      <c r="S112" s="271"/>
      <c r="T112" s="271"/>
      <c r="U112" s="271"/>
      <c r="V112" s="271"/>
      <c r="W112" s="271"/>
      <c r="X112" s="248"/>
    </row>
    <row r="113" spans="1:24" s="251" customFormat="1" outlineLevel="1" x14ac:dyDescent="0.25">
      <c r="A113" s="245"/>
      <c r="B113" s="298"/>
      <c r="C113" s="239"/>
      <c r="D113" s="239"/>
      <c r="E113" s="245"/>
      <c r="F113" s="246"/>
      <c r="G113" s="245"/>
      <c r="H113" s="246" t="s">
        <v>338</v>
      </c>
      <c r="I113" s="246"/>
      <c r="J113" s="246"/>
      <c r="K113" s="67" t="s">
        <v>36</v>
      </c>
      <c r="L113" s="202" t="s">
        <v>29</v>
      </c>
      <c r="M113" s="55"/>
      <c r="N113" s="55"/>
      <c r="O113" s="55"/>
      <c r="P113" s="55"/>
      <c r="Q113" s="55"/>
      <c r="R113" s="55"/>
      <c r="S113" s="55"/>
      <c r="T113" s="55"/>
      <c r="U113" s="55"/>
      <c r="V113" s="55"/>
      <c r="W113" s="55"/>
      <c r="X113" s="248"/>
    </row>
    <row r="114" spans="1:24" s="251" customFormat="1" outlineLevel="1" x14ac:dyDescent="0.25">
      <c r="A114" s="245"/>
      <c r="B114" s="298"/>
      <c r="C114" s="239"/>
      <c r="D114" s="239"/>
      <c r="E114" s="245"/>
      <c r="F114" s="246"/>
      <c r="G114" s="245"/>
      <c r="H114" s="246" t="s">
        <v>152</v>
      </c>
      <c r="I114" s="246"/>
      <c r="J114" s="246"/>
      <c r="K114" s="67" t="s">
        <v>321</v>
      </c>
      <c r="L114" s="202" t="s">
        <v>29</v>
      </c>
      <c r="M114" s="55">
        <v>2655</v>
      </c>
      <c r="N114" s="262">
        <f t="shared" ref="N114:W114" si="8">M114</f>
        <v>2655</v>
      </c>
      <c r="O114" s="262">
        <f t="shared" si="8"/>
        <v>2655</v>
      </c>
      <c r="P114" s="262">
        <f t="shared" si="8"/>
        <v>2655</v>
      </c>
      <c r="Q114" s="262">
        <f t="shared" si="8"/>
        <v>2655</v>
      </c>
      <c r="R114" s="262">
        <f t="shared" si="8"/>
        <v>2655</v>
      </c>
      <c r="S114" s="262">
        <f t="shared" si="8"/>
        <v>2655</v>
      </c>
      <c r="T114" s="262">
        <f t="shared" si="8"/>
        <v>2655</v>
      </c>
      <c r="U114" s="262">
        <f t="shared" si="8"/>
        <v>2655</v>
      </c>
      <c r="V114" s="262">
        <f t="shared" si="8"/>
        <v>2655</v>
      </c>
      <c r="W114" s="262">
        <f t="shared" si="8"/>
        <v>2655</v>
      </c>
      <c r="X114" s="248"/>
    </row>
    <row r="115" spans="1:24" s="251" customFormat="1" outlineLevel="1" x14ac:dyDescent="0.25">
      <c r="A115" s="245"/>
      <c r="B115" s="298"/>
      <c r="C115" s="239"/>
      <c r="D115" s="239"/>
      <c r="E115" s="245"/>
      <c r="F115" s="246"/>
      <c r="G115" s="245"/>
      <c r="H115" s="246" t="s">
        <v>383</v>
      </c>
      <c r="I115" s="246"/>
      <c r="J115" s="246"/>
      <c r="K115" s="246" t="s">
        <v>97</v>
      </c>
      <c r="L115" s="202" t="s">
        <v>29</v>
      </c>
      <c r="M115" s="271"/>
      <c r="N115" s="271"/>
      <c r="O115" s="271"/>
      <c r="P115" s="271"/>
      <c r="Q115" s="271"/>
      <c r="R115" s="271"/>
      <c r="S115" s="271"/>
      <c r="T115" s="271"/>
      <c r="U115" s="271"/>
      <c r="V115" s="271"/>
      <c r="W115" s="271"/>
      <c r="X115" s="248"/>
    </row>
    <row r="116" spans="1:24" s="251" customFormat="1" outlineLevel="1" x14ac:dyDescent="0.25">
      <c r="A116" s="245"/>
      <c r="B116" s="298"/>
      <c r="C116" s="239"/>
      <c r="D116" s="239"/>
      <c r="E116" s="245"/>
      <c r="F116" s="246"/>
      <c r="G116" s="245"/>
      <c r="H116" s="246" t="s">
        <v>446</v>
      </c>
      <c r="I116" s="246"/>
      <c r="J116" s="246"/>
      <c r="K116" s="67" t="s">
        <v>36</v>
      </c>
      <c r="L116" s="202" t="s">
        <v>29</v>
      </c>
      <c r="M116" s="55"/>
      <c r="N116" s="55"/>
      <c r="O116" s="55"/>
      <c r="P116" s="55"/>
      <c r="Q116" s="55"/>
      <c r="R116" s="55"/>
      <c r="S116" s="55"/>
      <c r="T116" s="55"/>
      <c r="U116" s="55"/>
      <c r="V116" s="55"/>
      <c r="W116" s="55"/>
      <c r="X116" s="248"/>
    </row>
    <row r="117" spans="1:24" s="251" customFormat="1" outlineLevel="1" x14ac:dyDescent="0.25">
      <c r="A117" s="245"/>
      <c r="B117" s="298"/>
      <c r="C117" s="239"/>
      <c r="D117" s="239"/>
      <c r="E117" s="245"/>
      <c r="F117" s="246"/>
      <c r="G117" s="245"/>
      <c r="H117" s="246" t="s">
        <v>387</v>
      </c>
      <c r="I117" s="246"/>
      <c r="J117" s="246"/>
      <c r="K117" s="246"/>
      <c r="L117" s="202" t="s">
        <v>29</v>
      </c>
      <c r="M117" s="54"/>
      <c r="N117" s="54"/>
      <c r="O117" s="54"/>
      <c r="P117" s="54"/>
      <c r="Q117" s="54"/>
      <c r="R117" s="54"/>
      <c r="S117" s="54"/>
      <c r="T117" s="54"/>
      <c r="U117" s="54"/>
      <c r="V117" s="54"/>
      <c r="W117" s="54"/>
      <c r="X117" s="248"/>
    </row>
    <row r="118" spans="1:24" s="251" customFormat="1" outlineLevel="1" x14ac:dyDescent="0.25">
      <c r="A118" s="245"/>
      <c r="B118" s="298"/>
      <c r="C118" s="239"/>
      <c r="D118" s="239"/>
      <c r="E118" s="245"/>
      <c r="F118" s="246"/>
      <c r="G118" s="245"/>
      <c r="H118" s="246" t="s">
        <v>369</v>
      </c>
      <c r="I118" s="246"/>
      <c r="J118" s="246"/>
      <c r="K118" s="246" t="s">
        <v>97</v>
      </c>
      <c r="L118" s="202" t="s">
        <v>29</v>
      </c>
      <c r="M118" s="271"/>
      <c r="N118" s="271"/>
      <c r="O118" s="271"/>
      <c r="P118" s="271"/>
      <c r="Q118" s="271"/>
      <c r="R118" s="271"/>
      <c r="S118" s="271"/>
      <c r="T118" s="271"/>
      <c r="U118" s="271"/>
      <c r="V118" s="271"/>
      <c r="W118" s="271"/>
      <c r="X118" s="248"/>
    </row>
    <row r="119" spans="1:24" s="251" customFormat="1" outlineLevel="1" x14ac:dyDescent="0.25">
      <c r="A119" s="245"/>
      <c r="B119" s="298"/>
      <c r="C119" s="239"/>
      <c r="D119" s="239"/>
      <c r="E119" s="245"/>
      <c r="F119" s="246"/>
      <c r="G119" s="245"/>
      <c r="H119" s="246" t="s">
        <v>392</v>
      </c>
      <c r="I119" s="246"/>
      <c r="J119" s="246"/>
      <c r="K119" s="246" t="s">
        <v>321</v>
      </c>
      <c r="L119" s="202" t="s">
        <v>29</v>
      </c>
      <c r="M119" s="55"/>
      <c r="N119" s="55"/>
      <c r="O119" s="55"/>
      <c r="P119" s="55"/>
      <c r="Q119" s="55"/>
      <c r="R119" s="55"/>
      <c r="S119" s="55"/>
      <c r="T119" s="55"/>
      <c r="U119" s="55"/>
      <c r="V119" s="55"/>
      <c r="W119" s="55"/>
      <c r="X119" s="248"/>
    </row>
    <row r="120" spans="1:24" s="251" customFormat="1" outlineLevel="1" x14ac:dyDescent="0.25">
      <c r="A120" s="245"/>
      <c r="B120" s="298"/>
      <c r="C120" s="239"/>
      <c r="D120" s="239"/>
      <c r="E120" s="245"/>
      <c r="F120" s="246"/>
      <c r="G120" s="245"/>
      <c r="H120" s="246" t="s">
        <v>394</v>
      </c>
      <c r="I120" s="246"/>
      <c r="J120" s="246"/>
      <c r="K120" s="246" t="s">
        <v>321</v>
      </c>
      <c r="L120" s="202" t="s">
        <v>29</v>
      </c>
      <c r="M120" s="55"/>
      <c r="N120" s="55"/>
      <c r="O120" s="55"/>
      <c r="P120" s="55"/>
      <c r="Q120" s="55"/>
      <c r="R120" s="55"/>
      <c r="S120" s="55"/>
      <c r="T120" s="55"/>
      <c r="U120" s="55"/>
      <c r="V120" s="55"/>
      <c r="W120" s="55"/>
      <c r="X120" s="248"/>
    </row>
    <row r="121" spans="1:24" s="251" customFormat="1" outlineLevel="1" x14ac:dyDescent="0.25">
      <c r="A121" s="245"/>
      <c r="B121" s="298"/>
      <c r="C121" s="239"/>
      <c r="D121" s="239"/>
      <c r="E121" s="245"/>
      <c r="F121" s="246"/>
      <c r="G121" s="245"/>
      <c r="H121" s="246" t="s">
        <v>395</v>
      </c>
      <c r="I121" s="246"/>
      <c r="J121" s="246"/>
      <c r="K121" s="246"/>
      <c r="L121" s="202" t="s">
        <v>29</v>
      </c>
      <c r="M121" s="54"/>
      <c r="N121" s="54"/>
      <c r="O121" s="54"/>
      <c r="P121" s="54"/>
      <c r="Q121" s="54"/>
      <c r="R121" s="54"/>
      <c r="S121" s="54"/>
      <c r="T121" s="54"/>
      <c r="U121" s="54"/>
      <c r="V121" s="54"/>
      <c r="W121" s="54"/>
      <c r="X121" s="248"/>
    </row>
    <row r="122" spans="1:24" s="251" customFormat="1" outlineLevel="1" x14ac:dyDescent="0.25">
      <c r="A122" s="245"/>
      <c r="B122" s="298"/>
      <c r="C122" s="239"/>
      <c r="D122" s="239"/>
      <c r="E122" s="245"/>
      <c r="F122" s="246"/>
      <c r="G122" s="245"/>
      <c r="H122" s="246" t="s">
        <v>396</v>
      </c>
      <c r="I122" s="246"/>
      <c r="J122" s="246"/>
      <c r="K122" s="246"/>
      <c r="L122" s="202" t="s">
        <v>29</v>
      </c>
      <c r="M122" s="54"/>
      <c r="N122" s="54"/>
      <c r="O122" s="54"/>
      <c r="P122" s="54"/>
      <c r="Q122" s="54"/>
      <c r="R122" s="54"/>
      <c r="S122" s="54"/>
      <c r="T122" s="54"/>
      <c r="U122" s="54"/>
      <c r="V122" s="54"/>
      <c r="W122" s="54"/>
      <c r="X122" s="248"/>
    </row>
    <row r="123" spans="1:24" s="251" customFormat="1" outlineLevel="1" x14ac:dyDescent="0.25">
      <c r="A123" s="245"/>
      <c r="B123" s="298"/>
      <c r="C123" s="255"/>
      <c r="D123" s="255"/>
      <c r="E123" s="245"/>
      <c r="F123" s="246"/>
      <c r="G123" s="245"/>
      <c r="H123" s="246" t="s">
        <v>393</v>
      </c>
      <c r="I123" s="246"/>
      <c r="J123" s="246"/>
      <c r="K123" s="67" t="s">
        <v>324</v>
      </c>
      <c r="L123" s="202" t="s">
        <v>29</v>
      </c>
      <c r="M123" s="55"/>
      <c r="N123" s="55"/>
      <c r="O123" s="55"/>
      <c r="P123" s="55"/>
      <c r="Q123" s="55"/>
      <c r="R123" s="55"/>
      <c r="S123" s="55"/>
      <c r="T123" s="55"/>
      <c r="U123" s="55"/>
      <c r="V123" s="55"/>
      <c r="W123" s="55"/>
      <c r="X123" s="248"/>
    </row>
    <row r="124" spans="1:24" s="251" customFormat="1" outlineLevel="1" x14ac:dyDescent="0.25">
      <c r="A124" s="245"/>
      <c r="B124" s="298"/>
      <c r="C124" s="255"/>
      <c r="D124" s="255"/>
      <c r="E124" s="245"/>
      <c r="F124" s="246"/>
      <c r="G124" s="245"/>
      <c r="H124" s="246" t="s">
        <v>397</v>
      </c>
      <c r="I124" s="246"/>
      <c r="J124" s="246"/>
      <c r="K124" s="67" t="s">
        <v>324</v>
      </c>
      <c r="L124" s="202" t="s">
        <v>29</v>
      </c>
      <c r="M124" s="55"/>
      <c r="N124" s="55"/>
      <c r="O124" s="55"/>
      <c r="P124" s="55"/>
      <c r="Q124" s="55"/>
      <c r="R124" s="55"/>
      <c r="S124" s="55"/>
      <c r="T124" s="55"/>
      <c r="U124" s="55"/>
      <c r="V124" s="55"/>
      <c r="W124" s="55"/>
      <c r="X124" s="248"/>
    </row>
    <row r="125" spans="1:24" s="251" customFormat="1" outlineLevel="1" x14ac:dyDescent="0.25">
      <c r="A125" s="245"/>
      <c r="B125" s="298"/>
      <c r="C125" s="255"/>
      <c r="D125" s="255"/>
      <c r="E125" s="245"/>
      <c r="F125" s="246"/>
      <c r="G125" s="245"/>
      <c r="H125" s="246" t="s">
        <v>398</v>
      </c>
      <c r="I125" s="246"/>
      <c r="J125" s="246"/>
      <c r="K125" s="246"/>
      <c r="L125" s="202" t="s">
        <v>29</v>
      </c>
      <c r="M125" s="54"/>
      <c r="N125" s="54"/>
      <c r="O125" s="54"/>
      <c r="P125" s="54"/>
      <c r="Q125" s="54"/>
      <c r="R125" s="54"/>
      <c r="S125" s="54"/>
      <c r="T125" s="54"/>
      <c r="U125" s="54"/>
      <c r="V125" s="54"/>
      <c r="W125" s="54"/>
      <c r="X125" s="248"/>
    </row>
    <row r="126" spans="1:24" s="251" customFormat="1" outlineLevel="1" x14ac:dyDescent="0.25">
      <c r="A126" s="245"/>
      <c r="B126" s="298"/>
      <c r="C126" s="255"/>
      <c r="D126" s="255"/>
      <c r="E126" s="245"/>
      <c r="F126" s="246"/>
      <c r="G126" s="245"/>
      <c r="H126" s="246" t="s">
        <v>399</v>
      </c>
      <c r="I126" s="246"/>
      <c r="J126" s="246"/>
      <c r="K126" s="246"/>
      <c r="L126" s="202" t="s">
        <v>29</v>
      </c>
      <c r="M126" s="54"/>
      <c r="N126" s="54"/>
      <c r="O126" s="54"/>
      <c r="P126" s="54"/>
      <c r="Q126" s="54"/>
      <c r="R126" s="54"/>
      <c r="S126" s="54"/>
      <c r="T126" s="54"/>
      <c r="U126" s="54"/>
      <c r="V126" s="54"/>
      <c r="W126" s="54"/>
      <c r="X126" s="248"/>
    </row>
    <row r="127" spans="1:24" s="251" customFormat="1" outlineLevel="1" x14ac:dyDescent="0.25">
      <c r="A127" s="245"/>
      <c r="B127" s="298"/>
      <c r="C127" s="255"/>
      <c r="D127" s="255"/>
      <c r="E127" s="245"/>
      <c r="F127" s="246"/>
      <c r="G127" s="245"/>
      <c r="H127" s="246" t="s">
        <v>310</v>
      </c>
      <c r="I127" s="246"/>
      <c r="J127" s="246"/>
      <c r="K127" s="67" t="s">
        <v>324</v>
      </c>
      <c r="L127" s="202" t="s">
        <v>29</v>
      </c>
      <c r="M127" s="55"/>
      <c r="N127" s="55"/>
      <c r="O127" s="55"/>
      <c r="P127" s="55"/>
      <c r="Q127" s="55"/>
      <c r="R127" s="55"/>
      <c r="S127" s="55"/>
      <c r="T127" s="55"/>
      <c r="U127" s="55"/>
      <c r="V127" s="55"/>
      <c r="W127" s="55"/>
      <c r="X127" s="248"/>
    </row>
    <row r="128" spans="1:24" s="251" customFormat="1" outlineLevel="1" x14ac:dyDescent="0.25">
      <c r="A128" s="245"/>
      <c r="B128" s="298"/>
      <c r="C128" s="255"/>
      <c r="D128" s="255"/>
      <c r="E128" s="245"/>
      <c r="F128" s="246"/>
      <c r="G128" s="245"/>
      <c r="H128" s="246" t="s">
        <v>360</v>
      </c>
      <c r="I128" s="246"/>
      <c r="J128" s="246"/>
      <c r="K128" s="246" t="s">
        <v>321</v>
      </c>
      <c r="L128" s="202" t="s">
        <v>29</v>
      </c>
      <c r="M128" s="55"/>
      <c r="N128" s="55"/>
      <c r="O128" s="55"/>
      <c r="P128" s="55"/>
      <c r="Q128" s="55"/>
      <c r="R128" s="55"/>
      <c r="S128" s="55"/>
      <c r="T128" s="55"/>
      <c r="U128" s="55"/>
      <c r="V128" s="55"/>
      <c r="W128" s="55"/>
      <c r="X128" s="248"/>
    </row>
    <row r="129" spans="1:24" s="251" customFormat="1" outlineLevel="1" x14ac:dyDescent="0.25">
      <c r="A129" s="245"/>
      <c r="B129" s="298"/>
      <c r="C129" s="255"/>
      <c r="D129" s="255"/>
      <c r="E129" s="245"/>
      <c r="F129" s="25"/>
      <c r="G129" s="245"/>
      <c r="H129" s="67" t="s">
        <v>306</v>
      </c>
      <c r="I129" s="25"/>
      <c r="J129" s="67"/>
      <c r="K129" s="67" t="s">
        <v>45</v>
      </c>
      <c r="L129" s="202" t="s">
        <v>29</v>
      </c>
      <c r="M129" s="54">
        <v>0.51500000000000001</v>
      </c>
      <c r="N129" s="54">
        <f t="shared" ref="N129:W130" si="9">M129</f>
        <v>0.51500000000000001</v>
      </c>
      <c r="O129" s="54">
        <f t="shared" si="9"/>
        <v>0.51500000000000001</v>
      </c>
      <c r="P129" s="54">
        <f t="shared" si="9"/>
        <v>0.51500000000000001</v>
      </c>
      <c r="Q129" s="54">
        <f t="shared" si="9"/>
        <v>0.51500000000000001</v>
      </c>
      <c r="R129" s="54">
        <f t="shared" si="9"/>
        <v>0.51500000000000001</v>
      </c>
      <c r="S129" s="54">
        <f t="shared" si="9"/>
        <v>0.51500000000000001</v>
      </c>
      <c r="T129" s="54">
        <f t="shared" si="9"/>
        <v>0.51500000000000001</v>
      </c>
      <c r="U129" s="54">
        <f t="shared" si="9"/>
        <v>0.51500000000000001</v>
      </c>
      <c r="V129" s="54">
        <f t="shared" si="9"/>
        <v>0.51500000000000001</v>
      </c>
      <c r="W129" s="54">
        <f t="shared" si="9"/>
        <v>0.51500000000000001</v>
      </c>
      <c r="X129" s="248"/>
    </row>
    <row r="130" spans="1:24" s="251" customFormat="1" outlineLevel="1" x14ac:dyDescent="0.25">
      <c r="A130" s="245"/>
      <c r="B130" s="298"/>
      <c r="C130" s="255"/>
      <c r="D130" s="255"/>
      <c r="E130" s="245"/>
      <c r="F130" s="25"/>
      <c r="G130" s="245"/>
      <c r="H130" s="67" t="s">
        <v>306</v>
      </c>
      <c r="I130" s="25"/>
      <c r="J130" s="67"/>
      <c r="K130" s="67" t="s">
        <v>45</v>
      </c>
      <c r="L130" s="202" t="s">
        <v>29</v>
      </c>
      <c r="M130" s="54">
        <v>5.6000000000000001E-2</v>
      </c>
      <c r="N130" s="54">
        <f t="shared" si="9"/>
        <v>5.6000000000000001E-2</v>
      </c>
      <c r="O130" s="54">
        <f t="shared" si="9"/>
        <v>5.6000000000000001E-2</v>
      </c>
      <c r="P130" s="54">
        <f t="shared" si="9"/>
        <v>5.6000000000000001E-2</v>
      </c>
      <c r="Q130" s="54">
        <f t="shared" si="9"/>
        <v>5.6000000000000001E-2</v>
      </c>
      <c r="R130" s="54">
        <f t="shared" si="9"/>
        <v>5.6000000000000001E-2</v>
      </c>
      <c r="S130" s="54">
        <f t="shared" si="9"/>
        <v>5.6000000000000001E-2</v>
      </c>
      <c r="T130" s="54">
        <f t="shared" si="9"/>
        <v>5.6000000000000001E-2</v>
      </c>
      <c r="U130" s="54">
        <f t="shared" si="9"/>
        <v>5.6000000000000001E-2</v>
      </c>
      <c r="V130" s="54">
        <f t="shared" si="9"/>
        <v>5.6000000000000001E-2</v>
      </c>
      <c r="W130" s="54">
        <f t="shared" si="9"/>
        <v>5.6000000000000001E-2</v>
      </c>
      <c r="X130" s="248"/>
    </row>
    <row r="131" spans="1:24" s="305" customFormat="1" x14ac:dyDescent="0.25">
      <c r="A131" s="240"/>
      <c r="B131" s="290"/>
      <c r="C131" s="306"/>
      <c r="D131" s="306"/>
      <c r="E131" s="240"/>
      <c r="F131" s="220"/>
      <c r="G131" s="240"/>
      <c r="H131" s="303" t="s">
        <v>51</v>
      </c>
      <c r="I131" s="220"/>
      <c r="J131" s="219"/>
      <c r="K131" s="219"/>
      <c r="L131" s="307" t="s">
        <v>30</v>
      </c>
      <c r="M131" s="223"/>
      <c r="N131" s="223"/>
      <c r="O131" s="223"/>
      <c r="P131" s="223"/>
      <c r="Q131" s="223"/>
      <c r="R131" s="223"/>
      <c r="S131" s="223"/>
      <c r="T131" s="223"/>
      <c r="U131" s="223"/>
      <c r="V131" s="223"/>
      <c r="W131" s="223"/>
      <c r="X131" s="243"/>
    </row>
    <row r="132" spans="1:24" s="251" customFormat="1" outlineLevel="1" x14ac:dyDescent="0.25">
      <c r="A132" s="245"/>
      <c r="B132" s="298"/>
      <c r="C132" s="255"/>
      <c r="D132" s="255"/>
      <c r="E132" s="245"/>
      <c r="F132" s="246"/>
      <c r="G132" s="245"/>
      <c r="H132" s="246" t="s">
        <v>38</v>
      </c>
      <c r="I132" s="246"/>
      <c r="J132" s="246"/>
      <c r="K132" s="67" t="s">
        <v>40</v>
      </c>
      <c r="L132" s="202" t="s">
        <v>30</v>
      </c>
      <c r="M132" s="277">
        <v>2000</v>
      </c>
      <c r="N132" s="278">
        <f t="shared" ref="N132:W134" si="10">M132</f>
        <v>2000</v>
      </c>
      <c r="O132" s="278">
        <f t="shared" si="10"/>
        <v>2000</v>
      </c>
      <c r="P132" s="278">
        <f t="shared" si="10"/>
        <v>2000</v>
      </c>
      <c r="Q132" s="278">
        <f t="shared" si="10"/>
        <v>2000</v>
      </c>
      <c r="R132" s="278">
        <f t="shared" si="10"/>
        <v>2000</v>
      </c>
      <c r="S132" s="278">
        <f t="shared" si="10"/>
        <v>2000</v>
      </c>
      <c r="T132" s="278">
        <f t="shared" si="10"/>
        <v>2000</v>
      </c>
      <c r="U132" s="278">
        <f t="shared" si="10"/>
        <v>2000</v>
      </c>
      <c r="V132" s="278">
        <f t="shared" si="10"/>
        <v>2000</v>
      </c>
      <c r="W132" s="278">
        <f t="shared" si="10"/>
        <v>2000</v>
      </c>
      <c r="X132" s="248"/>
    </row>
    <row r="133" spans="1:24" s="251" customFormat="1" outlineLevel="1" x14ac:dyDescent="0.25">
      <c r="A133" s="245"/>
      <c r="B133" s="298"/>
      <c r="C133" s="255"/>
      <c r="D133" s="255"/>
      <c r="E133" s="245"/>
      <c r="F133" s="246"/>
      <c r="G133" s="245"/>
      <c r="H133" s="246" t="s">
        <v>37</v>
      </c>
      <c r="I133" s="246"/>
      <c r="J133" s="246"/>
      <c r="K133" s="67" t="s">
        <v>40</v>
      </c>
      <c r="L133" s="202" t="s">
        <v>30</v>
      </c>
      <c r="M133" s="277">
        <v>2100</v>
      </c>
      <c r="N133" s="278">
        <f t="shared" si="10"/>
        <v>2100</v>
      </c>
      <c r="O133" s="278">
        <f t="shared" si="10"/>
        <v>2100</v>
      </c>
      <c r="P133" s="278">
        <f t="shared" si="10"/>
        <v>2100</v>
      </c>
      <c r="Q133" s="278">
        <f t="shared" si="10"/>
        <v>2100</v>
      </c>
      <c r="R133" s="278">
        <f t="shared" si="10"/>
        <v>2100</v>
      </c>
      <c r="S133" s="278">
        <f t="shared" si="10"/>
        <v>2100</v>
      </c>
      <c r="T133" s="278">
        <f t="shared" si="10"/>
        <v>2100</v>
      </c>
      <c r="U133" s="278">
        <f t="shared" si="10"/>
        <v>2100</v>
      </c>
      <c r="V133" s="278">
        <f t="shared" si="10"/>
        <v>2100</v>
      </c>
      <c r="W133" s="278">
        <f t="shared" si="10"/>
        <v>2100</v>
      </c>
      <c r="X133" s="248"/>
    </row>
    <row r="134" spans="1:24" s="251" customFormat="1" outlineLevel="1" x14ac:dyDescent="0.25">
      <c r="A134" s="245"/>
      <c r="B134" s="298"/>
      <c r="C134" s="255"/>
      <c r="D134" s="255"/>
      <c r="E134" s="245"/>
      <c r="F134" s="246"/>
      <c r="G134" s="245"/>
      <c r="H134" s="246" t="s">
        <v>39</v>
      </c>
      <c r="I134" s="246"/>
      <c r="J134" s="246"/>
      <c r="K134" s="67" t="s">
        <v>10</v>
      </c>
      <c r="L134" s="202" t="s">
        <v>30</v>
      </c>
      <c r="M134" s="55">
        <v>25</v>
      </c>
      <c r="N134" s="229">
        <f t="shared" si="10"/>
        <v>25</v>
      </c>
      <c r="O134" s="229">
        <f t="shared" si="10"/>
        <v>25</v>
      </c>
      <c r="P134" s="229">
        <f t="shared" si="10"/>
        <v>25</v>
      </c>
      <c r="Q134" s="229">
        <f t="shared" si="10"/>
        <v>25</v>
      </c>
      <c r="R134" s="229">
        <f t="shared" si="10"/>
        <v>25</v>
      </c>
      <c r="S134" s="229">
        <f t="shared" si="10"/>
        <v>25</v>
      </c>
      <c r="T134" s="229">
        <f t="shared" si="10"/>
        <v>25</v>
      </c>
      <c r="U134" s="229">
        <f t="shared" si="10"/>
        <v>25</v>
      </c>
      <c r="V134" s="229">
        <f t="shared" si="10"/>
        <v>25</v>
      </c>
      <c r="W134" s="229">
        <f t="shared" si="10"/>
        <v>25</v>
      </c>
      <c r="X134" s="248"/>
    </row>
    <row r="135" spans="1:24" s="251" customFormat="1" outlineLevel="1" x14ac:dyDescent="0.25">
      <c r="A135" s="245"/>
      <c r="B135" s="298"/>
      <c r="C135" s="255"/>
      <c r="D135" s="255"/>
      <c r="E135" s="245"/>
      <c r="F135" s="246"/>
      <c r="G135" s="245"/>
      <c r="H135" s="246" t="s">
        <v>361</v>
      </c>
      <c r="I135" s="246"/>
      <c r="J135" s="246"/>
      <c r="K135" s="246" t="s">
        <v>10</v>
      </c>
      <c r="L135" s="202" t="s">
        <v>30</v>
      </c>
      <c r="M135" s="55"/>
      <c r="N135" s="55"/>
      <c r="O135" s="55"/>
      <c r="P135" s="55"/>
      <c r="Q135" s="55"/>
      <c r="R135" s="55"/>
      <c r="S135" s="55"/>
      <c r="T135" s="55"/>
      <c r="U135" s="55"/>
      <c r="V135" s="55"/>
      <c r="W135" s="55"/>
      <c r="X135" s="248"/>
    </row>
    <row r="136" spans="1:24" s="251" customFormat="1" outlineLevel="1" x14ac:dyDescent="0.25">
      <c r="A136" s="245"/>
      <c r="B136" s="298"/>
      <c r="C136" s="255"/>
      <c r="D136" s="255"/>
      <c r="E136" s="245"/>
      <c r="F136" s="246"/>
      <c r="G136" s="245"/>
      <c r="H136" s="246" t="s">
        <v>309</v>
      </c>
      <c r="I136" s="246"/>
      <c r="J136" s="246"/>
      <c r="K136" s="67" t="s">
        <v>97</v>
      </c>
      <c r="L136" s="202" t="s">
        <v>30</v>
      </c>
      <c r="M136" s="271">
        <v>0.25</v>
      </c>
      <c r="N136" s="272">
        <f t="shared" ref="N136:W136" si="11">M136</f>
        <v>0.25</v>
      </c>
      <c r="O136" s="272">
        <f t="shared" si="11"/>
        <v>0.25</v>
      </c>
      <c r="P136" s="272">
        <f t="shared" si="11"/>
        <v>0.25</v>
      </c>
      <c r="Q136" s="272">
        <f t="shared" si="11"/>
        <v>0.25</v>
      </c>
      <c r="R136" s="272">
        <f t="shared" si="11"/>
        <v>0.25</v>
      </c>
      <c r="S136" s="272">
        <f t="shared" si="11"/>
        <v>0.25</v>
      </c>
      <c r="T136" s="272">
        <f t="shared" si="11"/>
        <v>0.25</v>
      </c>
      <c r="U136" s="272">
        <f t="shared" si="11"/>
        <v>0.25</v>
      </c>
      <c r="V136" s="272">
        <f t="shared" si="11"/>
        <v>0.25</v>
      </c>
      <c r="W136" s="272">
        <f t="shared" si="11"/>
        <v>0.25</v>
      </c>
      <c r="X136" s="248"/>
    </row>
    <row r="137" spans="1:24" s="251" customFormat="1" outlineLevel="1" x14ac:dyDescent="0.25">
      <c r="A137" s="245"/>
      <c r="B137" s="298"/>
      <c r="C137" s="255"/>
      <c r="D137" s="255"/>
      <c r="E137" s="245"/>
      <c r="F137" s="246"/>
      <c r="G137" s="245"/>
      <c r="H137" s="246" t="s">
        <v>358</v>
      </c>
      <c r="I137" s="246"/>
      <c r="J137" s="246"/>
      <c r="K137" s="246" t="s">
        <v>97</v>
      </c>
      <c r="L137" s="202" t="s">
        <v>30</v>
      </c>
      <c r="M137" s="271"/>
      <c r="N137" s="271"/>
      <c r="O137" s="271"/>
      <c r="P137" s="271"/>
      <c r="Q137" s="271"/>
      <c r="R137" s="271"/>
      <c r="S137" s="271"/>
      <c r="T137" s="271"/>
      <c r="U137" s="271"/>
      <c r="V137" s="271"/>
      <c r="W137" s="271"/>
      <c r="X137" s="248"/>
    </row>
    <row r="138" spans="1:24" s="251" customFormat="1" outlineLevel="1" x14ac:dyDescent="0.25">
      <c r="A138" s="245"/>
      <c r="B138" s="298"/>
      <c r="C138" s="255"/>
      <c r="D138" s="255"/>
      <c r="E138" s="245"/>
      <c r="F138" s="246"/>
      <c r="G138" s="245"/>
      <c r="H138" s="246" t="s">
        <v>357</v>
      </c>
      <c r="I138" s="246"/>
      <c r="J138" s="246"/>
      <c r="K138" s="246" t="s">
        <v>97</v>
      </c>
      <c r="L138" s="202" t="s">
        <v>30</v>
      </c>
      <c r="M138" s="271"/>
      <c r="N138" s="271"/>
      <c r="O138" s="271"/>
      <c r="P138" s="271"/>
      <c r="Q138" s="271"/>
      <c r="R138" s="271"/>
      <c r="S138" s="271"/>
      <c r="T138" s="271"/>
      <c r="U138" s="271"/>
      <c r="V138" s="271"/>
      <c r="W138" s="271"/>
      <c r="X138" s="248"/>
    </row>
    <row r="139" spans="1:24" s="251" customFormat="1" outlineLevel="1" x14ac:dyDescent="0.25">
      <c r="A139" s="245"/>
      <c r="B139" s="298"/>
      <c r="C139" s="255"/>
      <c r="D139" s="255"/>
      <c r="E139" s="245"/>
      <c r="F139" s="246"/>
      <c r="G139" s="245"/>
      <c r="H139" s="246" t="s">
        <v>75</v>
      </c>
      <c r="I139" s="246"/>
      <c r="J139" s="246"/>
      <c r="K139" s="67" t="s">
        <v>97</v>
      </c>
      <c r="L139" s="202" t="s">
        <v>30</v>
      </c>
      <c r="M139" s="271">
        <v>0</v>
      </c>
      <c r="N139" s="271"/>
      <c r="O139" s="271"/>
      <c r="P139" s="271"/>
      <c r="Q139" s="271"/>
      <c r="R139" s="271"/>
      <c r="S139" s="271"/>
      <c r="T139" s="271"/>
      <c r="U139" s="271"/>
      <c r="V139" s="271"/>
      <c r="W139" s="271"/>
      <c r="X139" s="248"/>
    </row>
    <row r="140" spans="1:24" s="251" customFormat="1" outlineLevel="1" x14ac:dyDescent="0.25">
      <c r="A140" s="245"/>
      <c r="B140" s="298"/>
      <c r="C140" s="255"/>
      <c r="D140" s="255"/>
      <c r="E140" s="245"/>
      <c r="F140" s="68"/>
      <c r="G140" s="245"/>
      <c r="H140" s="68" t="s">
        <v>148</v>
      </c>
      <c r="I140" s="68"/>
      <c r="K140" s="68" t="s">
        <v>97</v>
      </c>
      <c r="L140" s="202" t="s">
        <v>30</v>
      </c>
      <c r="M140" s="271"/>
      <c r="N140" s="271"/>
      <c r="O140" s="271"/>
      <c r="P140" s="271"/>
      <c r="Q140" s="271"/>
      <c r="R140" s="271"/>
      <c r="S140" s="271"/>
      <c r="T140" s="271"/>
      <c r="U140" s="271"/>
      <c r="V140" s="271"/>
      <c r="W140" s="271"/>
      <c r="X140" s="248"/>
    </row>
    <row r="141" spans="1:24" s="251" customFormat="1" outlineLevel="1" x14ac:dyDescent="0.25">
      <c r="A141" s="245"/>
      <c r="B141" s="298"/>
      <c r="C141" s="255"/>
      <c r="D141" s="255"/>
      <c r="E141" s="245"/>
      <c r="F141" s="68"/>
      <c r="G141" s="245"/>
      <c r="H141" s="68" t="s">
        <v>149</v>
      </c>
      <c r="I141" s="68"/>
      <c r="K141" s="68" t="s">
        <v>97</v>
      </c>
      <c r="L141" s="202" t="s">
        <v>30</v>
      </c>
      <c r="M141" s="271"/>
      <c r="N141" s="271"/>
      <c r="O141" s="271"/>
      <c r="P141" s="271"/>
      <c r="Q141" s="271"/>
      <c r="R141" s="271"/>
      <c r="S141" s="271"/>
      <c r="T141" s="271"/>
      <c r="U141" s="271"/>
      <c r="V141" s="271"/>
      <c r="W141" s="271"/>
      <c r="X141" s="248"/>
    </row>
    <row r="142" spans="1:24" s="251" customFormat="1" outlineLevel="1" x14ac:dyDescent="0.25">
      <c r="A142" s="245"/>
      <c r="B142" s="298"/>
      <c r="C142" s="255"/>
      <c r="D142" s="255"/>
      <c r="E142" s="245"/>
      <c r="F142" s="68"/>
      <c r="G142" s="245"/>
      <c r="H142" s="68" t="s">
        <v>370</v>
      </c>
      <c r="I142" s="68"/>
      <c r="K142" s="68" t="s">
        <v>97</v>
      </c>
      <c r="L142" s="202" t="s">
        <v>30</v>
      </c>
      <c r="M142" s="271"/>
      <c r="N142" s="271"/>
      <c r="O142" s="271"/>
      <c r="P142" s="271"/>
      <c r="Q142" s="271"/>
      <c r="R142" s="271"/>
      <c r="S142" s="271"/>
      <c r="T142" s="271"/>
      <c r="U142" s="271"/>
      <c r="V142" s="271"/>
      <c r="W142" s="271"/>
      <c r="X142" s="248"/>
    </row>
    <row r="143" spans="1:24" s="251" customFormat="1" outlineLevel="1" x14ac:dyDescent="0.25">
      <c r="A143" s="245"/>
      <c r="B143" s="298"/>
      <c r="C143" s="255"/>
      <c r="D143" s="255"/>
      <c r="E143" s="245"/>
      <c r="F143" s="68"/>
      <c r="G143" s="245"/>
      <c r="H143" s="68" t="s">
        <v>371</v>
      </c>
      <c r="I143" s="68"/>
      <c r="K143" s="68" t="s">
        <v>97</v>
      </c>
      <c r="L143" s="202" t="s">
        <v>30</v>
      </c>
      <c r="M143" s="271"/>
      <c r="N143" s="271"/>
      <c r="O143" s="271"/>
      <c r="P143" s="271"/>
      <c r="Q143" s="271"/>
      <c r="R143" s="271"/>
      <c r="S143" s="271"/>
      <c r="T143" s="271"/>
      <c r="U143" s="271"/>
      <c r="V143" s="271"/>
      <c r="W143" s="271"/>
      <c r="X143" s="248"/>
    </row>
    <row r="144" spans="1:24" s="251" customFormat="1" outlineLevel="1" x14ac:dyDescent="0.25">
      <c r="A144" s="245"/>
      <c r="B144" s="298"/>
      <c r="C144" s="255"/>
      <c r="D144" s="255"/>
      <c r="E144" s="245"/>
      <c r="F144" s="246"/>
      <c r="G144" s="245"/>
      <c r="H144" s="246" t="s">
        <v>338</v>
      </c>
      <c r="I144" s="246"/>
      <c r="J144" s="246"/>
      <c r="K144" s="67" t="s">
        <v>36</v>
      </c>
      <c r="L144" s="202" t="s">
        <v>30</v>
      </c>
      <c r="M144" s="55"/>
      <c r="N144" s="55"/>
      <c r="O144" s="55"/>
      <c r="P144" s="55"/>
      <c r="Q144" s="55"/>
      <c r="R144" s="55"/>
      <c r="S144" s="55"/>
      <c r="T144" s="55"/>
      <c r="U144" s="55"/>
      <c r="V144" s="55"/>
      <c r="W144" s="55"/>
      <c r="X144" s="248"/>
    </row>
    <row r="145" spans="1:24" s="251" customFormat="1" outlineLevel="1" x14ac:dyDescent="0.25">
      <c r="A145" s="245"/>
      <c r="B145" s="298"/>
      <c r="C145" s="255"/>
      <c r="D145" s="255"/>
      <c r="E145" s="245"/>
      <c r="F145" s="246"/>
      <c r="G145" s="245"/>
      <c r="H145" s="246" t="s">
        <v>152</v>
      </c>
      <c r="I145" s="246"/>
      <c r="J145" s="246"/>
      <c r="K145" s="67" t="s">
        <v>321</v>
      </c>
      <c r="L145" s="202" t="s">
        <v>30</v>
      </c>
      <c r="M145" s="55">
        <v>10548</v>
      </c>
      <c r="N145" s="55">
        <f t="shared" ref="N145:W145" si="12">M145</f>
        <v>10548</v>
      </c>
      <c r="O145" s="55">
        <f t="shared" si="12"/>
        <v>10548</v>
      </c>
      <c r="P145" s="55">
        <f t="shared" si="12"/>
        <v>10548</v>
      </c>
      <c r="Q145" s="55">
        <f t="shared" si="12"/>
        <v>10548</v>
      </c>
      <c r="R145" s="55">
        <f t="shared" si="12"/>
        <v>10548</v>
      </c>
      <c r="S145" s="55">
        <f t="shared" si="12"/>
        <v>10548</v>
      </c>
      <c r="T145" s="55">
        <f t="shared" si="12"/>
        <v>10548</v>
      </c>
      <c r="U145" s="55">
        <f t="shared" si="12"/>
        <v>10548</v>
      </c>
      <c r="V145" s="55">
        <f t="shared" si="12"/>
        <v>10548</v>
      </c>
      <c r="W145" s="55">
        <f t="shared" si="12"/>
        <v>10548</v>
      </c>
      <c r="X145" s="248"/>
    </row>
    <row r="146" spans="1:24" s="251" customFormat="1" outlineLevel="1" x14ac:dyDescent="0.25">
      <c r="A146" s="245"/>
      <c r="B146" s="298"/>
      <c r="C146" s="255"/>
      <c r="D146" s="255"/>
      <c r="E146" s="245"/>
      <c r="F146" s="246"/>
      <c r="G146" s="245"/>
      <c r="H146" s="246" t="s">
        <v>383</v>
      </c>
      <c r="I146" s="246"/>
      <c r="J146" s="246"/>
      <c r="K146" s="246" t="s">
        <v>97</v>
      </c>
      <c r="L146" s="202" t="s">
        <v>30</v>
      </c>
      <c r="M146" s="271"/>
      <c r="N146" s="271"/>
      <c r="O146" s="271"/>
      <c r="P146" s="271"/>
      <c r="Q146" s="271"/>
      <c r="R146" s="271"/>
      <c r="S146" s="271"/>
      <c r="T146" s="271"/>
      <c r="U146" s="271"/>
      <c r="V146" s="271"/>
      <c r="W146" s="271"/>
      <c r="X146" s="248"/>
    </row>
    <row r="147" spans="1:24" s="251" customFormat="1" outlineLevel="1" x14ac:dyDescent="0.25">
      <c r="A147" s="245"/>
      <c r="B147" s="298"/>
      <c r="C147" s="255"/>
      <c r="D147" s="255"/>
      <c r="E147" s="245"/>
      <c r="F147" s="246"/>
      <c r="G147" s="245"/>
      <c r="H147" s="246" t="s">
        <v>446</v>
      </c>
      <c r="I147" s="246"/>
      <c r="J147" s="246"/>
      <c r="K147" s="67" t="s">
        <v>36</v>
      </c>
      <c r="L147" s="202" t="s">
        <v>30</v>
      </c>
      <c r="M147" s="55"/>
      <c r="N147" s="55"/>
      <c r="O147" s="55"/>
      <c r="P147" s="55"/>
      <c r="Q147" s="55"/>
      <c r="R147" s="55"/>
      <c r="S147" s="55"/>
      <c r="T147" s="55"/>
      <c r="U147" s="55"/>
      <c r="V147" s="55"/>
      <c r="W147" s="55"/>
      <c r="X147" s="248"/>
    </row>
    <row r="148" spans="1:24" s="251" customFormat="1" outlineLevel="1" x14ac:dyDescent="0.25">
      <c r="A148" s="245"/>
      <c r="B148" s="298"/>
      <c r="C148" s="255"/>
      <c r="D148" s="255"/>
      <c r="E148" s="245"/>
      <c r="F148" s="246"/>
      <c r="G148" s="245"/>
      <c r="H148" s="246" t="s">
        <v>387</v>
      </c>
      <c r="I148" s="246"/>
      <c r="J148" s="246"/>
      <c r="K148" s="246"/>
      <c r="L148" s="202" t="s">
        <v>30</v>
      </c>
      <c r="M148" s="54"/>
      <c r="N148" s="54"/>
      <c r="O148" s="54"/>
      <c r="P148" s="54"/>
      <c r="Q148" s="54"/>
      <c r="R148" s="54"/>
      <c r="S148" s="54"/>
      <c r="T148" s="54"/>
      <c r="U148" s="54"/>
      <c r="V148" s="54"/>
      <c r="W148" s="54"/>
      <c r="X148" s="248"/>
    </row>
    <row r="149" spans="1:24" s="251" customFormat="1" outlineLevel="1" x14ac:dyDescent="0.25">
      <c r="A149" s="245"/>
      <c r="B149" s="298"/>
      <c r="C149" s="255"/>
      <c r="D149" s="255"/>
      <c r="E149" s="245"/>
      <c r="F149" s="246"/>
      <c r="G149" s="245"/>
      <c r="H149" s="246" t="s">
        <v>369</v>
      </c>
      <c r="I149" s="246"/>
      <c r="J149" s="246"/>
      <c r="K149" s="246" t="s">
        <v>97</v>
      </c>
      <c r="L149" s="202" t="s">
        <v>30</v>
      </c>
      <c r="M149" s="271"/>
      <c r="N149" s="271"/>
      <c r="O149" s="271"/>
      <c r="P149" s="271"/>
      <c r="Q149" s="271"/>
      <c r="R149" s="271"/>
      <c r="S149" s="271"/>
      <c r="T149" s="271"/>
      <c r="U149" s="271"/>
      <c r="V149" s="271"/>
      <c r="W149" s="271"/>
      <c r="X149" s="248"/>
    </row>
    <row r="150" spans="1:24" s="251" customFormat="1" outlineLevel="1" x14ac:dyDescent="0.25">
      <c r="A150" s="245"/>
      <c r="B150" s="298"/>
      <c r="C150" s="255"/>
      <c r="D150" s="255"/>
      <c r="E150" s="245"/>
      <c r="F150" s="246"/>
      <c r="G150" s="245"/>
      <c r="H150" s="246" t="s">
        <v>392</v>
      </c>
      <c r="I150" s="246"/>
      <c r="J150" s="246"/>
      <c r="K150" s="246" t="s">
        <v>321</v>
      </c>
      <c r="L150" s="202" t="s">
        <v>30</v>
      </c>
      <c r="M150" s="55"/>
      <c r="N150" s="55"/>
      <c r="O150" s="55"/>
      <c r="P150" s="55"/>
      <c r="Q150" s="55"/>
      <c r="R150" s="55"/>
      <c r="S150" s="55"/>
      <c r="T150" s="55"/>
      <c r="U150" s="55"/>
      <c r="V150" s="55"/>
      <c r="W150" s="55"/>
      <c r="X150" s="248"/>
    </row>
    <row r="151" spans="1:24" s="251" customFormat="1" outlineLevel="1" x14ac:dyDescent="0.25">
      <c r="A151" s="245"/>
      <c r="B151" s="298"/>
      <c r="C151" s="255"/>
      <c r="D151" s="255"/>
      <c r="E151" s="245"/>
      <c r="F151" s="246"/>
      <c r="G151" s="245"/>
      <c r="H151" s="246" t="s">
        <v>394</v>
      </c>
      <c r="I151" s="246"/>
      <c r="J151" s="246"/>
      <c r="K151" s="246" t="s">
        <v>321</v>
      </c>
      <c r="L151" s="202" t="s">
        <v>30</v>
      </c>
      <c r="M151" s="55"/>
      <c r="N151" s="55"/>
      <c r="O151" s="55"/>
      <c r="P151" s="55"/>
      <c r="Q151" s="55"/>
      <c r="R151" s="55"/>
      <c r="S151" s="55"/>
      <c r="T151" s="55"/>
      <c r="U151" s="55"/>
      <c r="V151" s="55"/>
      <c r="W151" s="55"/>
      <c r="X151" s="248"/>
    </row>
    <row r="152" spans="1:24" s="251" customFormat="1" outlineLevel="1" x14ac:dyDescent="0.25">
      <c r="A152" s="245"/>
      <c r="B152" s="298"/>
      <c r="C152" s="255"/>
      <c r="D152" s="255"/>
      <c r="E152" s="245"/>
      <c r="F152" s="246"/>
      <c r="G152" s="245"/>
      <c r="H152" s="246" t="s">
        <v>395</v>
      </c>
      <c r="I152" s="246"/>
      <c r="J152" s="246"/>
      <c r="K152" s="246"/>
      <c r="L152" s="202" t="s">
        <v>30</v>
      </c>
      <c r="M152" s="54"/>
      <c r="N152" s="54"/>
      <c r="O152" s="54"/>
      <c r="P152" s="54"/>
      <c r="Q152" s="54"/>
      <c r="R152" s="54"/>
      <c r="S152" s="54"/>
      <c r="T152" s="54"/>
      <c r="U152" s="54"/>
      <c r="V152" s="54"/>
      <c r="W152" s="54"/>
      <c r="X152" s="248"/>
    </row>
    <row r="153" spans="1:24" s="251" customFormat="1" outlineLevel="1" x14ac:dyDescent="0.25">
      <c r="A153" s="245"/>
      <c r="B153" s="298"/>
      <c r="C153" s="255"/>
      <c r="D153" s="255"/>
      <c r="E153" s="245"/>
      <c r="F153" s="246"/>
      <c r="G153" s="245"/>
      <c r="H153" s="246" t="s">
        <v>396</v>
      </c>
      <c r="I153" s="246"/>
      <c r="J153" s="246"/>
      <c r="K153" s="246"/>
      <c r="L153" s="202" t="s">
        <v>30</v>
      </c>
      <c r="M153" s="54"/>
      <c r="N153" s="54"/>
      <c r="O153" s="54"/>
      <c r="P153" s="54"/>
      <c r="Q153" s="54"/>
      <c r="R153" s="54"/>
      <c r="S153" s="54"/>
      <c r="T153" s="54"/>
      <c r="U153" s="54"/>
      <c r="V153" s="54"/>
      <c r="W153" s="54"/>
      <c r="X153" s="248"/>
    </row>
    <row r="154" spans="1:24" s="251" customFormat="1" outlineLevel="1" x14ac:dyDescent="0.25">
      <c r="A154" s="245"/>
      <c r="B154" s="298"/>
      <c r="C154" s="255"/>
      <c r="D154" s="255"/>
      <c r="E154" s="245"/>
      <c r="F154" s="246"/>
      <c r="G154" s="245"/>
      <c r="H154" s="246" t="s">
        <v>393</v>
      </c>
      <c r="I154" s="246"/>
      <c r="J154" s="246"/>
      <c r="K154" s="67" t="s">
        <v>324</v>
      </c>
      <c r="L154" s="202" t="s">
        <v>30</v>
      </c>
      <c r="M154" s="55"/>
      <c r="N154" s="55"/>
      <c r="O154" s="55"/>
      <c r="P154" s="55"/>
      <c r="Q154" s="55"/>
      <c r="R154" s="55"/>
      <c r="S154" s="55"/>
      <c r="T154" s="55"/>
      <c r="U154" s="55"/>
      <c r="V154" s="55"/>
      <c r="W154" s="55"/>
      <c r="X154" s="248"/>
    </row>
    <row r="155" spans="1:24" s="251" customFormat="1" outlineLevel="1" x14ac:dyDescent="0.25">
      <c r="A155" s="245"/>
      <c r="B155" s="298"/>
      <c r="C155" s="255"/>
      <c r="D155" s="255"/>
      <c r="E155" s="245"/>
      <c r="F155" s="246"/>
      <c r="G155" s="245"/>
      <c r="H155" s="246" t="s">
        <v>397</v>
      </c>
      <c r="I155" s="246"/>
      <c r="J155" s="246"/>
      <c r="K155" s="67" t="s">
        <v>324</v>
      </c>
      <c r="L155" s="202" t="s">
        <v>30</v>
      </c>
      <c r="M155" s="55"/>
      <c r="N155" s="55"/>
      <c r="O155" s="55"/>
      <c r="P155" s="55"/>
      <c r="Q155" s="55"/>
      <c r="R155" s="55"/>
      <c r="S155" s="55"/>
      <c r="T155" s="55"/>
      <c r="U155" s="55"/>
      <c r="V155" s="55"/>
      <c r="W155" s="55"/>
      <c r="X155" s="248"/>
    </row>
    <row r="156" spans="1:24" s="251" customFormat="1" outlineLevel="1" x14ac:dyDescent="0.25">
      <c r="A156" s="245"/>
      <c r="B156" s="298"/>
      <c r="C156" s="255"/>
      <c r="D156" s="255"/>
      <c r="E156" s="245"/>
      <c r="F156" s="246"/>
      <c r="G156" s="245"/>
      <c r="H156" s="246" t="s">
        <v>398</v>
      </c>
      <c r="I156" s="246"/>
      <c r="J156" s="246"/>
      <c r="K156" s="246"/>
      <c r="L156" s="202" t="s">
        <v>30</v>
      </c>
      <c r="M156" s="54"/>
      <c r="N156" s="54"/>
      <c r="O156" s="54"/>
      <c r="P156" s="54"/>
      <c r="Q156" s="54"/>
      <c r="R156" s="54"/>
      <c r="S156" s="54"/>
      <c r="T156" s="54"/>
      <c r="U156" s="54"/>
      <c r="V156" s="54"/>
      <c r="W156" s="54"/>
      <c r="X156" s="248"/>
    </row>
    <row r="157" spans="1:24" s="251" customFormat="1" outlineLevel="1" x14ac:dyDescent="0.25">
      <c r="A157" s="245"/>
      <c r="B157" s="298"/>
      <c r="C157" s="255"/>
      <c r="D157" s="255"/>
      <c r="E157" s="245"/>
      <c r="F157" s="246"/>
      <c r="G157" s="245"/>
      <c r="H157" s="246" t="s">
        <v>399</v>
      </c>
      <c r="I157" s="246"/>
      <c r="J157" s="246"/>
      <c r="K157" s="246"/>
      <c r="L157" s="202" t="s">
        <v>30</v>
      </c>
      <c r="M157" s="54"/>
      <c r="N157" s="54"/>
      <c r="O157" s="54"/>
      <c r="P157" s="54"/>
      <c r="Q157" s="54"/>
      <c r="R157" s="54"/>
      <c r="S157" s="54"/>
      <c r="T157" s="54"/>
      <c r="U157" s="54"/>
      <c r="V157" s="54"/>
      <c r="W157" s="54"/>
      <c r="X157" s="248"/>
    </row>
    <row r="158" spans="1:24" s="251" customFormat="1" outlineLevel="1" x14ac:dyDescent="0.25">
      <c r="A158" s="245"/>
      <c r="B158" s="298"/>
      <c r="C158" s="255"/>
      <c r="D158" s="255"/>
      <c r="E158" s="245"/>
      <c r="F158" s="246"/>
      <c r="G158" s="245"/>
      <c r="H158" s="246" t="s">
        <v>310</v>
      </c>
      <c r="I158" s="246"/>
      <c r="J158" s="246"/>
      <c r="K158" s="67" t="s">
        <v>324</v>
      </c>
      <c r="L158" s="202" t="s">
        <v>30</v>
      </c>
      <c r="M158" s="55"/>
      <c r="N158" s="55"/>
      <c r="O158" s="55"/>
      <c r="P158" s="55"/>
      <c r="Q158" s="55"/>
      <c r="R158" s="55"/>
      <c r="S158" s="55"/>
      <c r="T158" s="55"/>
      <c r="U158" s="55"/>
      <c r="V158" s="55"/>
      <c r="W158" s="55"/>
      <c r="X158" s="248"/>
    </row>
    <row r="159" spans="1:24" s="251" customFormat="1" outlineLevel="1" x14ac:dyDescent="0.25">
      <c r="A159" s="245"/>
      <c r="B159" s="298"/>
      <c r="C159" s="255"/>
      <c r="D159" s="255"/>
      <c r="E159" s="245"/>
      <c r="F159" s="246"/>
      <c r="G159" s="245"/>
      <c r="H159" s="246" t="s">
        <v>360</v>
      </c>
      <c r="I159" s="246"/>
      <c r="J159" s="246"/>
      <c r="K159" s="246" t="s">
        <v>321</v>
      </c>
      <c r="L159" s="202" t="s">
        <v>30</v>
      </c>
      <c r="M159" s="55"/>
      <c r="N159" s="55"/>
      <c r="O159" s="55"/>
      <c r="P159" s="55"/>
      <c r="Q159" s="55"/>
      <c r="R159" s="55"/>
      <c r="S159" s="55"/>
      <c r="T159" s="55"/>
      <c r="U159" s="55"/>
      <c r="V159" s="55"/>
      <c r="W159" s="55"/>
      <c r="X159" s="248"/>
    </row>
    <row r="160" spans="1:24" s="251" customFormat="1" outlineLevel="1" x14ac:dyDescent="0.25">
      <c r="A160" s="245"/>
      <c r="B160" s="298"/>
      <c r="C160" s="255"/>
      <c r="D160" s="255"/>
      <c r="E160" s="245"/>
      <c r="F160" s="25"/>
      <c r="G160" s="245"/>
      <c r="H160" s="67" t="s">
        <v>306</v>
      </c>
      <c r="I160" s="25"/>
      <c r="J160" s="67"/>
      <c r="K160" s="67" t="s">
        <v>45</v>
      </c>
      <c r="L160" s="202" t="s">
        <v>30</v>
      </c>
      <c r="M160" s="54">
        <v>0.36</v>
      </c>
      <c r="N160" s="54">
        <f t="shared" ref="N160:W161" si="13">M160</f>
        <v>0.36</v>
      </c>
      <c r="O160" s="54">
        <f t="shared" si="13"/>
        <v>0.36</v>
      </c>
      <c r="P160" s="54">
        <f t="shared" si="13"/>
        <v>0.36</v>
      </c>
      <c r="Q160" s="54">
        <f t="shared" si="13"/>
        <v>0.36</v>
      </c>
      <c r="R160" s="54">
        <f t="shared" si="13"/>
        <v>0.36</v>
      </c>
      <c r="S160" s="54">
        <f t="shared" si="13"/>
        <v>0.36</v>
      </c>
      <c r="T160" s="54">
        <f t="shared" si="13"/>
        <v>0.36</v>
      </c>
      <c r="U160" s="54">
        <f t="shared" si="13"/>
        <v>0.36</v>
      </c>
      <c r="V160" s="54">
        <f t="shared" si="13"/>
        <v>0.36</v>
      </c>
      <c r="W160" s="54">
        <f t="shared" si="13"/>
        <v>0.36</v>
      </c>
      <c r="X160" s="248"/>
    </row>
    <row r="161" spans="1:24" s="251" customFormat="1" outlineLevel="1" x14ac:dyDescent="0.25">
      <c r="A161" s="245"/>
      <c r="B161" s="298"/>
      <c r="C161" s="255"/>
      <c r="D161" s="255"/>
      <c r="E161" s="245"/>
      <c r="F161" s="25"/>
      <c r="G161" s="245"/>
      <c r="H161" s="67" t="s">
        <v>306</v>
      </c>
      <c r="I161" s="25"/>
      <c r="J161" s="67"/>
      <c r="K161" s="67" t="s">
        <v>45</v>
      </c>
      <c r="L161" s="202" t="s">
        <v>30</v>
      </c>
      <c r="M161" s="54">
        <v>3.9E-2</v>
      </c>
      <c r="N161" s="54">
        <f t="shared" si="13"/>
        <v>3.9E-2</v>
      </c>
      <c r="O161" s="54">
        <f t="shared" si="13"/>
        <v>3.9E-2</v>
      </c>
      <c r="P161" s="54">
        <f t="shared" si="13"/>
        <v>3.9E-2</v>
      </c>
      <c r="Q161" s="54">
        <f t="shared" si="13"/>
        <v>3.9E-2</v>
      </c>
      <c r="R161" s="54">
        <f t="shared" si="13"/>
        <v>3.9E-2</v>
      </c>
      <c r="S161" s="54">
        <f t="shared" si="13"/>
        <v>3.9E-2</v>
      </c>
      <c r="T161" s="54">
        <f t="shared" si="13"/>
        <v>3.9E-2</v>
      </c>
      <c r="U161" s="54">
        <f t="shared" si="13"/>
        <v>3.9E-2</v>
      </c>
      <c r="V161" s="54">
        <f t="shared" si="13"/>
        <v>3.9E-2</v>
      </c>
      <c r="W161" s="54">
        <f t="shared" si="13"/>
        <v>3.9E-2</v>
      </c>
      <c r="X161" s="248"/>
    </row>
    <row r="162" spans="1:24" s="305" customFormat="1" x14ac:dyDescent="0.25">
      <c r="A162" s="240"/>
      <c r="B162" s="290"/>
      <c r="C162" s="306"/>
      <c r="D162" s="306"/>
      <c r="E162" s="240"/>
      <c r="F162" s="220"/>
      <c r="G162" s="240"/>
      <c r="H162" s="303" t="s">
        <v>51</v>
      </c>
      <c r="I162" s="220"/>
      <c r="J162" s="219"/>
      <c r="K162" s="219"/>
      <c r="L162" s="307" t="s">
        <v>31</v>
      </c>
      <c r="M162" s="223"/>
      <c r="N162" s="223"/>
      <c r="O162" s="223"/>
      <c r="P162" s="223"/>
      <c r="Q162" s="223"/>
      <c r="R162" s="223"/>
      <c r="S162" s="223"/>
      <c r="T162" s="223"/>
      <c r="U162" s="223"/>
      <c r="V162" s="223"/>
      <c r="W162" s="223"/>
      <c r="X162" s="243"/>
    </row>
    <row r="163" spans="1:24" s="251" customFormat="1" outlineLevel="1" x14ac:dyDescent="0.25">
      <c r="A163" s="245"/>
      <c r="B163" s="298"/>
      <c r="C163" s="255"/>
      <c r="D163" s="255"/>
      <c r="E163" s="245"/>
      <c r="F163" s="246"/>
      <c r="G163" s="245"/>
      <c r="H163" s="246" t="s">
        <v>38</v>
      </c>
      <c r="I163" s="246"/>
      <c r="J163" s="246"/>
      <c r="K163" s="67" t="s">
        <v>40</v>
      </c>
      <c r="L163" s="202" t="s">
        <v>31</v>
      </c>
      <c r="M163" s="277">
        <v>2015</v>
      </c>
      <c r="N163" s="278">
        <f t="shared" ref="N163:W165" si="14">M163</f>
        <v>2015</v>
      </c>
      <c r="O163" s="278">
        <f t="shared" si="14"/>
        <v>2015</v>
      </c>
      <c r="P163" s="278">
        <f t="shared" si="14"/>
        <v>2015</v>
      </c>
      <c r="Q163" s="278">
        <f t="shared" si="14"/>
        <v>2015</v>
      </c>
      <c r="R163" s="278">
        <f t="shared" si="14"/>
        <v>2015</v>
      </c>
      <c r="S163" s="278">
        <f t="shared" si="14"/>
        <v>2015</v>
      </c>
      <c r="T163" s="278">
        <f t="shared" si="14"/>
        <v>2015</v>
      </c>
      <c r="U163" s="278">
        <f t="shared" si="14"/>
        <v>2015</v>
      </c>
      <c r="V163" s="278">
        <f t="shared" si="14"/>
        <v>2015</v>
      </c>
      <c r="W163" s="278">
        <f t="shared" si="14"/>
        <v>2015</v>
      </c>
      <c r="X163" s="248"/>
    </row>
    <row r="164" spans="1:24" s="251" customFormat="1" outlineLevel="1" x14ac:dyDescent="0.25">
      <c r="A164" s="245"/>
      <c r="B164" s="298"/>
      <c r="C164" s="255"/>
      <c r="D164" s="255"/>
      <c r="E164" s="245"/>
      <c r="F164" s="246"/>
      <c r="G164" s="245"/>
      <c r="H164" s="246" t="s">
        <v>37</v>
      </c>
      <c r="I164" s="246"/>
      <c r="J164" s="246"/>
      <c r="K164" s="67" t="s">
        <v>40</v>
      </c>
      <c r="L164" s="202" t="s">
        <v>31</v>
      </c>
      <c r="M164" s="277">
        <v>2100</v>
      </c>
      <c r="N164" s="278">
        <f t="shared" si="14"/>
        <v>2100</v>
      </c>
      <c r="O164" s="278">
        <f t="shared" si="14"/>
        <v>2100</v>
      </c>
      <c r="P164" s="278">
        <f t="shared" si="14"/>
        <v>2100</v>
      </c>
      <c r="Q164" s="278">
        <f t="shared" si="14"/>
        <v>2100</v>
      </c>
      <c r="R164" s="278">
        <f t="shared" si="14"/>
        <v>2100</v>
      </c>
      <c r="S164" s="278">
        <f t="shared" si="14"/>
        <v>2100</v>
      </c>
      <c r="T164" s="278">
        <f t="shared" si="14"/>
        <v>2100</v>
      </c>
      <c r="U164" s="278">
        <f t="shared" si="14"/>
        <v>2100</v>
      </c>
      <c r="V164" s="278">
        <f t="shared" si="14"/>
        <v>2100</v>
      </c>
      <c r="W164" s="278">
        <f t="shared" si="14"/>
        <v>2100</v>
      </c>
      <c r="X164" s="248"/>
    </row>
    <row r="165" spans="1:24" s="251" customFormat="1" outlineLevel="1" x14ac:dyDescent="0.25">
      <c r="A165" s="245"/>
      <c r="B165" s="298"/>
      <c r="C165" s="255"/>
      <c r="D165" s="255"/>
      <c r="E165" s="245"/>
      <c r="F165" s="246"/>
      <c r="G165" s="245"/>
      <c r="H165" s="246" t="s">
        <v>39</v>
      </c>
      <c r="I165" s="246"/>
      <c r="J165" s="246"/>
      <c r="K165" s="67" t="s">
        <v>10</v>
      </c>
      <c r="L165" s="202" t="s">
        <v>31</v>
      </c>
      <c r="M165" s="55">
        <v>25</v>
      </c>
      <c r="N165" s="229">
        <f t="shared" si="14"/>
        <v>25</v>
      </c>
      <c r="O165" s="229">
        <f t="shared" si="14"/>
        <v>25</v>
      </c>
      <c r="P165" s="229">
        <f t="shared" si="14"/>
        <v>25</v>
      </c>
      <c r="Q165" s="229">
        <f t="shared" si="14"/>
        <v>25</v>
      </c>
      <c r="R165" s="229">
        <f t="shared" si="14"/>
        <v>25</v>
      </c>
      <c r="S165" s="229">
        <f t="shared" si="14"/>
        <v>25</v>
      </c>
      <c r="T165" s="229">
        <f t="shared" si="14"/>
        <v>25</v>
      </c>
      <c r="U165" s="229">
        <f t="shared" si="14"/>
        <v>25</v>
      </c>
      <c r="V165" s="229">
        <f t="shared" si="14"/>
        <v>25</v>
      </c>
      <c r="W165" s="229">
        <f t="shared" si="14"/>
        <v>25</v>
      </c>
      <c r="X165" s="248"/>
    </row>
    <row r="166" spans="1:24" s="251" customFormat="1" outlineLevel="1" x14ac:dyDescent="0.25">
      <c r="A166" s="245"/>
      <c r="B166" s="298"/>
      <c r="C166" s="255"/>
      <c r="D166" s="255"/>
      <c r="E166" s="245"/>
      <c r="F166" s="246"/>
      <c r="G166" s="245"/>
      <c r="H166" s="246" t="s">
        <v>361</v>
      </c>
      <c r="I166" s="246"/>
      <c r="J166" s="246"/>
      <c r="K166" s="246" t="s">
        <v>10</v>
      </c>
      <c r="L166" s="202" t="s">
        <v>31</v>
      </c>
      <c r="M166" s="55"/>
      <c r="N166" s="55"/>
      <c r="O166" s="55"/>
      <c r="P166" s="55"/>
      <c r="Q166" s="55"/>
      <c r="R166" s="55"/>
      <c r="S166" s="55"/>
      <c r="T166" s="55"/>
      <c r="U166" s="55"/>
      <c r="V166" s="55"/>
      <c r="W166" s="55"/>
      <c r="X166" s="248"/>
    </row>
    <row r="167" spans="1:24" s="251" customFormat="1" outlineLevel="1" x14ac:dyDescent="0.25">
      <c r="A167" s="245"/>
      <c r="B167" s="298"/>
      <c r="C167" s="255"/>
      <c r="D167" s="255"/>
      <c r="E167" s="245"/>
      <c r="F167" s="246"/>
      <c r="G167" s="245"/>
      <c r="H167" s="246" t="s">
        <v>309</v>
      </c>
      <c r="I167" s="246"/>
      <c r="J167" s="246"/>
      <c r="K167" s="67" t="s">
        <v>97</v>
      </c>
      <c r="L167" s="202" t="s">
        <v>31</v>
      </c>
      <c r="M167" s="271">
        <v>0.25</v>
      </c>
      <c r="N167" s="272">
        <f t="shared" ref="N167:W167" si="15">M167</f>
        <v>0.25</v>
      </c>
      <c r="O167" s="272">
        <f t="shared" si="15"/>
        <v>0.25</v>
      </c>
      <c r="P167" s="272">
        <f t="shared" si="15"/>
        <v>0.25</v>
      </c>
      <c r="Q167" s="272">
        <f t="shared" si="15"/>
        <v>0.25</v>
      </c>
      <c r="R167" s="272">
        <f t="shared" si="15"/>
        <v>0.25</v>
      </c>
      <c r="S167" s="272">
        <f t="shared" si="15"/>
        <v>0.25</v>
      </c>
      <c r="T167" s="272">
        <f t="shared" si="15"/>
        <v>0.25</v>
      </c>
      <c r="U167" s="272">
        <f t="shared" si="15"/>
        <v>0.25</v>
      </c>
      <c r="V167" s="272">
        <f t="shared" si="15"/>
        <v>0.25</v>
      </c>
      <c r="W167" s="272">
        <f t="shared" si="15"/>
        <v>0.25</v>
      </c>
      <c r="X167" s="248"/>
    </row>
    <row r="168" spans="1:24" s="251" customFormat="1" outlineLevel="1" x14ac:dyDescent="0.25">
      <c r="A168" s="245"/>
      <c r="B168" s="298"/>
      <c r="C168" s="255"/>
      <c r="D168" s="255"/>
      <c r="E168" s="245"/>
      <c r="F168" s="246"/>
      <c r="G168" s="245"/>
      <c r="H168" s="246" t="s">
        <v>358</v>
      </c>
      <c r="I168" s="246"/>
      <c r="J168" s="246"/>
      <c r="K168" s="246" t="s">
        <v>97</v>
      </c>
      <c r="L168" s="202" t="s">
        <v>31</v>
      </c>
      <c r="M168" s="271"/>
      <c r="N168" s="271"/>
      <c r="O168" s="271"/>
      <c r="P168" s="271"/>
      <c r="Q168" s="271"/>
      <c r="R168" s="271"/>
      <c r="S168" s="271"/>
      <c r="T168" s="271"/>
      <c r="U168" s="271"/>
      <c r="V168" s="271"/>
      <c r="W168" s="271"/>
      <c r="X168" s="248"/>
    </row>
    <row r="169" spans="1:24" s="251" customFormat="1" outlineLevel="1" x14ac:dyDescent="0.25">
      <c r="A169" s="245"/>
      <c r="B169" s="298"/>
      <c r="C169" s="255"/>
      <c r="D169" s="255"/>
      <c r="E169" s="245"/>
      <c r="F169" s="246"/>
      <c r="G169" s="245"/>
      <c r="H169" s="246" t="s">
        <v>357</v>
      </c>
      <c r="I169" s="246"/>
      <c r="J169" s="246"/>
      <c r="K169" s="246" t="s">
        <v>97</v>
      </c>
      <c r="L169" s="202" t="s">
        <v>31</v>
      </c>
      <c r="M169" s="271"/>
      <c r="N169" s="271"/>
      <c r="O169" s="271"/>
      <c r="P169" s="271"/>
      <c r="Q169" s="271"/>
      <c r="R169" s="271"/>
      <c r="S169" s="271"/>
      <c r="T169" s="271"/>
      <c r="U169" s="271"/>
      <c r="V169" s="271"/>
      <c r="W169" s="271"/>
      <c r="X169" s="248"/>
    </row>
    <row r="170" spans="1:24" s="251" customFormat="1" outlineLevel="1" x14ac:dyDescent="0.25">
      <c r="A170" s="245"/>
      <c r="B170" s="298"/>
      <c r="C170" s="255"/>
      <c r="D170" s="255"/>
      <c r="E170" s="245"/>
      <c r="F170" s="246"/>
      <c r="G170" s="245"/>
      <c r="H170" s="246" t="s">
        <v>75</v>
      </c>
      <c r="I170" s="246"/>
      <c r="J170" s="246"/>
      <c r="K170" s="67" t="s">
        <v>97</v>
      </c>
      <c r="L170" s="202" t="s">
        <v>31</v>
      </c>
      <c r="M170" s="271">
        <v>0</v>
      </c>
      <c r="N170" s="271"/>
      <c r="O170" s="271"/>
      <c r="P170" s="271"/>
      <c r="Q170" s="271"/>
      <c r="R170" s="271"/>
      <c r="S170" s="271"/>
      <c r="T170" s="271"/>
      <c r="U170" s="271"/>
      <c r="V170" s="271"/>
      <c r="W170" s="271"/>
      <c r="X170" s="248"/>
    </row>
    <row r="171" spans="1:24" s="251" customFormat="1" outlineLevel="1" x14ac:dyDescent="0.25">
      <c r="A171" s="245"/>
      <c r="B171" s="298"/>
      <c r="C171" s="255"/>
      <c r="D171" s="255"/>
      <c r="E171" s="245"/>
      <c r="F171" s="68"/>
      <c r="G171" s="245"/>
      <c r="H171" s="68" t="s">
        <v>148</v>
      </c>
      <c r="I171" s="68"/>
      <c r="K171" s="68" t="s">
        <v>97</v>
      </c>
      <c r="L171" s="202" t="s">
        <v>31</v>
      </c>
      <c r="M171" s="271"/>
      <c r="N171" s="271"/>
      <c r="O171" s="271"/>
      <c r="P171" s="271"/>
      <c r="Q171" s="271"/>
      <c r="R171" s="271"/>
      <c r="S171" s="271"/>
      <c r="T171" s="271"/>
      <c r="U171" s="271"/>
      <c r="V171" s="271"/>
      <c r="W171" s="271"/>
      <c r="X171" s="248"/>
    </row>
    <row r="172" spans="1:24" s="251" customFormat="1" outlineLevel="1" x14ac:dyDescent="0.25">
      <c r="A172" s="245"/>
      <c r="B172" s="298"/>
      <c r="C172" s="255"/>
      <c r="D172" s="255"/>
      <c r="E172" s="245"/>
      <c r="F172" s="68"/>
      <c r="G172" s="245"/>
      <c r="H172" s="68" t="s">
        <v>149</v>
      </c>
      <c r="I172" s="68"/>
      <c r="K172" s="68" t="s">
        <v>97</v>
      </c>
      <c r="L172" s="202" t="s">
        <v>31</v>
      </c>
      <c r="M172" s="271"/>
      <c r="N172" s="271"/>
      <c r="O172" s="271"/>
      <c r="P172" s="271"/>
      <c r="Q172" s="271"/>
      <c r="R172" s="271"/>
      <c r="S172" s="271"/>
      <c r="T172" s="271"/>
      <c r="U172" s="271"/>
      <c r="V172" s="271"/>
      <c r="W172" s="271"/>
      <c r="X172" s="248"/>
    </row>
    <row r="173" spans="1:24" s="251" customFormat="1" outlineLevel="1" x14ac:dyDescent="0.25">
      <c r="A173" s="245"/>
      <c r="B173" s="298"/>
      <c r="C173" s="255"/>
      <c r="D173" s="255"/>
      <c r="E173" s="245"/>
      <c r="F173" s="68"/>
      <c r="G173" s="245"/>
      <c r="H173" s="68" t="s">
        <v>370</v>
      </c>
      <c r="I173" s="68"/>
      <c r="K173" s="68" t="s">
        <v>97</v>
      </c>
      <c r="L173" s="202" t="s">
        <v>31</v>
      </c>
      <c r="M173" s="271"/>
      <c r="N173" s="271"/>
      <c r="O173" s="271"/>
      <c r="P173" s="271"/>
      <c r="Q173" s="271"/>
      <c r="R173" s="271"/>
      <c r="S173" s="271"/>
      <c r="T173" s="271"/>
      <c r="U173" s="271"/>
      <c r="V173" s="271"/>
      <c r="W173" s="271"/>
      <c r="X173" s="248"/>
    </row>
    <row r="174" spans="1:24" s="251" customFormat="1" outlineLevel="1" x14ac:dyDescent="0.25">
      <c r="A174" s="245"/>
      <c r="B174" s="298"/>
      <c r="C174" s="255"/>
      <c r="D174" s="255"/>
      <c r="E174" s="245"/>
      <c r="F174" s="68"/>
      <c r="G174" s="245"/>
      <c r="H174" s="68" t="s">
        <v>371</v>
      </c>
      <c r="I174" s="68"/>
      <c r="K174" s="68" t="s">
        <v>97</v>
      </c>
      <c r="L174" s="202" t="s">
        <v>31</v>
      </c>
      <c r="M174" s="271"/>
      <c r="N174" s="271"/>
      <c r="O174" s="271"/>
      <c r="P174" s="271"/>
      <c r="Q174" s="271"/>
      <c r="R174" s="271"/>
      <c r="S174" s="271"/>
      <c r="T174" s="271"/>
      <c r="U174" s="271"/>
      <c r="V174" s="271"/>
      <c r="W174" s="271"/>
      <c r="X174" s="248"/>
    </row>
    <row r="175" spans="1:24" s="251" customFormat="1" outlineLevel="1" x14ac:dyDescent="0.25">
      <c r="A175" s="245"/>
      <c r="B175" s="298"/>
      <c r="C175" s="255"/>
      <c r="D175" s="255"/>
      <c r="E175" s="245"/>
      <c r="F175" s="246"/>
      <c r="G175" s="245"/>
      <c r="H175" s="246" t="s">
        <v>338</v>
      </c>
      <c r="I175" s="246"/>
      <c r="J175" s="246"/>
      <c r="K175" s="67" t="s">
        <v>36</v>
      </c>
      <c r="L175" s="202" t="s">
        <v>31</v>
      </c>
      <c r="M175" s="55"/>
      <c r="N175" s="55"/>
      <c r="O175" s="55"/>
      <c r="P175" s="55"/>
      <c r="Q175" s="55"/>
      <c r="R175" s="55"/>
      <c r="S175" s="55"/>
      <c r="T175" s="55"/>
      <c r="U175" s="55"/>
      <c r="V175" s="55"/>
      <c r="W175" s="55"/>
      <c r="X175" s="248"/>
    </row>
    <row r="176" spans="1:24" s="251" customFormat="1" outlineLevel="1" x14ac:dyDescent="0.25">
      <c r="A176" s="245"/>
      <c r="B176" s="298"/>
      <c r="C176" s="255"/>
      <c r="D176" s="255"/>
      <c r="E176" s="245"/>
      <c r="F176" s="246"/>
      <c r="G176" s="245"/>
      <c r="H176" s="246" t="s">
        <v>152</v>
      </c>
      <c r="I176" s="246"/>
      <c r="J176" s="246"/>
      <c r="K176" s="67" t="s">
        <v>321</v>
      </c>
      <c r="L176" s="202" t="s">
        <v>31</v>
      </c>
      <c r="M176" s="55">
        <v>18325</v>
      </c>
      <c r="N176" s="262">
        <f t="shared" ref="N176:W176" si="16">M176</f>
        <v>18325</v>
      </c>
      <c r="O176" s="262">
        <f t="shared" si="16"/>
        <v>18325</v>
      </c>
      <c r="P176" s="262">
        <f t="shared" si="16"/>
        <v>18325</v>
      </c>
      <c r="Q176" s="262">
        <f t="shared" si="16"/>
        <v>18325</v>
      </c>
      <c r="R176" s="262">
        <f t="shared" si="16"/>
        <v>18325</v>
      </c>
      <c r="S176" s="262">
        <f t="shared" si="16"/>
        <v>18325</v>
      </c>
      <c r="T176" s="262">
        <f t="shared" si="16"/>
        <v>18325</v>
      </c>
      <c r="U176" s="262">
        <f t="shared" si="16"/>
        <v>18325</v>
      </c>
      <c r="V176" s="262">
        <f t="shared" si="16"/>
        <v>18325</v>
      </c>
      <c r="W176" s="262">
        <f t="shared" si="16"/>
        <v>18325</v>
      </c>
      <c r="X176" s="248"/>
    </row>
    <row r="177" spans="1:24" s="251" customFormat="1" outlineLevel="1" x14ac:dyDescent="0.25">
      <c r="A177" s="245"/>
      <c r="B177" s="298"/>
      <c r="C177" s="255"/>
      <c r="D177" s="255"/>
      <c r="E177" s="245"/>
      <c r="F177" s="246"/>
      <c r="G177" s="245"/>
      <c r="H177" s="246" t="s">
        <v>383</v>
      </c>
      <c r="I177" s="246"/>
      <c r="J177" s="246"/>
      <c r="K177" s="246" t="s">
        <v>97</v>
      </c>
      <c r="L177" s="202" t="s">
        <v>31</v>
      </c>
      <c r="M177" s="271"/>
      <c r="N177" s="271"/>
      <c r="O177" s="271"/>
      <c r="P177" s="271"/>
      <c r="Q177" s="271"/>
      <c r="R177" s="271"/>
      <c r="S177" s="271"/>
      <c r="T177" s="271"/>
      <c r="U177" s="271"/>
      <c r="V177" s="271"/>
      <c r="W177" s="271"/>
      <c r="X177" s="248"/>
    </row>
    <row r="178" spans="1:24" s="251" customFormat="1" outlineLevel="1" x14ac:dyDescent="0.25">
      <c r="A178" s="245"/>
      <c r="B178" s="298"/>
      <c r="C178" s="255"/>
      <c r="D178" s="255"/>
      <c r="E178" s="245"/>
      <c r="F178" s="246"/>
      <c r="G178" s="245"/>
      <c r="H178" s="246" t="s">
        <v>446</v>
      </c>
      <c r="I178" s="246"/>
      <c r="J178" s="246"/>
      <c r="K178" s="67" t="s">
        <v>36</v>
      </c>
      <c r="L178" s="202" t="s">
        <v>31</v>
      </c>
      <c r="M178" s="55"/>
      <c r="N178" s="55"/>
      <c r="O178" s="55"/>
      <c r="P178" s="55"/>
      <c r="Q178" s="55"/>
      <c r="R178" s="55"/>
      <c r="S178" s="55"/>
      <c r="T178" s="55"/>
      <c r="U178" s="55"/>
      <c r="V178" s="55"/>
      <c r="W178" s="55"/>
      <c r="X178" s="248"/>
    </row>
    <row r="179" spans="1:24" s="251" customFormat="1" outlineLevel="1" x14ac:dyDescent="0.25">
      <c r="A179" s="245"/>
      <c r="B179" s="298"/>
      <c r="C179" s="255"/>
      <c r="D179" s="255"/>
      <c r="E179" s="245"/>
      <c r="F179" s="246"/>
      <c r="G179" s="245"/>
      <c r="H179" s="246" t="s">
        <v>387</v>
      </c>
      <c r="I179" s="246"/>
      <c r="J179" s="246"/>
      <c r="K179" s="246"/>
      <c r="L179" s="202" t="s">
        <v>31</v>
      </c>
      <c r="M179" s="54"/>
      <c r="N179" s="54"/>
      <c r="O179" s="54"/>
      <c r="P179" s="54"/>
      <c r="Q179" s="54"/>
      <c r="R179" s="54"/>
      <c r="S179" s="54"/>
      <c r="T179" s="54"/>
      <c r="U179" s="54"/>
      <c r="V179" s="54"/>
      <c r="W179" s="54"/>
      <c r="X179" s="248"/>
    </row>
    <row r="180" spans="1:24" s="251" customFormat="1" outlineLevel="1" x14ac:dyDescent="0.25">
      <c r="A180" s="245"/>
      <c r="B180" s="298"/>
      <c r="C180" s="255"/>
      <c r="D180" s="255"/>
      <c r="E180" s="245"/>
      <c r="F180" s="246"/>
      <c r="G180" s="245"/>
      <c r="H180" s="246" t="s">
        <v>369</v>
      </c>
      <c r="I180" s="246"/>
      <c r="J180" s="246"/>
      <c r="K180" s="246" t="s">
        <v>97</v>
      </c>
      <c r="L180" s="202" t="s">
        <v>31</v>
      </c>
      <c r="M180" s="271"/>
      <c r="N180" s="271"/>
      <c r="O180" s="271"/>
      <c r="P180" s="271"/>
      <c r="Q180" s="271"/>
      <c r="R180" s="271"/>
      <c r="S180" s="271"/>
      <c r="T180" s="271"/>
      <c r="U180" s="271"/>
      <c r="V180" s="271"/>
      <c r="W180" s="271"/>
      <c r="X180" s="248"/>
    </row>
    <row r="181" spans="1:24" s="251" customFormat="1" outlineLevel="1" x14ac:dyDescent="0.25">
      <c r="A181" s="245"/>
      <c r="B181" s="298"/>
      <c r="C181" s="255"/>
      <c r="D181" s="255"/>
      <c r="E181" s="245"/>
      <c r="F181" s="246"/>
      <c r="G181" s="245"/>
      <c r="H181" s="246" t="s">
        <v>392</v>
      </c>
      <c r="I181" s="246"/>
      <c r="J181" s="246"/>
      <c r="K181" s="246" t="s">
        <v>321</v>
      </c>
      <c r="L181" s="202" t="s">
        <v>31</v>
      </c>
      <c r="M181" s="55"/>
      <c r="N181" s="55"/>
      <c r="O181" s="55"/>
      <c r="P181" s="55"/>
      <c r="Q181" s="55"/>
      <c r="R181" s="55"/>
      <c r="S181" s="55"/>
      <c r="T181" s="55"/>
      <c r="U181" s="55"/>
      <c r="V181" s="55"/>
      <c r="W181" s="55"/>
      <c r="X181" s="248"/>
    </row>
    <row r="182" spans="1:24" s="251" customFormat="1" outlineLevel="1" x14ac:dyDescent="0.25">
      <c r="A182" s="245"/>
      <c r="B182" s="298"/>
      <c r="C182" s="255"/>
      <c r="D182" s="255"/>
      <c r="E182" s="245"/>
      <c r="F182" s="246"/>
      <c r="G182" s="245"/>
      <c r="H182" s="246" t="s">
        <v>394</v>
      </c>
      <c r="I182" s="246"/>
      <c r="J182" s="246"/>
      <c r="K182" s="246" t="s">
        <v>321</v>
      </c>
      <c r="L182" s="202" t="s">
        <v>31</v>
      </c>
      <c r="M182" s="55"/>
      <c r="N182" s="55"/>
      <c r="O182" s="55"/>
      <c r="P182" s="55"/>
      <c r="Q182" s="55"/>
      <c r="R182" s="55"/>
      <c r="S182" s="55"/>
      <c r="T182" s="55"/>
      <c r="U182" s="55"/>
      <c r="V182" s="55"/>
      <c r="W182" s="55"/>
      <c r="X182" s="248"/>
    </row>
    <row r="183" spans="1:24" s="251" customFormat="1" outlineLevel="1" x14ac:dyDescent="0.25">
      <c r="A183" s="245"/>
      <c r="B183" s="298"/>
      <c r="C183" s="255"/>
      <c r="D183" s="255"/>
      <c r="E183" s="245"/>
      <c r="F183" s="246"/>
      <c r="G183" s="245"/>
      <c r="H183" s="246" t="s">
        <v>395</v>
      </c>
      <c r="I183" s="246"/>
      <c r="J183" s="246"/>
      <c r="K183" s="246"/>
      <c r="L183" s="202" t="s">
        <v>31</v>
      </c>
      <c r="M183" s="54"/>
      <c r="N183" s="54"/>
      <c r="O183" s="54"/>
      <c r="P183" s="54"/>
      <c r="Q183" s="54"/>
      <c r="R183" s="54"/>
      <c r="S183" s="54"/>
      <c r="T183" s="54"/>
      <c r="U183" s="54"/>
      <c r="V183" s="54"/>
      <c r="W183" s="54"/>
      <c r="X183" s="248"/>
    </row>
    <row r="184" spans="1:24" s="251" customFormat="1" outlineLevel="1" x14ac:dyDescent="0.25">
      <c r="A184" s="245"/>
      <c r="B184" s="298"/>
      <c r="C184" s="255"/>
      <c r="D184" s="255"/>
      <c r="E184" s="245"/>
      <c r="F184" s="246"/>
      <c r="G184" s="245"/>
      <c r="H184" s="246" t="s">
        <v>396</v>
      </c>
      <c r="I184" s="246"/>
      <c r="J184" s="246"/>
      <c r="K184" s="246"/>
      <c r="L184" s="202" t="s">
        <v>31</v>
      </c>
      <c r="M184" s="54"/>
      <c r="N184" s="54"/>
      <c r="O184" s="54"/>
      <c r="P184" s="54"/>
      <c r="Q184" s="54"/>
      <c r="R184" s="54"/>
      <c r="S184" s="54"/>
      <c r="T184" s="54"/>
      <c r="U184" s="54"/>
      <c r="V184" s="54"/>
      <c r="W184" s="54"/>
      <c r="X184" s="248"/>
    </row>
    <row r="185" spans="1:24" s="251" customFormat="1" outlineLevel="1" x14ac:dyDescent="0.25">
      <c r="A185" s="245"/>
      <c r="B185" s="298"/>
      <c r="C185" s="255"/>
      <c r="D185" s="255"/>
      <c r="E185" s="245"/>
      <c r="F185" s="246"/>
      <c r="G185" s="245"/>
      <c r="H185" s="246" t="s">
        <v>393</v>
      </c>
      <c r="I185" s="246"/>
      <c r="J185" s="246"/>
      <c r="K185" s="67" t="s">
        <v>324</v>
      </c>
      <c r="L185" s="202" t="s">
        <v>31</v>
      </c>
      <c r="M185" s="55"/>
      <c r="N185" s="55"/>
      <c r="O185" s="55"/>
      <c r="P185" s="55"/>
      <c r="Q185" s="55"/>
      <c r="R185" s="55"/>
      <c r="S185" s="55"/>
      <c r="T185" s="55"/>
      <c r="U185" s="55"/>
      <c r="V185" s="55"/>
      <c r="W185" s="55"/>
      <c r="X185" s="248"/>
    </row>
    <row r="186" spans="1:24" s="251" customFormat="1" outlineLevel="1" x14ac:dyDescent="0.25">
      <c r="A186" s="245"/>
      <c r="B186" s="298"/>
      <c r="C186" s="255"/>
      <c r="D186" s="255"/>
      <c r="E186" s="245"/>
      <c r="F186" s="246"/>
      <c r="G186" s="245"/>
      <c r="H186" s="246" t="s">
        <v>397</v>
      </c>
      <c r="I186" s="246"/>
      <c r="J186" s="246"/>
      <c r="K186" s="67" t="s">
        <v>324</v>
      </c>
      <c r="L186" s="202" t="s">
        <v>31</v>
      </c>
      <c r="M186" s="55"/>
      <c r="N186" s="55"/>
      <c r="O186" s="55"/>
      <c r="P186" s="55"/>
      <c r="Q186" s="55"/>
      <c r="R186" s="55"/>
      <c r="S186" s="55"/>
      <c r="T186" s="55"/>
      <c r="U186" s="55"/>
      <c r="V186" s="55"/>
      <c r="W186" s="55"/>
      <c r="X186" s="248"/>
    </row>
    <row r="187" spans="1:24" s="251" customFormat="1" outlineLevel="1" x14ac:dyDescent="0.25">
      <c r="A187" s="245"/>
      <c r="B187" s="298"/>
      <c r="C187" s="255"/>
      <c r="D187" s="255"/>
      <c r="E187" s="245"/>
      <c r="F187" s="246"/>
      <c r="G187" s="245"/>
      <c r="H187" s="246" t="s">
        <v>398</v>
      </c>
      <c r="I187" s="246"/>
      <c r="J187" s="246"/>
      <c r="K187" s="246"/>
      <c r="L187" s="202" t="s">
        <v>31</v>
      </c>
      <c r="M187" s="54"/>
      <c r="N187" s="54"/>
      <c r="O187" s="54"/>
      <c r="P187" s="54"/>
      <c r="Q187" s="54"/>
      <c r="R187" s="54"/>
      <c r="S187" s="54"/>
      <c r="T187" s="54"/>
      <c r="U187" s="54"/>
      <c r="V187" s="54"/>
      <c r="W187" s="54"/>
      <c r="X187" s="248"/>
    </row>
    <row r="188" spans="1:24" s="251" customFormat="1" outlineLevel="1" x14ac:dyDescent="0.25">
      <c r="A188" s="245"/>
      <c r="B188" s="298"/>
      <c r="C188" s="255"/>
      <c r="D188" s="255"/>
      <c r="E188" s="245"/>
      <c r="F188" s="246"/>
      <c r="G188" s="245"/>
      <c r="H188" s="246" t="s">
        <v>399</v>
      </c>
      <c r="I188" s="246"/>
      <c r="J188" s="246"/>
      <c r="K188" s="246"/>
      <c r="L188" s="202" t="s">
        <v>31</v>
      </c>
      <c r="M188" s="54"/>
      <c r="N188" s="54"/>
      <c r="O188" s="54"/>
      <c r="P188" s="54"/>
      <c r="Q188" s="54"/>
      <c r="R188" s="54"/>
      <c r="S188" s="54"/>
      <c r="T188" s="54"/>
      <c r="U188" s="54"/>
      <c r="V188" s="54"/>
      <c r="W188" s="54"/>
      <c r="X188" s="248"/>
    </row>
    <row r="189" spans="1:24" s="251" customFormat="1" outlineLevel="1" x14ac:dyDescent="0.25">
      <c r="A189" s="245"/>
      <c r="B189" s="298"/>
      <c r="C189" s="255"/>
      <c r="D189" s="255"/>
      <c r="E189" s="245"/>
      <c r="F189" s="246"/>
      <c r="G189" s="245"/>
      <c r="H189" s="246" t="s">
        <v>310</v>
      </c>
      <c r="I189" s="246"/>
      <c r="J189" s="246"/>
      <c r="K189" s="67" t="s">
        <v>324</v>
      </c>
      <c r="L189" s="202" t="s">
        <v>31</v>
      </c>
      <c r="M189" s="55"/>
      <c r="N189" s="55"/>
      <c r="O189" s="55"/>
      <c r="P189" s="55"/>
      <c r="Q189" s="55"/>
      <c r="R189" s="55"/>
      <c r="S189" s="55"/>
      <c r="T189" s="55"/>
      <c r="U189" s="55"/>
      <c r="V189" s="55"/>
      <c r="W189" s="55"/>
      <c r="X189" s="248"/>
    </row>
    <row r="190" spans="1:24" s="251" customFormat="1" outlineLevel="1" x14ac:dyDescent="0.25">
      <c r="A190" s="245"/>
      <c r="B190" s="298"/>
      <c r="C190" s="255"/>
      <c r="D190" s="255"/>
      <c r="E190" s="245"/>
      <c r="F190" s="246"/>
      <c r="G190" s="245"/>
      <c r="H190" s="246" t="s">
        <v>360</v>
      </c>
      <c r="I190" s="246"/>
      <c r="J190" s="246"/>
      <c r="K190" s="246" t="s">
        <v>321</v>
      </c>
      <c r="L190" s="202" t="s">
        <v>31</v>
      </c>
      <c r="M190" s="55"/>
      <c r="N190" s="55"/>
      <c r="O190" s="55"/>
      <c r="P190" s="55"/>
      <c r="Q190" s="55"/>
      <c r="R190" s="55"/>
      <c r="S190" s="55"/>
      <c r="T190" s="55"/>
      <c r="U190" s="55"/>
      <c r="V190" s="55"/>
      <c r="W190" s="55"/>
      <c r="X190" s="248"/>
    </row>
    <row r="191" spans="1:24" s="251" customFormat="1" outlineLevel="1" x14ac:dyDescent="0.25">
      <c r="A191" s="245"/>
      <c r="B191" s="298"/>
      <c r="C191" s="255"/>
      <c r="D191" s="255"/>
      <c r="E191" s="245"/>
      <c r="F191" s="25"/>
      <c r="G191" s="245"/>
      <c r="H191" s="67" t="s">
        <v>306</v>
      </c>
      <c r="I191" s="25"/>
      <c r="J191" s="67"/>
      <c r="K191" s="67" t="s">
        <v>45</v>
      </c>
      <c r="L191" s="202" t="s">
        <v>31</v>
      </c>
      <c r="M191" s="54">
        <v>0.309</v>
      </c>
      <c r="N191" s="54">
        <f t="shared" ref="N191:W192" si="17">M191</f>
        <v>0.309</v>
      </c>
      <c r="O191" s="54">
        <f t="shared" si="17"/>
        <v>0.309</v>
      </c>
      <c r="P191" s="54">
        <f t="shared" si="17"/>
        <v>0.309</v>
      </c>
      <c r="Q191" s="54">
        <f t="shared" si="17"/>
        <v>0.309</v>
      </c>
      <c r="R191" s="54">
        <f t="shared" si="17"/>
        <v>0.309</v>
      </c>
      <c r="S191" s="54">
        <f t="shared" si="17"/>
        <v>0.309</v>
      </c>
      <c r="T191" s="54">
        <f t="shared" si="17"/>
        <v>0.309</v>
      </c>
      <c r="U191" s="54">
        <f t="shared" si="17"/>
        <v>0.309</v>
      </c>
      <c r="V191" s="54">
        <f t="shared" si="17"/>
        <v>0.309</v>
      </c>
      <c r="W191" s="54">
        <f t="shared" si="17"/>
        <v>0.309</v>
      </c>
      <c r="X191" s="248"/>
    </row>
    <row r="192" spans="1:24" s="251" customFormat="1" outlineLevel="1" x14ac:dyDescent="0.25">
      <c r="A192" s="245"/>
      <c r="B192" s="298"/>
      <c r="C192" s="255"/>
      <c r="D192" s="255"/>
      <c r="E192" s="245"/>
      <c r="F192" s="25"/>
      <c r="G192" s="245"/>
      <c r="H192" s="67" t="s">
        <v>306</v>
      </c>
      <c r="I192" s="25"/>
      <c r="J192" s="67"/>
      <c r="K192" s="67" t="s">
        <v>45</v>
      </c>
      <c r="L192" s="202" t="s">
        <v>31</v>
      </c>
      <c r="M192" s="54">
        <v>2.3E-2</v>
      </c>
      <c r="N192" s="54">
        <f t="shared" si="17"/>
        <v>2.3E-2</v>
      </c>
      <c r="O192" s="54">
        <f t="shared" si="17"/>
        <v>2.3E-2</v>
      </c>
      <c r="P192" s="54">
        <f t="shared" si="17"/>
        <v>2.3E-2</v>
      </c>
      <c r="Q192" s="54">
        <f t="shared" si="17"/>
        <v>2.3E-2</v>
      </c>
      <c r="R192" s="54">
        <f t="shared" si="17"/>
        <v>2.3E-2</v>
      </c>
      <c r="S192" s="54">
        <f t="shared" si="17"/>
        <v>2.3E-2</v>
      </c>
      <c r="T192" s="54">
        <f t="shared" si="17"/>
        <v>2.3E-2</v>
      </c>
      <c r="U192" s="54">
        <f t="shared" si="17"/>
        <v>2.3E-2</v>
      </c>
      <c r="V192" s="54">
        <f t="shared" si="17"/>
        <v>2.3E-2</v>
      </c>
      <c r="W192" s="54">
        <f t="shared" si="17"/>
        <v>2.3E-2</v>
      </c>
      <c r="X192" s="248"/>
    </row>
    <row r="193" spans="1:24" s="251" customFormat="1" x14ac:dyDescent="0.25">
      <c r="A193" s="245"/>
      <c r="B193" s="298"/>
      <c r="C193" s="255"/>
      <c r="D193" s="255"/>
      <c r="E193" s="245"/>
      <c r="F193" s="237"/>
      <c r="G193" s="245"/>
      <c r="H193" s="237"/>
      <c r="I193" s="237"/>
      <c r="J193" s="237"/>
      <c r="K193" s="237"/>
      <c r="L193" s="238"/>
      <c r="M193" s="302"/>
      <c r="X193" s="248"/>
    </row>
    <row r="194" spans="1:24" s="251" customFormat="1" x14ac:dyDescent="0.25">
      <c r="A194" s="245"/>
      <c r="B194" s="298"/>
      <c r="C194" s="255"/>
      <c r="D194" s="255"/>
      <c r="E194" s="245"/>
      <c r="F194" s="237"/>
      <c r="G194" s="245"/>
      <c r="H194" s="237"/>
      <c r="I194" s="237"/>
      <c r="J194" s="237"/>
      <c r="K194" s="237"/>
      <c r="L194" s="238"/>
      <c r="M194" s="302"/>
      <c r="X194" s="248"/>
    </row>
    <row r="195" spans="1:24" s="251" customFormat="1" x14ac:dyDescent="0.25">
      <c r="A195" s="245"/>
      <c r="B195" s="298"/>
      <c r="C195" s="255"/>
      <c r="D195" s="255"/>
      <c r="E195" s="245"/>
      <c r="F195" s="237"/>
      <c r="G195" s="245"/>
      <c r="H195" s="237"/>
      <c r="I195" s="237"/>
      <c r="J195" s="237"/>
      <c r="K195" s="237"/>
      <c r="L195" s="238"/>
      <c r="M195" s="302"/>
      <c r="X195" s="248"/>
    </row>
    <row r="196" spans="1:24" s="251" customFormat="1" x14ac:dyDescent="0.25">
      <c r="A196" s="245"/>
      <c r="B196" s="298"/>
      <c r="C196" s="255"/>
      <c r="D196" s="255"/>
      <c r="E196" s="245"/>
      <c r="F196" s="237"/>
      <c r="G196" s="245"/>
      <c r="H196" s="237"/>
      <c r="I196" s="237"/>
      <c r="J196" s="237"/>
      <c r="K196" s="237"/>
      <c r="L196" s="238"/>
      <c r="M196" s="302"/>
      <c r="X196" s="248"/>
    </row>
    <row r="197" spans="1:24" s="251" customFormat="1" x14ac:dyDescent="0.25">
      <c r="A197" s="245"/>
      <c r="B197" s="298"/>
      <c r="C197" s="255"/>
      <c r="D197" s="255"/>
      <c r="E197" s="245"/>
      <c r="F197" s="237"/>
      <c r="G197" s="245"/>
      <c r="H197" s="237"/>
      <c r="I197" s="237"/>
      <c r="J197" s="237"/>
      <c r="K197" s="237"/>
      <c r="L197" s="238"/>
      <c r="M197" s="302"/>
      <c r="X197" s="248"/>
    </row>
    <row r="198" spans="1:24" s="251" customFormat="1" x14ac:dyDescent="0.25">
      <c r="A198" s="245"/>
      <c r="B198" s="298"/>
      <c r="C198" s="255"/>
      <c r="D198" s="255"/>
      <c r="E198" s="245"/>
      <c r="F198" s="237"/>
      <c r="G198" s="245"/>
      <c r="H198" s="237"/>
      <c r="I198" s="237"/>
      <c r="J198" s="237"/>
      <c r="K198" s="237"/>
      <c r="L198" s="238"/>
      <c r="M198" s="302"/>
      <c r="X198" s="248"/>
    </row>
    <row r="199" spans="1:24" s="251" customFormat="1" x14ac:dyDescent="0.25">
      <c r="A199" s="245"/>
      <c r="B199" s="298"/>
      <c r="C199" s="255"/>
      <c r="D199" s="255"/>
      <c r="E199" s="245"/>
      <c r="F199" s="237"/>
      <c r="G199" s="245"/>
      <c r="H199" s="237"/>
      <c r="I199" s="237"/>
      <c r="J199" s="237"/>
      <c r="K199" s="237"/>
      <c r="L199" s="238"/>
      <c r="M199" s="302"/>
      <c r="X199" s="248"/>
    </row>
    <row r="200" spans="1:24" s="251" customFormat="1" x14ac:dyDescent="0.25">
      <c r="A200" s="245"/>
      <c r="B200" s="298"/>
      <c r="C200" s="255"/>
      <c r="D200" s="255"/>
      <c r="E200" s="245"/>
      <c r="F200" s="237"/>
      <c r="G200" s="245"/>
      <c r="H200" s="237"/>
      <c r="I200" s="237"/>
      <c r="J200" s="237"/>
      <c r="K200" s="237"/>
      <c r="L200" s="238"/>
      <c r="M200" s="302"/>
      <c r="X200" s="248"/>
    </row>
    <row r="201" spans="1:24" s="251" customFormat="1" x14ac:dyDescent="0.25">
      <c r="A201" s="245"/>
      <c r="B201" s="298"/>
      <c r="C201" s="255"/>
      <c r="D201" s="255"/>
      <c r="E201" s="245"/>
      <c r="F201" s="237"/>
      <c r="G201" s="245"/>
      <c r="H201" s="237"/>
      <c r="I201" s="237"/>
      <c r="J201" s="237"/>
      <c r="K201" s="237"/>
      <c r="L201" s="238"/>
      <c r="M201" s="302"/>
      <c r="X201" s="248"/>
    </row>
    <row r="202" spans="1:24" s="251" customFormat="1" x14ac:dyDescent="0.25">
      <c r="A202" s="245"/>
      <c r="B202" s="298"/>
      <c r="C202" s="255"/>
      <c r="D202" s="255"/>
      <c r="E202" s="245"/>
      <c r="F202" s="237"/>
      <c r="G202" s="245"/>
      <c r="H202" s="237"/>
      <c r="I202" s="237"/>
      <c r="J202" s="237"/>
      <c r="K202" s="237"/>
      <c r="L202" s="238"/>
      <c r="M202" s="302"/>
      <c r="X202" s="248"/>
    </row>
    <row r="203" spans="1:24" s="251" customFormat="1" x14ac:dyDescent="0.25">
      <c r="A203" s="245"/>
      <c r="B203" s="298"/>
      <c r="C203" s="255"/>
      <c r="D203" s="255"/>
      <c r="E203" s="245"/>
      <c r="F203" s="237"/>
      <c r="G203" s="245"/>
      <c r="H203" s="237"/>
      <c r="I203" s="237"/>
      <c r="J203" s="237"/>
      <c r="K203" s="237"/>
      <c r="L203" s="238"/>
      <c r="M203" s="302"/>
      <c r="X203" s="248"/>
    </row>
    <row r="204" spans="1:24" s="251" customFormat="1" x14ac:dyDescent="0.25">
      <c r="A204" s="245"/>
      <c r="B204" s="298"/>
      <c r="C204" s="255"/>
      <c r="D204" s="255"/>
      <c r="E204" s="245"/>
      <c r="F204" s="237"/>
      <c r="G204" s="245"/>
      <c r="H204" s="237"/>
      <c r="I204" s="237"/>
      <c r="J204" s="237"/>
      <c r="K204" s="237"/>
      <c r="L204" s="238"/>
      <c r="M204" s="302"/>
      <c r="X204" s="248"/>
    </row>
    <row r="205" spans="1:24" s="251" customFormat="1" x14ac:dyDescent="0.25">
      <c r="A205" s="245"/>
      <c r="B205" s="298"/>
      <c r="C205" s="255"/>
      <c r="D205" s="255"/>
      <c r="E205" s="245"/>
      <c r="F205" s="237"/>
      <c r="G205" s="245"/>
      <c r="H205" s="237"/>
      <c r="I205" s="237"/>
      <c r="J205" s="237"/>
      <c r="K205" s="237"/>
      <c r="L205" s="238"/>
      <c r="M205" s="302"/>
      <c r="X205" s="248"/>
    </row>
    <row r="206" spans="1:24" s="251" customFormat="1" x14ac:dyDescent="0.25">
      <c r="A206" s="245"/>
      <c r="B206" s="298"/>
      <c r="C206" s="255"/>
      <c r="D206" s="255"/>
      <c r="E206" s="245"/>
      <c r="F206" s="237"/>
      <c r="G206" s="245"/>
      <c r="H206" s="237"/>
      <c r="I206" s="237"/>
      <c r="J206" s="237"/>
      <c r="K206" s="237"/>
      <c r="L206" s="238"/>
      <c r="M206" s="302"/>
      <c r="X206" s="248"/>
    </row>
    <row r="207" spans="1:24" s="251" customFormat="1" x14ac:dyDescent="0.25">
      <c r="A207" s="245"/>
      <c r="B207" s="298"/>
      <c r="C207" s="255"/>
      <c r="D207" s="255"/>
      <c r="E207" s="245"/>
      <c r="F207" s="237"/>
      <c r="G207" s="245"/>
      <c r="H207" s="237"/>
      <c r="I207" s="237"/>
      <c r="J207" s="237"/>
      <c r="K207" s="237"/>
      <c r="L207" s="238"/>
      <c r="M207" s="302"/>
      <c r="X207" s="248"/>
    </row>
    <row r="208" spans="1:24" s="251" customFormat="1" x14ac:dyDescent="0.25">
      <c r="A208" s="245"/>
      <c r="B208" s="298"/>
      <c r="C208" s="255"/>
      <c r="D208" s="255"/>
      <c r="E208" s="245"/>
      <c r="F208" s="237"/>
      <c r="G208" s="245"/>
      <c r="H208" s="237"/>
      <c r="I208" s="237"/>
      <c r="J208" s="237"/>
      <c r="K208" s="237"/>
      <c r="L208" s="238"/>
      <c r="M208" s="302"/>
      <c r="X208" s="248"/>
    </row>
    <row r="209" spans="1:24" s="251" customFormat="1" x14ac:dyDescent="0.25">
      <c r="A209" s="245"/>
      <c r="B209" s="298"/>
      <c r="C209" s="255"/>
      <c r="D209" s="255"/>
      <c r="E209" s="245"/>
      <c r="F209" s="237"/>
      <c r="G209" s="245"/>
      <c r="H209" s="237"/>
      <c r="I209" s="237"/>
      <c r="J209" s="237"/>
      <c r="K209" s="237"/>
      <c r="L209" s="238"/>
      <c r="M209" s="302"/>
      <c r="X209" s="248"/>
    </row>
    <row r="210" spans="1:24" s="251" customFormat="1" x14ac:dyDescent="0.25">
      <c r="A210" s="245"/>
      <c r="B210" s="298"/>
      <c r="C210" s="255"/>
      <c r="D210" s="255"/>
      <c r="E210" s="245"/>
      <c r="F210" s="237"/>
      <c r="G210" s="245"/>
      <c r="H210" s="237"/>
      <c r="I210" s="237"/>
      <c r="J210" s="237"/>
      <c r="K210" s="237"/>
      <c r="L210" s="238"/>
      <c r="M210" s="302"/>
      <c r="X210" s="248"/>
    </row>
    <row r="211" spans="1:24" s="251" customFormat="1" x14ac:dyDescent="0.25">
      <c r="A211" s="245"/>
      <c r="B211" s="298"/>
      <c r="C211" s="255"/>
      <c r="D211" s="255"/>
      <c r="E211" s="245"/>
      <c r="F211" s="237"/>
      <c r="G211" s="245"/>
      <c r="H211" s="237"/>
      <c r="I211" s="237"/>
      <c r="J211" s="237"/>
      <c r="K211" s="237"/>
      <c r="L211" s="238"/>
      <c r="M211" s="302"/>
      <c r="X211" s="248"/>
    </row>
    <row r="212" spans="1:24" s="251" customFormat="1" x14ac:dyDescent="0.25">
      <c r="A212" s="245"/>
      <c r="B212" s="298"/>
      <c r="C212" s="255"/>
      <c r="D212" s="255"/>
      <c r="E212" s="245"/>
      <c r="F212" s="237"/>
      <c r="G212" s="245"/>
      <c r="H212" s="237"/>
      <c r="I212" s="237"/>
      <c r="J212" s="237"/>
      <c r="K212" s="237"/>
      <c r="L212" s="238"/>
      <c r="M212" s="302"/>
      <c r="X212" s="248"/>
    </row>
    <row r="213" spans="1:24" s="251" customFormat="1" x14ac:dyDescent="0.25">
      <c r="A213" s="245"/>
      <c r="B213" s="298"/>
      <c r="C213" s="255"/>
      <c r="D213" s="255"/>
      <c r="E213" s="245"/>
      <c r="F213" s="237"/>
      <c r="G213" s="245"/>
      <c r="H213" s="237"/>
      <c r="I213" s="237"/>
      <c r="J213" s="237"/>
      <c r="K213" s="237"/>
      <c r="L213" s="238"/>
      <c r="M213" s="302"/>
      <c r="X213" s="248"/>
    </row>
    <row r="214" spans="1:24" s="251" customFormat="1" x14ac:dyDescent="0.25">
      <c r="A214" s="245"/>
      <c r="B214" s="298"/>
      <c r="C214" s="255"/>
      <c r="D214" s="255"/>
      <c r="E214" s="245"/>
      <c r="F214" s="237"/>
      <c r="G214" s="245"/>
      <c r="H214" s="237"/>
      <c r="I214" s="237"/>
      <c r="J214" s="237"/>
      <c r="K214" s="237"/>
      <c r="L214" s="238"/>
      <c r="M214" s="302"/>
      <c r="X214" s="248"/>
    </row>
    <row r="215" spans="1:24" s="251" customFormat="1" x14ac:dyDescent="0.25">
      <c r="A215" s="245"/>
      <c r="B215" s="298"/>
      <c r="C215" s="255"/>
      <c r="D215" s="255"/>
      <c r="E215" s="245"/>
      <c r="F215" s="237"/>
      <c r="G215" s="245"/>
      <c r="H215" s="237"/>
      <c r="I215" s="237"/>
      <c r="J215" s="237"/>
      <c r="K215" s="237"/>
      <c r="L215" s="238"/>
      <c r="M215" s="302"/>
      <c r="X215" s="248"/>
    </row>
    <row r="216" spans="1:24" s="251" customFormat="1" x14ac:dyDescent="0.25">
      <c r="A216" s="245"/>
      <c r="B216" s="298"/>
      <c r="C216" s="255"/>
      <c r="D216" s="255"/>
      <c r="E216" s="245"/>
      <c r="F216" s="237"/>
      <c r="G216" s="245"/>
      <c r="H216" s="237"/>
      <c r="I216" s="237"/>
      <c r="J216" s="237"/>
      <c r="K216" s="237"/>
      <c r="L216" s="238"/>
      <c r="M216" s="302"/>
      <c r="X216" s="248"/>
    </row>
    <row r="217" spans="1:24" s="251" customFormat="1" x14ac:dyDescent="0.25">
      <c r="A217" s="245"/>
      <c r="B217" s="298"/>
      <c r="C217" s="255"/>
      <c r="D217" s="255"/>
      <c r="E217" s="245"/>
      <c r="F217" s="237"/>
      <c r="G217" s="245"/>
      <c r="H217" s="237"/>
      <c r="I217" s="237"/>
      <c r="J217" s="237"/>
      <c r="K217" s="237"/>
      <c r="L217" s="238"/>
      <c r="M217" s="302"/>
      <c r="X217" s="248"/>
    </row>
    <row r="218" spans="1:24" s="251" customFormat="1" x14ac:dyDescent="0.25">
      <c r="A218" s="245"/>
      <c r="B218" s="298"/>
      <c r="C218" s="255"/>
      <c r="D218" s="255"/>
      <c r="E218" s="245"/>
      <c r="F218" s="237"/>
      <c r="G218" s="245"/>
      <c r="H218" s="237"/>
      <c r="I218" s="237"/>
      <c r="J218" s="237"/>
      <c r="K218" s="237"/>
      <c r="L218" s="238"/>
      <c r="M218" s="302"/>
      <c r="X218" s="248"/>
    </row>
    <row r="219" spans="1:24" s="251" customFormat="1" x14ac:dyDescent="0.25">
      <c r="A219" s="245"/>
      <c r="B219" s="298"/>
      <c r="C219" s="255"/>
      <c r="D219" s="255"/>
      <c r="E219" s="245"/>
      <c r="F219" s="237"/>
      <c r="G219" s="245"/>
      <c r="H219" s="237"/>
      <c r="I219" s="237"/>
      <c r="J219" s="237"/>
      <c r="K219" s="237"/>
      <c r="L219" s="238"/>
      <c r="M219" s="302"/>
      <c r="X219" s="248"/>
    </row>
    <row r="220" spans="1:24" s="251" customFormat="1" x14ac:dyDescent="0.25">
      <c r="A220" s="245"/>
      <c r="B220" s="298"/>
      <c r="C220" s="255"/>
      <c r="D220" s="255"/>
      <c r="E220" s="245"/>
      <c r="F220" s="237"/>
      <c r="G220" s="245"/>
      <c r="H220" s="237"/>
      <c r="I220" s="237"/>
      <c r="J220" s="237"/>
      <c r="K220" s="237"/>
      <c r="L220" s="238"/>
      <c r="M220" s="302"/>
      <c r="X220" s="248"/>
    </row>
    <row r="221" spans="1:24" s="251" customFormat="1" x14ac:dyDescent="0.25">
      <c r="A221" s="245"/>
      <c r="B221" s="298"/>
      <c r="C221" s="255"/>
      <c r="D221" s="255"/>
      <c r="E221" s="245"/>
      <c r="F221" s="237"/>
      <c r="G221" s="245"/>
      <c r="H221" s="237"/>
      <c r="I221" s="237"/>
      <c r="J221" s="237"/>
      <c r="K221" s="237"/>
      <c r="L221" s="238"/>
      <c r="M221" s="302"/>
      <c r="X221" s="248"/>
    </row>
    <row r="222" spans="1:24" s="251" customFormat="1" x14ac:dyDescent="0.25">
      <c r="A222" s="245"/>
      <c r="B222" s="298"/>
      <c r="C222" s="255"/>
      <c r="D222" s="255"/>
      <c r="E222" s="245"/>
      <c r="F222" s="237"/>
      <c r="G222" s="245"/>
      <c r="H222" s="237"/>
      <c r="I222" s="237"/>
      <c r="J222" s="237"/>
      <c r="K222" s="237"/>
      <c r="L222" s="238"/>
      <c r="M222" s="302"/>
      <c r="X222" s="248"/>
    </row>
    <row r="223" spans="1:24" s="251" customFormat="1" x14ac:dyDescent="0.25">
      <c r="A223" s="245"/>
      <c r="B223" s="298"/>
      <c r="C223" s="255"/>
      <c r="D223" s="255"/>
      <c r="E223" s="245"/>
      <c r="F223" s="237"/>
      <c r="G223" s="245"/>
      <c r="H223" s="237"/>
      <c r="I223" s="237"/>
      <c r="J223" s="237"/>
      <c r="K223" s="237"/>
      <c r="L223" s="238"/>
      <c r="M223" s="302"/>
      <c r="X223" s="248"/>
    </row>
    <row r="224" spans="1:24" s="251" customFormat="1" x14ac:dyDescent="0.25">
      <c r="A224" s="245"/>
      <c r="B224" s="298"/>
      <c r="C224" s="255"/>
      <c r="D224" s="255"/>
      <c r="E224" s="245"/>
      <c r="F224" s="237"/>
      <c r="G224" s="245"/>
      <c r="H224" s="237"/>
      <c r="I224" s="237"/>
      <c r="J224" s="237"/>
      <c r="K224" s="237"/>
      <c r="L224" s="238"/>
      <c r="M224" s="302"/>
      <c r="X224" s="248"/>
    </row>
    <row r="225" spans="1:24" s="251" customFormat="1" x14ac:dyDescent="0.25">
      <c r="A225" s="245"/>
      <c r="B225" s="298"/>
      <c r="C225" s="255"/>
      <c r="D225" s="255"/>
      <c r="E225" s="245"/>
      <c r="F225" s="237"/>
      <c r="G225" s="245"/>
      <c r="H225" s="237"/>
      <c r="I225" s="237"/>
      <c r="J225" s="237"/>
      <c r="K225" s="237"/>
      <c r="L225" s="238"/>
      <c r="M225" s="302"/>
      <c r="X225" s="248"/>
    </row>
    <row r="226" spans="1:24" s="251" customFormat="1" x14ac:dyDescent="0.25">
      <c r="A226" s="245"/>
      <c r="B226" s="298"/>
      <c r="C226" s="255"/>
      <c r="D226" s="255"/>
      <c r="E226" s="245"/>
      <c r="F226" s="237"/>
      <c r="G226" s="245"/>
      <c r="H226" s="237"/>
      <c r="I226" s="237"/>
      <c r="J226" s="237"/>
      <c r="K226" s="237"/>
      <c r="L226" s="238"/>
      <c r="M226" s="302"/>
      <c r="X226" s="248"/>
    </row>
    <row r="227" spans="1:24" s="251" customFormat="1" x14ac:dyDescent="0.25">
      <c r="A227" s="245"/>
      <c r="B227" s="298"/>
      <c r="C227" s="255"/>
      <c r="D227" s="255"/>
      <c r="E227" s="245"/>
      <c r="F227" s="237"/>
      <c r="G227" s="245"/>
      <c r="H227" s="237"/>
      <c r="I227" s="237"/>
      <c r="J227" s="237"/>
      <c r="K227" s="237"/>
      <c r="L227" s="238"/>
      <c r="M227" s="302"/>
      <c r="X227" s="248"/>
    </row>
    <row r="228" spans="1:24" s="251" customFormat="1" x14ac:dyDescent="0.25">
      <c r="A228" s="245"/>
      <c r="B228" s="298"/>
      <c r="C228" s="255"/>
      <c r="D228" s="255"/>
      <c r="E228" s="245"/>
      <c r="F228" s="237"/>
      <c r="G228" s="245"/>
      <c r="H228" s="237"/>
      <c r="I228" s="237"/>
      <c r="J228" s="237"/>
      <c r="K228" s="237"/>
      <c r="L228" s="238"/>
      <c r="M228" s="302"/>
      <c r="X228" s="248"/>
    </row>
    <row r="229" spans="1:24" s="251" customFormat="1" x14ac:dyDescent="0.25">
      <c r="A229" s="245"/>
      <c r="B229" s="298"/>
      <c r="C229" s="255"/>
      <c r="D229" s="255"/>
      <c r="E229" s="245"/>
      <c r="F229" s="237"/>
      <c r="G229" s="245"/>
      <c r="H229" s="237"/>
      <c r="I229" s="237"/>
      <c r="J229" s="237"/>
      <c r="K229" s="237"/>
      <c r="L229" s="238"/>
      <c r="M229" s="302"/>
      <c r="X229" s="248"/>
    </row>
    <row r="230" spans="1:24" s="251" customFormat="1" x14ac:dyDescent="0.25">
      <c r="A230" s="245"/>
      <c r="B230" s="298"/>
      <c r="C230" s="255"/>
      <c r="D230" s="255"/>
      <c r="E230" s="245"/>
      <c r="F230" s="237"/>
      <c r="G230" s="245"/>
      <c r="H230" s="237"/>
      <c r="I230" s="237"/>
      <c r="J230" s="237"/>
      <c r="K230" s="237"/>
      <c r="L230" s="238"/>
      <c r="M230" s="302"/>
      <c r="X230" s="248"/>
    </row>
    <row r="231" spans="1:24" s="251" customFormat="1" x14ac:dyDescent="0.25">
      <c r="A231" s="245"/>
      <c r="B231" s="298"/>
      <c r="C231" s="255"/>
      <c r="D231" s="255"/>
      <c r="E231" s="245"/>
      <c r="F231" s="237"/>
      <c r="G231" s="245"/>
      <c r="H231" s="237"/>
      <c r="I231" s="237"/>
      <c r="J231" s="237"/>
      <c r="K231" s="237"/>
      <c r="L231" s="238"/>
      <c r="M231" s="302"/>
      <c r="X231" s="248"/>
    </row>
    <row r="232" spans="1:24" s="251" customFormat="1" x14ac:dyDescent="0.25">
      <c r="A232" s="245"/>
      <c r="B232" s="298"/>
      <c r="C232" s="255"/>
      <c r="D232" s="255"/>
      <c r="E232" s="245"/>
      <c r="F232" s="237"/>
      <c r="G232" s="245"/>
      <c r="H232" s="237"/>
      <c r="I232" s="237"/>
      <c r="J232" s="237"/>
      <c r="K232" s="237"/>
      <c r="L232" s="238"/>
      <c r="M232" s="302"/>
      <c r="X232" s="248"/>
    </row>
    <row r="233" spans="1:24" s="251" customFormat="1" x14ac:dyDescent="0.25">
      <c r="A233" s="245"/>
      <c r="B233" s="298"/>
      <c r="C233" s="255"/>
      <c r="D233" s="255"/>
      <c r="E233" s="245"/>
      <c r="F233" s="237"/>
      <c r="G233" s="245"/>
      <c r="H233" s="237"/>
      <c r="I233" s="237"/>
      <c r="J233" s="237"/>
      <c r="K233" s="237"/>
      <c r="L233" s="238"/>
      <c r="M233" s="302"/>
      <c r="X233" s="248"/>
    </row>
    <row r="234" spans="1:24" s="251" customFormat="1" x14ac:dyDescent="0.25">
      <c r="A234" s="245"/>
      <c r="B234" s="298"/>
      <c r="C234" s="255"/>
      <c r="D234" s="255"/>
      <c r="E234" s="245"/>
      <c r="F234" s="237"/>
      <c r="G234" s="245"/>
      <c r="H234" s="237"/>
      <c r="I234" s="237"/>
      <c r="J234" s="237"/>
      <c r="K234" s="237"/>
      <c r="L234" s="238"/>
      <c r="M234" s="302"/>
      <c r="X234" s="248"/>
    </row>
    <row r="235" spans="1:24" s="251" customFormat="1" x14ac:dyDescent="0.25">
      <c r="A235" s="245"/>
      <c r="B235" s="298"/>
      <c r="C235" s="255"/>
      <c r="D235" s="255"/>
      <c r="E235" s="245"/>
      <c r="F235" s="237"/>
      <c r="G235" s="245"/>
      <c r="H235" s="237"/>
      <c r="I235" s="237"/>
      <c r="J235" s="237"/>
      <c r="K235" s="237"/>
      <c r="L235" s="238"/>
      <c r="M235" s="302"/>
      <c r="X235" s="248"/>
    </row>
    <row r="236" spans="1:24" s="251" customFormat="1" x14ac:dyDescent="0.25">
      <c r="A236" s="245"/>
      <c r="B236" s="298"/>
      <c r="C236" s="255"/>
      <c r="D236" s="255"/>
      <c r="E236" s="245"/>
      <c r="F236" s="237"/>
      <c r="G236" s="245"/>
      <c r="H236" s="237"/>
      <c r="I236" s="237"/>
      <c r="J236" s="237"/>
      <c r="K236" s="237"/>
      <c r="L236" s="238"/>
      <c r="M236" s="302"/>
      <c r="X236" s="248"/>
    </row>
    <row r="237" spans="1:24" s="251" customFormat="1" x14ac:dyDescent="0.25">
      <c r="A237" s="245"/>
      <c r="B237" s="298"/>
      <c r="C237" s="255"/>
      <c r="D237" s="255"/>
      <c r="E237" s="245"/>
      <c r="F237" s="237"/>
      <c r="G237" s="245"/>
      <c r="H237" s="237"/>
      <c r="I237" s="237"/>
      <c r="J237" s="237"/>
      <c r="K237" s="237"/>
      <c r="L237" s="238"/>
      <c r="M237" s="302"/>
      <c r="X237" s="248"/>
    </row>
    <row r="238" spans="1:24" s="251" customFormat="1" x14ac:dyDescent="0.25">
      <c r="A238" s="245"/>
      <c r="B238" s="298"/>
      <c r="C238" s="255"/>
      <c r="D238" s="255"/>
      <c r="E238" s="245"/>
      <c r="F238" s="237"/>
      <c r="G238" s="245"/>
      <c r="H238" s="237"/>
      <c r="I238" s="237"/>
      <c r="J238" s="237"/>
      <c r="K238" s="237"/>
      <c r="L238" s="238"/>
      <c r="M238" s="302"/>
      <c r="X238" s="248"/>
    </row>
    <row r="239" spans="1:24" s="251" customFormat="1" x14ac:dyDescent="0.25">
      <c r="A239" s="245"/>
      <c r="B239" s="298"/>
      <c r="C239" s="255"/>
      <c r="D239" s="255"/>
      <c r="E239" s="245"/>
      <c r="F239" s="237"/>
      <c r="G239" s="245"/>
      <c r="H239" s="237"/>
      <c r="I239" s="237"/>
      <c r="J239" s="237"/>
      <c r="K239" s="237"/>
      <c r="L239" s="238"/>
      <c r="M239" s="302"/>
      <c r="X239" s="248"/>
    </row>
    <row r="240" spans="1:24" s="251" customFormat="1" x14ac:dyDescent="0.25">
      <c r="A240" s="245"/>
      <c r="B240" s="298"/>
      <c r="C240" s="255"/>
      <c r="D240" s="255"/>
      <c r="E240" s="245"/>
      <c r="F240" s="237"/>
      <c r="G240" s="245"/>
      <c r="H240" s="237"/>
      <c r="I240" s="237"/>
      <c r="J240" s="237"/>
      <c r="K240" s="237"/>
      <c r="L240" s="238"/>
      <c r="M240" s="302"/>
      <c r="X240" s="248"/>
    </row>
    <row r="241" spans="1:24" s="251" customFormat="1" x14ac:dyDescent="0.25">
      <c r="A241" s="245"/>
      <c r="B241" s="298"/>
      <c r="C241" s="255"/>
      <c r="D241" s="255"/>
      <c r="E241" s="245"/>
      <c r="F241" s="237"/>
      <c r="G241" s="245"/>
      <c r="H241" s="237"/>
      <c r="I241" s="237"/>
      <c r="J241" s="237"/>
      <c r="K241" s="237"/>
      <c r="L241" s="238"/>
      <c r="M241" s="302"/>
      <c r="X241" s="248"/>
    </row>
    <row r="242" spans="1:24" s="251" customFormat="1" x14ac:dyDescent="0.25">
      <c r="A242" s="245"/>
      <c r="B242" s="298"/>
      <c r="C242" s="255"/>
      <c r="D242" s="255"/>
      <c r="E242" s="245"/>
      <c r="F242" s="237"/>
      <c r="G242" s="245"/>
      <c r="H242" s="237"/>
      <c r="I242" s="237"/>
      <c r="J242" s="237"/>
      <c r="K242" s="237"/>
      <c r="L242" s="238"/>
      <c r="M242" s="302"/>
      <c r="X242" s="248"/>
    </row>
    <row r="243" spans="1:24" s="251" customFormat="1" x14ac:dyDescent="0.25">
      <c r="A243" s="245"/>
      <c r="B243" s="298"/>
      <c r="C243" s="255"/>
      <c r="D243" s="255"/>
      <c r="E243" s="245"/>
      <c r="F243" s="237"/>
      <c r="G243" s="245"/>
      <c r="H243" s="237"/>
      <c r="I243" s="237"/>
      <c r="J243" s="237"/>
      <c r="K243" s="237"/>
      <c r="L243" s="238"/>
      <c r="M243" s="302"/>
      <c r="X243" s="248"/>
    </row>
    <row r="244" spans="1:24" s="251" customFormat="1" x14ac:dyDescent="0.25">
      <c r="A244" s="245"/>
      <c r="B244" s="298"/>
      <c r="C244" s="255"/>
      <c r="D244" s="255"/>
      <c r="E244" s="245"/>
      <c r="F244" s="237"/>
      <c r="G244" s="245"/>
      <c r="H244" s="237"/>
      <c r="I244" s="237"/>
      <c r="J244" s="237"/>
      <c r="K244" s="237"/>
      <c r="L244" s="238"/>
      <c r="M244" s="302"/>
      <c r="X244" s="248"/>
    </row>
    <row r="245" spans="1:24" s="251" customFormat="1" x14ac:dyDescent="0.25">
      <c r="A245" s="245"/>
      <c r="B245" s="298"/>
      <c r="C245" s="255"/>
      <c r="D245" s="255"/>
      <c r="E245" s="245"/>
      <c r="F245" s="237"/>
      <c r="G245" s="245"/>
      <c r="H245" s="237"/>
      <c r="I245" s="237"/>
      <c r="J245" s="237"/>
      <c r="K245" s="237"/>
      <c r="L245" s="238"/>
      <c r="M245" s="302"/>
      <c r="X245" s="248"/>
    </row>
    <row r="246" spans="1:24" s="251" customFormat="1" x14ac:dyDescent="0.25">
      <c r="A246" s="245"/>
      <c r="B246" s="298"/>
      <c r="C246" s="255"/>
      <c r="D246" s="255"/>
      <c r="E246" s="245"/>
      <c r="F246" s="237"/>
      <c r="G246" s="245"/>
      <c r="H246" s="237"/>
      <c r="I246" s="237"/>
      <c r="J246" s="237"/>
      <c r="K246" s="237"/>
      <c r="L246" s="238"/>
      <c r="M246" s="302"/>
      <c r="X246" s="248"/>
    </row>
    <row r="247" spans="1:24" s="251" customFormat="1" x14ac:dyDescent="0.25">
      <c r="A247" s="245"/>
      <c r="B247" s="298"/>
      <c r="C247" s="255"/>
      <c r="D247" s="255"/>
      <c r="E247" s="245"/>
      <c r="F247" s="237"/>
      <c r="G247" s="245"/>
      <c r="H247" s="237"/>
      <c r="I247" s="237"/>
      <c r="J247" s="237"/>
      <c r="K247" s="237"/>
      <c r="L247" s="238"/>
      <c r="M247" s="302"/>
      <c r="X247" s="248"/>
    </row>
    <row r="248" spans="1:24" s="251" customFormat="1" x14ac:dyDescent="0.25">
      <c r="A248" s="245"/>
      <c r="B248" s="298"/>
      <c r="C248" s="255"/>
      <c r="D248" s="255"/>
      <c r="E248" s="245"/>
      <c r="F248" s="237"/>
      <c r="G248" s="245"/>
      <c r="H248" s="237"/>
      <c r="I248" s="237"/>
      <c r="J248" s="237"/>
      <c r="K248" s="237"/>
      <c r="L248" s="238"/>
      <c r="M248" s="302"/>
      <c r="X248" s="248"/>
    </row>
    <row r="249" spans="1:24" s="251" customFormat="1" x14ac:dyDescent="0.25">
      <c r="A249" s="245"/>
      <c r="B249" s="298"/>
      <c r="C249" s="255"/>
      <c r="D249" s="255"/>
      <c r="E249" s="245"/>
      <c r="F249" s="237"/>
      <c r="G249" s="245"/>
      <c r="H249" s="237"/>
      <c r="I249" s="237"/>
      <c r="J249" s="237"/>
      <c r="K249" s="237"/>
      <c r="L249" s="238"/>
      <c r="M249" s="302"/>
      <c r="X249" s="248"/>
    </row>
    <row r="250" spans="1:24" s="251" customFormat="1" x14ac:dyDescent="0.25">
      <c r="A250" s="245"/>
      <c r="B250" s="298"/>
      <c r="C250" s="255"/>
      <c r="D250" s="255"/>
      <c r="E250" s="245"/>
      <c r="F250" s="237"/>
      <c r="G250" s="245"/>
      <c r="H250" s="237"/>
      <c r="I250" s="237"/>
      <c r="J250" s="237"/>
      <c r="K250" s="237"/>
      <c r="L250" s="238"/>
      <c r="M250" s="302"/>
      <c r="X250" s="248"/>
    </row>
    <row r="251" spans="1:24" s="251" customFormat="1" x14ac:dyDescent="0.25">
      <c r="A251" s="245"/>
      <c r="B251" s="298"/>
      <c r="C251" s="255"/>
      <c r="D251" s="255"/>
      <c r="E251" s="245"/>
      <c r="F251" s="237"/>
      <c r="G251" s="245"/>
      <c r="H251" s="237"/>
      <c r="I251" s="237"/>
      <c r="J251" s="237"/>
      <c r="K251" s="237"/>
      <c r="L251" s="238"/>
      <c r="M251" s="302"/>
      <c r="X251" s="248"/>
    </row>
    <row r="252" spans="1:24" s="251" customFormat="1" x14ac:dyDescent="0.25">
      <c r="A252" s="245"/>
      <c r="B252" s="298"/>
      <c r="C252" s="255"/>
      <c r="D252" s="255"/>
      <c r="E252" s="245"/>
      <c r="F252" s="237"/>
      <c r="G252" s="245"/>
      <c r="H252" s="237"/>
      <c r="I252" s="237"/>
      <c r="J252" s="237"/>
      <c r="K252" s="237"/>
      <c r="L252" s="238"/>
      <c r="M252" s="302"/>
      <c r="X252" s="248"/>
    </row>
    <row r="253" spans="1:24" s="251" customFormat="1" x14ac:dyDescent="0.25">
      <c r="A253" s="245"/>
      <c r="B253" s="298"/>
      <c r="C253" s="255"/>
      <c r="D253" s="255"/>
      <c r="E253" s="245"/>
      <c r="F253" s="237"/>
      <c r="G253" s="245"/>
      <c r="H253" s="237"/>
      <c r="I253" s="237"/>
      <c r="J253" s="237"/>
      <c r="K253" s="237"/>
      <c r="L253" s="238"/>
      <c r="M253" s="302"/>
      <c r="X253" s="248"/>
    </row>
    <row r="254" spans="1:24" s="251" customFormat="1" x14ac:dyDescent="0.25">
      <c r="A254" s="245"/>
      <c r="B254" s="298"/>
      <c r="C254" s="255"/>
      <c r="D254" s="255"/>
      <c r="E254" s="245"/>
      <c r="F254" s="237"/>
      <c r="G254" s="245"/>
      <c r="H254" s="237"/>
      <c r="I254" s="237"/>
      <c r="J254" s="237"/>
      <c r="K254" s="237"/>
      <c r="L254" s="238"/>
      <c r="M254" s="302"/>
      <c r="X254" s="248"/>
    </row>
    <row r="255" spans="1:24" s="251" customFormat="1" x14ac:dyDescent="0.25">
      <c r="A255" s="245"/>
      <c r="B255" s="298"/>
      <c r="C255" s="255"/>
      <c r="D255" s="255"/>
      <c r="E255" s="245"/>
      <c r="F255" s="237"/>
      <c r="G255" s="245"/>
      <c r="H255" s="237"/>
      <c r="I255" s="237"/>
      <c r="J255" s="237"/>
      <c r="K255" s="237"/>
      <c r="L255" s="238"/>
      <c r="M255" s="302"/>
      <c r="X255" s="248"/>
    </row>
    <row r="256" spans="1:24" s="251" customFormat="1" x14ac:dyDescent="0.25">
      <c r="A256" s="245"/>
      <c r="B256" s="298"/>
      <c r="C256" s="255"/>
      <c r="D256" s="255"/>
      <c r="E256" s="245"/>
      <c r="F256" s="237"/>
      <c r="G256" s="245"/>
      <c r="H256" s="237"/>
      <c r="I256" s="237"/>
      <c r="J256" s="237"/>
      <c r="K256" s="237"/>
      <c r="L256" s="238"/>
      <c r="M256" s="302"/>
      <c r="X256" s="248"/>
    </row>
    <row r="257" spans="1:24" s="251" customFormat="1" x14ac:dyDescent="0.25">
      <c r="A257" s="245"/>
      <c r="B257" s="298"/>
      <c r="C257" s="255"/>
      <c r="D257" s="255"/>
      <c r="E257" s="245"/>
      <c r="F257" s="237"/>
      <c r="G257" s="245"/>
      <c r="H257" s="237"/>
      <c r="I257" s="237"/>
      <c r="J257" s="237"/>
      <c r="K257" s="237"/>
      <c r="L257" s="238"/>
      <c r="M257" s="302"/>
      <c r="X257" s="248"/>
    </row>
    <row r="258" spans="1:24" s="251" customFormat="1" x14ac:dyDescent="0.25">
      <c r="A258" s="245"/>
      <c r="B258" s="298"/>
      <c r="C258" s="255"/>
      <c r="D258" s="255"/>
      <c r="E258" s="245"/>
      <c r="F258" s="237"/>
      <c r="G258" s="245"/>
      <c r="H258" s="237"/>
      <c r="I258" s="237"/>
      <c r="J258" s="237"/>
      <c r="K258" s="237"/>
      <c r="L258" s="238"/>
      <c r="M258" s="302"/>
      <c r="X258" s="248"/>
    </row>
    <row r="259" spans="1:24" s="251" customFormat="1" x14ac:dyDescent="0.25">
      <c r="A259" s="245"/>
      <c r="B259" s="298"/>
      <c r="C259" s="255"/>
      <c r="D259" s="255"/>
      <c r="E259" s="245"/>
      <c r="F259" s="237"/>
      <c r="G259" s="245"/>
      <c r="H259" s="237"/>
      <c r="I259" s="237"/>
      <c r="J259" s="237"/>
      <c r="K259" s="237"/>
      <c r="L259" s="238"/>
      <c r="M259" s="302"/>
      <c r="X259" s="248"/>
    </row>
    <row r="260" spans="1:24" s="251" customFormat="1" x14ac:dyDescent="0.25">
      <c r="A260" s="245"/>
      <c r="B260" s="298"/>
      <c r="C260" s="255"/>
      <c r="D260" s="255"/>
      <c r="E260" s="245"/>
      <c r="F260" s="237"/>
      <c r="G260" s="245"/>
      <c r="H260" s="237"/>
      <c r="I260" s="237"/>
      <c r="J260" s="237"/>
      <c r="K260" s="237"/>
      <c r="L260" s="238"/>
      <c r="M260" s="302"/>
      <c r="X260" s="248"/>
    </row>
    <row r="261" spans="1:24" s="251" customFormat="1" x14ac:dyDescent="0.25">
      <c r="A261" s="245"/>
      <c r="B261" s="298"/>
      <c r="C261" s="255"/>
      <c r="D261" s="255"/>
      <c r="E261" s="245"/>
      <c r="F261" s="237"/>
      <c r="G261" s="245"/>
      <c r="H261" s="237"/>
      <c r="I261" s="237"/>
      <c r="J261" s="237"/>
      <c r="K261" s="237"/>
      <c r="L261" s="238"/>
      <c r="M261" s="302"/>
      <c r="X261" s="248"/>
    </row>
    <row r="262" spans="1:24" s="251" customFormat="1" x14ac:dyDescent="0.25">
      <c r="A262" s="245"/>
      <c r="B262" s="298"/>
      <c r="C262" s="255"/>
      <c r="D262" s="255"/>
      <c r="E262" s="245"/>
      <c r="F262" s="237"/>
      <c r="G262" s="245"/>
      <c r="H262" s="237"/>
      <c r="I262" s="237"/>
      <c r="J262" s="237"/>
      <c r="K262" s="237"/>
      <c r="L262" s="238"/>
      <c r="M262" s="302"/>
      <c r="X262" s="248"/>
    </row>
    <row r="263" spans="1:24" s="251" customFormat="1" x14ac:dyDescent="0.25">
      <c r="A263" s="245"/>
      <c r="B263" s="298"/>
      <c r="C263" s="255"/>
      <c r="D263" s="255"/>
      <c r="E263" s="245"/>
      <c r="F263" s="237"/>
      <c r="G263" s="245"/>
      <c r="H263" s="237"/>
      <c r="I263" s="237"/>
      <c r="J263" s="237"/>
      <c r="K263" s="237"/>
      <c r="L263" s="238"/>
      <c r="M263" s="302"/>
      <c r="X263" s="248"/>
    </row>
    <row r="264" spans="1:24" s="251" customFormat="1" x14ac:dyDescent="0.25">
      <c r="A264" s="245"/>
      <c r="B264" s="298"/>
      <c r="C264" s="255"/>
      <c r="D264" s="255"/>
      <c r="E264" s="245"/>
      <c r="F264" s="237"/>
      <c r="G264" s="245"/>
      <c r="H264" s="237"/>
      <c r="I264" s="237"/>
      <c r="J264" s="237"/>
      <c r="K264" s="237"/>
      <c r="L264" s="238"/>
      <c r="M264" s="302"/>
      <c r="X264" s="248"/>
    </row>
    <row r="265" spans="1:24" s="251" customFormat="1" x14ac:dyDescent="0.25">
      <c r="A265" s="245"/>
      <c r="B265" s="298"/>
      <c r="C265" s="255"/>
      <c r="D265" s="255"/>
      <c r="E265" s="245"/>
      <c r="F265" s="237"/>
      <c r="G265" s="245"/>
      <c r="H265" s="237"/>
      <c r="I265" s="237"/>
      <c r="J265" s="237"/>
      <c r="K265" s="237"/>
      <c r="L265" s="238"/>
      <c r="M265" s="302"/>
      <c r="X265" s="248"/>
    </row>
    <row r="266" spans="1:24" s="251" customFormat="1" x14ac:dyDescent="0.25">
      <c r="A266" s="245"/>
      <c r="B266" s="298"/>
      <c r="C266" s="255"/>
      <c r="D266" s="255"/>
      <c r="E266" s="245"/>
      <c r="F266" s="237"/>
      <c r="G266" s="245"/>
      <c r="H266" s="237"/>
      <c r="I266" s="237"/>
      <c r="J266" s="237"/>
      <c r="K266" s="237"/>
      <c r="L266" s="238"/>
      <c r="M266" s="302"/>
      <c r="X266" s="248"/>
    </row>
    <row r="267" spans="1:24" s="251" customFormat="1" x14ac:dyDescent="0.25">
      <c r="A267" s="245"/>
      <c r="B267" s="298"/>
      <c r="C267" s="255"/>
      <c r="D267" s="255"/>
      <c r="E267" s="245"/>
      <c r="F267" s="237"/>
      <c r="G267" s="245"/>
      <c r="H267" s="237"/>
      <c r="I267" s="237"/>
      <c r="J267" s="237"/>
      <c r="K267" s="237"/>
      <c r="L267" s="238"/>
      <c r="M267" s="302"/>
      <c r="X267" s="248"/>
    </row>
    <row r="268" spans="1:24" s="251" customFormat="1" x14ac:dyDescent="0.25">
      <c r="A268" s="245"/>
      <c r="B268" s="298"/>
      <c r="C268" s="255"/>
      <c r="D268" s="255"/>
      <c r="E268" s="245"/>
      <c r="F268" s="237"/>
      <c r="G268" s="245"/>
      <c r="H268" s="237"/>
      <c r="I268" s="237"/>
      <c r="J268" s="237"/>
      <c r="K268" s="237"/>
      <c r="L268" s="238"/>
      <c r="M268" s="302"/>
      <c r="X268" s="248"/>
    </row>
    <row r="269" spans="1:24" s="251" customFormat="1" x14ac:dyDescent="0.25">
      <c r="A269" s="245"/>
      <c r="B269" s="298"/>
      <c r="C269" s="255"/>
      <c r="D269" s="255"/>
      <c r="E269" s="245"/>
      <c r="F269" s="237"/>
      <c r="G269" s="245"/>
      <c r="H269" s="237"/>
      <c r="I269" s="237"/>
      <c r="J269" s="237"/>
      <c r="K269" s="237"/>
      <c r="L269" s="238"/>
      <c r="M269" s="302"/>
      <c r="X269" s="248"/>
    </row>
    <row r="270" spans="1:24" s="251" customFormat="1" x14ac:dyDescent="0.25">
      <c r="A270" s="245"/>
      <c r="B270" s="298"/>
      <c r="C270" s="255"/>
      <c r="D270" s="255"/>
      <c r="E270" s="245"/>
      <c r="F270" s="237"/>
      <c r="G270" s="245"/>
      <c r="H270" s="237"/>
      <c r="I270" s="237"/>
      <c r="J270" s="237"/>
      <c r="K270" s="237"/>
      <c r="L270" s="238"/>
      <c r="M270" s="302"/>
      <c r="X270" s="248"/>
    </row>
    <row r="271" spans="1:24" s="251" customFormat="1" x14ac:dyDescent="0.25">
      <c r="A271" s="245"/>
      <c r="B271" s="298"/>
      <c r="C271" s="255"/>
      <c r="D271" s="255"/>
      <c r="E271" s="245"/>
      <c r="F271" s="237"/>
      <c r="G271" s="245"/>
      <c r="H271" s="237"/>
      <c r="I271" s="237"/>
      <c r="J271" s="237"/>
      <c r="K271" s="237"/>
      <c r="L271" s="238"/>
      <c r="M271" s="302"/>
      <c r="X271" s="248"/>
    </row>
  </sheetData>
  <conditionalFormatting sqref="I3:I9999">
    <cfRule type="expression" dxfId="14" priority="4" stopIfTrue="1">
      <formula>AND(I3="",$M3&lt;&gt;"")</formula>
    </cfRule>
  </conditionalFormatting>
  <conditionalFormatting sqref="A3:XFD9999">
    <cfRule type="expression" dxfId="13" priority="2" stopIfTrue="1">
      <formula>$H3="Technology"</formula>
    </cfRule>
  </conditionalFormatting>
  <hyperlinks>
    <hyperlink ref="H38" location="$BA$61" display="$BA$61" xr:uid="{D05C900F-8BBB-4594-85D8-5A567628DC6C}"/>
    <hyperlink ref="H100" location="$BA$123" display="$BA$123" xr:uid="{3B6FA0B6-C82A-4696-AB1B-75E2408CCBB6}"/>
    <hyperlink ref="H69" location="$BA$92" display="$BA$92" xr:uid="{8F2257C7-2093-49A3-B876-62FEBAEC6C6E}"/>
    <hyperlink ref="H131" location="$BA$154" display="$BA$154" xr:uid="{4E356637-E281-4B06-BC1E-A5ED939DA07B}"/>
    <hyperlink ref="H162" location="$BA$185" display="$BA$185" xr:uid="{F5AE36C6-A38E-45CA-B45A-0A4B0C76C169}"/>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9BC02A-2464-44BA-BF75-B1470317B84F}">
  <sheetPr codeName="Sheet12"/>
  <dimension ref="A1:M45"/>
  <sheetViews>
    <sheetView zoomScale="70" zoomScaleNormal="70" workbookViewId="0">
      <selection activeCell="C6" sqref="C6"/>
    </sheetView>
    <sheetView zoomScale="70" zoomScaleNormal="70" workbookViewId="1"/>
  </sheetViews>
  <sheetFormatPr defaultRowHeight="12.75" x14ac:dyDescent="0.2"/>
  <cols>
    <col min="1" max="1" width="44" style="334" bestFit="1" customWidth="1"/>
    <col min="2" max="16384" width="9.140625" style="334"/>
  </cols>
  <sheetData>
    <row r="1" spans="1:13" s="339" customFormat="1" x14ac:dyDescent="0.2">
      <c r="A1" s="328"/>
      <c r="B1" s="328"/>
      <c r="C1" s="328" t="s">
        <v>442</v>
      </c>
      <c r="D1" s="340">
        <v>2000</v>
      </c>
      <c r="E1" s="338">
        <v>2005</v>
      </c>
      <c r="F1" s="338">
        <v>2010</v>
      </c>
      <c r="G1" s="338">
        <v>2015</v>
      </c>
      <c r="H1" s="338">
        <v>2020</v>
      </c>
      <c r="I1" s="338">
        <v>2025</v>
      </c>
      <c r="J1" s="338">
        <v>2030</v>
      </c>
      <c r="K1" s="338">
        <v>2035</v>
      </c>
    </row>
    <row r="2" spans="1:13" x14ac:dyDescent="0.2">
      <c r="A2" s="332" t="s">
        <v>436</v>
      </c>
      <c r="B2" s="332"/>
      <c r="C2" s="332"/>
      <c r="D2" s="341">
        <v>100</v>
      </c>
      <c r="E2" s="335">
        <f t="shared" ref="E2:K2" si="0">D2*(1-$B$3)^5</f>
        <v>95.099004989999997</v>
      </c>
      <c r="F2" s="335">
        <f t="shared" si="0"/>
        <v>90.438207500880438</v>
      </c>
      <c r="G2" s="335">
        <f t="shared" si="0"/>
        <v>86.005835464128836</v>
      </c>
      <c r="H2" s="335">
        <f t="shared" si="0"/>
        <v>81.790693759723069</v>
      </c>
      <c r="I2" s="335">
        <f t="shared" si="0"/>
        <v>77.782135939914653</v>
      </c>
      <c r="J2" s="335">
        <f t="shared" si="0"/>
        <v>73.970037338828007</v>
      </c>
      <c r="K2" s="335">
        <f t="shared" si="0"/>
        <v>70.344769499956897</v>
      </c>
    </row>
    <row r="3" spans="1:13" x14ac:dyDescent="0.2">
      <c r="A3" s="334" t="s">
        <v>441</v>
      </c>
      <c r="B3" s="334">
        <v>0.01</v>
      </c>
      <c r="D3" s="342" t="s">
        <v>389</v>
      </c>
      <c r="M3" s="330"/>
    </row>
    <row r="4" spans="1:13" x14ac:dyDescent="0.2">
      <c r="A4" s="332"/>
      <c r="D4" s="342"/>
      <c r="E4" s="335"/>
      <c r="F4" s="335"/>
      <c r="G4" s="335"/>
      <c r="H4" s="335"/>
      <c r="I4" s="335"/>
      <c r="J4" s="335"/>
      <c r="K4" s="335"/>
    </row>
    <row r="5" spans="1:13" x14ac:dyDescent="0.2">
      <c r="A5" s="332"/>
      <c r="D5" s="342"/>
    </row>
    <row r="6" spans="1:13" x14ac:dyDescent="0.2">
      <c r="A6" s="331"/>
      <c r="B6" s="332"/>
      <c r="C6" s="334" t="s">
        <v>443</v>
      </c>
      <c r="D6" s="343"/>
      <c r="E6" s="330"/>
      <c r="F6" s="330"/>
      <c r="G6" s="330"/>
      <c r="H6" s="330"/>
      <c r="I6" s="330"/>
      <c r="J6" s="330"/>
      <c r="K6" s="330"/>
    </row>
    <row r="7" spans="1:13" x14ac:dyDescent="0.2">
      <c r="A7" s="329" t="s">
        <v>384</v>
      </c>
      <c r="B7" s="332" t="s">
        <v>64</v>
      </c>
      <c r="C7" s="332">
        <v>51000</v>
      </c>
      <c r="D7" s="344">
        <v>1000</v>
      </c>
      <c r="E7" s="333">
        <v>2000</v>
      </c>
      <c r="F7" s="333">
        <v>3000</v>
      </c>
      <c r="G7" s="333">
        <v>4000</v>
      </c>
      <c r="H7" s="333">
        <v>5000</v>
      </c>
      <c r="I7" s="333">
        <v>6000</v>
      </c>
      <c r="J7" s="333">
        <v>7000</v>
      </c>
      <c r="K7" s="333">
        <v>8000</v>
      </c>
    </row>
    <row r="8" spans="1:13" x14ac:dyDescent="0.2">
      <c r="A8" s="332"/>
      <c r="B8" s="332" t="s">
        <v>63</v>
      </c>
      <c r="C8" s="332">
        <v>0</v>
      </c>
      <c r="D8" s="341" t="s">
        <v>385</v>
      </c>
      <c r="E8" s="332">
        <v>500</v>
      </c>
      <c r="F8" s="333">
        <v>1500</v>
      </c>
      <c r="G8" s="333">
        <v>2500</v>
      </c>
      <c r="H8" s="333">
        <v>3500</v>
      </c>
      <c r="I8" s="333">
        <v>4500</v>
      </c>
      <c r="J8" s="333">
        <v>5500</v>
      </c>
      <c r="K8" s="333">
        <v>6500</v>
      </c>
    </row>
    <row r="9" spans="1:13" x14ac:dyDescent="0.2">
      <c r="A9" s="332"/>
      <c r="D9" s="342"/>
    </row>
    <row r="10" spans="1:13" x14ac:dyDescent="0.2">
      <c r="A10" s="329" t="s">
        <v>386</v>
      </c>
      <c r="B10" s="328"/>
      <c r="C10" s="333">
        <f t="shared" ref="C10:K10" si="1">SUM(C7:C8)</f>
        <v>51000</v>
      </c>
      <c r="D10" s="344">
        <f t="shared" si="1"/>
        <v>1000</v>
      </c>
      <c r="E10" s="333">
        <f t="shared" si="1"/>
        <v>2500</v>
      </c>
      <c r="F10" s="333">
        <f t="shared" si="1"/>
        <v>4500</v>
      </c>
      <c r="G10" s="333">
        <f t="shared" si="1"/>
        <v>6500</v>
      </c>
      <c r="H10" s="333">
        <f t="shared" si="1"/>
        <v>8500</v>
      </c>
      <c r="I10" s="333">
        <f t="shared" si="1"/>
        <v>10500</v>
      </c>
      <c r="J10" s="333">
        <f t="shared" si="1"/>
        <v>12500</v>
      </c>
      <c r="K10" s="333">
        <f t="shared" si="1"/>
        <v>14500</v>
      </c>
    </row>
    <row r="11" spans="1:13" x14ac:dyDescent="0.2">
      <c r="A11" s="329" t="s">
        <v>445</v>
      </c>
      <c r="B11" s="328"/>
      <c r="C11" s="328"/>
      <c r="D11" s="344"/>
      <c r="E11" s="333"/>
      <c r="F11" s="333">
        <f>SUM($E$10:E10)</f>
        <v>2500</v>
      </c>
      <c r="G11" s="333">
        <f>SUM($E$10:F10)</f>
        <v>7000</v>
      </c>
      <c r="H11" s="333">
        <f>SUM($E$10:G10)</f>
        <v>13500</v>
      </c>
      <c r="I11" s="333">
        <f>SUM($E$10:H10)</f>
        <v>22000</v>
      </c>
      <c r="J11" s="333">
        <f>SUM($E$10:I10)</f>
        <v>32500</v>
      </c>
      <c r="K11" s="333">
        <f>SUM($E$10:J10)</f>
        <v>45000</v>
      </c>
    </row>
    <row r="12" spans="1:13" x14ac:dyDescent="0.2">
      <c r="A12" s="332" t="s">
        <v>444</v>
      </c>
      <c r="B12" s="331"/>
      <c r="C12" s="331"/>
      <c r="D12" s="345">
        <v>100</v>
      </c>
      <c r="E12" s="336">
        <f t="shared" ref="E12:K12" si="2">MAX($B$15*$D$12,E2*((($C$10+E11)/($C$10))^LOG($B$14,2)))</f>
        <v>95.099004989999997</v>
      </c>
      <c r="F12" s="336">
        <f t="shared" si="2"/>
        <v>89.055576484778712</v>
      </c>
      <c r="G12" s="336">
        <f t="shared" si="2"/>
        <v>82.517434705220438</v>
      </c>
      <c r="H12" s="336">
        <f t="shared" si="2"/>
        <v>75.83515768046891</v>
      </c>
      <c r="I12" s="336">
        <f t="shared" si="2"/>
        <v>69.300872128422881</v>
      </c>
      <c r="J12" s="336">
        <f t="shared" si="2"/>
        <v>63.114011638706828</v>
      </c>
      <c r="K12" s="336">
        <f t="shared" si="2"/>
        <v>57.384925610342293</v>
      </c>
    </row>
    <row r="13" spans="1:13" x14ac:dyDescent="0.2">
      <c r="D13" s="342"/>
      <c r="M13" s="330"/>
    </row>
    <row r="14" spans="1:13" x14ac:dyDescent="0.2">
      <c r="A14" s="334" t="s">
        <v>390</v>
      </c>
      <c r="B14" s="334">
        <v>0.8</v>
      </c>
      <c r="D14" s="342"/>
    </row>
    <row r="15" spans="1:13" x14ac:dyDescent="0.2">
      <c r="A15" s="334" t="s">
        <v>391</v>
      </c>
      <c r="B15" s="334">
        <v>0</v>
      </c>
      <c r="D15" s="342"/>
      <c r="M15" s="330"/>
    </row>
    <row r="16" spans="1:13" x14ac:dyDescent="0.2">
      <c r="D16" s="342"/>
    </row>
    <row r="17" spans="1:13" x14ac:dyDescent="0.2">
      <c r="D17" s="342"/>
      <c r="M17" s="330"/>
    </row>
    <row r="18" spans="1:13" x14ac:dyDescent="0.2">
      <c r="D18" s="342"/>
    </row>
    <row r="19" spans="1:13" x14ac:dyDescent="0.2">
      <c r="D19" s="342"/>
      <c r="M19" s="330"/>
    </row>
    <row r="20" spans="1:13" x14ac:dyDescent="0.2">
      <c r="D20" s="342"/>
    </row>
    <row r="21" spans="1:13" x14ac:dyDescent="0.2">
      <c r="B21" s="334">
        <v>0</v>
      </c>
      <c r="D21" s="342">
        <v>0</v>
      </c>
      <c r="E21" s="334">
        <v>0.01</v>
      </c>
      <c r="F21" s="334">
        <v>0.02</v>
      </c>
      <c r="G21" s="334">
        <v>0.03</v>
      </c>
      <c r="H21" s="334">
        <v>0.04</v>
      </c>
      <c r="I21" s="334">
        <v>0.05</v>
      </c>
      <c r="J21" s="334">
        <v>0.06</v>
      </c>
      <c r="K21" s="334">
        <v>7.0000000000000007E-2</v>
      </c>
      <c r="M21" s="330"/>
    </row>
    <row r="22" spans="1:13" x14ac:dyDescent="0.2">
      <c r="D22" s="342"/>
    </row>
    <row r="23" spans="1:13" x14ac:dyDescent="0.2">
      <c r="D23" s="342">
        <v>2000</v>
      </c>
      <c r="E23" s="334">
        <v>2005</v>
      </c>
      <c r="F23" s="334">
        <v>2010</v>
      </c>
      <c r="G23" s="334">
        <v>2015</v>
      </c>
      <c r="H23" s="334">
        <v>2020</v>
      </c>
      <c r="I23" s="334">
        <v>2025</v>
      </c>
      <c r="J23" s="334">
        <v>2030</v>
      </c>
      <c r="K23" s="334">
        <v>2035</v>
      </c>
      <c r="M23" s="330"/>
    </row>
    <row r="24" spans="1:13" x14ac:dyDescent="0.2">
      <c r="D24" s="341">
        <v>100</v>
      </c>
      <c r="E24" s="334">
        <f>$D$24/(1+($B$27*EXP($B$28*E21)))</f>
        <v>71.295733811221552</v>
      </c>
      <c r="F24" s="334">
        <f t="shared" ref="F24:K24" si="3">$D$24/(1+($B$27*EXP($B$28*F21)))</f>
        <v>71.162527931721343</v>
      </c>
      <c r="G24" s="334">
        <f t="shared" si="3"/>
        <v>71.0289550822134</v>
      </c>
      <c r="H24" s="334">
        <f t="shared" si="3"/>
        <v>70.895016577516515</v>
      </c>
      <c r="I24" s="334">
        <f t="shared" si="3"/>
        <v>70.760713755148913</v>
      </c>
      <c r="J24" s="334">
        <f t="shared" si="3"/>
        <v>70.626047975348897</v>
      </c>
      <c r="K24" s="334">
        <f t="shared" si="3"/>
        <v>70.491020621093014</v>
      </c>
    </row>
    <row r="25" spans="1:13" x14ac:dyDescent="0.2">
      <c r="M25" s="330"/>
    </row>
    <row r="27" spans="1:13" x14ac:dyDescent="0.2">
      <c r="A27" s="334" t="s">
        <v>417</v>
      </c>
      <c r="B27" s="334">
        <v>0.4</v>
      </c>
      <c r="D27" s="334">
        <v>0.36299999999999999</v>
      </c>
      <c r="M27" s="330"/>
    </row>
    <row r="28" spans="1:13" x14ac:dyDescent="0.2">
      <c r="A28" s="334" t="s">
        <v>418</v>
      </c>
      <c r="B28" s="334">
        <v>0.65</v>
      </c>
      <c r="D28" s="334">
        <v>6.9820000000000002</v>
      </c>
    </row>
    <row r="29" spans="1:13" x14ac:dyDescent="0.2">
      <c r="M29" s="330"/>
    </row>
    <row r="31" spans="1:13" x14ac:dyDescent="0.2">
      <c r="M31" s="330"/>
    </row>
    <row r="33" spans="13:13" x14ac:dyDescent="0.2">
      <c r="M33" s="330"/>
    </row>
    <row r="35" spans="13:13" x14ac:dyDescent="0.2">
      <c r="M35" s="330"/>
    </row>
    <row r="37" spans="13:13" x14ac:dyDescent="0.2">
      <c r="M37" s="330"/>
    </row>
    <row r="39" spans="13:13" x14ac:dyDescent="0.2">
      <c r="M39" s="330"/>
    </row>
    <row r="41" spans="13:13" x14ac:dyDescent="0.2">
      <c r="M41" s="330"/>
    </row>
    <row r="43" spans="13:13" x14ac:dyDescent="0.2">
      <c r="M43" s="330"/>
    </row>
    <row r="45" spans="13:13" x14ac:dyDescent="0.2">
      <c r="M45" s="330"/>
    </row>
  </sheetData>
  <pageMargins left="0.7" right="0.7" top="0.75" bottom="0.75" header="0.3" footer="0.3"/>
  <drawing r:id="rId1"/>
  <legacyDrawing r:id="rId2"/>
  <oleObjects>
    <mc:AlternateContent xmlns:mc="http://schemas.openxmlformats.org/markup-compatibility/2006">
      <mc:Choice Requires="x14">
        <oleObject progId="Equation.3" shapeId="163841" r:id="rId3">
          <objectPr defaultSize="0" autoPict="0" r:id="rId4">
            <anchor moveWithCells="1" sizeWithCells="1">
              <from>
                <xdr:col>0</xdr:col>
                <xdr:colOff>647700</xdr:colOff>
                <xdr:row>20</xdr:row>
                <xdr:rowOff>180975</xdr:rowOff>
              </from>
              <to>
                <xdr:col>0</xdr:col>
                <xdr:colOff>2486025</xdr:colOff>
                <xdr:row>23</xdr:row>
                <xdr:rowOff>28575</xdr:rowOff>
              </to>
            </anchor>
          </objectPr>
        </oleObject>
      </mc:Choice>
      <mc:Fallback>
        <oleObject progId="Equation.3" shapeId="163841" r:id="rId3"/>
      </mc:Fallback>
    </mc:AlternateContent>
    <mc:AlternateContent xmlns:mc="http://schemas.openxmlformats.org/markup-compatibility/2006">
      <mc:Choice Requires="x14">
        <oleObject progId="Equation.3" shapeId="163842" r:id="rId5">
          <objectPr defaultSize="0" autoPict="0" r:id="rId6">
            <anchor moveWithCells="1" sizeWithCells="1">
              <from>
                <xdr:col>0</xdr:col>
                <xdr:colOff>800100</xdr:colOff>
                <xdr:row>32</xdr:row>
                <xdr:rowOff>180975</xdr:rowOff>
              </from>
              <to>
                <xdr:col>3</xdr:col>
                <xdr:colOff>571500</xdr:colOff>
                <xdr:row>42</xdr:row>
                <xdr:rowOff>95250</xdr:rowOff>
              </to>
            </anchor>
          </objectPr>
        </oleObject>
      </mc:Choice>
      <mc:Fallback>
        <oleObject progId="Equation.3" shapeId="163842" r:id="rId5"/>
      </mc:Fallback>
    </mc:AlternateContent>
  </oleObjec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4A4223-545B-44CD-9D0E-3AB2A5BC5BBA}">
  <sheetPr codeName="Sheet1">
    <tabColor rgb="FF00B0F0"/>
    <outlinePr summaryBelow="0" summaryRight="0"/>
  </sheetPr>
  <dimension ref="A1:CA404"/>
  <sheetViews>
    <sheetView zoomScale="70" zoomScaleNormal="70" workbookViewId="0">
      <pane xSplit="6" ySplit="1" topLeftCell="G2" activePane="bottomRight" state="frozen"/>
      <selection activeCell="G52" sqref="G52"/>
      <selection pane="topRight" activeCell="G52" sqref="G52"/>
      <selection pane="bottomLeft" activeCell="G52" sqref="G52"/>
      <selection pane="bottomRight" activeCell="G2" sqref="G2"/>
    </sheetView>
    <sheetView zoomScale="70" zoomScaleNormal="70" workbookViewId="1"/>
  </sheetViews>
  <sheetFormatPr defaultRowHeight="15" x14ac:dyDescent="0.25"/>
  <cols>
    <col min="1" max="1" width="2.7109375" style="2" customWidth="1"/>
    <col min="2" max="2" width="32.7109375" style="15" bestFit="1" customWidth="1"/>
    <col min="3" max="3" width="27.5703125" style="15" customWidth="1"/>
    <col min="4" max="4" width="29.5703125" style="15" bestFit="1" customWidth="1"/>
    <col min="5" max="5" width="29.5703125" style="15" customWidth="1"/>
    <col min="6" max="6" width="23.7109375" style="26" bestFit="1" customWidth="1"/>
    <col min="7" max="10" width="15.7109375" style="31" customWidth="1"/>
    <col min="11" max="17" width="15.7109375" style="30" customWidth="1"/>
    <col min="18" max="18" width="2.7109375" style="15" customWidth="1"/>
    <col min="19" max="69" width="10.28515625" style="39" bestFit="1" customWidth="1"/>
    <col min="70" max="79" width="10.28515625" bestFit="1" customWidth="1"/>
  </cols>
  <sheetData>
    <row r="1" spans="1:79" x14ac:dyDescent="0.25">
      <c r="A1" s="20"/>
      <c r="B1" s="24" t="s">
        <v>9</v>
      </c>
      <c r="C1" s="24" t="s">
        <v>9</v>
      </c>
      <c r="D1" s="24" t="s">
        <v>16</v>
      </c>
      <c r="E1" s="24" t="s">
        <v>326</v>
      </c>
      <c r="F1" s="8" t="s">
        <v>77</v>
      </c>
      <c r="G1" s="33">
        <v>2000</v>
      </c>
      <c r="H1" s="33">
        <v>2005</v>
      </c>
      <c r="I1" s="33">
        <v>2010</v>
      </c>
      <c r="J1" s="33">
        <v>2015</v>
      </c>
      <c r="K1" s="33">
        <v>2020</v>
      </c>
      <c r="L1" s="33">
        <v>2025</v>
      </c>
      <c r="M1" s="33">
        <v>2030</v>
      </c>
      <c r="N1" s="33">
        <v>2035</v>
      </c>
      <c r="O1" s="33">
        <v>2040</v>
      </c>
      <c r="P1" s="33">
        <v>2045</v>
      </c>
      <c r="Q1" s="33">
        <v>2050</v>
      </c>
      <c r="R1" s="36"/>
      <c r="S1" s="33">
        <v>2000</v>
      </c>
      <c r="T1" s="33">
        <v>2001</v>
      </c>
      <c r="U1" s="33">
        <v>2002</v>
      </c>
      <c r="V1" s="33">
        <v>2003</v>
      </c>
      <c r="W1" s="33">
        <v>2004</v>
      </c>
      <c r="X1" s="33">
        <v>2005</v>
      </c>
      <c r="Y1" s="33">
        <v>2006</v>
      </c>
      <c r="Z1" s="33">
        <v>2007</v>
      </c>
      <c r="AA1" s="33">
        <v>2008</v>
      </c>
      <c r="AB1" s="33">
        <v>2009</v>
      </c>
      <c r="AC1" s="33">
        <v>2010</v>
      </c>
      <c r="AD1" s="33">
        <v>2011</v>
      </c>
      <c r="AE1" s="33">
        <v>2012</v>
      </c>
      <c r="AF1" s="33">
        <v>2013</v>
      </c>
      <c r="AG1" s="33">
        <v>2014</v>
      </c>
      <c r="AH1" s="33">
        <v>2015</v>
      </c>
      <c r="AI1" s="33">
        <v>2016</v>
      </c>
      <c r="AJ1" s="33">
        <v>2017</v>
      </c>
      <c r="AK1" s="33">
        <v>2018</v>
      </c>
      <c r="AL1" s="33">
        <v>2019</v>
      </c>
      <c r="AM1" s="33">
        <v>2020</v>
      </c>
      <c r="AN1" s="33">
        <v>2021</v>
      </c>
      <c r="AO1" s="33">
        <v>2022</v>
      </c>
      <c r="AP1" s="33">
        <v>2023</v>
      </c>
      <c r="AQ1" s="33">
        <v>2024</v>
      </c>
      <c r="AR1" s="33">
        <v>2025</v>
      </c>
      <c r="AS1" s="33">
        <v>2026</v>
      </c>
      <c r="AT1" s="33">
        <v>2027</v>
      </c>
      <c r="AU1" s="33">
        <v>2028</v>
      </c>
      <c r="AV1" s="33">
        <v>2029</v>
      </c>
      <c r="AW1" s="33">
        <v>2030</v>
      </c>
      <c r="AX1" s="33">
        <v>2031</v>
      </c>
      <c r="AY1" s="33">
        <v>2032</v>
      </c>
      <c r="AZ1" s="33">
        <v>2033</v>
      </c>
      <c r="BA1" s="33">
        <v>2034</v>
      </c>
      <c r="BB1" s="33">
        <v>2035</v>
      </c>
      <c r="BC1" s="33">
        <v>2036</v>
      </c>
      <c r="BD1" s="33">
        <v>2037</v>
      </c>
      <c r="BE1" s="33">
        <v>2038</v>
      </c>
      <c r="BF1" s="33">
        <v>2039</v>
      </c>
      <c r="BG1" s="33">
        <v>2040</v>
      </c>
      <c r="BH1" s="33">
        <v>2041</v>
      </c>
      <c r="BI1" s="33">
        <v>2042</v>
      </c>
      <c r="BJ1" s="33">
        <v>2043</v>
      </c>
      <c r="BK1" s="33">
        <v>2044</v>
      </c>
      <c r="BL1" s="33">
        <v>2045</v>
      </c>
      <c r="BM1" s="33">
        <v>2046</v>
      </c>
      <c r="BN1" s="33">
        <v>2047</v>
      </c>
      <c r="BO1" s="33">
        <v>2048</v>
      </c>
      <c r="BP1" s="33">
        <v>2049</v>
      </c>
      <c r="BQ1" s="33">
        <v>2050</v>
      </c>
      <c r="BR1" s="33">
        <v>2051</v>
      </c>
      <c r="BS1" s="33">
        <v>2052</v>
      </c>
      <c r="BT1" s="33">
        <v>2053</v>
      </c>
      <c r="BU1" s="33">
        <v>2054</v>
      </c>
      <c r="BV1" s="33">
        <v>2055</v>
      </c>
      <c r="BW1" s="33">
        <v>2056</v>
      </c>
      <c r="BX1" s="33">
        <v>2057</v>
      </c>
      <c r="BY1" s="33">
        <v>2058</v>
      </c>
      <c r="BZ1" s="33">
        <v>2059</v>
      </c>
      <c r="CA1" s="33">
        <v>2060</v>
      </c>
    </row>
    <row r="2" spans="1:79" x14ac:dyDescent="0.25">
      <c r="A2" s="11"/>
      <c r="B2" s="13"/>
      <c r="C2" s="13"/>
      <c r="D2" s="13"/>
      <c r="E2" s="13"/>
      <c r="F2" s="9"/>
      <c r="G2" s="28"/>
      <c r="H2" s="28"/>
      <c r="I2" s="28"/>
      <c r="J2" s="28"/>
      <c r="K2" s="28"/>
      <c r="L2" s="28"/>
      <c r="M2" s="28"/>
      <c r="N2" s="28"/>
      <c r="O2" s="28"/>
      <c r="P2" s="28"/>
      <c r="Q2" s="28"/>
      <c r="R2" s="37"/>
    </row>
    <row r="3" spans="1:79" x14ac:dyDescent="0.25">
      <c r="A3" s="5"/>
      <c r="B3" s="25" t="s">
        <v>43</v>
      </c>
      <c r="C3" s="25" t="s">
        <v>48</v>
      </c>
      <c r="D3" s="25" t="s">
        <v>82</v>
      </c>
      <c r="E3" s="25"/>
      <c r="F3" s="27" t="s">
        <v>83</v>
      </c>
      <c r="G3" s="17">
        <f t="shared" ref="G3:J16" si="0">INDEX($S3:$CA3,MATCH(G$1,$S$1:$CA$1,0))</f>
        <v>30685730</v>
      </c>
      <c r="H3" s="17">
        <f t="shared" si="0"/>
        <v>32243753</v>
      </c>
      <c r="I3" s="17">
        <f t="shared" si="0"/>
        <v>34004889</v>
      </c>
      <c r="J3" s="17">
        <f t="shared" si="0"/>
        <v>35702908</v>
      </c>
      <c r="K3" s="44">
        <f>K19</f>
        <v>37873700</v>
      </c>
      <c r="L3" s="44">
        <f t="shared" ref="L3:Q3" si="1">L19</f>
        <v>39913500</v>
      </c>
      <c r="M3" s="44">
        <f t="shared" si="1"/>
        <v>41888100</v>
      </c>
      <c r="N3" s="44">
        <f t="shared" si="1"/>
        <v>43755500</v>
      </c>
      <c r="O3" s="44">
        <f t="shared" si="1"/>
        <v>45506800</v>
      </c>
      <c r="P3" s="44">
        <f t="shared" si="1"/>
        <v>47156200</v>
      </c>
      <c r="Q3" s="44">
        <f t="shared" si="1"/>
        <v>48763100</v>
      </c>
      <c r="R3" s="38"/>
      <c r="S3" s="39">
        <v>30685730</v>
      </c>
      <c r="T3" s="39">
        <v>31020902</v>
      </c>
      <c r="U3" s="39">
        <v>31360079</v>
      </c>
      <c r="V3" s="39">
        <v>31644028</v>
      </c>
      <c r="W3" s="39">
        <v>31940655</v>
      </c>
      <c r="X3" s="39">
        <v>32243753</v>
      </c>
      <c r="Y3" s="39">
        <v>32571174</v>
      </c>
      <c r="Z3" s="39">
        <v>32889025</v>
      </c>
      <c r="AA3" s="39">
        <v>33247118</v>
      </c>
      <c r="AB3" s="39">
        <v>33628895</v>
      </c>
      <c r="AC3" s="39">
        <v>34004889</v>
      </c>
      <c r="AD3" s="39">
        <v>34339328</v>
      </c>
      <c r="AE3" s="39">
        <v>34714222</v>
      </c>
      <c r="AF3" s="39">
        <v>35082954</v>
      </c>
      <c r="AG3" s="39">
        <v>35437435</v>
      </c>
      <c r="AH3" s="39">
        <v>35702908</v>
      </c>
      <c r="AI3" s="39">
        <v>36109487</v>
      </c>
      <c r="AJ3" s="39">
        <v>36543321</v>
      </c>
      <c r="AK3" s="39">
        <v>37057765</v>
      </c>
      <c r="AL3" s="39">
        <v>37589262</v>
      </c>
    </row>
    <row r="4" spans="1:79" x14ac:dyDescent="0.25">
      <c r="A4" s="5"/>
      <c r="B4" s="25"/>
      <c r="C4" s="25" t="s">
        <v>85</v>
      </c>
      <c r="D4" s="25" t="s">
        <v>82</v>
      </c>
      <c r="E4" s="25"/>
      <c r="F4" s="27" t="s">
        <v>83</v>
      </c>
      <c r="G4" s="17">
        <f t="shared" si="0"/>
        <v>527966</v>
      </c>
      <c r="H4" s="17">
        <f t="shared" si="0"/>
        <v>514332</v>
      </c>
      <c r="I4" s="17">
        <f t="shared" si="0"/>
        <v>522009</v>
      </c>
      <c r="J4" s="17">
        <f t="shared" si="0"/>
        <v>528117</v>
      </c>
      <c r="K4" s="44">
        <f t="shared" ref="K4:Q4" si="2">K20</f>
        <v>522299.99999999994</v>
      </c>
      <c r="L4" s="44">
        <f t="shared" si="2"/>
        <v>513400</v>
      </c>
      <c r="M4" s="44">
        <f t="shared" si="2"/>
        <v>502000</v>
      </c>
      <c r="N4" s="44">
        <f t="shared" si="2"/>
        <v>487400</v>
      </c>
      <c r="O4" s="44">
        <f t="shared" si="2"/>
        <v>470100</v>
      </c>
      <c r="P4" s="44">
        <f t="shared" si="2"/>
        <v>487138.83683317655</v>
      </c>
      <c r="Q4" s="44">
        <f t="shared" si="2"/>
        <v>503738.63488533581</v>
      </c>
      <c r="R4" s="38"/>
      <c r="S4" s="39">
        <v>527966</v>
      </c>
      <c r="T4" s="39">
        <v>522046</v>
      </c>
      <c r="U4" s="39">
        <v>519481</v>
      </c>
      <c r="V4" s="39">
        <v>518459</v>
      </c>
      <c r="W4" s="39">
        <v>517423</v>
      </c>
      <c r="X4" s="39">
        <v>514332</v>
      </c>
      <c r="Y4" s="39">
        <v>510592</v>
      </c>
      <c r="Z4" s="39">
        <v>509055</v>
      </c>
      <c r="AA4" s="39">
        <v>511581</v>
      </c>
      <c r="AB4" s="39">
        <v>516751</v>
      </c>
      <c r="AC4" s="39">
        <v>522009</v>
      </c>
      <c r="AD4" s="39">
        <v>524999</v>
      </c>
      <c r="AE4" s="39">
        <v>526345</v>
      </c>
      <c r="AF4" s="39">
        <v>527114</v>
      </c>
      <c r="AG4" s="39">
        <v>528159</v>
      </c>
      <c r="AH4" s="39">
        <v>528117</v>
      </c>
      <c r="AI4" s="39">
        <v>529426</v>
      </c>
      <c r="AJ4" s="39">
        <v>528356</v>
      </c>
      <c r="AK4" s="39">
        <v>525604</v>
      </c>
      <c r="AL4" s="39">
        <v>521542</v>
      </c>
    </row>
    <row r="5" spans="1:79" x14ac:dyDescent="0.25">
      <c r="A5" s="5"/>
      <c r="B5" s="25"/>
      <c r="C5" s="25" t="s">
        <v>86</v>
      </c>
      <c r="D5" s="25" t="s">
        <v>82</v>
      </c>
      <c r="E5" s="25"/>
      <c r="F5" s="27" t="s">
        <v>83</v>
      </c>
      <c r="G5" s="17">
        <f t="shared" si="0"/>
        <v>136470</v>
      </c>
      <c r="H5" s="17">
        <f t="shared" si="0"/>
        <v>138064</v>
      </c>
      <c r="I5" s="17">
        <f t="shared" si="0"/>
        <v>141654</v>
      </c>
      <c r="J5" s="17">
        <f t="shared" si="0"/>
        <v>144546</v>
      </c>
      <c r="K5" s="44">
        <f t="shared" ref="K5:Q5" si="3">K21</f>
        <v>157400</v>
      </c>
      <c r="L5" s="44">
        <f t="shared" si="3"/>
        <v>167800</v>
      </c>
      <c r="M5" s="44">
        <f t="shared" si="3"/>
        <v>177600</v>
      </c>
      <c r="N5" s="44">
        <f t="shared" si="3"/>
        <v>186300</v>
      </c>
      <c r="O5" s="44">
        <f t="shared" si="3"/>
        <v>193600</v>
      </c>
      <c r="P5" s="44">
        <f t="shared" si="3"/>
        <v>200617.05767050199</v>
      </c>
      <c r="Q5" s="44">
        <f t="shared" si="3"/>
        <v>207453.30719804514</v>
      </c>
      <c r="R5" s="38"/>
      <c r="S5" s="39">
        <v>136470</v>
      </c>
      <c r="T5" s="39">
        <v>136665</v>
      </c>
      <c r="U5" s="39">
        <v>136880</v>
      </c>
      <c r="V5" s="39">
        <v>137227</v>
      </c>
      <c r="W5" s="39">
        <v>137680</v>
      </c>
      <c r="X5" s="39">
        <v>138064</v>
      </c>
      <c r="Y5" s="39">
        <v>137867</v>
      </c>
      <c r="Z5" s="39">
        <v>137711</v>
      </c>
      <c r="AA5" s="39">
        <v>138749</v>
      </c>
      <c r="AB5" s="39">
        <v>139891</v>
      </c>
      <c r="AC5" s="39">
        <v>141654</v>
      </c>
      <c r="AD5" s="39">
        <v>143963</v>
      </c>
      <c r="AE5" s="39">
        <v>144530</v>
      </c>
      <c r="AF5" s="39">
        <v>144094</v>
      </c>
      <c r="AG5" s="39">
        <v>144283</v>
      </c>
      <c r="AH5" s="39">
        <v>144546</v>
      </c>
      <c r="AI5" s="39">
        <v>146969</v>
      </c>
      <c r="AJ5" s="39">
        <v>150483</v>
      </c>
      <c r="AK5" s="39">
        <v>153584</v>
      </c>
      <c r="AL5" s="39">
        <v>156947</v>
      </c>
    </row>
    <row r="6" spans="1:79" x14ac:dyDescent="0.25">
      <c r="A6" s="5"/>
      <c r="B6" s="25"/>
      <c r="C6" s="25" t="s">
        <v>87</v>
      </c>
      <c r="D6" s="25" t="s">
        <v>82</v>
      </c>
      <c r="E6" s="25"/>
      <c r="F6" s="27" t="s">
        <v>83</v>
      </c>
      <c r="G6" s="17">
        <f t="shared" si="0"/>
        <v>933821</v>
      </c>
      <c r="H6" s="17">
        <f t="shared" si="0"/>
        <v>937926</v>
      </c>
      <c r="I6" s="17">
        <f t="shared" si="0"/>
        <v>942107</v>
      </c>
      <c r="J6" s="17">
        <f t="shared" si="0"/>
        <v>936525</v>
      </c>
      <c r="K6" s="44">
        <f t="shared" ref="K6:Q6" si="4">K22</f>
        <v>967100</v>
      </c>
      <c r="L6" s="44">
        <f t="shared" si="4"/>
        <v>983900</v>
      </c>
      <c r="M6" s="44">
        <f t="shared" si="4"/>
        <v>996100</v>
      </c>
      <c r="N6" s="44">
        <f t="shared" si="4"/>
        <v>1001200</v>
      </c>
      <c r="O6" s="44">
        <f t="shared" si="4"/>
        <v>998700</v>
      </c>
      <c r="P6" s="44">
        <f t="shared" si="4"/>
        <v>1034898.0139231939</v>
      </c>
      <c r="Q6" s="44">
        <f t="shared" si="4"/>
        <v>1070163.3155923949</v>
      </c>
      <c r="R6" s="38"/>
      <c r="S6" s="39">
        <v>933821</v>
      </c>
      <c r="T6" s="39">
        <v>932494</v>
      </c>
      <c r="U6" s="39">
        <v>935179</v>
      </c>
      <c r="V6" s="39">
        <v>937717</v>
      </c>
      <c r="W6" s="39">
        <v>939664</v>
      </c>
      <c r="X6" s="39">
        <v>937926</v>
      </c>
      <c r="Y6" s="39">
        <v>937882</v>
      </c>
      <c r="Z6" s="39">
        <v>935115</v>
      </c>
      <c r="AA6" s="39">
        <v>935897</v>
      </c>
      <c r="AB6" s="39">
        <v>938208</v>
      </c>
      <c r="AC6" s="39">
        <v>942107</v>
      </c>
      <c r="AD6" s="39">
        <v>944274</v>
      </c>
      <c r="AE6" s="39">
        <v>943635</v>
      </c>
      <c r="AF6" s="39">
        <v>940434</v>
      </c>
      <c r="AG6" s="39">
        <v>938545</v>
      </c>
      <c r="AH6" s="39">
        <v>936525</v>
      </c>
      <c r="AI6" s="39">
        <v>942790</v>
      </c>
      <c r="AJ6" s="39">
        <v>950401</v>
      </c>
      <c r="AK6" s="39">
        <v>959500</v>
      </c>
      <c r="AL6" s="39">
        <v>971395</v>
      </c>
    </row>
    <row r="7" spans="1:79" x14ac:dyDescent="0.25">
      <c r="A7" s="5"/>
      <c r="B7" s="25"/>
      <c r="C7" s="25" t="s">
        <v>88</v>
      </c>
      <c r="D7" s="25" t="s">
        <v>82</v>
      </c>
      <c r="E7" s="25"/>
      <c r="F7" s="27" t="s">
        <v>83</v>
      </c>
      <c r="G7" s="17">
        <f t="shared" si="0"/>
        <v>750517</v>
      </c>
      <c r="H7" s="17">
        <f t="shared" si="0"/>
        <v>748057</v>
      </c>
      <c r="I7" s="17">
        <f t="shared" si="0"/>
        <v>753035</v>
      </c>
      <c r="J7" s="17">
        <f t="shared" si="0"/>
        <v>758842</v>
      </c>
      <c r="K7" s="44">
        <f t="shared" ref="K7:Q7" si="5">K23</f>
        <v>775600</v>
      </c>
      <c r="L7" s="44">
        <f t="shared" si="5"/>
        <v>787700</v>
      </c>
      <c r="M7" s="44">
        <f t="shared" si="5"/>
        <v>796600</v>
      </c>
      <c r="N7" s="44">
        <f t="shared" si="5"/>
        <v>800300</v>
      </c>
      <c r="O7" s="44">
        <f t="shared" si="5"/>
        <v>798100</v>
      </c>
      <c r="P7" s="44">
        <f t="shared" si="5"/>
        <v>827027.24032452295</v>
      </c>
      <c r="Q7" s="44">
        <f t="shared" si="5"/>
        <v>855209.11402251967</v>
      </c>
      <c r="R7" s="38"/>
      <c r="S7" s="39">
        <v>750517</v>
      </c>
      <c r="T7" s="39">
        <v>749820</v>
      </c>
      <c r="U7" s="39">
        <v>749372</v>
      </c>
      <c r="V7" s="39">
        <v>749441</v>
      </c>
      <c r="W7" s="39">
        <v>749419</v>
      </c>
      <c r="X7" s="39">
        <v>748057</v>
      </c>
      <c r="Y7" s="39">
        <v>745621</v>
      </c>
      <c r="Z7" s="39">
        <v>745433</v>
      </c>
      <c r="AA7" s="39">
        <v>746877</v>
      </c>
      <c r="AB7" s="39">
        <v>749956</v>
      </c>
      <c r="AC7" s="39">
        <v>753035</v>
      </c>
      <c r="AD7" s="39">
        <v>755705</v>
      </c>
      <c r="AE7" s="39">
        <v>758378</v>
      </c>
      <c r="AF7" s="39">
        <v>758544</v>
      </c>
      <c r="AG7" s="39">
        <v>758976</v>
      </c>
      <c r="AH7" s="39">
        <v>758842</v>
      </c>
      <c r="AI7" s="39">
        <v>763350</v>
      </c>
      <c r="AJ7" s="39">
        <v>766762</v>
      </c>
      <c r="AK7" s="39">
        <v>770921</v>
      </c>
      <c r="AL7" s="39">
        <v>776827</v>
      </c>
    </row>
    <row r="8" spans="1:79" x14ac:dyDescent="0.25">
      <c r="A8" s="5"/>
      <c r="B8" s="25"/>
      <c r="C8" s="25" t="s">
        <v>89</v>
      </c>
      <c r="D8" s="25" t="s">
        <v>82</v>
      </c>
      <c r="E8" s="25"/>
      <c r="F8" s="27" t="s">
        <v>83</v>
      </c>
      <c r="G8" s="17">
        <f t="shared" si="0"/>
        <v>7356951</v>
      </c>
      <c r="H8" s="17">
        <f t="shared" si="0"/>
        <v>7581476</v>
      </c>
      <c r="I8" s="17">
        <f t="shared" si="0"/>
        <v>7929222</v>
      </c>
      <c r="J8" s="17">
        <f t="shared" si="0"/>
        <v>8175272</v>
      </c>
      <c r="K8" s="44">
        <f t="shared" ref="K8:Q8" si="6">K24</f>
        <v>8494500</v>
      </c>
      <c r="L8" s="44">
        <f t="shared" si="6"/>
        <v>8738500</v>
      </c>
      <c r="M8" s="44">
        <f t="shared" si="6"/>
        <v>8958900</v>
      </c>
      <c r="N8" s="44">
        <f t="shared" si="6"/>
        <v>9159100</v>
      </c>
      <c r="O8" s="44">
        <f t="shared" si="6"/>
        <v>9353100</v>
      </c>
      <c r="P8" s="44">
        <f t="shared" si="6"/>
        <v>9692104.3496796079</v>
      </c>
      <c r="Q8" s="44">
        <f t="shared" si="6"/>
        <v>10022373.592737788</v>
      </c>
      <c r="R8" s="38"/>
      <c r="S8" s="39">
        <v>7356951</v>
      </c>
      <c r="T8" s="39">
        <v>7396456</v>
      </c>
      <c r="U8" s="39">
        <v>7441656</v>
      </c>
      <c r="V8" s="39">
        <v>7485753</v>
      </c>
      <c r="W8" s="39">
        <v>7535590</v>
      </c>
      <c r="X8" s="39">
        <v>7581476</v>
      </c>
      <c r="Y8" s="39">
        <v>7631966</v>
      </c>
      <c r="Z8" s="39">
        <v>7692916</v>
      </c>
      <c r="AA8" s="39">
        <v>7761725</v>
      </c>
      <c r="AB8" s="39">
        <v>7843383</v>
      </c>
      <c r="AC8" s="39">
        <v>7929222</v>
      </c>
      <c r="AD8" s="39">
        <v>8005090</v>
      </c>
      <c r="AE8" s="39">
        <v>8061101</v>
      </c>
      <c r="AF8" s="39">
        <v>8110880</v>
      </c>
      <c r="AG8" s="39">
        <v>8150183</v>
      </c>
      <c r="AH8" s="39">
        <v>8175272</v>
      </c>
      <c r="AI8" s="39">
        <v>8225950</v>
      </c>
      <c r="AJ8" s="39">
        <v>8298827</v>
      </c>
      <c r="AK8" s="39">
        <v>8387632</v>
      </c>
      <c r="AL8" s="39">
        <v>8484965</v>
      </c>
    </row>
    <row r="9" spans="1:79" x14ac:dyDescent="0.25">
      <c r="A9" s="5"/>
      <c r="B9" s="25"/>
      <c r="C9" s="25" t="s">
        <v>90</v>
      </c>
      <c r="D9" s="25" t="s">
        <v>82</v>
      </c>
      <c r="E9" s="25"/>
      <c r="F9" s="27" t="s">
        <v>83</v>
      </c>
      <c r="G9" s="17">
        <f t="shared" si="0"/>
        <v>11683290</v>
      </c>
      <c r="H9" s="17">
        <f t="shared" si="0"/>
        <v>12528663</v>
      </c>
      <c r="I9" s="17">
        <f t="shared" si="0"/>
        <v>13135778</v>
      </c>
      <c r="J9" s="17">
        <f t="shared" si="0"/>
        <v>13707118</v>
      </c>
      <c r="K9" s="44">
        <f t="shared" ref="K9:Q9" si="7">K25</f>
        <v>14677900</v>
      </c>
      <c r="L9" s="44">
        <f t="shared" si="7"/>
        <v>15561600</v>
      </c>
      <c r="M9" s="44">
        <f t="shared" si="7"/>
        <v>16411599.999999998</v>
      </c>
      <c r="N9" s="44">
        <f t="shared" si="7"/>
        <v>17195100</v>
      </c>
      <c r="O9" s="44">
        <f t="shared" si="7"/>
        <v>17892000</v>
      </c>
      <c r="P9" s="44">
        <f t="shared" si="7"/>
        <v>18540497.912399907</v>
      </c>
      <c r="Q9" s="44">
        <f t="shared" si="7"/>
        <v>19172286.014397848</v>
      </c>
      <c r="R9" s="38"/>
      <c r="S9" s="39">
        <v>11683290</v>
      </c>
      <c r="T9" s="39">
        <v>11897534</v>
      </c>
      <c r="U9" s="39">
        <v>12094174</v>
      </c>
      <c r="V9" s="39">
        <v>12245039</v>
      </c>
      <c r="W9" s="39">
        <v>12391421</v>
      </c>
      <c r="X9" s="39">
        <v>12528663</v>
      </c>
      <c r="Y9" s="39">
        <v>12661878</v>
      </c>
      <c r="Z9" s="39">
        <v>12764806</v>
      </c>
      <c r="AA9" s="39">
        <v>12883583</v>
      </c>
      <c r="AB9" s="39">
        <v>12998345</v>
      </c>
      <c r="AC9" s="39">
        <v>13135778</v>
      </c>
      <c r="AD9" s="39">
        <v>13261381</v>
      </c>
      <c r="AE9" s="39">
        <v>13390632</v>
      </c>
      <c r="AF9" s="39">
        <v>13510781</v>
      </c>
      <c r="AG9" s="39">
        <v>13617553</v>
      </c>
      <c r="AH9" s="39">
        <v>13707118</v>
      </c>
      <c r="AI9" s="39">
        <v>13875394</v>
      </c>
      <c r="AJ9" s="39">
        <v>14072615</v>
      </c>
      <c r="AK9" s="39">
        <v>14318545</v>
      </c>
      <c r="AL9" s="39">
        <v>14566547</v>
      </c>
    </row>
    <row r="10" spans="1:79" x14ac:dyDescent="0.25">
      <c r="A10" s="5"/>
      <c r="B10" s="25"/>
      <c r="C10" s="25" t="s">
        <v>91</v>
      </c>
      <c r="D10" s="25" t="s">
        <v>82</v>
      </c>
      <c r="E10" s="25"/>
      <c r="F10" s="27" t="s">
        <v>83</v>
      </c>
      <c r="G10" s="17">
        <f t="shared" si="0"/>
        <v>1147313</v>
      </c>
      <c r="H10" s="17">
        <f t="shared" si="0"/>
        <v>1178264</v>
      </c>
      <c r="I10" s="17">
        <f t="shared" si="0"/>
        <v>1220780</v>
      </c>
      <c r="J10" s="17">
        <f t="shared" si="0"/>
        <v>1292227</v>
      </c>
      <c r="K10" s="44">
        <f t="shared" ref="K10:Q10" si="8">K26</f>
        <v>1381900</v>
      </c>
      <c r="L10" s="44">
        <f t="shared" si="8"/>
        <v>1457800</v>
      </c>
      <c r="M10" s="44">
        <f t="shared" si="8"/>
        <v>1534800</v>
      </c>
      <c r="N10" s="44">
        <f t="shared" si="8"/>
        <v>1612800</v>
      </c>
      <c r="O10" s="44">
        <f t="shared" si="8"/>
        <v>1692500</v>
      </c>
      <c r="P10" s="44">
        <f t="shared" si="8"/>
        <v>1753844.886917999</v>
      </c>
      <c r="Q10" s="44">
        <f t="shared" si="8"/>
        <v>1813609.1034746456</v>
      </c>
      <c r="R10" s="38"/>
      <c r="S10" s="39">
        <v>1147313</v>
      </c>
      <c r="T10" s="39">
        <v>1151454</v>
      </c>
      <c r="U10" s="39">
        <v>1156680</v>
      </c>
      <c r="V10" s="39">
        <v>1163596</v>
      </c>
      <c r="W10" s="39">
        <v>1173238</v>
      </c>
      <c r="X10" s="39">
        <v>1178264</v>
      </c>
      <c r="Y10" s="39">
        <v>1183562</v>
      </c>
      <c r="Z10" s="39">
        <v>1189451</v>
      </c>
      <c r="AA10" s="39">
        <v>1197775</v>
      </c>
      <c r="AB10" s="39">
        <v>1208556</v>
      </c>
      <c r="AC10" s="39">
        <v>1220780</v>
      </c>
      <c r="AD10" s="39">
        <v>1233649</v>
      </c>
      <c r="AE10" s="39">
        <v>1249975</v>
      </c>
      <c r="AF10" s="39">
        <v>1264620</v>
      </c>
      <c r="AG10" s="39">
        <v>1279014</v>
      </c>
      <c r="AH10" s="39">
        <v>1292227</v>
      </c>
      <c r="AI10" s="39">
        <v>1314139</v>
      </c>
      <c r="AJ10" s="39">
        <v>1335018</v>
      </c>
      <c r="AK10" s="39">
        <v>1353403</v>
      </c>
      <c r="AL10" s="39">
        <v>1369465</v>
      </c>
    </row>
    <row r="11" spans="1:79" x14ac:dyDescent="0.25">
      <c r="A11" s="5"/>
      <c r="B11" s="25"/>
      <c r="C11" s="25" t="s">
        <v>92</v>
      </c>
      <c r="D11" s="25" t="s">
        <v>82</v>
      </c>
      <c r="E11" s="25"/>
      <c r="F11" s="27" t="s">
        <v>83</v>
      </c>
      <c r="G11" s="17">
        <f t="shared" si="0"/>
        <v>1007565</v>
      </c>
      <c r="H11" s="17">
        <f t="shared" si="0"/>
        <v>993500</v>
      </c>
      <c r="I11" s="17">
        <f t="shared" si="0"/>
        <v>1051443</v>
      </c>
      <c r="J11" s="17">
        <f t="shared" si="0"/>
        <v>1120967</v>
      </c>
      <c r="K11" s="44">
        <f t="shared" ref="K11:Q11" si="9">K27</f>
        <v>1195100</v>
      </c>
      <c r="L11" s="44">
        <f t="shared" si="9"/>
        <v>1287000</v>
      </c>
      <c r="M11" s="44">
        <f t="shared" si="9"/>
        <v>1380400</v>
      </c>
      <c r="N11" s="44">
        <f t="shared" si="9"/>
        <v>1468800</v>
      </c>
      <c r="O11" s="44">
        <f t="shared" si="9"/>
        <v>1548700</v>
      </c>
      <c r="P11" s="44">
        <f t="shared" si="9"/>
        <v>1604832.8368507563</v>
      </c>
      <c r="Q11" s="44">
        <f t="shared" si="9"/>
        <v>1659519.3019504778</v>
      </c>
      <c r="R11" s="38"/>
      <c r="S11" s="39">
        <v>1007565</v>
      </c>
      <c r="T11" s="39">
        <v>1000239</v>
      </c>
      <c r="U11" s="39">
        <v>996807</v>
      </c>
      <c r="V11" s="39">
        <v>996386</v>
      </c>
      <c r="W11" s="39">
        <v>997283</v>
      </c>
      <c r="X11" s="39">
        <v>993500</v>
      </c>
      <c r="Y11" s="39">
        <v>992314</v>
      </c>
      <c r="Z11" s="39">
        <v>1002086</v>
      </c>
      <c r="AA11" s="39">
        <v>1017404</v>
      </c>
      <c r="AB11" s="39">
        <v>1034819</v>
      </c>
      <c r="AC11" s="39">
        <v>1051443</v>
      </c>
      <c r="AD11" s="39">
        <v>1066026</v>
      </c>
      <c r="AE11" s="39">
        <v>1083755</v>
      </c>
      <c r="AF11" s="39">
        <v>1099736</v>
      </c>
      <c r="AG11" s="39">
        <v>1112979</v>
      </c>
      <c r="AH11" s="39">
        <v>1120967</v>
      </c>
      <c r="AI11" s="39">
        <v>1135987</v>
      </c>
      <c r="AJ11" s="39">
        <v>1150926</v>
      </c>
      <c r="AK11" s="39">
        <v>1162978</v>
      </c>
      <c r="AL11" s="39">
        <v>1174462</v>
      </c>
    </row>
    <row r="12" spans="1:79" x14ac:dyDescent="0.25">
      <c r="A12" s="5"/>
      <c r="B12" s="25"/>
      <c r="C12" s="25" t="s">
        <v>5</v>
      </c>
      <c r="D12" s="25" t="s">
        <v>82</v>
      </c>
      <c r="E12" s="25"/>
      <c r="F12" s="27" t="s">
        <v>83</v>
      </c>
      <c r="G12" s="17">
        <f>INDEX($S12:$CA12,MATCH(G$1,$S$1:$CA$1,0))</f>
        <v>3004198</v>
      </c>
      <c r="H12" s="17">
        <f t="shared" si="0"/>
        <v>3321768</v>
      </c>
      <c r="I12" s="17">
        <f t="shared" si="0"/>
        <v>3732082</v>
      </c>
      <c r="J12" s="17">
        <f t="shared" si="0"/>
        <v>4144491</v>
      </c>
      <c r="K12" s="44">
        <f t="shared" ref="K12:Q12" si="10">K28</f>
        <v>4472800</v>
      </c>
      <c r="L12" s="44">
        <f t="shared" si="10"/>
        <v>4908500</v>
      </c>
      <c r="M12" s="44">
        <f t="shared" si="10"/>
        <v>5360500</v>
      </c>
      <c r="N12" s="44">
        <f t="shared" si="10"/>
        <v>5830000</v>
      </c>
      <c r="O12" s="44">
        <f t="shared" si="10"/>
        <v>6317800</v>
      </c>
      <c r="P12" s="44">
        <f t="shared" si="10"/>
        <v>6546789.4987122808</v>
      </c>
      <c r="Q12" s="44">
        <f t="shared" si="10"/>
        <v>6769878.6374783553</v>
      </c>
      <c r="R12" s="38"/>
      <c r="S12" s="39">
        <v>3004198</v>
      </c>
      <c r="T12" s="39">
        <v>3058108</v>
      </c>
      <c r="U12" s="39">
        <v>3128429</v>
      </c>
      <c r="V12" s="39">
        <v>3183065</v>
      </c>
      <c r="W12" s="39">
        <v>3238668</v>
      </c>
      <c r="X12" s="39">
        <v>3321768</v>
      </c>
      <c r="Y12" s="39">
        <v>3421434</v>
      </c>
      <c r="Z12" s="39">
        <v>3514147</v>
      </c>
      <c r="AA12" s="39">
        <v>3595856</v>
      </c>
      <c r="AB12" s="39">
        <v>3678996</v>
      </c>
      <c r="AC12" s="39">
        <v>3732082</v>
      </c>
      <c r="AD12" s="39">
        <v>3789030</v>
      </c>
      <c r="AE12" s="39">
        <v>3874548</v>
      </c>
      <c r="AF12" s="39">
        <v>3981011</v>
      </c>
      <c r="AG12" s="39">
        <v>4083648</v>
      </c>
      <c r="AH12" s="39">
        <v>4144491</v>
      </c>
      <c r="AI12" s="39">
        <v>4196061</v>
      </c>
      <c r="AJ12" s="39">
        <v>4243543</v>
      </c>
      <c r="AK12" s="39">
        <v>4300721</v>
      </c>
      <c r="AL12" s="39">
        <v>4371316</v>
      </c>
    </row>
    <row r="13" spans="1:79" x14ac:dyDescent="0.25">
      <c r="A13" s="5"/>
      <c r="B13" s="25"/>
      <c r="C13" s="25" t="s">
        <v>61</v>
      </c>
      <c r="D13" s="25" t="s">
        <v>82</v>
      </c>
      <c r="E13" s="25"/>
      <c r="F13" s="27" t="s">
        <v>83</v>
      </c>
      <c r="G13" s="17">
        <f>INDEX($S13:$CA13,MATCH(G$1,$S$1:$CA$1,0))</f>
        <v>4039230</v>
      </c>
      <c r="H13" s="17">
        <f t="shared" si="0"/>
        <v>4196062</v>
      </c>
      <c r="I13" s="17">
        <f t="shared" si="0"/>
        <v>4465546</v>
      </c>
      <c r="J13" s="17">
        <f t="shared" si="0"/>
        <v>4776388</v>
      </c>
      <c r="K13" s="44">
        <f t="shared" ref="K13:Q13" si="11">K29</f>
        <v>5103500</v>
      </c>
      <c r="L13" s="44">
        <f t="shared" si="11"/>
        <v>5375800</v>
      </c>
      <c r="M13" s="44">
        <f t="shared" si="11"/>
        <v>5632900</v>
      </c>
      <c r="N13" s="44">
        <f t="shared" si="11"/>
        <v>5872900</v>
      </c>
      <c r="O13" s="44">
        <f t="shared" si="11"/>
        <v>6096400</v>
      </c>
      <c r="P13" s="44">
        <f t="shared" si="11"/>
        <v>6317364.8263556212</v>
      </c>
      <c r="Q13" s="44">
        <f t="shared" si="11"/>
        <v>6532636.064060756</v>
      </c>
      <c r="R13" s="38"/>
      <c r="S13" s="39">
        <v>4039230</v>
      </c>
      <c r="T13" s="39">
        <v>4076950</v>
      </c>
      <c r="U13" s="39">
        <v>4100564</v>
      </c>
      <c r="V13" s="39">
        <v>4124482</v>
      </c>
      <c r="W13" s="39">
        <v>4155651</v>
      </c>
      <c r="X13" s="39">
        <v>4196062</v>
      </c>
      <c r="Y13" s="39">
        <v>4241794</v>
      </c>
      <c r="Z13" s="39">
        <v>4290984</v>
      </c>
      <c r="AA13" s="39">
        <v>4349336</v>
      </c>
      <c r="AB13" s="39">
        <v>4410506</v>
      </c>
      <c r="AC13" s="39">
        <v>4465546</v>
      </c>
      <c r="AD13" s="39">
        <v>4502104</v>
      </c>
      <c r="AE13" s="39">
        <v>4566769</v>
      </c>
      <c r="AF13" s="39">
        <v>4630077</v>
      </c>
      <c r="AG13" s="39">
        <v>4707103</v>
      </c>
      <c r="AH13" s="39">
        <v>4776388</v>
      </c>
      <c r="AI13" s="39">
        <v>4859250</v>
      </c>
      <c r="AJ13" s="39">
        <v>4924233</v>
      </c>
      <c r="AK13" s="39">
        <v>5001170</v>
      </c>
      <c r="AL13" s="39">
        <v>5071336</v>
      </c>
    </row>
    <row r="14" spans="1:79" x14ac:dyDescent="0.25">
      <c r="A14" s="5"/>
      <c r="B14" s="25"/>
      <c r="C14" s="25" t="s">
        <v>93</v>
      </c>
      <c r="D14" s="25" t="s">
        <v>82</v>
      </c>
      <c r="E14" s="25"/>
      <c r="F14" s="27" t="s">
        <v>83</v>
      </c>
      <c r="G14" s="17">
        <f>INDEX($S14:$CA14,MATCH(G$1,$S$1:$CA$1,0))</f>
        <v>30431</v>
      </c>
      <c r="H14" s="17">
        <f t="shared" si="0"/>
        <v>31902</v>
      </c>
      <c r="I14" s="17">
        <f t="shared" si="0"/>
        <v>34596</v>
      </c>
      <c r="J14" s="17">
        <f t="shared" si="0"/>
        <v>37690</v>
      </c>
      <c r="K14" s="44">
        <f t="shared" ref="K14:Q14" si="12">K30</f>
        <v>41300</v>
      </c>
      <c r="L14" s="44">
        <f t="shared" si="12"/>
        <v>43500</v>
      </c>
      <c r="M14" s="44">
        <f t="shared" si="12"/>
        <v>45400</v>
      </c>
      <c r="N14" s="44">
        <f t="shared" si="12"/>
        <v>47000</v>
      </c>
      <c r="O14" s="44">
        <f t="shared" si="12"/>
        <v>48300</v>
      </c>
      <c r="P14" s="44">
        <f t="shared" si="12"/>
        <v>50050.63990436594</v>
      </c>
      <c r="Q14" s="44">
        <f t="shared" si="12"/>
        <v>51756.171165627995</v>
      </c>
      <c r="R14" s="38"/>
      <c r="S14" s="39">
        <v>30431</v>
      </c>
      <c r="T14" s="39">
        <v>30158</v>
      </c>
      <c r="U14" s="39">
        <v>30336</v>
      </c>
      <c r="V14" s="39">
        <v>30941</v>
      </c>
      <c r="W14" s="39">
        <v>31455</v>
      </c>
      <c r="X14" s="39">
        <v>31902</v>
      </c>
      <c r="Y14" s="39">
        <v>32272</v>
      </c>
      <c r="Z14" s="39">
        <v>32554</v>
      </c>
      <c r="AA14" s="39">
        <v>33083</v>
      </c>
      <c r="AB14" s="39">
        <v>33731</v>
      </c>
      <c r="AC14" s="39">
        <v>34596</v>
      </c>
      <c r="AD14" s="39">
        <v>35411</v>
      </c>
      <c r="AE14" s="39">
        <v>36234</v>
      </c>
      <c r="AF14" s="39">
        <v>36521</v>
      </c>
      <c r="AG14" s="39">
        <v>37137</v>
      </c>
      <c r="AH14" s="39">
        <v>37690</v>
      </c>
      <c r="AI14" s="39">
        <v>38547</v>
      </c>
      <c r="AJ14" s="39">
        <v>39690</v>
      </c>
      <c r="AK14" s="39">
        <v>40612</v>
      </c>
      <c r="AL14" s="39">
        <v>40854</v>
      </c>
    </row>
    <row r="15" spans="1:79" x14ac:dyDescent="0.25">
      <c r="A15" s="5"/>
      <c r="B15" s="25"/>
      <c r="C15" s="25" t="s">
        <v>95</v>
      </c>
      <c r="D15" s="25" t="s">
        <v>82</v>
      </c>
      <c r="E15" s="25"/>
      <c r="F15" s="27" t="s">
        <v>83</v>
      </c>
      <c r="G15" s="17">
        <f>INDEX($S15:$CA15,MATCH(G$1,$S$1:$CA$1,0))</f>
        <v>40480</v>
      </c>
      <c r="H15" s="17">
        <f t="shared" si="0"/>
        <v>43400</v>
      </c>
      <c r="I15" s="17">
        <f t="shared" si="0"/>
        <v>43285</v>
      </c>
      <c r="J15" s="17">
        <f t="shared" si="0"/>
        <v>44237</v>
      </c>
      <c r="K15" s="44">
        <f t="shared" ref="K15:Q15" si="13">K31</f>
        <v>45100</v>
      </c>
      <c r="L15" s="44">
        <f t="shared" si="13"/>
        <v>46400</v>
      </c>
      <c r="M15" s="44">
        <f t="shared" si="13"/>
        <v>47400</v>
      </c>
      <c r="N15" s="44">
        <f t="shared" si="13"/>
        <v>48200</v>
      </c>
      <c r="O15" s="44">
        <f t="shared" si="13"/>
        <v>48600</v>
      </c>
      <c r="P15" s="44">
        <f t="shared" si="13"/>
        <v>50361.513444144613</v>
      </c>
      <c r="Q15" s="44">
        <f t="shared" si="13"/>
        <v>52077.638067277854</v>
      </c>
      <c r="R15" s="38"/>
      <c r="S15" s="39">
        <v>40480</v>
      </c>
      <c r="T15" s="39">
        <v>40845</v>
      </c>
      <c r="U15" s="39">
        <v>41699</v>
      </c>
      <c r="V15" s="39">
        <v>42600</v>
      </c>
      <c r="W15" s="39">
        <v>43306</v>
      </c>
      <c r="X15" s="39">
        <v>43400</v>
      </c>
      <c r="Y15" s="39">
        <v>43179</v>
      </c>
      <c r="Z15" s="39">
        <v>43372</v>
      </c>
      <c r="AA15" s="39">
        <v>43360</v>
      </c>
      <c r="AB15" s="39">
        <v>43156</v>
      </c>
      <c r="AC15" s="39">
        <v>43285</v>
      </c>
      <c r="AD15" s="39">
        <v>43504</v>
      </c>
      <c r="AE15" s="39">
        <v>43648</v>
      </c>
      <c r="AF15" s="39">
        <v>43805</v>
      </c>
      <c r="AG15" s="39">
        <v>43884</v>
      </c>
      <c r="AH15" s="39">
        <v>44237</v>
      </c>
      <c r="AI15" s="39">
        <v>44649</v>
      </c>
      <c r="AJ15" s="39">
        <v>44908</v>
      </c>
      <c r="AK15" s="39">
        <v>44956</v>
      </c>
      <c r="AL15" s="39">
        <v>44826</v>
      </c>
    </row>
    <row r="16" spans="1:79" x14ac:dyDescent="0.25">
      <c r="A16" s="5"/>
      <c r="B16" s="25"/>
      <c r="C16" s="25" t="s">
        <v>94</v>
      </c>
      <c r="D16" s="25" t="s">
        <v>82</v>
      </c>
      <c r="E16" s="25"/>
      <c r="F16" s="27" t="s">
        <v>83</v>
      </c>
      <c r="G16" s="17">
        <f>INDEX($S16:$CA16,MATCH(G$1,$S$1:$CA$1,0))</f>
        <v>27498</v>
      </c>
      <c r="H16" s="17">
        <f t="shared" si="0"/>
        <v>30339</v>
      </c>
      <c r="I16" s="17">
        <f t="shared" si="0"/>
        <v>33352</v>
      </c>
      <c r="J16" s="17">
        <f t="shared" si="0"/>
        <v>36488</v>
      </c>
      <c r="K16" s="44">
        <f t="shared" ref="K16:Q16" si="14">K32</f>
        <v>39300</v>
      </c>
      <c r="L16" s="44">
        <f t="shared" si="14"/>
        <v>41600</v>
      </c>
      <c r="M16" s="44">
        <f t="shared" si="14"/>
        <v>43900</v>
      </c>
      <c r="N16" s="44">
        <f t="shared" si="14"/>
        <v>46400</v>
      </c>
      <c r="O16" s="44">
        <f t="shared" si="14"/>
        <v>48800</v>
      </c>
      <c r="P16" s="44">
        <f t="shared" si="14"/>
        <v>50568.762470663722</v>
      </c>
      <c r="Q16" s="44">
        <f t="shared" si="14"/>
        <v>52291.949335044432</v>
      </c>
      <c r="R16" s="38"/>
      <c r="S16" s="39">
        <v>27498</v>
      </c>
      <c r="T16" s="39">
        <v>28133</v>
      </c>
      <c r="U16" s="39">
        <v>28822</v>
      </c>
      <c r="V16" s="39">
        <v>29322</v>
      </c>
      <c r="W16" s="39">
        <v>29857</v>
      </c>
      <c r="X16" s="39">
        <v>30339</v>
      </c>
      <c r="Y16" s="39">
        <v>30813</v>
      </c>
      <c r="Z16" s="39">
        <v>31395</v>
      </c>
      <c r="AA16" s="39">
        <v>31892</v>
      </c>
      <c r="AB16" s="39">
        <v>32597</v>
      </c>
      <c r="AC16" s="39">
        <v>33352</v>
      </c>
      <c r="AD16" s="39">
        <v>34192</v>
      </c>
      <c r="AE16" s="39">
        <v>34672</v>
      </c>
      <c r="AF16" s="39">
        <v>35337</v>
      </c>
      <c r="AG16" s="39">
        <v>35971</v>
      </c>
      <c r="AH16" s="39">
        <v>36488</v>
      </c>
      <c r="AI16" s="39">
        <v>36975</v>
      </c>
      <c r="AJ16" s="39">
        <v>37559</v>
      </c>
      <c r="AK16" s="39">
        <v>38139</v>
      </c>
      <c r="AL16" s="39">
        <v>38780</v>
      </c>
    </row>
    <row r="17" spans="1:79" x14ac:dyDescent="0.25">
      <c r="A17" s="5"/>
      <c r="B17" s="25"/>
      <c r="C17" s="25"/>
      <c r="D17" s="25"/>
      <c r="E17" s="25"/>
      <c r="F17" s="27"/>
      <c r="G17" s="17"/>
      <c r="H17" s="17"/>
      <c r="I17" s="17"/>
      <c r="J17" s="17"/>
      <c r="R17" s="38"/>
    </row>
    <row r="18" spans="1:79" x14ac:dyDescent="0.25">
      <c r="A18" s="5"/>
      <c r="B18" s="25"/>
      <c r="C18" s="25"/>
      <c r="D18" s="25"/>
      <c r="E18" s="25"/>
      <c r="F18" s="27"/>
      <c r="G18" s="17"/>
      <c r="H18" s="17"/>
      <c r="I18" s="17"/>
      <c r="J18" s="17"/>
      <c r="R18" s="38"/>
    </row>
    <row r="19" spans="1:79" x14ac:dyDescent="0.25">
      <c r="A19" s="5"/>
      <c r="B19" s="3" t="s">
        <v>99</v>
      </c>
      <c r="C19" s="25" t="s">
        <v>48</v>
      </c>
      <c r="D19" s="25" t="s">
        <v>82</v>
      </c>
      <c r="E19" s="25"/>
      <c r="F19" s="350" t="s">
        <v>96</v>
      </c>
      <c r="G19" s="3"/>
      <c r="H19" s="3"/>
      <c r="I19" s="3"/>
      <c r="J19" s="3"/>
      <c r="K19" s="17">
        <f t="shared" ref="K19:Q32" si="15">INDEX($S19:$CA19,MATCH(K$1,$S$1:$CA$1,0))</f>
        <v>37873700</v>
      </c>
      <c r="L19" s="17">
        <f t="shared" si="15"/>
        <v>39913500</v>
      </c>
      <c r="M19" s="17">
        <f t="shared" si="15"/>
        <v>41888100</v>
      </c>
      <c r="N19" s="17">
        <f t="shared" si="15"/>
        <v>43755500</v>
      </c>
      <c r="O19" s="17">
        <f t="shared" si="15"/>
        <v>45506800</v>
      </c>
      <c r="P19" s="17">
        <f t="shared" si="15"/>
        <v>47156200</v>
      </c>
      <c r="Q19" s="17">
        <f t="shared" si="15"/>
        <v>48763100</v>
      </c>
      <c r="R19" s="38"/>
      <c r="AK19" s="39">
        <v>37058900</v>
      </c>
      <c r="AL19" s="39">
        <v>37466800</v>
      </c>
      <c r="AM19" s="39">
        <v>37873700</v>
      </c>
      <c r="AN19" s="39">
        <v>38284600</v>
      </c>
      <c r="AO19" s="39">
        <v>38694300</v>
      </c>
      <c r="AP19" s="39">
        <v>39102600</v>
      </c>
      <c r="AQ19" s="39">
        <v>39509100</v>
      </c>
      <c r="AR19" s="39">
        <v>39913500</v>
      </c>
      <c r="AS19" s="39">
        <v>40315200</v>
      </c>
      <c r="AT19" s="39">
        <v>40713900</v>
      </c>
      <c r="AU19" s="39">
        <v>41109200</v>
      </c>
      <c r="AV19" s="39">
        <v>41500700</v>
      </c>
      <c r="AW19" s="39">
        <v>41888100</v>
      </c>
      <c r="AX19" s="39">
        <v>42271000</v>
      </c>
      <c r="AY19" s="39">
        <v>42649300</v>
      </c>
      <c r="AZ19" s="39">
        <v>43022800</v>
      </c>
      <c r="BA19" s="39">
        <v>43391500</v>
      </c>
      <c r="BB19" s="39">
        <v>43755500</v>
      </c>
      <c r="BC19" s="39">
        <v>44114700</v>
      </c>
      <c r="BD19" s="39">
        <v>44469400</v>
      </c>
      <c r="BE19" s="39">
        <v>44819500</v>
      </c>
      <c r="BF19" s="39">
        <v>45165300</v>
      </c>
      <c r="BG19" s="39">
        <v>45506800</v>
      </c>
      <c r="BH19" s="39">
        <v>45843900</v>
      </c>
      <c r="BI19" s="39">
        <v>46176900</v>
      </c>
      <c r="BJ19" s="39">
        <v>46505600</v>
      </c>
      <c r="BK19" s="39">
        <v>46831800</v>
      </c>
      <c r="BL19" s="39">
        <v>47156200</v>
      </c>
      <c r="BM19" s="39">
        <v>47479100</v>
      </c>
      <c r="BN19" s="39">
        <v>47800800</v>
      </c>
      <c r="BO19" s="39">
        <v>48121700</v>
      </c>
      <c r="BP19" s="39">
        <v>48442300</v>
      </c>
      <c r="BQ19" s="39">
        <v>48763100</v>
      </c>
      <c r="BR19" s="39">
        <v>49084700</v>
      </c>
      <c r="BS19" s="39">
        <v>49407900</v>
      </c>
      <c r="BT19" s="39">
        <v>49733200</v>
      </c>
      <c r="BU19" s="39">
        <v>50061400</v>
      </c>
      <c r="BV19" s="39">
        <v>50393200</v>
      </c>
      <c r="BW19" s="39">
        <v>50729200</v>
      </c>
      <c r="BX19" s="39">
        <v>51070000</v>
      </c>
      <c r="BY19" s="39">
        <v>51416000</v>
      </c>
      <c r="BZ19" s="39">
        <v>51767600</v>
      </c>
      <c r="CA19" s="39">
        <v>52125000</v>
      </c>
    </row>
    <row r="20" spans="1:79" x14ac:dyDescent="0.25">
      <c r="A20" s="5"/>
      <c r="B20" s="3"/>
      <c r="C20" s="25" t="s">
        <v>85</v>
      </c>
      <c r="D20" s="25" t="s">
        <v>82</v>
      </c>
      <c r="E20" s="25"/>
      <c r="F20" s="350" t="s">
        <v>96</v>
      </c>
      <c r="G20" s="3"/>
      <c r="H20" s="3"/>
      <c r="I20" s="3"/>
      <c r="J20" s="3"/>
      <c r="K20" s="17">
        <f t="shared" si="15"/>
        <v>522299.99999999994</v>
      </c>
      <c r="L20" s="17">
        <f t="shared" si="15"/>
        <v>513400</v>
      </c>
      <c r="M20" s="17">
        <f t="shared" si="15"/>
        <v>502000</v>
      </c>
      <c r="N20" s="17">
        <f t="shared" si="15"/>
        <v>487400</v>
      </c>
      <c r="O20" s="17">
        <f t="shared" si="15"/>
        <v>470100</v>
      </c>
      <c r="P20" s="42">
        <f>$O20*P$19/$O$19</f>
        <v>487138.83683317655</v>
      </c>
      <c r="Q20" s="42">
        <f t="shared" ref="Q20:Q32" si="16">$O20*Q$19/$O$19</f>
        <v>503738.63488533581</v>
      </c>
      <c r="R20" s="38"/>
      <c r="AK20" s="39">
        <v>525400</v>
      </c>
      <c r="AL20" s="39">
        <v>523900</v>
      </c>
      <c r="AM20" s="39">
        <v>522299.99999999994</v>
      </c>
      <c r="AN20" s="39">
        <v>520600</v>
      </c>
      <c r="AO20" s="39">
        <v>518900</v>
      </c>
      <c r="AP20" s="39">
        <v>517200.00000000006</v>
      </c>
      <c r="AQ20" s="39">
        <v>515299.99999999994</v>
      </c>
      <c r="AR20" s="39">
        <v>513400</v>
      </c>
      <c r="AS20" s="39">
        <v>511300</v>
      </c>
      <c r="AT20" s="39">
        <v>509200</v>
      </c>
      <c r="AU20" s="39">
        <v>506900</v>
      </c>
      <c r="AV20" s="39">
        <v>504500</v>
      </c>
      <c r="AW20" s="39">
        <v>502000</v>
      </c>
      <c r="AX20" s="39">
        <v>499300</v>
      </c>
      <c r="AY20" s="39">
        <v>496500</v>
      </c>
      <c r="AZ20" s="39">
        <v>493600</v>
      </c>
      <c r="BA20" s="39">
        <v>490600</v>
      </c>
      <c r="BB20" s="39">
        <v>487400</v>
      </c>
      <c r="BC20" s="39">
        <v>484200</v>
      </c>
      <c r="BD20" s="39">
        <v>480800</v>
      </c>
      <c r="BE20" s="39">
        <v>477300</v>
      </c>
      <c r="BF20" s="39">
        <v>473700</v>
      </c>
      <c r="BG20" s="39">
        <v>470100</v>
      </c>
      <c r="BH20" s="39">
        <v>466300</v>
      </c>
      <c r="BI20" s="39">
        <v>462500</v>
      </c>
      <c r="BR20" s="39"/>
      <c r="BS20" s="39"/>
      <c r="BT20" s="39"/>
      <c r="BU20" s="39"/>
      <c r="BV20" s="39"/>
      <c r="BW20" s="39"/>
      <c r="BX20" s="39"/>
      <c r="BY20" s="39"/>
      <c r="BZ20" s="39"/>
      <c r="CA20" s="39"/>
    </row>
    <row r="21" spans="1:79" x14ac:dyDescent="0.25">
      <c r="A21" s="5"/>
      <c r="B21" s="3"/>
      <c r="C21" s="25" t="s">
        <v>86</v>
      </c>
      <c r="D21" s="25" t="s">
        <v>82</v>
      </c>
      <c r="E21" s="25"/>
      <c r="F21" s="350" t="s">
        <v>96</v>
      </c>
      <c r="G21" s="3"/>
      <c r="H21" s="3"/>
      <c r="I21" s="3"/>
      <c r="J21" s="3"/>
      <c r="K21" s="17">
        <f t="shared" si="15"/>
        <v>157400</v>
      </c>
      <c r="L21" s="17">
        <f t="shared" si="15"/>
        <v>167800</v>
      </c>
      <c r="M21" s="17">
        <f t="shared" si="15"/>
        <v>177600</v>
      </c>
      <c r="N21" s="17">
        <f t="shared" si="15"/>
        <v>186300</v>
      </c>
      <c r="O21" s="17">
        <f t="shared" si="15"/>
        <v>193600</v>
      </c>
      <c r="P21" s="42">
        <f t="shared" ref="P21:P32" si="17">$O21*P$19/$O$19</f>
        <v>200617.05767050199</v>
      </c>
      <c r="Q21" s="42">
        <f t="shared" si="16"/>
        <v>207453.30719804514</v>
      </c>
      <c r="R21" s="38"/>
      <c r="AK21" s="39">
        <v>153200</v>
      </c>
      <c r="AL21" s="39">
        <v>155300</v>
      </c>
      <c r="AM21" s="39">
        <v>157400</v>
      </c>
      <c r="AN21" s="39">
        <v>159500</v>
      </c>
      <c r="AO21" s="39">
        <v>161600</v>
      </c>
      <c r="AP21" s="39">
        <v>163700</v>
      </c>
      <c r="AQ21" s="39">
        <v>165800</v>
      </c>
      <c r="AR21" s="39">
        <v>167800</v>
      </c>
      <c r="AS21" s="39">
        <v>169900</v>
      </c>
      <c r="AT21" s="39">
        <v>171900</v>
      </c>
      <c r="AU21" s="39">
        <v>173800</v>
      </c>
      <c r="AV21" s="39">
        <v>175800</v>
      </c>
      <c r="AW21" s="39">
        <v>177600</v>
      </c>
      <c r="AX21" s="39">
        <v>179500</v>
      </c>
      <c r="AY21" s="39">
        <v>181200</v>
      </c>
      <c r="AZ21" s="39">
        <v>183000</v>
      </c>
      <c r="BA21" s="39">
        <v>184700</v>
      </c>
      <c r="BB21" s="39">
        <v>186300</v>
      </c>
      <c r="BC21" s="39">
        <v>187900</v>
      </c>
      <c r="BD21" s="39">
        <v>189400</v>
      </c>
      <c r="BE21" s="39">
        <v>190900</v>
      </c>
      <c r="BF21" s="39">
        <v>192300</v>
      </c>
      <c r="BG21" s="39">
        <v>193600</v>
      </c>
      <c r="BH21" s="39">
        <v>194900</v>
      </c>
      <c r="BI21" s="39">
        <v>196200</v>
      </c>
      <c r="BR21" s="39"/>
      <c r="BS21" s="39"/>
      <c r="BT21" s="39"/>
      <c r="BU21" s="39"/>
      <c r="BV21" s="39"/>
      <c r="BW21" s="39"/>
      <c r="BX21" s="39"/>
      <c r="BY21" s="39"/>
      <c r="BZ21" s="39"/>
      <c r="CA21" s="39"/>
    </row>
    <row r="22" spans="1:79" x14ac:dyDescent="0.25">
      <c r="A22" s="5"/>
      <c r="B22" s="3"/>
      <c r="C22" s="25" t="s">
        <v>87</v>
      </c>
      <c r="D22" s="25" t="s">
        <v>82</v>
      </c>
      <c r="E22" s="25"/>
      <c r="F22" s="350" t="s">
        <v>96</v>
      </c>
      <c r="G22" s="3"/>
      <c r="H22" s="3"/>
      <c r="I22" s="3"/>
      <c r="J22" s="3"/>
      <c r="K22" s="17">
        <f t="shared" si="15"/>
        <v>967100</v>
      </c>
      <c r="L22" s="17">
        <f t="shared" si="15"/>
        <v>983900</v>
      </c>
      <c r="M22" s="17">
        <f t="shared" si="15"/>
        <v>996100</v>
      </c>
      <c r="N22" s="17">
        <f t="shared" si="15"/>
        <v>1001200</v>
      </c>
      <c r="O22" s="17">
        <f t="shared" si="15"/>
        <v>998700</v>
      </c>
      <c r="P22" s="42">
        <f t="shared" si="17"/>
        <v>1034898.0139231939</v>
      </c>
      <c r="Q22" s="42">
        <f t="shared" si="16"/>
        <v>1070163.3155923949</v>
      </c>
      <c r="R22" s="38"/>
      <c r="AK22" s="39">
        <v>959900</v>
      </c>
      <c r="AL22" s="39">
        <v>963500</v>
      </c>
      <c r="AM22" s="39">
        <v>967100</v>
      </c>
      <c r="AN22" s="39">
        <v>970600</v>
      </c>
      <c r="AO22" s="39">
        <v>974100</v>
      </c>
      <c r="AP22" s="39">
        <v>977500</v>
      </c>
      <c r="AQ22" s="39">
        <v>980800</v>
      </c>
      <c r="AR22" s="39">
        <v>983900</v>
      </c>
      <c r="AS22" s="39">
        <v>986800</v>
      </c>
      <c r="AT22" s="39">
        <v>989500</v>
      </c>
      <c r="AU22" s="39">
        <v>992000</v>
      </c>
      <c r="AV22" s="39">
        <v>994200</v>
      </c>
      <c r="AW22" s="39">
        <v>996100</v>
      </c>
      <c r="AX22" s="39">
        <v>997800</v>
      </c>
      <c r="AY22" s="39">
        <v>999100</v>
      </c>
      <c r="AZ22" s="39">
        <v>1000100</v>
      </c>
      <c r="BA22" s="39">
        <v>1000800</v>
      </c>
      <c r="BB22" s="39">
        <v>1001200</v>
      </c>
      <c r="BC22" s="39">
        <v>1001300</v>
      </c>
      <c r="BD22" s="39">
        <v>1001100</v>
      </c>
      <c r="BE22" s="39">
        <v>1000600</v>
      </c>
      <c r="BF22" s="39">
        <v>999800</v>
      </c>
      <c r="BG22" s="39">
        <v>998700</v>
      </c>
      <c r="BH22" s="39">
        <v>997400</v>
      </c>
      <c r="BI22" s="39">
        <v>995700</v>
      </c>
      <c r="BR22" s="39"/>
      <c r="BS22" s="39"/>
      <c r="BT22" s="39"/>
      <c r="BU22" s="39"/>
      <c r="BV22" s="39"/>
      <c r="BW22" s="39"/>
      <c r="BX22" s="39"/>
      <c r="BY22" s="39"/>
      <c r="BZ22" s="39"/>
      <c r="CA22" s="39"/>
    </row>
    <row r="23" spans="1:79" x14ac:dyDescent="0.25">
      <c r="A23" s="5"/>
      <c r="B23" s="3"/>
      <c r="C23" s="25" t="s">
        <v>88</v>
      </c>
      <c r="D23" s="25" t="s">
        <v>82</v>
      </c>
      <c r="E23" s="25"/>
      <c r="F23" s="350" t="s">
        <v>96</v>
      </c>
      <c r="G23" s="3"/>
      <c r="H23" s="3"/>
      <c r="I23" s="3"/>
      <c r="J23" s="3"/>
      <c r="K23" s="17">
        <f t="shared" si="15"/>
        <v>775600</v>
      </c>
      <c r="L23" s="17">
        <f t="shared" si="15"/>
        <v>787700</v>
      </c>
      <c r="M23" s="17">
        <f t="shared" si="15"/>
        <v>796600</v>
      </c>
      <c r="N23" s="17">
        <f t="shared" si="15"/>
        <v>800300</v>
      </c>
      <c r="O23" s="17">
        <f t="shared" si="15"/>
        <v>798100</v>
      </c>
      <c r="P23" s="42">
        <f t="shared" si="17"/>
        <v>827027.24032452295</v>
      </c>
      <c r="Q23" s="42">
        <f t="shared" si="16"/>
        <v>855209.11402251967</v>
      </c>
      <c r="R23" s="38"/>
      <c r="AK23" s="39">
        <v>770600</v>
      </c>
      <c r="AL23" s="39">
        <v>773100</v>
      </c>
      <c r="AM23" s="39">
        <v>775600</v>
      </c>
      <c r="AN23" s="39">
        <v>778100</v>
      </c>
      <c r="AO23" s="39">
        <v>780600</v>
      </c>
      <c r="AP23" s="39">
        <v>783100</v>
      </c>
      <c r="AQ23" s="39">
        <v>785500</v>
      </c>
      <c r="AR23" s="39">
        <v>787700</v>
      </c>
      <c r="AS23" s="39">
        <v>789800</v>
      </c>
      <c r="AT23" s="39">
        <v>791800</v>
      </c>
      <c r="AU23" s="39">
        <v>793600</v>
      </c>
      <c r="AV23" s="39">
        <v>795200</v>
      </c>
      <c r="AW23" s="39">
        <v>796600</v>
      </c>
      <c r="AX23" s="39">
        <v>797800</v>
      </c>
      <c r="AY23" s="39">
        <v>798700</v>
      </c>
      <c r="AZ23" s="39">
        <v>799500</v>
      </c>
      <c r="BA23" s="39">
        <v>800000</v>
      </c>
      <c r="BB23" s="39">
        <v>800300</v>
      </c>
      <c r="BC23" s="39">
        <v>800300</v>
      </c>
      <c r="BD23" s="39">
        <v>800100</v>
      </c>
      <c r="BE23" s="39">
        <v>799700</v>
      </c>
      <c r="BF23" s="39">
        <v>799000</v>
      </c>
      <c r="BG23" s="39">
        <v>798100</v>
      </c>
      <c r="BH23" s="39">
        <v>797000</v>
      </c>
      <c r="BI23" s="39">
        <v>795600</v>
      </c>
      <c r="BR23" s="39"/>
      <c r="BS23" s="39"/>
      <c r="BT23" s="39"/>
      <c r="BU23" s="39"/>
      <c r="BV23" s="39"/>
      <c r="BW23" s="39"/>
      <c r="BX23" s="39"/>
      <c r="BY23" s="39"/>
      <c r="BZ23" s="39"/>
      <c r="CA23" s="39"/>
    </row>
    <row r="24" spans="1:79" x14ac:dyDescent="0.25">
      <c r="A24" s="5"/>
      <c r="B24" s="3"/>
      <c r="C24" s="25" t="s">
        <v>89</v>
      </c>
      <c r="D24" s="25" t="s">
        <v>82</v>
      </c>
      <c r="E24" s="25"/>
      <c r="F24" s="350" t="s">
        <v>96</v>
      </c>
      <c r="G24" s="3"/>
      <c r="H24" s="3"/>
      <c r="I24" s="3"/>
      <c r="J24" s="3"/>
      <c r="K24" s="17">
        <f t="shared" si="15"/>
        <v>8494500</v>
      </c>
      <c r="L24" s="17">
        <f t="shared" si="15"/>
        <v>8738500</v>
      </c>
      <c r="M24" s="17">
        <f t="shared" si="15"/>
        <v>8958900</v>
      </c>
      <c r="N24" s="17">
        <f t="shared" si="15"/>
        <v>9159100</v>
      </c>
      <c r="O24" s="17">
        <f t="shared" si="15"/>
        <v>9353100</v>
      </c>
      <c r="P24" s="42">
        <f t="shared" si="17"/>
        <v>9692104.3496796079</v>
      </c>
      <c r="Q24" s="42">
        <f t="shared" si="16"/>
        <v>10022373.592737788</v>
      </c>
      <c r="R24" s="38"/>
      <c r="AK24" s="39">
        <v>8390500</v>
      </c>
      <c r="AL24" s="39">
        <v>8443200</v>
      </c>
      <c r="AM24" s="39">
        <v>8494500</v>
      </c>
      <c r="AN24" s="39">
        <v>8545300</v>
      </c>
      <c r="AO24" s="39">
        <v>8595000</v>
      </c>
      <c r="AP24" s="39">
        <v>8643800</v>
      </c>
      <c r="AQ24" s="39">
        <v>8691600</v>
      </c>
      <c r="AR24" s="39">
        <v>8738500</v>
      </c>
      <c r="AS24" s="39">
        <v>8784500</v>
      </c>
      <c r="AT24" s="39">
        <v>8829500</v>
      </c>
      <c r="AU24" s="39">
        <v>8873600</v>
      </c>
      <c r="AV24" s="39">
        <v>8916700</v>
      </c>
      <c r="AW24" s="39">
        <v>8958900</v>
      </c>
      <c r="AX24" s="39">
        <v>9000300</v>
      </c>
      <c r="AY24" s="39">
        <v>9040800</v>
      </c>
      <c r="AZ24" s="39">
        <v>9080700</v>
      </c>
      <c r="BA24" s="39">
        <v>9120100</v>
      </c>
      <c r="BB24" s="39">
        <v>9159100</v>
      </c>
      <c r="BC24" s="39">
        <v>9197800</v>
      </c>
      <c r="BD24" s="39">
        <v>9236500</v>
      </c>
      <c r="BE24" s="39">
        <v>9275200</v>
      </c>
      <c r="BF24" s="39">
        <v>9314000</v>
      </c>
      <c r="BG24" s="39">
        <v>9353100</v>
      </c>
      <c r="BH24" s="39">
        <v>9392500</v>
      </c>
      <c r="BI24" s="39">
        <v>9432200</v>
      </c>
      <c r="BR24" s="39"/>
      <c r="BS24" s="39"/>
      <c r="BT24" s="39"/>
      <c r="BU24" s="39"/>
      <c r="BV24" s="39"/>
      <c r="BW24" s="39"/>
      <c r="BX24" s="39"/>
      <c r="BY24" s="39"/>
      <c r="BZ24" s="39"/>
      <c r="CA24" s="39"/>
    </row>
    <row r="25" spans="1:79" x14ac:dyDescent="0.25">
      <c r="A25" s="5"/>
      <c r="B25" s="3"/>
      <c r="C25" s="25" t="s">
        <v>90</v>
      </c>
      <c r="D25" s="25" t="s">
        <v>82</v>
      </c>
      <c r="E25" s="25"/>
      <c r="F25" s="350" t="s">
        <v>96</v>
      </c>
      <c r="G25" s="3"/>
      <c r="H25" s="3"/>
      <c r="I25" s="3"/>
      <c r="J25" s="3"/>
      <c r="K25" s="17">
        <f t="shared" si="15"/>
        <v>14677900</v>
      </c>
      <c r="L25" s="17">
        <f t="shared" si="15"/>
        <v>15561600</v>
      </c>
      <c r="M25" s="17">
        <f t="shared" si="15"/>
        <v>16411599.999999998</v>
      </c>
      <c r="N25" s="17">
        <f t="shared" si="15"/>
        <v>17195100</v>
      </c>
      <c r="O25" s="17">
        <f t="shared" si="15"/>
        <v>17892000</v>
      </c>
      <c r="P25" s="42">
        <f t="shared" si="17"/>
        <v>18540497.912399907</v>
      </c>
      <c r="Q25" s="42">
        <f t="shared" si="16"/>
        <v>19172286.014397848</v>
      </c>
      <c r="R25" s="38"/>
      <c r="AK25" s="39">
        <v>14322800</v>
      </c>
      <c r="AL25" s="39">
        <v>14501100</v>
      </c>
      <c r="AM25" s="39">
        <v>14677900</v>
      </c>
      <c r="AN25" s="39">
        <v>14856200</v>
      </c>
      <c r="AO25" s="39">
        <v>15033700</v>
      </c>
      <c r="AP25" s="39">
        <v>15210600</v>
      </c>
      <c r="AQ25" s="39">
        <v>15386600</v>
      </c>
      <c r="AR25" s="39">
        <v>15561600</v>
      </c>
      <c r="AS25" s="39">
        <v>15735300</v>
      </c>
      <c r="AT25" s="39">
        <v>15907500</v>
      </c>
      <c r="AU25" s="39">
        <v>16077800</v>
      </c>
      <c r="AV25" s="39">
        <v>16245900</v>
      </c>
      <c r="AW25" s="39">
        <v>16411599.999999998</v>
      </c>
      <c r="AX25" s="39">
        <v>16574500</v>
      </c>
      <c r="AY25" s="39">
        <v>16734500</v>
      </c>
      <c r="AZ25" s="39">
        <v>16891400</v>
      </c>
      <c r="BA25" s="39">
        <v>17044900</v>
      </c>
      <c r="BB25" s="39">
        <v>17195100</v>
      </c>
      <c r="BC25" s="39">
        <v>17341700</v>
      </c>
      <c r="BD25" s="39">
        <v>17484800</v>
      </c>
      <c r="BE25" s="39">
        <v>17624200</v>
      </c>
      <c r="BF25" s="39">
        <v>17759900</v>
      </c>
      <c r="BG25" s="39">
        <v>17892000</v>
      </c>
      <c r="BH25" s="39">
        <v>18020200</v>
      </c>
      <c r="BI25" s="39">
        <v>18144600</v>
      </c>
      <c r="BR25" s="39"/>
      <c r="BS25" s="39"/>
      <c r="BT25" s="39"/>
      <c r="BU25" s="39"/>
      <c r="BV25" s="39"/>
      <c r="BW25" s="39"/>
      <c r="BX25" s="39"/>
      <c r="BY25" s="39"/>
      <c r="BZ25" s="39"/>
      <c r="CA25" s="39"/>
    </row>
    <row r="26" spans="1:79" x14ac:dyDescent="0.25">
      <c r="A26" s="5"/>
      <c r="B26" s="3"/>
      <c r="C26" s="25" t="s">
        <v>91</v>
      </c>
      <c r="D26" s="25" t="s">
        <v>82</v>
      </c>
      <c r="E26" s="25"/>
      <c r="F26" s="350" t="s">
        <v>96</v>
      </c>
      <c r="G26" s="3"/>
      <c r="H26" s="3"/>
      <c r="I26" s="3"/>
      <c r="J26" s="3"/>
      <c r="K26" s="17">
        <f t="shared" si="15"/>
        <v>1381900</v>
      </c>
      <c r="L26" s="17">
        <f t="shared" si="15"/>
        <v>1457800</v>
      </c>
      <c r="M26" s="17">
        <f t="shared" si="15"/>
        <v>1534800</v>
      </c>
      <c r="N26" s="17">
        <f t="shared" si="15"/>
        <v>1612800</v>
      </c>
      <c r="O26" s="17">
        <f t="shared" si="15"/>
        <v>1692500</v>
      </c>
      <c r="P26" s="42">
        <f t="shared" si="17"/>
        <v>1753844.886917999</v>
      </c>
      <c r="Q26" s="42">
        <f t="shared" si="16"/>
        <v>1813609.1034746456</v>
      </c>
      <c r="R26" s="38"/>
      <c r="AK26" s="39">
        <v>1352200</v>
      </c>
      <c r="AL26" s="39">
        <v>1367000</v>
      </c>
      <c r="AM26" s="39">
        <v>1381900</v>
      </c>
      <c r="AN26" s="39">
        <v>1397000</v>
      </c>
      <c r="AO26" s="39">
        <v>1412100</v>
      </c>
      <c r="AP26" s="39">
        <v>1427300</v>
      </c>
      <c r="AQ26" s="39">
        <v>1442500</v>
      </c>
      <c r="AR26" s="39">
        <v>1457800</v>
      </c>
      <c r="AS26" s="39">
        <v>1473100</v>
      </c>
      <c r="AT26" s="39">
        <v>1488500</v>
      </c>
      <c r="AU26" s="39">
        <v>1503900</v>
      </c>
      <c r="AV26" s="39">
        <v>1519300</v>
      </c>
      <c r="AW26" s="39">
        <v>1534800</v>
      </c>
      <c r="AX26" s="39">
        <v>1550300</v>
      </c>
      <c r="AY26" s="39">
        <v>1565900</v>
      </c>
      <c r="AZ26" s="39">
        <v>1581500</v>
      </c>
      <c r="BA26" s="39">
        <v>1597100</v>
      </c>
      <c r="BB26" s="39">
        <v>1612800</v>
      </c>
      <c r="BC26" s="39">
        <v>1628600</v>
      </c>
      <c r="BD26" s="39">
        <v>1644500</v>
      </c>
      <c r="BE26" s="39">
        <v>1660400</v>
      </c>
      <c r="BF26" s="39">
        <v>1676400</v>
      </c>
      <c r="BG26" s="39">
        <v>1692500</v>
      </c>
      <c r="BH26" s="39">
        <v>1708700</v>
      </c>
      <c r="BI26" s="39">
        <v>1725000</v>
      </c>
      <c r="BR26" s="39"/>
      <c r="BS26" s="39"/>
      <c r="BT26" s="39"/>
      <c r="BU26" s="39"/>
      <c r="BV26" s="39"/>
      <c r="BW26" s="39"/>
      <c r="BX26" s="39"/>
      <c r="BY26" s="39"/>
      <c r="BZ26" s="39"/>
      <c r="CA26" s="39"/>
    </row>
    <row r="27" spans="1:79" x14ac:dyDescent="0.25">
      <c r="A27" s="5"/>
      <c r="B27" s="3"/>
      <c r="C27" s="25" t="s">
        <v>92</v>
      </c>
      <c r="D27" s="25" t="s">
        <v>82</v>
      </c>
      <c r="E27" s="25"/>
      <c r="F27" s="350" t="s">
        <v>96</v>
      </c>
      <c r="G27" s="3"/>
      <c r="H27" s="3"/>
      <c r="I27" s="3"/>
      <c r="J27" s="3"/>
      <c r="K27" s="17">
        <f t="shared" si="15"/>
        <v>1195100</v>
      </c>
      <c r="L27" s="17">
        <f t="shared" si="15"/>
        <v>1287000</v>
      </c>
      <c r="M27" s="17">
        <f t="shared" si="15"/>
        <v>1380400</v>
      </c>
      <c r="N27" s="17">
        <f t="shared" si="15"/>
        <v>1468800</v>
      </c>
      <c r="O27" s="17">
        <f t="shared" si="15"/>
        <v>1548700</v>
      </c>
      <c r="P27" s="42">
        <f t="shared" si="17"/>
        <v>1604832.8368507563</v>
      </c>
      <c r="Q27" s="42">
        <f t="shared" si="16"/>
        <v>1659519.3019504778</v>
      </c>
      <c r="R27" s="38"/>
      <c r="AK27" s="39">
        <v>1162100</v>
      </c>
      <c r="AL27" s="39">
        <v>1178200</v>
      </c>
      <c r="AM27" s="39">
        <v>1195100</v>
      </c>
      <c r="AN27" s="39">
        <v>1212900</v>
      </c>
      <c r="AO27" s="39">
        <v>1231100</v>
      </c>
      <c r="AP27" s="39">
        <v>1249500</v>
      </c>
      <c r="AQ27" s="39">
        <v>1268200</v>
      </c>
      <c r="AR27" s="39">
        <v>1287000</v>
      </c>
      <c r="AS27" s="39">
        <v>1305800</v>
      </c>
      <c r="AT27" s="39">
        <v>1324600</v>
      </c>
      <c r="AU27" s="39">
        <v>1343300</v>
      </c>
      <c r="AV27" s="39">
        <v>1361900</v>
      </c>
      <c r="AW27" s="39">
        <v>1380400</v>
      </c>
      <c r="AX27" s="39">
        <v>1398600</v>
      </c>
      <c r="AY27" s="39">
        <v>1416600</v>
      </c>
      <c r="AZ27" s="39">
        <v>1434300</v>
      </c>
      <c r="BA27" s="39">
        <v>1451700</v>
      </c>
      <c r="BB27" s="39">
        <v>1468800</v>
      </c>
      <c r="BC27" s="39">
        <v>1485600</v>
      </c>
      <c r="BD27" s="39">
        <v>1501900</v>
      </c>
      <c r="BE27" s="39">
        <v>1517900</v>
      </c>
      <c r="BF27" s="39">
        <v>1533500</v>
      </c>
      <c r="BG27" s="39">
        <v>1548700</v>
      </c>
      <c r="BH27" s="39">
        <v>1563400</v>
      </c>
      <c r="BI27" s="39">
        <v>1577500</v>
      </c>
      <c r="BR27" s="39"/>
      <c r="BS27" s="39"/>
      <c r="BT27" s="39"/>
      <c r="BU27" s="39"/>
      <c r="BV27" s="39"/>
      <c r="BW27" s="39"/>
      <c r="BX27" s="39"/>
      <c r="BY27" s="39"/>
      <c r="BZ27" s="39"/>
      <c r="CA27" s="39"/>
    </row>
    <row r="28" spans="1:79" x14ac:dyDescent="0.25">
      <c r="A28" s="5"/>
      <c r="B28" s="3"/>
      <c r="C28" s="25" t="s">
        <v>5</v>
      </c>
      <c r="D28" s="25" t="s">
        <v>82</v>
      </c>
      <c r="E28" s="25"/>
      <c r="F28" s="350" t="s">
        <v>96</v>
      </c>
      <c r="G28" s="3"/>
      <c r="H28" s="3"/>
      <c r="I28" s="3"/>
      <c r="J28" s="3"/>
      <c r="K28" s="17">
        <f t="shared" si="15"/>
        <v>4472800</v>
      </c>
      <c r="L28" s="17">
        <f t="shared" si="15"/>
        <v>4908500</v>
      </c>
      <c r="M28" s="17">
        <f t="shared" si="15"/>
        <v>5360500</v>
      </c>
      <c r="N28" s="17">
        <f t="shared" si="15"/>
        <v>5830000</v>
      </c>
      <c r="O28" s="17">
        <f t="shared" si="15"/>
        <v>6317800</v>
      </c>
      <c r="P28" s="42">
        <f t="shared" si="17"/>
        <v>6546789.4987122808</v>
      </c>
      <c r="Q28" s="42">
        <f t="shared" si="16"/>
        <v>6769878.6374783553</v>
      </c>
      <c r="R28" s="38"/>
      <c r="AK28" s="39">
        <v>4307100</v>
      </c>
      <c r="AL28" s="39">
        <v>4389000</v>
      </c>
      <c r="AM28" s="39">
        <v>4472800</v>
      </c>
      <c r="AN28" s="39">
        <v>4558400</v>
      </c>
      <c r="AO28" s="39">
        <v>4644900</v>
      </c>
      <c r="AP28" s="39">
        <v>4732100</v>
      </c>
      <c r="AQ28" s="39">
        <v>4820000</v>
      </c>
      <c r="AR28" s="39">
        <v>4908500</v>
      </c>
      <c r="AS28" s="39">
        <v>4997600</v>
      </c>
      <c r="AT28" s="39">
        <v>5087300</v>
      </c>
      <c r="AU28" s="39">
        <v>5177700</v>
      </c>
      <c r="AV28" s="39">
        <v>5268700</v>
      </c>
      <c r="AW28" s="39">
        <v>5360500</v>
      </c>
      <c r="AX28" s="39">
        <v>5453000</v>
      </c>
      <c r="AY28" s="39">
        <v>5546200</v>
      </c>
      <c r="AZ28" s="39">
        <v>5640100</v>
      </c>
      <c r="BA28" s="39">
        <v>5734700</v>
      </c>
      <c r="BB28" s="39">
        <v>5830000</v>
      </c>
      <c r="BC28" s="39">
        <v>5926100</v>
      </c>
      <c r="BD28" s="39">
        <v>6022900</v>
      </c>
      <c r="BE28" s="39">
        <v>6120500</v>
      </c>
      <c r="BF28" s="39">
        <v>6218800</v>
      </c>
      <c r="BG28" s="39">
        <v>6317800</v>
      </c>
      <c r="BH28" s="39">
        <v>6417600</v>
      </c>
      <c r="BI28" s="39">
        <v>6518100</v>
      </c>
      <c r="BR28" s="39"/>
      <c r="BS28" s="39"/>
      <c r="BT28" s="39"/>
      <c r="BU28" s="39"/>
      <c r="BV28" s="39"/>
      <c r="BW28" s="39"/>
      <c r="BX28" s="39"/>
      <c r="BY28" s="39"/>
      <c r="BZ28" s="39"/>
      <c r="CA28" s="39"/>
    </row>
    <row r="29" spans="1:79" x14ac:dyDescent="0.25">
      <c r="A29" s="5"/>
      <c r="B29" s="3"/>
      <c r="C29" s="25" t="s">
        <v>61</v>
      </c>
      <c r="D29" s="25" t="s">
        <v>82</v>
      </c>
      <c r="E29" s="25"/>
      <c r="F29" s="350" t="s">
        <v>96</v>
      </c>
      <c r="G29" s="3"/>
      <c r="H29" s="3"/>
      <c r="I29" s="3"/>
      <c r="J29" s="3"/>
      <c r="K29" s="17">
        <f t="shared" si="15"/>
        <v>5103500</v>
      </c>
      <c r="L29" s="17">
        <f t="shared" si="15"/>
        <v>5375800</v>
      </c>
      <c r="M29" s="17">
        <f t="shared" si="15"/>
        <v>5632900</v>
      </c>
      <c r="N29" s="17">
        <f t="shared" si="15"/>
        <v>5872900</v>
      </c>
      <c r="O29" s="17">
        <f t="shared" si="15"/>
        <v>6096400</v>
      </c>
      <c r="P29" s="42">
        <f t="shared" si="17"/>
        <v>6317364.8263556212</v>
      </c>
      <c r="Q29" s="42">
        <f t="shared" si="16"/>
        <v>6532636.064060756</v>
      </c>
      <c r="R29" s="38"/>
      <c r="AK29" s="39">
        <v>4991700</v>
      </c>
      <c r="AL29" s="39">
        <v>5048000</v>
      </c>
      <c r="AM29" s="39">
        <v>5103500</v>
      </c>
      <c r="AN29" s="39">
        <v>5159100</v>
      </c>
      <c r="AO29" s="39">
        <v>5214100</v>
      </c>
      <c r="AP29" s="39">
        <v>5268600</v>
      </c>
      <c r="AQ29" s="39">
        <v>5322500</v>
      </c>
      <c r="AR29" s="39">
        <v>5375800</v>
      </c>
      <c r="AS29" s="39">
        <v>5428500</v>
      </c>
      <c r="AT29" s="39">
        <v>5480600</v>
      </c>
      <c r="AU29" s="39">
        <v>5532000</v>
      </c>
      <c r="AV29" s="39">
        <v>5582800</v>
      </c>
      <c r="AW29" s="39">
        <v>5632900</v>
      </c>
      <c r="AX29" s="39">
        <v>5682300</v>
      </c>
      <c r="AY29" s="39">
        <v>5731000</v>
      </c>
      <c r="AZ29" s="39">
        <v>5779000</v>
      </c>
      <c r="BA29" s="39">
        <v>5826300</v>
      </c>
      <c r="BB29" s="39">
        <v>5872900</v>
      </c>
      <c r="BC29" s="39">
        <v>5918800</v>
      </c>
      <c r="BD29" s="39">
        <v>5964100</v>
      </c>
      <c r="BE29" s="39">
        <v>6008800</v>
      </c>
      <c r="BF29" s="39">
        <v>6052900</v>
      </c>
      <c r="BG29" s="39">
        <v>6096400</v>
      </c>
      <c r="BH29" s="39">
        <v>6139500</v>
      </c>
      <c r="BI29" s="39">
        <v>6182100</v>
      </c>
      <c r="BR29" s="39"/>
      <c r="BS29" s="39"/>
      <c r="BT29" s="39"/>
      <c r="BU29" s="39"/>
      <c r="BV29" s="39"/>
      <c r="BW29" s="39"/>
      <c r="BX29" s="39"/>
      <c r="BY29" s="39"/>
      <c r="BZ29" s="39"/>
      <c r="CA29" s="39"/>
    </row>
    <row r="30" spans="1:79" x14ac:dyDescent="0.25">
      <c r="A30" s="5"/>
      <c r="B30" s="3"/>
      <c r="C30" s="25" t="s">
        <v>93</v>
      </c>
      <c r="D30" s="25" t="s">
        <v>82</v>
      </c>
      <c r="E30" s="25"/>
      <c r="F30" s="350" t="s">
        <v>96</v>
      </c>
      <c r="G30" s="3"/>
      <c r="H30" s="3"/>
      <c r="I30" s="3"/>
      <c r="J30" s="3"/>
      <c r="K30" s="17">
        <f t="shared" si="15"/>
        <v>41300</v>
      </c>
      <c r="L30" s="17">
        <f t="shared" si="15"/>
        <v>43500</v>
      </c>
      <c r="M30" s="17">
        <f t="shared" si="15"/>
        <v>45400</v>
      </c>
      <c r="N30" s="17">
        <f t="shared" si="15"/>
        <v>47000</v>
      </c>
      <c r="O30" s="17">
        <f t="shared" si="15"/>
        <v>48300</v>
      </c>
      <c r="P30" s="42">
        <f t="shared" si="17"/>
        <v>50050.63990436594</v>
      </c>
      <c r="Q30" s="42">
        <f t="shared" si="16"/>
        <v>51756.171165627995</v>
      </c>
      <c r="R30" s="38"/>
      <c r="AK30" s="39">
        <v>40500</v>
      </c>
      <c r="AL30" s="39">
        <v>40900</v>
      </c>
      <c r="AM30" s="39">
        <v>41300</v>
      </c>
      <c r="AN30" s="39">
        <v>41800</v>
      </c>
      <c r="AO30" s="39">
        <v>42200</v>
      </c>
      <c r="AP30" s="39">
        <v>42600</v>
      </c>
      <c r="AQ30" s="39">
        <v>43100</v>
      </c>
      <c r="AR30" s="39">
        <v>43500</v>
      </c>
      <c r="AS30" s="39">
        <v>43900</v>
      </c>
      <c r="AT30" s="39">
        <v>44300</v>
      </c>
      <c r="AU30" s="39">
        <v>44600</v>
      </c>
      <c r="AV30" s="39">
        <v>45000</v>
      </c>
      <c r="AW30" s="39">
        <v>45400</v>
      </c>
      <c r="AX30" s="39">
        <v>45700</v>
      </c>
      <c r="AY30" s="39">
        <v>46000</v>
      </c>
      <c r="AZ30" s="39">
        <v>46400</v>
      </c>
      <c r="BA30" s="39">
        <v>46700</v>
      </c>
      <c r="BB30" s="39">
        <v>47000</v>
      </c>
      <c r="BC30" s="39">
        <v>47300</v>
      </c>
      <c r="BD30" s="39">
        <v>47600</v>
      </c>
      <c r="BE30" s="39">
        <v>47800</v>
      </c>
      <c r="BF30" s="39">
        <v>48100</v>
      </c>
      <c r="BG30" s="39">
        <v>48300</v>
      </c>
      <c r="BH30" s="39">
        <v>48600</v>
      </c>
      <c r="BI30" s="39">
        <v>48800</v>
      </c>
      <c r="BR30" s="39"/>
      <c r="BS30" s="39"/>
      <c r="BT30" s="39"/>
      <c r="BU30" s="39"/>
      <c r="BV30" s="39"/>
      <c r="BW30" s="39"/>
      <c r="BX30" s="39"/>
      <c r="BY30" s="39"/>
      <c r="BZ30" s="39"/>
      <c r="CA30" s="39"/>
    </row>
    <row r="31" spans="1:79" x14ac:dyDescent="0.25">
      <c r="A31" s="5"/>
      <c r="B31" s="3"/>
      <c r="C31" s="25" t="s">
        <v>95</v>
      </c>
      <c r="D31" s="25" t="s">
        <v>82</v>
      </c>
      <c r="E31" s="25"/>
      <c r="F31" s="350" t="s">
        <v>96</v>
      </c>
      <c r="G31" s="3"/>
      <c r="H31" s="3"/>
      <c r="I31" s="3"/>
      <c r="J31" s="3"/>
      <c r="K31" s="17">
        <f t="shared" si="15"/>
        <v>45100</v>
      </c>
      <c r="L31" s="17">
        <f t="shared" si="15"/>
        <v>46400</v>
      </c>
      <c r="M31" s="17">
        <f t="shared" si="15"/>
        <v>47400</v>
      </c>
      <c r="N31" s="17">
        <f t="shared" si="15"/>
        <v>48200</v>
      </c>
      <c r="O31" s="17">
        <f t="shared" si="15"/>
        <v>48600</v>
      </c>
      <c r="P31" s="42">
        <f t="shared" si="17"/>
        <v>50361.513444144613</v>
      </c>
      <c r="Q31" s="42">
        <f t="shared" si="16"/>
        <v>52077.638067277854</v>
      </c>
      <c r="R31" s="38"/>
      <c r="AK31" s="39">
        <v>44500</v>
      </c>
      <c r="AL31" s="39">
        <v>44800</v>
      </c>
      <c r="AM31" s="39">
        <v>45100</v>
      </c>
      <c r="AN31" s="39">
        <v>45300</v>
      </c>
      <c r="AO31" s="39">
        <v>45600</v>
      </c>
      <c r="AP31" s="39">
        <v>45900</v>
      </c>
      <c r="AQ31" s="39">
        <v>46100</v>
      </c>
      <c r="AR31" s="39">
        <v>46400</v>
      </c>
      <c r="AS31" s="39">
        <v>46600</v>
      </c>
      <c r="AT31" s="39">
        <v>46800</v>
      </c>
      <c r="AU31" s="39">
        <v>47000</v>
      </c>
      <c r="AV31" s="39">
        <v>47200</v>
      </c>
      <c r="AW31" s="39">
        <v>47400</v>
      </c>
      <c r="AX31" s="39">
        <v>47600</v>
      </c>
      <c r="AY31" s="39">
        <v>47800</v>
      </c>
      <c r="AZ31" s="39">
        <v>47900</v>
      </c>
      <c r="BA31" s="39">
        <v>48100</v>
      </c>
      <c r="BB31" s="39">
        <v>48200</v>
      </c>
      <c r="BC31" s="39">
        <v>48300</v>
      </c>
      <c r="BD31" s="39">
        <v>48400</v>
      </c>
      <c r="BE31" s="39">
        <v>48500</v>
      </c>
      <c r="BF31" s="39">
        <v>48500</v>
      </c>
      <c r="BG31" s="39">
        <v>48600</v>
      </c>
      <c r="BH31" s="39">
        <v>48600</v>
      </c>
      <c r="BI31" s="39">
        <v>48600</v>
      </c>
      <c r="BR31" s="39"/>
      <c r="BS31" s="39"/>
      <c r="BT31" s="39"/>
      <c r="BU31" s="39"/>
      <c r="BV31" s="39"/>
      <c r="BW31" s="39"/>
      <c r="BX31" s="39"/>
      <c r="BY31" s="39"/>
      <c r="BZ31" s="39"/>
      <c r="CA31" s="39"/>
    </row>
    <row r="32" spans="1:79" x14ac:dyDescent="0.25">
      <c r="A32" s="5"/>
      <c r="B32" s="3"/>
      <c r="C32" s="25" t="s">
        <v>94</v>
      </c>
      <c r="D32" s="25" t="s">
        <v>82</v>
      </c>
      <c r="E32" s="25"/>
      <c r="F32" s="350" t="s">
        <v>96</v>
      </c>
      <c r="G32" s="3"/>
      <c r="H32" s="3"/>
      <c r="I32" s="3"/>
      <c r="J32" s="3"/>
      <c r="K32" s="17">
        <f t="shared" si="15"/>
        <v>39300</v>
      </c>
      <c r="L32" s="17">
        <f t="shared" si="15"/>
        <v>41600</v>
      </c>
      <c r="M32" s="17">
        <f t="shared" si="15"/>
        <v>43900</v>
      </c>
      <c r="N32" s="17">
        <f t="shared" si="15"/>
        <v>46400</v>
      </c>
      <c r="O32" s="17">
        <f t="shared" si="15"/>
        <v>48800</v>
      </c>
      <c r="P32" s="42">
        <f t="shared" si="17"/>
        <v>50568.762470663722</v>
      </c>
      <c r="Q32" s="42">
        <f t="shared" si="16"/>
        <v>52291.949335044432</v>
      </c>
      <c r="R32" s="38"/>
      <c r="AK32" s="39">
        <v>38400</v>
      </c>
      <c r="AL32" s="39">
        <v>38900</v>
      </c>
      <c r="AM32" s="39">
        <v>39300</v>
      </c>
      <c r="AN32" s="39">
        <v>39800</v>
      </c>
      <c r="AO32" s="39">
        <v>40200</v>
      </c>
      <c r="AP32" s="39">
        <v>40700</v>
      </c>
      <c r="AQ32" s="39">
        <v>41200</v>
      </c>
      <c r="AR32" s="39">
        <v>41600</v>
      </c>
      <c r="AS32" s="39">
        <v>42100</v>
      </c>
      <c r="AT32" s="39">
        <v>42500</v>
      </c>
      <c r="AU32" s="39">
        <v>43000</v>
      </c>
      <c r="AV32" s="39">
        <v>43400</v>
      </c>
      <c r="AW32" s="39">
        <v>43900</v>
      </c>
      <c r="AX32" s="39">
        <v>44400</v>
      </c>
      <c r="AY32" s="39">
        <v>44900</v>
      </c>
      <c r="AZ32" s="39">
        <v>45400</v>
      </c>
      <c r="BA32" s="39">
        <v>45900</v>
      </c>
      <c r="BB32" s="39">
        <v>46400</v>
      </c>
      <c r="BC32" s="39">
        <v>46800</v>
      </c>
      <c r="BD32" s="39">
        <v>47300</v>
      </c>
      <c r="BE32" s="39">
        <v>47800</v>
      </c>
      <c r="BF32" s="39">
        <v>48300</v>
      </c>
      <c r="BG32" s="39">
        <v>48800</v>
      </c>
      <c r="BH32" s="39">
        <v>49300</v>
      </c>
      <c r="BI32" s="39">
        <v>49800</v>
      </c>
      <c r="BR32" s="39"/>
      <c r="BS32" s="39"/>
      <c r="BT32" s="39"/>
      <c r="BU32" s="39"/>
      <c r="BV32" s="39"/>
      <c r="BW32" s="39"/>
      <c r="BX32" s="39"/>
      <c r="BY32" s="39"/>
      <c r="BZ32" s="39"/>
      <c r="CA32" s="39"/>
    </row>
    <row r="33" spans="1:18" x14ac:dyDescent="0.25">
      <c r="A33" s="5"/>
      <c r="B33" s="3"/>
      <c r="C33" s="3"/>
      <c r="D33" s="3"/>
      <c r="E33" s="3"/>
      <c r="F33" s="14"/>
      <c r="G33" s="3"/>
      <c r="H33" s="3"/>
      <c r="I33" s="3"/>
      <c r="J33" s="3"/>
      <c r="K33" s="34"/>
      <c r="L33" s="34"/>
      <c r="M33" s="34"/>
      <c r="N33" s="34"/>
      <c r="O33" s="34"/>
      <c r="P33" s="34"/>
      <c r="Q33" s="34"/>
      <c r="R33" s="38"/>
    </row>
    <row r="34" spans="1:18" x14ac:dyDescent="0.25">
      <c r="A34" s="5"/>
      <c r="B34" s="3"/>
      <c r="C34" s="3"/>
      <c r="D34" s="3"/>
      <c r="E34" s="3"/>
      <c r="F34" s="14"/>
      <c r="G34" s="3"/>
      <c r="H34" s="3"/>
      <c r="I34" s="3"/>
      <c r="J34" s="3"/>
      <c r="K34" s="34"/>
      <c r="L34" s="34"/>
      <c r="M34" s="34"/>
      <c r="N34" s="34"/>
      <c r="O34" s="34"/>
      <c r="P34" s="34"/>
      <c r="Q34" s="34"/>
      <c r="R34" s="38"/>
    </row>
    <row r="35" spans="1:18" x14ac:dyDescent="0.25">
      <c r="A35" s="5"/>
      <c r="B35" s="3" t="s">
        <v>98</v>
      </c>
      <c r="C35" s="25" t="s">
        <v>48</v>
      </c>
      <c r="D35" s="25" t="s">
        <v>97</v>
      </c>
      <c r="E35" s="25"/>
      <c r="F35" s="16" t="s">
        <v>84</v>
      </c>
      <c r="G35" s="30"/>
      <c r="H35" s="45">
        <f>(H3/G3)^(1/5)-1</f>
        <v>9.9545387219122095E-3</v>
      </c>
      <c r="I35" s="45">
        <f t="shared" ref="I35:Q35" si="18">(I3/H3)^(1/5)-1</f>
        <v>1.069276116045037E-2</v>
      </c>
      <c r="J35" s="45">
        <f t="shared" si="18"/>
        <v>9.7932094088573063E-3</v>
      </c>
      <c r="K35" s="45">
        <f t="shared" si="18"/>
        <v>1.1874913081660665E-2</v>
      </c>
      <c r="L35" s="45">
        <f t="shared" si="18"/>
        <v>1.054676367092533E-2</v>
      </c>
      <c r="M35" s="45">
        <f t="shared" si="18"/>
        <v>9.7042163883949151E-3</v>
      </c>
      <c r="N35" s="45">
        <f t="shared" si="18"/>
        <v>8.7612656083213558E-3</v>
      </c>
      <c r="O35" s="45">
        <f t="shared" si="18"/>
        <v>7.8797725083630255E-3</v>
      </c>
      <c r="P35" s="45">
        <f t="shared" si="18"/>
        <v>7.1461588604009307E-3</v>
      </c>
      <c r="Q35" s="45">
        <f t="shared" si="18"/>
        <v>6.7241832107722832E-3</v>
      </c>
      <c r="R35" s="38"/>
    </row>
    <row r="36" spans="1:18" x14ac:dyDescent="0.25">
      <c r="A36" s="5"/>
      <c r="B36" s="3"/>
      <c r="C36" s="25" t="s">
        <v>85</v>
      </c>
      <c r="D36" s="25" t="s">
        <v>97</v>
      </c>
      <c r="E36" s="25"/>
      <c r="F36" s="16" t="s">
        <v>84</v>
      </c>
      <c r="G36" s="30"/>
      <c r="H36" s="45">
        <f t="shared" ref="H36:Q36" si="19">(H4/G4)^(1/5)-1</f>
        <v>-5.2189171537836421E-3</v>
      </c>
      <c r="I36" s="45">
        <f t="shared" si="19"/>
        <v>2.9675660871815168E-3</v>
      </c>
      <c r="J36" s="45">
        <f t="shared" si="19"/>
        <v>2.329312834649544E-3</v>
      </c>
      <c r="K36" s="45">
        <f t="shared" si="19"/>
        <v>-2.2126913065653175E-3</v>
      </c>
      <c r="L36" s="45">
        <f t="shared" si="19"/>
        <v>-3.4314723963486671E-3</v>
      </c>
      <c r="M36" s="45">
        <f t="shared" si="19"/>
        <v>-4.4809601548809752E-3</v>
      </c>
      <c r="N36" s="45">
        <f t="shared" si="19"/>
        <v>-5.8856072524747782E-3</v>
      </c>
      <c r="O36" s="45">
        <f t="shared" si="19"/>
        <v>-7.2018818907896298E-3</v>
      </c>
      <c r="P36" s="45">
        <f t="shared" si="19"/>
        <v>7.1461588604009307E-3</v>
      </c>
      <c r="Q36" s="45">
        <f t="shared" si="19"/>
        <v>6.7241832107722832E-3</v>
      </c>
      <c r="R36" s="38"/>
    </row>
    <row r="37" spans="1:18" x14ac:dyDescent="0.25">
      <c r="A37" s="5"/>
      <c r="B37" s="3"/>
      <c r="C37" s="25" t="s">
        <v>86</v>
      </c>
      <c r="D37" s="25" t="s">
        <v>97</v>
      </c>
      <c r="E37" s="25"/>
      <c r="F37" s="16" t="s">
        <v>84</v>
      </c>
      <c r="G37" s="30"/>
      <c r="H37" s="45">
        <f t="shared" ref="H37:Q37" si="20">(H5/G5)^(1/5)-1</f>
        <v>2.3252062119700767E-3</v>
      </c>
      <c r="I37" s="45">
        <f t="shared" si="20"/>
        <v>5.147225428461466E-3</v>
      </c>
      <c r="J37" s="45">
        <f t="shared" si="20"/>
        <v>4.0502464677787398E-3</v>
      </c>
      <c r="K37" s="45">
        <f t="shared" si="20"/>
        <v>1.7184491309354177E-2</v>
      </c>
      <c r="L37" s="45">
        <f t="shared" si="20"/>
        <v>1.2878717066848067E-2</v>
      </c>
      <c r="M37" s="45">
        <f t="shared" si="20"/>
        <v>1.1416888135353132E-2</v>
      </c>
      <c r="N37" s="45">
        <f t="shared" si="20"/>
        <v>9.6107791580339885E-3</v>
      </c>
      <c r="O37" s="45">
        <f t="shared" si="20"/>
        <v>7.7168016660342786E-3</v>
      </c>
      <c r="P37" s="45">
        <f t="shared" si="20"/>
        <v>7.1461588604009307E-3</v>
      </c>
      <c r="Q37" s="45">
        <f t="shared" si="20"/>
        <v>6.7241832107722832E-3</v>
      </c>
      <c r="R37" s="38"/>
    </row>
    <row r="38" spans="1:18" x14ac:dyDescent="0.25">
      <c r="A38" s="5"/>
      <c r="B38" s="3"/>
      <c r="C38" s="25" t="s">
        <v>87</v>
      </c>
      <c r="D38" s="25" t="s">
        <v>97</v>
      </c>
      <c r="E38" s="25"/>
      <c r="F38" s="16" t="s">
        <v>84</v>
      </c>
      <c r="G38" s="30"/>
      <c r="H38" s="45">
        <f t="shared" ref="H38:Q38" si="21">(H6/G6)^(1/5)-1</f>
        <v>8.7764162153214365E-4</v>
      </c>
      <c r="I38" s="45">
        <f t="shared" si="21"/>
        <v>8.8995609612352311E-4</v>
      </c>
      <c r="J38" s="45">
        <f t="shared" si="21"/>
        <v>-1.1878218937966256E-3</v>
      </c>
      <c r="K38" s="45">
        <f t="shared" si="21"/>
        <v>6.4458226834105403E-3</v>
      </c>
      <c r="L38" s="45">
        <f t="shared" si="21"/>
        <v>3.4504116425735365E-3</v>
      </c>
      <c r="M38" s="45">
        <f t="shared" si="21"/>
        <v>2.4677174707286031E-3</v>
      </c>
      <c r="N38" s="45">
        <f t="shared" si="21"/>
        <v>1.021902868589164E-3</v>
      </c>
      <c r="O38" s="45">
        <f t="shared" si="21"/>
        <v>-4.9990026990875958E-4</v>
      </c>
      <c r="P38" s="45">
        <f t="shared" si="21"/>
        <v>7.1461588604009307E-3</v>
      </c>
      <c r="Q38" s="45">
        <f t="shared" si="21"/>
        <v>6.7241832107722832E-3</v>
      </c>
      <c r="R38" s="38"/>
    </row>
    <row r="39" spans="1:18" x14ac:dyDescent="0.25">
      <c r="A39" s="5"/>
      <c r="B39" s="3"/>
      <c r="C39" s="25" t="s">
        <v>88</v>
      </c>
      <c r="D39" s="25" t="s">
        <v>97</v>
      </c>
      <c r="E39" s="25"/>
      <c r="F39" s="16" t="s">
        <v>84</v>
      </c>
      <c r="G39" s="30"/>
      <c r="H39" s="45">
        <f t="shared" ref="H39:Q39" si="22">(H7/G7)^(1/5)-1</f>
        <v>-6.5640928967547474E-4</v>
      </c>
      <c r="I39" s="45">
        <f t="shared" si="22"/>
        <v>1.3273860347549071E-3</v>
      </c>
      <c r="J39" s="45">
        <f t="shared" si="22"/>
        <v>1.5375567539832602E-3</v>
      </c>
      <c r="K39" s="45">
        <f t="shared" si="22"/>
        <v>4.3782237953629011E-3</v>
      </c>
      <c r="L39" s="45">
        <f t="shared" si="22"/>
        <v>3.1008744636937813E-3</v>
      </c>
      <c r="M39" s="45">
        <f t="shared" si="22"/>
        <v>2.2495993678550708E-3</v>
      </c>
      <c r="N39" s="45">
        <f t="shared" si="22"/>
        <v>9.2722693444224902E-4</v>
      </c>
      <c r="O39" s="45">
        <f t="shared" si="22"/>
        <v>-5.5039937287038043E-4</v>
      </c>
      <c r="P39" s="45">
        <f t="shared" si="22"/>
        <v>7.1461588604009307E-3</v>
      </c>
      <c r="Q39" s="45">
        <f t="shared" si="22"/>
        <v>6.7241832107722832E-3</v>
      </c>
      <c r="R39" s="38"/>
    </row>
    <row r="40" spans="1:18" x14ac:dyDescent="0.25">
      <c r="A40" s="5"/>
      <c r="B40" s="3"/>
      <c r="C40" s="25" t="s">
        <v>89</v>
      </c>
      <c r="D40" s="25" t="s">
        <v>97</v>
      </c>
      <c r="E40" s="25"/>
      <c r="F40" s="16" t="s">
        <v>84</v>
      </c>
      <c r="G40" s="30"/>
      <c r="H40" s="45">
        <f t="shared" ref="H40:Q40" si="23">(H8/G8)^(1/5)-1</f>
        <v>6.0305757544720784E-3</v>
      </c>
      <c r="I40" s="45">
        <f t="shared" si="23"/>
        <v>9.0097493833043441E-3</v>
      </c>
      <c r="J40" s="45">
        <f t="shared" si="23"/>
        <v>6.1305284421402373E-3</v>
      </c>
      <c r="K40" s="45">
        <f t="shared" si="23"/>
        <v>7.690401767234345E-3</v>
      </c>
      <c r="L40" s="45">
        <f t="shared" si="23"/>
        <v>5.680001380246269E-3</v>
      </c>
      <c r="M40" s="45">
        <f t="shared" si="23"/>
        <v>4.9942099732189771E-3</v>
      </c>
      <c r="N40" s="45">
        <f t="shared" si="23"/>
        <v>4.4298768213724138E-3</v>
      </c>
      <c r="O40" s="45">
        <f t="shared" si="23"/>
        <v>4.2007823676668554E-3</v>
      </c>
      <c r="P40" s="45">
        <f t="shared" si="23"/>
        <v>7.1461588604009307E-3</v>
      </c>
      <c r="Q40" s="45">
        <f t="shared" si="23"/>
        <v>6.7241832107722832E-3</v>
      </c>
      <c r="R40" s="38"/>
    </row>
    <row r="41" spans="1:18" x14ac:dyDescent="0.25">
      <c r="A41" s="5"/>
      <c r="B41" s="3"/>
      <c r="C41" s="25" t="s">
        <v>90</v>
      </c>
      <c r="D41" s="25" t="s">
        <v>97</v>
      </c>
      <c r="E41" s="25"/>
      <c r="F41" s="16" t="s">
        <v>84</v>
      </c>
      <c r="G41" s="30"/>
      <c r="H41" s="45">
        <f t="shared" ref="H41:Q41" si="24">(H9/G9)^(1/5)-1</f>
        <v>1.4069951710261597E-2</v>
      </c>
      <c r="I41" s="45">
        <f t="shared" si="24"/>
        <v>9.5090450166854801E-3</v>
      </c>
      <c r="J41" s="45">
        <f t="shared" si="24"/>
        <v>8.551478269280377E-3</v>
      </c>
      <c r="K41" s="45">
        <f t="shared" si="24"/>
        <v>1.377961592086363E-2</v>
      </c>
      <c r="L41" s="45">
        <f t="shared" si="24"/>
        <v>1.1761302560298281E-2</v>
      </c>
      <c r="M41" s="45">
        <f t="shared" si="24"/>
        <v>1.0693179850291612E-2</v>
      </c>
      <c r="N41" s="45">
        <f t="shared" si="24"/>
        <v>9.3708455208736385E-3</v>
      </c>
      <c r="O41" s="45">
        <f t="shared" si="24"/>
        <v>7.9774972183463966E-3</v>
      </c>
      <c r="P41" s="45">
        <f t="shared" si="24"/>
        <v>7.1461588604009307E-3</v>
      </c>
      <c r="Q41" s="45">
        <f t="shared" si="24"/>
        <v>6.7241832107722832E-3</v>
      </c>
      <c r="R41" s="38"/>
    </row>
    <row r="42" spans="1:18" x14ac:dyDescent="0.25">
      <c r="A42" s="5"/>
      <c r="B42" s="3"/>
      <c r="C42" s="25" t="s">
        <v>91</v>
      </c>
      <c r="D42" s="25" t="s">
        <v>97</v>
      </c>
      <c r="E42" s="25"/>
      <c r="F42" s="16" t="s">
        <v>84</v>
      </c>
      <c r="G42" s="30"/>
      <c r="H42" s="45">
        <f t="shared" ref="H42:Q42" si="25">(H10/G10)^(1/5)-1</f>
        <v>5.338093533967081E-3</v>
      </c>
      <c r="I42" s="45">
        <f t="shared" si="25"/>
        <v>7.1147564544709052E-3</v>
      </c>
      <c r="J42" s="45">
        <f t="shared" si="25"/>
        <v>1.14403636533007E-2</v>
      </c>
      <c r="K42" s="45">
        <f t="shared" si="25"/>
        <v>1.3508886965546418E-2</v>
      </c>
      <c r="L42" s="45">
        <f t="shared" si="25"/>
        <v>1.075120045736111E-2</v>
      </c>
      <c r="M42" s="45">
        <f t="shared" si="25"/>
        <v>1.0347494746893116E-2</v>
      </c>
      <c r="N42" s="45">
        <f t="shared" si="25"/>
        <v>9.9636538321570267E-3</v>
      </c>
      <c r="O42" s="45">
        <f t="shared" si="25"/>
        <v>9.6936675386265492E-3</v>
      </c>
      <c r="P42" s="45">
        <f t="shared" si="25"/>
        <v>7.1461588604009307E-3</v>
      </c>
      <c r="Q42" s="45">
        <f t="shared" si="25"/>
        <v>6.7241832107722832E-3</v>
      </c>
      <c r="R42" s="38"/>
    </row>
    <row r="43" spans="1:18" x14ac:dyDescent="0.25">
      <c r="A43" s="5"/>
      <c r="B43" s="3"/>
      <c r="C43" s="25" t="s">
        <v>92</v>
      </c>
      <c r="D43" s="25" t="s">
        <v>97</v>
      </c>
      <c r="E43" s="25"/>
      <c r="F43" s="16" t="s">
        <v>84</v>
      </c>
      <c r="G43" s="30"/>
      <c r="H43" s="45">
        <f t="shared" ref="H43:Q43" si="26">(H11/G11)^(1/5)-1</f>
        <v>-2.8076004725260395E-3</v>
      </c>
      <c r="I43" s="45">
        <f t="shared" si="26"/>
        <v>1.1401451378031835E-2</v>
      </c>
      <c r="J43" s="45">
        <f t="shared" si="26"/>
        <v>1.2887983164340922E-2</v>
      </c>
      <c r="K43" s="45">
        <f t="shared" si="26"/>
        <v>1.2890000636277321E-2</v>
      </c>
      <c r="L43" s="45">
        <f t="shared" si="26"/>
        <v>1.4927126073860153E-2</v>
      </c>
      <c r="M43" s="45">
        <f t="shared" si="26"/>
        <v>1.4110503179086908E-2</v>
      </c>
      <c r="N43" s="45">
        <f t="shared" si="26"/>
        <v>1.2491865334220531E-2</v>
      </c>
      <c r="O43" s="45">
        <f t="shared" si="26"/>
        <v>1.0650341074533554E-2</v>
      </c>
      <c r="P43" s="45">
        <f t="shared" si="26"/>
        <v>7.1461588604009307E-3</v>
      </c>
      <c r="Q43" s="45">
        <f t="shared" si="26"/>
        <v>6.7241832107722832E-3</v>
      </c>
      <c r="R43" s="38"/>
    </row>
    <row r="44" spans="1:18" x14ac:dyDescent="0.25">
      <c r="A44" s="5"/>
      <c r="B44" s="3"/>
      <c r="C44" s="25" t="s">
        <v>5</v>
      </c>
      <c r="D44" s="25" t="s">
        <v>97</v>
      </c>
      <c r="E44" s="25"/>
      <c r="F44" s="16" t="s">
        <v>84</v>
      </c>
      <c r="G44" s="30"/>
      <c r="H44" s="45">
        <f t="shared" ref="H44:Q44" si="27">(H12/G12)^(1/5)-1</f>
        <v>2.0300616049666598E-2</v>
      </c>
      <c r="I44" s="45">
        <f t="shared" si="27"/>
        <v>2.3567236532474389E-2</v>
      </c>
      <c r="J44" s="45">
        <f t="shared" si="27"/>
        <v>2.1184007253333803E-2</v>
      </c>
      <c r="K44" s="45">
        <f t="shared" si="27"/>
        <v>1.5363753015578352E-2</v>
      </c>
      <c r="L44" s="45">
        <f t="shared" si="27"/>
        <v>1.8764641082132716E-2</v>
      </c>
      <c r="M44" s="45">
        <f t="shared" si="27"/>
        <v>1.7773879984306573E-2</v>
      </c>
      <c r="N44" s="45">
        <f t="shared" si="27"/>
        <v>1.693372644913671E-2</v>
      </c>
      <c r="O44" s="45">
        <f t="shared" si="27"/>
        <v>1.6200639198488354E-2</v>
      </c>
      <c r="P44" s="45">
        <f t="shared" si="27"/>
        <v>7.1461588604009307E-3</v>
      </c>
      <c r="Q44" s="45">
        <f t="shared" si="27"/>
        <v>6.7241832107722832E-3</v>
      </c>
      <c r="R44" s="38"/>
    </row>
    <row r="45" spans="1:18" x14ac:dyDescent="0.25">
      <c r="A45" s="5"/>
      <c r="B45" s="3"/>
      <c r="C45" s="25" t="s">
        <v>61</v>
      </c>
      <c r="D45" s="25" t="s">
        <v>97</v>
      </c>
      <c r="E45" s="25"/>
      <c r="F45" s="16" t="s">
        <v>84</v>
      </c>
      <c r="G45" s="30"/>
      <c r="H45" s="45">
        <f t="shared" ref="H45:Q45" si="28">(H13/G13)^(1/5)-1</f>
        <v>7.6475717673321064E-3</v>
      </c>
      <c r="I45" s="45">
        <f t="shared" si="28"/>
        <v>1.2526816395749707E-2</v>
      </c>
      <c r="J45" s="45">
        <f t="shared" si="28"/>
        <v>1.3549599164150106E-2</v>
      </c>
      <c r="K45" s="45">
        <f t="shared" si="28"/>
        <v>1.3336542117141637E-2</v>
      </c>
      <c r="L45" s="45">
        <f t="shared" si="28"/>
        <v>1.0450392130632036E-2</v>
      </c>
      <c r="M45" s="45">
        <f t="shared" si="28"/>
        <v>9.3871872537927281E-3</v>
      </c>
      <c r="N45" s="45">
        <f t="shared" si="28"/>
        <v>8.3797435527874775E-3</v>
      </c>
      <c r="O45" s="45">
        <f t="shared" si="28"/>
        <v>7.4979466190987498E-3</v>
      </c>
      <c r="P45" s="45">
        <f t="shared" si="28"/>
        <v>7.1461588604009307E-3</v>
      </c>
      <c r="Q45" s="45">
        <f t="shared" si="28"/>
        <v>6.7241832107722832E-3</v>
      </c>
      <c r="R45" s="38"/>
    </row>
    <row r="46" spans="1:18" x14ac:dyDescent="0.25">
      <c r="A46" s="5"/>
      <c r="B46" s="3"/>
      <c r="C46" s="25" t="s">
        <v>93</v>
      </c>
      <c r="D46" s="25" t="s">
        <v>97</v>
      </c>
      <c r="E46" s="25"/>
      <c r="F46" s="16" t="s">
        <v>84</v>
      </c>
      <c r="G46" s="30"/>
      <c r="H46" s="45">
        <f t="shared" ref="H46:Q46" si="29">(H14/G14)^(1/5)-1</f>
        <v>9.4860860000329783E-3</v>
      </c>
      <c r="I46" s="45">
        <f t="shared" si="29"/>
        <v>1.6346031075593404E-2</v>
      </c>
      <c r="J46" s="45">
        <f t="shared" si="29"/>
        <v>1.7278930866397202E-2</v>
      </c>
      <c r="K46" s="45">
        <f t="shared" si="29"/>
        <v>1.8461890330144337E-2</v>
      </c>
      <c r="L46" s="45">
        <f t="shared" si="29"/>
        <v>1.043374344876602E-2</v>
      </c>
      <c r="M46" s="45">
        <f t="shared" si="29"/>
        <v>8.5868910387139064E-3</v>
      </c>
      <c r="N46" s="45">
        <f t="shared" si="29"/>
        <v>6.9511471803411773E-3</v>
      </c>
      <c r="O46" s="45">
        <f t="shared" si="29"/>
        <v>5.4717071957588459E-3</v>
      </c>
      <c r="P46" s="45">
        <f t="shared" si="29"/>
        <v>7.1461588604009307E-3</v>
      </c>
      <c r="Q46" s="45">
        <f t="shared" si="29"/>
        <v>6.7241832107722832E-3</v>
      </c>
      <c r="R46" s="38"/>
    </row>
    <row r="47" spans="1:18" x14ac:dyDescent="0.25">
      <c r="A47" s="5"/>
      <c r="B47" s="3"/>
      <c r="C47" s="25" t="s">
        <v>95</v>
      </c>
      <c r="D47" s="25" t="s">
        <v>97</v>
      </c>
      <c r="E47" s="25"/>
      <c r="F47" s="16" t="s">
        <v>84</v>
      </c>
      <c r="G47" s="30"/>
      <c r="H47" s="45">
        <f t="shared" ref="H47:Q47" si="30">(H15/G15)^(1/5)-1</f>
        <v>1.4027761729257904E-2</v>
      </c>
      <c r="I47" s="45">
        <f t="shared" si="30"/>
        <v>-5.3051651404789624E-4</v>
      </c>
      <c r="J47" s="45">
        <f t="shared" si="30"/>
        <v>4.3605573447920154E-3</v>
      </c>
      <c r="K47" s="45">
        <f t="shared" si="30"/>
        <v>3.8716161230409885E-3</v>
      </c>
      <c r="L47" s="45">
        <f t="shared" si="30"/>
        <v>5.6996239451236885E-3</v>
      </c>
      <c r="M47" s="45">
        <f t="shared" si="30"/>
        <v>4.2736600436747985E-3</v>
      </c>
      <c r="N47" s="45">
        <f t="shared" si="30"/>
        <v>3.3529671317917842E-3</v>
      </c>
      <c r="O47" s="45">
        <f t="shared" si="30"/>
        <v>1.6542687653957611E-3</v>
      </c>
      <c r="P47" s="45">
        <f t="shared" si="30"/>
        <v>7.1461588604009307E-3</v>
      </c>
      <c r="Q47" s="45">
        <f t="shared" si="30"/>
        <v>6.7241832107722832E-3</v>
      </c>
      <c r="R47" s="38"/>
    </row>
    <row r="48" spans="1:18" x14ac:dyDescent="0.25">
      <c r="A48" s="5"/>
      <c r="B48" s="3"/>
      <c r="C48" s="25" t="s">
        <v>94</v>
      </c>
      <c r="D48" s="25" t="s">
        <v>97</v>
      </c>
      <c r="E48" s="25"/>
      <c r="F48" s="16" t="s">
        <v>84</v>
      </c>
      <c r="G48" s="30"/>
      <c r="H48" s="45">
        <f t="shared" ref="H48:Q48" si="31">(H16/G16)^(1/5)-1</f>
        <v>1.98587606594538E-2</v>
      </c>
      <c r="I48" s="45">
        <f t="shared" si="31"/>
        <v>1.9117182726834603E-2</v>
      </c>
      <c r="J48" s="45">
        <f t="shared" si="31"/>
        <v>1.8135628661466674E-2</v>
      </c>
      <c r="K48" s="45">
        <f t="shared" si="31"/>
        <v>1.4958998278574498E-2</v>
      </c>
      <c r="L48" s="45">
        <f t="shared" si="31"/>
        <v>1.1440072476652574E-2</v>
      </c>
      <c r="M48" s="45">
        <f t="shared" si="31"/>
        <v>1.0820958175685957E-2</v>
      </c>
      <c r="N48" s="45">
        <f t="shared" si="31"/>
        <v>1.1138605257920542E-2</v>
      </c>
      <c r="O48" s="45">
        <f t="shared" si="31"/>
        <v>1.013720758985226E-2</v>
      </c>
      <c r="P48" s="45">
        <f t="shared" si="31"/>
        <v>7.1461588604009307E-3</v>
      </c>
      <c r="Q48" s="45">
        <f t="shared" si="31"/>
        <v>6.7241832107722832E-3</v>
      </c>
      <c r="R48" s="38"/>
    </row>
    <row r="49" spans="1:69" x14ac:dyDescent="0.25">
      <c r="A49" s="5"/>
      <c r="B49" s="25"/>
      <c r="C49" s="25"/>
      <c r="D49" s="25"/>
      <c r="E49" s="25"/>
      <c r="F49" s="16"/>
      <c r="G49" s="30"/>
      <c r="H49" s="30"/>
      <c r="I49" s="30"/>
      <c r="J49" s="30"/>
      <c r="K49" s="17"/>
      <c r="L49" s="17"/>
      <c r="M49" s="17"/>
      <c r="N49" s="17"/>
      <c r="O49" s="17"/>
      <c r="P49" s="17"/>
      <c r="Q49" s="17"/>
      <c r="R49" s="38"/>
    </row>
    <row r="50" spans="1:69" s="52" customFormat="1" ht="15.75" thickBot="1" x14ac:dyDescent="0.3">
      <c r="A50" s="46"/>
      <c r="B50" s="47"/>
      <c r="C50" s="47"/>
      <c r="D50" s="47"/>
      <c r="E50" s="47"/>
      <c r="F50" s="48"/>
      <c r="G50" s="49"/>
      <c r="H50" s="49"/>
      <c r="I50" s="49"/>
      <c r="J50" s="49"/>
      <c r="K50" s="50"/>
      <c r="L50" s="50"/>
      <c r="M50" s="50"/>
      <c r="N50" s="50"/>
      <c r="O50" s="50"/>
      <c r="P50" s="50"/>
      <c r="Q50" s="50"/>
      <c r="R50" s="46"/>
      <c r="S50" s="51"/>
      <c r="T50" s="51"/>
      <c r="U50" s="51"/>
      <c r="V50" s="51"/>
      <c r="W50" s="51"/>
      <c r="X50" s="51"/>
      <c r="Y50" s="51"/>
      <c r="Z50" s="51"/>
      <c r="AA50" s="51"/>
      <c r="AB50" s="51"/>
      <c r="AC50" s="51"/>
      <c r="AD50" s="51"/>
      <c r="AE50" s="51"/>
      <c r="AF50" s="51"/>
      <c r="AG50" s="51"/>
      <c r="AH50" s="51"/>
      <c r="AI50" s="51"/>
      <c r="AJ50" s="51"/>
      <c r="AK50" s="51"/>
      <c r="AL50" s="51"/>
      <c r="AM50" s="51"/>
      <c r="AN50" s="51"/>
      <c r="AO50" s="51"/>
      <c r="AP50" s="51"/>
      <c r="AQ50" s="51"/>
      <c r="AR50" s="51"/>
      <c r="AS50" s="51"/>
      <c r="AT50" s="51"/>
      <c r="AU50" s="51"/>
      <c r="AV50" s="51"/>
      <c r="AW50" s="51"/>
      <c r="AX50" s="51"/>
      <c r="AY50" s="51"/>
      <c r="AZ50" s="51"/>
      <c r="BA50" s="51"/>
      <c r="BB50" s="51"/>
      <c r="BC50" s="51"/>
      <c r="BD50" s="51"/>
      <c r="BE50" s="51"/>
      <c r="BF50" s="51"/>
      <c r="BG50" s="51"/>
      <c r="BH50" s="51"/>
      <c r="BI50" s="51"/>
      <c r="BJ50" s="51"/>
      <c r="BK50" s="51"/>
      <c r="BL50" s="51"/>
      <c r="BM50" s="51"/>
      <c r="BN50" s="51"/>
      <c r="BO50" s="51"/>
      <c r="BP50" s="51"/>
      <c r="BQ50" s="51"/>
    </row>
    <row r="51" spans="1:69" x14ac:dyDescent="0.25">
      <c r="A51" s="5"/>
      <c r="B51" s="25"/>
      <c r="C51" s="25"/>
      <c r="D51" s="25"/>
      <c r="E51" s="25"/>
      <c r="F51" s="16"/>
      <c r="G51" s="30"/>
      <c r="H51" s="30"/>
      <c r="I51" s="30"/>
      <c r="J51" s="30"/>
      <c r="K51" s="17"/>
      <c r="L51" s="17"/>
      <c r="M51" s="17"/>
      <c r="N51" s="17"/>
      <c r="O51" s="17"/>
      <c r="P51" s="17"/>
      <c r="Q51" s="17"/>
      <c r="R51" s="38"/>
    </row>
    <row r="52" spans="1:69" x14ac:dyDescent="0.25">
      <c r="A52" s="5"/>
      <c r="B52" s="25" t="s">
        <v>44</v>
      </c>
      <c r="C52" s="25" t="s">
        <v>48</v>
      </c>
      <c r="D52" s="25" t="s">
        <v>327</v>
      </c>
      <c r="E52" s="25">
        <v>2012</v>
      </c>
      <c r="F52" s="27" t="s">
        <v>83</v>
      </c>
      <c r="G52" s="17">
        <f t="shared" ref="G52:J65" si="32">INDEX($S52:$CA52,MATCH(G$1,$S$1:$CA$1,0))</f>
        <v>1459303</v>
      </c>
      <c r="H52" s="17">
        <f t="shared" si="32"/>
        <v>1650884</v>
      </c>
      <c r="I52" s="17">
        <f t="shared" si="32"/>
        <v>1739847</v>
      </c>
      <c r="J52" s="17">
        <f t="shared" si="32"/>
        <v>1932903</v>
      </c>
      <c r="K52" s="42">
        <f>K$69*$J52/$J$69</f>
        <v>2141643.4253889425</v>
      </c>
      <c r="L52" s="42">
        <f t="shared" ref="L52:Q52" si="33">L$69*$J52/$J$69</f>
        <v>2316572.3239389705</v>
      </c>
      <c r="M52" s="42">
        <f t="shared" si="33"/>
        <v>2525561.0785171753</v>
      </c>
      <c r="N52" s="42">
        <f t="shared" si="33"/>
        <v>2770764.330310679</v>
      </c>
      <c r="O52" s="42">
        <f t="shared" si="33"/>
        <v>3048468.9778990773</v>
      </c>
      <c r="P52" s="42">
        <f t="shared" si="33"/>
        <v>3358311.465306255</v>
      </c>
      <c r="Q52" s="42">
        <f t="shared" si="33"/>
        <v>3698121.897248189</v>
      </c>
      <c r="R52" s="38"/>
      <c r="S52" s="39">
        <v>1459303</v>
      </c>
      <c r="T52" s="39">
        <v>1480882</v>
      </c>
      <c r="U52" s="39">
        <v>1523798</v>
      </c>
      <c r="V52" s="39">
        <v>1552248</v>
      </c>
      <c r="W52" s="39">
        <v>1599109</v>
      </c>
      <c r="X52" s="39">
        <v>1650884</v>
      </c>
      <c r="Y52" s="39">
        <v>1690842</v>
      </c>
      <c r="Z52" s="39">
        <v>1728715</v>
      </c>
      <c r="AA52" s="39">
        <v>1745965</v>
      </c>
      <c r="AB52" s="39">
        <v>1690588</v>
      </c>
      <c r="AC52" s="39">
        <v>1739847</v>
      </c>
      <c r="AD52" s="39">
        <v>1794205</v>
      </c>
      <c r="AE52" s="39">
        <v>1822826</v>
      </c>
      <c r="AF52" s="39">
        <v>1866725</v>
      </c>
      <c r="AG52" s="39">
        <v>1921118</v>
      </c>
      <c r="AH52" s="39">
        <v>1932903</v>
      </c>
      <c r="AI52" s="39">
        <v>1948574</v>
      </c>
      <c r="AJ52" s="39">
        <v>2016000</v>
      </c>
    </row>
    <row r="53" spans="1:69" x14ac:dyDescent="0.25">
      <c r="A53" s="5"/>
      <c r="B53" s="25"/>
      <c r="C53" s="25" t="s">
        <v>85</v>
      </c>
      <c r="D53" s="25" t="s">
        <v>327</v>
      </c>
      <c r="E53" s="25">
        <v>2012</v>
      </c>
      <c r="F53" s="27" t="s">
        <v>83</v>
      </c>
      <c r="G53" s="17">
        <f t="shared" si="32"/>
        <v>24966</v>
      </c>
      <c r="H53" s="17">
        <f t="shared" si="32"/>
        <v>30675</v>
      </c>
      <c r="I53" s="17">
        <f t="shared" si="32"/>
        <v>31709</v>
      </c>
      <c r="J53" s="17">
        <f t="shared" si="32"/>
        <v>32777</v>
      </c>
      <c r="K53" s="42">
        <f>$J53/SUM($J$53:$J$65)*K$52</f>
        <v>36329.493481584082</v>
      </c>
      <c r="L53" s="42">
        <f t="shared" ref="L53:Q65" si="34">$J53/SUM($J$53:$J$65)*L$52</f>
        <v>39296.877409401008</v>
      </c>
      <c r="M53" s="42">
        <f t="shared" si="34"/>
        <v>42842.031335197222</v>
      </c>
      <c r="N53" s="42">
        <f t="shared" si="34"/>
        <v>47001.505238317914</v>
      </c>
      <c r="O53" s="42">
        <f t="shared" si="34"/>
        <v>51712.312399195354</v>
      </c>
      <c r="P53" s="42">
        <f t="shared" si="34"/>
        <v>56968.285682671616</v>
      </c>
      <c r="Q53" s="42">
        <f t="shared" si="34"/>
        <v>62732.616348485775</v>
      </c>
      <c r="R53" s="38"/>
      <c r="S53" s="39">
        <v>24966</v>
      </c>
      <c r="T53" s="39">
        <v>25392</v>
      </c>
      <c r="U53" s="39">
        <v>28283</v>
      </c>
      <c r="V53" s="39">
        <v>30138</v>
      </c>
      <c r="W53" s="39">
        <v>29901</v>
      </c>
      <c r="X53" s="39">
        <v>30675</v>
      </c>
      <c r="Y53" s="39">
        <v>31308</v>
      </c>
      <c r="Z53" s="39">
        <v>33976</v>
      </c>
      <c r="AA53" s="39">
        <v>33515</v>
      </c>
      <c r="AB53" s="39">
        <v>30298</v>
      </c>
      <c r="AC53" s="39">
        <v>31709</v>
      </c>
      <c r="AD53" s="39">
        <v>32998</v>
      </c>
      <c r="AE53" s="39">
        <v>32034</v>
      </c>
      <c r="AF53" s="39">
        <v>33546</v>
      </c>
      <c r="AG53" s="39">
        <v>33278</v>
      </c>
      <c r="AH53" s="39">
        <v>32777</v>
      </c>
      <c r="AI53" s="39">
        <v>34182</v>
      </c>
      <c r="AJ53" s="39">
        <v>34531</v>
      </c>
    </row>
    <row r="54" spans="1:69" x14ac:dyDescent="0.25">
      <c r="A54" s="5"/>
      <c r="B54" s="25"/>
      <c r="C54" s="25" t="s">
        <v>86</v>
      </c>
      <c r="D54" s="25" t="s">
        <v>327</v>
      </c>
      <c r="E54" s="25">
        <v>2012</v>
      </c>
      <c r="F54" s="27" t="s">
        <v>83</v>
      </c>
      <c r="G54" s="17">
        <f t="shared" si="32"/>
        <v>4547</v>
      </c>
      <c r="H54" s="17">
        <f t="shared" si="32"/>
        <v>5096</v>
      </c>
      <c r="I54" s="17">
        <f t="shared" si="32"/>
        <v>5416</v>
      </c>
      <c r="J54" s="17">
        <f t="shared" si="32"/>
        <v>5846</v>
      </c>
      <c r="K54" s="42">
        <f t="shared" ref="K54:K65" si="35">$J54/SUM($J$53:$J$65)*K$52</f>
        <v>6479.6112790475208</v>
      </c>
      <c r="L54" s="42">
        <f t="shared" si="34"/>
        <v>7008.8643053164815</v>
      </c>
      <c r="M54" s="42">
        <f t="shared" si="34"/>
        <v>7641.1665248669187</v>
      </c>
      <c r="N54" s="42">
        <f t="shared" si="34"/>
        <v>8383.0368741253496</v>
      </c>
      <c r="O54" s="42">
        <f t="shared" si="34"/>
        <v>9223.2412449490821</v>
      </c>
      <c r="P54" s="42">
        <f t="shared" si="34"/>
        <v>10160.67968700303</v>
      </c>
      <c r="Q54" s="42">
        <f t="shared" si="34"/>
        <v>11188.787112098358</v>
      </c>
      <c r="R54" s="38"/>
      <c r="S54" s="39">
        <v>4547</v>
      </c>
      <c r="T54" s="39">
        <v>4481</v>
      </c>
      <c r="U54" s="39">
        <v>4663</v>
      </c>
      <c r="V54" s="39">
        <v>4784</v>
      </c>
      <c r="W54" s="39">
        <v>4939</v>
      </c>
      <c r="X54" s="39">
        <v>5096</v>
      </c>
      <c r="Y54" s="39">
        <v>5234</v>
      </c>
      <c r="Z54" s="39">
        <v>5226</v>
      </c>
      <c r="AA54" s="39">
        <v>5240</v>
      </c>
      <c r="AB54" s="39">
        <v>5303</v>
      </c>
      <c r="AC54" s="39">
        <v>5416</v>
      </c>
      <c r="AD54" s="39">
        <v>5525</v>
      </c>
      <c r="AE54" s="39">
        <v>5572</v>
      </c>
      <c r="AF54" s="39">
        <v>5717</v>
      </c>
      <c r="AG54" s="39">
        <v>5735</v>
      </c>
      <c r="AH54" s="39">
        <v>5846</v>
      </c>
      <c r="AI54" s="39">
        <v>5944</v>
      </c>
      <c r="AJ54" s="39">
        <v>6151</v>
      </c>
    </row>
    <row r="55" spans="1:69" x14ac:dyDescent="0.25">
      <c r="A55" s="5"/>
      <c r="B55" s="25"/>
      <c r="C55" s="25" t="s">
        <v>87</v>
      </c>
      <c r="D55" s="25" t="s">
        <v>327</v>
      </c>
      <c r="E55" s="25">
        <v>2012</v>
      </c>
      <c r="F55" s="27" t="s">
        <v>83</v>
      </c>
      <c r="G55" s="17">
        <f t="shared" si="32"/>
        <v>32641</v>
      </c>
      <c r="H55" s="17">
        <f t="shared" si="32"/>
        <v>35996</v>
      </c>
      <c r="I55" s="17">
        <f t="shared" si="32"/>
        <v>38443</v>
      </c>
      <c r="J55" s="17">
        <f t="shared" si="32"/>
        <v>38279</v>
      </c>
      <c r="K55" s="42">
        <f t="shared" si="35"/>
        <v>42427.820757896006</v>
      </c>
      <c r="L55" s="42">
        <f t="shared" si="34"/>
        <v>45893.314530141906</v>
      </c>
      <c r="M55" s="42">
        <f t="shared" si="34"/>
        <v>50033.563702596781</v>
      </c>
      <c r="N55" s="42">
        <f t="shared" si="34"/>
        <v>54891.253592994224</v>
      </c>
      <c r="O55" s="42">
        <f t="shared" si="34"/>
        <v>60392.8244295939</v>
      </c>
      <c r="P55" s="42">
        <f t="shared" si="34"/>
        <v>66531.073851999477</v>
      </c>
      <c r="Q55" s="42">
        <f t="shared" si="34"/>
        <v>73263.014345537638</v>
      </c>
      <c r="R55" s="38"/>
      <c r="S55" s="39">
        <v>32641</v>
      </c>
      <c r="T55" s="39">
        <v>33660</v>
      </c>
      <c r="U55" s="39">
        <v>34864</v>
      </c>
      <c r="V55" s="39">
        <v>35289</v>
      </c>
      <c r="W55" s="39">
        <v>35586</v>
      </c>
      <c r="X55" s="39">
        <v>35996</v>
      </c>
      <c r="Y55" s="39">
        <v>36113</v>
      </c>
      <c r="Z55" s="39">
        <v>36436</v>
      </c>
      <c r="AA55" s="39">
        <v>37137</v>
      </c>
      <c r="AB55" s="39">
        <v>37295</v>
      </c>
      <c r="AC55" s="39">
        <v>38443</v>
      </c>
      <c r="AD55" s="39">
        <v>38670</v>
      </c>
      <c r="AE55" s="39">
        <v>37835</v>
      </c>
      <c r="AF55" s="39">
        <v>37674</v>
      </c>
      <c r="AG55" s="39">
        <v>37947</v>
      </c>
      <c r="AH55" s="39">
        <v>38279</v>
      </c>
      <c r="AI55" s="39">
        <v>38778</v>
      </c>
      <c r="AJ55" s="39">
        <v>39360</v>
      </c>
    </row>
    <row r="56" spans="1:69" x14ac:dyDescent="0.25">
      <c r="A56" s="5"/>
      <c r="B56" s="25"/>
      <c r="C56" s="25" t="s">
        <v>88</v>
      </c>
      <c r="D56" s="25" t="s">
        <v>327</v>
      </c>
      <c r="E56" s="25">
        <v>2012</v>
      </c>
      <c r="F56" s="27" t="s">
        <v>83</v>
      </c>
      <c r="G56" s="17">
        <f t="shared" si="32"/>
        <v>27011</v>
      </c>
      <c r="H56" s="17">
        <f t="shared" si="32"/>
        <v>30221</v>
      </c>
      <c r="I56" s="17">
        <f t="shared" si="32"/>
        <v>31836</v>
      </c>
      <c r="J56" s="17">
        <f t="shared" si="32"/>
        <v>31882</v>
      </c>
      <c r="K56" s="42">
        <f t="shared" si="35"/>
        <v>35337.490044234182</v>
      </c>
      <c r="L56" s="42">
        <f t="shared" si="34"/>
        <v>38223.847379763945</v>
      </c>
      <c r="M56" s="42">
        <f t="shared" si="34"/>
        <v>41672.198280158584</v>
      </c>
      <c r="N56" s="42">
        <f t="shared" si="34"/>
        <v>45718.094700797868</v>
      </c>
      <c r="O56" s="42">
        <f t="shared" si="34"/>
        <v>50300.26982064089</v>
      </c>
      <c r="P56" s="42">
        <f t="shared" si="34"/>
        <v>55412.724902673719</v>
      </c>
      <c r="Q56" s="42">
        <f t="shared" si="34"/>
        <v>61019.656296257235</v>
      </c>
      <c r="R56" s="38"/>
      <c r="S56" s="39">
        <v>27011</v>
      </c>
      <c r="T56" s="39">
        <v>27561</v>
      </c>
      <c r="U56" s="39">
        <v>28649</v>
      </c>
      <c r="V56" s="39">
        <v>29349</v>
      </c>
      <c r="W56" s="39">
        <v>30072</v>
      </c>
      <c r="X56" s="39">
        <v>30221</v>
      </c>
      <c r="Y56" s="39">
        <v>30599</v>
      </c>
      <c r="Z56" s="39">
        <v>30983</v>
      </c>
      <c r="AA56" s="39">
        <v>31275</v>
      </c>
      <c r="AB56" s="39">
        <v>31227</v>
      </c>
      <c r="AC56" s="39">
        <v>31836</v>
      </c>
      <c r="AD56" s="39">
        <v>32008</v>
      </c>
      <c r="AE56" s="39">
        <v>31723</v>
      </c>
      <c r="AF56" s="39">
        <v>31643</v>
      </c>
      <c r="AG56" s="39">
        <v>31709</v>
      </c>
      <c r="AH56" s="39">
        <v>31882</v>
      </c>
      <c r="AI56" s="39">
        <v>32069</v>
      </c>
      <c r="AJ56" s="39">
        <v>32608</v>
      </c>
    </row>
    <row r="57" spans="1:69" x14ac:dyDescent="0.25">
      <c r="A57" s="5"/>
      <c r="B57" s="25"/>
      <c r="C57" s="25" t="s">
        <v>89</v>
      </c>
      <c r="D57" s="25" t="s">
        <v>327</v>
      </c>
      <c r="E57" s="25">
        <v>2012</v>
      </c>
      <c r="F57" s="27" t="s">
        <v>83</v>
      </c>
      <c r="G57" s="17">
        <f t="shared" si="32"/>
        <v>294335</v>
      </c>
      <c r="H57" s="17">
        <f t="shared" si="32"/>
        <v>323424</v>
      </c>
      <c r="I57" s="17">
        <f t="shared" si="32"/>
        <v>342996</v>
      </c>
      <c r="J57" s="17">
        <f t="shared" si="32"/>
        <v>367812</v>
      </c>
      <c r="K57" s="42">
        <f t="shared" si="35"/>
        <v>407676.83608775685</v>
      </c>
      <c r="L57" s="42">
        <f t="shared" si="34"/>
        <v>440975.77794510184</v>
      </c>
      <c r="M57" s="42">
        <f t="shared" si="34"/>
        <v>480758.25211158925</v>
      </c>
      <c r="N57" s="42">
        <f t="shared" si="34"/>
        <v>527434.40963834978</v>
      </c>
      <c r="O57" s="42">
        <f t="shared" si="34"/>
        <v>580297.43564611906</v>
      </c>
      <c r="P57" s="42">
        <f t="shared" si="34"/>
        <v>639278.12470680091</v>
      </c>
      <c r="Q57" s="42">
        <f t="shared" si="34"/>
        <v>703963.42204500875</v>
      </c>
      <c r="R57" s="38"/>
      <c r="S57" s="39">
        <v>294335</v>
      </c>
      <c r="T57" s="39">
        <v>299187</v>
      </c>
      <c r="U57" s="39">
        <v>307772</v>
      </c>
      <c r="V57" s="39">
        <v>311268</v>
      </c>
      <c r="W57" s="39">
        <v>318850</v>
      </c>
      <c r="X57" s="39">
        <v>323424</v>
      </c>
      <c r="Y57" s="39">
        <v>327491</v>
      </c>
      <c r="Z57" s="39">
        <v>333711</v>
      </c>
      <c r="AA57" s="39">
        <v>340158</v>
      </c>
      <c r="AB57" s="39">
        <v>338182</v>
      </c>
      <c r="AC57" s="39">
        <v>342996</v>
      </c>
      <c r="AD57" s="39">
        <v>350583</v>
      </c>
      <c r="AE57" s="39">
        <v>354049</v>
      </c>
      <c r="AF57" s="39">
        <v>358453</v>
      </c>
      <c r="AG57" s="39">
        <v>364157</v>
      </c>
      <c r="AH57" s="39">
        <v>367812</v>
      </c>
      <c r="AI57" s="39">
        <v>371936</v>
      </c>
      <c r="AJ57" s="39">
        <v>382478</v>
      </c>
    </row>
    <row r="58" spans="1:69" x14ac:dyDescent="0.25">
      <c r="A58" s="5"/>
      <c r="B58" s="25"/>
      <c r="C58" s="25" t="s">
        <v>90</v>
      </c>
      <c r="D58" s="25" t="s">
        <v>327</v>
      </c>
      <c r="E58" s="25">
        <v>2012</v>
      </c>
      <c r="F58" s="27" t="s">
        <v>83</v>
      </c>
      <c r="G58" s="17">
        <f t="shared" si="32"/>
        <v>575390</v>
      </c>
      <c r="H58" s="17">
        <f t="shared" si="32"/>
        <v>645906</v>
      </c>
      <c r="I58" s="17">
        <f t="shared" si="32"/>
        <v>656803</v>
      </c>
      <c r="J58" s="17">
        <f t="shared" si="32"/>
        <v>722653</v>
      </c>
      <c r="K58" s="42">
        <f t="shared" si="35"/>
        <v>800976.82682817779</v>
      </c>
      <c r="L58" s="42">
        <f t="shared" si="34"/>
        <v>866400.41341598879</v>
      </c>
      <c r="M58" s="42">
        <f t="shared" si="34"/>
        <v>944562.4209193727</v>
      </c>
      <c r="N58" s="42">
        <f t="shared" si="34"/>
        <v>1036268.6873413112</v>
      </c>
      <c r="O58" s="42">
        <f t="shared" si="34"/>
        <v>1140130.5089610312</v>
      </c>
      <c r="P58" s="42">
        <f t="shared" si="34"/>
        <v>1256011.9154724255</v>
      </c>
      <c r="Q58" s="42">
        <f t="shared" si="34"/>
        <v>1383101.363824703</v>
      </c>
      <c r="R58" s="38"/>
      <c r="S58" s="39">
        <v>575390</v>
      </c>
      <c r="T58" s="39">
        <v>584145</v>
      </c>
      <c r="U58" s="39">
        <v>603328</v>
      </c>
      <c r="V58" s="39">
        <v>610627</v>
      </c>
      <c r="W58" s="39">
        <v>626495</v>
      </c>
      <c r="X58" s="39">
        <v>645906</v>
      </c>
      <c r="Y58" s="39">
        <v>656283</v>
      </c>
      <c r="Z58" s="39">
        <v>662132</v>
      </c>
      <c r="AA58" s="39">
        <v>662169</v>
      </c>
      <c r="AB58" s="39">
        <v>637620</v>
      </c>
      <c r="AC58" s="39">
        <v>656803</v>
      </c>
      <c r="AD58" s="39">
        <v>672653</v>
      </c>
      <c r="AE58" s="39">
        <v>680096</v>
      </c>
      <c r="AF58" s="39">
        <v>688834</v>
      </c>
      <c r="AG58" s="39">
        <v>706541</v>
      </c>
      <c r="AH58" s="39">
        <v>722653</v>
      </c>
      <c r="AI58" s="39">
        <v>737256</v>
      </c>
      <c r="AJ58" s="39">
        <v>759808</v>
      </c>
    </row>
    <row r="59" spans="1:69" x14ac:dyDescent="0.25">
      <c r="A59" s="5"/>
      <c r="B59" s="25"/>
      <c r="C59" s="25" t="s">
        <v>91</v>
      </c>
      <c r="D59" s="25" t="s">
        <v>327</v>
      </c>
      <c r="E59" s="25">
        <v>2012</v>
      </c>
      <c r="F59" s="27" t="s">
        <v>83</v>
      </c>
      <c r="G59" s="17">
        <f t="shared" si="32"/>
        <v>46947</v>
      </c>
      <c r="H59" s="17">
        <f t="shared" si="32"/>
        <v>51205</v>
      </c>
      <c r="I59" s="17">
        <f t="shared" si="32"/>
        <v>56641</v>
      </c>
      <c r="J59" s="17">
        <f t="shared" si="32"/>
        <v>63310</v>
      </c>
      <c r="K59" s="42">
        <f t="shared" si="35"/>
        <v>70171.773875555678</v>
      </c>
      <c r="L59" s="42">
        <f t="shared" si="34"/>
        <v>75903.386789186872</v>
      </c>
      <c r="M59" s="42">
        <f t="shared" si="34"/>
        <v>82750.984038543393</v>
      </c>
      <c r="N59" s="42">
        <f t="shared" si="34"/>
        <v>90785.163274183345</v>
      </c>
      <c r="O59" s="42">
        <f t="shared" si="34"/>
        <v>99884.263294171484</v>
      </c>
      <c r="P59" s="42">
        <f t="shared" si="34"/>
        <v>110036.37204655522</v>
      </c>
      <c r="Q59" s="42">
        <f t="shared" si="34"/>
        <v>121170.39207440079</v>
      </c>
      <c r="R59" s="38"/>
      <c r="S59" s="39">
        <v>46947</v>
      </c>
      <c r="T59" s="39">
        <v>47374</v>
      </c>
      <c r="U59" s="39">
        <v>48393</v>
      </c>
      <c r="V59" s="39">
        <v>49121</v>
      </c>
      <c r="W59" s="39">
        <v>50039</v>
      </c>
      <c r="X59" s="39">
        <v>51205</v>
      </c>
      <c r="Y59" s="39">
        <v>53330</v>
      </c>
      <c r="Z59" s="39">
        <v>54114</v>
      </c>
      <c r="AA59" s="39">
        <v>56171</v>
      </c>
      <c r="AB59" s="39">
        <v>54952</v>
      </c>
      <c r="AC59" s="39">
        <v>56641</v>
      </c>
      <c r="AD59" s="39">
        <v>58242</v>
      </c>
      <c r="AE59" s="39">
        <v>59782</v>
      </c>
      <c r="AF59" s="39">
        <v>61155</v>
      </c>
      <c r="AG59" s="39">
        <v>62487</v>
      </c>
      <c r="AH59" s="39">
        <v>63310</v>
      </c>
      <c r="AI59" s="39">
        <v>64146</v>
      </c>
      <c r="AJ59" s="39">
        <v>66489</v>
      </c>
    </row>
    <row r="60" spans="1:69" x14ac:dyDescent="0.25">
      <c r="A60" s="5"/>
      <c r="B60" s="25"/>
      <c r="C60" s="25" t="s">
        <v>92</v>
      </c>
      <c r="D60" s="25" t="s">
        <v>327</v>
      </c>
      <c r="E60" s="25">
        <v>2012</v>
      </c>
      <c r="F60" s="27" t="s">
        <v>83</v>
      </c>
      <c r="G60" s="17">
        <f t="shared" si="32"/>
        <v>63257</v>
      </c>
      <c r="H60" s="17">
        <f t="shared" si="32"/>
        <v>70293</v>
      </c>
      <c r="I60" s="17">
        <f t="shared" si="32"/>
        <v>74199</v>
      </c>
      <c r="J60" s="17">
        <f t="shared" si="32"/>
        <v>82793</v>
      </c>
      <c r="K60" s="42">
        <f t="shared" si="35"/>
        <v>91766.414065374847</v>
      </c>
      <c r="L60" s="42">
        <f t="shared" si="34"/>
        <v>99261.87178071629</v>
      </c>
      <c r="M60" s="42">
        <f t="shared" si="34"/>
        <v>108216.74650928956</v>
      </c>
      <c r="N60" s="42">
        <f t="shared" si="34"/>
        <v>118723.3616010024</v>
      </c>
      <c r="O60" s="42">
        <f t="shared" si="34"/>
        <v>130622.61587291643</v>
      </c>
      <c r="P60" s="42">
        <f t="shared" si="34"/>
        <v>143898.93146186142</v>
      </c>
      <c r="Q60" s="42">
        <f t="shared" si="34"/>
        <v>158459.33140129308</v>
      </c>
      <c r="R60" s="38"/>
      <c r="S60" s="39">
        <v>63257</v>
      </c>
      <c r="T60" s="39">
        <v>61834</v>
      </c>
      <c r="U60" s="39">
        <v>61856</v>
      </c>
      <c r="V60" s="39">
        <v>64989</v>
      </c>
      <c r="W60" s="39">
        <v>68181</v>
      </c>
      <c r="X60" s="39">
        <v>70293</v>
      </c>
      <c r="Y60" s="39">
        <v>68205</v>
      </c>
      <c r="Z60" s="39">
        <v>70671</v>
      </c>
      <c r="AA60" s="39">
        <v>73059</v>
      </c>
      <c r="AB60" s="39">
        <v>71130</v>
      </c>
      <c r="AC60" s="39">
        <v>74199</v>
      </c>
      <c r="AD60" s="39">
        <v>77129</v>
      </c>
      <c r="AE60" s="39">
        <v>77958</v>
      </c>
      <c r="AF60" s="39">
        <v>82323</v>
      </c>
      <c r="AG60" s="39">
        <v>83677</v>
      </c>
      <c r="AH60" s="39">
        <v>82793</v>
      </c>
      <c r="AI60" s="39">
        <v>81835</v>
      </c>
      <c r="AJ60" s="39">
        <v>84223</v>
      </c>
    </row>
    <row r="61" spans="1:69" x14ac:dyDescent="0.25">
      <c r="A61" s="5"/>
      <c r="B61" s="13"/>
      <c r="C61" s="25" t="s">
        <v>5</v>
      </c>
      <c r="D61" s="25" t="s">
        <v>327</v>
      </c>
      <c r="E61" s="25">
        <v>2012</v>
      </c>
      <c r="F61" s="27" t="s">
        <v>83</v>
      </c>
      <c r="G61" s="17">
        <f t="shared" si="32"/>
        <v>217724</v>
      </c>
      <c r="H61" s="17">
        <f t="shared" si="32"/>
        <v>263911</v>
      </c>
      <c r="I61" s="17">
        <f t="shared" si="32"/>
        <v>283544</v>
      </c>
      <c r="J61" s="17">
        <f t="shared" si="32"/>
        <v>337590</v>
      </c>
      <c r="K61" s="42">
        <f t="shared" si="35"/>
        <v>374179.26303346775</v>
      </c>
      <c r="L61" s="42">
        <f t="shared" si="34"/>
        <v>404742.13151416194</v>
      </c>
      <c r="M61" s="42">
        <f t="shared" si="34"/>
        <v>441255.80005641858</v>
      </c>
      <c r="N61" s="42">
        <f t="shared" si="34"/>
        <v>484096.7188395444</v>
      </c>
      <c r="O61" s="42">
        <f t="shared" si="34"/>
        <v>532616.14982592559</v>
      </c>
      <c r="P61" s="42">
        <f t="shared" si="34"/>
        <v>586750.57398825744</v>
      </c>
      <c r="Q61" s="42">
        <f t="shared" si="34"/>
        <v>646120.87601322006</v>
      </c>
      <c r="R61" s="38"/>
      <c r="S61" s="39">
        <v>217724</v>
      </c>
      <c r="T61" s="39">
        <v>223717</v>
      </c>
      <c r="U61" s="39">
        <v>228975</v>
      </c>
      <c r="V61" s="39">
        <v>237326</v>
      </c>
      <c r="W61" s="39">
        <v>250886</v>
      </c>
      <c r="X61" s="39">
        <v>263911</v>
      </c>
      <c r="Y61" s="39">
        <v>281029</v>
      </c>
      <c r="Z61" s="39">
        <v>284721</v>
      </c>
      <c r="AA61" s="39">
        <v>288433</v>
      </c>
      <c r="AB61" s="39">
        <v>271625</v>
      </c>
      <c r="AC61" s="39">
        <v>283544</v>
      </c>
      <c r="AD61" s="39">
        <v>300516</v>
      </c>
      <c r="AE61" s="39">
        <v>312486</v>
      </c>
      <c r="AF61" s="39">
        <v>330595</v>
      </c>
      <c r="AG61" s="39">
        <v>349946</v>
      </c>
      <c r="AH61" s="39">
        <v>337590</v>
      </c>
      <c r="AI61" s="39">
        <v>324642</v>
      </c>
      <c r="AJ61" s="39">
        <v>342361</v>
      </c>
    </row>
    <row r="62" spans="1:69" x14ac:dyDescent="0.25">
      <c r="A62" s="5"/>
      <c r="B62" s="13"/>
      <c r="C62" s="25" t="s">
        <v>61</v>
      </c>
      <c r="D62" s="25" t="s">
        <v>327</v>
      </c>
      <c r="E62" s="25">
        <v>2012</v>
      </c>
      <c r="F62" s="27" t="s">
        <v>83</v>
      </c>
      <c r="G62" s="17">
        <f t="shared" si="32"/>
        <v>164117</v>
      </c>
      <c r="H62" s="17">
        <f t="shared" si="32"/>
        <v>191715</v>
      </c>
      <c r="I62" s="17">
        <f t="shared" si="32"/>
        <v>208500</v>
      </c>
      <c r="J62" s="17">
        <f t="shared" si="32"/>
        <v>239696</v>
      </c>
      <c r="K62" s="42">
        <f t="shared" si="35"/>
        <v>265675.14627823717</v>
      </c>
      <c r="L62" s="42">
        <f t="shared" si="34"/>
        <v>287375.42568031803</v>
      </c>
      <c r="M62" s="42">
        <f t="shared" si="34"/>
        <v>313300.89827993512</v>
      </c>
      <c r="N62" s="42">
        <f t="shared" si="34"/>
        <v>343718.85162168142</v>
      </c>
      <c r="O62" s="42">
        <f t="shared" si="34"/>
        <v>378168.66805496329</v>
      </c>
      <c r="P62" s="42">
        <f t="shared" si="34"/>
        <v>416605.24773449847</v>
      </c>
      <c r="Q62" s="42">
        <f t="shared" si="34"/>
        <v>458759.41081449331</v>
      </c>
      <c r="R62" s="38"/>
      <c r="S62" s="39">
        <v>164117</v>
      </c>
      <c r="T62" s="39">
        <v>166728</v>
      </c>
      <c r="U62" s="39">
        <v>172134</v>
      </c>
      <c r="V62" s="39">
        <v>176096</v>
      </c>
      <c r="W62" s="39">
        <v>183030</v>
      </c>
      <c r="X62" s="39">
        <v>191715</v>
      </c>
      <c r="Y62" s="39">
        <v>200462</v>
      </c>
      <c r="Z62" s="39">
        <v>206871</v>
      </c>
      <c r="AA62" s="39">
        <v>208881</v>
      </c>
      <c r="AB62" s="39">
        <v>203259</v>
      </c>
      <c r="AC62" s="39">
        <v>208500</v>
      </c>
      <c r="AD62" s="39">
        <v>216411</v>
      </c>
      <c r="AE62" s="39">
        <v>221415</v>
      </c>
      <c r="AF62" s="39">
        <v>226476</v>
      </c>
      <c r="AG62" s="39">
        <v>235155</v>
      </c>
      <c r="AH62" s="39">
        <v>239696</v>
      </c>
      <c r="AI62" s="39">
        <v>247245</v>
      </c>
      <c r="AJ62" s="39">
        <v>256856</v>
      </c>
    </row>
    <row r="63" spans="1:69" x14ac:dyDescent="0.25">
      <c r="A63" s="5"/>
      <c r="B63" s="25"/>
      <c r="C63" s="25" t="s">
        <v>93</v>
      </c>
      <c r="D63" s="25" t="s">
        <v>327</v>
      </c>
      <c r="E63" s="25">
        <v>2012</v>
      </c>
      <c r="F63" s="27" t="s">
        <v>83</v>
      </c>
      <c r="G63" s="17">
        <f t="shared" si="32"/>
        <v>1505</v>
      </c>
      <c r="H63" s="17">
        <f t="shared" si="32"/>
        <v>1655</v>
      </c>
      <c r="I63" s="17">
        <f t="shared" si="32"/>
        <v>2327</v>
      </c>
      <c r="J63" s="17">
        <f t="shared" si="32"/>
        <v>2431</v>
      </c>
      <c r="K63" s="42">
        <f t="shared" si="35"/>
        <v>2694.4808449135344</v>
      </c>
      <c r="L63" s="42">
        <f t="shared" si="34"/>
        <v>2914.5653654164157</v>
      </c>
      <c r="M63" s="42">
        <f t="shared" si="34"/>
        <v>3177.5018511719945</v>
      </c>
      <c r="N63" s="42">
        <f t="shared" si="34"/>
        <v>3486.0011359902028</v>
      </c>
      <c r="O63" s="42">
        <f t="shared" si="34"/>
        <v>3835.3916295708555</v>
      </c>
      <c r="P63" s="42">
        <f t="shared" si="34"/>
        <v>4225.2159286870283</v>
      </c>
      <c r="Q63" s="42">
        <f t="shared" si="34"/>
        <v>4652.7440077849997</v>
      </c>
      <c r="R63" s="38"/>
      <c r="S63" s="39">
        <v>1505</v>
      </c>
      <c r="T63" s="39">
        <v>1552</v>
      </c>
      <c r="U63" s="39">
        <v>1557</v>
      </c>
      <c r="V63" s="39">
        <v>1548</v>
      </c>
      <c r="W63" s="39">
        <v>1625</v>
      </c>
      <c r="X63" s="39">
        <v>1655</v>
      </c>
      <c r="Y63" s="39">
        <v>1764</v>
      </c>
      <c r="Z63" s="39">
        <v>1907</v>
      </c>
      <c r="AA63" s="39">
        <v>2101</v>
      </c>
      <c r="AB63" s="39">
        <v>2247</v>
      </c>
      <c r="AC63" s="39">
        <v>2327</v>
      </c>
      <c r="AD63" s="39">
        <v>2433</v>
      </c>
      <c r="AE63" s="39">
        <v>2554</v>
      </c>
      <c r="AF63" s="39">
        <v>2614</v>
      </c>
      <c r="AG63" s="39">
        <v>2642</v>
      </c>
      <c r="AH63" s="39">
        <v>2431</v>
      </c>
      <c r="AI63" s="39">
        <v>2605</v>
      </c>
      <c r="AJ63" s="39">
        <v>2663</v>
      </c>
    </row>
    <row r="64" spans="1:69" x14ac:dyDescent="0.25">
      <c r="A64" s="5"/>
      <c r="B64" s="25"/>
      <c r="C64" s="25" t="s">
        <v>95</v>
      </c>
      <c r="D64" s="25" t="s">
        <v>327</v>
      </c>
      <c r="E64" s="25">
        <v>2012</v>
      </c>
      <c r="F64" s="27" t="s">
        <v>83</v>
      </c>
      <c r="G64" s="17">
        <f t="shared" si="32"/>
        <v>3337</v>
      </c>
      <c r="H64" s="17">
        <f t="shared" si="32"/>
        <v>5086</v>
      </c>
      <c r="I64" s="17">
        <f t="shared" si="32"/>
        <v>4789</v>
      </c>
      <c r="J64" s="17">
        <f t="shared" si="32"/>
        <v>4809</v>
      </c>
      <c r="K64" s="42">
        <f t="shared" si="35"/>
        <v>5330.2173521962923</v>
      </c>
      <c r="L64" s="42">
        <f t="shared" si="34"/>
        <v>5765.5881704185695</v>
      </c>
      <c r="M64" s="42">
        <f t="shared" si="34"/>
        <v>6285.7286722690751</v>
      </c>
      <c r="N64" s="42">
        <f t="shared" si="34"/>
        <v>6896.0014245071507</v>
      </c>
      <c r="O64" s="42">
        <f t="shared" si="34"/>
        <v>7587.1650952720047</v>
      </c>
      <c r="P64" s="42">
        <f t="shared" si="34"/>
        <v>8358.3148502903805</v>
      </c>
      <c r="Q64" s="42">
        <f t="shared" si="34"/>
        <v>9204.0501577285322</v>
      </c>
      <c r="R64" s="38"/>
      <c r="S64" s="39">
        <v>3337</v>
      </c>
      <c r="T64" s="39">
        <v>4045</v>
      </c>
      <c r="U64" s="39">
        <v>4382</v>
      </c>
      <c r="V64" s="39">
        <v>4962</v>
      </c>
      <c r="W64" s="39">
        <v>5084</v>
      </c>
      <c r="X64" s="39">
        <v>5086</v>
      </c>
      <c r="Y64" s="39">
        <v>5034</v>
      </c>
      <c r="Z64" s="39">
        <v>5751</v>
      </c>
      <c r="AA64" s="39">
        <v>5299</v>
      </c>
      <c r="AB64" s="39">
        <v>4707</v>
      </c>
      <c r="AC64" s="39">
        <v>4789</v>
      </c>
      <c r="AD64" s="39">
        <v>4386</v>
      </c>
      <c r="AE64" s="39">
        <v>4392</v>
      </c>
      <c r="AF64" s="39">
        <v>4553</v>
      </c>
      <c r="AG64" s="39">
        <v>4777</v>
      </c>
      <c r="AH64" s="39">
        <v>4809</v>
      </c>
      <c r="AI64" s="39">
        <v>4727</v>
      </c>
      <c r="AJ64" s="39">
        <v>4911</v>
      </c>
    </row>
    <row r="65" spans="1:79" x14ac:dyDescent="0.25">
      <c r="A65" s="5"/>
      <c r="B65" s="25"/>
      <c r="C65" s="25" t="s">
        <v>94</v>
      </c>
      <c r="D65" s="25" t="s">
        <v>327</v>
      </c>
      <c r="E65" s="25">
        <v>2012</v>
      </c>
      <c r="F65" s="27" t="s">
        <v>83</v>
      </c>
      <c r="G65" s="17">
        <f t="shared" si="32"/>
        <v>1374</v>
      </c>
      <c r="H65" s="17">
        <f t="shared" si="32"/>
        <v>1561</v>
      </c>
      <c r="I65" s="17">
        <f t="shared" si="32"/>
        <v>2153</v>
      </c>
      <c r="J65" s="17">
        <f t="shared" si="32"/>
        <v>2344</v>
      </c>
      <c r="K65" s="42">
        <f t="shared" si="35"/>
        <v>2598.0514605007502</v>
      </c>
      <c r="L65" s="42">
        <f t="shared" si="34"/>
        <v>2810.259653038288</v>
      </c>
      <c r="M65" s="42">
        <f t="shared" si="34"/>
        <v>3063.7862357660033</v>
      </c>
      <c r="N65" s="42">
        <f t="shared" si="34"/>
        <v>3361.2450278737283</v>
      </c>
      <c r="O65" s="42">
        <f t="shared" si="34"/>
        <v>3698.1316247281302</v>
      </c>
      <c r="P65" s="42">
        <f t="shared" si="34"/>
        <v>4074.0049925308072</v>
      </c>
      <c r="Q65" s="42">
        <f t="shared" si="34"/>
        <v>4486.232807177309</v>
      </c>
      <c r="R65" s="38"/>
      <c r="S65" s="39">
        <v>1374</v>
      </c>
      <c r="T65" s="39">
        <v>1458</v>
      </c>
      <c r="U65" s="39">
        <v>1493</v>
      </c>
      <c r="V65" s="39">
        <v>1491</v>
      </c>
      <c r="W65" s="39">
        <v>1579</v>
      </c>
      <c r="X65" s="39">
        <v>1561</v>
      </c>
      <c r="Y65" s="39">
        <v>1592</v>
      </c>
      <c r="Z65" s="39">
        <v>1801</v>
      </c>
      <c r="AA65" s="39">
        <v>2058</v>
      </c>
      <c r="AB65" s="39">
        <v>1936</v>
      </c>
      <c r="AC65" s="39">
        <v>2153</v>
      </c>
      <c r="AD65" s="39">
        <v>2212</v>
      </c>
      <c r="AE65" s="39">
        <v>2198</v>
      </c>
      <c r="AF65" s="39">
        <v>2441</v>
      </c>
      <c r="AG65" s="39">
        <v>2379</v>
      </c>
      <c r="AH65" s="39">
        <v>2344</v>
      </c>
      <c r="AI65" s="39">
        <v>2476</v>
      </c>
      <c r="AJ65" s="39">
        <v>2802</v>
      </c>
    </row>
    <row r="66" spans="1:79" x14ac:dyDescent="0.25">
      <c r="A66" s="5"/>
      <c r="B66" s="25"/>
      <c r="C66" s="25"/>
      <c r="D66" s="25"/>
      <c r="E66" s="25"/>
      <c r="F66" s="16"/>
      <c r="G66" s="30"/>
      <c r="H66" s="30"/>
      <c r="I66" s="30"/>
      <c r="J66" s="30"/>
      <c r="R66" s="38"/>
    </row>
    <row r="67" spans="1:79" x14ac:dyDescent="0.25">
      <c r="A67" s="5"/>
      <c r="B67" s="25"/>
      <c r="C67" s="25"/>
      <c r="D67" s="25"/>
      <c r="E67" s="25"/>
      <c r="F67" s="16"/>
      <c r="G67" s="30"/>
      <c r="H67" s="30"/>
      <c r="I67" s="30"/>
      <c r="J67" s="30"/>
      <c r="R67" s="38"/>
    </row>
    <row r="68" spans="1:79" x14ac:dyDescent="0.25">
      <c r="A68" s="5"/>
      <c r="B68" s="25" t="s">
        <v>44</v>
      </c>
      <c r="C68" s="25" t="s">
        <v>48</v>
      </c>
      <c r="D68" s="25" t="s">
        <v>101</v>
      </c>
      <c r="E68" s="25"/>
      <c r="F68" s="350" t="s">
        <v>100</v>
      </c>
      <c r="G68" s="17">
        <f t="shared" ref="G68:Q68" si="36">INDEX($S68:$CA68,MATCH(G$1,$S$1:$CA$1,0))</f>
        <v>1132705.89645008</v>
      </c>
      <c r="H68" s="17">
        <f t="shared" si="36"/>
        <v>1286063.4678481901</v>
      </c>
      <c r="I68" s="17">
        <f t="shared" si="36"/>
        <v>1361085.7914598</v>
      </c>
      <c r="J68" s="17">
        <f t="shared" si="36"/>
        <v>1520564.3540934401</v>
      </c>
      <c r="K68" s="17">
        <f t="shared" si="36"/>
        <v>1684775</v>
      </c>
      <c r="L68" s="17">
        <f t="shared" si="36"/>
        <v>1822387</v>
      </c>
      <c r="M68" s="17">
        <f t="shared" si="36"/>
        <v>1986793</v>
      </c>
      <c r="N68" s="17">
        <f t="shared" si="36"/>
        <v>2179688</v>
      </c>
      <c r="O68" s="17">
        <f t="shared" si="36"/>
        <v>2398151</v>
      </c>
      <c r="P68" s="17">
        <f t="shared" si="36"/>
        <v>2641896</v>
      </c>
      <c r="Q68" s="17">
        <f t="shared" si="36"/>
        <v>2909216</v>
      </c>
      <c r="R68" s="38"/>
      <c r="S68" s="39">
        <v>1132705.89645008</v>
      </c>
      <c r="T68" s="39">
        <v>1152763.6406050599</v>
      </c>
      <c r="U68" s="39">
        <v>1187462.2410732401</v>
      </c>
      <c r="V68" s="39">
        <v>1208863.5600324799</v>
      </c>
      <c r="W68" s="39">
        <v>1246168.8411499001</v>
      </c>
      <c r="X68" s="39">
        <v>1286063.4678481901</v>
      </c>
      <c r="Y68" s="39">
        <v>1319802.0051478599</v>
      </c>
      <c r="Z68" s="39">
        <v>1347026.40898272</v>
      </c>
      <c r="AA68" s="39">
        <v>1360501.5354522199</v>
      </c>
      <c r="AB68" s="39">
        <v>1320372.56431132</v>
      </c>
      <c r="AC68" s="39">
        <v>1361085.7914598</v>
      </c>
      <c r="AD68" s="39">
        <v>1403840.49042381</v>
      </c>
      <c r="AE68" s="39">
        <v>1428344.7866189501</v>
      </c>
      <c r="AF68" s="39">
        <v>1463696.5553417699</v>
      </c>
      <c r="AG68" s="39">
        <v>1505495.47140106</v>
      </c>
      <c r="AH68" s="39">
        <v>1520564.3540934401</v>
      </c>
      <c r="AI68" s="39">
        <v>1542066.2592517899</v>
      </c>
      <c r="AJ68" s="39">
        <v>1588338.69301313</v>
      </c>
      <c r="AK68" s="39">
        <v>1621635.5389815201</v>
      </c>
      <c r="AL68" s="39">
        <v>1657928.8942838099</v>
      </c>
      <c r="AM68" s="39">
        <v>1684775</v>
      </c>
      <c r="AN68" s="39">
        <v>1710503</v>
      </c>
      <c r="AO68" s="39">
        <v>1736864</v>
      </c>
      <c r="AP68" s="39">
        <v>1764255</v>
      </c>
      <c r="AQ68" s="39">
        <v>1792774</v>
      </c>
      <c r="AR68" s="39">
        <v>1822387</v>
      </c>
      <c r="AS68" s="39">
        <v>1852965</v>
      </c>
      <c r="AT68" s="39">
        <v>1884677</v>
      </c>
      <c r="AU68" s="39">
        <v>1917532</v>
      </c>
      <c r="AV68" s="39">
        <v>1951559</v>
      </c>
      <c r="AW68" s="39">
        <v>1986793</v>
      </c>
      <c r="AX68" s="39">
        <v>2023273</v>
      </c>
      <c r="AY68" s="39">
        <v>2060808</v>
      </c>
      <c r="AZ68" s="39">
        <v>2099401</v>
      </c>
      <c r="BA68" s="39">
        <v>2139034</v>
      </c>
      <c r="BB68" s="39">
        <v>2179688</v>
      </c>
      <c r="BC68" s="39">
        <v>2221353</v>
      </c>
      <c r="BD68" s="39">
        <v>2264030</v>
      </c>
      <c r="BE68" s="39">
        <v>2307720</v>
      </c>
      <c r="BF68" s="39">
        <v>2352425</v>
      </c>
      <c r="BG68" s="39">
        <v>2398151</v>
      </c>
      <c r="BH68" s="39">
        <v>2444905</v>
      </c>
      <c r="BI68" s="39">
        <v>2492690</v>
      </c>
      <c r="BJ68" s="39">
        <v>2541479</v>
      </c>
      <c r="BK68" s="39">
        <v>2591227</v>
      </c>
      <c r="BL68" s="39">
        <v>2641896</v>
      </c>
      <c r="BM68" s="39">
        <v>2693479</v>
      </c>
      <c r="BN68" s="39">
        <v>2745988</v>
      </c>
      <c r="BO68" s="39">
        <v>2799434</v>
      </c>
      <c r="BP68" s="39">
        <v>2853831</v>
      </c>
      <c r="BQ68" s="39">
        <v>2909216</v>
      </c>
      <c r="BR68">
        <v>2965657</v>
      </c>
      <c r="BS68">
        <v>3023227</v>
      </c>
      <c r="BT68">
        <v>3081985</v>
      </c>
      <c r="BU68">
        <v>3141981</v>
      </c>
      <c r="BV68">
        <v>3203277</v>
      </c>
      <c r="BW68">
        <v>3265966</v>
      </c>
      <c r="BX68">
        <v>3330145</v>
      </c>
      <c r="BY68">
        <v>3395881</v>
      </c>
      <c r="BZ68">
        <v>3463205</v>
      </c>
      <c r="CA68">
        <v>3532133</v>
      </c>
    </row>
    <row r="69" spans="1:79" x14ac:dyDescent="0.25">
      <c r="A69" s="5"/>
      <c r="B69" s="13"/>
      <c r="C69" s="13"/>
      <c r="D69" s="25" t="s">
        <v>102</v>
      </c>
      <c r="E69" s="25"/>
      <c r="F69" s="9" t="s">
        <v>84</v>
      </c>
      <c r="G69" s="55">
        <f t="shared" ref="G69:Q69" si="37">G68*G72</f>
        <v>1390475.7773052247</v>
      </c>
      <c r="H69" s="55">
        <f t="shared" si="37"/>
        <v>1560823.2113731487</v>
      </c>
      <c r="I69" s="55">
        <f t="shared" si="37"/>
        <v>1662703.763933083</v>
      </c>
      <c r="J69" s="55">
        <f t="shared" si="37"/>
        <v>1897670.3961660294</v>
      </c>
      <c r="K69" s="56">
        <f t="shared" si="37"/>
        <v>2102605.9390999996</v>
      </c>
      <c r="L69" s="56">
        <f t="shared" si="37"/>
        <v>2274346.2655479996</v>
      </c>
      <c r="M69" s="56">
        <f t="shared" si="37"/>
        <v>2479525.6111719999</v>
      </c>
      <c r="N69" s="56">
        <f t="shared" si="37"/>
        <v>2720259.3427519999</v>
      </c>
      <c r="O69" s="56">
        <f t="shared" si="37"/>
        <v>2992902.0406039995</v>
      </c>
      <c r="P69" s="56">
        <f t="shared" si="37"/>
        <v>3297096.7755839997</v>
      </c>
      <c r="Q69" s="56">
        <f t="shared" si="37"/>
        <v>3630713.2048639995</v>
      </c>
      <c r="R69" s="38"/>
    </row>
    <row r="70" spans="1:79" x14ac:dyDescent="0.25">
      <c r="A70" s="5"/>
      <c r="B70" s="13"/>
      <c r="C70" s="13"/>
      <c r="D70" s="13"/>
      <c r="E70" s="13"/>
      <c r="F70" s="9"/>
      <c r="G70" s="54">
        <f>G52/G69</f>
        <v>1.0494990447285346</v>
      </c>
      <c r="H70" s="54">
        <f>H52/H69</f>
        <v>1.0577008260580771</v>
      </c>
      <c r="I70" s="54">
        <f>I52/I69</f>
        <v>1.0463962599594028</v>
      </c>
      <c r="J70" s="54">
        <f>J52/J69</f>
        <v>1.0185662399040176</v>
      </c>
      <c r="K70" s="29"/>
      <c r="L70" s="29"/>
      <c r="M70" s="29"/>
      <c r="N70" s="29"/>
      <c r="O70" s="29"/>
      <c r="P70" s="29"/>
      <c r="Q70" s="29"/>
      <c r="R70" s="38"/>
    </row>
    <row r="71" spans="1:79" x14ac:dyDescent="0.25">
      <c r="A71" s="5"/>
      <c r="B71" s="25"/>
      <c r="C71" s="25"/>
      <c r="D71" s="25"/>
      <c r="E71" s="25"/>
      <c r="F71" s="16"/>
      <c r="H71" s="29"/>
      <c r="I71" s="29"/>
      <c r="J71" s="29"/>
      <c r="K71" s="29"/>
      <c r="L71" s="29"/>
      <c r="M71" s="29"/>
      <c r="N71" s="29"/>
      <c r="O71" s="29"/>
      <c r="P71" s="29"/>
      <c r="Q71" s="29"/>
      <c r="R71" s="38"/>
    </row>
    <row r="72" spans="1:79" x14ac:dyDescent="0.25">
      <c r="A72" s="5"/>
      <c r="B72" s="25" t="s">
        <v>103</v>
      </c>
      <c r="C72" s="25" t="s">
        <v>48</v>
      </c>
      <c r="D72" s="25" t="s">
        <v>104</v>
      </c>
      <c r="E72" s="25"/>
      <c r="F72" s="350" t="s">
        <v>105</v>
      </c>
      <c r="G72" s="34">
        <f>INDEX($S72:$CA72,MATCH(G$1,$S$1:$CA$1,0))</f>
        <v>1.2275700000000001</v>
      </c>
      <c r="H72" s="34">
        <f>INDEX($S72:$CA72,MATCH(H$1,$S$1:$CA$1,0))</f>
        <v>1.2136439999999999</v>
      </c>
      <c r="I72" s="34">
        <f>INDEX($S72:$CA72,MATCH(I$1,$S$1:$CA$1,0))</f>
        <v>1.2216009999999999</v>
      </c>
      <c r="J72" s="34">
        <f>INDEX($S72:$CA72,MATCH(J$1,$S$1:$CA$1,0))</f>
        <v>1.2480039999999999</v>
      </c>
      <c r="K72" s="53">
        <f>J72</f>
        <v>1.2480039999999999</v>
      </c>
      <c r="L72" s="53">
        <f t="shared" ref="L72:Q72" si="38">K72</f>
        <v>1.2480039999999999</v>
      </c>
      <c r="M72" s="53">
        <f t="shared" si="38"/>
        <v>1.2480039999999999</v>
      </c>
      <c r="N72" s="53">
        <f t="shared" si="38"/>
        <v>1.2480039999999999</v>
      </c>
      <c r="O72" s="53">
        <f t="shared" si="38"/>
        <v>1.2480039999999999</v>
      </c>
      <c r="P72" s="53">
        <f t="shared" si="38"/>
        <v>1.2480039999999999</v>
      </c>
      <c r="Q72" s="53">
        <f t="shared" si="38"/>
        <v>1.2480039999999999</v>
      </c>
      <c r="R72" s="38"/>
      <c r="S72" s="41">
        <v>1.2275700000000001</v>
      </c>
      <c r="T72" s="41">
        <v>1.221141</v>
      </c>
      <c r="U72" s="41">
        <v>1.229333</v>
      </c>
      <c r="V72" s="41">
        <v>1.2261249999999999</v>
      </c>
      <c r="W72" s="41">
        <v>1.2331460000000001</v>
      </c>
      <c r="X72" s="41">
        <v>1.2136439999999999</v>
      </c>
      <c r="Y72" s="41">
        <v>1.2056549999999999</v>
      </c>
      <c r="Z72" s="41">
        <v>1.2130810000000001</v>
      </c>
      <c r="AA72" s="41">
        <v>1.2343900000000001</v>
      </c>
      <c r="AB72" s="41">
        <v>1.2013100000000001</v>
      </c>
      <c r="AC72" s="41">
        <v>1.2216009999999999</v>
      </c>
      <c r="AD72" s="41">
        <v>1.2399039999999999</v>
      </c>
      <c r="AE72" s="41">
        <v>1.244607</v>
      </c>
      <c r="AF72" s="41">
        <v>1.224</v>
      </c>
      <c r="AG72" s="41">
        <v>1.2303580000000001</v>
      </c>
      <c r="AH72" s="41">
        <v>1.2480039999999999</v>
      </c>
      <c r="AI72" s="41">
        <v>1.2451639999999999</v>
      </c>
      <c r="AJ72" s="41">
        <v>1.252006</v>
      </c>
      <c r="AK72" s="41">
        <v>1.244715</v>
      </c>
    </row>
    <row r="73" spans="1:79" x14ac:dyDescent="0.25">
      <c r="A73" s="5"/>
      <c r="B73" s="25"/>
      <c r="C73" s="25"/>
      <c r="D73" s="25"/>
      <c r="E73" s="25"/>
      <c r="F73" s="16"/>
      <c r="H73" s="29"/>
      <c r="I73" s="29"/>
      <c r="J73" s="29"/>
      <c r="K73" s="29"/>
      <c r="L73" s="29"/>
      <c r="M73" s="29"/>
      <c r="N73" s="29"/>
      <c r="O73" s="29"/>
      <c r="P73" s="29"/>
      <c r="Q73" s="29"/>
      <c r="R73" s="38"/>
    </row>
    <row r="74" spans="1:79" x14ac:dyDescent="0.25">
      <c r="A74" s="5"/>
      <c r="B74" s="25" t="s">
        <v>114</v>
      </c>
      <c r="C74" s="25" t="s">
        <v>48</v>
      </c>
      <c r="D74" s="65"/>
      <c r="E74" s="65"/>
      <c r="F74" s="63"/>
      <c r="G74" s="66"/>
      <c r="H74" s="35"/>
      <c r="I74" s="35"/>
      <c r="J74" s="35"/>
      <c r="K74" s="35"/>
      <c r="L74" s="35"/>
      <c r="M74" s="35"/>
      <c r="N74" s="35"/>
      <c r="O74" s="35"/>
      <c r="P74" s="35"/>
      <c r="Q74" s="35"/>
      <c r="R74" s="38"/>
    </row>
    <row r="75" spans="1:79" x14ac:dyDescent="0.25">
      <c r="A75" s="5"/>
      <c r="B75" s="25"/>
      <c r="C75" s="25"/>
      <c r="D75" s="25"/>
      <c r="E75" s="25"/>
      <c r="F75" s="16"/>
      <c r="H75" s="29"/>
      <c r="I75" s="29"/>
      <c r="J75" s="29"/>
      <c r="K75" s="29"/>
      <c r="L75" s="29"/>
      <c r="M75" s="29"/>
      <c r="N75" s="29"/>
      <c r="O75" s="29"/>
      <c r="P75" s="29"/>
      <c r="Q75" s="29"/>
      <c r="R75" s="38"/>
    </row>
    <row r="76" spans="1:79" x14ac:dyDescent="0.25">
      <c r="A76" s="5"/>
      <c r="B76" s="25"/>
      <c r="C76" s="25"/>
      <c r="D76" s="25"/>
      <c r="E76" s="25"/>
      <c r="F76" s="16"/>
      <c r="H76" s="29"/>
      <c r="I76" s="29"/>
      <c r="J76" s="29"/>
      <c r="K76" s="29"/>
      <c r="L76" s="29"/>
      <c r="M76" s="29"/>
      <c r="N76" s="29"/>
      <c r="O76" s="29"/>
      <c r="P76" s="29"/>
      <c r="Q76" s="29"/>
      <c r="R76" s="38"/>
    </row>
    <row r="77" spans="1:79" x14ac:dyDescent="0.25">
      <c r="A77" s="5"/>
      <c r="B77" s="25"/>
      <c r="C77" s="25"/>
      <c r="D77" s="25"/>
      <c r="E77" s="25"/>
      <c r="F77" s="16"/>
      <c r="H77" s="29"/>
      <c r="I77" s="29"/>
      <c r="J77" s="29"/>
      <c r="K77" s="29"/>
      <c r="L77" s="29"/>
      <c r="M77" s="29"/>
      <c r="N77" s="29"/>
      <c r="O77" s="29"/>
      <c r="P77" s="29"/>
      <c r="Q77" s="29"/>
      <c r="R77" s="38"/>
    </row>
    <row r="78" spans="1:79" x14ac:dyDescent="0.25">
      <c r="A78" s="5"/>
      <c r="B78" s="25"/>
      <c r="C78" s="25"/>
      <c r="D78" s="25"/>
      <c r="E78" s="25"/>
      <c r="F78" s="16"/>
      <c r="H78" s="29"/>
      <c r="I78" s="29"/>
      <c r="J78" s="29"/>
      <c r="K78" s="29"/>
      <c r="L78" s="29"/>
      <c r="M78" s="29"/>
      <c r="N78" s="29"/>
      <c r="O78" s="29"/>
      <c r="P78" s="29"/>
      <c r="Q78" s="29"/>
      <c r="R78" s="38"/>
    </row>
    <row r="79" spans="1:79" x14ac:dyDescent="0.25">
      <c r="A79" s="5"/>
      <c r="B79" s="25"/>
      <c r="C79" s="25"/>
      <c r="D79" s="25"/>
      <c r="E79" s="25"/>
      <c r="F79" s="16"/>
      <c r="H79" s="29"/>
      <c r="I79" s="29"/>
      <c r="J79" s="29"/>
      <c r="K79" s="29"/>
      <c r="L79" s="29"/>
      <c r="M79" s="29"/>
      <c r="N79" s="29"/>
      <c r="O79" s="29"/>
      <c r="P79" s="29"/>
      <c r="Q79" s="29"/>
      <c r="R79" s="38"/>
    </row>
    <row r="80" spans="1:79" x14ac:dyDescent="0.25">
      <c r="A80" s="5"/>
      <c r="B80" s="25"/>
      <c r="C80" s="25"/>
      <c r="D80" s="25"/>
      <c r="E80" s="25"/>
      <c r="F80" s="16"/>
      <c r="H80" s="29"/>
      <c r="I80" s="29"/>
      <c r="J80" s="29"/>
      <c r="K80" s="29"/>
      <c r="L80" s="29"/>
      <c r="M80" s="29"/>
      <c r="N80" s="29"/>
      <c r="O80" s="29"/>
      <c r="P80" s="29"/>
      <c r="Q80" s="29"/>
      <c r="R80" s="38"/>
    </row>
    <row r="81" spans="1:18" x14ac:dyDescent="0.25">
      <c r="A81" s="5"/>
      <c r="B81" s="25"/>
      <c r="C81" s="25"/>
      <c r="D81" s="25"/>
      <c r="E81" s="25"/>
      <c r="F81" s="16"/>
      <c r="H81" s="29"/>
      <c r="I81" s="29"/>
      <c r="J81" s="29"/>
      <c r="K81" s="29"/>
      <c r="L81" s="29"/>
      <c r="M81" s="29"/>
      <c r="N81" s="29"/>
      <c r="O81" s="29"/>
      <c r="P81" s="29"/>
      <c r="Q81" s="29"/>
      <c r="R81" s="38"/>
    </row>
    <row r="82" spans="1:18" x14ac:dyDescent="0.25">
      <c r="A82" s="5"/>
      <c r="B82" s="25"/>
      <c r="C82" s="25"/>
      <c r="D82" s="25"/>
      <c r="E82" s="25"/>
      <c r="F82" s="16"/>
      <c r="H82" s="29"/>
      <c r="I82" s="29"/>
      <c r="J82" s="29"/>
      <c r="K82" s="29"/>
      <c r="L82" s="29"/>
      <c r="M82" s="29"/>
      <c r="N82" s="29"/>
      <c r="O82" s="29"/>
      <c r="P82" s="29"/>
      <c r="Q82" s="29"/>
      <c r="R82" s="38"/>
    </row>
    <row r="83" spans="1:18" x14ac:dyDescent="0.25">
      <c r="A83" s="5"/>
      <c r="B83" s="25"/>
      <c r="C83" s="25"/>
      <c r="D83" s="25"/>
      <c r="E83" s="25"/>
      <c r="F83" s="16"/>
      <c r="H83" s="29"/>
      <c r="I83" s="29"/>
      <c r="J83" s="29"/>
      <c r="K83" s="29"/>
      <c r="L83" s="29"/>
      <c r="M83" s="29"/>
      <c r="N83" s="29"/>
      <c r="O83" s="29"/>
      <c r="P83" s="29"/>
      <c r="Q83" s="29"/>
      <c r="R83" s="38"/>
    </row>
    <row r="84" spans="1:18" x14ac:dyDescent="0.25">
      <c r="A84" s="5"/>
      <c r="B84" s="25"/>
      <c r="C84" s="25"/>
      <c r="D84" s="25"/>
      <c r="E84" s="25"/>
      <c r="F84" s="16"/>
      <c r="H84" s="29"/>
      <c r="I84" s="29"/>
      <c r="J84" s="29"/>
      <c r="K84" s="29"/>
      <c r="L84" s="29"/>
      <c r="M84" s="29"/>
      <c r="N84" s="29"/>
      <c r="O84" s="29"/>
      <c r="P84" s="29"/>
      <c r="Q84" s="29"/>
      <c r="R84" s="38"/>
    </row>
    <row r="85" spans="1:18" x14ac:dyDescent="0.25">
      <c r="A85" s="5"/>
      <c r="B85" s="25"/>
      <c r="C85" s="25"/>
      <c r="D85" s="25"/>
      <c r="E85" s="25"/>
      <c r="F85" s="16"/>
      <c r="H85" s="29"/>
      <c r="I85" s="29"/>
      <c r="J85" s="29"/>
      <c r="K85" s="29"/>
      <c r="L85" s="29"/>
      <c r="M85" s="29"/>
      <c r="N85" s="29"/>
      <c r="O85" s="29"/>
      <c r="P85" s="29"/>
      <c r="Q85" s="29"/>
      <c r="R85" s="38"/>
    </row>
    <row r="86" spans="1:18" x14ac:dyDescent="0.25">
      <c r="A86" s="5"/>
      <c r="B86" s="25"/>
      <c r="C86" s="25"/>
      <c r="D86" s="25"/>
      <c r="E86" s="25"/>
      <c r="F86" s="16"/>
      <c r="H86" s="29"/>
      <c r="I86" s="29"/>
      <c r="J86" s="29"/>
      <c r="K86" s="29"/>
      <c r="L86" s="29"/>
      <c r="M86" s="29"/>
      <c r="N86" s="29"/>
      <c r="O86" s="29"/>
      <c r="P86" s="29"/>
      <c r="Q86" s="29"/>
      <c r="R86" s="38"/>
    </row>
    <row r="87" spans="1:18" x14ac:dyDescent="0.25">
      <c r="A87" s="5"/>
      <c r="B87" s="25"/>
      <c r="C87" s="25"/>
      <c r="D87" s="25"/>
      <c r="E87" s="25"/>
      <c r="F87" s="16"/>
      <c r="H87" s="29"/>
      <c r="I87" s="29"/>
      <c r="J87" s="29"/>
      <c r="K87" s="29"/>
      <c r="L87" s="29"/>
      <c r="M87" s="29"/>
      <c r="N87" s="29"/>
      <c r="O87" s="29"/>
      <c r="P87" s="29"/>
      <c r="Q87" s="29"/>
      <c r="R87" s="38"/>
    </row>
    <row r="88" spans="1:18" x14ac:dyDescent="0.25">
      <c r="A88" s="5"/>
      <c r="B88" s="25"/>
      <c r="C88" s="25"/>
      <c r="D88" s="25"/>
      <c r="E88" s="25"/>
      <c r="F88" s="16"/>
      <c r="H88" s="29"/>
      <c r="I88" s="29"/>
      <c r="J88" s="29"/>
      <c r="K88" s="29"/>
      <c r="L88" s="29"/>
      <c r="M88" s="29"/>
      <c r="N88" s="29"/>
      <c r="O88" s="29"/>
      <c r="P88" s="29"/>
      <c r="Q88" s="29"/>
      <c r="R88" s="38"/>
    </row>
    <row r="89" spans="1:18" x14ac:dyDescent="0.25">
      <c r="A89" s="5"/>
      <c r="B89" s="25"/>
      <c r="C89" s="25"/>
      <c r="D89" s="25"/>
      <c r="E89" s="25"/>
      <c r="F89" s="16"/>
      <c r="H89" s="29"/>
      <c r="I89" s="29"/>
      <c r="J89" s="29"/>
      <c r="K89" s="29"/>
      <c r="L89" s="29"/>
      <c r="M89" s="29"/>
      <c r="N89" s="29"/>
      <c r="O89" s="29"/>
      <c r="P89" s="29"/>
      <c r="Q89" s="29"/>
      <c r="R89" s="38"/>
    </row>
    <row r="90" spans="1:18" x14ac:dyDescent="0.25">
      <c r="A90" s="5"/>
      <c r="B90" s="25"/>
      <c r="C90" s="25"/>
      <c r="D90" s="25"/>
      <c r="E90" s="25"/>
      <c r="F90" s="16"/>
      <c r="H90" s="29"/>
      <c r="I90" s="29"/>
      <c r="J90" s="29"/>
      <c r="K90" s="29"/>
      <c r="L90" s="29"/>
      <c r="M90" s="29"/>
      <c r="N90" s="29"/>
      <c r="O90" s="29"/>
      <c r="P90" s="29"/>
      <c r="Q90" s="29"/>
      <c r="R90" s="38"/>
    </row>
    <row r="91" spans="1:18" x14ac:dyDescent="0.25">
      <c r="A91" s="5"/>
      <c r="B91" s="25"/>
      <c r="C91" s="25"/>
      <c r="D91" s="25"/>
      <c r="E91" s="25"/>
      <c r="F91" s="16"/>
      <c r="H91" s="29"/>
      <c r="I91" s="29"/>
      <c r="J91" s="29"/>
      <c r="K91" s="29"/>
      <c r="L91" s="29"/>
      <c r="M91" s="29"/>
      <c r="N91" s="29"/>
      <c r="O91" s="29"/>
      <c r="P91" s="29"/>
      <c r="Q91" s="29"/>
      <c r="R91" s="38"/>
    </row>
    <row r="92" spans="1:18" x14ac:dyDescent="0.25">
      <c r="A92" s="5"/>
      <c r="B92" s="25"/>
      <c r="C92" s="25"/>
      <c r="D92" s="25"/>
      <c r="E92" s="25"/>
      <c r="F92" s="16"/>
      <c r="H92" s="29"/>
      <c r="I92" s="29"/>
      <c r="J92" s="29"/>
      <c r="K92" s="29"/>
      <c r="L92" s="29"/>
      <c r="M92" s="29"/>
      <c r="N92" s="29"/>
      <c r="O92" s="29"/>
      <c r="P92" s="29"/>
      <c r="Q92" s="29"/>
      <c r="R92" s="38"/>
    </row>
    <row r="93" spans="1:18" x14ac:dyDescent="0.25">
      <c r="A93" s="5"/>
      <c r="B93" s="25"/>
      <c r="C93" s="25"/>
      <c r="D93" s="25"/>
      <c r="E93" s="25"/>
      <c r="F93" s="16"/>
      <c r="H93" s="29"/>
      <c r="I93" s="29"/>
      <c r="J93" s="29"/>
      <c r="K93" s="29"/>
      <c r="L93" s="29"/>
      <c r="M93" s="29"/>
      <c r="N93" s="29"/>
      <c r="O93" s="29"/>
      <c r="P93" s="29"/>
      <c r="Q93" s="29"/>
      <c r="R93" s="38"/>
    </row>
    <row r="94" spans="1:18" x14ac:dyDescent="0.25">
      <c r="A94" s="5"/>
      <c r="B94" s="25"/>
      <c r="C94" s="25"/>
      <c r="D94" s="25"/>
      <c r="E94" s="25"/>
      <c r="F94" s="16"/>
      <c r="H94" s="29"/>
      <c r="I94" s="29"/>
      <c r="J94" s="29"/>
      <c r="K94" s="29"/>
      <c r="L94" s="29"/>
      <c r="M94" s="29"/>
      <c r="N94" s="29"/>
      <c r="O94" s="29"/>
      <c r="P94" s="29"/>
      <c r="Q94" s="29"/>
      <c r="R94" s="38"/>
    </row>
    <row r="95" spans="1:18" x14ac:dyDescent="0.25">
      <c r="A95" s="5"/>
      <c r="B95" s="25"/>
      <c r="C95" s="25"/>
      <c r="D95" s="25"/>
      <c r="E95" s="25"/>
      <c r="F95" s="16"/>
      <c r="H95" s="29"/>
      <c r="I95" s="29"/>
      <c r="J95" s="29"/>
      <c r="K95" s="29"/>
      <c r="L95" s="29"/>
      <c r="M95" s="29"/>
      <c r="N95" s="29"/>
      <c r="O95" s="29"/>
      <c r="P95" s="29"/>
      <c r="Q95" s="29"/>
      <c r="R95" s="38"/>
    </row>
    <row r="96" spans="1:18" x14ac:dyDescent="0.25">
      <c r="A96" s="5"/>
      <c r="B96" s="25"/>
      <c r="C96" s="25"/>
      <c r="D96" s="25"/>
      <c r="E96" s="25"/>
      <c r="F96" s="16"/>
      <c r="H96" s="29"/>
      <c r="I96" s="29"/>
      <c r="J96" s="29"/>
      <c r="K96" s="29"/>
      <c r="L96" s="29"/>
      <c r="M96" s="29"/>
      <c r="N96" s="29"/>
      <c r="O96" s="29"/>
      <c r="P96" s="29"/>
      <c r="Q96" s="29"/>
      <c r="R96" s="38"/>
    </row>
    <row r="97" spans="1:18" x14ac:dyDescent="0.25">
      <c r="A97" s="5"/>
      <c r="B97" s="25"/>
      <c r="C97" s="25"/>
      <c r="D97" s="25"/>
      <c r="E97" s="25"/>
      <c r="F97" s="16"/>
      <c r="H97" s="29"/>
      <c r="I97" s="29"/>
      <c r="J97" s="29"/>
      <c r="K97" s="29"/>
      <c r="L97" s="29"/>
      <c r="M97" s="29"/>
      <c r="N97" s="29"/>
      <c r="O97" s="29"/>
      <c r="P97" s="29"/>
      <c r="Q97" s="29"/>
      <c r="R97" s="38"/>
    </row>
    <row r="98" spans="1:18" x14ac:dyDescent="0.25">
      <c r="A98" s="5"/>
      <c r="B98" s="25"/>
      <c r="C98" s="25"/>
      <c r="D98" s="25"/>
      <c r="E98" s="25"/>
      <c r="F98" s="16"/>
      <c r="H98" s="29"/>
      <c r="I98" s="29"/>
      <c r="J98" s="29"/>
      <c r="K98" s="29"/>
      <c r="L98" s="29"/>
      <c r="M98" s="29"/>
      <c r="N98" s="29"/>
      <c r="O98" s="29"/>
      <c r="P98" s="29"/>
      <c r="Q98" s="29"/>
      <c r="R98" s="38"/>
    </row>
    <row r="99" spans="1:18" x14ac:dyDescent="0.25">
      <c r="A99" s="5"/>
      <c r="B99" s="25"/>
      <c r="C99" s="25"/>
      <c r="D99" s="25"/>
      <c r="E99" s="25"/>
      <c r="F99" s="16"/>
      <c r="H99" s="29"/>
      <c r="I99" s="29"/>
      <c r="J99" s="29"/>
      <c r="K99" s="29"/>
      <c r="L99" s="29"/>
      <c r="M99" s="29"/>
      <c r="N99" s="29"/>
      <c r="O99" s="29"/>
      <c r="P99" s="29"/>
      <c r="Q99" s="29"/>
      <c r="R99" s="38"/>
    </row>
    <row r="100" spans="1:18" x14ac:dyDescent="0.25">
      <c r="A100" s="5"/>
      <c r="B100" s="25"/>
      <c r="C100" s="25"/>
      <c r="D100" s="25"/>
      <c r="E100" s="25"/>
      <c r="F100" s="16"/>
      <c r="H100" s="29"/>
      <c r="I100" s="29"/>
      <c r="J100" s="29"/>
      <c r="K100" s="29"/>
      <c r="L100" s="29"/>
      <c r="M100" s="29"/>
      <c r="N100" s="29"/>
      <c r="O100" s="29"/>
      <c r="P100" s="29"/>
      <c r="Q100" s="29"/>
      <c r="R100" s="38"/>
    </row>
    <row r="101" spans="1:18" x14ac:dyDescent="0.25">
      <c r="A101" s="5"/>
      <c r="B101" s="25"/>
      <c r="C101" s="25"/>
      <c r="D101" s="25"/>
      <c r="E101" s="25"/>
      <c r="F101" s="16"/>
      <c r="H101" s="29"/>
      <c r="I101" s="29"/>
      <c r="J101" s="29"/>
      <c r="K101" s="29"/>
      <c r="L101" s="29"/>
      <c r="M101" s="29"/>
      <c r="N101" s="29"/>
      <c r="O101" s="29"/>
      <c r="P101" s="29"/>
      <c r="Q101" s="29"/>
      <c r="R101" s="38"/>
    </row>
    <row r="102" spans="1:18" x14ac:dyDescent="0.25">
      <c r="A102" s="5"/>
      <c r="B102" s="25"/>
      <c r="C102" s="25"/>
      <c r="D102" s="25"/>
      <c r="E102" s="25"/>
      <c r="F102" s="16"/>
      <c r="H102" s="29"/>
      <c r="I102" s="29"/>
      <c r="J102" s="29"/>
      <c r="K102" s="29"/>
      <c r="L102" s="29"/>
      <c r="M102" s="29"/>
      <c r="N102" s="29"/>
      <c r="O102" s="29"/>
      <c r="P102" s="29"/>
      <c r="Q102" s="29"/>
      <c r="R102" s="38"/>
    </row>
    <row r="103" spans="1:18" x14ac:dyDescent="0.25">
      <c r="A103" s="5"/>
      <c r="B103" s="25"/>
      <c r="C103" s="25"/>
      <c r="D103" s="25"/>
      <c r="E103" s="25"/>
      <c r="F103" s="16"/>
      <c r="H103" s="29"/>
      <c r="I103" s="29"/>
      <c r="J103" s="29"/>
      <c r="K103" s="29"/>
      <c r="L103" s="29"/>
      <c r="M103" s="29"/>
      <c r="N103" s="29"/>
      <c r="O103" s="29"/>
      <c r="P103" s="29"/>
      <c r="Q103" s="29"/>
      <c r="R103" s="38"/>
    </row>
    <row r="104" spans="1:18" x14ac:dyDescent="0.25">
      <c r="A104" s="5"/>
      <c r="B104" s="25"/>
      <c r="C104" s="25"/>
      <c r="D104" s="25"/>
      <c r="E104" s="25"/>
      <c r="F104" s="16"/>
      <c r="H104" s="29"/>
      <c r="I104" s="29"/>
      <c r="J104" s="29"/>
      <c r="K104" s="29"/>
      <c r="L104" s="29"/>
      <c r="M104" s="29"/>
      <c r="N104" s="29"/>
      <c r="O104" s="29"/>
      <c r="P104" s="29"/>
      <c r="Q104" s="29"/>
      <c r="R104" s="38"/>
    </row>
    <row r="105" spans="1:18" x14ac:dyDescent="0.25">
      <c r="A105" s="5"/>
      <c r="B105" s="25"/>
      <c r="C105" s="25"/>
      <c r="D105" s="25"/>
      <c r="E105" s="25"/>
      <c r="F105" s="16"/>
      <c r="H105" s="29"/>
      <c r="I105" s="29"/>
      <c r="J105" s="29"/>
      <c r="K105" s="29"/>
      <c r="L105" s="29"/>
      <c r="M105" s="29"/>
      <c r="N105" s="29"/>
      <c r="O105" s="29"/>
      <c r="P105" s="29"/>
      <c r="Q105" s="29"/>
      <c r="R105" s="38"/>
    </row>
    <row r="106" spans="1:18" x14ac:dyDescent="0.25">
      <c r="A106" s="5"/>
      <c r="B106" s="25"/>
      <c r="C106" s="25"/>
      <c r="D106" s="25"/>
      <c r="E106" s="25"/>
      <c r="F106" s="16"/>
      <c r="H106" s="29"/>
      <c r="I106" s="29"/>
      <c r="J106" s="29"/>
      <c r="K106" s="29"/>
      <c r="L106" s="29"/>
      <c r="M106" s="29"/>
      <c r="N106" s="29"/>
      <c r="O106" s="29"/>
      <c r="P106" s="29"/>
      <c r="Q106" s="29"/>
      <c r="R106" s="38"/>
    </row>
    <row r="107" spans="1:18" x14ac:dyDescent="0.25">
      <c r="A107" s="5"/>
      <c r="B107" s="25"/>
      <c r="C107" s="25"/>
      <c r="D107" s="25"/>
      <c r="E107" s="25"/>
      <c r="F107" s="16"/>
      <c r="H107" s="29"/>
      <c r="I107" s="29"/>
      <c r="J107" s="29"/>
      <c r="K107" s="29"/>
      <c r="L107" s="29"/>
      <c r="M107" s="29"/>
      <c r="N107" s="29"/>
      <c r="O107" s="29"/>
      <c r="P107" s="29"/>
      <c r="Q107" s="29"/>
      <c r="R107" s="38"/>
    </row>
    <row r="108" spans="1:18" x14ac:dyDescent="0.25">
      <c r="A108" s="5"/>
      <c r="B108" s="25"/>
      <c r="C108" s="25"/>
      <c r="D108" s="25"/>
      <c r="E108" s="25"/>
      <c r="F108" s="16"/>
      <c r="H108" s="29"/>
      <c r="I108" s="29"/>
      <c r="J108" s="29"/>
      <c r="K108" s="29"/>
      <c r="L108" s="29"/>
      <c r="M108" s="29"/>
      <c r="N108" s="29"/>
      <c r="O108" s="29"/>
      <c r="P108" s="29"/>
      <c r="Q108" s="29"/>
      <c r="R108" s="38"/>
    </row>
    <row r="109" spans="1:18" x14ac:dyDescent="0.25">
      <c r="A109" s="5"/>
      <c r="B109" s="25"/>
      <c r="C109" s="25"/>
      <c r="D109" s="25"/>
      <c r="E109" s="25"/>
      <c r="F109" s="16"/>
      <c r="H109" s="29"/>
      <c r="I109" s="29"/>
      <c r="J109" s="29"/>
      <c r="K109" s="29"/>
      <c r="L109" s="29"/>
      <c r="M109" s="29"/>
      <c r="N109" s="29"/>
      <c r="O109" s="29"/>
      <c r="P109" s="29"/>
      <c r="Q109" s="29"/>
      <c r="R109" s="38"/>
    </row>
    <row r="110" spans="1:18" x14ac:dyDescent="0.25">
      <c r="A110" s="5"/>
      <c r="B110" s="25"/>
      <c r="C110" s="25"/>
      <c r="D110" s="25"/>
      <c r="E110" s="25"/>
      <c r="F110" s="16"/>
      <c r="H110" s="29"/>
      <c r="I110" s="29"/>
      <c r="J110" s="29"/>
      <c r="K110" s="29"/>
      <c r="L110" s="29"/>
      <c r="M110" s="29"/>
      <c r="N110" s="29"/>
      <c r="O110" s="29"/>
      <c r="P110" s="29"/>
      <c r="Q110" s="29"/>
      <c r="R110" s="38"/>
    </row>
    <row r="111" spans="1:18" x14ac:dyDescent="0.25">
      <c r="A111" s="5"/>
      <c r="B111" s="25"/>
      <c r="C111" s="25"/>
      <c r="D111" s="25"/>
      <c r="E111" s="25"/>
      <c r="F111" s="16"/>
      <c r="H111" s="29"/>
      <c r="I111" s="29"/>
      <c r="J111" s="29"/>
      <c r="K111" s="29"/>
      <c r="L111" s="29"/>
      <c r="M111" s="29"/>
      <c r="N111" s="29"/>
      <c r="O111" s="29"/>
      <c r="P111" s="29"/>
      <c r="Q111" s="29"/>
      <c r="R111" s="38"/>
    </row>
    <row r="112" spans="1:18" x14ac:dyDescent="0.25">
      <c r="A112" s="5"/>
      <c r="B112" s="25"/>
      <c r="C112" s="25"/>
      <c r="D112" s="25"/>
      <c r="E112" s="25"/>
      <c r="F112" s="16"/>
      <c r="H112" s="29"/>
      <c r="I112" s="29"/>
      <c r="J112" s="29"/>
      <c r="K112" s="29"/>
      <c r="L112" s="29"/>
      <c r="M112" s="29"/>
      <c r="N112" s="29"/>
      <c r="O112" s="29"/>
      <c r="P112" s="29"/>
      <c r="Q112" s="29"/>
      <c r="R112" s="38"/>
    </row>
    <row r="113" spans="1:18" x14ac:dyDescent="0.25">
      <c r="A113" s="5"/>
      <c r="B113" s="25"/>
      <c r="C113" s="25"/>
      <c r="D113" s="25"/>
      <c r="E113" s="25"/>
      <c r="F113" s="16"/>
      <c r="H113" s="29"/>
      <c r="I113" s="29"/>
      <c r="J113" s="29"/>
      <c r="K113" s="29"/>
      <c r="L113" s="29"/>
      <c r="M113" s="29"/>
      <c r="N113" s="29"/>
      <c r="O113" s="29"/>
      <c r="P113" s="29"/>
      <c r="Q113" s="29"/>
      <c r="R113" s="38"/>
    </row>
    <row r="114" spans="1:18" x14ac:dyDescent="0.25">
      <c r="A114" s="5"/>
      <c r="B114" s="25"/>
      <c r="C114" s="25"/>
      <c r="D114" s="25"/>
      <c r="E114" s="25"/>
      <c r="F114" s="16"/>
      <c r="H114" s="29"/>
      <c r="I114" s="29"/>
      <c r="J114" s="29"/>
      <c r="K114" s="29"/>
      <c r="L114" s="29"/>
      <c r="M114" s="29"/>
      <c r="N114" s="29"/>
      <c r="O114" s="29"/>
      <c r="P114" s="29"/>
      <c r="Q114" s="29"/>
      <c r="R114" s="38"/>
    </row>
    <row r="115" spans="1:18" x14ac:dyDescent="0.25">
      <c r="A115" s="5"/>
      <c r="B115" s="25"/>
      <c r="C115" s="25"/>
      <c r="D115" s="25"/>
      <c r="E115" s="25"/>
      <c r="F115" s="16"/>
      <c r="H115" s="29"/>
      <c r="I115" s="29"/>
      <c r="J115" s="29"/>
      <c r="K115" s="29"/>
      <c r="L115" s="29"/>
      <c r="M115" s="29"/>
      <c r="N115" s="29"/>
      <c r="O115" s="29"/>
      <c r="P115" s="29"/>
      <c r="Q115" s="29"/>
      <c r="R115" s="38"/>
    </row>
    <row r="116" spans="1:18" x14ac:dyDescent="0.25">
      <c r="A116" s="5"/>
      <c r="B116" s="25"/>
      <c r="C116" s="25"/>
      <c r="D116" s="25"/>
      <c r="E116" s="25"/>
      <c r="F116" s="16"/>
      <c r="H116" s="29"/>
      <c r="I116" s="29"/>
      <c r="J116" s="29"/>
      <c r="K116" s="29"/>
      <c r="L116" s="29"/>
      <c r="M116" s="29"/>
      <c r="N116" s="29"/>
      <c r="O116" s="29"/>
      <c r="P116" s="29"/>
      <c r="Q116" s="29"/>
      <c r="R116" s="38"/>
    </row>
    <row r="117" spans="1:18" x14ac:dyDescent="0.25">
      <c r="A117" s="5"/>
      <c r="B117" s="25"/>
      <c r="C117" s="25"/>
      <c r="D117" s="25"/>
      <c r="E117" s="25"/>
      <c r="F117" s="16"/>
      <c r="H117" s="29"/>
      <c r="I117" s="29"/>
      <c r="J117" s="29"/>
      <c r="K117" s="29"/>
      <c r="L117" s="29"/>
      <c r="M117" s="29"/>
      <c r="N117" s="29"/>
      <c r="O117" s="29"/>
      <c r="P117" s="29"/>
      <c r="Q117" s="29"/>
      <c r="R117" s="38"/>
    </row>
    <row r="118" spans="1:18" x14ac:dyDescent="0.25">
      <c r="A118" s="5"/>
      <c r="B118" s="25"/>
      <c r="C118" s="25"/>
      <c r="D118" s="25"/>
      <c r="E118" s="25"/>
      <c r="F118" s="16"/>
      <c r="H118" s="29"/>
      <c r="I118" s="29"/>
      <c r="J118" s="29"/>
      <c r="K118" s="29"/>
      <c r="L118" s="29"/>
      <c r="M118" s="29"/>
      <c r="N118" s="29"/>
      <c r="O118" s="29"/>
      <c r="P118" s="29"/>
      <c r="Q118" s="29"/>
      <c r="R118" s="38"/>
    </row>
    <row r="119" spans="1:18" x14ac:dyDescent="0.25">
      <c r="A119" s="5"/>
      <c r="B119" s="25"/>
      <c r="C119" s="25"/>
      <c r="D119" s="25"/>
      <c r="E119" s="25"/>
      <c r="F119" s="16"/>
      <c r="H119" s="29"/>
      <c r="I119" s="29"/>
      <c r="J119" s="29"/>
      <c r="K119" s="29"/>
      <c r="L119" s="29"/>
      <c r="M119" s="29"/>
      <c r="N119" s="29"/>
      <c r="O119" s="29"/>
      <c r="P119" s="29"/>
      <c r="Q119" s="29"/>
      <c r="R119" s="38"/>
    </row>
    <row r="120" spans="1:18" x14ac:dyDescent="0.25">
      <c r="A120" s="5"/>
      <c r="B120" s="25"/>
      <c r="C120" s="25"/>
      <c r="D120" s="25"/>
      <c r="E120" s="25"/>
      <c r="F120" s="16"/>
      <c r="H120" s="29"/>
      <c r="I120" s="29"/>
      <c r="J120" s="29"/>
      <c r="K120" s="29"/>
      <c r="L120" s="29"/>
      <c r="M120" s="29"/>
      <c r="N120" s="29"/>
      <c r="O120" s="29"/>
      <c r="P120" s="29"/>
      <c r="Q120" s="29"/>
      <c r="R120" s="38"/>
    </row>
    <row r="121" spans="1:18" x14ac:dyDescent="0.25">
      <c r="A121" s="5"/>
      <c r="B121" s="25"/>
      <c r="C121" s="25"/>
      <c r="D121" s="25"/>
      <c r="E121" s="25"/>
      <c r="F121" s="16"/>
      <c r="H121" s="29"/>
      <c r="I121" s="29"/>
      <c r="J121" s="29"/>
      <c r="K121" s="29"/>
      <c r="L121" s="29"/>
      <c r="M121" s="29"/>
      <c r="N121" s="29"/>
      <c r="O121" s="29"/>
      <c r="P121" s="29"/>
      <c r="Q121" s="29"/>
      <c r="R121" s="38"/>
    </row>
    <row r="122" spans="1:18" x14ac:dyDescent="0.25">
      <c r="A122" s="5"/>
      <c r="B122" s="25"/>
      <c r="C122" s="25"/>
      <c r="D122" s="25"/>
      <c r="E122" s="25"/>
      <c r="F122" s="16"/>
      <c r="H122" s="29"/>
      <c r="I122" s="29"/>
      <c r="J122" s="29"/>
      <c r="K122" s="29"/>
      <c r="L122" s="29"/>
      <c r="M122" s="29"/>
      <c r="N122" s="29"/>
      <c r="O122" s="29"/>
      <c r="P122" s="29"/>
      <c r="Q122" s="29"/>
      <c r="R122" s="38"/>
    </row>
    <row r="123" spans="1:18" x14ac:dyDescent="0.25">
      <c r="A123" s="5"/>
      <c r="B123" s="25"/>
      <c r="C123" s="25"/>
      <c r="D123" s="25"/>
      <c r="E123" s="25"/>
      <c r="F123" s="16"/>
      <c r="H123" s="29"/>
      <c r="I123" s="29"/>
      <c r="J123" s="29"/>
      <c r="K123" s="29"/>
      <c r="L123" s="29"/>
      <c r="M123" s="29"/>
      <c r="N123" s="29"/>
      <c r="O123" s="29"/>
      <c r="P123" s="29"/>
      <c r="Q123" s="29"/>
      <c r="R123" s="38"/>
    </row>
    <row r="124" spans="1:18" x14ac:dyDescent="0.25">
      <c r="A124" s="5"/>
      <c r="B124" s="25"/>
      <c r="C124" s="25"/>
      <c r="D124" s="25"/>
      <c r="E124" s="25"/>
      <c r="F124" s="16"/>
      <c r="H124" s="29"/>
      <c r="I124" s="29"/>
      <c r="J124" s="29"/>
      <c r="K124" s="29"/>
      <c r="L124" s="29"/>
      <c r="M124" s="29"/>
      <c r="N124" s="29"/>
      <c r="O124" s="29"/>
      <c r="P124" s="29"/>
      <c r="Q124" s="29"/>
      <c r="R124" s="38"/>
    </row>
    <row r="125" spans="1:18" x14ac:dyDescent="0.25">
      <c r="A125" s="5"/>
      <c r="B125" s="25"/>
      <c r="C125" s="25"/>
      <c r="D125" s="25"/>
      <c r="E125" s="25"/>
      <c r="F125" s="16"/>
      <c r="H125" s="29"/>
      <c r="I125" s="29"/>
      <c r="J125" s="29"/>
      <c r="K125" s="29"/>
      <c r="L125" s="29"/>
      <c r="M125" s="29"/>
      <c r="N125" s="29"/>
      <c r="O125" s="29"/>
      <c r="P125" s="29"/>
      <c r="Q125" s="29"/>
      <c r="R125" s="38"/>
    </row>
    <row r="126" spans="1:18" x14ac:dyDescent="0.25">
      <c r="A126" s="5"/>
      <c r="B126" s="25"/>
      <c r="C126" s="25"/>
      <c r="D126" s="25"/>
      <c r="E126" s="25"/>
      <c r="F126" s="16"/>
      <c r="H126" s="29"/>
      <c r="I126" s="29"/>
      <c r="J126" s="29"/>
      <c r="K126" s="29"/>
      <c r="L126" s="29"/>
      <c r="M126" s="29"/>
      <c r="N126" s="29"/>
      <c r="O126" s="29"/>
      <c r="P126" s="29"/>
      <c r="Q126" s="29"/>
      <c r="R126" s="38"/>
    </row>
    <row r="127" spans="1:18" x14ac:dyDescent="0.25">
      <c r="A127" s="5"/>
      <c r="B127" s="25"/>
      <c r="C127" s="25"/>
      <c r="D127" s="25"/>
      <c r="E127" s="25"/>
      <c r="F127" s="16"/>
      <c r="H127" s="29"/>
      <c r="I127" s="29"/>
      <c r="J127" s="29"/>
      <c r="K127" s="29"/>
      <c r="L127" s="29"/>
      <c r="M127" s="29"/>
      <c r="N127" s="29"/>
      <c r="O127" s="29"/>
      <c r="P127" s="29"/>
      <c r="Q127" s="29"/>
      <c r="R127" s="38"/>
    </row>
    <row r="128" spans="1:18" x14ac:dyDescent="0.25">
      <c r="A128" s="5"/>
      <c r="B128" s="25"/>
      <c r="C128" s="25"/>
      <c r="D128" s="25"/>
      <c r="E128" s="25"/>
      <c r="F128" s="16"/>
      <c r="H128" s="29"/>
      <c r="I128" s="29"/>
      <c r="J128" s="29"/>
      <c r="K128" s="29"/>
      <c r="L128" s="29"/>
      <c r="M128" s="29"/>
      <c r="N128" s="29"/>
      <c r="O128" s="29"/>
      <c r="P128" s="29"/>
      <c r="Q128" s="29"/>
      <c r="R128" s="38"/>
    </row>
    <row r="129" spans="1:18" x14ac:dyDescent="0.25">
      <c r="A129" s="5"/>
      <c r="B129" s="25"/>
      <c r="C129" s="25"/>
      <c r="D129" s="25"/>
      <c r="E129" s="25"/>
      <c r="F129" s="16"/>
      <c r="H129" s="29"/>
      <c r="I129" s="29"/>
      <c r="J129" s="29"/>
      <c r="K129" s="29"/>
      <c r="L129" s="29"/>
      <c r="M129" s="29"/>
      <c r="N129" s="29"/>
      <c r="O129" s="29"/>
      <c r="P129" s="29"/>
      <c r="Q129" s="29"/>
      <c r="R129" s="38"/>
    </row>
    <row r="130" spans="1:18" x14ac:dyDescent="0.25">
      <c r="A130" s="5"/>
      <c r="B130" s="25"/>
      <c r="C130" s="25"/>
      <c r="D130" s="25"/>
      <c r="E130" s="25"/>
      <c r="F130" s="16"/>
      <c r="H130" s="29"/>
      <c r="I130" s="29"/>
      <c r="J130" s="29"/>
      <c r="K130" s="29"/>
      <c r="L130" s="29"/>
      <c r="M130" s="29"/>
      <c r="N130" s="29"/>
      <c r="O130" s="29"/>
      <c r="P130" s="29"/>
      <c r="Q130" s="29"/>
      <c r="R130" s="38"/>
    </row>
    <row r="131" spans="1:18" x14ac:dyDescent="0.25">
      <c r="A131" s="5"/>
      <c r="B131" s="25"/>
      <c r="C131" s="25"/>
      <c r="D131" s="25"/>
      <c r="E131" s="25"/>
      <c r="F131" s="16"/>
      <c r="H131" s="29"/>
      <c r="I131" s="29"/>
      <c r="J131" s="29"/>
      <c r="K131" s="29"/>
      <c r="L131" s="29"/>
      <c r="M131" s="29"/>
      <c r="N131" s="29"/>
      <c r="O131" s="29"/>
      <c r="P131" s="29"/>
      <c r="Q131" s="29"/>
      <c r="R131" s="38"/>
    </row>
    <row r="132" spans="1:18" x14ac:dyDescent="0.25">
      <c r="A132" s="5"/>
      <c r="B132" s="25"/>
      <c r="C132" s="25"/>
      <c r="D132" s="25"/>
      <c r="E132" s="25"/>
      <c r="F132" s="16"/>
      <c r="H132" s="29"/>
      <c r="I132" s="29"/>
      <c r="J132" s="29"/>
      <c r="K132" s="29"/>
      <c r="L132" s="29"/>
      <c r="M132" s="29"/>
      <c r="N132" s="29"/>
      <c r="O132" s="29"/>
      <c r="P132" s="29"/>
      <c r="Q132" s="29"/>
      <c r="R132" s="38"/>
    </row>
    <row r="133" spans="1:18" x14ac:dyDescent="0.25">
      <c r="A133" s="5"/>
      <c r="B133" s="25"/>
      <c r="C133" s="25"/>
      <c r="D133" s="25"/>
      <c r="E133" s="25"/>
      <c r="F133" s="16"/>
      <c r="H133" s="29"/>
      <c r="I133" s="29"/>
      <c r="J133" s="29"/>
      <c r="K133" s="29"/>
      <c r="L133" s="29"/>
      <c r="M133" s="29"/>
      <c r="N133" s="29"/>
      <c r="O133" s="29"/>
      <c r="P133" s="29"/>
      <c r="Q133" s="29"/>
      <c r="R133" s="38"/>
    </row>
    <row r="134" spans="1:18" x14ac:dyDescent="0.25">
      <c r="A134" s="5"/>
      <c r="B134" s="25"/>
      <c r="C134" s="25"/>
      <c r="D134" s="25"/>
      <c r="E134" s="25"/>
      <c r="F134" s="16"/>
      <c r="H134" s="29"/>
      <c r="I134" s="29"/>
      <c r="J134" s="29"/>
      <c r="K134" s="29"/>
      <c r="L134" s="29"/>
      <c r="M134" s="29"/>
      <c r="N134" s="29"/>
      <c r="O134" s="29"/>
      <c r="P134" s="29"/>
      <c r="Q134" s="29"/>
      <c r="R134" s="38"/>
    </row>
    <row r="135" spans="1:18" x14ac:dyDescent="0.25">
      <c r="A135" s="5"/>
      <c r="B135" s="25"/>
      <c r="C135" s="25"/>
      <c r="D135" s="25"/>
      <c r="E135" s="25"/>
      <c r="F135" s="16"/>
      <c r="H135" s="29"/>
      <c r="I135" s="29"/>
      <c r="J135" s="29"/>
      <c r="K135" s="29"/>
      <c r="L135" s="29"/>
      <c r="M135" s="29"/>
      <c r="N135" s="29"/>
      <c r="O135" s="29"/>
      <c r="P135" s="29"/>
      <c r="Q135" s="29"/>
      <c r="R135" s="38"/>
    </row>
    <row r="136" spans="1:18" x14ac:dyDescent="0.25">
      <c r="A136" s="5"/>
      <c r="B136" s="25"/>
      <c r="C136" s="25"/>
      <c r="D136" s="25"/>
      <c r="E136" s="25"/>
      <c r="F136" s="16"/>
      <c r="H136" s="29"/>
      <c r="I136" s="29"/>
      <c r="J136" s="29"/>
      <c r="K136" s="29"/>
      <c r="L136" s="29"/>
      <c r="M136" s="29"/>
      <c r="N136" s="29"/>
      <c r="O136" s="29"/>
      <c r="P136" s="29"/>
      <c r="Q136" s="29"/>
      <c r="R136" s="38"/>
    </row>
    <row r="137" spans="1:18" x14ac:dyDescent="0.25">
      <c r="A137" s="5"/>
      <c r="B137" s="13"/>
      <c r="C137" s="13"/>
      <c r="D137" s="13"/>
      <c r="E137" s="13"/>
      <c r="F137" s="9"/>
      <c r="G137" s="29"/>
      <c r="H137" s="29"/>
      <c r="I137" s="29"/>
      <c r="J137" s="29"/>
      <c r="K137" s="29"/>
      <c r="L137" s="29"/>
      <c r="M137" s="29"/>
      <c r="N137" s="29"/>
      <c r="O137" s="29"/>
      <c r="P137" s="29"/>
      <c r="Q137" s="29"/>
      <c r="R137" s="38"/>
    </row>
    <row r="138" spans="1:18" x14ac:dyDescent="0.25">
      <c r="A138" s="5"/>
      <c r="B138" s="13"/>
      <c r="C138" s="13"/>
      <c r="D138" s="13"/>
      <c r="E138" s="13"/>
      <c r="F138" s="9"/>
      <c r="G138" s="29"/>
      <c r="H138" s="29"/>
      <c r="I138" s="29"/>
      <c r="J138" s="29"/>
      <c r="K138" s="29"/>
      <c r="L138" s="29"/>
      <c r="M138" s="29"/>
      <c r="N138" s="29"/>
      <c r="O138" s="29"/>
      <c r="P138" s="29"/>
      <c r="Q138" s="29"/>
      <c r="R138" s="38"/>
    </row>
    <row r="139" spans="1:18" x14ac:dyDescent="0.25">
      <c r="A139" s="5"/>
      <c r="B139" s="25"/>
      <c r="C139" s="25"/>
      <c r="D139" s="25"/>
      <c r="E139" s="25"/>
      <c r="F139" s="16"/>
      <c r="H139" s="29"/>
      <c r="I139" s="29"/>
      <c r="J139" s="29"/>
      <c r="K139" s="29"/>
      <c r="L139" s="29"/>
      <c r="M139" s="29"/>
      <c r="N139" s="29"/>
      <c r="O139" s="29"/>
      <c r="P139" s="29"/>
      <c r="Q139" s="29"/>
      <c r="R139" s="38"/>
    </row>
    <row r="140" spans="1:18" x14ac:dyDescent="0.25">
      <c r="A140" s="5"/>
      <c r="B140" s="25"/>
      <c r="C140" s="25"/>
      <c r="D140" s="25"/>
      <c r="E140" s="25"/>
      <c r="F140" s="16"/>
      <c r="H140" s="29"/>
      <c r="I140" s="29"/>
      <c r="J140" s="29"/>
      <c r="K140" s="29"/>
      <c r="L140" s="29"/>
      <c r="M140" s="29"/>
      <c r="N140" s="29"/>
      <c r="O140" s="29"/>
      <c r="P140" s="29"/>
      <c r="Q140" s="29"/>
      <c r="R140" s="38"/>
    </row>
    <row r="141" spans="1:18" x14ac:dyDescent="0.25">
      <c r="A141" s="5"/>
      <c r="B141" s="25"/>
      <c r="C141" s="25"/>
      <c r="D141" s="25"/>
      <c r="E141" s="25"/>
      <c r="F141" s="16"/>
      <c r="H141" s="29"/>
      <c r="I141" s="29"/>
      <c r="J141" s="29"/>
      <c r="K141" s="29"/>
      <c r="L141" s="29"/>
      <c r="M141" s="29"/>
      <c r="N141" s="29"/>
      <c r="O141" s="29"/>
      <c r="P141" s="29"/>
      <c r="Q141" s="29"/>
      <c r="R141" s="38"/>
    </row>
    <row r="142" spans="1:18" x14ac:dyDescent="0.25">
      <c r="A142" s="5"/>
      <c r="B142" s="25"/>
      <c r="C142" s="25"/>
      <c r="D142" s="25"/>
      <c r="E142" s="25"/>
      <c r="F142" s="16"/>
      <c r="H142" s="29"/>
      <c r="I142" s="29"/>
      <c r="J142" s="29"/>
      <c r="K142" s="29"/>
      <c r="L142" s="29"/>
      <c r="M142" s="29"/>
      <c r="N142" s="29"/>
      <c r="O142" s="29"/>
      <c r="P142" s="29"/>
      <c r="Q142" s="29"/>
      <c r="R142" s="38"/>
    </row>
    <row r="143" spans="1:18" x14ac:dyDescent="0.25">
      <c r="A143" s="5"/>
      <c r="B143" s="25"/>
      <c r="C143" s="25"/>
      <c r="D143" s="25"/>
      <c r="E143" s="25"/>
      <c r="F143" s="16"/>
      <c r="H143" s="29"/>
      <c r="I143" s="29"/>
      <c r="J143" s="29"/>
      <c r="K143" s="29"/>
      <c r="L143" s="29"/>
      <c r="M143" s="29"/>
      <c r="N143" s="29"/>
      <c r="O143" s="29"/>
      <c r="P143" s="29"/>
      <c r="Q143" s="29"/>
      <c r="R143" s="38"/>
    </row>
    <row r="144" spans="1:18" x14ac:dyDescent="0.25">
      <c r="A144" s="5"/>
      <c r="B144" s="25"/>
      <c r="C144" s="25"/>
      <c r="D144" s="25"/>
      <c r="E144" s="25"/>
      <c r="F144" s="16"/>
      <c r="H144" s="29"/>
      <c r="I144" s="29"/>
      <c r="J144" s="29"/>
      <c r="K144" s="29"/>
      <c r="L144" s="29"/>
      <c r="M144" s="29"/>
      <c r="N144" s="29"/>
      <c r="O144" s="29"/>
      <c r="P144" s="29"/>
      <c r="Q144" s="29"/>
      <c r="R144" s="38"/>
    </row>
    <row r="145" spans="1:18" x14ac:dyDescent="0.25">
      <c r="A145" s="5"/>
      <c r="B145" s="25"/>
      <c r="C145" s="25"/>
      <c r="D145" s="25"/>
      <c r="E145" s="25"/>
      <c r="F145" s="16"/>
      <c r="H145" s="29"/>
      <c r="I145" s="29"/>
      <c r="J145" s="29"/>
      <c r="K145" s="29"/>
      <c r="L145" s="29"/>
      <c r="M145" s="29"/>
      <c r="N145" s="29"/>
      <c r="O145" s="29"/>
      <c r="P145" s="29"/>
      <c r="Q145" s="29"/>
      <c r="R145" s="38"/>
    </row>
    <row r="146" spans="1:18" x14ac:dyDescent="0.25">
      <c r="A146" s="5"/>
      <c r="B146" s="25"/>
      <c r="C146" s="25"/>
      <c r="D146" s="25"/>
      <c r="E146" s="25"/>
      <c r="F146" s="16"/>
      <c r="H146" s="29"/>
      <c r="I146" s="29"/>
      <c r="J146" s="29"/>
      <c r="K146" s="29"/>
      <c r="L146" s="29"/>
      <c r="M146" s="29"/>
      <c r="N146" s="29"/>
      <c r="O146" s="29"/>
      <c r="P146" s="29"/>
      <c r="Q146" s="29"/>
      <c r="R146" s="38"/>
    </row>
    <row r="147" spans="1:18" x14ac:dyDescent="0.25">
      <c r="A147" s="5"/>
      <c r="B147" s="25"/>
      <c r="C147" s="25"/>
      <c r="D147" s="25"/>
      <c r="E147" s="25"/>
      <c r="F147" s="16"/>
      <c r="H147" s="29"/>
      <c r="I147" s="29"/>
      <c r="J147" s="29"/>
      <c r="K147" s="29"/>
      <c r="L147" s="29"/>
      <c r="M147" s="29"/>
      <c r="N147" s="29"/>
      <c r="O147" s="29"/>
      <c r="P147" s="29"/>
      <c r="Q147" s="29"/>
      <c r="R147" s="38"/>
    </row>
    <row r="148" spans="1:18" x14ac:dyDescent="0.25">
      <c r="A148" s="5"/>
      <c r="B148" s="25"/>
      <c r="C148" s="25"/>
      <c r="D148" s="25"/>
      <c r="E148" s="25"/>
      <c r="F148" s="16"/>
      <c r="H148" s="29"/>
      <c r="I148" s="29"/>
      <c r="J148" s="29"/>
      <c r="K148" s="29"/>
      <c r="L148" s="29"/>
      <c r="M148" s="29"/>
      <c r="N148" s="29"/>
      <c r="O148" s="29"/>
      <c r="P148" s="29"/>
      <c r="Q148" s="29"/>
      <c r="R148" s="38"/>
    </row>
    <row r="149" spans="1:18" x14ac:dyDescent="0.25">
      <c r="A149" s="5"/>
      <c r="B149" s="25"/>
      <c r="C149" s="25"/>
      <c r="D149" s="25"/>
      <c r="E149" s="25"/>
      <c r="F149" s="16"/>
      <c r="H149" s="29"/>
      <c r="I149" s="29"/>
      <c r="J149" s="29"/>
      <c r="K149" s="29"/>
      <c r="L149" s="29"/>
      <c r="M149" s="29"/>
      <c r="N149" s="29"/>
      <c r="O149" s="29"/>
      <c r="P149" s="29"/>
      <c r="Q149" s="29"/>
      <c r="R149" s="38"/>
    </row>
    <row r="150" spans="1:18" x14ac:dyDescent="0.25">
      <c r="A150" s="5"/>
      <c r="B150" s="25"/>
      <c r="C150" s="25"/>
      <c r="D150" s="25"/>
      <c r="E150" s="25"/>
      <c r="F150" s="16"/>
      <c r="H150" s="29"/>
      <c r="I150" s="29"/>
      <c r="J150" s="29"/>
      <c r="K150" s="29"/>
      <c r="L150" s="29"/>
      <c r="M150" s="29"/>
      <c r="N150" s="29"/>
      <c r="O150" s="29"/>
      <c r="P150" s="29"/>
      <c r="Q150" s="29"/>
      <c r="R150" s="38"/>
    </row>
    <row r="151" spans="1:18" x14ac:dyDescent="0.25">
      <c r="A151" s="5"/>
      <c r="B151" s="25"/>
      <c r="C151" s="25"/>
      <c r="D151" s="25"/>
      <c r="E151" s="25"/>
      <c r="F151" s="16"/>
      <c r="H151" s="29"/>
      <c r="I151" s="29"/>
      <c r="J151" s="29"/>
      <c r="K151" s="29"/>
      <c r="L151" s="29"/>
      <c r="M151" s="29"/>
      <c r="N151" s="29"/>
      <c r="O151" s="29"/>
      <c r="P151" s="29"/>
      <c r="Q151" s="29"/>
      <c r="R151" s="38"/>
    </row>
    <row r="152" spans="1:18" x14ac:dyDescent="0.25">
      <c r="A152" s="5"/>
      <c r="B152" s="25"/>
      <c r="C152" s="25"/>
      <c r="D152" s="25"/>
      <c r="E152" s="25"/>
      <c r="F152" s="16"/>
      <c r="H152" s="29"/>
      <c r="I152" s="29"/>
      <c r="J152" s="29"/>
      <c r="K152" s="29"/>
      <c r="L152" s="29"/>
      <c r="M152" s="29"/>
      <c r="N152" s="29"/>
      <c r="O152" s="29"/>
      <c r="P152" s="29"/>
      <c r="Q152" s="29"/>
      <c r="R152" s="38"/>
    </row>
    <row r="153" spans="1:18" x14ac:dyDescent="0.25">
      <c r="A153" s="5"/>
      <c r="B153" s="25"/>
      <c r="C153" s="25"/>
      <c r="D153" s="25"/>
      <c r="E153" s="25"/>
      <c r="F153" s="16"/>
      <c r="H153" s="29"/>
      <c r="I153" s="29"/>
      <c r="J153" s="29"/>
      <c r="K153" s="29"/>
      <c r="L153" s="29"/>
      <c r="M153" s="29"/>
      <c r="N153" s="29"/>
      <c r="O153" s="29"/>
      <c r="P153" s="29"/>
      <c r="Q153" s="29"/>
      <c r="R153" s="38"/>
    </row>
    <row r="154" spans="1:18" x14ac:dyDescent="0.25">
      <c r="A154" s="5"/>
      <c r="B154" s="25"/>
      <c r="C154" s="25"/>
      <c r="D154" s="25"/>
      <c r="E154" s="25"/>
      <c r="F154" s="16"/>
      <c r="H154" s="29"/>
      <c r="I154" s="29"/>
      <c r="J154" s="29"/>
      <c r="K154" s="29"/>
      <c r="L154" s="29"/>
      <c r="M154" s="29"/>
      <c r="N154" s="29"/>
      <c r="O154" s="29"/>
      <c r="P154" s="29"/>
      <c r="Q154" s="29"/>
      <c r="R154" s="38"/>
    </row>
    <row r="155" spans="1:18" x14ac:dyDescent="0.25">
      <c r="A155" s="5"/>
      <c r="B155" s="25"/>
      <c r="C155" s="25"/>
      <c r="D155" s="25"/>
      <c r="E155" s="25"/>
      <c r="F155" s="16"/>
      <c r="H155" s="29"/>
      <c r="I155" s="29"/>
      <c r="J155" s="29"/>
      <c r="K155" s="29"/>
      <c r="L155" s="29"/>
      <c r="M155" s="29"/>
      <c r="N155" s="29"/>
      <c r="O155" s="29"/>
      <c r="P155" s="29"/>
      <c r="Q155" s="29"/>
      <c r="R155" s="38"/>
    </row>
    <row r="156" spans="1:18" x14ac:dyDescent="0.25">
      <c r="A156" s="5"/>
      <c r="B156" s="25"/>
      <c r="C156" s="25"/>
      <c r="D156" s="25"/>
      <c r="E156" s="25"/>
      <c r="F156" s="16"/>
      <c r="H156" s="29"/>
      <c r="I156" s="29"/>
      <c r="J156" s="29"/>
      <c r="K156" s="29"/>
      <c r="L156" s="29"/>
      <c r="M156" s="29"/>
      <c r="N156" s="29"/>
      <c r="O156" s="29"/>
      <c r="P156" s="29"/>
      <c r="Q156" s="29"/>
      <c r="R156" s="38"/>
    </row>
    <row r="157" spans="1:18" x14ac:dyDescent="0.25">
      <c r="A157" s="5"/>
      <c r="B157" s="25"/>
      <c r="C157" s="25"/>
      <c r="D157" s="25"/>
      <c r="E157" s="25"/>
      <c r="F157" s="16"/>
      <c r="H157" s="29"/>
      <c r="I157" s="29"/>
      <c r="J157" s="29"/>
      <c r="K157" s="29"/>
      <c r="L157" s="29"/>
      <c r="M157" s="29"/>
      <c r="N157" s="29"/>
      <c r="O157" s="29"/>
      <c r="P157" s="29"/>
      <c r="Q157" s="29"/>
      <c r="R157" s="38"/>
    </row>
    <row r="158" spans="1:18" x14ac:dyDescent="0.25">
      <c r="A158" s="5"/>
      <c r="B158" s="25"/>
      <c r="C158" s="25"/>
      <c r="D158" s="25"/>
      <c r="E158" s="25"/>
      <c r="F158" s="16"/>
      <c r="H158" s="29"/>
      <c r="I158" s="29"/>
      <c r="J158" s="29"/>
      <c r="K158" s="29"/>
      <c r="L158" s="29"/>
      <c r="M158" s="29"/>
      <c r="N158" s="29"/>
      <c r="O158" s="29"/>
      <c r="P158" s="29"/>
      <c r="Q158" s="29"/>
      <c r="R158" s="38"/>
    </row>
    <row r="159" spans="1:18" x14ac:dyDescent="0.25">
      <c r="A159" s="5"/>
      <c r="B159" s="25"/>
      <c r="C159" s="25"/>
      <c r="D159" s="25"/>
      <c r="E159" s="25"/>
      <c r="F159" s="16"/>
      <c r="H159" s="29"/>
      <c r="I159" s="29"/>
      <c r="J159" s="29"/>
      <c r="K159" s="29"/>
      <c r="L159" s="29"/>
      <c r="M159" s="29"/>
      <c r="N159" s="29"/>
      <c r="O159" s="29"/>
      <c r="P159" s="29"/>
      <c r="Q159" s="29"/>
      <c r="R159" s="38"/>
    </row>
    <row r="160" spans="1:18" x14ac:dyDescent="0.25">
      <c r="A160" s="5"/>
      <c r="B160" s="25"/>
      <c r="C160" s="25"/>
      <c r="D160" s="25"/>
      <c r="E160" s="25"/>
      <c r="F160" s="16"/>
      <c r="H160" s="29"/>
      <c r="I160" s="29"/>
      <c r="J160" s="29"/>
      <c r="K160" s="29"/>
      <c r="L160" s="29"/>
      <c r="M160" s="29"/>
      <c r="N160" s="29"/>
      <c r="O160" s="29"/>
      <c r="P160" s="29"/>
      <c r="Q160" s="29"/>
      <c r="R160" s="38"/>
    </row>
    <row r="161" spans="1:18" x14ac:dyDescent="0.25">
      <c r="A161" s="5"/>
      <c r="B161" s="25"/>
      <c r="C161" s="25"/>
      <c r="D161" s="25"/>
      <c r="E161" s="25"/>
      <c r="F161" s="16"/>
      <c r="H161" s="29"/>
      <c r="I161" s="29"/>
      <c r="J161" s="29"/>
      <c r="K161" s="29"/>
      <c r="L161" s="29"/>
      <c r="M161" s="29"/>
      <c r="N161" s="29"/>
      <c r="O161" s="29"/>
      <c r="P161" s="29"/>
      <c r="Q161" s="29"/>
      <c r="R161" s="38"/>
    </row>
    <row r="162" spans="1:18" x14ac:dyDescent="0.25">
      <c r="A162" s="5"/>
      <c r="B162" s="25"/>
      <c r="C162" s="25"/>
      <c r="D162" s="25"/>
      <c r="E162" s="25"/>
      <c r="F162" s="16"/>
      <c r="H162" s="29"/>
      <c r="I162" s="29"/>
      <c r="J162" s="29"/>
      <c r="K162" s="29"/>
      <c r="L162" s="29"/>
      <c r="M162" s="29"/>
      <c r="N162" s="29"/>
      <c r="O162" s="29"/>
      <c r="P162" s="29"/>
      <c r="Q162" s="29"/>
      <c r="R162" s="38"/>
    </row>
    <row r="163" spans="1:18" x14ac:dyDescent="0.25">
      <c r="A163" s="5"/>
      <c r="B163" s="25"/>
      <c r="C163" s="25"/>
      <c r="D163" s="25"/>
      <c r="E163" s="25"/>
      <c r="F163" s="16"/>
      <c r="H163" s="29"/>
      <c r="I163" s="29"/>
      <c r="J163" s="29"/>
      <c r="K163" s="29"/>
      <c r="L163" s="29"/>
      <c r="M163" s="29"/>
      <c r="N163" s="29"/>
      <c r="O163" s="29"/>
      <c r="P163" s="29"/>
      <c r="Q163" s="29"/>
      <c r="R163" s="38"/>
    </row>
    <row r="164" spans="1:18" x14ac:dyDescent="0.25">
      <c r="A164" s="5"/>
      <c r="B164" s="25"/>
      <c r="C164" s="25"/>
      <c r="D164" s="25"/>
      <c r="E164" s="25"/>
      <c r="F164" s="16"/>
      <c r="H164" s="29"/>
      <c r="I164" s="29"/>
      <c r="J164" s="29"/>
      <c r="K164" s="29"/>
      <c r="L164" s="29"/>
      <c r="M164" s="29"/>
      <c r="N164" s="29"/>
      <c r="O164" s="29"/>
      <c r="P164" s="29"/>
      <c r="Q164" s="29"/>
      <c r="R164" s="38"/>
    </row>
    <row r="165" spans="1:18" x14ac:dyDescent="0.25">
      <c r="A165" s="5"/>
      <c r="B165" s="13"/>
      <c r="C165" s="13"/>
      <c r="D165" s="13"/>
      <c r="E165" s="13"/>
      <c r="F165" s="9"/>
      <c r="G165" s="29"/>
      <c r="H165" s="29"/>
      <c r="I165" s="29"/>
      <c r="J165" s="29"/>
      <c r="K165" s="29"/>
      <c r="L165" s="29"/>
      <c r="M165" s="29"/>
      <c r="N165" s="29"/>
      <c r="O165" s="29"/>
      <c r="P165" s="29"/>
      <c r="Q165" s="29"/>
      <c r="R165" s="38"/>
    </row>
    <row r="166" spans="1:18" x14ac:dyDescent="0.25">
      <c r="A166" s="5"/>
      <c r="B166" s="13"/>
      <c r="C166" s="13"/>
      <c r="D166" s="13"/>
      <c r="E166" s="13"/>
      <c r="F166" s="9"/>
      <c r="G166" s="29"/>
      <c r="H166" s="29"/>
      <c r="I166" s="29"/>
      <c r="J166" s="29"/>
      <c r="K166" s="29"/>
      <c r="L166" s="29"/>
      <c r="M166" s="29"/>
      <c r="N166" s="29"/>
      <c r="O166" s="29"/>
      <c r="P166" s="29"/>
      <c r="Q166" s="29"/>
      <c r="R166" s="38"/>
    </row>
    <row r="167" spans="1:18" x14ac:dyDescent="0.25">
      <c r="A167" s="5"/>
      <c r="B167" s="25"/>
      <c r="C167" s="25"/>
      <c r="D167" s="25"/>
      <c r="E167" s="25"/>
      <c r="F167" s="16"/>
      <c r="H167" s="29"/>
      <c r="I167" s="29"/>
      <c r="J167" s="29"/>
      <c r="K167" s="29"/>
      <c r="L167" s="29"/>
      <c r="M167" s="29"/>
      <c r="N167" s="29"/>
      <c r="O167" s="29"/>
      <c r="P167" s="29"/>
      <c r="Q167" s="29"/>
      <c r="R167" s="38"/>
    </row>
    <row r="168" spans="1:18" x14ac:dyDescent="0.25">
      <c r="A168" s="5"/>
      <c r="B168" s="25"/>
      <c r="C168" s="25"/>
      <c r="D168" s="25"/>
      <c r="E168" s="25"/>
      <c r="F168" s="16"/>
      <c r="H168" s="29"/>
      <c r="I168" s="29"/>
      <c r="J168" s="29"/>
      <c r="K168" s="29"/>
      <c r="L168" s="29"/>
      <c r="M168" s="29"/>
      <c r="N168" s="29"/>
      <c r="O168" s="29"/>
      <c r="P168" s="29"/>
      <c r="Q168" s="29"/>
      <c r="R168" s="38"/>
    </row>
    <row r="169" spans="1:18" x14ac:dyDescent="0.25">
      <c r="A169" s="5"/>
      <c r="B169" s="25"/>
      <c r="C169" s="25"/>
      <c r="D169" s="25"/>
      <c r="E169" s="25"/>
      <c r="F169" s="16"/>
      <c r="H169" s="29"/>
      <c r="I169" s="29"/>
      <c r="J169" s="29"/>
      <c r="K169" s="29"/>
      <c r="L169" s="29"/>
      <c r="M169" s="29"/>
      <c r="N169" s="29"/>
      <c r="O169" s="29"/>
      <c r="P169" s="29"/>
      <c r="Q169" s="29"/>
      <c r="R169" s="38"/>
    </row>
    <row r="170" spans="1:18" x14ac:dyDescent="0.25">
      <c r="A170" s="5"/>
      <c r="B170" s="25"/>
      <c r="C170" s="25"/>
      <c r="D170" s="25"/>
      <c r="E170" s="25"/>
      <c r="F170" s="16"/>
      <c r="H170" s="29"/>
      <c r="I170" s="29"/>
      <c r="J170" s="29"/>
      <c r="K170" s="29"/>
      <c r="L170" s="29"/>
      <c r="M170" s="29"/>
      <c r="N170" s="29"/>
      <c r="O170" s="29"/>
      <c r="P170" s="29"/>
      <c r="Q170" s="29"/>
      <c r="R170" s="38"/>
    </row>
    <row r="171" spans="1:18" x14ac:dyDescent="0.25">
      <c r="A171" s="5"/>
      <c r="B171" s="25"/>
      <c r="C171" s="25"/>
      <c r="D171" s="25"/>
      <c r="E171" s="25"/>
      <c r="F171" s="16"/>
      <c r="H171" s="29"/>
      <c r="I171" s="29"/>
      <c r="J171" s="29"/>
      <c r="K171" s="29"/>
      <c r="L171" s="29"/>
      <c r="M171" s="29"/>
      <c r="N171" s="29"/>
      <c r="O171" s="29"/>
      <c r="P171" s="29"/>
      <c r="Q171" s="29"/>
      <c r="R171" s="38"/>
    </row>
    <row r="172" spans="1:18" x14ac:dyDescent="0.25">
      <c r="A172" s="5"/>
      <c r="B172" s="25"/>
      <c r="C172" s="25"/>
      <c r="D172" s="25"/>
      <c r="E172" s="25"/>
      <c r="F172" s="16"/>
      <c r="H172" s="29"/>
      <c r="I172" s="29"/>
      <c r="J172" s="29"/>
      <c r="K172" s="29"/>
      <c r="L172" s="29"/>
      <c r="M172" s="29"/>
      <c r="N172" s="29"/>
      <c r="O172" s="29"/>
      <c r="P172" s="29"/>
      <c r="Q172" s="29"/>
      <c r="R172" s="38"/>
    </row>
    <row r="173" spans="1:18" x14ac:dyDescent="0.25">
      <c r="A173" s="5"/>
      <c r="B173" s="25"/>
      <c r="C173" s="25"/>
      <c r="D173" s="25"/>
      <c r="E173" s="25"/>
      <c r="F173" s="16"/>
      <c r="H173" s="29"/>
      <c r="I173" s="29"/>
      <c r="J173" s="29"/>
      <c r="K173" s="29"/>
      <c r="L173" s="29"/>
      <c r="M173" s="29"/>
      <c r="N173" s="29"/>
      <c r="O173" s="29"/>
      <c r="P173" s="29"/>
      <c r="Q173" s="29"/>
      <c r="R173" s="38"/>
    </row>
    <row r="174" spans="1:18" x14ac:dyDescent="0.25">
      <c r="A174" s="5"/>
      <c r="B174" s="25"/>
      <c r="C174" s="25"/>
      <c r="D174" s="25"/>
      <c r="E174" s="25"/>
      <c r="F174" s="16"/>
      <c r="H174" s="29"/>
      <c r="I174" s="29"/>
      <c r="J174" s="29"/>
      <c r="K174" s="29"/>
      <c r="L174" s="29"/>
      <c r="M174" s="29"/>
      <c r="N174" s="29"/>
      <c r="O174" s="29"/>
      <c r="P174" s="29"/>
      <c r="Q174" s="29"/>
      <c r="R174" s="38"/>
    </row>
    <row r="175" spans="1:18" x14ac:dyDescent="0.25">
      <c r="A175" s="5"/>
      <c r="B175" s="25"/>
      <c r="C175" s="25"/>
      <c r="D175" s="25"/>
      <c r="E175" s="25"/>
      <c r="F175" s="16"/>
      <c r="H175" s="29"/>
      <c r="I175" s="29"/>
      <c r="J175" s="29"/>
      <c r="K175" s="29"/>
      <c r="L175" s="29"/>
      <c r="M175" s="29"/>
      <c r="N175" s="29"/>
      <c r="O175" s="29"/>
      <c r="P175" s="29"/>
      <c r="Q175" s="29"/>
      <c r="R175" s="38"/>
    </row>
    <row r="176" spans="1:18" x14ac:dyDescent="0.25">
      <c r="A176" s="5"/>
      <c r="B176" s="25"/>
      <c r="C176" s="25"/>
      <c r="D176" s="25"/>
      <c r="E176" s="25"/>
      <c r="F176" s="16"/>
      <c r="H176" s="29"/>
      <c r="I176" s="29"/>
      <c r="J176" s="29"/>
      <c r="K176" s="29"/>
      <c r="L176" s="29"/>
      <c r="M176" s="29"/>
      <c r="N176" s="29"/>
      <c r="O176" s="29"/>
      <c r="P176" s="29"/>
      <c r="Q176" s="29"/>
      <c r="R176" s="38"/>
    </row>
    <row r="177" spans="1:18" x14ac:dyDescent="0.25">
      <c r="A177" s="5"/>
      <c r="B177" s="25"/>
      <c r="C177" s="25"/>
      <c r="D177" s="25"/>
      <c r="E177" s="25"/>
      <c r="F177" s="16"/>
      <c r="H177" s="29"/>
      <c r="I177" s="29"/>
      <c r="J177" s="29"/>
      <c r="K177" s="29"/>
      <c r="L177" s="29"/>
      <c r="M177" s="29"/>
      <c r="N177" s="29"/>
      <c r="O177" s="29"/>
      <c r="P177" s="29"/>
      <c r="Q177" s="29"/>
      <c r="R177" s="38"/>
    </row>
    <row r="178" spans="1:18" x14ac:dyDescent="0.25">
      <c r="A178" s="5"/>
      <c r="B178" s="25"/>
      <c r="C178" s="25"/>
      <c r="D178" s="25"/>
      <c r="E178" s="25"/>
      <c r="F178" s="16"/>
      <c r="H178" s="29"/>
      <c r="I178" s="29"/>
      <c r="J178" s="29"/>
      <c r="K178" s="29"/>
      <c r="L178" s="29"/>
      <c r="M178" s="29"/>
      <c r="N178" s="29"/>
      <c r="O178" s="29"/>
      <c r="P178" s="29"/>
      <c r="Q178" s="29"/>
      <c r="R178" s="38"/>
    </row>
    <row r="179" spans="1:18" x14ac:dyDescent="0.25">
      <c r="A179" s="5"/>
      <c r="B179" s="25"/>
      <c r="C179" s="25"/>
      <c r="D179" s="25"/>
      <c r="E179" s="25"/>
      <c r="F179" s="16"/>
      <c r="H179" s="29"/>
      <c r="I179" s="29"/>
      <c r="J179" s="29"/>
      <c r="K179" s="29"/>
      <c r="L179" s="29"/>
      <c r="M179" s="29"/>
      <c r="N179" s="29"/>
      <c r="O179" s="29"/>
      <c r="P179" s="29"/>
      <c r="Q179" s="29"/>
      <c r="R179" s="38"/>
    </row>
    <row r="180" spans="1:18" x14ac:dyDescent="0.25">
      <c r="A180" s="5"/>
      <c r="B180" s="25"/>
      <c r="C180" s="25"/>
      <c r="D180" s="25"/>
      <c r="E180" s="25"/>
      <c r="F180" s="16"/>
      <c r="H180" s="29"/>
      <c r="I180" s="29"/>
      <c r="J180" s="29"/>
      <c r="K180" s="29"/>
      <c r="L180" s="29"/>
      <c r="M180" s="29"/>
      <c r="N180" s="29"/>
      <c r="O180" s="29"/>
      <c r="P180" s="29"/>
      <c r="Q180" s="29"/>
      <c r="R180" s="38"/>
    </row>
    <row r="181" spans="1:18" x14ac:dyDescent="0.25">
      <c r="A181" s="5"/>
      <c r="B181" s="25"/>
      <c r="C181" s="25"/>
      <c r="D181" s="25"/>
      <c r="E181" s="25"/>
      <c r="F181" s="16"/>
      <c r="H181" s="29"/>
      <c r="I181" s="29"/>
      <c r="J181" s="29"/>
      <c r="K181" s="29"/>
      <c r="L181" s="29"/>
      <c r="M181" s="29"/>
      <c r="N181" s="29"/>
      <c r="O181" s="29"/>
      <c r="P181" s="29"/>
      <c r="Q181" s="29"/>
      <c r="R181" s="38"/>
    </row>
    <row r="182" spans="1:18" x14ac:dyDescent="0.25">
      <c r="A182" s="5"/>
      <c r="B182" s="25"/>
      <c r="C182" s="25"/>
      <c r="D182" s="25"/>
      <c r="E182" s="25"/>
      <c r="F182" s="16"/>
      <c r="H182" s="29"/>
      <c r="I182" s="29"/>
      <c r="J182" s="29"/>
      <c r="K182" s="29"/>
      <c r="L182" s="29"/>
      <c r="M182" s="29"/>
      <c r="N182" s="29"/>
      <c r="O182" s="29"/>
      <c r="P182" s="29"/>
      <c r="Q182" s="29"/>
      <c r="R182" s="38"/>
    </row>
    <row r="183" spans="1:18" x14ac:dyDescent="0.25">
      <c r="A183" s="5"/>
      <c r="B183" s="25"/>
      <c r="C183" s="25"/>
      <c r="D183" s="25"/>
      <c r="E183" s="25"/>
      <c r="F183" s="16"/>
      <c r="H183" s="29"/>
      <c r="I183" s="29"/>
      <c r="J183" s="29"/>
      <c r="K183" s="29"/>
      <c r="L183" s="29"/>
      <c r="M183" s="29"/>
      <c r="N183" s="29"/>
      <c r="O183" s="29"/>
      <c r="P183" s="29"/>
      <c r="Q183" s="29"/>
      <c r="R183" s="38"/>
    </row>
    <row r="184" spans="1:18" x14ac:dyDescent="0.25">
      <c r="A184" s="5"/>
      <c r="B184" s="25"/>
      <c r="C184" s="25"/>
      <c r="D184" s="25"/>
      <c r="E184" s="25"/>
      <c r="F184" s="16"/>
      <c r="H184" s="29"/>
      <c r="I184" s="29"/>
      <c r="J184" s="29"/>
      <c r="K184" s="29"/>
      <c r="L184" s="29"/>
      <c r="M184" s="29"/>
      <c r="N184" s="29"/>
      <c r="O184" s="29"/>
      <c r="P184" s="29"/>
      <c r="Q184" s="29"/>
      <c r="R184" s="38"/>
    </row>
    <row r="185" spans="1:18" x14ac:dyDescent="0.25">
      <c r="A185" s="5"/>
      <c r="B185" s="25"/>
      <c r="C185" s="25"/>
      <c r="D185" s="25"/>
      <c r="E185" s="25"/>
      <c r="F185" s="16"/>
      <c r="H185" s="29"/>
      <c r="I185" s="29"/>
      <c r="J185" s="29"/>
      <c r="K185" s="29"/>
      <c r="L185" s="29"/>
      <c r="M185" s="29"/>
      <c r="N185" s="29"/>
      <c r="O185" s="29"/>
      <c r="P185" s="29"/>
      <c r="Q185" s="29"/>
      <c r="R185" s="38"/>
    </row>
    <row r="186" spans="1:18" x14ac:dyDescent="0.25">
      <c r="A186" s="5"/>
      <c r="B186" s="25"/>
      <c r="C186" s="25"/>
      <c r="D186" s="25"/>
      <c r="E186" s="25"/>
      <c r="F186" s="16"/>
      <c r="H186" s="29"/>
      <c r="I186" s="29"/>
      <c r="J186" s="29"/>
      <c r="K186" s="29"/>
      <c r="L186" s="29"/>
      <c r="M186" s="29"/>
      <c r="N186" s="29"/>
      <c r="O186" s="29"/>
      <c r="P186" s="29"/>
      <c r="Q186" s="29"/>
      <c r="R186" s="38"/>
    </row>
    <row r="187" spans="1:18" x14ac:dyDescent="0.25">
      <c r="A187" s="5"/>
      <c r="B187" s="25"/>
      <c r="C187" s="25"/>
      <c r="D187" s="25"/>
      <c r="E187" s="25"/>
      <c r="F187" s="16"/>
      <c r="H187" s="29"/>
      <c r="I187" s="29"/>
      <c r="J187" s="29"/>
      <c r="K187" s="29"/>
      <c r="L187" s="29"/>
      <c r="M187" s="29"/>
      <c r="N187" s="29"/>
      <c r="O187" s="29"/>
      <c r="P187" s="29"/>
      <c r="Q187" s="29"/>
      <c r="R187" s="38"/>
    </row>
    <row r="188" spans="1:18" x14ac:dyDescent="0.25">
      <c r="A188" s="5"/>
      <c r="B188" s="25"/>
      <c r="C188" s="25"/>
      <c r="D188" s="25"/>
      <c r="E188" s="25"/>
      <c r="F188" s="16"/>
      <c r="H188" s="29"/>
      <c r="I188" s="29"/>
      <c r="J188" s="29"/>
      <c r="K188" s="29"/>
      <c r="L188" s="29"/>
      <c r="M188" s="29"/>
      <c r="N188" s="29"/>
      <c r="O188" s="29"/>
      <c r="P188" s="29"/>
      <c r="Q188" s="29"/>
      <c r="R188" s="38"/>
    </row>
    <row r="189" spans="1:18" x14ac:dyDescent="0.25">
      <c r="A189" s="5"/>
      <c r="B189" s="25"/>
      <c r="C189" s="25"/>
      <c r="D189" s="25"/>
      <c r="E189" s="25"/>
      <c r="F189" s="16"/>
      <c r="H189" s="29"/>
      <c r="I189" s="29"/>
      <c r="J189" s="29"/>
      <c r="K189" s="29"/>
      <c r="L189" s="29"/>
      <c r="M189" s="29"/>
      <c r="N189" s="29"/>
      <c r="O189" s="29"/>
      <c r="P189" s="29"/>
      <c r="Q189" s="29"/>
      <c r="R189" s="38"/>
    </row>
    <row r="190" spans="1:18" x14ac:dyDescent="0.25">
      <c r="A190" s="5"/>
      <c r="B190" s="25"/>
      <c r="C190" s="25"/>
      <c r="D190" s="25"/>
      <c r="E190" s="25"/>
      <c r="F190" s="16"/>
      <c r="H190" s="29"/>
      <c r="I190" s="29"/>
      <c r="J190" s="29"/>
      <c r="K190" s="29"/>
      <c r="L190" s="29"/>
      <c r="M190" s="29"/>
      <c r="N190" s="29"/>
      <c r="O190" s="29"/>
      <c r="P190" s="29"/>
      <c r="Q190" s="29"/>
      <c r="R190" s="38"/>
    </row>
    <row r="191" spans="1:18" x14ac:dyDescent="0.25">
      <c r="A191" s="5"/>
      <c r="B191" s="25"/>
      <c r="C191" s="25"/>
      <c r="D191" s="25"/>
      <c r="E191" s="25"/>
      <c r="F191" s="16"/>
      <c r="H191" s="29"/>
      <c r="I191" s="29"/>
      <c r="J191" s="29"/>
      <c r="K191" s="29"/>
      <c r="L191" s="29"/>
      <c r="M191" s="29"/>
      <c r="N191" s="29"/>
      <c r="O191" s="29"/>
      <c r="P191" s="29"/>
      <c r="Q191" s="29"/>
      <c r="R191" s="38"/>
    </row>
    <row r="192" spans="1:18" x14ac:dyDescent="0.25">
      <c r="A192" s="5"/>
      <c r="B192" s="25"/>
      <c r="C192" s="25"/>
      <c r="D192" s="25"/>
      <c r="E192" s="25"/>
      <c r="F192" s="16"/>
      <c r="H192" s="29"/>
      <c r="I192" s="29"/>
      <c r="J192" s="29"/>
      <c r="K192" s="29"/>
      <c r="L192" s="29"/>
      <c r="M192" s="29"/>
      <c r="N192" s="29"/>
      <c r="O192" s="29"/>
      <c r="P192" s="29"/>
      <c r="Q192" s="29"/>
      <c r="R192" s="38"/>
    </row>
    <row r="193" spans="1:18" x14ac:dyDescent="0.25">
      <c r="A193" s="5"/>
      <c r="B193" s="25"/>
      <c r="C193" s="25"/>
      <c r="D193" s="25"/>
      <c r="E193" s="25"/>
      <c r="F193" s="16"/>
      <c r="H193" s="29"/>
      <c r="I193" s="29"/>
      <c r="J193" s="29"/>
      <c r="K193" s="29"/>
      <c r="L193" s="29"/>
      <c r="M193" s="29"/>
      <c r="N193" s="29"/>
      <c r="O193" s="29"/>
      <c r="P193" s="29"/>
      <c r="Q193" s="29"/>
      <c r="R193" s="38"/>
    </row>
    <row r="194" spans="1:18" x14ac:dyDescent="0.25">
      <c r="A194" s="5"/>
      <c r="B194" s="25"/>
      <c r="C194" s="25"/>
      <c r="D194" s="25"/>
      <c r="E194" s="25"/>
      <c r="F194" s="16"/>
      <c r="H194" s="29"/>
      <c r="I194" s="29"/>
      <c r="J194" s="29"/>
      <c r="K194" s="29"/>
      <c r="L194" s="29"/>
      <c r="M194" s="29"/>
      <c r="N194" s="29"/>
      <c r="O194" s="29"/>
      <c r="P194" s="29"/>
      <c r="Q194" s="29"/>
      <c r="R194" s="38"/>
    </row>
    <row r="195" spans="1:18" x14ac:dyDescent="0.25">
      <c r="A195" s="5"/>
      <c r="B195" s="25"/>
      <c r="C195" s="25"/>
      <c r="D195" s="25"/>
      <c r="E195" s="25"/>
      <c r="F195" s="16"/>
      <c r="H195" s="29"/>
      <c r="I195" s="29"/>
      <c r="J195" s="29"/>
      <c r="K195" s="29"/>
      <c r="L195" s="29"/>
      <c r="M195" s="29"/>
      <c r="N195" s="29"/>
      <c r="O195" s="29"/>
      <c r="P195" s="29"/>
      <c r="Q195" s="29"/>
      <c r="R195" s="38"/>
    </row>
    <row r="196" spans="1:18" x14ac:dyDescent="0.25">
      <c r="A196" s="5"/>
      <c r="B196" s="25"/>
      <c r="C196" s="25"/>
      <c r="D196" s="25"/>
      <c r="E196" s="25"/>
      <c r="F196" s="16"/>
      <c r="H196" s="29"/>
      <c r="I196" s="29"/>
      <c r="J196" s="29"/>
      <c r="K196" s="29"/>
      <c r="L196" s="29"/>
      <c r="M196" s="29"/>
      <c r="N196" s="29"/>
      <c r="O196" s="29"/>
      <c r="P196" s="29"/>
      <c r="Q196" s="29"/>
      <c r="R196" s="38"/>
    </row>
    <row r="197" spans="1:18" x14ac:dyDescent="0.25">
      <c r="A197" s="5"/>
      <c r="B197" s="25"/>
      <c r="C197" s="25"/>
      <c r="D197" s="25"/>
      <c r="E197" s="25"/>
      <c r="F197" s="16"/>
      <c r="H197" s="29"/>
      <c r="I197" s="29"/>
      <c r="J197" s="29"/>
      <c r="K197" s="29"/>
      <c r="L197" s="29"/>
      <c r="M197" s="29"/>
      <c r="N197" s="29"/>
      <c r="O197" s="29"/>
      <c r="P197" s="29"/>
      <c r="Q197" s="29"/>
      <c r="R197" s="38"/>
    </row>
    <row r="198" spans="1:18" x14ac:dyDescent="0.25">
      <c r="A198" s="5"/>
      <c r="B198" s="25"/>
      <c r="C198" s="25"/>
      <c r="D198" s="25"/>
      <c r="E198" s="25"/>
      <c r="F198" s="16"/>
      <c r="H198" s="29"/>
      <c r="I198" s="29"/>
      <c r="J198" s="29"/>
      <c r="K198" s="29"/>
      <c r="L198" s="29"/>
      <c r="M198" s="29"/>
      <c r="N198" s="29"/>
      <c r="O198" s="29"/>
      <c r="P198" s="29"/>
      <c r="Q198" s="29"/>
      <c r="R198" s="38"/>
    </row>
    <row r="199" spans="1:18" x14ac:dyDescent="0.25">
      <c r="A199" s="5"/>
      <c r="B199" s="25"/>
      <c r="C199" s="25"/>
      <c r="D199" s="25"/>
      <c r="E199" s="25"/>
      <c r="F199" s="16"/>
      <c r="H199" s="29"/>
      <c r="I199" s="29"/>
      <c r="J199" s="29"/>
      <c r="K199" s="29"/>
      <c r="L199" s="29"/>
      <c r="M199" s="29"/>
      <c r="N199" s="29"/>
      <c r="O199" s="29"/>
      <c r="P199" s="29"/>
      <c r="Q199" s="29"/>
      <c r="R199" s="38"/>
    </row>
    <row r="200" spans="1:18" x14ac:dyDescent="0.25">
      <c r="A200" s="5"/>
      <c r="B200" s="25"/>
      <c r="C200" s="25"/>
      <c r="D200" s="25"/>
      <c r="E200" s="25"/>
      <c r="F200" s="16"/>
      <c r="H200" s="29"/>
      <c r="I200" s="29"/>
      <c r="J200" s="29"/>
      <c r="K200" s="29"/>
      <c r="L200" s="29"/>
      <c r="M200" s="29"/>
      <c r="N200" s="29"/>
      <c r="O200" s="29"/>
      <c r="P200" s="29"/>
      <c r="Q200" s="29"/>
      <c r="R200" s="38"/>
    </row>
    <row r="201" spans="1:18" x14ac:dyDescent="0.25">
      <c r="A201" s="5"/>
      <c r="B201" s="25"/>
      <c r="C201" s="25"/>
      <c r="D201" s="25"/>
      <c r="E201" s="25"/>
      <c r="F201" s="16"/>
      <c r="H201" s="29"/>
      <c r="I201" s="29"/>
      <c r="J201" s="29"/>
      <c r="K201" s="29"/>
      <c r="L201" s="29"/>
      <c r="M201" s="29"/>
      <c r="N201" s="29"/>
      <c r="O201" s="29"/>
      <c r="P201" s="29"/>
      <c r="Q201" s="29"/>
      <c r="R201" s="38"/>
    </row>
    <row r="202" spans="1:18" x14ac:dyDescent="0.25">
      <c r="A202" s="5"/>
      <c r="B202" s="25"/>
      <c r="C202" s="25"/>
      <c r="D202" s="25"/>
      <c r="E202" s="25"/>
      <c r="F202" s="16"/>
      <c r="H202" s="29"/>
      <c r="I202" s="29"/>
      <c r="J202" s="29"/>
      <c r="K202" s="29"/>
      <c r="L202" s="29"/>
      <c r="M202" s="29"/>
      <c r="N202" s="29"/>
      <c r="O202" s="29"/>
      <c r="P202" s="29"/>
      <c r="Q202" s="29"/>
      <c r="R202" s="38"/>
    </row>
    <row r="203" spans="1:18" x14ac:dyDescent="0.25">
      <c r="A203" s="5"/>
      <c r="B203" s="25"/>
      <c r="C203" s="25"/>
      <c r="D203" s="25"/>
      <c r="E203" s="25"/>
      <c r="F203" s="16"/>
      <c r="H203" s="29"/>
      <c r="I203" s="29"/>
      <c r="J203" s="29"/>
      <c r="K203" s="29"/>
      <c r="L203" s="29"/>
      <c r="M203" s="29"/>
      <c r="N203" s="29"/>
      <c r="O203" s="29"/>
      <c r="P203" s="29"/>
      <c r="Q203" s="29"/>
      <c r="R203" s="38"/>
    </row>
    <row r="204" spans="1:18" x14ac:dyDescent="0.25">
      <c r="A204" s="5"/>
      <c r="B204" s="25"/>
      <c r="C204" s="25"/>
      <c r="D204" s="25"/>
      <c r="E204" s="25"/>
      <c r="F204" s="16"/>
      <c r="H204" s="29"/>
      <c r="I204" s="29"/>
      <c r="J204" s="29"/>
      <c r="K204" s="29"/>
      <c r="L204" s="29"/>
      <c r="M204" s="29"/>
      <c r="N204" s="29"/>
      <c r="O204" s="29"/>
      <c r="P204" s="29"/>
      <c r="Q204" s="29"/>
      <c r="R204" s="38"/>
    </row>
    <row r="205" spans="1:18" x14ac:dyDescent="0.25">
      <c r="A205" s="5"/>
      <c r="B205" s="25"/>
      <c r="C205" s="25"/>
      <c r="D205" s="25"/>
      <c r="E205" s="25"/>
      <c r="F205" s="16"/>
      <c r="H205" s="29"/>
      <c r="I205" s="29"/>
      <c r="J205" s="29"/>
      <c r="K205" s="29"/>
      <c r="L205" s="29"/>
      <c r="M205" s="29"/>
      <c r="N205" s="29"/>
      <c r="O205" s="29"/>
      <c r="P205" s="29"/>
      <c r="Q205" s="29"/>
      <c r="R205" s="38"/>
    </row>
    <row r="206" spans="1:18" x14ac:dyDescent="0.25">
      <c r="A206" s="5"/>
      <c r="B206" s="25"/>
      <c r="C206" s="25"/>
      <c r="D206" s="25"/>
      <c r="E206" s="25"/>
      <c r="F206" s="16"/>
      <c r="H206" s="29"/>
      <c r="I206" s="29"/>
      <c r="J206" s="29"/>
      <c r="K206" s="29"/>
      <c r="L206" s="29"/>
      <c r="M206" s="29"/>
      <c r="N206" s="29"/>
      <c r="O206" s="29"/>
      <c r="P206" s="29"/>
      <c r="Q206" s="29"/>
      <c r="R206" s="38"/>
    </row>
    <row r="207" spans="1:18" x14ac:dyDescent="0.25">
      <c r="A207" s="5"/>
      <c r="B207" s="25"/>
      <c r="C207" s="25"/>
      <c r="D207" s="25"/>
      <c r="E207" s="25"/>
      <c r="F207" s="16"/>
      <c r="H207" s="29"/>
      <c r="I207" s="29"/>
      <c r="J207" s="29"/>
      <c r="K207" s="29"/>
      <c r="L207" s="29"/>
      <c r="M207" s="29"/>
      <c r="N207" s="29"/>
      <c r="O207" s="29"/>
      <c r="P207" s="29"/>
      <c r="Q207" s="29"/>
      <c r="R207" s="38"/>
    </row>
    <row r="208" spans="1:18" x14ac:dyDescent="0.25">
      <c r="A208" s="5"/>
      <c r="B208" s="25"/>
      <c r="C208" s="25"/>
      <c r="D208" s="25"/>
      <c r="E208" s="25"/>
      <c r="F208" s="16"/>
      <c r="H208" s="29"/>
      <c r="I208" s="29"/>
      <c r="J208" s="29"/>
      <c r="K208" s="29"/>
      <c r="L208" s="29"/>
      <c r="M208" s="29"/>
      <c r="N208" s="29"/>
      <c r="O208" s="29"/>
      <c r="P208" s="29"/>
      <c r="Q208" s="29"/>
      <c r="R208" s="38"/>
    </row>
    <row r="209" spans="1:18" x14ac:dyDescent="0.25">
      <c r="A209" s="5"/>
      <c r="B209" s="25"/>
      <c r="C209" s="25"/>
      <c r="D209" s="25"/>
      <c r="E209" s="25"/>
      <c r="F209" s="16"/>
      <c r="H209" s="29"/>
      <c r="I209" s="29"/>
      <c r="J209" s="29"/>
      <c r="K209" s="29"/>
      <c r="L209" s="29"/>
      <c r="M209" s="29"/>
      <c r="N209" s="29"/>
      <c r="O209" s="29"/>
      <c r="P209" s="29"/>
      <c r="Q209" s="29"/>
      <c r="R209" s="38"/>
    </row>
    <row r="210" spans="1:18" x14ac:dyDescent="0.25">
      <c r="A210" s="5"/>
      <c r="B210" s="25"/>
      <c r="C210" s="25"/>
      <c r="D210" s="25"/>
      <c r="E210" s="25"/>
      <c r="F210" s="16"/>
      <c r="H210" s="29"/>
      <c r="I210" s="29"/>
      <c r="J210" s="29"/>
      <c r="K210" s="29"/>
      <c r="L210" s="29"/>
      <c r="M210" s="29"/>
      <c r="N210" s="29"/>
      <c r="O210" s="29"/>
      <c r="P210" s="29"/>
      <c r="Q210" s="29"/>
      <c r="R210" s="38"/>
    </row>
    <row r="211" spans="1:18" x14ac:dyDescent="0.25">
      <c r="A211" s="5"/>
      <c r="B211" s="25"/>
      <c r="C211" s="25"/>
      <c r="D211" s="25"/>
      <c r="E211" s="25"/>
      <c r="F211" s="16"/>
      <c r="H211" s="29"/>
      <c r="I211" s="29"/>
      <c r="J211" s="29"/>
      <c r="K211" s="29"/>
      <c r="L211" s="29"/>
      <c r="M211" s="29"/>
      <c r="N211" s="29"/>
      <c r="O211" s="29"/>
      <c r="P211" s="29"/>
      <c r="Q211" s="29"/>
      <c r="R211" s="38"/>
    </row>
    <row r="212" spans="1:18" x14ac:dyDescent="0.25">
      <c r="A212" s="5"/>
      <c r="B212" s="25"/>
      <c r="C212" s="25"/>
      <c r="D212" s="25"/>
      <c r="E212" s="25"/>
      <c r="F212" s="16"/>
      <c r="H212" s="29"/>
      <c r="I212" s="29"/>
      <c r="J212" s="29"/>
      <c r="K212" s="29"/>
      <c r="L212" s="29"/>
      <c r="M212" s="29"/>
      <c r="N212" s="29"/>
      <c r="O212" s="29"/>
      <c r="P212" s="29"/>
      <c r="Q212" s="29"/>
      <c r="R212" s="38"/>
    </row>
    <row r="213" spans="1:18" x14ac:dyDescent="0.25">
      <c r="A213" s="5"/>
      <c r="B213" s="25"/>
      <c r="C213" s="25"/>
      <c r="D213" s="25"/>
      <c r="E213" s="25"/>
      <c r="F213" s="16"/>
      <c r="H213" s="29"/>
      <c r="I213" s="29"/>
      <c r="J213" s="29"/>
      <c r="K213" s="29"/>
      <c r="L213" s="29"/>
      <c r="M213" s="29"/>
      <c r="N213" s="29"/>
      <c r="O213" s="29"/>
      <c r="P213" s="29"/>
      <c r="Q213" s="29"/>
      <c r="R213" s="38"/>
    </row>
    <row r="214" spans="1:18" x14ac:dyDescent="0.25">
      <c r="A214" s="5"/>
      <c r="B214" s="25"/>
      <c r="C214" s="25"/>
      <c r="D214" s="25"/>
      <c r="E214" s="25"/>
      <c r="F214" s="16"/>
      <c r="H214" s="29"/>
      <c r="I214" s="29"/>
      <c r="J214" s="29"/>
      <c r="K214" s="29"/>
      <c r="L214" s="29"/>
      <c r="M214" s="29"/>
      <c r="N214" s="29"/>
      <c r="O214" s="29"/>
      <c r="P214" s="29"/>
      <c r="Q214" s="29"/>
      <c r="R214" s="38"/>
    </row>
    <row r="215" spans="1:18" x14ac:dyDescent="0.25">
      <c r="A215" s="5"/>
      <c r="B215" s="25"/>
      <c r="C215" s="25"/>
      <c r="D215" s="25"/>
      <c r="E215" s="25"/>
      <c r="F215" s="16"/>
      <c r="H215" s="29"/>
      <c r="I215" s="29"/>
      <c r="J215" s="29"/>
      <c r="K215" s="29"/>
      <c r="L215" s="29"/>
      <c r="M215" s="29"/>
      <c r="N215" s="29"/>
      <c r="O215" s="29"/>
      <c r="P215" s="29"/>
      <c r="Q215" s="29"/>
      <c r="R215" s="38"/>
    </row>
    <row r="216" spans="1:18" x14ac:dyDescent="0.25">
      <c r="A216" s="5"/>
      <c r="B216" s="25"/>
      <c r="C216" s="25"/>
      <c r="D216" s="25"/>
      <c r="E216" s="25"/>
      <c r="F216" s="16"/>
      <c r="H216" s="29"/>
      <c r="I216" s="29"/>
      <c r="J216" s="29"/>
      <c r="K216" s="29"/>
      <c r="L216" s="29"/>
      <c r="M216" s="29"/>
      <c r="N216" s="29"/>
      <c r="O216" s="29"/>
      <c r="P216" s="29"/>
      <c r="Q216" s="29"/>
      <c r="R216" s="38"/>
    </row>
    <row r="217" spans="1:18" x14ac:dyDescent="0.25">
      <c r="A217" s="5"/>
      <c r="B217" s="25"/>
      <c r="C217" s="25"/>
      <c r="D217" s="25"/>
      <c r="E217" s="25"/>
      <c r="F217" s="16"/>
      <c r="H217" s="29"/>
      <c r="I217" s="29"/>
      <c r="J217" s="29"/>
      <c r="K217" s="29"/>
      <c r="L217" s="29"/>
      <c r="M217" s="29"/>
      <c r="N217" s="29"/>
      <c r="O217" s="29"/>
      <c r="P217" s="29"/>
      <c r="Q217" s="29"/>
      <c r="R217" s="38"/>
    </row>
    <row r="218" spans="1:18" x14ac:dyDescent="0.25">
      <c r="A218" s="5"/>
      <c r="B218" s="25"/>
      <c r="C218" s="25"/>
      <c r="D218" s="25"/>
      <c r="E218" s="25"/>
      <c r="F218" s="16"/>
      <c r="H218" s="29"/>
      <c r="I218" s="29"/>
      <c r="J218" s="29"/>
      <c r="K218" s="29"/>
      <c r="L218" s="29"/>
      <c r="M218" s="29"/>
      <c r="N218" s="29"/>
      <c r="O218" s="29"/>
      <c r="P218" s="29"/>
      <c r="Q218" s="29"/>
      <c r="R218" s="38"/>
    </row>
    <row r="219" spans="1:18" x14ac:dyDescent="0.25">
      <c r="A219" s="5"/>
      <c r="B219" s="25"/>
      <c r="C219" s="25"/>
      <c r="D219" s="25"/>
      <c r="E219" s="25"/>
      <c r="F219" s="16"/>
      <c r="H219" s="29"/>
      <c r="I219" s="29"/>
      <c r="J219" s="29"/>
      <c r="K219" s="29"/>
      <c r="L219" s="29"/>
      <c r="M219" s="29"/>
      <c r="N219" s="29"/>
      <c r="O219" s="29"/>
      <c r="P219" s="29"/>
      <c r="Q219" s="29"/>
      <c r="R219" s="38"/>
    </row>
    <row r="220" spans="1:18" x14ac:dyDescent="0.25">
      <c r="A220" s="5"/>
      <c r="B220" s="25"/>
      <c r="C220" s="25"/>
      <c r="D220" s="25"/>
      <c r="E220" s="25"/>
      <c r="F220" s="16"/>
      <c r="H220" s="29"/>
      <c r="I220" s="29"/>
      <c r="J220" s="29"/>
      <c r="K220" s="29"/>
      <c r="L220" s="29"/>
      <c r="M220" s="29"/>
      <c r="N220" s="29"/>
      <c r="O220" s="29"/>
      <c r="P220" s="29"/>
      <c r="Q220" s="29"/>
      <c r="R220" s="38"/>
    </row>
    <row r="221" spans="1:18" x14ac:dyDescent="0.25">
      <c r="A221" s="5"/>
      <c r="B221" s="25"/>
      <c r="C221" s="25"/>
      <c r="D221" s="25"/>
      <c r="E221" s="25"/>
      <c r="F221" s="16"/>
      <c r="H221" s="29"/>
      <c r="I221" s="29"/>
      <c r="J221" s="29"/>
      <c r="K221" s="29"/>
      <c r="L221" s="29"/>
      <c r="M221" s="29"/>
      <c r="N221" s="29"/>
      <c r="O221" s="29"/>
      <c r="P221" s="29"/>
      <c r="Q221" s="29"/>
      <c r="R221" s="38"/>
    </row>
    <row r="222" spans="1:18" x14ac:dyDescent="0.25">
      <c r="A222" s="5"/>
      <c r="B222" s="25"/>
      <c r="C222" s="25"/>
      <c r="D222" s="25"/>
      <c r="E222" s="25"/>
      <c r="F222" s="16"/>
      <c r="H222" s="29"/>
      <c r="I222" s="29"/>
      <c r="J222" s="29"/>
      <c r="K222" s="29"/>
      <c r="L222" s="29"/>
      <c r="M222" s="29"/>
      <c r="N222" s="29"/>
      <c r="O222" s="29"/>
      <c r="P222" s="29"/>
      <c r="Q222" s="29"/>
      <c r="R222" s="38"/>
    </row>
    <row r="223" spans="1:18" x14ac:dyDescent="0.25">
      <c r="A223" s="5"/>
      <c r="B223" s="13"/>
      <c r="C223" s="13"/>
      <c r="D223" s="13"/>
      <c r="E223" s="13"/>
      <c r="F223" s="9"/>
      <c r="G223" s="29"/>
      <c r="H223" s="29"/>
      <c r="I223" s="29"/>
      <c r="J223" s="29"/>
      <c r="K223" s="29"/>
      <c r="L223" s="29"/>
      <c r="M223" s="29"/>
      <c r="N223" s="29"/>
      <c r="O223" s="29"/>
      <c r="P223" s="29"/>
      <c r="Q223" s="29"/>
      <c r="R223" s="38"/>
    </row>
    <row r="224" spans="1:18" x14ac:dyDescent="0.25">
      <c r="A224" s="5"/>
      <c r="B224" s="13"/>
      <c r="C224" s="13"/>
      <c r="D224" s="13"/>
      <c r="E224" s="13"/>
      <c r="F224" s="9"/>
      <c r="G224" s="29"/>
      <c r="H224" s="29"/>
      <c r="I224" s="29"/>
      <c r="J224" s="29"/>
      <c r="K224" s="29"/>
      <c r="L224" s="29"/>
      <c r="M224" s="29"/>
      <c r="N224" s="29"/>
      <c r="O224" s="29"/>
      <c r="P224" s="29"/>
      <c r="Q224" s="29"/>
      <c r="R224" s="38"/>
    </row>
    <row r="225" spans="1:18" x14ac:dyDescent="0.25">
      <c r="A225" s="5"/>
      <c r="B225" s="13"/>
      <c r="C225" s="13"/>
      <c r="D225" s="13"/>
      <c r="E225" s="13"/>
      <c r="F225" s="9"/>
      <c r="G225" s="29"/>
      <c r="H225" s="29"/>
      <c r="I225" s="29"/>
      <c r="J225" s="29"/>
      <c r="K225" s="29"/>
      <c r="L225" s="29"/>
      <c r="M225" s="29"/>
      <c r="N225" s="29"/>
      <c r="O225" s="29"/>
      <c r="P225" s="29"/>
      <c r="Q225" s="29"/>
      <c r="R225" s="38"/>
    </row>
    <row r="226" spans="1:18" x14ac:dyDescent="0.25">
      <c r="A226" s="5"/>
      <c r="B226" s="13"/>
      <c r="C226" s="13"/>
      <c r="D226" s="13"/>
      <c r="E226" s="13"/>
      <c r="F226" s="9"/>
      <c r="G226" s="29"/>
      <c r="H226" s="29"/>
      <c r="I226" s="29"/>
      <c r="J226" s="29"/>
      <c r="K226" s="29"/>
      <c r="L226" s="29"/>
      <c r="M226" s="29"/>
      <c r="N226" s="29"/>
      <c r="O226" s="29"/>
      <c r="P226" s="29"/>
      <c r="Q226" s="29"/>
      <c r="R226" s="38"/>
    </row>
    <row r="227" spans="1:18" x14ac:dyDescent="0.25">
      <c r="A227" s="5"/>
      <c r="B227" s="13"/>
      <c r="C227" s="13"/>
      <c r="D227" s="13"/>
      <c r="E227" s="13"/>
      <c r="F227" s="9"/>
      <c r="G227" s="29"/>
      <c r="H227" s="29"/>
      <c r="I227" s="29"/>
      <c r="J227" s="29"/>
      <c r="K227" s="29"/>
      <c r="L227" s="29"/>
      <c r="M227" s="29"/>
      <c r="N227" s="29"/>
      <c r="O227" s="29"/>
      <c r="P227" s="29"/>
      <c r="Q227" s="29"/>
      <c r="R227" s="38"/>
    </row>
    <row r="228" spans="1:18" x14ac:dyDescent="0.25">
      <c r="A228" s="5"/>
      <c r="B228" s="13"/>
      <c r="C228" s="13"/>
      <c r="D228" s="13"/>
      <c r="E228" s="13"/>
      <c r="F228" s="9"/>
      <c r="G228" s="29"/>
      <c r="H228" s="29"/>
      <c r="I228" s="29"/>
      <c r="J228" s="29"/>
      <c r="K228" s="29"/>
      <c r="L228" s="29"/>
      <c r="M228" s="29"/>
      <c r="N228" s="29"/>
      <c r="O228" s="29"/>
      <c r="P228" s="29"/>
      <c r="Q228" s="29"/>
      <c r="R228" s="38"/>
    </row>
    <row r="229" spans="1:18" x14ac:dyDescent="0.25">
      <c r="A229" s="5"/>
      <c r="B229" s="13"/>
      <c r="C229" s="13"/>
      <c r="D229" s="13"/>
      <c r="E229" s="13"/>
      <c r="F229" s="9"/>
      <c r="G229" s="29"/>
      <c r="H229" s="29"/>
      <c r="I229" s="29"/>
      <c r="J229" s="29"/>
      <c r="K229" s="29"/>
      <c r="L229" s="29"/>
      <c r="M229" s="29"/>
      <c r="N229" s="29"/>
      <c r="O229" s="29"/>
      <c r="P229" s="29"/>
      <c r="Q229" s="29"/>
      <c r="R229" s="38"/>
    </row>
    <row r="230" spans="1:18" x14ac:dyDescent="0.25">
      <c r="A230" s="5"/>
      <c r="B230" s="13"/>
      <c r="C230" s="13"/>
      <c r="D230" s="13"/>
      <c r="E230" s="13"/>
      <c r="F230" s="9"/>
      <c r="G230" s="29"/>
      <c r="H230" s="29"/>
      <c r="I230" s="29"/>
      <c r="J230" s="29"/>
      <c r="K230" s="29"/>
      <c r="L230" s="29"/>
      <c r="M230" s="29"/>
      <c r="N230" s="29"/>
      <c r="O230" s="29"/>
      <c r="P230" s="29"/>
      <c r="Q230" s="29"/>
      <c r="R230" s="38"/>
    </row>
    <row r="231" spans="1:18" x14ac:dyDescent="0.25">
      <c r="A231" s="5"/>
      <c r="B231" s="13"/>
      <c r="C231" s="13"/>
      <c r="D231" s="13"/>
      <c r="E231" s="13"/>
      <c r="F231" s="9"/>
      <c r="G231" s="29"/>
      <c r="H231" s="29"/>
      <c r="I231" s="29"/>
      <c r="J231" s="29"/>
      <c r="K231" s="29"/>
      <c r="L231" s="29"/>
      <c r="M231" s="29"/>
      <c r="N231" s="29"/>
      <c r="O231" s="29"/>
      <c r="P231" s="29"/>
      <c r="Q231" s="29"/>
      <c r="R231" s="38"/>
    </row>
    <row r="232" spans="1:18" x14ac:dyDescent="0.25">
      <c r="A232" s="5"/>
      <c r="B232" s="13"/>
      <c r="C232" s="13"/>
      <c r="D232" s="13"/>
      <c r="E232" s="13"/>
      <c r="F232" s="9"/>
      <c r="G232" s="29"/>
      <c r="H232" s="29"/>
      <c r="I232" s="29"/>
      <c r="J232" s="29"/>
      <c r="K232" s="29"/>
      <c r="L232" s="29"/>
      <c r="M232" s="29"/>
      <c r="N232" s="29"/>
      <c r="O232" s="29"/>
      <c r="P232" s="29"/>
      <c r="Q232" s="29"/>
      <c r="R232" s="38"/>
    </row>
    <row r="233" spans="1:18" x14ac:dyDescent="0.25">
      <c r="A233" s="5"/>
      <c r="B233" s="13"/>
      <c r="C233" s="13"/>
      <c r="D233" s="13"/>
      <c r="E233" s="13"/>
      <c r="F233" s="9"/>
      <c r="G233" s="29"/>
      <c r="H233" s="29"/>
      <c r="I233" s="29"/>
      <c r="J233" s="29"/>
      <c r="K233" s="29"/>
      <c r="L233" s="29"/>
      <c r="M233" s="29"/>
      <c r="N233" s="29"/>
      <c r="O233" s="29"/>
      <c r="P233" s="29"/>
      <c r="Q233" s="29"/>
      <c r="R233" s="38"/>
    </row>
    <row r="234" spans="1:18" x14ac:dyDescent="0.25">
      <c r="A234" s="5"/>
      <c r="B234" s="13"/>
      <c r="C234" s="13"/>
      <c r="D234" s="13"/>
      <c r="E234" s="13"/>
      <c r="F234" s="9"/>
      <c r="G234" s="29"/>
      <c r="H234" s="29"/>
      <c r="I234" s="29"/>
      <c r="J234" s="29"/>
      <c r="K234" s="29"/>
      <c r="L234" s="29"/>
      <c r="M234" s="29"/>
      <c r="N234" s="29"/>
      <c r="O234" s="29"/>
      <c r="P234" s="29"/>
      <c r="Q234" s="29"/>
      <c r="R234" s="38"/>
    </row>
    <row r="235" spans="1:18" x14ac:dyDescent="0.25">
      <c r="A235" s="5"/>
      <c r="B235" s="13"/>
      <c r="C235" s="13"/>
      <c r="D235" s="13"/>
      <c r="E235" s="13"/>
      <c r="F235" s="9"/>
      <c r="G235" s="29"/>
      <c r="H235" s="29"/>
      <c r="I235" s="29"/>
      <c r="J235" s="29"/>
      <c r="K235" s="29"/>
      <c r="L235" s="29"/>
      <c r="M235" s="29"/>
      <c r="N235" s="29"/>
      <c r="O235" s="29"/>
      <c r="P235" s="29"/>
      <c r="Q235" s="29"/>
      <c r="R235" s="38"/>
    </row>
    <row r="236" spans="1:18" x14ac:dyDescent="0.25">
      <c r="A236" s="5"/>
      <c r="B236" s="13"/>
      <c r="C236" s="13"/>
      <c r="D236" s="13"/>
      <c r="E236" s="13"/>
      <c r="F236" s="9"/>
      <c r="G236" s="29"/>
      <c r="H236" s="29"/>
      <c r="I236" s="29"/>
      <c r="J236" s="29"/>
      <c r="K236" s="29"/>
      <c r="L236" s="29"/>
      <c r="M236" s="29"/>
      <c r="N236" s="29"/>
      <c r="O236" s="29"/>
      <c r="P236" s="29"/>
      <c r="Q236" s="29"/>
      <c r="R236" s="38"/>
    </row>
    <row r="237" spans="1:18" x14ac:dyDescent="0.25">
      <c r="A237" s="5"/>
      <c r="B237" s="13"/>
      <c r="C237" s="13"/>
      <c r="D237" s="13"/>
      <c r="E237" s="13"/>
      <c r="F237" s="9"/>
      <c r="G237" s="29"/>
      <c r="H237" s="29"/>
      <c r="I237" s="29"/>
      <c r="J237" s="29"/>
      <c r="K237" s="29"/>
      <c r="L237" s="29"/>
      <c r="M237" s="29"/>
      <c r="N237" s="29"/>
      <c r="O237" s="29"/>
      <c r="P237" s="29"/>
      <c r="Q237" s="29"/>
      <c r="R237" s="38"/>
    </row>
    <row r="238" spans="1:18" x14ac:dyDescent="0.25">
      <c r="A238" s="5"/>
      <c r="B238" s="13"/>
      <c r="C238" s="13"/>
      <c r="D238" s="13"/>
      <c r="E238" s="13"/>
      <c r="F238" s="9"/>
      <c r="G238" s="29"/>
      <c r="H238" s="29"/>
      <c r="I238" s="29"/>
      <c r="J238" s="29"/>
      <c r="K238" s="29"/>
      <c r="L238" s="29"/>
      <c r="M238" s="29"/>
      <c r="N238" s="29"/>
      <c r="O238" s="29"/>
      <c r="P238" s="29"/>
      <c r="Q238" s="29"/>
      <c r="R238" s="38"/>
    </row>
    <row r="239" spans="1:18" x14ac:dyDescent="0.25">
      <c r="A239" s="5"/>
      <c r="B239" s="13"/>
      <c r="C239" s="13"/>
      <c r="D239" s="13"/>
      <c r="E239" s="13"/>
      <c r="F239" s="9"/>
      <c r="G239" s="29"/>
      <c r="H239" s="29"/>
      <c r="I239" s="29"/>
      <c r="J239" s="29"/>
      <c r="K239" s="29"/>
      <c r="L239" s="29"/>
      <c r="M239" s="29"/>
      <c r="N239" s="29"/>
      <c r="O239" s="29"/>
      <c r="P239" s="29"/>
      <c r="Q239" s="29"/>
      <c r="R239" s="38"/>
    </row>
    <row r="240" spans="1:18" x14ac:dyDescent="0.25">
      <c r="A240" s="5"/>
      <c r="B240" s="13"/>
      <c r="C240" s="13"/>
      <c r="D240" s="13"/>
      <c r="E240" s="13"/>
      <c r="F240" s="9"/>
      <c r="G240" s="29"/>
      <c r="H240" s="29"/>
      <c r="I240" s="29"/>
      <c r="J240" s="29"/>
      <c r="K240" s="29"/>
      <c r="L240" s="29"/>
      <c r="M240" s="29"/>
      <c r="N240" s="29"/>
      <c r="O240" s="29"/>
      <c r="P240" s="29"/>
      <c r="Q240" s="29"/>
      <c r="R240" s="38"/>
    </row>
    <row r="241" spans="1:18" x14ac:dyDescent="0.25">
      <c r="A241" s="5"/>
      <c r="B241" s="13"/>
      <c r="C241" s="13"/>
      <c r="D241" s="13"/>
      <c r="E241" s="13"/>
      <c r="F241" s="9"/>
      <c r="G241" s="29"/>
      <c r="H241" s="29"/>
      <c r="I241" s="29"/>
      <c r="J241" s="29"/>
      <c r="K241" s="29"/>
      <c r="L241" s="29"/>
      <c r="M241" s="29"/>
      <c r="N241" s="29"/>
      <c r="O241" s="29"/>
      <c r="P241" s="29"/>
      <c r="Q241" s="29"/>
      <c r="R241" s="38"/>
    </row>
    <row r="242" spans="1:18" x14ac:dyDescent="0.25">
      <c r="A242" s="5"/>
      <c r="B242" s="13"/>
      <c r="C242" s="13"/>
      <c r="D242" s="13"/>
      <c r="E242" s="13"/>
      <c r="F242" s="9"/>
      <c r="G242" s="29"/>
      <c r="H242" s="29"/>
      <c r="I242" s="29"/>
      <c r="J242" s="29"/>
      <c r="K242" s="29"/>
      <c r="L242" s="29"/>
      <c r="M242" s="29"/>
      <c r="N242" s="29"/>
      <c r="O242" s="29"/>
      <c r="P242" s="29"/>
      <c r="Q242" s="29"/>
      <c r="R242" s="38"/>
    </row>
    <row r="243" spans="1:18" x14ac:dyDescent="0.25">
      <c r="A243" s="5"/>
      <c r="B243" s="13"/>
      <c r="C243" s="13"/>
      <c r="D243" s="13"/>
      <c r="E243" s="13"/>
      <c r="F243" s="9"/>
      <c r="G243" s="29"/>
      <c r="H243" s="29"/>
      <c r="I243" s="29"/>
      <c r="J243" s="29"/>
      <c r="K243" s="29"/>
      <c r="L243" s="29"/>
      <c r="M243" s="29"/>
      <c r="N243" s="29"/>
      <c r="O243" s="29"/>
      <c r="P243" s="29"/>
      <c r="Q243" s="29"/>
      <c r="R243" s="38"/>
    </row>
    <row r="244" spans="1:18" x14ac:dyDescent="0.25">
      <c r="A244" s="5"/>
      <c r="B244" s="13"/>
      <c r="C244" s="13"/>
      <c r="D244" s="13"/>
      <c r="E244" s="13"/>
      <c r="F244" s="9"/>
      <c r="G244" s="29"/>
      <c r="H244" s="29"/>
      <c r="I244" s="29"/>
      <c r="J244" s="29"/>
      <c r="K244" s="29"/>
      <c r="L244" s="29"/>
      <c r="M244" s="29"/>
      <c r="N244" s="29"/>
      <c r="O244" s="29"/>
      <c r="P244" s="29"/>
      <c r="Q244" s="29"/>
      <c r="R244" s="38"/>
    </row>
    <row r="245" spans="1:18" x14ac:dyDescent="0.25">
      <c r="A245" s="5"/>
      <c r="B245" s="13"/>
      <c r="C245" s="13"/>
      <c r="D245" s="13"/>
      <c r="E245" s="13"/>
      <c r="F245" s="9"/>
      <c r="G245" s="29"/>
      <c r="H245" s="29"/>
      <c r="I245" s="29"/>
      <c r="J245" s="29"/>
      <c r="K245" s="29"/>
      <c r="L245" s="29"/>
      <c r="M245" s="29"/>
      <c r="N245" s="29"/>
      <c r="O245" s="29"/>
      <c r="P245" s="29"/>
      <c r="Q245" s="29"/>
      <c r="R245" s="38"/>
    </row>
    <row r="246" spans="1:18" x14ac:dyDescent="0.25">
      <c r="A246" s="5"/>
      <c r="B246" s="13"/>
      <c r="C246" s="13"/>
      <c r="D246" s="13"/>
      <c r="E246" s="13"/>
      <c r="F246" s="9"/>
      <c r="G246" s="29"/>
      <c r="H246" s="29"/>
      <c r="I246" s="29"/>
      <c r="J246" s="29"/>
      <c r="K246" s="29"/>
      <c r="L246" s="29"/>
      <c r="M246" s="29"/>
      <c r="N246" s="29"/>
      <c r="O246" s="29"/>
      <c r="P246" s="29"/>
      <c r="Q246" s="29"/>
      <c r="R246" s="38"/>
    </row>
    <row r="247" spans="1:18" x14ac:dyDescent="0.25">
      <c r="A247" s="5"/>
      <c r="B247" s="13"/>
      <c r="C247" s="13"/>
      <c r="D247" s="13"/>
      <c r="E247" s="13"/>
      <c r="F247" s="9"/>
      <c r="G247" s="29"/>
      <c r="H247" s="29"/>
      <c r="I247" s="29"/>
      <c r="J247" s="29"/>
      <c r="K247" s="29"/>
      <c r="L247" s="29"/>
      <c r="M247" s="29"/>
      <c r="N247" s="29"/>
      <c r="O247" s="29"/>
      <c r="P247" s="29"/>
      <c r="Q247" s="29"/>
      <c r="R247" s="38"/>
    </row>
    <row r="248" spans="1:18" x14ac:dyDescent="0.25">
      <c r="A248" s="5"/>
      <c r="B248" s="13"/>
      <c r="C248" s="13"/>
      <c r="D248" s="13"/>
      <c r="E248" s="13"/>
      <c r="F248" s="9"/>
      <c r="G248" s="29"/>
      <c r="H248" s="29"/>
      <c r="I248" s="29"/>
      <c r="J248" s="29"/>
      <c r="K248" s="29"/>
      <c r="L248" s="29"/>
      <c r="M248" s="29"/>
      <c r="N248" s="29"/>
      <c r="O248" s="29"/>
      <c r="P248" s="29"/>
      <c r="Q248" s="29"/>
      <c r="R248" s="38"/>
    </row>
    <row r="249" spans="1:18" x14ac:dyDescent="0.25">
      <c r="A249" s="5"/>
      <c r="B249" s="13"/>
      <c r="C249" s="13"/>
      <c r="D249" s="13"/>
      <c r="E249" s="13"/>
      <c r="F249" s="9"/>
      <c r="G249" s="29"/>
      <c r="H249" s="29"/>
      <c r="I249" s="29"/>
      <c r="J249" s="29"/>
      <c r="K249" s="29"/>
      <c r="L249" s="29"/>
      <c r="M249" s="29"/>
      <c r="N249" s="29"/>
      <c r="O249" s="29"/>
      <c r="P249" s="29"/>
      <c r="Q249" s="29"/>
      <c r="R249" s="38"/>
    </row>
    <row r="250" spans="1:18" x14ac:dyDescent="0.25">
      <c r="A250" s="5"/>
      <c r="B250" s="13"/>
      <c r="C250" s="13"/>
      <c r="D250" s="13"/>
      <c r="E250" s="13"/>
      <c r="F250" s="9"/>
      <c r="G250" s="29"/>
      <c r="H250" s="29"/>
      <c r="I250" s="29"/>
      <c r="J250" s="29"/>
      <c r="K250" s="29"/>
      <c r="L250" s="29"/>
      <c r="M250" s="29"/>
      <c r="N250" s="29"/>
      <c r="O250" s="29"/>
      <c r="P250" s="29"/>
      <c r="Q250" s="29"/>
      <c r="R250" s="38"/>
    </row>
    <row r="251" spans="1:18" x14ac:dyDescent="0.25">
      <c r="A251" s="5"/>
      <c r="B251" s="13"/>
      <c r="C251" s="13"/>
      <c r="D251" s="13"/>
      <c r="E251" s="13"/>
      <c r="F251" s="9"/>
      <c r="G251" s="29"/>
      <c r="H251" s="29"/>
      <c r="I251" s="29"/>
      <c r="J251" s="29"/>
      <c r="K251" s="29"/>
      <c r="L251" s="29"/>
      <c r="M251" s="29"/>
      <c r="N251" s="29"/>
      <c r="O251" s="29"/>
      <c r="P251" s="29"/>
      <c r="Q251" s="29"/>
      <c r="R251" s="38"/>
    </row>
    <row r="252" spans="1:18" x14ac:dyDescent="0.25">
      <c r="A252" s="5"/>
      <c r="B252" s="13"/>
      <c r="C252" s="13"/>
      <c r="D252" s="13"/>
      <c r="E252" s="13"/>
      <c r="F252" s="9"/>
      <c r="G252" s="29"/>
      <c r="H252" s="29"/>
      <c r="I252" s="29"/>
      <c r="J252" s="29"/>
      <c r="K252" s="29"/>
      <c r="L252" s="29"/>
      <c r="M252" s="29"/>
      <c r="N252" s="29"/>
      <c r="O252" s="29"/>
      <c r="P252" s="29"/>
      <c r="Q252" s="29"/>
      <c r="R252" s="38"/>
    </row>
    <row r="253" spans="1:18" x14ac:dyDescent="0.25">
      <c r="A253" s="5"/>
      <c r="B253" s="13"/>
      <c r="C253" s="13"/>
      <c r="D253" s="13"/>
      <c r="E253" s="13"/>
      <c r="F253" s="9"/>
      <c r="G253" s="29"/>
      <c r="H253" s="29"/>
      <c r="I253" s="29"/>
      <c r="J253" s="29"/>
      <c r="K253" s="29"/>
      <c r="L253" s="29"/>
      <c r="M253" s="29"/>
      <c r="N253" s="29"/>
      <c r="O253" s="29"/>
      <c r="P253" s="29"/>
      <c r="Q253" s="29"/>
      <c r="R253" s="38"/>
    </row>
    <row r="254" spans="1:18" x14ac:dyDescent="0.25">
      <c r="A254" s="5"/>
      <c r="B254" s="13"/>
      <c r="C254" s="13"/>
      <c r="D254" s="13"/>
      <c r="E254" s="13"/>
      <c r="F254" s="9"/>
      <c r="G254" s="29"/>
      <c r="H254" s="29"/>
      <c r="I254" s="29"/>
      <c r="J254" s="29"/>
      <c r="K254" s="29"/>
      <c r="L254" s="29"/>
      <c r="M254" s="29"/>
      <c r="N254" s="29"/>
      <c r="O254" s="29"/>
      <c r="P254" s="29"/>
      <c r="Q254" s="29"/>
      <c r="R254" s="38"/>
    </row>
    <row r="255" spans="1:18" x14ac:dyDescent="0.25">
      <c r="A255" s="5"/>
      <c r="B255" s="13"/>
      <c r="C255" s="13"/>
      <c r="D255" s="13"/>
      <c r="E255" s="13"/>
      <c r="F255" s="9"/>
      <c r="G255" s="29"/>
      <c r="H255" s="29"/>
      <c r="I255" s="29"/>
      <c r="J255" s="29"/>
      <c r="K255" s="29"/>
      <c r="L255" s="29"/>
      <c r="M255" s="29"/>
      <c r="N255" s="29"/>
      <c r="O255" s="29"/>
      <c r="P255" s="29"/>
      <c r="Q255" s="29"/>
      <c r="R255" s="38"/>
    </row>
    <row r="256" spans="1:18" x14ac:dyDescent="0.25">
      <c r="A256" s="5"/>
      <c r="B256" s="13"/>
      <c r="C256" s="13"/>
      <c r="D256" s="13"/>
      <c r="E256" s="13"/>
      <c r="F256" s="9"/>
      <c r="G256" s="32"/>
      <c r="H256" s="32"/>
      <c r="I256" s="32"/>
      <c r="J256" s="32"/>
      <c r="K256" s="29"/>
      <c r="L256" s="29"/>
      <c r="M256" s="29"/>
      <c r="N256" s="29"/>
      <c r="O256" s="29"/>
      <c r="P256" s="29"/>
      <c r="Q256" s="29"/>
      <c r="R256" s="38"/>
    </row>
    <row r="257" spans="1:18" x14ac:dyDescent="0.25">
      <c r="A257" s="5"/>
      <c r="B257" s="13"/>
      <c r="C257" s="13"/>
      <c r="D257" s="13"/>
      <c r="E257" s="13"/>
      <c r="F257" s="9"/>
      <c r="G257" s="32"/>
      <c r="H257" s="32"/>
      <c r="I257" s="32"/>
      <c r="J257" s="32"/>
      <c r="K257" s="29"/>
      <c r="L257" s="29"/>
      <c r="M257" s="29"/>
      <c r="N257" s="29"/>
      <c r="O257" s="29"/>
      <c r="P257" s="29"/>
      <c r="Q257" s="29"/>
      <c r="R257" s="38"/>
    </row>
    <row r="258" spans="1:18" x14ac:dyDescent="0.25">
      <c r="A258" s="5"/>
      <c r="B258" s="13"/>
      <c r="C258" s="13"/>
      <c r="D258" s="13"/>
      <c r="E258" s="13"/>
      <c r="F258" s="9"/>
      <c r="G258" s="32"/>
      <c r="H258" s="32"/>
      <c r="I258" s="32"/>
      <c r="J258" s="32"/>
      <c r="K258" s="29"/>
      <c r="L258" s="29"/>
      <c r="M258" s="29"/>
      <c r="N258" s="29"/>
      <c r="O258" s="29"/>
      <c r="P258" s="29"/>
      <c r="Q258" s="29"/>
      <c r="R258" s="38"/>
    </row>
    <row r="259" spans="1:18" x14ac:dyDescent="0.25">
      <c r="A259" s="5"/>
      <c r="B259" s="13"/>
      <c r="C259" s="13"/>
      <c r="D259" s="13"/>
      <c r="E259" s="13"/>
      <c r="F259" s="9"/>
      <c r="G259" s="32"/>
      <c r="H259" s="32"/>
      <c r="I259" s="32"/>
      <c r="J259" s="32"/>
      <c r="K259" s="29"/>
      <c r="L259" s="29"/>
      <c r="M259" s="29"/>
      <c r="N259" s="29"/>
      <c r="O259" s="29"/>
      <c r="P259" s="29"/>
      <c r="Q259" s="29"/>
      <c r="R259" s="38"/>
    </row>
    <row r="260" spans="1:18" x14ac:dyDescent="0.25">
      <c r="A260" s="5"/>
      <c r="B260" s="13"/>
      <c r="C260" s="13"/>
      <c r="D260" s="13"/>
      <c r="E260" s="13"/>
      <c r="F260" s="9"/>
      <c r="G260" s="32"/>
      <c r="H260" s="32"/>
      <c r="I260" s="32"/>
      <c r="J260" s="32"/>
      <c r="K260" s="29"/>
      <c r="L260" s="29"/>
      <c r="M260" s="29"/>
      <c r="N260" s="29"/>
      <c r="O260" s="29"/>
      <c r="P260" s="29"/>
      <c r="Q260" s="29"/>
      <c r="R260" s="38"/>
    </row>
    <row r="261" spans="1:18" x14ac:dyDescent="0.25">
      <c r="A261" s="5"/>
      <c r="B261" s="13"/>
      <c r="C261" s="13"/>
      <c r="D261" s="13"/>
      <c r="E261" s="13"/>
      <c r="F261" s="9"/>
      <c r="G261" s="32"/>
      <c r="H261" s="32"/>
      <c r="I261" s="32"/>
      <c r="J261" s="32"/>
      <c r="K261" s="29"/>
      <c r="L261" s="29"/>
      <c r="M261" s="29"/>
      <c r="N261" s="29"/>
      <c r="O261" s="29"/>
      <c r="P261" s="29"/>
      <c r="Q261" s="29"/>
      <c r="R261" s="38"/>
    </row>
    <row r="262" spans="1:18" x14ac:dyDescent="0.25">
      <c r="A262" s="5"/>
      <c r="B262" s="13"/>
      <c r="C262" s="13"/>
      <c r="D262" s="13"/>
      <c r="E262" s="13"/>
      <c r="F262" s="9"/>
      <c r="G262" s="32"/>
      <c r="H262" s="32"/>
      <c r="I262" s="32"/>
      <c r="J262" s="32"/>
      <c r="K262" s="29"/>
      <c r="L262" s="29"/>
      <c r="M262" s="29"/>
      <c r="N262" s="29"/>
      <c r="O262" s="29"/>
      <c r="P262" s="29"/>
      <c r="Q262" s="29"/>
      <c r="R262" s="38"/>
    </row>
    <row r="263" spans="1:18" x14ac:dyDescent="0.25">
      <c r="A263" s="5"/>
      <c r="B263" s="13"/>
      <c r="C263" s="13"/>
      <c r="D263" s="13"/>
      <c r="E263" s="13"/>
      <c r="F263" s="9"/>
      <c r="G263" s="32"/>
      <c r="H263" s="32"/>
      <c r="I263" s="32"/>
      <c r="J263" s="32"/>
      <c r="K263" s="29"/>
      <c r="L263" s="29"/>
      <c r="M263" s="29"/>
      <c r="N263" s="29"/>
      <c r="O263" s="29"/>
      <c r="P263" s="29"/>
      <c r="Q263" s="29"/>
      <c r="R263" s="38"/>
    </row>
    <row r="264" spans="1:18" x14ac:dyDescent="0.25">
      <c r="A264" s="5"/>
      <c r="B264" s="13"/>
      <c r="C264" s="13"/>
      <c r="D264" s="13"/>
      <c r="E264" s="13"/>
      <c r="F264" s="9"/>
      <c r="G264" s="32"/>
      <c r="H264" s="32"/>
      <c r="I264" s="32"/>
      <c r="J264" s="32"/>
      <c r="K264" s="29"/>
      <c r="L264" s="29"/>
      <c r="M264" s="29"/>
      <c r="N264" s="29"/>
      <c r="O264" s="29"/>
      <c r="P264" s="29"/>
      <c r="Q264" s="29"/>
      <c r="R264" s="38"/>
    </row>
    <row r="265" spans="1:18" x14ac:dyDescent="0.25">
      <c r="A265" s="5"/>
      <c r="B265" s="13"/>
      <c r="C265" s="13"/>
      <c r="D265" s="13"/>
      <c r="E265" s="13"/>
      <c r="F265" s="9"/>
      <c r="G265" s="32"/>
      <c r="H265" s="32"/>
      <c r="I265" s="32"/>
      <c r="J265" s="32"/>
      <c r="K265" s="29"/>
      <c r="L265" s="29"/>
      <c r="M265" s="29"/>
      <c r="N265" s="29"/>
      <c r="O265" s="29"/>
      <c r="P265" s="29"/>
      <c r="Q265" s="29"/>
      <c r="R265" s="38"/>
    </row>
    <row r="266" spans="1:18" x14ac:dyDescent="0.25">
      <c r="A266" s="5"/>
      <c r="B266" s="13"/>
      <c r="C266" s="13"/>
      <c r="D266" s="13"/>
      <c r="E266" s="13"/>
      <c r="F266" s="9"/>
      <c r="G266" s="32"/>
      <c r="H266" s="32"/>
      <c r="I266" s="32"/>
      <c r="J266" s="32"/>
      <c r="K266" s="29"/>
      <c r="L266" s="29"/>
      <c r="M266" s="29"/>
      <c r="N266" s="29"/>
      <c r="O266" s="29"/>
      <c r="P266" s="29"/>
      <c r="Q266" s="29"/>
      <c r="R266" s="38"/>
    </row>
    <row r="267" spans="1:18" x14ac:dyDescent="0.25">
      <c r="A267" s="5"/>
      <c r="B267" s="13"/>
      <c r="C267" s="13"/>
      <c r="D267" s="13"/>
      <c r="E267" s="13"/>
      <c r="F267" s="9"/>
      <c r="G267" s="32"/>
      <c r="H267" s="32"/>
      <c r="I267" s="32"/>
      <c r="J267" s="32"/>
      <c r="K267" s="29"/>
      <c r="L267" s="29"/>
      <c r="M267" s="29"/>
      <c r="N267" s="29"/>
      <c r="O267" s="29"/>
      <c r="P267" s="29"/>
      <c r="Q267" s="29"/>
      <c r="R267" s="38"/>
    </row>
    <row r="268" spans="1:18" x14ac:dyDescent="0.25">
      <c r="A268" s="5"/>
      <c r="B268" s="13"/>
      <c r="C268" s="13"/>
      <c r="D268" s="13"/>
      <c r="E268" s="13"/>
      <c r="F268" s="9"/>
      <c r="G268" s="32"/>
      <c r="H268" s="32"/>
      <c r="I268" s="32"/>
      <c r="J268" s="32"/>
      <c r="K268" s="29"/>
      <c r="L268" s="29"/>
      <c r="M268" s="29"/>
      <c r="N268" s="29"/>
      <c r="O268" s="29"/>
      <c r="P268" s="29"/>
      <c r="Q268" s="29"/>
      <c r="R268" s="38"/>
    </row>
    <row r="269" spans="1:18" x14ac:dyDescent="0.25">
      <c r="A269" s="5"/>
      <c r="B269" s="13"/>
      <c r="C269" s="13"/>
      <c r="D269" s="13"/>
      <c r="E269" s="13"/>
      <c r="F269" s="9"/>
      <c r="G269" s="32"/>
      <c r="H269" s="32"/>
      <c r="I269" s="32"/>
      <c r="J269" s="32"/>
      <c r="K269" s="29"/>
      <c r="L269" s="29"/>
      <c r="M269" s="29"/>
      <c r="N269" s="29"/>
      <c r="O269" s="29"/>
      <c r="P269" s="29"/>
      <c r="Q269" s="29"/>
      <c r="R269" s="38"/>
    </row>
    <row r="270" spans="1:18" x14ac:dyDescent="0.25">
      <c r="A270" s="5"/>
      <c r="B270" s="13"/>
      <c r="C270" s="13"/>
      <c r="D270" s="13"/>
      <c r="E270" s="13"/>
      <c r="F270" s="9"/>
      <c r="G270" s="32"/>
      <c r="H270" s="32"/>
      <c r="I270" s="32"/>
      <c r="J270" s="32"/>
      <c r="K270" s="29"/>
      <c r="L270" s="29"/>
      <c r="M270" s="29"/>
      <c r="N270" s="29"/>
      <c r="O270" s="29"/>
      <c r="P270" s="29"/>
      <c r="Q270" s="29"/>
      <c r="R270" s="38"/>
    </row>
    <row r="271" spans="1:18" x14ac:dyDescent="0.25">
      <c r="A271" s="5"/>
      <c r="B271" s="13"/>
      <c r="C271" s="13"/>
      <c r="D271" s="13"/>
      <c r="E271" s="13"/>
      <c r="F271" s="9"/>
      <c r="G271" s="32"/>
      <c r="H271" s="32"/>
      <c r="I271" s="32"/>
      <c r="J271" s="32"/>
      <c r="K271" s="29"/>
      <c r="L271" s="29"/>
      <c r="M271" s="29"/>
      <c r="N271" s="29"/>
      <c r="O271" s="29"/>
      <c r="P271" s="29"/>
      <c r="Q271" s="29"/>
      <c r="R271" s="38"/>
    </row>
    <row r="272" spans="1:18" x14ac:dyDescent="0.25">
      <c r="A272" s="5"/>
      <c r="B272" s="13"/>
      <c r="C272" s="13"/>
      <c r="D272" s="13"/>
      <c r="E272" s="13"/>
      <c r="F272" s="9"/>
      <c r="G272" s="32"/>
      <c r="H272" s="32"/>
      <c r="I272" s="32"/>
      <c r="J272" s="32"/>
      <c r="K272" s="29"/>
      <c r="L272" s="29"/>
      <c r="M272" s="29"/>
      <c r="N272" s="29"/>
      <c r="O272" s="29"/>
      <c r="P272" s="29"/>
      <c r="Q272" s="29"/>
      <c r="R272" s="38"/>
    </row>
    <row r="273" spans="1:18" x14ac:dyDescent="0.25">
      <c r="A273" s="5"/>
      <c r="B273" s="13"/>
      <c r="C273" s="13"/>
      <c r="D273" s="13"/>
      <c r="E273" s="13"/>
      <c r="F273" s="9"/>
      <c r="G273" s="32"/>
      <c r="H273" s="32"/>
      <c r="I273" s="32"/>
      <c r="J273" s="32"/>
      <c r="K273" s="29"/>
      <c r="L273" s="29"/>
      <c r="M273" s="29"/>
      <c r="N273" s="29"/>
      <c r="O273" s="29"/>
      <c r="P273" s="29"/>
      <c r="Q273" s="29"/>
      <c r="R273" s="38"/>
    </row>
    <row r="274" spans="1:18" x14ac:dyDescent="0.25">
      <c r="A274" s="5"/>
      <c r="B274" s="13"/>
      <c r="C274" s="13"/>
      <c r="D274" s="13"/>
      <c r="E274" s="13"/>
      <c r="F274" s="9"/>
      <c r="G274" s="32"/>
      <c r="H274" s="32"/>
      <c r="I274" s="32"/>
      <c r="J274" s="32"/>
      <c r="K274" s="29"/>
      <c r="L274" s="29"/>
      <c r="M274" s="29"/>
      <c r="N274" s="29"/>
      <c r="O274" s="29"/>
      <c r="P274" s="29"/>
      <c r="Q274" s="29"/>
      <c r="R274" s="38"/>
    </row>
    <row r="275" spans="1:18" x14ac:dyDescent="0.25">
      <c r="A275" s="5"/>
      <c r="B275" s="13"/>
      <c r="C275" s="13"/>
      <c r="D275" s="13"/>
      <c r="E275" s="13"/>
      <c r="F275" s="9"/>
      <c r="G275" s="32"/>
      <c r="H275" s="32"/>
      <c r="I275" s="32"/>
      <c r="J275" s="32"/>
      <c r="K275" s="29"/>
      <c r="L275" s="29"/>
      <c r="M275" s="29"/>
      <c r="N275" s="29"/>
      <c r="O275" s="29"/>
      <c r="P275" s="29"/>
      <c r="Q275" s="29"/>
      <c r="R275" s="38"/>
    </row>
    <row r="276" spans="1:18" x14ac:dyDescent="0.25">
      <c r="A276" s="5"/>
      <c r="B276" s="13"/>
      <c r="C276" s="13"/>
      <c r="D276" s="13"/>
      <c r="E276" s="13"/>
      <c r="F276" s="9"/>
      <c r="G276" s="32"/>
      <c r="H276" s="32"/>
      <c r="I276" s="32"/>
      <c r="J276" s="32"/>
      <c r="K276" s="29"/>
      <c r="L276" s="29"/>
      <c r="M276" s="29"/>
      <c r="N276" s="29"/>
      <c r="O276" s="29"/>
      <c r="P276" s="29"/>
      <c r="Q276" s="29"/>
      <c r="R276" s="38"/>
    </row>
    <row r="277" spans="1:18" x14ac:dyDescent="0.25">
      <c r="A277" s="5"/>
      <c r="B277" s="13"/>
      <c r="C277" s="13"/>
      <c r="D277" s="13"/>
      <c r="E277" s="13"/>
      <c r="F277" s="9"/>
      <c r="G277" s="32"/>
      <c r="H277" s="32"/>
      <c r="I277" s="32"/>
      <c r="J277" s="32"/>
      <c r="K277" s="29"/>
      <c r="L277" s="29"/>
      <c r="M277" s="29"/>
      <c r="N277" s="29"/>
      <c r="O277" s="29"/>
      <c r="P277" s="29"/>
      <c r="Q277" s="29"/>
      <c r="R277" s="38"/>
    </row>
    <row r="278" spans="1:18" x14ac:dyDescent="0.25">
      <c r="A278" s="5"/>
      <c r="B278" s="13"/>
      <c r="C278" s="13"/>
      <c r="D278" s="13"/>
      <c r="E278" s="13"/>
      <c r="F278" s="9"/>
      <c r="G278" s="32"/>
      <c r="H278" s="32"/>
      <c r="I278" s="32"/>
      <c r="J278" s="32"/>
      <c r="K278" s="29"/>
      <c r="L278" s="29"/>
      <c r="M278" s="29"/>
      <c r="N278" s="29"/>
      <c r="O278" s="29"/>
      <c r="P278" s="29"/>
      <c r="Q278" s="29"/>
      <c r="R278" s="38"/>
    </row>
    <row r="279" spans="1:18" x14ac:dyDescent="0.25">
      <c r="A279" s="5"/>
      <c r="B279" s="13"/>
      <c r="C279" s="13"/>
      <c r="D279" s="13"/>
      <c r="E279" s="13"/>
      <c r="F279" s="9"/>
      <c r="G279" s="32"/>
      <c r="H279" s="32"/>
      <c r="I279" s="32"/>
      <c r="J279" s="32"/>
      <c r="K279" s="29"/>
      <c r="L279" s="29"/>
      <c r="M279" s="29"/>
      <c r="N279" s="29"/>
      <c r="O279" s="29"/>
      <c r="P279" s="29"/>
      <c r="Q279" s="29"/>
      <c r="R279" s="38"/>
    </row>
    <row r="280" spans="1:18" x14ac:dyDescent="0.25">
      <c r="A280" s="5"/>
      <c r="B280" s="13"/>
      <c r="C280" s="13"/>
      <c r="D280" s="13"/>
      <c r="E280" s="13"/>
      <c r="F280" s="9"/>
      <c r="G280" s="32"/>
      <c r="H280" s="32"/>
      <c r="I280" s="32"/>
      <c r="J280" s="32"/>
      <c r="K280" s="29"/>
      <c r="L280" s="29"/>
      <c r="M280" s="29"/>
      <c r="N280" s="29"/>
      <c r="O280" s="29"/>
      <c r="P280" s="29"/>
      <c r="Q280" s="29"/>
      <c r="R280" s="38"/>
    </row>
    <row r="281" spans="1:18" x14ac:dyDescent="0.25">
      <c r="A281" s="5"/>
      <c r="B281" s="13"/>
      <c r="C281" s="13"/>
      <c r="D281" s="13"/>
      <c r="E281" s="13"/>
      <c r="F281" s="9"/>
      <c r="G281" s="32"/>
      <c r="H281" s="32"/>
      <c r="I281" s="32"/>
      <c r="J281" s="32"/>
      <c r="K281" s="29"/>
      <c r="L281" s="29"/>
      <c r="M281" s="29"/>
      <c r="N281" s="29"/>
      <c r="O281" s="29"/>
      <c r="P281" s="29"/>
      <c r="Q281" s="29"/>
      <c r="R281" s="38"/>
    </row>
    <row r="282" spans="1:18" x14ac:dyDescent="0.25">
      <c r="A282" s="5"/>
      <c r="B282" s="13"/>
      <c r="C282" s="13"/>
      <c r="D282" s="13"/>
      <c r="E282" s="13"/>
      <c r="F282" s="9"/>
      <c r="G282" s="32"/>
      <c r="H282" s="32"/>
      <c r="I282" s="32"/>
      <c r="J282" s="32"/>
      <c r="K282" s="29"/>
      <c r="L282" s="29"/>
      <c r="M282" s="29"/>
      <c r="N282" s="29"/>
      <c r="O282" s="29"/>
      <c r="P282" s="29"/>
      <c r="Q282" s="29"/>
      <c r="R282" s="38"/>
    </row>
    <row r="283" spans="1:18" x14ac:dyDescent="0.25">
      <c r="A283" s="5"/>
      <c r="B283" s="13"/>
      <c r="C283" s="13"/>
      <c r="D283" s="13"/>
      <c r="E283" s="13"/>
      <c r="F283" s="9"/>
      <c r="G283" s="32"/>
      <c r="H283" s="32"/>
      <c r="I283" s="32"/>
      <c r="J283" s="32"/>
      <c r="K283" s="29"/>
      <c r="L283" s="29"/>
      <c r="M283" s="29"/>
      <c r="N283" s="29"/>
      <c r="O283" s="29"/>
      <c r="P283" s="29"/>
      <c r="Q283" s="29"/>
      <c r="R283" s="38"/>
    </row>
    <row r="284" spans="1:18" x14ac:dyDescent="0.25">
      <c r="A284" s="5"/>
      <c r="B284" s="13"/>
      <c r="C284" s="13"/>
      <c r="D284" s="13"/>
      <c r="E284" s="13"/>
      <c r="F284" s="9"/>
      <c r="G284" s="32"/>
      <c r="H284" s="32"/>
      <c r="I284" s="32"/>
      <c r="J284" s="32"/>
      <c r="K284" s="29"/>
      <c r="L284" s="29"/>
      <c r="M284" s="29"/>
      <c r="N284" s="29"/>
      <c r="O284" s="29"/>
      <c r="P284" s="29"/>
      <c r="Q284" s="29"/>
      <c r="R284" s="38"/>
    </row>
    <row r="285" spans="1:18" x14ac:dyDescent="0.25">
      <c r="A285" s="5"/>
      <c r="B285" s="13"/>
      <c r="C285" s="13"/>
      <c r="D285" s="13"/>
      <c r="E285" s="13"/>
      <c r="F285" s="9"/>
      <c r="G285" s="32"/>
      <c r="H285" s="32"/>
      <c r="I285" s="32"/>
      <c r="J285" s="32"/>
      <c r="K285" s="29"/>
      <c r="L285" s="29"/>
      <c r="M285" s="29"/>
      <c r="N285" s="29"/>
      <c r="O285" s="29"/>
      <c r="P285" s="29"/>
      <c r="Q285" s="29"/>
      <c r="R285" s="38"/>
    </row>
    <row r="286" spans="1:18" x14ac:dyDescent="0.25">
      <c r="A286" s="5"/>
      <c r="B286" s="13"/>
      <c r="C286" s="13"/>
      <c r="D286" s="13"/>
      <c r="E286" s="13"/>
      <c r="F286" s="9"/>
      <c r="G286" s="32"/>
      <c r="H286" s="32"/>
      <c r="I286" s="32"/>
      <c r="J286" s="32"/>
      <c r="K286" s="29"/>
      <c r="L286" s="29"/>
      <c r="M286" s="29"/>
      <c r="N286" s="29"/>
      <c r="O286" s="29"/>
      <c r="P286" s="29"/>
      <c r="Q286" s="29"/>
      <c r="R286" s="38"/>
    </row>
    <row r="287" spans="1:18" x14ac:dyDescent="0.25">
      <c r="A287" s="5"/>
      <c r="B287" s="13"/>
      <c r="C287" s="13"/>
      <c r="D287" s="13"/>
      <c r="E287" s="13"/>
      <c r="F287" s="9"/>
      <c r="G287" s="32"/>
      <c r="H287" s="32"/>
      <c r="I287" s="32"/>
      <c r="J287" s="32"/>
      <c r="K287" s="29"/>
      <c r="L287" s="29"/>
      <c r="M287" s="29"/>
      <c r="N287" s="29"/>
      <c r="O287" s="29"/>
      <c r="P287" s="29"/>
      <c r="Q287" s="29"/>
      <c r="R287" s="38"/>
    </row>
    <row r="288" spans="1:18" x14ac:dyDescent="0.25">
      <c r="A288" s="5"/>
      <c r="B288" s="13"/>
      <c r="C288" s="13"/>
      <c r="D288" s="13"/>
      <c r="E288" s="13"/>
      <c r="F288" s="9"/>
      <c r="G288" s="32"/>
      <c r="H288" s="32"/>
      <c r="I288" s="32"/>
      <c r="J288" s="32"/>
      <c r="K288" s="29"/>
      <c r="L288" s="29"/>
      <c r="M288" s="29"/>
      <c r="N288" s="29"/>
      <c r="O288" s="29"/>
      <c r="P288" s="29"/>
      <c r="Q288" s="29"/>
      <c r="R288" s="38"/>
    </row>
    <row r="289" spans="1:18" x14ac:dyDescent="0.25">
      <c r="A289" s="5"/>
      <c r="B289" s="13"/>
      <c r="C289" s="13"/>
      <c r="D289" s="13"/>
      <c r="E289" s="13"/>
      <c r="F289" s="9"/>
      <c r="G289" s="32"/>
      <c r="H289" s="32"/>
      <c r="I289" s="32"/>
      <c r="J289" s="32"/>
      <c r="K289" s="29"/>
      <c r="L289" s="29"/>
      <c r="M289" s="29"/>
      <c r="N289" s="29"/>
      <c r="O289" s="29"/>
      <c r="P289" s="29"/>
      <c r="Q289" s="29"/>
      <c r="R289" s="38"/>
    </row>
    <row r="290" spans="1:18" x14ac:dyDescent="0.25">
      <c r="A290" s="5"/>
      <c r="B290" s="13"/>
      <c r="C290" s="13"/>
      <c r="D290" s="13"/>
      <c r="E290" s="13"/>
      <c r="F290" s="9"/>
      <c r="G290" s="32"/>
      <c r="H290" s="32"/>
      <c r="I290" s="32"/>
      <c r="J290" s="32"/>
      <c r="K290" s="29"/>
      <c r="L290" s="29"/>
      <c r="M290" s="29"/>
      <c r="N290" s="29"/>
      <c r="O290" s="29"/>
      <c r="P290" s="29"/>
      <c r="Q290" s="29"/>
      <c r="R290" s="38"/>
    </row>
    <row r="291" spans="1:18" x14ac:dyDescent="0.25">
      <c r="A291" s="5"/>
      <c r="B291" s="13"/>
      <c r="C291" s="13"/>
      <c r="D291" s="13"/>
      <c r="E291" s="13"/>
      <c r="F291" s="9"/>
      <c r="G291" s="32"/>
      <c r="H291" s="32"/>
      <c r="I291" s="32"/>
      <c r="J291" s="32"/>
      <c r="K291" s="29"/>
      <c r="L291" s="29"/>
      <c r="M291" s="29"/>
      <c r="N291" s="29"/>
      <c r="O291" s="29"/>
      <c r="P291" s="29"/>
      <c r="Q291" s="29"/>
      <c r="R291" s="38"/>
    </row>
    <row r="292" spans="1:18" x14ac:dyDescent="0.25">
      <c r="A292" s="5"/>
      <c r="B292" s="13"/>
      <c r="C292" s="13"/>
      <c r="D292" s="13"/>
      <c r="E292" s="13"/>
      <c r="F292" s="9"/>
      <c r="G292" s="32"/>
      <c r="H292" s="32"/>
      <c r="I292" s="32"/>
      <c r="J292" s="32"/>
      <c r="K292" s="29"/>
      <c r="L292" s="29"/>
      <c r="M292" s="29"/>
      <c r="N292" s="29"/>
      <c r="O292" s="29"/>
      <c r="P292" s="29"/>
      <c r="Q292" s="29"/>
      <c r="R292" s="38"/>
    </row>
    <row r="293" spans="1:18" x14ac:dyDescent="0.25">
      <c r="A293" s="5"/>
      <c r="B293" s="13"/>
      <c r="C293" s="13"/>
      <c r="D293" s="13"/>
      <c r="E293" s="13"/>
      <c r="F293" s="9"/>
      <c r="G293" s="32"/>
      <c r="H293" s="32"/>
      <c r="I293" s="32"/>
      <c r="J293" s="32"/>
      <c r="K293" s="29"/>
      <c r="L293" s="29"/>
      <c r="M293" s="29"/>
      <c r="N293" s="29"/>
      <c r="O293" s="29"/>
      <c r="P293" s="29"/>
      <c r="Q293" s="29"/>
      <c r="R293" s="38"/>
    </row>
    <row r="294" spans="1:18" x14ac:dyDescent="0.25">
      <c r="A294" s="5"/>
      <c r="B294" s="13"/>
      <c r="C294" s="13"/>
      <c r="D294" s="13"/>
      <c r="E294" s="13"/>
      <c r="F294" s="9"/>
      <c r="G294" s="32"/>
      <c r="H294" s="32"/>
      <c r="I294" s="32"/>
      <c r="J294" s="32"/>
      <c r="K294" s="29"/>
      <c r="L294" s="29"/>
      <c r="M294" s="29"/>
      <c r="N294" s="29"/>
      <c r="O294" s="29"/>
      <c r="P294" s="29"/>
      <c r="Q294" s="29"/>
      <c r="R294" s="38"/>
    </row>
    <row r="295" spans="1:18" x14ac:dyDescent="0.25">
      <c r="A295" s="5"/>
      <c r="B295" s="13"/>
      <c r="C295" s="13"/>
      <c r="D295" s="13"/>
      <c r="E295" s="13"/>
      <c r="F295" s="9"/>
      <c r="G295" s="32"/>
      <c r="H295" s="32"/>
      <c r="I295" s="32"/>
      <c r="J295" s="32"/>
      <c r="K295" s="29"/>
      <c r="L295" s="29"/>
      <c r="M295" s="29"/>
      <c r="N295" s="29"/>
      <c r="O295" s="29"/>
      <c r="P295" s="29"/>
      <c r="Q295" s="29"/>
      <c r="R295" s="38"/>
    </row>
    <row r="296" spans="1:18" x14ac:dyDescent="0.25">
      <c r="A296" s="5"/>
      <c r="B296" s="13"/>
      <c r="C296" s="13"/>
      <c r="D296" s="13"/>
      <c r="E296" s="13"/>
      <c r="F296" s="9"/>
      <c r="G296" s="32"/>
      <c r="H296" s="32"/>
      <c r="I296" s="32"/>
      <c r="J296" s="32"/>
      <c r="K296" s="29"/>
      <c r="L296" s="29"/>
      <c r="M296" s="29"/>
      <c r="N296" s="29"/>
      <c r="O296" s="29"/>
      <c r="P296" s="29"/>
      <c r="Q296" s="29"/>
      <c r="R296" s="38"/>
    </row>
    <row r="297" spans="1:18" x14ac:dyDescent="0.25">
      <c r="A297" s="5"/>
      <c r="B297" s="13"/>
      <c r="C297" s="13"/>
      <c r="D297" s="13"/>
      <c r="E297" s="13"/>
      <c r="F297" s="9"/>
      <c r="G297" s="32"/>
      <c r="H297" s="32"/>
      <c r="I297" s="32"/>
      <c r="J297" s="32"/>
      <c r="K297" s="29"/>
      <c r="L297" s="29"/>
      <c r="M297" s="29"/>
      <c r="N297" s="29"/>
      <c r="O297" s="29"/>
      <c r="P297" s="29"/>
      <c r="Q297" s="29"/>
      <c r="R297" s="38"/>
    </row>
    <row r="298" spans="1:18" x14ac:dyDescent="0.25">
      <c r="A298" s="5"/>
      <c r="B298" s="13"/>
      <c r="C298" s="13"/>
      <c r="D298" s="13"/>
      <c r="E298" s="13"/>
      <c r="F298" s="9"/>
      <c r="G298" s="32"/>
      <c r="H298" s="32"/>
      <c r="I298" s="32"/>
      <c r="J298" s="32"/>
      <c r="K298" s="29"/>
      <c r="L298" s="29"/>
      <c r="M298" s="29"/>
      <c r="N298" s="29"/>
      <c r="O298" s="29"/>
      <c r="P298" s="29"/>
      <c r="Q298" s="29"/>
      <c r="R298" s="38"/>
    </row>
    <row r="299" spans="1:18" x14ac:dyDescent="0.25">
      <c r="A299" s="5"/>
      <c r="B299" s="13"/>
      <c r="C299" s="13"/>
      <c r="D299" s="13"/>
      <c r="E299" s="13"/>
      <c r="F299" s="9"/>
      <c r="G299" s="32"/>
      <c r="H299" s="32"/>
      <c r="I299" s="32"/>
      <c r="J299" s="32"/>
      <c r="K299" s="29"/>
      <c r="L299" s="29"/>
      <c r="M299" s="29"/>
      <c r="N299" s="29"/>
      <c r="O299" s="29"/>
      <c r="P299" s="29"/>
      <c r="Q299" s="29"/>
      <c r="R299" s="38"/>
    </row>
    <row r="300" spans="1:18" x14ac:dyDescent="0.25">
      <c r="A300" s="5"/>
      <c r="B300" s="13"/>
      <c r="C300" s="13"/>
      <c r="D300" s="13"/>
      <c r="E300" s="13"/>
      <c r="F300" s="9"/>
      <c r="G300" s="32"/>
      <c r="H300" s="32"/>
      <c r="I300" s="32"/>
      <c r="J300" s="32"/>
      <c r="K300" s="29"/>
      <c r="L300" s="29"/>
      <c r="M300" s="29"/>
      <c r="N300" s="29"/>
      <c r="O300" s="29"/>
      <c r="P300" s="29"/>
      <c r="Q300" s="29"/>
      <c r="R300" s="38"/>
    </row>
    <row r="301" spans="1:18" x14ac:dyDescent="0.25">
      <c r="A301" s="5"/>
      <c r="B301" s="13"/>
      <c r="C301" s="13"/>
      <c r="D301" s="13"/>
      <c r="E301" s="13"/>
      <c r="F301" s="9"/>
      <c r="G301" s="32"/>
      <c r="H301" s="32"/>
      <c r="I301" s="32"/>
      <c r="J301" s="32"/>
      <c r="K301" s="29"/>
      <c r="L301" s="29"/>
      <c r="M301" s="29"/>
      <c r="N301" s="29"/>
      <c r="O301" s="29"/>
      <c r="P301" s="29"/>
      <c r="Q301" s="29"/>
      <c r="R301" s="38"/>
    </row>
    <row r="302" spans="1:18" x14ac:dyDescent="0.25">
      <c r="A302" s="5"/>
      <c r="B302" s="13"/>
      <c r="C302" s="13"/>
      <c r="D302" s="13"/>
      <c r="E302" s="13"/>
      <c r="F302" s="9"/>
      <c r="G302" s="32"/>
      <c r="H302" s="32"/>
      <c r="I302" s="32"/>
      <c r="J302" s="32"/>
      <c r="K302" s="29"/>
      <c r="L302" s="29"/>
      <c r="M302" s="29"/>
      <c r="N302" s="29"/>
      <c r="O302" s="29"/>
      <c r="P302" s="29"/>
      <c r="Q302" s="29"/>
      <c r="R302" s="38"/>
    </row>
    <row r="303" spans="1:18" x14ac:dyDescent="0.25">
      <c r="A303" s="5"/>
      <c r="B303" s="13"/>
      <c r="C303" s="13"/>
      <c r="D303" s="13"/>
      <c r="E303" s="13"/>
      <c r="F303" s="9"/>
      <c r="G303" s="32"/>
      <c r="H303" s="32"/>
      <c r="I303" s="32"/>
      <c r="J303" s="32"/>
      <c r="K303" s="29"/>
      <c r="L303" s="29"/>
      <c r="M303" s="29"/>
      <c r="N303" s="29"/>
      <c r="O303" s="29"/>
      <c r="P303" s="29"/>
      <c r="Q303" s="29"/>
      <c r="R303" s="38"/>
    </row>
    <row r="304" spans="1:18" x14ac:dyDescent="0.25">
      <c r="A304" s="5"/>
      <c r="B304" s="13"/>
      <c r="C304" s="13"/>
      <c r="D304" s="13"/>
      <c r="E304" s="13"/>
      <c r="F304" s="9"/>
      <c r="G304" s="32"/>
      <c r="H304" s="32"/>
      <c r="I304" s="32"/>
      <c r="J304" s="32"/>
      <c r="K304" s="29"/>
      <c r="L304" s="29"/>
      <c r="M304" s="29"/>
      <c r="N304" s="29"/>
      <c r="O304" s="29"/>
      <c r="P304" s="29"/>
      <c r="Q304" s="29"/>
      <c r="R304" s="38"/>
    </row>
    <row r="305" spans="1:18" x14ac:dyDescent="0.25">
      <c r="A305" s="5"/>
      <c r="B305" s="13"/>
      <c r="C305" s="13"/>
      <c r="D305" s="13"/>
      <c r="E305" s="13"/>
      <c r="F305" s="9"/>
      <c r="G305" s="32"/>
      <c r="H305" s="32"/>
      <c r="I305" s="32"/>
      <c r="J305" s="32"/>
      <c r="K305" s="29"/>
      <c r="L305" s="29"/>
      <c r="M305" s="29"/>
      <c r="N305" s="29"/>
      <c r="O305" s="29"/>
      <c r="P305" s="29"/>
      <c r="Q305" s="29"/>
      <c r="R305" s="38"/>
    </row>
    <row r="306" spans="1:18" x14ac:dyDescent="0.25">
      <c r="A306" s="5"/>
      <c r="B306" s="13"/>
      <c r="C306" s="13"/>
      <c r="D306" s="13"/>
      <c r="E306" s="13"/>
      <c r="F306" s="9"/>
      <c r="G306" s="32"/>
      <c r="H306" s="32"/>
      <c r="I306" s="32"/>
      <c r="J306" s="32"/>
      <c r="K306" s="29"/>
      <c r="L306" s="29"/>
      <c r="M306" s="29"/>
      <c r="N306" s="29"/>
      <c r="O306" s="29"/>
      <c r="P306" s="29"/>
      <c r="Q306" s="29"/>
      <c r="R306" s="38"/>
    </row>
    <row r="307" spans="1:18" x14ac:dyDescent="0.25">
      <c r="A307" s="5"/>
      <c r="B307" s="13"/>
      <c r="C307" s="13"/>
      <c r="D307" s="13"/>
      <c r="E307" s="13"/>
      <c r="F307" s="9"/>
      <c r="G307" s="32"/>
      <c r="H307" s="32"/>
      <c r="I307" s="32"/>
      <c r="J307" s="32"/>
      <c r="K307" s="29"/>
      <c r="L307" s="29"/>
      <c r="M307" s="29"/>
      <c r="N307" s="29"/>
      <c r="O307" s="29"/>
      <c r="P307" s="29"/>
      <c r="Q307" s="29"/>
      <c r="R307" s="38"/>
    </row>
    <row r="308" spans="1:18" x14ac:dyDescent="0.25">
      <c r="A308" s="5"/>
      <c r="B308" s="13"/>
      <c r="C308" s="13"/>
      <c r="D308" s="13"/>
      <c r="E308" s="13"/>
      <c r="F308" s="9"/>
      <c r="G308" s="32"/>
      <c r="H308" s="32"/>
      <c r="I308" s="32"/>
      <c r="J308" s="32"/>
      <c r="K308" s="29"/>
      <c r="L308" s="29"/>
      <c r="M308" s="29"/>
      <c r="N308" s="29"/>
      <c r="O308" s="29"/>
      <c r="P308" s="29"/>
      <c r="Q308" s="29"/>
      <c r="R308" s="38"/>
    </row>
    <row r="309" spans="1:18" x14ac:dyDescent="0.25">
      <c r="A309" s="5"/>
      <c r="B309" s="13"/>
      <c r="C309" s="13"/>
      <c r="D309" s="13"/>
      <c r="E309" s="13"/>
      <c r="F309" s="9"/>
      <c r="G309" s="32"/>
      <c r="H309" s="32"/>
      <c r="I309" s="32"/>
      <c r="J309" s="32"/>
      <c r="K309" s="29"/>
      <c r="L309" s="29"/>
      <c r="M309" s="29"/>
      <c r="N309" s="29"/>
      <c r="O309" s="29"/>
      <c r="P309" s="29"/>
      <c r="Q309" s="29"/>
      <c r="R309" s="38"/>
    </row>
    <row r="310" spans="1:18" x14ac:dyDescent="0.25">
      <c r="A310" s="5"/>
      <c r="B310" s="13"/>
      <c r="C310" s="13"/>
      <c r="D310" s="13"/>
      <c r="E310" s="13"/>
      <c r="F310" s="9"/>
      <c r="G310" s="32"/>
      <c r="H310" s="32"/>
      <c r="I310" s="32"/>
      <c r="J310" s="32"/>
      <c r="K310" s="29"/>
      <c r="L310" s="29"/>
      <c r="M310" s="29"/>
      <c r="N310" s="29"/>
      <c r="O310" s="29"/>
      <c r="P310" s="29"/>
      <c r="Q310" s="29"/>
      <c r="R310" s="38"/>
    </row>
    <row r="311" spans="1:18" x14ac:dyDescent="0.25">
      <c r="A311" s="5"/>
      <c r="B311" s="13"/>
      <c r="C311" s="13"/>
      <c r="D311" s="13"/>
      <c r="E311" s="13"/>
      <c r="F311" s="9"/>
      <c r="G311" s="32"/>
      <c r="H311" s="32"/>
      <c r="I311" s="32"/>
      <c r="J311" s="32"/>
      <c r="K311" s="29"/>
      <c r="L311" s="29"/>
      <c r="M311" s="29"/>
      <c r="N311" s="29"/>
      <c r="O311" s="29"/>
      <c r="P311" s="29"/>
      <c r="Q311" s="29"/>
      <c r="R311" s="38"/>
    </row>
    <row r="312" spans="1:18" x14ac:dyDescent="0.25">
      <c r="A312" s="5"/>
      <c r="B312" s="13"/>
      <c r="C312" s="13"/>
      <c r="D312" s="13"/>
      <c r="E312" s="13"/>
      <c r="F312" s="9"/>
      <c r="G312" s="32"/>
      <c r="H312" s="32"/>
      <c r="I312" s="32"/>
      <c r="J312" s="32"/>
      <c r="K312" s="29"/>
      <c r="L312" s="29"/>
      <c r="M312" s="29"/>
      <c r="N312" s="29"/>
      <c r="O312" s="29"/>
      <c r="P312" s="29"/>
      <c r="Q312" s="29"/>
      <c r="R312" s="38"/>
    </row>
    <row r="313" spans="1:18" x14ac:dyDescent="0.25">
      <c r="A313" s="5"/>
      <c r="B313" s="13"/>
      <c r="C313" s="13"/>
      <c r="D313" s="13"/>
      <c r="E313" s="13"/>
      <c r="F313" s="9"/>
      <c r="G313" s="32"/>
      <c r="H313" s="32"/>
      <c r="I313" s="32"/>
      <c r="J313" s="32"/>
      <c r="K313" s="29"/>
      <c r="L313" s="29"/>
      <c r="M313" s="29"/>
      <c r="N313" s="29"/>
      <c r="O313" s="29"/>
      <c r="P313" s="29"/>
      <c r="Q313" s="29"/>
      <c r="R313" s="38"/>
    </row>
    <row r="314" spans="1:18" x14ac:dyDescent="0.25">
      <c r="A314" s="5"/>
      <c r="B314" s="13"/>
      <c r="C314" s="13"/>
      <c r="D314" s="13"/>
      <c r="E314" s="13"/>
      <c r="F314" s="9"/>
      <c r="G314" s="32"/>
      <c r="H314" s="32"/>
      <c r="I314" s="32"/>
      <c r="J314" s="32"/>
      <c r="K314" s="29"/>
      <c r="L314" s="29"/>
      <c r="M314" s="29"/>
      <c r="N314" s="29"/>
      <c r="O314" s="29"/>
      <c r="P314" s="29"/>
      <c r="Q314" s="29"/>
      <c r="R314" s="38"/>
    </row>
    <row r="315" spans="1:18" x14ac:dyDescent="0.25">
      <c r="A315" s="5"/>
      <c r="B315" s="13"/>
      <c r="C315" s="13"/>
      <c r="D315" s="13"/>
      <c r="E315" s="13"/>
      <c r="F315" s="9"/>
      <c r="G315" s="32"/>
      <c r="H315" s="32"/>
      <c r="I315" s="32"/>
      <c r="J315" s="32"/>
      <c r="K315" s="29"/>
      <c r="L315" s="29"/>
      <c r="M315" s="29"/>
      <c r="N315" s="29"/>
      <c r="O315" s="29"/>
      <c r="P315" s="29"/>
      <c r="Q315" s="29"/>
      <c r="R315" s="38"/>
    </row>
    <row r="316" spans="1:18" x14ac:dyDescent="0.25">
      <c r="A316" s="5"/>
      <c r="B316" s="13"/>
      <c r="C316" s="13"/>
      <c r="D316" s="13"/>
      <c r="E316" s="13"/>
      <c r="F316" s="9"/>
      <c r="G316" s="32"/>
      <c r="H316" s="32"/>
      <c r="I316" s="32"/>
      <c r="J316" s="32"/>
      <c r="K316" s="29"/>
      <c r="L316" s="29"/>
      <c r="M316" s="29"/>
      <c r="N316" s="29"/>
      <c r="O316" s="29"/>
      <c r="P316" s="29"/>
      <c r="Q316" s="29"/>
      <c r="R316" s="38"/>
    </row>
    <row r="317" spans="1:18" x14ac:dyDescent="0.25">
      <c r="A317" s="5"/>
      <c r="B317" s="13"/>
      <c r="C317" s="13"/>
      <c r="D317" s="13"/>
      <c r="E317" s="13"/>
      <c r="F317" s="9"/>
      <c r="G317" s="32"/>
      <c r="H317" s="32"/>
      <c r="I317" s="32"/>
      <c r="J317" s="32"/>
      <c r="K317" s="29"/>
      <c r="L317" s="29"/>
      <c r="M317" s="29"/>
      <c r="N317" s="29"/>
      <c r="O317" s="29"/>
      <c r="P317" s="29"/>
      <c r="Q317" s="29"/>
      <c r="R317" s="38"/>
    </row>
    <row r="318" spans="1:18" x14ac:dyDescent="0.25">
      <c r="A318" s="5"/>
      <c r="B318" s="13"/>
      <c r="C318" s="13"/>
      <c r="D318" s="13"/>
      <c r="E318" s="13"/>
      <c r="F318" s="9"/>
      <c r="G318" s="32"/>
      <c r="H318" s="32"/>
      <c r="I318" s="32"/>
      <c r="J318" s="32"/>
      <c r="K318" s="29"/>
      <c r="L318" s="29"/>
      <c r="M318" s="29"/>
      <c r="N318" s="29"/>
      <c r="O318" s="29"/>
      <c r="P318" s="29"/>
      <c r="Q318" s="29"/>
      <c r="R318" s="38"/>
    </row>
    <row r="319" spans="1:18" x14ac:dyDescent="0.25">
      <c r="A319" s="5"/>
      <c r="B319" s="13"/>
      <c r="C319" s="13"/>
      <c r="D319" s="13"/>
      <c r="E319" s="13"/>
      <c r="F319" s="9"/>
      <c r="G319" s="32"/>
      <c r="H319" s="32"/>
      <c r="I319" s="32"/>
      <c r="J319" s="32"/>
      <c r="K319" s="29"/>
      <c r="L319" s="29"/>
      <c r="M319" s="29"/>
      <c r="N319" s="29"/>
      <c r="O319" s="29"/>
      <c r="P319" s="29"/>
      <c r="Q319" s="29"/>
      <c r="R319" s="38"/>
    </row>
    <row r="320" spans="1:18" x14ac:dyDescent="0.25">
      <c r="A320" s="5"/>
      <c r="B320" s="13"/>
      <c r="C320" s="13"/>
      <c r="D320" s="13"/>
      <c r="E320" s="13"/>
      <c r="F320" s="9"/>
      <c r="G320" s="32"/>
      <c r="H320" s="32"/>
      <c r="I320" s="32"/>
      <c r="J320" s="32"/>
      <c r="K320" s="29"/>
      <c r="L320" s="29"/>
      <c r="M320" s="29"/>
      <c r="N320" s="29"/>
      <c r="O320" s="29"/>
      <c r="P320" s="29"/>
      <c r="Q320" s="29"/>
      <c r="R320" s="38"/>
    </row>
    <row r="321" spans="1:18" x14ac:dyDescent="0.25">
      <c r="A321" s="5"/>
      <c r="B321" s="13"/>
      <c r="C321" s="13"/>
      <c r="D321" s="13"/>
      <c r="E321" s="13"/>
      <c r="F321" s="9"/>
      <c r="G321" s="32"/>
      <c r="H321" s="32"/>
      <c r="I321" s="32"/>
      <c r="J321" s="32"/>
      <c r="K321" s="29"/>
      <c r="L321" s="29"/>
      <c r="M321" s="29"/>
      <c r="N321" s="29"/>
      <c r="O321" s="29"/>
      <c r="P321" s="29"/>
      <c r="Q321" s="29"/>
      <c r="R321" s="38"/>
    </row>
    <row r="322" spans="1:18" x14ac:dyDescent="0.25">
      <c r="A322" s="5"/>
      <c r="B322" s="13"/>
      <c r="C322" s="13"/>
      <c r="D322" s="13"/>
      <c r="E322" s="13"/>
      <c r="F322" s="9"/>
      <c r="G322" s="32"/>
      <c r="H322" s="32"/>
      <c r="I322" s="32"/>
      <c r="J322" s="32"/>
      <c r="K322" s="29"/>
      <c r="L322" s="29"/>
      <c r="M322" s="29"/>
      <c r="N322" s="29"/>
      <c r="O322" s="29"/>
      <c r="P322" s="29"/>
      <c r="Q322" s="29"/>
      <c r="R322" s="38"/>
    </row>
    <row r="323" spans="1:18" x14ac:dyDescent="0.25">
      <c r="A323" s="5"/>
      <c r="B323" s="13"/>
      <c r="C323" s="13"/>
      <c r="D323" s="13"/>
      <c r="E323" s="13"/>
      <c r="F323" s="9"/>
      <c r="G323" s="32"/>
      <c r="H323" s="32"/>
      <c r="I323" s="32"/>
      <c r="J323" s="32"/>
      <c r="K323" s="29"/>
      <c r="L323" s="29"/>
      <c r="M323" s="29"/>
      <c r="N323" s="29"/>
      <c r="O323" s="29"/>
      <c r="P323" s="29"/>
      <c r="Q323" s="29"/>
      <c r="R323" s="38"/>
    </row>
    <row r="324" spans="1:18" x14ac:dyDescent="0.25">
      <c r="A324" s="5"/>
      <c r="B324" s="13"/>
      <c r="C324" s="13"/>
      <c r="D324" s="13"/>
      <c r="E324" s="13"/>
      <c r="F324" s="9"/>
      <c r="G324" s="32"/>
      <c r="H324" s="32"/>
      <c r="I324" s="32"/>
      <c r="J324" s="32"/>
      <c r="K324" s="29"/>
      <c r="L324" s="29"/>
      <c r="M324" s="29"/>
      <c r="N324" s="29"/>
      <c r="O324" s="29"/>
      <c r="P324" s="29"/>
      <c r="Q324" s="29"/>
      <c r="R324" s="38"/>
    </row>
    <row r="325" spans="1:18" x14ac:dyDescent="0.25">
      <c r="A325" s="5"/>
      <c r="B325" s="13"/>
      <c r="C325" s="13"/>
      <c r="D325" s="13"/>
      <c r="E325" s="13"/>
      <c r="F325" s="9"/>
      <c r="G325" s="32"/>
      <c r="H325" s="32"/>
      <c r="I325" s="32"/>
      <c r="J325" s="32"/>
      <c r="K325" s="29"/>
      <c r="L325" s="29"/>
      <c r="M325" s="29"/>
      <c r="N325" s="29"/>
      <c r="O325" s="29"/>
      <c r="P325" s="29"/>
      <c r="Q325" s="29"/>
      <c r="R325" s="38"/>
    </row>
    <row r="326" spans="1:18" x14ac:dyDescent="0.25">
      <c r="A326" s="5"/>
      <c r="B326" s="13"/>
      <c r="C326" s="13"/>
      <c r="D326" s="13"/>
      <c r="E326" s="13"/>
      <c r="F326" s="9"/>
      <c r="G326" s="32"/>
      <c r="H326" s="32"/>
      <c r="I326" s="32"/>
      <c r="J326" s="32"/>
      <c r="K326" s="29"/>
      <c r="L326" s="29"/>
      <c r="M326" s="29"/>
      <c r="N326" s="29"/>
      <c r="O326" s="29"/>
      <c r="P326" s="29"/>
      <c r="Q326" s="29"/>
      <c r="R326" s="38"/>
    </row>
    <row r="327" spans="1:18" x14ac:dyDescent="0.25">
      <c r="A327" s="5"/>
      <c r="B327" s="13"/>
      <c r="C327" s="13"/>
      <c r="D327" s="13"/>
      <c r="E327" s="13"/>
      <c r="F327" s="9"/>
      <c r="G327" s="32"/>
      <c r="H327" s="32"/>
      <c r="I327" s="32"/>
      <c r="J327" s="32"/>
      <c r="K327" s="29"/>
      <c r="L327" s="29"/>
      <c r="M327" s="29"/>
      <c r="N327" s="29"/>
      <c r="O327" s="29"/>
      <c r="P327" s="29"/>
      <c r="Q327" s="29"/>
      <c r="R327" s="38"/>
    </row>
    <row r="328" spans="1:18" x14ac:dyDescent="0.25">
      <c r="A328" s="5"/>
      <c r="B328" s="13"/>
      <c r="C328" s="13"/>
      <c r="D328" s="13"/>
      <c r="E328" s="13"/>
      <c r="F328" s="9"/>
      <c r="G328" s="32"/>
      <c r="H328" s="32"/>
      <c r="I328" s="32"/>
      <c r="J328" s="32"/>
      <c r="K328" s="29"/>
      <c r="L328" s="29"/>
      <c r="M328" s="29"/>
      <c r="N328" s="29"/>
      <c r="O328" s="29"/>
      <c r="P328" s="29"/>
      <c r="Q328" s="29"/>
      <c r="R328" s="38"/>
    </row>
    <row r="329" spans="1:18" x14ac:dyDescent="0.25">
      <c r="A329" s="5"/>
      <c r="B329" s="13"/>
      <c r="C329" s="13"/>
      <c r="D329" s="13"/>
      <c r="E329" s="13"/>
      <c r="F329" s="9"/>
      <c r="G329" s="32"/>
      <c r="H329" s="32"/>
      <c r="I329" s="32"/>
      <c r="J329" s="32"/>
      <c r="K329" s="29"/>
      <c r="L329" s="29"/>
      <c r="M329" s="29"/>
      <c r="N329" s="29"/>
      <c r="O329" s="29"/>
      <c r="P329" s="29"/>
      <c r="Q329" s="29"/>
      <c r="R329" s="38"/>
    </row>
    <row r="330" spans="1:18" x14ac:dyDescent="0.25">
      <c r="A330" s="5"/>
      <c r="B330" s="13"/>
      <c r="C330" s="13"/>
      <c r="D330" s="13"/>
      <c r="E330" s="13"/>
      <c r="F330" s="9"/>
      <c r="G330" s="32"/>
      <c r="H330" s="32"/>
      <c r="I330" s="32"/>
      <c r="J330" s="32"/>
      <c r="K330" s="29"/>
      <c r="L330" s="29"/>
      <c r="M330" s="29"/>
      <c r="N330" s="29"/>
      <c r="O330" s="29"/>
      <c r="P330" s="29"/>
      <c r="Q330" s="29"/>
      <c r="R330" s="38"/>
    </row>
    <row r="331" spans="1:18" x14ac:dyDescent="0.25">
      <c r="A331" s="5"/>
      <c r="B331" s="13"/>
      <c r="C331" s="13"/>
      <c r="D331" s="13"/>
      <c r="E331" s="13"/>
      <c r="F331" s="9"/>
      <c r="G331" s="32"/>
      <c r="H331" s="32"/>
      <c r="I331" s="32"/>
      <c r="J331" s="32"/>
      <c r="K331" s="29"/>
      <c r="L331" s="29"/>
      <c r="M331" s="29"/>
      <c r="N331" s="29"/>
      <c r="O331" s="29"/>
      <c r="P331" s="29"/>
      <c r="Q331" s="29"/>
      <c r="R331" s="38"/>
    </row>
    <row r="332" spans="1:18" x14ac:dyDescent="0.25">
      <c r="A332" s="5"/>
      <c r="B332" s="13"/>
      <c r="C332" s="13"/>
      <c r="D332" s="13"/>
      <c r="E332" s="13"/>
      <c r="F332" s="9"/>
      <c r="G332" s="32"/>
      <c r="H332" s="32"/>
      <c r="I332" s="32"/>
      <c r="J332" s="32"/>
      <c r="K332" s="29"/>
      <c r="L332" s="29"/>
      <c r="M332" s="29"/>
      <c r="N332" s="29"/>
      <c r="O332" s="29"/>
      <c r="P332" s="29"/>
      <c r="Q332" s="29"/>
      <c r="R332" s="38"/>
    </row>
    <row r="333" spans="1:18" x14ac:dyDescent="0.25">
      <c r="A333" s="5"/>
      <c r="B333" s="13"/>
      <c r="C333" s="13"/>
      <c r="D333" s="13"/>
      <c r="E333" s="13"/>
      <c r="F333" s="9"/>
      <c r="G333" s="32"/>
      <c r="H333" s="32"/>
      <c r="I333" s="32"/>
      <c r="J333" s="32"/>
      <c r="K333" s="29"/>
      <c r="L333" s="29"/>
      <c r="M333" s="29"/>
      <c r="N333" s="29"/>
      <c r="O333" s="29"/>
      <c r="P333" s="29"/>
      <c r="Q333" s="29"/>
      <c r="R333" s="38"/>
    </row>
    <row r="334" spans="1:18" x14ac:dyDescent="0.25">
      <c r="A334" s="5"/>
      <c r="B334" s="13"/>
      <c r="C334" s="13"/>
      <c r="D334" s="13"/>
      <c r="E334" s="13"/>
      <c r="F334" s="9"/>
      <c r="G334" s="32"/>
      <c r="H334" s="32"/>
      <c r="I334" s="32"/>
      <c r="J334" s="32"/>
      <c r="K334" s="29"/>
      <c r="L334" s="29"/>
      <c r="M334" s="29"/>
      <c r="N334" s="29"/>
      <c r="O334" s="29"/>
      <c r="P334" s="29"/>
      <c r="Q334" s="29"/>
      <c r="R334" s="38"/>
    </row>
    <row r="335" spans="1:18" x14ac:dyDescent="0.25">
      <c r="A335" s="5"/>
      <c r="B335" s="13"/>
      <c r="C335" s="13"/>
      <c r="D335" s="13"/>
      <c r="E335" s="13"/>
      <c r="F335" s="9"/>
      <c r="G335" s="32"/>
      <c r="H335" s="32"/>
      <c r="I335" s="32"/>
      <c r="J335" s="32"/>
      <c r="K335" s="29"/>
      <c r="L335" s="29"/>
      <c r="M335" s="29"/>
      <c r="N335" s="29"/>
      <c r="O335" s="29"/>
      <c r="P335" s="29"/>
      <c r="Q335" s="29"/>
      <c r="R335" s="38"/>
    </row>
    <row r="336" spans="1:18" x14ac:dyDescent="0.25">
      <c r="A336" s="5"/>
      <c r="B336" s="13"/>
      <c r="C336" s="13"/>
      <c r="D336" s="13"/>
      <c r="E336" s="13"/>
      <c r="F336" s="9"/>
      <c r="G336" s="32"/>
      <c r="H336" s="32"/>
      <c r="I336" s="32"/>
      <c r="J336" s="32"/>
      <c r="K336" s="29"/>
      <c r="L336" s="29"/>
      <c r="M336" s="29"/>
      <c r="N336" s="29"/>
      <c r="O336" s="29"/>
      <c r="P336" s="29"/>
      <c r="Q336" s="29"/>
      <c r="R336" s="38"/>
    </row>
    <row r="337" spans="1:18" x14ac:dyDescent="0.25">
      <c r="A337" s="5"/>
      <c r="B337" s="13"/>
      <c r="C337" s="13"/>
      <c r="D337" s="13"/>
      <c r="E337" s="13"/>
      <c r="F337" s="9"/>
      <c r="G337" s="32"/>
      <c r="H337" s="32"/>
      <c r="I337" s="32"/>
      <c r="J337" s="32"/>
      <c r="K337" s="29"/>
      <c r="L337" s="29"/>
      <c r="M337" s="29"/>
      <c r="N337" s="29"/>
      <c r="O337" s="29"/>
      <c r="P337" s="29"/>
      <c r="Q337" s="29"/>
      <c r="R337" s="38"/>
    </row>
    <row r="338" spans="1:18" x14ac:dyDescent="0.25">
      <c r="A338" s="5"/>
      <c r="B338" s="13"/>
      <c r="C338" s="13"/>
      <c r="D338" s="13"/>
      <c r="E338" s="13"/>
      <c r="F338" s="9"/>
      <c r="G338" s="32"/>
      <c r="H338" s="32"/>
      <c r="I338" s="32"/>
      <c r="J338" s="32"/>
      <c r="K338" s="29"/>
      <c r="L338" s="29"/>
      <c r="M338" s="29"/>
      <c r="N338" s="29"/>
      <c r="O338" s="29"/>
      <c r="P338" s="29"/>
      <c r="Q338" s="29"/>
      <c r="R338" s="38"/>
    </row>
    <row r="339" spans="1:18" x14ac:dyDescent="0.25">
      <c r="A339" s="5"/>
      <c r="B339" s="13"/>
      <c r="C339" s="13"/>
      <c r="D339" s="13"/>
      <c r="E339" s="13"/>
      <c r="F339" s="9"/>
      <c r="G339" s="32"/>
      <c r="H339" s="32"/>
      <c r="I339" s="32"/>
      <c r="J339" s="32"/>
      <c r="K339" s="29"/>
      <c r="L339" s="29"/>
      <c r="M339" s="29"/>
      <c r="N339" s="29"/>
      <c r="O339" s="29"/>
      <c r="P339" s="29"/>
      <c r="Q339" s="29"/>
      <c r="R339" s="38"/>
    </row>
    <row r="340" spans="1:18" x14ac:dyDescent="0.25">
      <c r="A340" s="5"/>
      <c r="B340" s="13"/>
      <c r="C340" s="13"/>
      <c r="D340" s="13"/>
      <c r="E340" s="13"/>
      <c r="F340" s="9"/>
      <c r="G340" s="32"/>
      <c r="H340" s="32"/>
      <c r="I340" s="32"/>
      <c r="J340" s="32"/>
      <c r="K340" s="29"/>
      <c r="L340" s="29"/>
      <c r="M340" s="29"/>
      <c r="N340" s="29"/>
      <c r="O340" s="29"/>
      <c r="P340" s="29"/>
      <c r="Q340" s="29"/>
      <c r="R340" s="38"/>
    </row>
    <row r="341" spans="1:18" x14ac:dyDescent="0.25">
      <c r="A341" s="5"/>
      <c r="B341" s="13"/>
      <c r="C341" s="13"/>
      <c r="D341" s="13"/>
      <c r="E341" s="13"/>
      <c r="F341" s="9"/>
      <c r="G341" s="32"/>
      <c r="H341" s="32"/>
      <c r="I341" s="32"/>
      <c r="J341" s="32"/>
      <c r="K341" s="29"/>
      <c r="L341" s="29"/>
      <c r="M341" s="29"/>
      <c r="N341" s="29"/>
      <c r="O341" s="29"/>
      <c r="P341" s="29"/>
      <c r="Q341" s="29"/>
      <c r="R341" s="38"/>
    </row>
    <row r="342" spans="1:18" x14ac:dyDescent="0.25">
      <c r="A342" s="5"/>
      <c r="B342" s="13"/>
      <c r="C342" s="13"/>
      <c r="D342" s="13"/>
      <c r="E342" s="13"/>
      <c r="F342" s="9"/>
      <c r="G342" s="32"/>
      <c r="H342" s="32"/>
      <c r="I342" s="32"/>
      <c r="J342" s="32"/>
      <c r="K342" s="29"/>
      <c r="L342" s="29"/>
      <c r="M342" s="29"/>
      <c r="N342" s="29"/>
      <c r="O342" s="29"/>
      <c r="P342" s="29"/>
      <c r="Q342" s="29"/>
      <c r="R342" s="38"/>
    </row>
    <row r="343" spans="1:18" x14ac:dyDescent="0.25">
      <c r="A343" s="5"/>
      <c r="B343" s="13"/>
      <c r="C343" s="13"/>
      <c r="D343" s="13"/>
      <c r="E343" s="13"/>
      <c r="F343" s="9"/>
      <c r="G343" s="32"/>
      <c r="H343" s="32"/>
      <c r="I343" s="32"/>
      <c r="J343" s="32"/>
      <c r="K343" s="29"/>
      <c r="L343" s="29"/>
      <c r="M343" s="29"/>
      <c r="N343" s="29"/>
      <c r="O343" s="29"/>
      <c r="P343" s="29"/>
      <c r="Q343" s="29"/>
      <c r="R343" s="38"/>
    </row>
    <row r="344" spans="1:18" x14ac:dyDescent="0.25">
      <c r="A344" s="5"/>
      <c r="B344" s="13"/>
      <c r="C344" s="13"/>
      <c r="D344" s="13"/>
      <c r="E344" s="13"/>
      <c r="F344" s="9"/>
      <c r="G344" s="32"/>
      <c r="H344" s="32"/>
      <c r="I344" s="32"/>
      <c r="J344" s="32"/>
      <c r="K344" s="29"/>
      <c r="L344" s="29"/>
      <c r="M344" s="29"/>
      <c r="N344" s="29"/>
      <c r="O344" s="29"/>
      <c r="P344" s="29"/>
      <c r="Q344" s="29"/>
      <c r="R344" s="38"/>
    </row>
    <row r="345" spans="1:18" x14ac:dyDescent="0.25">
      <c r="A345" s="5"/>
      <c r="B345" s="13"/>
      <c r="C345" s="13"/>
      <c r="D345" s="13"/>
      <c r="E345" s="13"/>
      <c r="F345" s="9"/>
      <c r="G345" s="32"/>
      <c r="H345" s="32"/>
      <c r="I345" s="32"/>
      <c r="J345" s="32"/>
      <c r="K345" s="29"/>
      <c r="L345" s="29"/>
      <c r="M345" s="29"/>
      <c r="N345" s="29"/>
      <c r="O345" s="29"/>
      <c r="P345" s="29"/>
      <c r="Q345" s="29"/>
      <c r="R345" s="38"/>
    </row>
    <row r="346" spans="1:18" x14ac:dyDescent="0.25">
      <c r="A346" s="5"/>
      <c r="B346" s="13"/>
      <c r="C346" s="13"/>
      <c r="D346" s="13"/>
      <c r="E346" s="13"/>
      <c r="F346" s="9"/>
      <c r="G346" s="32"/>
      <c r="H346" s="32"/>
      <c r="I346" s="32"/>
      <c r="J346" s="32"/>
      <c r="K346" s="29"/>
      <c r="L346" s="29"/>
      <c r="M346" s="29"/>
      <c r="N346" s="29"/>
      <c r="O346" s="29"/>
      <c r="P346" s="29"/>
      <c r="Q346" s="29"/>
      <c r="R346" s="38"/>
    </row>
    <row r="347" spans="1:18" x14ac:dyDescent="0.25">
      <c r="A347" s="5"/>
      <c r="B347" s="13"/>
      <c r="C347" s="13"/>
      <c r="D347" s="13"/>
      <c r="E347" s="13"/>
      <c r="F347" s="9"/>
      <c r="G347" s="32"/>
      <c r="H347" s="32"/>
      <c r="I347" s="32"/>
      <c r="J347" s="32"/>
      <c r="K347" s="29"/>
      <c r="L347" s="29"/>
      <c r="M347" s="29"/>
      <c r="N347" s="29"/>
      <c r="O347" s="29"/>
      <c r="P347" s="29"/>
      <c r="Q347" s="29"/>
      <c r="R347" s="38"/>
    </row>
    <row r="348" spans="1:18" x14ac:dyDescent="0.25">
      <c r="A348" s="5"/>
      <c r="B348" s="13"/>
      <c r="C348" s="13"/>
      <c r="D348" s="13"/>
      <c r="E348" s="13"/>
      <c r="F348" s="9"/>
      <c r="G348" s="32"/>
      <c r="H348" s="32"/>
      <c r="I348" s="32"/>
      <c r="J348" s="32"/>
      <c r="K348" s="29"/>
      <c r="L348" s="29"/>
      <c r="M348" s="29"/>
      <c r="N348" s="29"/>
      <c r="O348" s="29"/>
      <c r="P348" s="29"/>
      <c r="Q348" s="29"/>
      <c r="R348" s="38"/>
    </row>
    <row r="349" spans="1:18" x14ac:dyDescent="0.25">
      <c r="A349" s="5"/>
      <c r="B349" s="13"/>
      <c r="C349" s="13"/>
      <c r="D349" s="13"/>
      <c r="E349" s="13"/>
      <c r="F349" s="9"/>
      <c r="G349" s="32"/>
      <c r="H349" s="32"/>
      <c r="I349" s="32"/>
      <c r="J349" s="32"/>
      <c r="K349" s="29"/>
      <c r="L349" s="29"/>
      <c r="M349" s="29"/>
      <c r="N349" s="29"/>
      <c r="O349" s="29"/>
      <c r="P349" s="29"/>
      <c r="Q349" s="29"/>
      <c r="R349" s="38"/>
    </row>
    <row r="350" spans="1:18" x14ac:dyDescent="0.25">
      <c r="A350" s="5"/>
      <c r="B350" s="13"/>
      <c r="C350" s="13"/>
      <c r="D350" s="13"/>
      <c r="E350" s="13"/>
      <c r="F350" s="9"/>
      <c r="G350" s="32"/>
      <c r="H350" s="32"/>
      <c r="I350" s="32"/>
      <c r="J350" s="32"/>
      <c r="K350" s="29"/>
      <c r="L350" s="29"/>
      <c r="M350" s="29"/>
      <c r="N350" s="29"/>
      <c r="O350" s="29"/>
      <c r="P350" s="29"/>
      <c r="Q350" s="29"/>
      <c r="R350" s="38"/>
    </row>
    <row r="351" spans="1:18" x14ac:dyDescent="0.25">
      <c r="A351" s="5"/>
      <c r="B351" s="13"/>
      <c r="C351" s="13"/>
      <c r="D351" s="13"/>
      <c r="E351" s="13"/>
      <c r="F351" s="9"/>
      <c r="G351" s="32"/>
      <c r="H351" s="32"/>
      <c r="I351" s="32"/>
      <c r="J351" s="32"/>
      <c r="K351" s="29"/>
      <c r="L351" s="29"/>
      <c r="M351" s="29"/>
      <c r="N351" s="29"/>
      <c r="O351" s="29"/>
      <c r="P351" s="29"/>
      <c r="Q351" s="29"/>
      <c r="R351" s="38"/>
    </row>
    <row r="352" spans="1:18" x14ac:dyDescent="0.25">
      <c r="A352" s="5"/>
      <c r="B352" s="13"/>
      <c r="C352" s="13"/>
      <c r="D352" s="13"/>
      <c r="E352" s="13"/>
      <c r="F352" s="9"/>
      <c r="G352" s="32"/>
      <c r="H352" s="32"/>
      <c r="I352" s="32"/>
      <c r="J352" s="32"/>
      <c r="K352" s="29"/>
      <c r="L352" s="29"/>
      <c r="M352" s="29"/>
      <c r="N352" s="29"/>
      <c r="O352" s="29"/>
      <c r="P352" s="29"/>
      <c r="Q352" s="29"/>
      <c r="R352" s="38"/>
    </row>
    <row r="353" spans="1:18" x14ac:dyDescent="0.25">
      <c r="A353" s="5"/>
      <c r="B353" s="13"/>
      <c r="C353" s="13"/>
      <c r="D353" s="13"/>
      <c r="E353" s="13"/>
      <c r="F353" s="9"/>
      <c r="G353" s="32"/>
      <c r="H353" s="32"/>
      <c r="I353" s="32"/>
      <c r="J353" s="32"/>
      <c r="K353" s="29"/>
      <c r="L353" s="29"/>
      <c r="M353" s="29"/>
      <c r="N353" s="29"/>
      <c r="O353" s="29"/>
      <c r="P353" s="29"/>
      <c r="Q353" s="29"/>
      <c r="R353" s="38"/>
    </row>
    <row r="354" spans="1:18" x14ac:dyDescent="0.25">
      <c r="A354" s="5"/>
      <c r="B354" s="13"/>
      <c r="C354" s="13"/>
      <c r="D354" s="13"/>
      <c r="E354" s="13"/>
      <c r="F354" s="9"/>
      <c r="G354" s="32"/>
      <c r="H354" s="32"/>
      <c r="I354" s="32"/>
      <c r="J354" s="32"/>
      <c r="K354" s="29"/>
      <c r="L354" s="29"/>
      <c r="M354" s="29"/>
      <c r="N354" s="29"/>
      <c r="O354" s="29"/>
      <c r="P354" s="29"/>
      <c r="Q354" s="29"/>
      <c r="R354" s="38"/>
    </row>
    <row r="355" spans="1:18" x14ac:dyDescent="0.25">
      <c r="A355" s="5"/>
      <c r="B355" s="13"/>
      <c r="C355" s="13"/>
      <c r="D355" s="13"/>
      <c r="E355" s="13"/>
      <c r="F355" s="9"/>
      <c r="G355" s="32"/>
      <c r="H355" s="32"/>
      <c r="I355" s="32"/>
      <c r="J355" s="32"/>
      <c r="K355" s="29"/>
      <c r="L355" s="29"/>
      <c r="M355" s="29"/>
      <c r="N355" s="29"/>
      <c r="O355" s="29"/>
      <c r="P355" s="29"/>
      <c r="Q355" s="29"/>
      <c r="R355" s="38"/>
    </row>
    <row r="356" spans="1:18" x14ac:dyDescent="0.25">
      <c r="A356" s="5"/>
      <c r="B356" s="13"/>
      <c r="C356" s="13"/>
      <c r="D356" s="13"/>
      <c r="E356" s="13"/>
      <c r="F356" s="9"/>
      <c r="G356" s="32"/>
      <c r="H356" s="32"/>
      <c r="I356" s="32"/>
      <c r="J356" s="32"/>
      <c r="K356" s="29"/>
      <c r="L356" s="29"/>
      <c r="M356" s="29"/>
      <c r="N356" s="29"/>
      <c r="O356" s="29"/>
      <c r="P356" s="29"/>
      <c r="Q356" s="29"/>
      <c r="R356" s="38"/>
    </row>
    <row r="357" spans="1:18" x14ac:dyDescent="0.25">
      <c r="A357" s="5"/>
      <c r="B357" s="13"/>
      <c r="C357" s="13"/>
      <c r="D357" s="13"/>
      <c r="E357" s="13"/>
      <c r="F357" s="9"/>
      <c r="G357" s="32"/>
      <c r="H357" s="32"/>
      <c r="I357" s="32"/>
      <c r="J357" s="32"/>
      <c r="K357" s="29"/>
      <c r="L357" s="29"/>
      <c r="M357" s="29"/>
      <c r="N357" s="29"/>
      <c r="O357" s="29"/>
      <c r="P357" s="29"/>
      <c r="Q357" s="29"/>
      <c r="R357" s="38"/>
    </row>
    <row r="358" spans="1:18" x14ac:dyDescent="0.25">
      <c r="A358" s="5"/>
      <c r="B358" s="13"/>
      <c r="C358" s="13"/>
      <c r="D358" s="13"/>
      <c r="E358" s="13"/>
      <c r="F358" s="9"/>
      <c r="G358" s="32"/>
      <c r="H358" s="32"/>
      <c r="I358" s="32"/>
      <c r="J358" s="32"/>
      <c r="K358" s="29"/>
      <c r="L358" s="29"/>
      <c r="M358" s="29"/>
      <c r="N358" s="29"/>
      <c r="O358" s="29"/>
      <c r="P358" s="29"/>
      <c r="Q358" s="29"/>
      <c r="R358" s="38"/>
    </row>
    <row r="359" spans="1:18" x14ac:dyDescent="0.25">
      <c r="A359" s="5"/>
      <c r="B359" s="13"/>
      <c r="C359" s="13"/>
      <c r="D359" s="13"/>
      <c r="E359" s="13"/>
      <c r="F359" s="9"/>
      <c r="G359" s="32"/>
      <c r="H359" s="32"/>
      <c r="I359" s="32"/>
      <c r="J359" s="32"/>
      <c r="K359" s="29"/>
      <c r="L359" s="29"/>
      <c r="M359" s="29"/>
      <c r="N359" s="29"/>
      <c r="O359" s="29"/>
      <c r="P359" s="29"/>
      <c r="Q359" s="29"/>
      <c r="R359" s="38"/>
    </row>
    <row r="360" spans="1:18" x14ac:dyDescent="0.25">
      <c r="A360" s="5"/>
      <c r="B360" s="13"/>
      <c r="C360" s="13"/>
      <c r="D360" s="13"/>
      <c r="E360" s="13"/>
      <c r="F360" s="9"/>
      <c r="G360" s="32"/>
      <c r="H360" s="32"/>
      <c r="I360" s="32"/>
      <c r="J360" s="32"/>
      <c r="K360" s="29"/>
      <c r="L360" s="29"/>
      <c r="M360" s="29"/>
      <c r="N360" s="29"/>
      <c r="O360" s="29"/>
      <c r="P360" s="29"/>
      <c r="Q360" s="29"/>
      <c r="R360" s="38"/>
    </row>
    <row r="361" spans="1:18" x14ac:dyDescent="0.25">
      <c r="A361" s="5"/>
      <c r="B361" s="13"/>
      <c r="C361" s="13"/>
      <c r="D361" s="13"/>
      <c r="E361" s="13"/>
      <c r="F361" s="9"/>
      <c r="G361" s="32"/>
      <c r="H361" s="32"/>
      <c r="I361" s="32"/>
      <c r="J361" s="32"/>
      <c r="K361" s="29"/>
      <c r="L361" s="29"/>
      <c r="M361" s="29"/>
      <c r="N361" s="29"/>
      <c r="O361" s="29"/>
      <c r="P361" s="29"/>
      <c r="Q361" s="29"/>
      <c r="R361" s="38"/>
    </row>
    <row r="362" spans="1:18" x14ac:dyDescent="0.25">
      <c r="A362" s="5"/>
      <c r="B362" s="13"/>
      <c r="C362" s="13"/>
      <c r="D362" s="13"/>
      <c r="E362" s="13"/>
      <c r="F362" s="9"/>
      <c r="G362" s="32"/>
      <c r="H362" s="32"/>
      <c r="I362" s="32"/>
      <c r="J362" s="32"/>
      <c r="K362" s="29"/>
      <c r="L362" s="29"/>
      <c r="M362" s="29"/>
      <c r="N362" s="29"/>
      <c r="O362" s="29"/>
      <c r="P362" s="29"/>
      <c r="Q362" s="29"/>
      <c r="R362" s="38"/>
    </row>
    <row r="363" spans="1:18" x14ac:dyDescent="0.25">
      <c r="A363" s="5"/>
      <c r="B363" s="13"/>
      <c r="C363" s="13"/>
      <c r="D363" s="13"/>
      <c r="E363" s="13"/>
      <c r="F363" s="9"/>
      <c r="G363" s="32"/>
      <c r="H363" s="32"/>
      <c r="I363" s="32"/>
      <c r="J363" s="32"/>
      <c r="K363" s="29"/>
      <c r="L363" s="29"/>
      <c r="M363" s="29"/>
      <c r="N363" s="29"/>
      <c r="O363" s="29"/>
      <c r="P363" s="29"/>
      <c r="Q363" s="29"/>
      <c r="R363" s="38"/>
    </row>
    <row r="364" spans="1:18" x14ac:dyDescent="0.25">
      <c r="A364" s="5"/>
      <c r="B364" s="13"/>
      <c r="C364" s="13"/>
      <c r="D364" s="13"/>
      <c r="E364" s="13"/>
      <c r="F364" s="9"/>
      <c r="G364" s="32"/>
      <c r="H364" s="32"/>
      <c r="I364" s="32"/>
      <c r="J364" s="32"/>
      <c r="K364" s="29"/>
      <c r="L364" s="29"/>
      <c r="M364" s="29"/>
      <c r="N364" s="29"/>
      <c r="O364" s="29"/>
      <c r="P364" s="29"/>
      <c r="Q364" s="29"/>
      <c r="R364" s="38"/>
    </row>
    <row r="365" spans="1:18" x14ac:dyDescent="0.25">
      <c r="A365" s="5"/>
      <c r="B365" s="13"/>
      <c r="C365" s="13"/>
      <c r="D365" s="13"/>
      <c r="E365" s="13"/>
      <c r="F365" s="9"/>
      <c r="G365" s="32"/>
      <c r="H365" s="32"/>
      <c r="I365" s="32"/>
      <c r="J365" s="32"/>
      <c r="K365" s="29"/>
      <c r="L365" s="29"/>
      <c r="M365" s="29"/>
      <c r="N365" s="29"/>
      <c r="O365" s="29"/>
      <c r="P365" s="29"/>
      <c r="Q365" s="29"/>
      <c r="R365" s="38"/>
    </row>
    <row r="366" spans="1:18" x14ac:dyDescent="0.25">
      <c r="A366" s="5"/>
      <c r="B366" s="13"/>
      <c r="C366" s="13"/>
      <c r="D366" s="13"/>
      <c r="E366" s="13"/>
      <c r="F366" s="9"/>
      <c r="G366" s="32"/>
      <c r="H366" s="32"/>
      <c r="I366" s="32"/>
      <c r="J366" s="32"/>
      <c r="K366" s="29"/>
      <c r="L366" s="29"/>
      <c r="M366" s="29"/>
      <c r="N366" s="29"/>
      <c r="O366" s="29"/>
      <c r="P366" s="29"/>
      <c r="Q366" s="29"/>
      <c r="R366" s="38"/>
    </row>
    <row r="367" spans="1:18" x14ac:dyDescent="0.25">
      <c r="A367" s="5"/>
      <c r="B367" s="13"/>
      <c r="C367" s="13"/>
      <c r="D367" s="13"/>
      <c r="E367" s="13"/>
      <c r="F367" s="9"/>
      <c r="G367" s="32"/>
      <c r="H367" s="32"/>
      <c r="I367" s="32"/>
      <c r="J367" s="32"/>
      <c r="K367" s="29"/>
      <c r="L367" s="29"/>
      <c r="M367" s="29"/>
      <c r="N367" s="29"/>
      <c r="O367" s="29"/>
      <c r="P367" s="29"/>
      <c r="Q367" s="29"/>
      <c r="R367" s="38"/>
    </row>
    <row r="368" spans="1:18" x14ac:dyDescent="0.25">
      <c r="A368" s="5"/>
      <c r="B368" s="13"/>
      <c r="C368" s="13"/>
      <c r="D368" s="13"/>
      <c r="E368" s="13"/>
      <c r="F368" s="9"/>
      <c r="G368" s="32"/>
      <c r="H368" s="32"/>
      <c r="I368" s="32"/>
      <c r="J368" s="32"/>
      <c r="K368" s="29"/>
      <c r="L368" s="29"/>
      <c r="M368" s="29"/>
      <c r="N368" s="29"/>
      <c r="O368" s="29"/>
      <c r="P368" s="29"/>
      <c r="Q368" s="29"/>
      <c r="R368" s="38"/>
    </row>
    <row r="369" spans="1:18" x14ac:dyDescent="0.25">
      <c r="A369" s="5"/>
      <c r="B369" s="13"/>
      <c r="C369" s="13"/>
      <c r="D369" s="13"/>
      <c r="E369" s="13"/>
      <c r="F369" s="9"/>
      <c r="G369" s="32"/>
      <c r="H369" s="32"/>
      <c r="I369" s="32"/>
      <c r="J369" s="32"/>
      <c r="K369" s="29"/>
      <c r="L369" s="29"/>
      <c r="M369" s="29"/>
      <c r="N369" s="29"/>
      <c r="O369" s="29"/>
      <c r="P369" s="29"/>
      <c r="Q369" s="29"/>
      <c r="R369" s="38"/>
    </row>
    <row r="370" spans="1:18" x14ac:dyDescent="0.25">
      <c r="A370" s="5"/>
      <c r="B370" s="13"/>
      <c r="C370" s="13"/>
      <c r="D370" s="13"/>
      <c r="E370" s="13"/>
      <c r="F370" s="9"/>
      <c r="G370" s="32"/>
      <c r="H370" s="32"/>
      <c r="I370" s="32"/>
      <c r="J370" s="32"/>
      <c r="K370" s="29"/>
      <c r="L370" s="29"/>
      <c r="M370" s="29"/>
      <c r="N370" s="29"/>
      <c r="O370" s="29"/>
      <c r="P370" s="29"/>
      <c r="Q370" s="29"/>
      <c r="R370" s="38"/>
    </row>
    <row r="371" spans="1:18" x14ac:dyDescent="0.25">
      <c r="A371" s="5"/>
      <c r="B371" s="13"/>
      <c r="C371" s="13"/>
      <c r="D371" s="13"/>
      <c r="E371" s="13"/>
      <c r="F371" s="9"/>
      <c r="G371" s="32"/>
      <c r="H371" s="32"/>
      <c r="I371" s="32"/>
      <c r="J371" s="32"/>
      <c r="K371" s="29"/>
      <c r="L371" s="29"/>
      <c r="M371" s="29"/>
      <c r="N371" s="29"/>
      <c r="O371" s="29"/>
      <c r="P371" s="29"/>
      <c r="Q371" s="29"/>
      <c r="R371" s="38"/>
    </row>
    <row r="372" spans="1:18" x14ac:dyDescent="0.25">
      <c r="A372" s="5"/>
      <c r="B372" s="13"/>
      <c r="C372" s="13"/>
      <c r="D372" s="13"/>
      <c r="E372" s="13"/>
      <c r="F372" s="9"/>
      <c r="G372" s="32"/>
      <c r="H372" s="32"/>
      <c r="I372" s="32"/>
      <c r="J372" s="32"/>
      <c r="K372" s="29"/>
      <c r="L372" s="29"/>
      <c r="M372" s="29"/>
      <c r="N372" s="29"/>
      <c r="O372" s="29"/>
      <c r="P372" s="29"/>
      <c r="Q372" s="29"/>
      <c r="R372" s="38"/>
    </row>
    <row r="373" spans="1:18" x14ac:dyDescent="0.25">
      <c r="A373" s="5"/>
      <c r="B373" s="13"/>
      <c r="C373" s="13"/>
      <c r="D373" s="13"/>
      <c r="E373" s="13"/>
      <c r="F373" s="9"/>
      <c r="G373" s="32"/>
      <c r="H373" s="32"/>
      <c r="I373" s="32"/>
      <c r="J373" s="32"/>
      <c r="K373" s="29"/>
      <c r="L373" s="29"/>
      <c r="M373" s="29"/>
      <c r="N373" s="29"/>
      <c r="O373" s="29"/>
      <c r="P373" s="29"/>
      <c r="Q373" s="29"/>
      <c r="R373" s="38"/>
    </row>
    <row r="374" spans="1:18" x14ac:dyDescent="0.25">
      <c r="A374" s="5"/>
      <c r="B374" s="13"/>
      <c r="C374" s="13"/>
      <c r="D374" s="13"/>
      <c r="E374" s="13"/>
      <c r="F374" s="9"/>
      <c r="G374" s="32"/>
      <c r="H374" s="32"/>
      <c r="I374" s="32"/>
      <c r="J374" s="32"/>
      <c r="K374" s="29"/>
      <c r="L374" s="29"/>
      <c r="M374" s="29"/>
      <c r="N374" s="29"/>
      <c r="O374" s="29"/>
      <c r="P374" s="29"/>
      <c r="Q374" s="29"/>
      <c r="R374" s="38"/>
    </row>
    <row r="375" spans="1:18" x14ac:dyDescent="0.25">
      <c r="A375" s="5"/>
      <c r="B375" s="13"/>
      <c r="C375" s="13"/>
      <c r="D375" s="13"/>
      <c r="E375" s="13"/>
      <c r="F375" s="9"/>
      <c r="G375" s="32"/>
      <c r="H375" s="32"/>
      <c r="I375" s="32"/>
      <c r="J375" s="32"/>
      <c r="K375" s="29"/>
      <c r="L375" s="29"/>
      <c r="M375" s="29"/>
      <c r="N375" s="29"/>
      <c r="O375" s="29"/>
      <c r="P375" s="29"/>
      <c r="Q375" s="29"/>
      <c r="R375" s="38"/>
    </row>
    <row r="376" spans="1:18" x14ac:dyDescent="0.25">
      <c r="A376" s="5"/>
      <c r="B376" s="13"/>
      <c r="C376" s="13"/>
      <c r="D376" s="13"/>
      <c r="E376" s="13"/>
      <c r="F376" s="9"/>
      <c r="G376" s="32"/>
      <c r="H376" s="32"/>
      <c r="I376" s="32"/>
      <c r="J376" s="32"/>
      <c r="K376" s="29"/>
      <c r="L376" s="29"/>
      <c r="M376" s="29"/>
      <c r="N376" s="29"/>
      <c r="O376" s="29"/>
      <c r="P376" s="29"/>
      <c r="Q376" s="29"/>
      <c r="R376" s="38"/>
    </row>
    <row r="377" spans="1:18" x14ac:dyDescent="0.25">
      <c r="A377" s="5"/>
      <c r="B377" s="13"/>
      <c r="C377" s="13"/>
      <c r="D377" s="13"/>
      <c r="E377" s="13"/>
      <c r="F377" s="9"/>
      <c r="G377" s="32"/>
      <c r="H377" s="32"/>
      <c r="I377" s="32"/>
      <c r="J377" s="32"/>
      <c r="K377" s="29"/>
      <c r="L377" s="29"/>
      <c r="M377" s="29"/>
      <c r="N377" s="29"/>
      <c r="O377" s="29"/>
      <c r="P377" s="29"/>
      <c r="Q377" s="29"/>
      <c r="R377" s="38"/>
    </row>
    <row r="378" spans="1:18" x14ac:dyDescent="0.25">
      <c r="A378" s="5"/>
      <c r="B378" s="13"/>
      <c r="C378" s="13"/>
      <c r="D378" s="13"/>
      <c r="E378" s="13"/>
      <c r="F378" s="9"/>
      <c r="G378" s="32"/>
      <c r="H378" s="32"/>
      <c r="I378" s="32"/>
      <c r="J378" s="32"/>
      <c r="K378" s="29"/>
      <c r="L378" s="29"/>
      <c r="M378" s="29"/>
      <c r="N378" s="29"/>
      <c r="O378" s="29"/>
      <c r="P378" s="29"/>
      <c r="Q378" s="29"/>
      <c r="R378" s="38"/>
    </row>
    <row r="379" spans="1:18" x14ac:dyDescent="0.25">
      <c r="A379" s="5"/>
      <c r="B379" s="13"/>
      <c r="C379" s="13"/>
      <c r="D379" s="13"/>
      <c r="E379" s="13"/>
      <c r="F379" s="9"/>
      <c r="G379" s="32"/>
      <c r="H379" s="32"/>
      <c r="I379" s="32"/>
      <c r="J379" s="32"/>
      <c r="K379" s="29"/>
      <c r="L379" s="29"/>
      <c r="M379" s="29"/>
      <c r="N379" s="29"/>
      <c r="O379" s="29"/>
      <c r="P379" s="29"/>
      <c r="Q379" s="29"/>
      <c r="R379" s="38"/>
    </row>
    <row r="380" spans="1:18" x14ac:dyDescent="0.25">
      <c r="A380" s="5"/>
      <c r="B380" s="13"/>
      <c r="C380" s="13"/>
      <c r="D380" s="13"/>
      <c r="E380" s="13"/>
      <c r="F380" s="9"/>
      <c r="G380" s="32"/>
      <c r="H380" s="32"/>
      <c r="I380" s="32"/>
      <c r="J380" s="32"/>
      <c r="K380" s="29"/>
      <c r="L380" s="29"/>
      <c r="M380" s="29"/>
      <c r="N380" s="29"/>
      <c r="O380" s="29"/>
      <c r="P380" s="29"/>
      <c r="Q380" s="29"/>
      <c r="R380" s="38"/>
    </row>
    <row r="381" spans="1:18" x14ac:dyDescent="0.25">
      <c r="A381" s="5"/>
      <c r="B381" s="13"/>
      <c r="C381" s="13"/>
      <c r="D381" s="13"/>
      <c r="E381" s="13"/>
      <c r="F381" s="9"/>
      <c r="G381" s="32"/>
      <c r="H381" s="32"/>
      <c r="I381" s="32"/>
      <c r="J381" s="32"/>
      <c r="K381" s="29"/>
      <c r="L381" s="29"/>
      <c r="M381" s="29"/>
      <c r="N381" s="29"/>
      <c r="O381" s="29"/>
      <c r="P381" s="29"/>
      <c r="Q381" s="29"/>
      <c r="R381" s="38"/>
    </row>
    <row r="382" spans="1:18" x14ac:dyDescent="0.25">
      <c r="A382" s="5"/>
      <c r="B382" s="13"/>
      <c r="C382" s="13"/>
      <c r="D382" s="13"/>
      <c r="E382" s="13"/>
      <c r="F382" s="9"/>
      <c r="G382" s="32"/>
      <c r="H382" s="32"/>
      <c r="I382" s="32"/>
      <c r="J382" s="32"/>
      <c r="K382" s="29"/>
      <c r="L382" s="29"/>
      <c r="M382" s="29"/>
      <c r="N382" s="29"/>
      <c r="O382" s="29"/>
      <c r="P382" s="29"/>
      <c r="Q382" s="29"/>
      <c r="R382" s="38"/>
    </row>
    <row r="383" spans="1:18" x14ac:dyDescent="0.25">
      <c r="A383" s="5"/>
      <c r="B383" s="13"/>
      <c r="C383" s="13"/>
      <c r="D383" s="13"/>
      <c r="E383" s="13"/>
      <c r="F383" s="9"/>
      <c r="G383" s="32"/>
      <c r="H383" s="32"/>
      <c r="I383" s="32"/>
      <c r="J383" s="32"/>
      <c r="K383" s="29"/>
      <c r="L383" s="29"/>
      <c r="M383" s="29"/>
      <c r="N383" s="29"/>
      <c r="O383" s="29"/>
      <c r="P383" s="29"/>
      <c r="Q383" s="29"/>
      <c r="R383" s="38"/>
    </row>
    <row r="384" spans="1:18" x14ac:dyDescent="0.25">
      <c r="A384" s="5"/>
      <c r="B384" s="13"/>
      <c r="C384" s="13"/>
      <c r="D384" s="13"/>
      <c r="E384" s="13"/>
      <c r="F384" s="9"/>
      <c r="G384" s="32"/>
      <c r="H384" s="32"/>
      <c r="I384" s="32"/>
      <c r="J384" s="32"/>
      <c r="K384" s="29"/>
      <c r="L384" s="29"/>
      <c r="M384" s="29"/>
      <c r="N384" s="29"/>
      <c r="O384" s="29"/>
      <c r="P384" s="29"/>
      <c r="Q384" s="29"/>
      <c r="R384" s="38"/>
    </row>
    <row r="385" spans="1:18" x14ac:dyDescent="0.25">
      <c r="A385" s="5"/>
      <c r="B385" s="13"/>
      <c r="C385" s="13"/>
      <c r="D385" s="13"/>
      <c r="E385" s="13"/>
      <c r="F385" s="9"/>
      <c r="G385" s="32"/>
      <c r="H385" s="32"/>
      <c r="I385" s="32"/>
      <c r="J385" s="32"/>
      <c r="K385" s="29"/>
      <c r="L385" s="29"/>
      <c r="M385" s="29"/>
      <c r="N385" s="29"/>
      <c r="O385" s="29"/>
      <c r="P385" s="29"/>
      <c r="Q385" s="29"/>
      <c r="R385" s="38"/>
    </row>
    <row r="386" spans="1:18" x14ac:dyDescent="0.25">
      <c r="A386" s="5"/>
      <c r="B386" s="13"/>
      <c r="C386" s="13"/>
      <c r="D386" s="13"/>
      <c r="E386" s="13"/>
      <c r="F386" s="9"/>
      <c r="G386" s="32"/>
      <c r="H386" s="32"/>
      <c r="I386" s="32"/>
      <c r="J386" s="32"/>
      <c r="K386" s="29"/>
      <c r="L386" s="29"/>
      <c r="M386" s="29"/>
      <c r="N386" s="29"/>
      <c r="O386" s="29"/>
      <c r="P386" s="29"/>
      <c r="Q386" s="29"/>
      <c r="R386" s="38"/>
    </row>
    <row r="387" spans="1:18" x14ac:dyDescent="0.25">
      <c r="A387" s="5"/>
      <c r="B387" s="13"/>
      <c r="C387" s="13"/>
      <c r="D387" s="13"/>
      <c r="E387" s="13"/>
      <c r="F387" s="9"/>
      <c r="G387" s="32"/>
      <c r="H387" s="32"/>
      <c r="I387" s="32"/>
      <c r="J387" s="32"/>
      <c r="K387" s="29"/>
      <c r="L387" s="29"/>
      <c r="M387" s="29"/>
      <c r="N387" s="29"/>
      <c r="O387" s="29"/>
      <c r="P387" s="29"/>
      <c r="Q387" s="29"/>
      <c r="R387" s="38"/>
    </row>
    <row r="388" spans="1:18" x14ac:dyDescent="0.25">
      <c r="A388" s="5"/>
      <c r="B388" s="13"/>
      <c r="C388" s="13"/>
      <c r="D388" s="13"/>
      <c r="E388" s="13"/>
      <c r="F388" s="9"/>
      <c r="G388" s="32"/>
      <c r="H388" s="32"/>
      <c r="I388" s="32"/>
      <c r="J388" s="32"/>
      <c r="K388" s="29"/>
      <c r="L388" s="29"/>
      <c r="M388" s="29"/>
      <c r="N388" s="29"/>
      <c r="O388" s="29"/>
      <c r="P388" s="29"/>
      <c r="Q388" s="29"/>
      <c r="R388" s="38"/>
    </row>
    <row r="389" spans="1:18" x14ac:dyDescent="0.25">
      <c r="A389" s="5"/>
      <c r="B389" s="13"/>
      <c r="C389" s="13"/>
      <c r="D389" s="13"/>
      <c r="E389" s="13"/>
      <c r="F389" s="9"/>
      <c r="G389" s="32"/>
      <c r="H389" s="32"/>
      <c r="I389" s="32"/>
      <c r="J389" s="32"/>
      <c r="K389" s="29"/>
      <c r="L389" s="29"/>
      <c r="M389" s="29"/>
      <c r="N389" s="29"/>
      <c r="O389" s="29"/>
      <c r="P389" s="29"/>
      <c r="Q389" s="29"/>
      <c r="R389" s="38"/>
    </row>
    <row r="390" spans="1:18" x14ac:dyDescent="0.25">
      <c r="A390" s="5"/>
      <c r="B390" s="13"/>
      <c r="C390" s="13"/>
      <c r="D390" s="13"/>
      <c r="E390" s="13"/>
      <c r="F390" s="9"/>
      <c r="G390" s="32"/>
      <c r="H390" s="32"/>
      <c r="I390" s="32"/>
      <c r="J390" s="32"/>
      <c r="K390" s="29"/>
      <c r="L390" s="29"/>
      <c r="M390" s="29"/>
      <c r="N390" s="29"/>
      <c r="O390" s="29"/>
      <c r="P390" s="29"/>
      <c r="Q390" s="29"/>
      <c r="R390" s="38"/>
    </row>
    <row r="391" spans="1:18" x14ac:dyDescent="0.25">
      <c r="A391" s="5"/>
      <c r="B391" s="13"/>
      <c r="C391" s="13"/>
      <c r="D391" s="13"/>
      <c r="E391" s="13"/>
      <c r="F391" s="9"/>
      <c r="G391" s="32"/>
      <c r="H391" s="32"/>
      <c r="I391" s="32"/>
      <c r="J391" s="32"/>
      <c r="K391" s="29"/>
      <c r="L391" s="29"/>
      <c r="M391" s="29"/>
      <c r="N391" s="29"/>
      <c r="O391" s="29"/>
      <c r="P391" s="29"/>
      <c r="Q391" s="29"/>
      <c r="R391" s="38"/>
    </row>
    <row r="392" spans="1:18" x14ac:dyDescent="0.25">
      <c r="A392" s="5"/>
      <c r="B392" s="13"/>
      <c r="C392" s="13"/>
      <c r="D392" s="13"/>
      <c r="E392" s="13"/>
      <c r="F392" s="9"/>
      <c r="G392" s="32"/>
      <c r="H392" s="32"/>
      <c r="I392" s="32"/>
      <c r="J392" s="32"/>
      <c r="K392" s="29"/>
      <c r="L392" s="29"/>
      <c r="M392" s="29"/>
      <c r="N392" s="29"/>
      <c r="O392" s="29"/>
      <c r="P392" s="29"/>
      <c r="Q392" s="29"/>
      <c r="R392" s="38"/>
    </row>
    <row r="393" spans="1:18" x14ac:dyDescent="0.25">
      <c r="A393" s="5"/>
      <c r="B393" s="13"/>
      <c r="C393" s="13"/>
      <c r="D393" s="13"/>
      <c r="E393" s="13"/>
      <c r="F393" s="9"/>
      <c r="G393" s="32"/>
      <c r="H393" s="32"/>
      <c r="I393" s="32"/>
      <c r="J393" s="32"/>
      <c r="K393" s="29"/>
      <c r="L393" s="29"/>
      <c r="M393" s="29"/>
      <c r="N393" s="29"/>
      <c r="O393" s="29"/>
      <c r="P393" s="29"/>
      <c r="Q393" s="29"/>
      <c r="R393" s="38"/>
    </row>
    <row r="394" spans="1:18" x14ac:dyDescent="0.25">
      <c r="A394" s="5"/>
      <c r="B394" s="13"/>
      <c r="C394" s="13"/>
      <c r="D394" s="13"/>
      <c r="E394" s="13"/>
      <c r="F394" s="9"/>
      <c r="G394" s="32"/>
      <c r="H394" s="32"/>
      <c r="I394" s="32"/>
      <c r="J394" s="32"/>
      <c r="K394" s="29"/>
      <c r="L394" s="29"/>
      <c r="M394" s="29"/>
      <c r="N394" s="29"/>
      <c r="O394" s="29"/>
      <c r="P394" s="29"/>
      <c r="Q394" s="29"/>
      <c r="R394" s="38"/>
    </row>
    <row r="395" spans="1:18" x14ac:dyDescent="0.25">
      <c r="A395" s="5"/>
      <c r="B395" s="13"/>
      <c r="C395" s="13"/>
      <c r="D395" s="13"/>
      <c r="E395" s="13"/>
      <c r="F395" s="9"/>
      <c r="G395" s="32"/>
      <c r="H395" s="32"/>
      <c r="I395" s="32"/>
      <c r="J395" s="32"/>
      <c r="K395" s="29"/>
      <c r="L395" s="29"/>
      <c r="M395" s="29"/>
      <c r="N395" s="29"/>
      <c r="O395" s="29"/>
      <c r="P395" s="29"/>
      <c r="Q395" s="29"/>
      <c r="R395" s="38"/>
    </row>
    <row r="396" spans="1:18" x14ac:dyDescent="0.25">
      <c r="A396" s="5"/>
      <c r="B396" s="13"/>
      <c r="C396" s="13"/>
      <c r="D396" s="13"/>
      <c r="E396" s="13"/>
      <c r="F396" s="9"/>
      <c r="G396" s="32"/>
      <c r="H396" s="32"/>
      <c r="I396" s="32"/>
      <c r="J396" s="32"/>
      <c r="K396" s="29"/>
      <c r="L396" s="29"/>
      <c r="M396" s="29"/>
      <c r="N396" s="29"/>
      <c r="O396" s="29"/>
      <c r="P396" s="29"/>
      <c r="Q396" s="29"/>
      <c r="R396" s="38"/>
    </row>
    <row r="397" spans="1:18" x14ac:dyDescent="0.25">
      <c r="A397" s="5"/>
      <c r="B397" s="13"/>
      <c r="C397" s="13"/>
      <c r="D397" s="13"/>
      <c r="E397" s="13"/>
      <c r="F397" s="9"/>
      <c r="G397" s="32"/>
      <c r="H397" s="32"/>
      <c r="I397" s="32"/>
      <c r="J397" s="32"/>
      <c r="K397" s="29"/>
      <c r="L397" s="29"/>
      <c r="M397" s="29"/>
      <c r="N397" s="29"/>
      <c r="O397" s="29"/>
      <c r="P397" s="29"/>
      <c r="Q397" s="29"/>
      <c r="R397" s="38"/>
    </row>
    <row r="398" spans="1:18" x14ac:dyDescent="0.25">
      <c r="A398" s="5"/>
      <c r="B398" s="13"/>
      <c r="C398" s="13"/>
      <c r="D398" s="13"/>
      <c r="E398" s="13"/>
      <c r="F398" s="9"/>
      <c r="G398" s="32"/>
      <c r="H398" s="32"/>
      <c r="I398" s="32"/>
      <c r="J398" s="32"/>
      <c r="K398" s="29"/>
      <c r="L398" s="29"/>
      <c r="M398" s="29"/>
      <c r="N398" s="29"/>
      <c r="O398" s="29"/>
      <c r="P398" s="29"/>
      <c r="Q398" s="29"/>
      <c r="R398" s="38"/>
    </row>
    <row r="399" spans="1:18" x14ac:dyDescent="0.25">
      <c r="A399" s="5"/>
      <c r="B399" s="13"/>
      <c r="C399" s="13"/>
      <c r="D399" s="13"/>
      <c r="E399" s="13"/>
      <c r="F399" s="9"/>
      <c r="G399" s="32"/>
      <c r="H399" s="32"/>
      <c r="I399" s="32"/>
      <c r="J399" s="32"/>
      <c r="K399" s="29"/>
      <c r="L399" s="29"/>
      <c r="M399" s="29"/>
      <c r="N399" s="29"/>
      <c r="O399" s="29"/>
      <c r="P399" s="29"/>
      <c r="Q399" s="29"/>
      <c r="R399" s="38"/>
    </row>
    <row r="400" spans="1:18" x14ac:dyDescent="0.25">
      <c r="A400" s="5"/>
      <c r="B400" s="13"/>
      <c r="C400" s="13"/>
      <c r="D400" s="13"/>
      <c r="E400" s="13"/>
      <c r="F400" s="9"/>
      <c r="G400" s="32"/>
      <c r="H400" s="32"/>
      <c r="I400" s="32"/>
      <c r="J400" s="32"/>
      <c r="K400" s="29"/>
      <c r="L400" s="29"/>
      <c r="M400" s="29"/>
      <c r="N400" s="29"/>
      <c r="O400" s="29"/>
      <c r="P400" s="29"/>
      <c r="Q400" s="29"/>
      <c r="R400" s="38"/>
    </row>
    <row r="401" spans="1:18" x14ac:dyDescent="0.25">
      <c r="A401" s="5"/>
      <c r="B401" s="13"/>
      <c r="C401" s="13"/>
      <c r="D401" s="13"/>
      <c r="E401" s="13"/>
      <c r="F401" s="9"/>
      <c r="G401" s="32"/>
      <c r="H401" s="32"/>
      <c r="I401" s="32"/>
      <c r="J401" s="32"/>
      <c r="K401" s="29"/>
      <c r="L401" s="29"/>
      <c r="M401" s="29"/>
      <c r="N401" s="29"/>
      <c r="O401" s="29"/>
      <c r="P401" s="29"/>
      <c r="Q401" s="29"/>
      <c r="R401" s="38"/>
    </row>
    <row r="402" spans="1:18" x14ac:dyDescent="0.25">
      <c r="A402" s="5"/>
      <c r="B402" s="13"/>
      <c r="C402" s="13"/>
      <c r="D402" s="13"/>
      <c r="E402" s="13"/>
      <c r="F402" s="9"/>
      <c r="G402" s="32"/>
      <c r="H402" s="32"/>
      <c r="I402" s="32"/>
      <c r="J402" s="32"/>
      <c r="K402" s="29"/>
      <c r="L402" s="29"/>
      <c r="M402" s="29"/>
      <c r="N402" s="29"/>
      <c r="O402" s="29"/>
      <c r="P402" s="29"/>
      <c r="Q402" s="29"/>
      <c r="R402" s="38"/>
    </row>
    <row r="403" spans="1:18" x14ac:dyDescent="0.25">
      <c r="A403" s="5"/>
      <c r="B403" s="13"/>
      <c r="C403" s="13"/>
      <c r="D403" s="13"/>
      <c r="E403" s="13"/>
      <c r="F403" s="9"/>
      <c r="G403" s="32"/>
      <c r="H403" s="32"/>
      <c r="I403" s="32"/>
      <c r="J403" s="32"/>
      <c r="K403" s="29"/>
      <c r="L403" s="29"/>
      <c r="M403" s="29"/>
      <c r="N403" s="29"/>
      <c r="O403" s="29"/>
      <c r="P403" s="29"/>
      <c r="Q403" s="29"/>
      <c r="R403" s="38"/>
    </row>
    <row r="404" spans="1:18" x14ac:dyDescent="0.25">
      <c r="A404" s="5"/>
      <c r="B404" s="13"/>
      <c r="C404" s="13"/>
      <c r="D404" s="13"/>
      <c r="E404" s="13"/>
      <c r="F404" s="9"/>
      <c r="G404" s="32"/>
      <c r="H404" s="32"/>
      <c r="I404" s="32"/>
      <c r="J404" s="32"/>
      <c r="K404" s="29"/>
      <c r="L404" s="29"/>
      <c r="M404" s="29"/>
      <c r="N404" s="29"/>
      <c r="O404" s="29"/>
      <c r="P404" s="29"/>
      <c r="Q404" s="29"/>
      <c r="R404" s="38"/>
    </row>
  </sheetData>
  <hyperlinks>
    <hyperlink ref="F68" r:id="rId1" xr:uid="{C9291FC9-5A5B-4392-96B1-B190D5000E26}"/>
    <hyperlink ref="F72" r:id="rId2" xr:uid="{6D40157B-63F5-4DFD-88B6-E555A70D560C}"/>
    <hyperlink ref="F52:F65" r:id="rId3" display="OECD long-term forecast" xr:uid="{088CBD93-1E9E-40E7-AB0C-00E927204B15}"/>
    <hyperlink ref="F19" r:id="rId4" xr:uid="{A1C0E196-FFDD-42CF-A42C-259D8E24DC22}"/>
    <hyperlink ref="F20:F32" r:id="rId5" display="StatCan, Scenario M1" xr:uid="{E26E6259-1D67-47B3-B12F-C834E1019D4B}"/>
    <hyperlink ref="F3" r:id="rId6" xr:uid="{2498A91B-831E-4C2D-A90B-AF4CC5343974}"/>
    <hyperlink ref="F4:F16" r:id="rId7" display="StatCan" xr:uid="{9729C96A-5176-4C3D-AC2A-DC3C52A948A1}"/>
  </hyperlinks>
  <pageMargins left="0.7" right="0.7" top="0.75" bottom="0.75" header="0.3" footer="0.3"/>
  <pageSetup orientation="portrait" horizontalDpi="4294967293" verticalDpi="0" r:id="rId8"/>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AEACDC-68A2-4DD8-BA04-94F1B569CEB8}">
  <sheetPr codeName="Sheet8">
    <tabColor rgb="FF00B0F0"/>
    <outlinePr summaryBelow="0" summaryRight="0"/>
  </sheetPr>
  <dimension ref="A1:CA431"/>
  <sheetViews>
    <sheetView zoomScale="70" zoomScaleNormal="70" workbookViewId="0">
      <pane xSplit="6" ySplit="1" topLeftCell="G81" activePane="bottomRight" state="frozen"/>
      <selection activeCell="G52" sqref="G52"/>
      <selection pane="topRight" activeCell="G52" sqref="G52"/>
      <selection pane="bottomLeft" activeCell="G52" sqref="G52"/>
      <selection pane="bottomRight" activeCell="B106" sqref="B106"/>
    </sheetView>
    <sheetView zoomScale="70" zoomScaleNormal="70" workbookViewId="1"/>
  </sheetViews>
  <sheetFormatPr defaultRowHeight="15" x14ac:dyDescent="0.25"/>
  <cols>
    <col min="1" max="1" width="2.7109375" style="2" customWidth="1"/>
    <col min="2" max="2" width="32.7109375" style="15" bestFit="1" customWidth="1"/>
    <col min="3" max="3" width="30.7109375" style="15" bestFit="1" customWidth="1"/>
    <col min="4" max="4" width="30.7109375" style="15" customWidth="1"/>
    <col min="5" max="5" width="29.5703125" style="15" bestFit="1" customWidth="1"/>
    <col min="6" max="6" width="23.7109375" style="26" bestFit="1" customWidth="1"/>
    <col min="7" max="10" width="15.7109375" style="31" customWidth="1"/>
    <col min="11" max="17" width="15.7109375" style="30" customWidth="1"/>
    <col min="18" max="18" width="2.7109375" style="15" customWidth="1"/>
    <col min="19" max="69" width="10.28515625" style="39" bestFit="1" customWidth="1"/>
    <col min="70" max="79" width="10.28515625" bestFit="1" customWidth="1"/>
  </cols>
  <sheetData>
    <row r="1" spans="1:79" x14ac:dyDescent="0.25">
      <c r="A1" s="20"/>
      <c r="B1" s="24" t="s">
        <v>9</v>
      </c>
      <c r="C1" s="24" t="s">
        <v>9</v>
      </c>
      <c r="D1" s="24" t="s">
        <v>57</v>
      </c>
      <c r="E1" s="24" t="s">
        <v>16</v>
      </c>
      <c r="F1" s="8" t="s">
        <v>77</v>
      </c>
      <c r="G1" s="33">
        <v>2000</v>
      </c>
      <c r="H1" s="33">
        <v>2005</v>
      </c>
      <c r="I1" s="33">
        <v>2010</v>
      </c>
      <c r="J1" s="33">
        <v>2015</v>
      </c>
      <c r="K1" s="33">
        <v>2020</v>
      </c>
      <c r="L1" s="33">
        <v>2025</v>
      </c>
      <c r="M1" s="33">
        <v>2030</v>
      </c>
      <c r="N1" s="33">
        <v>2035</v>
      </c>
      <c r="O1" s="33">
        <v>2040</v>
      </c>
      <c r="P1" s="33">
        <v>2045</v>
      </c>
      <c r="Q1" s="33">
        <v>2050</v>
      </c>
      <c r="R1" s="36"/>
      <c r="S1" s="33">
        <v>2000</v>
      </c>
      <c r="T1" s="33">
        <v>2001</v>
      </c>
      <c r="U1" s="33">
        <v>2002</v>
      </c>
      <c r="V1" s="33">
        <v>2003</v>
      </c>
      <c r="W1" s="33">
        <v>2004</v>
      </c>
      <c r="X1" s="33">
        <v>2005</v>
      </c>
      <c r="Y1" s="33">
        <v>2006</v>
      </c>
      <c r="Z1" s="33">
        <v>2007</v>
      </c>
      <c r="AA1" s="33">
        <v>2008</v>
      </c>
      <c r="AB1" s="33">
        <v>2009</v>
      </c>
      <c r="AC1" s="33">
        <v>2010</v>
      </c>
      <c r="AD1" s="33">
        <v>2011</v>
      </c>
      <c r="AE1" s="33">
        <v>2012</v>
      </c>
      <c r="AF1" s="33">
        <v>2013</v>
      </c>
      <c r="AG1" s="33">
        <v>2014</v>
      </c>
      <c r="AH1" s="33">
        <v>2015</v>
      </c>
      <c r="AI1" s="33">
        <v>2016</v>
      </c>
      <c r="AJ1" s="33">
        <v>2017</v>
      </c>
      <c r="AK1" s="33">
        <v>2018</v>
      </c>
      <c r="AL1" s="33">
        <v>2019</v>
      </c>
      <c r="AM1" s="33">
        <v>2020</v>
      </c>
      <c r="AN1" s="33">
        <v>2021</v>
      </c>
      <c r="AO1" s="33">
        <v>2022</v>
      </c>
      <c r="AP1" s="33">
        <v>2023</v>
      </c>
      <c r="AQ1" s="33">
        <v>2024</v>
      </c>
      <c r="AR1" s="33">
        <v>2025</v>
      </c>
      <c r="AS1" s="33">
        <v>2026</v>
      </c>
      <c r="AT1" s="33">
        <v>2027</v>
      </c>
      <c r="AU1" s="33">
        <v>2028</v>
      </c>
      <c r="AV1" s="33">
        <v>2029</v>
      </c>
      <c r="AW1" s="33">
        <v>2030</v>
      </c>
      <c r="AX1" s="33">
        <v>2031</v>
      </c>
      <c r="AY1" s="33">
        <v>2032</v>
      </c>
      <c r="AZ1" s="33">
        <v>2033</v>
      </c>
      <c r="BA1" s="33">
        <v>2034</v>
      </c>
      <c r="BB1" s="33">
        <v>2035</v>
      </c>
      <c r="BC1" s="33">
        <v>2036</v>
      </c>
      <c r="BD1" s="33">
        <v>2037</v>
      </c>
      <c r="BE1" s="33">
        <v>2038</v>
      </c>
      <c r="BF1" s="33">
        <v>2039</v>
      </c>
      <c r="BG1" s="33">
        <v>2040</v>
      </c>
      <c r="BH1" s="33">
        <v>2041</v>
      </c>
      <c r="BI1" s="33">
        <v>2042</v>
      </c>
      <c r="BJ1" s="33">
        <v>2043</v>
      </c>
      <c r="BK1" s="33">
        <v>2044</v>
      </c>
      <c r="BL1" s="33">
        <v>2045</v>
      </c>
      <c r="BM1" s="33">
        <v>2046</v>
      </c>
      <c r="BN1" s="33">
        <v>2047</v>
      </c>
      <c r="BO1" s="33">
        <v>2048</v>
      </c>
      <c r="BP1" s="33">
        <v>2049</v>
      </c>
      <c r="BQ1" s="33">
        <v>2050</v>
      </c>
      <c r="BR1" s="33">
        <v>2051</v>
      </c>
      <c r="BS1" s="33">
        <v>2052</v>
      </c>
      <c r="BT1" s="33">
        <v>2053</v>
      </c>
      <c r="BU1" s="33">
        <v>2054</v>
      </c>
      <c r="BV1" s="33">
        <v>2055</v>
      </c>
      <c r="BW1" s="33">
        <v>2056</v>
      </c>
      <c r="BX1" s="33">
        <v>2057</v>
      </c>
      <c r="BY1" s="33">
        <v>2058</v>
      </c>
      <c r="BZ1" s="33">
        <v>2059</v>
      </c>
      <c r="CA1" s="33">
        <v>2060</v>
      </c>
    </row>
    <row r="2" spans="1:79" x14ac:dyDescent="0.25">
      <c r="A2" s="11"/>
      <c r="B2" s="13"/>
      <c r="C2" s="13"/>
      <c r="D2" s="13"/>
      <c r="E2" s="13"/>
      <c r="F2" s="9"/>
      <c r="G2" s="28"/>
      <c r="H2" s="28"/>
      <c r="I2" s="28"/>
      <c r="J2" s="28"/>
      <c r="K2" s="28"/>
      <c r="L2" s="28"/>
      <c r="M2" s="28"/>
      <c r="N2" s="28"/>
      <c r="O2" s="28"/>
      <c r="P2" s="28"/>
      <c r="Q2" s="28"/>
      <c r="R2" s="37"/>
    </row>
    <row r="3" spans="1:79" x14ac:dyDescent="0.25">
      <c r="A3" s="5"/>
      <c r="B3" s="25" t="s">
        <v>270</v>
      </c>
      <c r="C3" s="25" t="s">
        <v>273</v>
      </c>
      <c r="D3" s="25" t="s">
        <v>280</v>
      </c>
      <c r="E3" s="25" t="s">
        <v>271</v>
      </c>
      <c r="F3" s="67" t="s">
        <v>279</v>
      </c>
      <c r="G3" s="53">
        <f t="shared" ref="G3:G8" si="0">H3</f>
        <v>54.57</v>
      </c>
      <c r="H3" s="34">
        <f t="shared" ref="H3:O8" si="1">INDEX($S3:$CA3,MATCH(H$1,$S$1:$CA$1,0))</f>
        <v>54.57</v>
      </c>
      <c r="I3" s="34">
        <f t="shared" si="1"/>
        <v>79.61</v>
      </c>
      <c r="J3" s="34">
        <f t="shared" si="1"/>
        <v>52.32</v>
      </c>
      <c r="K3" s="34">
        <f t="shared" si="1"/>
        <v>67.75</v>
      </c>
      <c r="L3" s="34">
        <f t="shared" si="1"/>
        <v>73.5</v>
      </c>
      <c r="M3" s="34">
        <f t="shared" si="1"/>
        <v>75</v>
      </c>
      <c r="N3" s="34">
        <f t="shared" si="1"/>
        <v>75</v>
      </c>
      <c r="O3" s="34">
        <f t="shared" si="1"/>
        <v>75</v>
      </c>
      <c r="P3" s="53">
        <f t="shared" ref="P3:P8" si="2">O3</f>
        <v>75</v>
      </c>
      <c r="Q3" s="53">
        <f t="shared" ref="Q3:Q8" si="3">P3</f>
        <v>75</v>
      </c>
      <c r="R3" s="38"/>
      <c r="X3" s="41">
        <v>54.57</v>
      </c>
      <c r="Y3" s="41">
        <v>65.16</v>
      </c>
      <c r="Z3" s="41">
        <v>72.44</v>
      </c>
      <c r="AA3" s="41">
        <v>96.94</v>
      </c>
      <c r="AB3" s="41">
        <v>61.74</v>
      </c>
      <c r="AC3" s="41">
        <v>79.61</v>
      </c>
      <c r="AD3" s="41">
        <v>111.26</v>
      </c>
      <c r="AE3" s="41">
        <v>111.63</v>
      </c>
      <c r="AF3" s="41">
        <v>108.56</v>
      </c>
      <c r="AG3" s="41">
        <v>98.97</v>
      </c>
      <c r="AH3" s="41">
        <v>52.32</v>
      </c>
      <c r="AI3" s="41">
        <v>43.64</v>
      </c>
      <c r="AJ3" s="41">
        <v>54.13</v>
      </c>
      <c r="AK3" s="41">
        <v>70.75</v>
      </c>
      <c r="AL3" s="41">
        <v>67.75</v>
      </c>
      <c r="AM3" s="41">
        <v>67.75</v>
      </c>
      <c r="AN3" s="41">
        <v>67.75</v>
      </c>
      <c r="AO3" s="41">
        <v>68.5</v>
      </c>
      <c r="AP3" s="41">
        <v>70.25</v>
      </c>
      <c r="AQ3" s="41">
        <v>72</v>
      </c>
      <c r="AR3" s="41">
        <v>73.5</v>
      </c>
      <c r="AS3" s="41">
        <v>74.5</v>
      </c>
      <c r="AT3" s="41">
        <v>75</v>
      </c>
      <c r="AU3" s="41">
        <v>75</v>
      </c>
      <c r="AV3" s="41">
        <v>75</v>
      </c>
      <c r="AW3" s="41">
        <v>75</v>
      </c>
      <c r="AX3" s="41">
        <v>75</v>
      </c>
      <c r="AY3" s="41">
        <v>75</v>
      </c>
      <c r="AZ3" s="41">
        <v>75</v>
      </c>
      <c r="BA3" s="41">
        <v>75</v>
      </c>
      <c r="BB3" s="41">
        <v>75</v>
      </c>
      <c r="BC3" s="41">
        <v>75</v>
      </c>
      <c r="BD3" s="41">
        <v>75</v>
      </c>
      <c r="BE3" s="41">
        <v>75</v>
      </c>
      <c r="BF3" s="41">
        <v>75</v>
      </c>
      <c r="BG3" s="41">
        <v>75</v>
      </c>
    </row>
    <row r="4" spans="1:79" x14ac:dyDescent="0.25">
      <c r="A4" s="5"/>
      <c r="B4" s="25"/>
      <c r="C4" s="25" t="s">
        <v>274</v>
      </c>
      <c r="D4" s="25" t="s">
        <v>280</v>
      </c>
      <c r="E4" s="25" t="s">
        <v>271</v>
      </c>
      <c r="F4" s="67" t="s">
        <v>279</v>
      </c>
      <c r="G4" s="53">
        <f t="shared" si="0"/>
        <v>56.64</v>
      </c>
      <c r="H4" s="34">
        <f t="shared" si="1"/>
        <v>56.64</v>
      </c>
      <c r="I4" s="34">
        <f t="shared" si="1"/>
        <v>79.48</v>
      </c>
      <c r="J4" s="34">
        <f t="shared" si="1"/>
        <v>48.66</v>
      </c>
      <c r="K4" s="34">
        <f t="shared" si="1"/>
        <v>62.45</v>
      </c>
      <c r="L4" s="34">
        <f t="shared" si="1"/>
        <v>70</v>
      </c>
      <c r="M4" s="34">
        <f t="shared" si="1"/>
        <v>71.5</v>
      </c>
      <c r="N4" s="34">
        <f t="shared" si="1"/>
        <v>71.5</v>
      </c>
      <c r="O4" s="34">
        <f t="shared" si="1"/>
        <v>71.5</v>
      </c>
      <c r="P4" s="53">
        <f t="shared" si="2"/>
        <v>71.5</v>
      </c>
      <c r="Q4" s="53">
        <f t="shared" si="3"/>
        <v>71.5</v>
      </c>
      <c r="R4" s="38"/>
      <c r="X4" s="41">
        <v>56.64</v>
      </c>
      <c r="Y4" s="41">
        <v>66.05</v>
      </c>
      <c r="Z4" s="41">
        <v>72.34</v>
      </c>
      <c r="AA4" s="41">
        <v>99.67</v>
      </c>
      <c r="AB4" s="41">
        <v>61.95</v>
      </c>
      <c r="AC4" s="41">
        <v>79.48</v>
      </c>
      <c r="AD4" s="41">
        <v>94.88</v>
      </c>
      <c r="AE4" s="41">
        <v>94.05</v>
      </c>
      <c r="AF4" s="41">
        <v>97.98</v>
      </c>
      <c r="AG4" s="41">
        <v>93.17</v>
      </c>
      <c r="AH4" s="41">
        <v>48.66</v>
      </c>
      <c r="AI4" s="41">
        <v>43.29</v>
      </c>
      <c r="AJ4" s="41">
        <v>50.8</v>
      </c>
      <c r="AK4" s="41">
        <v>63.75</v>
      </c>
      <c r="AL4" s="41">
        <v>61.6</v>
      </c>
      <c r="AM4" s="41">
        <v>62.45</v>
      </c>
      <c r="AN4" s="41">
        <v>63.05</v>
      </c>
      <c r="AO4" s="41">
        <v>64.2</v>
      </c>
      <c r="AP4" s="41">
        <v>66.349999999999994</v>
      </c>
      <c r="AQ4" s="41">
        <v>68.5</v>
      </c>
      <c r="AR4" s="41">
        <v>70</v>
      </c>
      <c r="AS4" s="41">
        <v>71</v>
      </c>
      <c r="AT4" s="41">
        <v>71.5</v>
      </c>
      <c r="AU4" s="41">
        <v>71.5</v>
      </c>
      <c r="AV4" s="41">
        <v>71.5</v>
      </c>
      <c r="AW4" s="41">
        <v>71.5</v>
      </c>
      <c r="AX4" s="41">
        <v>71.5</v>
      </c>
      <c r="AY4" s="41">
        <v>71.5</v>
      </c>
      <c r="AZ4" s="41">
        <v>71.5</v>
      </c>
      <c r="BA4" s="41">
        <v>71.5</v>
      </c>
      <c r="BB4" s="41">
        <v>71.5</v>
      </c>
      <c r="BC4" s="41">
        <v>71.5</v>
      </c>
      <c r="BD4" s="41">
        <v>71.5</v>
      </c>
      <c r="BE4" s="41">
        <v>71.5</v>
      </c>
      <c r="BF4" s="41">
        <v>71.5</v>
      </c>
      <c r="BG4" s="41">
        <v>71.5</v>
      </c>
    </row>
    <row r="5" spans="1:79" x14ac:dyDescent="0.25">
      <c r="A5" s="5"/>
      <c r="B5" s="25"/>
      <c r="C5" s="25" t="s">
        <v>275</v>
      </c>
      <c r="D5" s="25" t="s">
        <v>280</v>
      </c>
      <c r="E5" s="25" t="s">
        <v>271</v>
      </c>
      <c r="F5" s="67" t="s">
        <v>279</v>
      </c>
      <c r="G5" s="53">
        <f t="shared" si="0"/>
        <v>36.24</v>
      </c>
      <c r="H5" s="34">
        <f t="shared" si="1"/>
        <v>36.24</v>
      </c>
      <c r="I5" s="34">
        <f t="shared" si="1"/>
        <v>65.3</v>
      </c>
      <c r="J5" s="34">
        <f t="shared" si="1"/>
        <v>35.270000000000003</v>
      </c>
      <c r="K5" s="34">
        <f t="shared" si="1"/>
        <v>36.15</v>
      </c>
      <c r="L5" s="34">
        <f t="shared" si="1"/>
        <v>55.2</v>
      </c>
      <c r="M5" s="34">
        <f t="shared" si="1"/>
        <v>57.5</v>
      </c>
      <c r="N5" s="34">
        <f t="shared" si="1"/>
        <v>57.5</v>
      </c>
      <c r="O5" s="34">
        <f t="shared" si="1"/>
        <v>57.5</v>
      </c>
      <c r="P5" s="53">
        <f t="shared" si="2"/>
        <v>57.5</v>
      </c>
      <c r="Q5" s="53">
        <f t="shared" si="3"/>
        <v>57.5</v>
      </c>
      <c r="R5" s="38"/>
      <c r="X5" s="41">
        <v>36.24</v>
      </c>
      <c r="Y5" s="41">
        <v>45.06</v>
      </c>
      <c r="Z5" s="41">
        <v>49.59</v>
      </c>
      <c r="AA5" s="41">
        <v>79.56</v>
      </c>
      <c r="AB5" s="41">
        <v>52.13</v>
      </c>
      <c r="AC5" s="41">
        <v>65.3</v>
      </c>
      <c r="AD5" s="41">
        <v>77.930000000000007</v>
      </c>
      <c r="AE5" s="41">
        <v>73.14</v>
      </c>
      <c r="AF5" s="41">
        <v>73.010000000000005</v>
      </c>
      <c r="AG5" s="41">
        <v>71.77</v>
      </c>
      <c r="AH5" s="41">
        <v>35.270000000000003</v>
      </c>
      <c r="AI5" s="41">
        <v>29.65</v>
      </c>
      <c r="AJ5" s="41">
        <v>38.979999999999997</v>
      </c>
      <c r="AK5" s="41">
        <v>42.75</v>
      </c>
      <c r="AL5" s="41">
        <v>37.6</v>
      </c>
      <c r="AM5" s="41">
        <v>36.15</v>
      </c>
      <c r="AN5" s="41">
        <v>38.75</v>
      </c>
      <c r="AO5" s="41">
        <v>42.9</v>
      </c>
      <c r="AP5" s="41">
        <v>48.05</v>
      </c>
      <c r="AQ5" s="41">
        <v>52.95</v>
      </c>
      <c r="AR5" s="41">
        <v>55.2</v>
      </c>
      <c r="AS5" s="41">
        <v>56.9</v>
      </c>
      <c r="AT5" s="41">
        <v>57.5</v>
      </c>
      <c r="AU5" s="41">
        <v>57.5</v>
      </c>
      <c r="AV5" s="41">
        <v>57.5</v>
      </c>
      <c r="AW5" s="41">
        <v>57.5</v>
      </c>
      <c r="AX5" s="41">
        <v>57.5</v>
      </c>
      <c r="AY5" s="41">
        <v>57.5</v>
      </c>
      <c r="AZ5" s="41">
        <v>57.5</v>
      </c>
      <c r="BA5" s="41">
        <v>57.5</v>
      </c>
      <c r="BB5" s="41">
        <v>57.5</v>
      </c>
      <c r="BC5" s="41">
        <v>57.5</v>
      </c>
      <c r="BD5" s="41">
        <v>57.5</v>
      </c>
      <c r="BE5" s="41">
        <v>57.5</v>
      </c>
      <c r="BF5" s="41">
        <v>57.5</v>
      </c>
      <c r="BG5" s="41">
        <v>57.5</v>
      </c>
    </row>
    <row r="6" spans="1:79" x14ac:dyDescent="0.25">
      <c r="A6" s="5"/>
      <c r="B6" s="25"/>
      <c r="C6" s="25" t="s">
        <v>278</v>
      </c>
      <c r="D6" s="25" t="s">
        <v>280</v>
      </c>
      <c r="E6" s="25" t="s">
        <v>271</v>
      </c>
      <c r="F6" s="67" t="s">
        <v>279</v>
      </c>
      <c r="G6" s="53">
        <f t="shared" si="0"/>
        <v>56.75</v>
      </c>
      <c r="H6" s="34">
        <f t="shared" si="1"/>
        <v>56.75</v>
      </c>
      <c r="I6" s="34">
        <f t="shared" si="1"/>
        <v>75.239999999999995</v>
      </c>
      <c r="J6" s="34">
        <f t="shared" si="1"/>
        <v>45.16</v>
      </c>
      <c r="K6" s="34">
        <f t="shared" si="1"/>
        <v>56.53</v>
      </c>
      <c r="L6" s="34">
        <f t="shared" si="1"/>
        <v>67.099999999999994</v>
      </c>
      <c r="M6" s="34">
        <f t="shared" si="1"/>
        <v>68.900000000000006</v>
      </c>
      <c r="N6" s="34">
        <f t="shared" si="1"/>
        <v>68.900000000000006</v>
      </c>
      <c r="O6" s="34">
        <f t="shared" si="1"/>
        <v>68.900000000000006</v>
      </c>
      <c r="P6" s="53">
        <f t="shared" si="2"/>
        <v>68.900000000000006</v>
      </c>
      <c r="Q6" s="53">
        <f t="shared" si="3"/>
        <v>68.900000000000006</v>
      </c>
      <c r="R6" s="38"/>
      <c r="X6" s="41">
        <v>56.75</v>
      </c>
      <c r="Y6" s="41">
        <v>64.17</v>
      </c>
      <c r="Z6" s="41">
        <v>71.09</v>
      </c>
      <c r="AA6" s="41">
        <v>95.75</v>
      </c>
      <c r="AB6" s="41">
        <v>57.71</v>
      </c>
      <c r="AC6" s="41">
        <v>75.239999999999995</v>
      </c>
      <c r="AD6" s="41">
        <v>96.09</v>
      </c>
      <c r="AE6" s="41">
        <v>86.21</v>
      </c>
      <c r="AF6" s="41">
        <v>90.21</v>
      </c>
      <c r="AG6" s="41">
        <v>84.51</v>
      </c>
      <c r="AH6" s="41">
        <v>45.16</v>
      </c>
      <c r="AI6" s="41">
        <v>40.69</v>
      </c>
      <c r="AJ6" s="41">
        <v>48.74</v>
      </c>
      <c r="AK6" s="41">
        <v>56.13</v>
      </c>
      <c r="AL6" s="41">
        <v>53.91</v>
      </c>
      <c r="AM6" s="41">
        <v>56.53</v>
      </c>
      <c r="AN6" s="41">
        <v>57.89</v>
      </c>
      <c r="AO6" s="41">
        <v>59.73</v>
      </c>
      <c r="AP6" s="41">
        <v>62.52</v>
      </c>
      <c r="AQ6" s="41">
        <v>65.150000000000006</v>
      </c>
      <c r="AR6" s="41">
        <v>67.099999999999994</v>
      </c>
      <c r="AS6" s="41">
        <v>68.36</v>
      </c>
      <c r="AT6" s="41">
        <v>68.900000000000006</v>
      </c>
      <c r="AU6" s="41">
        <v>68.900000000000006</v>
      </c>
      <c r="AV6" s="41">
        <v>68.900000000000006</v>
      </c>
      <c r="AW6" s="41">
        <v>68.900000000000006</v>
      </c>
      <c r="AX6" s="41">
        <v>68.900000000000006</v>
      </c>
      <c r="AY6" s="41">
        <v>68.900000000000006</v>
      </c>
      <c r="AZ6" s="41">
        <v>68.900000000000006</v>
      </c>
      <c r="BA6" s="41">
        <v>68.900000000000006</v>
      </c>
      <c r="BB6" s="41">
        <v>68.900000000000006</v>
      </c>
      <c r="BC6" s="41">
        <v>68.900000000000006</v>
      </c>
      <c r="BD6" s="41">
        <v>68.900000000000006</v>
      </c>
      <c r="BE6" s="41">
        <v>68.900000000000006</v>
      </c>
      <c r="BF6" s="41">
        <v>68.900000000000006</v>
      </c>
      <c r="BG6" s="41">
        <v>68.900000000000006</v>
      </c>
    </row>
    <row r="7" spans="1:79" x14ac:dyDescent="0.25">
      <c r="A7" s="5"/>
      <c r="B7" s="25"/>
      <c r="C7" s="25" t="s">
        <v>276</v>
      </c>
      <c r="D7" s="25" t="s">
        <v>14</v>
      </c>
      <c r="E7" s="25" t="s">
        <v>272</v>
      </c>
      <c r="F7" s="67" t="s">
        <v>279</v>
      </c>
      <c r="G7" s="53">
        <f t="shared" si="0"/>
        <v>8.69</v>
      </c>
      <c r="H7" s="34">
        <f t="shared" si="1"/>
        <v>8.69</v>
      </c>
      <c r="I7" s="34">
        <f t="shared" si="1"/>
        <v>4.38</v>
      </c>
      <c r="J7" s="34">
        <f t="shared" si="1"/>
        <v>2.61</v>
      </c>
      <c r="K7" s="34">
        <f t="shared" si="1"/>
        <v>2.87</v>
      </c>
      <c r="L7" s="34">
        <f t="shared" si="1"/>
        <v>3.05</v>
      </c>
      <c r="M7" s="34">
        <f t="shared" si="1"/>
        <v>3.55</v>
      </c>
      <c r="N7" s="34">
        <f t="shared" si="1"/>
        <v>3.95</v>
      </c>
      <c r="O7" s="34">
        <f t="shared" si="1"/>
        <v>4.16</v>
      </c>
      <c r="P7" s="53">
        <f t="shared" si="2"/>
        <v>4.16</v>
      </c>
      <c r="Q7" s="53">
        <f t="shared" si="3"/>
        <v>4.16</v>
      </c>
      <c r="R7" s="38"/>
      <c r="X7" s="41">
        <v>8.69</v>
      </c>
      <c r="Y7" s="41">
        <v>6.73</v>
      </c>
      <c r="Z7" s="41">
        <v>6.97</v>
      </c>
      <c r="AA7" s="41">
        <v>8.86</v>
      </c>
      <c r="AB7" s="41">
        <v>4</v>
      </c>
      <c r="AC7" s="41">
        <v>4.38</v>
      </c>
      <c r="AD7" s="41">
        <v>4</v>
      </c>
      <c r="AE7" s="41">
        <v>2.76</v>
      </c>
      <c r="AF7" s="41">
        <v>3.73</v>
      </c>
      <c r="AG7" s="41">
        <v>4.34</v>
      </c>
      <c r="AH7" s="41">
        <v>2.61</v>
      </c>
      <c r="AI7" s="41">
        <v>2.4900000000000002</v>
      </c>
      <c r="AJ7" s="41">
        <v>2.97</v>
      </c>
      <c r="AK7" s="41">
        <v>2.87</v>
      </c>
      <c r="AL7" s="41">
        <v>2.87</v>
      </c>
      <c r="AM7" s="41">
        <v>2.87</v>
      </c>
      <c r="AN7" s="41">
        <v>2.9</v>
      </c>
      <c r="AO7" s="41">
        <v>2.93</v>
      </c>
      <c r="AP7" s="41">
        <v>2.96</v>
      </c>
      <c r="AQ7" s="41">
        <v>3</v>
      </c>
      <c r="AR7" s="41">
        <v>3.05</v>
      </c>
      <c r="AS7" s="41">
        <v>3.15</v>
      </c>
      <c r="AT7" s="41">
        <v>3.25</v>
      </c>
      <c r="AU7" s="41">
        <v>3.35</v>
      </c>
      <c r="AV7" s="41">
        <v>3.45</v>
      </c>
      <c r="AW7" s="41">
        <v>3.55</v>
      </c>
      <c r="AX7" s="41">
        <v>3.65</v>
      </c>
      <c r="AY7" s="41">
        <v>3.75</v>
      </c>
      <c r="AZ7" s="41">
        <v>3.85</v>
      </c>
      <c r="BA7" s="41">
        <v>3.9</v>
      </c>
      <c r="BB7" s="41">
        <v>3.95</v>
      </c>
      <c r="BC7" s="41">
        <v>4</v>
      </c>
      <c r="BD7" s="41">
        <v>4.04</v>
      </c>
      <c r="BE7" s="41">
        <v>4.08</v>
      </c>
      <c r="BF7" s="41">
        <v>4.12</v>
      </c>
      <c r="BG7" s="41">
        <v>4.16</v>
      </c>
    </row>
    <row r="8" spans="1:79" x14ac:dyDescent="0.25">
      <c r="A8" s="5"/>
      <c r="B8" s="25"/>
      <c r="C8" s="25" t="s">
        <v>277</v>
      </c>
      <c r="D8" s="25" t="s">
        <v>14</v>
      </c>
      <c r="E8" s="25" t="s">
        <v>272</v>
      </c>
      <c r="F8" s="67" t="s">
        <v>279</v>
      </c>
      <c r="G8" s="53">
        <f t="shared" si="0"/>
        <v>7.3</v>
      </c>
      <c r="H8" s="34">
        <f t="shared" si="1"/>
        <v>7.3</v>
      </c>
      <c r="I8" s="34">
        <f t="shared" si="1"/>
        <v>3.49</v>
      </c>
      <c r="J8" s="34">
        <f t="shared" si="1"/>
        <v>1.9</v>
      </c>
      <c r="K8" s="34">
        <f t="shared" si="1"/>
        <v>1.62</v>
      </c>
      <c r="L8" s="34">
        <f t="shared" si="1"/>
        <v>2.15</v>
      </c>
      <c r="M8" s="34">
        <f t="shared" si="1"/>
        <v>2.5499999999999998</v>
      </c>
      <c r="N8" s="34">
        <f t="shared" si="1"/>
        <v>3.05</v>
      </c>
      <c r="O8" s="34">
        <f t="shared" si="1"/>
        <v>3.26</v>
      </c>
      <c r="P8" s="53">
        <f t="shared" si="2"/>
        <v>3.26</v>
      </c>
      <c r="Q8" s="53">
        <f t="shared" si="3"/>
        <v>3.26</v>
      </c>
      <c r="R8" s="38"/>
      <c r="X8" s="41">
        <v>7.3</v>
      </c>
      <c r="Y8" s="41">
        <v>5.76</v>
      </c>
      <c r="Z8" s="41">
        <v>5.99</v>
      </c>
      <c r="AA8" s="41">
        <v>6.99</v>
      </c>
      <c r="AB8" s="41">
        <v>3.14</v>
      </c>
      <c r="AC8" s="41">
        <v>3.49</v>
      </c>
      <c r="AD8" s="41">
        <v>3.3</v>
      </c>
      <c r="AE8" s="41">
        <v>2.16</v>
      </c>
      <c r="AF8" s="41">
        <v>2.78</v>
      </c>
      <c r="AG8" s="41">
        <v>3.64</v>
      </c>
      <c r="AH8" s="41">
        <v>1.9</v>
      </c>
      <c r="AI8" s="41">
        <v>1.48</v>
      </c>
      <c r="AJ8" s="41">
        <v>1.49</v>
      </c>
      <c r="AK8" s="41">
        <v>1.27</v>
      </c>
      <c r="AL8" s="41">
        <v>1.52</v>
      </c>
      <c r="AM8" s="41">
        <v>1.62</v>
      </c>
      <c r="AN8" s="41">
        <v>1.8</v>
      </c>
      <c r="AO8" s="41">
        <v>1.88</v>
      </c>
      <c r="AP8" s="41">
        <v>1.96</v>
      </c>
      <c r="AQ8" s="41">
        <v>2.0499999999999998</v>
      </c>
      <c r="AR8" s="41">
        <v>2.15</v>
      </c>
      <c r="AS8" s="41">
        <v>2.25</v>
      </c>
      <c r="AT8" s="41">
        <v>2.2999999999999998</v>
      </c>
      <c r="AU8" s="41">
        <v>2.35</v>
      </c>
      <c r="AV8" s="41">
        <v>2.4</v>
      </c>
      <c r="AW8" s="41">
        <v>2.5499999999999998</v>
      </c>
      <c r="AX8" s="41">
        <v>2.7</v>
      </c>
      <c r="AY8" s="41">
        <v>2.85</v>
      </c>
      <c r="AZ8" s="41">
        <v>2.95</v>
      </c>
      <c r="BA8" s="41">
        <v>3</v>
      </c>
      <c r="BB8" s="41">
        <v>3.05</v>
      </c>
      <c r="BC8" s="41">
        <v>3.1</v>
      </c>
      <c r="BD8" s="41">
        <v>3.14</v>
      </c>
      <c r="BE8" s="41">
        <v>3.18</v>
      </c>
      <c r="BF8" s="41">
        <v>3.22</v>
      </c>
      <c r="BG8" s="41">
        <v>3.26</v>
      </c>
    </row>
    <row r="9" spans="1:79" x14ac:dyDescent="0.25">
      <c r="A9" s="5"/>
      <c r="B9" s="25"/>
      <c r="C9" s="25"/>
      <c r="D9" s="25"/>
      <c r="E9" s="25"/>
      <c r="F9" s="27"/>
      <c r="G9" s="17"/>
      <c r="H9" s="17"/>
      <c r="I9" s="17"/>
      <c r="J9" s="17"/>
      <c r="R9" s="38"/>
    </row>
    <row r="10" spans="1:79" x14ac:dyDescent="0.25">
      <c r="A10" s="5"/>
      <c r="B10" s="25"/>
      <c r="C10" s="25" t="s">
        <v>273</v>
      </c>
      <c r="D10" s="25" t="s">
        <v>280</v>
      </c>
      <c r="E10" s="25" t="s">
        <v>329</v>
      </c>
      <c r="F10" s="67" t="s">
        <v>84</v>
      </c>
      <c r="G10" s="194">
        <f>G3*Macro!G$72/Conversions!$G$3/Conversions!$G$4/INDEX(Coefficients!$D$18:$BV$18,MATCH(G$1,CoeffYear,0))*1000</f>
        <v>9.9140294521656767</v>
      </c>
      <c r="H10" s="194">
        <f>H3*Macro!H$72/Conversions!$G$3/Conversions!$G$4/INDEX(Coefficients!$D$18:$BV$18,MATCH(H$1,CoeffYear,0))*1000</f>
        <v>9.8015627285205795</v>
      </c>
      <c r="I10" s="194">
        <f>I3*Macro!I$72/Conversions!$G$3/Conversions!$G$4/INDEX(Coefficients!$D$18:$BV$18,MATCH(I$1,CoeffYear,0))*1000</f>
        <v>14.3928581627291</v>
      </c>
      <c r="J10" s="194">
        <f>J3*Macro!J$72/Conversions!$G$3/Conversions!$G$4/INDEX(Coefficients!$D$18:$BV$18,MATCH(J$1,CoeffYear,0))*1000</f>
        <v>9.6634823487596684</v>
      </c>
      <c r="K10" s="194">
        <f>K3*Macro!K$72/Conversions!$G$3/Conversions!$G$4/INDEX(Coefficients!$D$18:$BV$18,MATCH(K$1,CoeffYear,0))*1000</f>
        <v>12.513392277585524</v>
      </c>
      <c r="L10" s="194">
        <f>L3*Macro!L$72/Conversions!$G$3/Conversions!$G$4/INDEX(Coefficients!$D$18:$BV$18,MATCH(L$1,CoeffYear,0))*1000</f>
        <v>13.575414500406438</v>
      </c>
      <c r="M10" s="194">
        <f>M3*Macro!M$72/Conversions!$G$3/Conversions!$G$4/INDEX(Coefficients!$D$18:$BV$18,MATCH(M$1,CoeffYear,0))*1000</f>
        <v>13.852463775924935</v>
      </c>
      <c r="N10" s="194">
        <f>N3*Macro!N$72/Conversions!$G$3/Conversions!$G$4/INDEX(Coefficients!$D$18:$BV$18,MATCH(N$1,CoeffYear,0))*1000</f>
        <v>13.852463775924935</v>
      </c>
      <c r="O10" s="194">
        <f>O3*Macro!O$72/Conversions!$G$3/Conversions!$G$4/INDEX(Coefficients!$D$18:$BV$18,MATCH(O$1,CoeffYear,0))*1000</f>
        <v>13.852463775924935</v>
      </c>
      <c r="P10" s="194">
        <f>P3*Macro!P$72/Conversions!$G$3/Conversions!$G$4/INDEX(Coefficients!$D$18:$BV$18,MATCH(P$1,CoeffYear,0))*1000</f>
        <v>13.852463775924935</v>
      </c>
      <c r="Q10" s="194">
        <f>Q3*Macro!Q$72/Conversions!$G$3/Conversions!$G$4/INDEX(Coefficients!$D$18:$BV$18,MATCH(Q$1,CoeffYear,0))*1000</f>
        <v>13.852463775924935</v>
      </c>
      <c r="R10" s="38"/>
      <c r="X10" s="41"/>
      <c r="Y10" s="41"/>
      <c r="Z10" s="41"/>
      <c r="AA10" s="41"/>
      <c r="AB10" s="41"/>
      <c r="AC10" s="41"/>
      <c r="AD10" s="41"/>
      <c r="AE10" s="41"/>
      <c r="AF10" s="41"/>
      <c r="AG10" s="41"/>
      <c r="AH10" s="41"/>
      <c r="AI10" s="41"/>
      <c r="AJ10" s="41"/>
      <c r="AK10" s="41"/>
      <c r="AL10" s="41"/>
      <c r="AM10" s="41"/>
      <c r="AN10" s="41"/>
      <c r="AO10" s="41"/>
      <c r="AP10" s="41"/>
      <c r="AQ10" s="41"/>
      <c r="AR10" s="41"/>
      <c r="AS10" s="41"/>
      <c r="AT10" s="41"/>
      <c r="AU10" s="41"/>
      <c r="AV10" s="41"/>
      <c r="AW10" s="41"/>
      <c r="AX10" s="41"/>
      <c r="AY10" s="41"/>
      <c r="AZ10" s="41"/>
      <c r="BA10" s="41"/>
      <c r="BB10" s="41"/>
      <c r="BC10" s="41"/>
      <c r="BD10" s="41"/>
      <c r="BE10" s="41"/>
      <c r="BF10" s="41"/>
      <c r="BG10" s="41"/>
    </row>
    <row r="11" spans="1:79" x14ac:dyDescent="0.25">
      <c r="A11" s="5"/>
      <c r="B11" s="25"/>
      <c r="C11" s="25" t="s">
        <v>274</v>
      </c>
      <c r="D11" s="25" t="s">
        <v>280</v>
      </c>
      <c r="E11" s="25" t="s">
        <v>329</v>
      </c>
      <c r="F11" s="67" t="s">
        <v>84</v>
      </c>
      <c r="G11" s="194">
        <f>G4*Macro!G$72/Conversions!$G$3/Conversions!$G$4/INDEX(Coefficients!$D$18:$BV$18,MATCH(G$1,CoeffYear,0))*1000</f>
        <v>10.290097639191201</v>
      </c>
      <c r="H11" s="194">
        <f>H4*Macro!H$72/Conversions!$G$3/Conversions!$G$4/INDEX(Coefficients!$D$18:$BV$18,MATCH(H$1,CoeffYear,0))*1000</f>
        <v>10.173364723170343</v>
      </c>
      <c r="I11" s="194">
        <f>I4*Macro!I$72/Conversions!$G$3/Conversions!$G$4/INDEX(Coefficients!$D$18:$BV$18,MATCH(I$1,CoeffYear,0))*1000</f>
        <v>14.369355191228601</v>
      </c>
      <c r="J11" s="194">
        <f>J4*Macro!J$72/Conversions!$G$3/Conversions!$G$4/INDEX(Coefficients!$D$18:$BV$18,MATCH(J$1,CoeffYear,0))*1000</f>
        <v>8.9874818633533131</v>
      </c>
      <c r="K11" s="194">
        <f>K4*Macro!K$72/Conversions!$G$3/Conversions!$G$4/INDEX(Coefficients!$D$18:$BV$18,MATCH(K$1,CoeffYear,0))*1000</f>
        <v>11.534484837420164</v>
      </c>
      <c r="L11" s="194">
        <f>L4*Macro!L$72/Conversions!$G$3/Conversions!$G$4/INDEX(Coefficients!$D$18:$BV$18,MATCH(L$1,CoeffYear,0))*1000</f>
        <v>12.928966190863273</v>
      </c>
      <c r="M11" s="194">
        <f>M4*Macro!M$72/Conversions!$G$3/Conversions!$G$4/INDEX(Coefficients!$D$18:$BV$18,MATCH(M$1,CoeffYear,0))*1000</f>
        <v>13.206015466381771</v>
      </c>
      <c r="N11" s="194">
        <f>N4*Macro!N$72/Conversions!$G$3/Conversions!$G$4/INDEX(Coefficients!$D$18:$BV$18,MATCH(N$1,CoeffYear,0))*1000</f>
        <v>13.206015466381771</v>
      </c>
      <c r="O11" s="194">
        <f>O4*Macro!O$72/Conversions!$G$3/Conversions!$G$4/INDEX(Coefficients!$D$18:$BV$18,MATCH(O$1,CoeffYear,0))*1000</f>
        <v>13.206015466381771</v>
      </c>
      <c r="P11" s="194">
        <f>P4*Macro!P$72/Conversions!$G$3/Conversions!$G$4/INDEX(Coefficients!$D$18:$BV$18,MATCH(P$1,CoeffYear,0))*1000</f>
        <v>13.206015466381771</v>
      </c>
      <c r="Q11" s="194">
        <f>Q4*Macro!Q$72/Conversions!$G$3/Conversions!$G$4/INDEX(Coefficients!$D$18:$BV$18,MATCH(Q$1,CoeffYear,0))*1000</f>
        <v>13.206015466381771</v>
      </c>
      <c r="R11" s="38"/>
      <c r="X11" s="41"/>
      <c r="Y11" s="41"/>
      <c r="Z11" s="41"/>
      <c r="AA11" s="41"/>
      <c r="AB11" s="41"/>
      <c r="AC11" s="41"/>
      <c r="AD11" s="41"/>
      <c r="AE11" s="41"/>
      <c r="AF11" s="41"/>
      <c r="AG11" s="41"/>
      <c r="AH11" s="41"/>
      <c r="AI11" s="41"/>
      <c r="AJ11" s="41"/>
      <c r="AK11" s="41"/>
      <c r="AL11" s="41"/>
      <c r="AM11" s="41"/>
      <c r="AN11" s="41"/>
      <c r="AO11" s="41"/>
      <c r="AP11" s="41"/>
      <c r="AQ11" s="41"/>
      <c r="AR11" s="41"/>
      <c r="AS11" s="41"/>
      <c r="AT11" s="41"/>
      <c r="AU11" s="41"/>
      <c r="AV11" s="41"/>
      <c r="AW11" s="41"/>
      <c r="AX11" s="41"/>
      <c r="AY11" s="41"/>
      <c r="AZ11" s="41"/>
      <c r="BA11" s="41"/>
      <c r="BB11" s="41"/>
      <c r="BC11" s="41"/>
      <c r="BD11" s="41"/>
      <c r="BE11" s="41"/>
      <c r="BF11" s="41"/>
      <c r="BG11" s="41"/>
    </row>
    <row r="12" spans="1:79" x14ac:dyDescent="0.25">
      <c r="A12" s="5"/>
      <c r="B12" s="25"/>
      <c r="C12" s="25" t="s">
        <v>275</v>
      </c>
      <c r="D12" s="25" t="s">
        <v>280</v>
      </c>
      <c r="E12" s="25" t="s">
        <v>329</v>
      </c>
      <c r="F12" s="67" t="s">
        <v>84</v>
      </c>
      <c r="G12" s="194">
        <f>G5*Macro!G$72/Conversions!$G$3/Conversions!$G$4/INDEX(Coefficients!$D$18:$BV$18,MATCH(G$1,CoeffYear,0))*1000</f>
        <v>6.5839184047367434</v>
      </c>
      <c r="H12" s="194">
        <f>H5*Macro!H$72/Conversions!$G$3/Conversions!$G$4/INDEX(Coefficients!$D$18:$BV$18,MATCH(H$1,CoeffYear,0))*1000</f>
        <v>6.5092291237233955</v>
      </c>
      <c r="I12" s="194">
        <f>I5*Macro!I$72/Conversions!$G$3/Conversions!$G$4/INDEX(Coefficients!$D$18:$BV$18,MATCH(I$1,CoeffYear,0))*1000</f>
        <v>11.805723376789475</v>
      </c>
      <c r="J12" s="194">
        <f>J5*Macro!J$72/Conversions!$G$3/Conversions!$G$4/INDEX(Coefficients!$D$18:$BV$18,MATCH(J$1,CoeffYear,0))*1000</f>
        <v>6.5143544044486541</v>
      </c>
      <c r="K12" s="194">
        <f>K5*Macro!K$72/Conversions!$G$3/Conversions!$G$4/INDEX(Coefficients!$D$18:$BV$18,MATCH(K$1,CoeffYear,0))*1000</f>
        <v>6.6768875399958185</v>
      </c>
      <c r="L12" s="194">
        <f>L5*Macro!L$72/Conversions!$G$3/Conversions!$G$4/INDEX(Coefficients!$D$18:$BV$18,MATCH(L$1,CoeffYear,0))*1000</f>
        <v>10.195413339080753</v>
      </c>
      <c r="M12" s="194">
        <f>M5*Macro!M$72/Conversions!$G$3/Conversions!$G$4/INDEX(Coefficients!$D$18:$BV$18,MATCH(M$1,CoeffYear,0))*1000</f>
        <v>10.620222228209117</v>
      </c>
      <c r="N12" s="194">
        <f>N5*Macro!N$72/Conversions!$G$3/Conversions!$G$4/INDEX(Coefficients!$D$18:$BV$18,MATCH(N$1,CoeffYear,0))*1000</f>
        <v>10.620222228209117</v>
      </c>
      <c r="O12" s="194">
        <f>O5*Macro!O$72/Conversions!$G$3/Conversions!$G$4/INDEX(Coefficients!$D$18:$BV$18,MATCH(O$1,CoeffYear,0))*1000</f>
        <v>10.620222228209117</v>
      </c>
      <c r="P12" s="194">
        <f>P5*Macro!P$72/Conversions!$G$3/Conversions!$G$4/INDEX(Coefficients!$D$18:$BV$18,MATCH(P$1,CoeffYear,0))*1000</f>
        <v>10.620222228209117</v>
      </c>
      <c r="Q12" s="194">
        <f>Q5*Macro!Q$72/Conversions!$G$3/Conversions!$G$4/INDEX(Coefficients!$D$18:$BV$18,MATCH(Q$1,CoeffYear,0))*1000</f>
        <v>10.620222228209117</v>
      </c>
      <c r="R12" s="38"/>
      <c r="X12" s="41"/>
      <c r="Y12" s="41"/>
      <c r="Z12" s="41"/>
      <c r="AA12" s="41"/>
      <c r="AB12" s="41"/>
      <c r="AC12" s="41"/>
      <c r="AD12" s="41"/>
      <c r="AE12" s="41"/>
      <c r="AF12" s="41"/>
      <c r="AG12" s="41"/>
      <c r="AH12" s="41"/>
      <c r="AI12" s="41"/>
      <c r="AJ12" s="41"/>
      <c r="AK12" s="41"/>
      <c r="AL12" s="41"/>
      <c r="AM12" s="41"/>
      <c r="AN12" s="41"/>
      <c r="AO12" s="41"/>
      <c r="AP12" s="41"/>
      <c r="AQ12" s="41"/>
      <c r="AR12" s="41"/>
      <c r="AS12" s="41"/>
      <c r="AT12" s="41"/>
      <c r="AU12" s="41"/>
      <c r="AV12" s="41"/>
      <c r="AW12" s="41"/>
      <c r="AX12" s="41"/>
      <c r="AY12" s="41"/>
      <c r="AZ12" s="41"/>
      <c r="BA12" s="41"/>
      <c r="BB12" s="41"/>
      <c r="BC12" s="41"/>
      <c r="BD12" s="41"/>
      <c r="BE12" s="41"/>
      <c r="BF12" s="41"/>
      <c r="BG12" s="41"/>
    </row>
    <row r="13" spans="1:79" x14ac:dyDescent="0.25">
      <c r="A13" s="5"/>
      <c r="B13" s="25"/>
      <c r="C13" s="25" t="s">
        <v>278</v>
      </c>
      <c r="D13" s="25" t="s">
        <v>280</v>
      </c>
      <c r="E13" s="25" t="s">
        <v>329</v>
      </c>
      <c r="F13" s="67" t="s">
        <v>84</v>
      </c>
      <c r="G13" s="194">
        <f>G6*Macro!G$72/Conversions!$G$3/Conversions!$G$4/INDEX(Coefficients!$D$18:$BV$18,MATCH(G$1,CoeffYear,0))*1000</f>
        <v>10.310081938984828</v>
      </c>
      <c r="H13" s="194">
        <f>H6*Macro!H$72/Conversions!$G$3/Conversions!$G$4/INDEX(Coefficients!$D$18:$BV$18,MATCH(H$1,CoeffYear,0))*1000</f>
        <v>10.193122317088928</v>
      </c>
      <c r="I13" s="194">
        <f>I6*Macro!I$72/Conversions!$G$3/Conversions!$G$4/INDEX(Coefficients!$D$18:$BV$18,MATCH(I$1,CoeffYear,0))*1000</f>
        <v>13.602796736135373</v>
      </c>
      <c r="J13" s="194">
        <f>J6*Macro!J$72/Conversions!$G$3/Conversions!$G$4/INDEX(Coefficients!$D$18:$BV$18,MATCH(J$1,CoeffYear,0))*1000</f>
        <v>8.3410333117352167</v>
      </c>
      <c r="K13" s="194">
        <f>K6*Macro!K$72/Conversions!$G$3/Conversions!$G$4/INDEX(Coefficients!$D$18:$BV$18,MATCH(K$1,CoeffYear,0))*1000</f>
        <v>10.441063696707156</v>
      </c>
      <c r="L13" s="194">
        <f>L6*Macro!L$72/Conversions!$G$3/Conversions!$G$4/INDEX(Coefficients!$D$18:$BV$18,MATCH(L$1,CoeffYear,0))*1000</f>
        <v>12.39333759152751</v>
      </c>
      <c r="M13" s="194">
        <f>M6*Macro!M$72/Conversions!$G$3/Conversions!$G$4/INDEX(Coefficients!$D$18:$BV$18,MATCH(M$1,CoeffYear,0))*1000</f>
        <v>12.72579672214971</v>
      </c>
      <c r="N13" s="194">
        <f>N6*Macro!N$72/Conversions!$G$3/Conversions!$G$4/INDEX(Coefficients!$D$18:$BV$18,MATCH(N$1,CoeffYear,0))*1000</f>
        <v>12.72579672214971</v>
      </c>
      <c r="O13" s="194">
        <f>O6*Macro!O$72/Conversions!$G$3/Conversions!$G$4/INDEX(Coefficients!$D$18:$BV$18,MATCH(O$1,CoeffYear,0))*1000</f>
        <v>12.72579672214971</v>
      </c>
      <c r="P13" s="194">
        <f>P6*Macro!P$72/Conversions!$G$3/Conversions!$G$4/INDEX(Coefficients!$D$18:$BV$18,MATCH(P$1,CoeffYear,0))*1000</f>
        <v>12.72579672214971</v>
      </c>
      <c r="Q13" s="194">
        <f>Q6*Macro!Q$72/Conversions!$G$3/Conversions!$G$4/INDEX(Coefficients!$D$18:$BV$18,MATCH(Q$1,CoeffYear,0))*1000</f>
        <v>12.72579672214971</v>
      </c>
      <c r="R13" s="38"/>
      <c r="X13" s="41"/>
      <c r="Y13" s="41"/>
      <c r="Z13" s="41"/>
      <c r="AA13" s="41"/>
      <c r="AB13" s="41"/>
      <c r="AC13" s="41"/>
      <c r="AD13" s="41"/>
      <c r="AE13" s="41"/>
      <c r="AF13" s="41"/>
      <c r="AG13" s="41"/>
      <c r="AH13" s="41"/>
      <c r="AI13" s="41"/>
      <c r="AJ13" s="41"/>
      <c r="AK13" s="41"/>
      <c r="AL13" s="41"/>
      <c r="AM13" s="41"/>
      <c r="AN13" s="41"/>
      <c r="AO13" s="41"/>
      <c r="AP13" s="41"/>
      <c r="AQ13" s="41"/>
      <c r="AR13" s="41"/>
      <c r="AS13" s="41"/>
      <c r="AT13" s="41"/>
      <c r="AU13" s="41"/>
      <c r="AV13" s="41"/>
      <c r="AW13" s="41"/>
      <c r="AX13" s="41"/>
      <c r="AY13" s="41"/>
      <c r="AZ13" s="41"/>
      <c r="BA13" s="41"/>
      <c r="BB13" s="41"/>
      <c r="BC13" s="41"/>
      <c r="BD13" s="41"/>
      <c r="BE13" s="41"/>
      <c r="BF13" s="41"/>
      <c r="BG13" s="41"/>
    </row>
    <row r="14" spans="1:79" x14ac:dyDescent="0.25">
      <c r="A14" s="5"/>
      <c r="B14" s="25"/>
      <c r="C14" s="25" t="s">
        <v>276</v>
      </c>
      <c r="D14" s="25" t="s">
        <v>14</v>
      </c>
      <c r="E14" s="25" t="s">
        <v>329</v>
      </c>
      <c r="F14" s="67" t="s">
        <v>84</v>
      </c>
      <c r="G14" s="194">
        <f>G7*Macro!G$72/Conversions!$G$5</f>
        <v>10.110878338672682</v>
      </c>
      <c r="H14" s="194">
        <f>H7*Macro!H$72/Conversions!$G$5</f>
        <v>9.9961768619794107</v>
      </c>
      <c r="I14" s="194">
        <f>I7*Macro!I$72/Conversions!$G$5</f>
        <v>5.0713820825355889</v>
      </c>
      <c r="J14" s="194">
        <f>J7*Macro!J$72/Conversions!$G$5</f>
        <v>3.0873035088051854</v>
      </c>
      <c r="K14" s="194">
        <f>K7*Macro!K$72/Conversions!$G$5</f>
        <v>3.3948509847781168</v>
      </c>
      <c r="L14" s="194">
        <f>L7*Macro!L$72/Conversions!$G$5</f>
        <v>3.6077684681439912</v>
      </c>
      <c r="M14" s="194">
        <f>M7*Macro!M$72/Conversions!$G$5</f>
        <v>4.1992059219380877</v>
      </c>
      <c r="N14" s="194">
        <f>N7*Macro!N$72/Conversions!$G$5</f>
        <v>4.6723558849733653</v>
      </c>
      <c r="O14" s="194">
        <f>O7*Macro!O$72/Conversions!$G$5</f>
        <v>4.9207596155668867</v>
      </c>
      <c r="P14" s="194">
        <f>P7*Macro!P$72/Conversions!$G$5</f>
        <v>4.9207596155668867</v>
      </c>
      <c r="Q14" s="194">
        <f>Q7*Macro!Q$72/Conversions!$G$5</f>
        <v>4.9207596155668867</v>
      </c>
      <c r="R14" s="38"/>
      <c r="X14" s="41"/>
      <c r="Y14" s="41"/>
      <c r="Z14" s="41"/>
      <c r="AA14" s="41"/>
      <c r="AB14" s="41"/>
      <c r="AC14" s="41"/>
      <c r="AD14" s="41"/>
      <c r="AE14" s="41"/>
      <c r="AF14" s="41"/>
      <c r="AG14" s="41"/>
      <c r="AH14" s="41"/>
      <c r="AI14" s="41"/>
      <c r="AJ14" s="41"/>
      <c r="AK14" s="41"/>
      <c r="AL14" s="41"/>
      <c r="AM14" s="41"/>
      <c r="AN14" s="41"/>
      <c r="AO14" s="41"/>
      <c r="AP14" s="41"/>
      <c r="AQ14" s="41"/>
      <c r="AR14" s="41"/>
      <c r="AS14" s="41"/>
      <c r="AT14" s="41"/>
      <c r="AU14" s="41"/>
      <c r="AV14" s="41"/>
      <c r="AW14" s="41"/>
      <c r="AX14" s="41"/>
      <c r="AY14" s="41"/>
      <c r="AZ14" s="41"/>
      <c r="BA14" s="41"/>
      <c r="BB14" s="41"/>
      <c r="BC14" s="41"/>
      <c r="BD14" s="41"/>
      <c r="BE14" s="41"/>
      <c r="BF14" s="41"/>
      <c r="BG14" s="41"/>
    </row>
    <row r="15" spans="1:79" x14ac:dyDescent="0.25">
      <c r="A15" s="5"/>
      <c r="B15" s="25"/>
      <c r="C15" s="25" t="s">
        <v>277</v>
      </c>
      <c r="D15" s="25" t="s">
        <v>14</v>
      </c>
      <c r="E15" s="25" t="s">
        <v>329</v>
      </c>
      <c r="F15" s="67" t="s">
        <v>84</v>
      </c>
      <c r="G15" s="194">
        <f>G8*Macro!G$72/Conversions!$G$5</f>
        <v>8.4936032074005272</v>
      </c>
      <c r="H15" s="194">
        <f>H8*Macro!H$72/Conversions!$G$5</f>
        <v>8.3972486872784486</v>
      </c>
      <c r="I15" s="194">
        <f>I8*Macro!I$72/Conversions!$G$5</f>
        <v>4.0408957689610068</v>
      </c>
      <c r="J15" s="194">
        <f>J8*Macro!J$72/Conversions!$G$5</f>
        <v>2.247462324417568</v>
      </c>
      <c r="K15" s="194">
        <f>K8*Macro!K$72/Conversions!$G$5</f>
        <v>1.9162573502928744</v>
      </c>
      <c r="L15" s="194">
        <f>L8*Macro!L$72/Conversions!$G$5</f>
        <v>2.5431810513146162</v>
      </c>
      <c r="M15" s="194">
        <f>M8*Macro!M$72/Conversions!$G$5</f>
        <v>3.0163310143498943</v>
      </c>
      <c r="N15" s="194">
        <f>N8*Macro!N$72/Conversions!$G$5</f>
        <v>3.6077684681439912</v>
      </c>
      <c r="O15" s="194">
        <f>O8*Macro!O$72/Conversions!$G$5</f>
        <v>3.8561721987375113</v>
      </c>
      <c r="P15" s="194">
        <f>P8*Macro!P$72/Conversions!$G$5</f>
        <v>3.8561721987375113</v>
      </c>
      <c r="Q15" s="194">
        <f>Q8*Macro!Q$72/Conversions!$G$5</f>
        <v>3.8561721987375113</v>
      </c>
      <c r="R15" s="38"/>
      <c r="X15" s="41"/>
      <c r="Y15" s="41"/>
      <c r="Z15" s="41"/>
      <c r="AA15" s="41"/>
      <c r="AB15" s="41"/>
      <c r="AC15" s="41"/>
      <c r="AD15" s="41"/>
      <c r="AE15" s="41"/>
      <c r="AF15" s="41"/>
      <c r="AG15" s="41"/>
      <c r="AH15" s="41"/>
      <c r="AI15" s="41"/>
      <c r="AJ15" s="41"/>
      <c r="AK15" s="41"/>
      <c r="AL15" s="41"/>
      <c r="AM15" s="41"/>
      <c r="AN15" s="41"/>
      <c r="AO15" s="41"/>
      <c r="AP15" s="41"/>
      <c r="AQ15" s="41"/>
      <c r="AR15" s="41"/>
      <c r="AS15" s="41"/>
      <c r="AT15" s="41"/>
      <c r="AU15" s="41"/>
      <c r="AV15" s="41"/>
      <c r="AW15" s="41"/>
      <c r="AX15" s="41"/>
      <c r="AY15" s="41"/>
      <c r="AZ15" s="41"/>
      <c r="BA15" s="41"/>
      <c r="BB15" s="41"/>
      <c r="BC15" s="41"/>
      <c r="BD15" s="41"/>
      <c r="BE15" s="41"/>
      <c r="BF15" s="41"/>
      <c r="BG15" s="41"/>
    </row>
    <row r="16" spans="1:79" x14ac:dyDescent="0.25">
      <c r="A16" s="5"/>
      <c r="B16" s="25"/>
      <c r="C16" s="25"/>
      <c r="D16" s="25"/>
      <c r="E16" s="25"/>
      <c r="F16" s="27"/>
      <c r="G16" s="17"/>
      <c r="H16" s="17"/>
      <c r="I16" s="17"/>
      <c r="J16" s="17"/>
      <c r="R16" s="38"/>
    </row>
    <row r="17" spans="1:79" x14ac:dyDescent="0.25">
      <c r="A17" s="5"/>
      <c r="B17" s="25"/>
      <c r="C17" s="25"/>
      <c r="D17" s="25"/>
      <c r="E17" s="25"/>
      <c r="F17" s="27"/>
      <c r="G17" s="17"/>
      <c r="H17" s="17"/>
      <c r="I17" s="17"/>
      <c r="J17" s="17"/>
      <c r="R17" s="38"/>
    </row>
    <row r="18" spans="1:79" x14ac:dyDescent="0.25">
      <c r="A18" s="5"/>
      <c r="B18" s="3" t="s">
        <v>0</v>
      </c>
      <c r="C18" s="25" t="s">
        <v>48</v>
      </c>
      <c r="D18" s="25" t="s">
        <v>2</v>
      </c>
      <c r="E18" s="25" t="s">
        <v>282</v>
      </c>
      <c r="F18" s="67" t="s">
        <v>279</v>
      </c>
      <c r="G18" s="53">
        <f t="shared" ref="G18:G59" si="4">H18</f>
        <v>28.95</v>
      </c>
      <c r="H18" s="34">
        <f t="shared" ref="H18:O33" si="5">INDEX($S18:$CA18,MATCH(H$1,$S$1:$CA$1,0))</f>
        <v>28.95</v>
      </c>
      <c r="I18" s="34">
        <f t="shared" si="5"/>
        <v>31.32</v>
      </c>
      <c r="J18" s="34">
        <f t="shared" si="5"/>
        <v>34.979999999999997</v>
      </c>
      <c r="K18" s="34">
        <f t="shared" si="5"/>
        <v>38.72</v>
      </c>
      <c r="L18" s="34">
        <f t="shared" si="5"/>
        <v>40.39</v>
      </c>
      <c r="M18" s="34">
        <f t="shared" si="5"/>
        <v>42.26</v>
      </c>
      <c r="N18" s="34">
        <f t="shared" si="5"/>
        <v>43.98</v>
      </c>
      <c r="O18" s="34">
        <f t="shared" si="5"/>
        <v>45.58</v>
      </c>
      <c r="P18" s="53">
        <f t="shared" ref="P18:Q37" si="6">O18</f>
        <v>45.58</v>
      </c>
      <c r="Q18" s="53">
        <f t="shared" si="6"/>
        <v>45.58</v>
      </c>
      <c r="R18" s="38"/>
      <c r="X18" s="41">
        <f>INDEX('[1]End - Use Prices'!$C$6:$AL$89,MATCH($C18,'[1]End - Use Prices'!$A$6:$A$89,0)+MATCH($D18,'[1]End - Use Prices'!$B$9:$B$11,0)-1,MATCH(X$1,'[1]End - Use Prices'!$C$7:$AL$7,0))</f>
        <v>28.95</v>
      </c>
      <c r="Y18" s="41">
        <f>INDEX('[1]End - Use Prices'!$C$6:$AL$89,MATCH($C18,'[1]End - Use Prices'!$A$6:$A$89,0)+MATCH($D18,'[1]End - Use Prices'!$B$9:$B$11,0)-1,MATCH(Y$1,'[1]End - Use Prices'!$C$7:$AL$7,0))</f>
        <v>32.35</v>
      </c>
      <c r="Z18" s="41">
        <f>INDEX('[1]End - Use Prices'!$C$6:$AL$89,MATCH($C18,'[1]End - Use Prices'!$A$6:$A$89,0)+MATCH($D18,'[1]End - Use Prices'!$B$9:$B$11,0)-1,MATCH(Z$1,'[1]End - Use Prices'!$C$7:$AL$7,0))</f>
        <v>31.56</v>
      </c>
      <c r="AA18" s="41">
        <f>INDEX('[1]End - Use Prices'!$C$6:$AL$89,MATCH($C18,'[1]End - Use Prices'!$A$6:$A$89,0)+MATCH($D18,'[1]End - Use Prices'!$B$9:$B$11,0)-1,MATCH(AA$1,'[1]End - Use Prices'!$C$7:$AL$7,0))</f>
        <v>30.57</v>
      </c>
      <c r="AB18" s="41">
        <f>INDEX('[1]End - Use Prices'!$C$6:$AL$89,MATCH($C18,'[1]End - Use Prices'!$A$6:$A$89,0)+MATCH($D18,'[1]End - Use Prices'!$B$9:$B$11,0)-1,MATCH(AB$1,'[1]End - Use Prices'!$C$7:$AL$7,0))</f>
        <v>31.64</v>
      </c>
      <c r="AC18" s="41">
        <f>INDEX('[1]End - Use Prices'!$C$6:$AL$89,MATCH($C18,'[1]End - Use Prices'!$A$6:$A$89,0)+MATCH($D18,'[1]End - Use Prices'!$B$9:$B$11,0)-1,MATCH(AC$1,'[1]End - Use Prices'!$C$7:$AL$7,0))</f>
        <v>31.32</v>
      </c>
      <c r="AD18" s="41">
        <f>INDEX('[1]End - Use Prices'!$C$6:$AL$89,MATCH($C18,'[1]End - Use Prices'!$A$6:$A$89,0)+MATCH($D18,'[1]End - Use Prices'!$B$9:$B$11,0)-1,MATCH(AD$1,'[1]End - Use Prices'!$C$7:$AL$7,0))</f>
        <v>32.659999999999997</v>
      </c>
      <c r="AE18" s="41">
        <f>INDEX('[1]End - Use Prices'!$C$6:$AL$89,MATCH($C18,'[1]End - Use Prices'!$A$6:$A$89,0)+MATCH($D18,'[1]End - Use Prices'!$B$9:$B$11,0)-1,MATCH(AE$1,'[1]End - Use Prices'!$C$7:$AL$7,0))</f>
        <v>32.83</v>
      </c>
      <c r="AF18" s="41">
        <f>INDEX('[1]End - Use Prices'!$C$6:$AL$89,MATCH($C18,'[1]End - Use Prices'!$A$6:$A$89,0)+MATCH($D18,'[1]End - Use Prices'!$B$9:$B$11,0)-1,MATCH(AF$1,'[1]End - Use Prices'!$C$7:$AL$7,0))</f>
        <v>32.92</v>
      </c>
      <c r="AG18" s="41">
        <f>INDEX('[1]End - Use Prices'!$C$6:$AL$89,MATCH($C18,'[1]End - Use Prices'!$A$6:$A$89,0)+MATCH($D18,'[1]End - Use Prices'!$B$9:$B$11,0)-1,MATCH(AG$1,'[1]End - Use Prices'!$C$7:$AL$7,0))</f>
        <v>33.6</v>
      </c>
      <c r="AH18" s="41">
        <f>INDEX('[1]End - Use Prices'!$C$6:$AL$89,MATCH($C18,'[1]End - Use Prices'!$A$6:$A$89,0)+MATCH($D18,'[1]End - Use Prices'!$B$9:$B$11,0)-1,MATCH(AH$1,'[1]End - Use Prices'!$C$7:$AL$7,0))</f>
        <v>34.979999999999997</v>
      </c>
      <c r="AI18" s="41">
        <f>INDEX('[1]End - Use Prices'!$C$6:$AL$89,MATCH($C18,'[1]End - Use Prices'!$A$6:$A$89,0)+MATCH($D18,'[1]End - Use Prices'!$B$9:$B$11,0)-1,MATCH(AI$1,'[1]End - Use Prices'!$C$7:$AL$7,0))</f>
        <v>37.61</v>
      </c>
      <c r="AJ18" s="41">
        <f>INDEX('[1]End - Use Prices'!$C$6:$AL$89,MATCH($C18,'[1]End - Use Prices'!$A$6:$A$89,0)+MATCH($D18,'[1]End - Use Prices'!$B$9:$B$11,0)-1,MATCH(AJ$1,'[1]End - Use Prices'!$C$7:$AL$7,0))</f>
        <v>37.65</v>
      </c>
      <c r="AK18" s="41">
        <f>INDEX('[1]End - Use Prices'!$C$6:$AL$89,MATCH($C18,'[1]End - Use Prices'!$A$6:$A$89,0)+MATCH($D18,'[1]End - Use Prices'!$B$9:$B$11,0)-1,MATCH(AK$1,'[1]End - Use Prices'!$C$7:$AL$7,0))</f>
        <v>38.03</v>
      </c>
      <c r="AL18" s="41">
        <f>INDEX('[1]End - Use Prices'!$C$6:$AL$89,MATCH($C18,'[1]End - Use Prices'!$A$6:$A$89,0)+MATCH($D18,'[1]End - Use Prices'!$B$9:$B$11,0)-1,MATCH(AL$1,'[1]End - Use Prices'!$C$7:$AL$7,0))</f>
        <v>38.380000000000003</v>
      </c>
      <c r="AM18" s="41">
        <f>INDEX('[1]End - Use Prices'!$C$6:$AL$89,MATCH($C18,'[1]End - Use Prices'!$A$6:$A$89,0)+MATCH($D18,'[1]End - Use Prices'!$B$9:$B$11,0)-1,MATCH(AM$1,'[1]End - Use Prices'!$C$7:$AL$7,0))</f>
        <v>38.72</v>
      </c>
      <c r="AN18" s="41">
        <f>INDEX('[1]End - Use Prices'!$C$6:$AL$89,MATCH($C18,'[1]End - Use Prices'!$A$6:$A$89,0)+MATCH($D18,'[1]End - Use Prices'!$B$9:$B$11,0)-1,MATCH(AN$1,'[1]End - Use Prices'!$C$7:$AL$7,0))</f>
        <v>39.04</v>
      </c>
      <c r="AO18" s="41">
        <f>INDEX('[1]End - Use Prices'!$C$6:$AL$89,MATCH($C18,'[1]End - Use Prices'!$A$6:$A$89,0)+MATCH($D18,'[1]End - Use Prices'!$B$9:$B$11,0)-1,MATCH(AO$1,'[1]End - Use Prices'!$C$7:$AL$7,0))</f>
        <v>39.36</v>
      </c>
      <c r="AP18" s="41">
        <f>INDEX('[1]End - Use Prices'!$C$6:$AL$89,MATCH($C18,'[1]End - Use Prices'!$A$6:$A$89,0)+MATCH($D18,'[1]End - Use Prices'!$B$9:$B$11,0)-1,MATCH(AP$1,'[1]End - Use Prices'!$C$7:$AL$7,0))</f>
        <v>39.69</v>
      </c>
      <c r="AQ18" s="41">
        <f>INDEX('[1]End - Use Prices'!$C$6:$AL$89,MATCH($C18,'[1]End - Use Prices'!$A$6:$A$89,0)+MATCH($D18,'[1]End - Use Prices'!$B$9:$B$11,0)-1,MATCH(AQ$1,'[1]End - Use Prices'!$C$7:$AL$7,0))</f>
        <v>40.020000000000003</v>
      </c>
      <c r="AR18" s="41">
        <f>INDEX('[1]End - Use Prices'!$C$6:$AL$89,MATCH($C18,'[1]End - Use Prices'!$A$6:$A$89,0)+MATCH($D18,'[1]End - Use Prices'!$B$9:$B$11,0)-1,MATCH(AR$1,'[1]End - Use Prices'!$C$7:$AL$7,0))</f>
        <v>40.39</v>
      </c>
      <c r="AS18" s="41">
        <f>INDEX('[1]End - Use Prices'!$C$6:$AL$89,MATCH($C18,'[1]End - Use Prices'!$A$6:$A$89,0)+MATCH($D18,'[1]End - Use Prices'!$B$9:$B$11,0)-1,MATCH(AS$1,'[1]End - Use Prices'!$C$7:$AL$7,0))</f>
        <v>40.74</v>
      </c>
      <c r="AT18" s="41">
        <f>INDEX('[1]End - Use Prices'!$C$6:$AL$89,MATCH($C18,'[1]End - Use Prices'!$A$6:$A$89,0)+MATCH($D18,'[1]End - Use Prices'!$B$9:$B$11,0)-1,MATCH(AT$1,'[1]End - Use Prices'!$C$7:$AL$7,0))</f>
        <v>41.1</v>
      </c>
      <c r="AU18" s="41">
        <f>INDEX('[1]End - Use Prices'!$C$6:$AL$89,MATCH($C18,'[1]End - Use Prices'!$A$6:$A$89,0)+MATCH($D18,'[1]End - Use Prices'!$B$9:$B$11,0)-1,MATCH(AU$1,'[1]End - Use Prices'!$C$7:$AL$7,0))</f>
        <v>41.49</v>
      </c>
      <c r="AV18" s="41">
        <f>INDEX('[1]End - Use Prices'!$C$6:$AL$89,MATCH($C18,'[1]End - Use Prices'!$A$6:$A$89,0)+MATCH($D18,'[1]End - Use Prices'!$B$9:$B$11,0)-1,MATCH(AV$1,'[1]End - Use Prices'!$C$7:$AL$7,0))</f>
        <v>41.88</v>
      </c>
      <c r="AW18" s="41">
        <f>INDEX('[1]End - Use Prices'!$C$6:$AL$89,MATCH($C18,'[1]End - Use Prices'!$A$6:$A$89,0)+MATCH($D18,'[1]End - Use Prices'!$B$9:$B$11,0)-1,MATCH(AW$1,'[1]End - Use Prices'!$C$7:$AL$7,0))</f>
        <v>42.26</v>
      </c>
      <c r="AX18" s="41">
        <f>INDEX('[1]End - Use Prices'!$C$6:$AL$89,MATCH($C18,'[1]End - Use Prices'!$A$6:$A$89,0)+MATCH($D18,'[1]End - Use Prices'!$B$9:$B$11,0)-1,MATCH(AX$1,'[1]End - Use Prices'!$C$7:$AL$7,0))</f>
        <v>42.62</v>
      </c>
      <c r="AY18" s="41">
        <f>INDEX('[1]End - Use Prices'!$C$6:$AL$89,MATCH($C18,'[1]End - Use Prices'!$A$6:$A$89,0)+MATCH($D18,'[1]End - Use Prices'!$B$9:$B$11,0)-1,MATCH(AY$1,'[1]End - Use Prices'!$C$7:$AL$7,0))</f>
        <v>42.97</v>
      </c>
      <c r="AZ18" s="41">
        <f>INDEX('[1]End - Use Prices'!$C$6:$AL$89,MATCH($C18,'[1]End - Use Prices'!$A$6:$A$89,0)+MATCH($D18,'[1]End - Use Prices'!$B$9:$B$11,0)-1,MATCH(AZ$1,'[1]End - Use Prices'!$C$7:$AL$7,0))</f>
        <v>43.31</v>
      </c>
      <c r="BA18" s="41">
        <f>INDEX('[1]End - Use Prices'!$C$6:$AL$89,MATCH($C18,'[1]End - Use Prices'!$A$6:$A$89,0)+MATCH($D18,'[1]End - Use Prices'!$B$9:$B$11,0)-1,MATCH(BA$1,'[1]End - Use Prices'!$C$7:$AL$7,0))</f>
        <v>43.65</v>
      </c>
      <c r="BB18" s="41">
        <f>INDEX('[1]End - Use Prices'!$C$6:$AL$89,MATCH($C18,'[1]End - Use Prices'!$A$6:$A$89,0)+MATCH($D18,'[1]End - Use Prices'!$B$9:$B$11,0)-1,MATCH(BB$1,'[1]End - Use Prices'!$C$7:$AL$7,0))</f>
        <v>43.98</v>
      </c>
      <c r="BC18" s="41">
        <f>INDEX('[1]End - Use Prices'!$C$6:$AL$89,MATCH($C18,'[1]End - Use Prices'!$A$6:$A$89,0)+MATCH($D18,'[1]End - Use Prices'!$B$9:$B$11,0)-1,MATCH(BC$1,'[1]End - Use Prices'!$C$7:$AL$7,0))</f>
        <v>44.31</v>
      </c>
      <c r="BD18" s="41">
        <f>INDEX('[1]End - Use Prices'!$C$6:$AL$89,MATCH($C18,'[1]End - Use Prices'!$A$6:$A$89,0)+MATCH($D18,'[1]End - Use Prices'!$B$9:$B$11,0)-1,MATCH(BD$1,'[1]End - Use Prices'!$C$7:$AL$7,0))</f>
        <v>44.63</v>
      </c>
      <c r="BE18" s="41">
        <f>INDEX('[1]End - Use Prices'!$C$6:$AL$89,MATCH($C18,'[1]End - Use Prices'!$A$6:$A$89,0)+MATCH($D18,'[1]End - Use Prices'!$B$9:$B$11,0)-1,MATCH(BE$1,'[1]End - Use Prices'!$C$7:$AL$7,0))</f>
        <v>44.95</v>
      </c>
      <c r="BF18" s="41">
        <f>INDEX('[1]End - Use Prices'!$C$6:$AL$89,MATCH($C18,'[1]End - Use Prices'!$A$6:$A$89,0)+MATCH($D18,'[1]End - Use Prices'!$B$9:$B$11,0)-1,MATCH(BF$1,'[1]End - Use Prices'!$C$7:$AL$7,0))</f>
        <v>45.27</v>
      </c>
      <c r="BG18" s="41">
        <f>INDEX('[1]End - Use Prices'!$C$6:$AL$89,MATCH($C18,'[1]End - Use Prices'!$A$6:$A$89,0)+MATCH($D18,'[1]End - Use Prices'!$B$9:$B$11,0)-1,MATCH(BG$1,'[1]End - Use Prices'!$C$7:$AL$7,0))</f>
        <v>45.58</v>
      </c>
      <c r="BR18" s="39"/>
      <c r="BS18" s="39"/>
      <c r="BT18" s="39"/>
      <c r="BU18" s="39"/>
      <c r="BV18" s="39"/>
      <c r="BW18" s="39"/>
      <c r="BX18" s="39"/>
      <c r="BY18" s="39"/>
      <c r="BZ18" s="39"/>
      <c r="CA18" s="39"/>
    </row>
    <row r="19" spans="1:79" x14ac:dyDescent="0.25">
      <c r="A19" s="5"/>
      <c r="B19" s="3"/>
      <c r="C19" s="25" t="s">
        <v>85</v>
      </c>
      <c r="D19" s="25" t="s">
        <v>2</v>
      </c>
      <c r="E19" s="25" t="s">
        <v>282</v>
      </c>
      <c r="F19" s="67" t="s">
        <v>279</v>
      </c>
      <c r="G19" s="53">
        <f t="shared" si="4"/>
        <v>34.03</v>
      </c>
      <c r="H19" s="34">
        <f t="shared" si="5"/>
        <v>34.03</v>
      </c>
      <c r="I19" s="34">
        <f t="shared" si="5"/>
        <v>38.9</v>
      </c>
      <c r="J19" s="34">
        <f t="shared" si="5"/>
        <v>39.4</v>
      </c>
      <c r="K19" s="34">
        <f t="shared" si="5"/>
        <v>45.24</v>
      </c>
      <c r="L19" s="34">
        <f t="shared" si="5"/>
        <v>48</v>
      </c>
      <c r="M19" s="34">
        <f t="shared" si="5"/>
        <v>50.03</v>
      </c>
      <c r="N19" s="34">
        <f t="shared" si="5"/>
        <v>52.14</v>
      </c>
      <c r="O19" s="34">
        <f t="shared" si="5"/>
        <v>55.17</v>
      </c>
      <c r="P19" s="53">
        <f t="shared" si="6"/>
        <v>55.17</v>
      </c>
      <c r="Q19" s="53">
        <f t="shared" si="6"/>
        <v>55.17</v>
      </c>
      <c r="R19" s="38"/>
      <c r="X19" s="41">
        <f>INDEX('[1]End - Use Prices'!$C$6:$AL$89,MATCH($C19,'[1]End - Use Prices'!$A$6:$A$89,0)+MATCH($D19,'[1]End - Use Prices'!$B$9:$B$11,0)-1,MATCH(X$1,'[1]End - Use Prices'!$C$7:$AL$7,0))</f>
        <v>34.03</v>
      </c>
      <c r="Y19" s="41">
        <f>INDEX('[1]End - Use Prices'!$C$6:$AL$89,MATCH($C19,'[1]End - Use Prices'!$A$6:$A$89,0)+MATCH($D19,'[1]End - Use Prices'!$B$9:$B$11,0)-1,MATCH(Y$1,'[1]End - Use Prices'!$C$7:$AL$7,0))</f>
        <v>39.85</v>
      </c>
      <c r="Z19" s="41">
        <f>INDEX('[1]End - Use Prices'!$C$6:$AL$89,MATCH($C19,'[1]End - Use Prices'!$A$6:$A$89,0)+MATCH($D19,'[1]End - Use Prices'!$B$9:$B$11,0)-1,MATCH(Z$1,'[1]End - Use Prices'!$C$7:$AL$7,0))</f>
        <v>39.83</v>
      </c>
      <c r="AA19" s="41">
        <f>INDEX('[1]End - Use Prices'!$C$6:$AL$89,MATCH($C19,'[1]End - Use Prices'!$A$6:$A$89,0)+MATCH($D19,'[1]End - Use Prices'!$B$9:$B$11,0)-1,MATCH(AA$1,'[1]End - Use Prices'!$C$7:$AL$7,0))</f>
        <v>37.99</v>
      </c>
      <c r="AB19" s="41">
        <f>INDEX('[1]End - Use Prices'!$C$6:$AL$89,MATCH($C19,'[1]End - Use Prices'!$A$6:$A$89,0)+MATCH($D19,'[1]End - Use Prices'!$B$9:$B$11,0)-1,MATCH(AB$1,'[1]End - Use Prices'!$C$7:$AL$7,0))</f>
        <v>41.07</v>
      </c>
      <c r="AC19" s="41">
        <f>INDEX('[1]End - Use Prices'!$C$6:$AL$89,MATCH($C19,'[1]End - Use Prices'!$A$6:$A$89,0)+MATCH($D19,'[1]End - Use Prices'!$B$9:$B$11,0)-1,MATCH(AC$1,'[1]End - Use Prices'!$C$7:$AL$7,0))</f>
        <v>38.9</v>
      </c>
      <c r="AD19" s="41">
        <f>INDEX('[1]End - Use Prices'!$C$6:$AL$89,MATCH($C19,'[1]End - Use Prices'!$A$6:$A$89,0)+MATCH($D19,'[1]End - Use Prices'!$B$9:$B$11,0)-1,MATCH(AD$1,'[1]End - Use Prices'!$C$7:$AL$7,0))</f>
        <v>38.54</v>
      </c>
      <c r="AE19" s="41">
        <f>INDEX('[1]End - Use Prices'!$C$6:$AL$89,MATCH($C19,'[1]End - Use Prices'!$A$6:$A$89,0)+MATCH($D19,'[1]End - Use Prices'!$B$9:$B$11,0)-1,MATCH(AE$1,'[1]End - Use Prices'!$C$7:$AL$7,0))</f>
        <v>40.909999999999997</v>
      </c>
      <c r="AF19" s="41">
        <f>INDEX('[1]End - Use Prices'!$C$6:$AL$89,MATCH($C19,'[1]End - Use Prices'!$A$6:$A$89,0)+MATCH($D19,'[1]End - Use Prices'!$B$9:$B$11,0)-1,MATCH(AF$1,'[1]End - Use Prices'!$C$7:$AL$7,0))</f>
        <v>39.76</v>
      </c>
      <c r="AG19" s="41">
        <f>INDEX('[1]End - Use Prices'!$C$6:$AL$89,MATCH($C19,'[1]End - Use Prices'!$A$6:$A$89,0)+MATCH($D19,'[1]End - Use Prices'!$B$9:$B$11,0)-1,MATCH(AG$1,'[1]End - Use Prices'!$C$7:$AL$7,0))</f>
        <v>38.340000000000003</v>
      </c>
      <c r="AH19" s="41">
        <f>INDEX('[1]End - Use Prices'!$C$6:$AL$89,MATCH($C19,'[1]End - Use Prices'!$A$6:$A$89,0)+MATCH($D19,'[1]End - Use Prices'!$B$9:$B$11,0)-1,MATCH(AH$1,'[1]End - Use Prices'!$C$7:$AL$7,0))</f>
        <v>39.4</v>
      </c>
      <c r="AI19" s="41">
        <f>INDEX('[1]End - Use Prices'!$C$6:$AL$89,MATCH($C19,'[1]End - Use Prices'!$A$6:$A$89,0)+MATCH($D19,'[1]End - Use Prices'!$B$9:$B$11,0)-1,MATCH(AI$1,'[1]End - Use Prices'!$C$7:$AL$7,0))</f>
        <v>40.49</v>
      </c>
      <c r="AJ19" s="41">
        <f>INDEX('[1]End - Use Prices'!$C$6:$AL$89,MATCH($C19,'[1]End - Use Prices'!$A$6:$A$89,0)+MATCH($D19,'[1]End - Use Prices'!$B$9:$B$11,0)-1,MATCH(AJ$1,'[1]End - Use Prices'!$C$7:$AL$7,0))</f>
        <v>42.88</v>
      </c>
      <c r="AK19" s="41">
        <f>INDEX('[1]End - Use Prices'!$C$6:$AL$89,MATCH($C19,'[1]End - Use Prices'!$A$6:$A$89,0)+MATCH($D19,'[1]End - Use Prices'!$B$9:$B$11,0)-1,MATCH(AK$1,'[1]End - Use Prices'!$C$7:$AL$7,0))</f>
        <v>43.74</v>
      </c>
      <c r="AL19" s="41">
        <f>INDEX('[1]End - Use Prices'!$C$6:$AL$89,MATCH($C19,'[1]End - Use Prices'!$A$6:$A$89,0)+MATCH($D19,'[1]End - Use Prices'!$B$9:$B$11,0)-1,MATCH(AL$1,'[1]End - Use Prices'!$C$7:$AL$7,0))</f>
        <v>44.52</v>
      </c>
      <c r="AM19" s="41">
        <f>INDEX('[1]End - Use Prices'!$C$6:$AL$89,MATCH($C19,'[1]End - Use Prices'!$A$6:$A$89,0)+MATCH($D19,'[1]End - Use Prices'!$B$9:$B$11,0)-1,MATCH(AM$1,'[1]End - Use Prices'!$C$7:$AL$7,0))</f>
        <v>45.24</v>
      </c>
      <c r="AN19" s="41">
        <f>INDEX('[1]End - Use Prices'!$C$6:$AL$89,MATCH($C19,'[1]End - Use Prices'!$A$6:$A$89,0)+MATCH($D19,'[1]End - Use Prices'!$B$9:$B$11,0)-1,MATCH(AN$1,'[1]End - Use Prices'!$C$7:$AL$7,0))</f>
        <v>45.89</v>
      </c>
      <c r="AO19" s="41">
        <f>INDEX('[1]End - Use Prices'!$C$6:$AL$89,MATCH($C19,'[1]End - Use Prices'!$A$6:$A$89,0)+MATCH($D19,'[1]End - Use Prices'!$B$9:$B$11,0)-1,MATCH(AO$1,'[1]End - Use Prices'!$C$7:$AL$7,0))</f>
        <v>46.48</v>
      </c>
      <c r="AP19" s="41">
        <f>INDEX('[1]End - Use Prices'!$C$6:$AL$89,MATCH($C19,'[1]End - Use Prices'!$A$6:$A$89,0)+MATCH($D19,'[1]End - Use Prices'!$B$9:$B$11,0)-1,MATCH(AP$1,'[1]End - Use Prices'!$C$7:$AL$7,0))</f>
        <v>47.03</v>
      </c>
      <c r="AQ19" s="41">
        <f>INDEX('[1]End - Use Prices'!$C$6:$AL$89,MATCH($C19,'[1]End - Use Prices'!$A$6:$A$89,0)+MATCH($D19,'[1]End - Use Prices'!$B$9:$B$11,0)-1,MATCH(AQ$1,'[1]End - Use Prices'!$C$7:$AL$7,0))</f>
        <v>47.53</v>
      </c>
      <c r="AR19" s="41">
        <f>INDEX('[1]End - Use Prices'!$C$6:$AL$89,MATCH($C19,'[1]End - Use Prices'!$A$6:$A$89,0)+MATCH($D19,'[1]End - Use Prices'!$B$9:$B$11,0)-1,MATCH(AR$1,'[1]End - Use Prices'!$C$7:$AL$7,0))</f>
        <v>48</v>
      </c>
      <c r="AS19" s="41">
        <f>INDEX('[1]End - Use Prices'!$C$6:$AL$89,MATCH($C19,'[1]End - Use Prices'!$A$6:$A$89,0)+MATCH($D19,'[1]End - Use Prices'!$B$9:$B$11,0)-1,MATCH(AS$1,'[1]End - Use Prices'!$C$7:$AL$7,0))</f>
        <v>48.44</v>
      </c>
      <c r="AT19" s="41">
        <f>INDEX('[1]End - Use Prices'!$C$6:$AL$89,MATCH($C19,'[1]End - Use Prices'!$A$6:$A$89,0)+MATCH($D19,'[1]End - Use Prices'!$B$9:$B$11,0)-1,MATCH(AT$1,'[1]End - Use Prices'!$C$7:$AL$7,0))</f>
        <v>48.85</v>
      </c>
      <c r="AU19" s="41">
        <f>INDEX('[1]End - Use Prices'!$C$6:$AL$89,MATCH($C19,'[1]End - Use Prices'!$A$6:$A$89,0)+MATCH($D19,'[1]End - Use Prices'!$B$9:$B$11,0)-1,MATCH(AU$1,'[1]End - Use Prices'!$C$7:$AL$7,0))</f>
        <v>49.25</v>
      </c>
      <c r="AV19" s="41">
        <f>INDEX('[1]End - Use Prices'!$C$6:$AL$89,MATCH($C19,'[1]End - Use Prices'!$A$6:$A$89,0)+MATCH($D19,'[1]End - Use Prices'!$B$9:$B$11,0)-1,MATCH(AV$1,'[1]End - Use Prices'!$C$7:$AL$7,0))</f>
        <v>49.64</v>
      </c>
      <c r="AW19" s="41">
        <f>INDEX('[1]End - Use Prices'!$C$6:$AL$89,MATCH($C19,'[1]End - Use Prices'!$A$6:$A$89,0)+MATCH($D19,'[1]End - Use Prices'!$B$9:$B$11,0)-1,MATCH(AW$1,'[1]End - Use Prices'!$C$7:$AL$7,0))</f>
        <v>50.03</v>
      </c>
      <c r="AX19" s="41">
        <f>INDEX('[1]End - Use Prices'!$C$6:$AL$89,MATCH($C19,'[1]End - Use Prices'!$A$6:$A$89,0)+MATCH($D19,'[1]End - Use Prices'!$B$9:$B$11,0)-1,MATCH(AX$1,'[1]End - Use Prices'!$C$7:$AL$7,0))</f>
        <v>50.42</v>
      </c>
      <c r="AY19" s="41">
        <f>INDEX('[1]End - Use Prices'!$C$6:$AL$89,MATCH($C19,'[1]End - Use Prices'!$A$6:$A$89,0)+MATCH($D19,'[1]End - Use Prices'!$B$9:$B$11,0)-1,MATCH(AY$1,'[1]End - Use Prices'!$C$7:$AL$7,0))</f>
        <v>50.82</v>
      </c>
      <c r="AZ19" s="41">
        <f>INDEX('[1]End - Use Prices'!$C$6:$AL$89,MATCH($C19,'[1]End - Use Prices'!$A$6:$A$89,0)+MATCH($D19,'[1]End - Use Prices'!$B$9:$B$11,0)-1,MATCH(AZ$1,'[1]End - Use Prices'!$C$7:$AL$7,0))</f>
        <v>51.23</v>
      </c>
      <c r="BA19" s="41">
        <f>INDEX('[1]End - Use Prices'!$C$6:$AL$89,MATCH($C19,'[1]End - Use Prices'!$A$6:$A$89,0)+MATCH($D19,'[1]End - Use Prices'!$B$9:$B$11,0)-1,MATCH(BA$1,'[1]End - Use Prices'!$C$7:$AL$7,0))</f>
        <v>51.67</v>
      </c>
      <c r="BB19" s="41">
        <f>INDEX('[1]End - Use Prices'!$C$6:$AL$89,MATCH($C19,'[1]End - Use Prices'!$A$6:$A$89,0)+MATCH($D19,'[1]End - Use Prices'!$B$9:$B$11,0)-1,MATCH(BB$1,'[1]End - Use Prices'!$C$7:$AL$7,0))</f>
        <v>52.14</v>
      </c>
      <c r="BC19" s="41">
        <f>INDEX('[1]End - Use Prices'!$C$6:$AL$89,MATCH($C19,'[1]End - Use Prices'!$A$6:$A$89,0)+MATCH($D19,'[1]End - Use Prices'!$B$9:$B$11,0)-1,MATCH(BC$1,'[1]End - Use Prices'!$C$7:$AL$7,0))</f>
        <v>52.65</v>
      </c>
      <c r="BD19" s="41">
        <f>INDEX('[1]End - Use Prices'!$C$6:$AL$89,MATCH($C19,'[1]End - Use Prices'!$A$6:$A$89,0)+MATCH($D19,'[1]End - Use Prices'!$B$9:$B$11,0)-1,MATCH(BD$1,'[1]End - Use Prices'!$C$7:$AL$7,0))</f>
        <v>53.2</v>
      </c>
      <c r="BE19" s="41">
        <f>INDEX('[1]End - Use Prices'!$C$6:$AL$89,MATCH($C19,'[1]End - Use Prices'!$A$6:$A$89,0)+MATCH($D19,'[1]End - Use Prices'!$B$9:$B$11,0)-1,MATCH(BE$1,'[1]End - Use Prices'!$C$7:$AL$7,0))</f>
        <v>53.8</v>
      </c>
      <c r="BF19" s="41">
        <f>INDEX('[1]End - Use Prices'!$C$6:$AL$89,MATCH($C19,'[1]End - Use Prices'!$A$6:$A$89,0)+MATCH($D19,'[1]End - Use Prices'!$B$9:$B$11,0)-1,MATCH(BF$1,'[1]End - Use Prices'!$C$7:$AL$7,0))</f>
        <v>54.45</v>
      </c>
      <c r="BG19" s="41">
        <f>INDEX('[1]End - Use Prices'!$C$6:$AL$89,MATCH($C19,'[1]End - Use Prices'!$A$6:$A$89,0)+MATCH($D19,'[1]End - Use Prices'!$B$9:$B$11,0)-1,MATCH(BG$1,'[1]End - Use Prices'!$C$7:$AL$7,0))</f>
        <v>55.17</v>
      </c>
      <c r="BR19" s="39"/>
      <c r="BS19" s="39"/>
      <c r="BT19" s="39"/>
      <c r="BU19" s="39"/>
      <c r="BV19" s="39"/>
      <c r="BW19" s="39"/>
      <c r="BX19" s="39"/>
      <c r="BY19" s="39"/>
      <c r="BZ19" s="39"/>
      <c r="CA19" s="39"/>
    </row>
    <row r="20" spans="1:79" x14ac:dyDescent="0.25">
      <c r="A20" s="5"/>
      <c r="B20" s="3"/>
      <c r="C20" s="25" t="s">
        <v>86</v>
      </c>
      <c r="D20" s="25" t="s">
        <v>2</v>
      </c>
      <c r="E20" s="25" t="s">
        <v>282</v>
      </c>
      <c r="F20" s="67" t="s">
        <v>279</v>
      </c>
      <c r="G20" s="53">
        <f t="shared" si="4"/>
        <v>41.51</v>
      </c>
      <c r="H20" s="34">
        <f t="shared" si="5"/>
        <v>41.51</v>
      </c>
      <c r="I20" s="34">
        <f t="shared" si="5"/>
        <v>50.51</v>
      </c>
      <c r="J20" s="34">
        <f t="shared" si="5"/>
        <v>53.64</v>
      </c>
      <c r="K20" s="34">
        <f t="shared" si="5"/>
        <v>55.52</v>
      </c>
      <c r="L20" s="34">
        <f t="shared" si="5"/>
        <v>56.42</v>
      </c>
      <c r="M20" s="34">
        <f t="shared" si="5"/>
        <v>57.35</v>
      </c>
      <c r="N20" s="34">
        <f t="shared" si="5"/>
        <v>58.28</v>
      </c>
      <c r="O20" s="34">
        <f t="shared" si="5"/>
        <v>59.23</v>
      </c>
      <c r="P20" s="53">
        <f t="shared" si="6"/>
        <v>59.23</v>
      </c>
      <c r="Q20" s="53">
        <f t="shared" si="6"/>
        <v>59.23</v>
      </c>
      <c r="R20" s="38"/>
      <c r="X20" s="41">
        <f>INDEX('[1]End - Use Prices'!$C$6:$AL$89,MATCH($C20,'[1]End - Use Prices'!$A$6:$A$89,0)+MATCH($D20,'[1]End - Use Prices'!$B$9:$B$11,0)-1,MATCH(X$1,'[1]End - Use Prices'!$C$7:$AL$7,0))</f>
        <v>41.51</v>
      </c>
      <c r="Y20" s="41">
        <f>INDEX('[1]End - Use Prices'!$C$6:$AL$89,MATCH($C20,'[1]End - Use Prices'!$A$6:$A$89,0)+MATCH($D20,'[1]End - Use Prices'!$B$9:$B$11,0)-1,MATCH(Y$1,'[1]End - Use Prices'!$C$7:$AL$7,0))</f>
        <v>42.42</v>
      </c>
      <c r="Z20" s="41">
        <f>INDEX('[1]End - Use Prices'!$C$6:$AL$89,MATCH($C20,'[1]End - Use Prices'!$A$6:$A$89,0)+MATCH($D20,'[1]End - Use Prices'!$B$9:$B$11,0)-1,MATCH(Z$1,'[1]End - Use Prices'!$C$7:$AL$7,0))</f>
        <v>44.58</v>
      </c>
      <c r="AA20" s="41">
        <f>INDEX('[1]End - Use Prices'!$C$6:$AL$89,MATCH($C20,'[1]End - Use Prices'!$A$6:$A$89,0)+MATCH($D20,'[1]End - Use Prices'!$B$9:$B$11,0)-1,MATCH(AA$1,'[1]End - Use Prices'!$C$7:$AL$7,0))</f>
        <v>46.56</v>
      </c>
      <c r="AB20" s="41">
        <f>INDEX('[1]End - Use Prices'!$C$6:$AL$89,MATCH($C20,'[1]End - Use Prices'!$A$6:$A$89,0)+MATCH($D20,'[1]End - Use Prices'!$B$9:$B$11,0)-1,MATCH(AB$1,'[1]End - Use Prices'!$C$7:$AL$7,0))</f>
        <v>55.63</v>
      </c>
      <c r="AC20" s="41">
        <f>INDEX('[1]End - Use Prices'!$C$6:$AL$89,MATCH($C20,'[1]End - Use Prices'!$A$6:$A$89,0)+MATCH($D20,'[1]End - Use Prices'!$B$9:$B$11,0)-1,MATCH(AC$1,'[1]End - Use Prices'!$C$7:$AL$7,0))</f>
        <v>50.51</v>
      </c>
      <c r="AD20" s="41">
        <f>INDEX('[1]End - Use Prices'!$C$6:$AL$89,MATCH($C20,'[1]End - Use Prices'!$A$6:$A$89,0)+MATCH($D20,'[1]End - Use Prices'!$B$9:$B$11,0)-1,MATCH(AD$1,'[1]End - Use Prices'!$C$7:$AL$7,0))</f>
        <v>43.95</v>
      </c>
      <c r="AE20" s="41">
        <f>INDEX('[1]End - Use Prices'!$C$6:$AL$89,MATCH($C20,'[1]End - Use Prices'!$A$6:$A$89,0)+MATCH($D20,'[1]End - Use Prices'!$B$9:$B$11,0)-1,MATCH(AE$1,'[1]End - Use Prices'!$C$7:$AL$7,0))</f>
        <v>43.43</v>
      </c>
      <c r="AF20" s="41">
        <f>INDEX('[1]End - Use Prices'!$C$6:$AL$89,MATCH($C20,'[1]End - Use Prices'!$A$6:$A$89,0)+MATCH($D20,'[1]End - Use Prices'!$B$9:$B$11,0)-1,MATCH(AF$1,'[1]End - Use Prices'!$C$7:$AL$7,0))</f>
        <v>50.61</v>
      </c>
      <c r="AG20" s="41">
        <f>INDEX('[1]End - Use Prices'!$C$6:$AL$89,MATCH($C20,'[1]End - Use Prices'!$A$6:$A$89,0)+MATCH($D20,'[1]End - Use Prices'!$B$9:$B$11,0)-1,MATCH(AG$1,'[1]End - Use Prices'!$C$7:$AL$7,0))</f>
        <v>51.93</v>
      </c>
      <c r="AH20" s="41">
        <f>INDEX('[1]End - Use Prices'!$C$6:$AL$89,MATCH($C20,'[1]End - Use Prices'!$A$6:$A$89,0)+MATCH($D20,'[1]End - Use Prices'!$B$9:$B$11,0)-1,MATCH(AH$1,'[1]End - Use Prices'!$C$7:$AL$7,0))</f>
        <v>53.64</v>
      </c>
      <c r="AI20" s="41">
        <f>INDEX('[1]End - Use Prices'!$C$6:$AL$89,MATCH($C20,'[1]End - Use Prices'!$A$6:$A$89,0)+MATCH($D20,'[1]End - Use Prices'!$B$9:$B$11,0)-1,MATCH(AI$1,'[1]End - Use Prices'!$C$7:$AL$7,0))</f>
        <v>54.8</v>
      </c>
      <c r="AJ20" s="41">
        <f>INDEX('[1]End - Use Prices'!$C$6:$AL$89,MATCH($C20,'[1]End - Use Prices'!$A$6:$A$89,0)+MATCH($D20,'[1]End - Use Prices'!$B$9:$B$11,0)-1,MATCH(AJ$1,'[1]End - Use Prices'!$C$7:$AL$7,0))</f>
        <v>54.98</v>
      </c>
      <c r="AK20" s="41">
        <f>INDEX('[1]End - Use Prices'!$C$6:$AL$89,MATCH($C20,'[1]End - Use Prices'!$A$6:$A$89,0)+MATCH($D20,'[1]End - Use Prices'!$B$9:$B$11,0)-1,MATCH(AK$1,'[1]End - Use Prices'!$C$7:$AL$7,0))</f>
        <v>55.16</v>
      </c>
      <c r="AL20" s="41">
        <f>INDEX('[1]End - Use Prices'!$C$6:$AL$89,MATCH($C20,'[1]End - Use Prices'!$A$6:$A$89,0)+MATCH($D20,'[1]End - Use Prices'!$B$9:$B$11,0)-1,MATCH(AL$1,'[1]End - Use Prices'!$C$7:$AL$7,0))</f>
        <v>55.34</v>
      </c>
      <c r="AM20" s="41">
        <f>INDEX('[1]End - Use Prices'!$C$6:$AL$89,MATCH($C20,'[1]End - Use Prices'!$A$6:$A$89,0)+MATCH($D20,'[1]End - Use Prices'!$B$9:$B$11,0)-1,MATCH(AM$1,'[1]End - Use Prices'!$C$7:$AL$7,0))</f>
        <v>55.52</v>
      </c>
      <c r="AN20" s="41">
        <f>INDEX('[1]End - Use Prices'!$C$6:$AL$89,MATCH($C20,'[1]End - Use Prices'!$A$6:$A$89,0)+MATCH($D20,'[1]End - Use Prices'!$B$9:$B$11,0)-1,MATCH(AN$1,'[1]End - Use Prices'!$C$7:$AL$7,0))</f>
        <v>55.7</v>
      </c>
      <c r="AO20" s="41">
        <f>INDEX('[1]End - Use Prices'!$C$6:$AL$89,MATCH($C20,'[1]End - Use Prices'!$A$6:$A$89,0)+MATCH($D20,'[1]End - Use Prices'!$B$9:$B$11,0)-1,MATCH(AO$1,'[1]End - Use Prices'!$C$7:$AL$7,0))</f>
        <v>55.88</v>
      </c>
      <c r="AP20" s="41">
        <f>INDEX('[1]End - Use Prices'!$C$6:$AL$89,MATCH($C20,'[1]End - Use Prices'!$A$6:$A$89,0)+MATCH($D20,'[1]End - Use Prices'!$B$9:$B$11,0)-1,MATCH(AP$1,'[1]End - Use Prices'!$C$7:$AL$7,0))</f>
        <v>56.06</v>
      </c>
      <c r="AQ20" s="41">
        <f>INDEX('[1]End - Use Prices'!$C$6:$AL$89,MATCH($C20,'[1]End - Use Prices'!$A$6:$A$89,0)+MATCH($D20,'[1]End - Use Prices'!$B$9:$B$11,0)-1,MATCH(AQ$1,'[1]End - Use Prices'!$C$7:$AL$7,0))</f>
        <v>56.24</v>
      </c>
      <c r="AR20" s="41">
        <f>INDEX('[1]End - Use Prices'!$C$6:$AL$89,MATCH($C20,'[1]End - Use Prices'!$A$6:$A$89,0)+MATCH($D20,'[1]End - Use Prices'!$B$9:$B$11,0)-1,MATCH(AR$1,'[1]End - Use Prices'!$C$7:$AL$7,0))</f>
        <v>56.42</v>
      </c>
      <c r="AS20" s="41">
        <f>INDEX('[1]End - Use Prices'!$C$6:$AL$89,MATCH($C20,'[1]End - Use Prices'!$A$6:$A$89,0)+MATCH($D20,'[1]End - Use Prices'!$B$9:$B$11,0)-1,MATCH(AS$1,'[1]End - Use Prices'!$C$7:$AL$7,0))</f>
        <v>56.61</v>
      </c>
      <c r="AT20" s="41">
        <f>INDEX('[1]End - Use Prices'!$C$6:$AL$89,MATCH($C20,'[1]End - Use Prices'!$A$6:$A$89,0)+MATCH($D20,'[1]End - Use Prices'!$B$9:$B$11,0)-1,MATCH(AT$1,'[1]End - Use Prices'!$C$7:$AL$7,0))</f>
        <v>56.79</v>
      </c>
      <c r="AU20" s="41">
        <f>INDEX('[1]End - Use Prices'!$C$6:$AL$89,MATCH($C20,'[1]End - Use Prices'!$A$6:$A$89,0)+MATCH($D20,'[1]End - Use Prices'!$B$9:$B$11,0)-1,MATCH(AU$1,'[1]End - Use Prices'!$C$7:$AL$7,0))</f>
        <v>56.97</v>
      </c>
      <c r="AV20" s="41">
        <f>INDEX('[1]End - Use Prices'!$C$6:$AL$89,MATCH($C20,'[1]End - Use Prices'!$A$6:$A$89,0)+MATCH($D20,'[1]End - Use Prices'!$B$9:$B$11,0)-1,MATCH(AV$1,'[1]End - Use Prices'!$C$7:$AL$7,0))</f>
        <v>57.16</v>
      </c>
      <c r="AW20" s="41">
        <f>INDEX('[1]End - Use Prices'!$C$6:$AL$89,MATCH($C20,'[1]End - Use Prices'!$A$6:$A$89,0)+MATCH($D20,'[1]End - Use Prices'!$B$9:$B$11,0)-1,MATCH(AW$1,'[1]End - Use Prices'!$C$7:$AL$7,0))</f>
        <v>57.35</v>
      </c>
      <c r="AX20" s="41">
        <f>INDEX('[1]End - Use Prices'!$C$6:$AL$89,MATCH($C20,'[1]End - Use Prices'!$A$6:$A$89,0)+MATCH($D20,'[1]End - Use Prices'!$B$9:$B$11,0)-1,MATCH(AX$1,'[1]End - Use Prices'!$C$7:$AL$7,0))</f>
        <v>57.53</v>
      </c>
      <c r="AY20" s="41">
        <f>INDEX('[1]End - Use Prices'!$C$6:$AL$89,MATCH($C20,'[1]End - Use Prices'!$A$6:$A$89,0)+MATCH($D20,'[1]End - Use Prices'!$B$9:$B$11,0)-1,MATCH(AY$1,'[1]End - Use Prices'!$C$7:$AL$7,0))</f>
        <v>57.72</v>
      </c>
      <c r="AZ20" s="41">
        <f>INDEX('[1]End - Use Prices'!$C$6:$AL$89,MATCH($C20,'[1]End - Use Prices'!$A$6:$A$89,0)+MATCH($D20,'[1]End - Use Prices'!$B$9:$B$11,0)-1,MATCH(AZ$1,'[1]End - Use Prices'!$C$7:$AL$7,0))</f>
        <v>57.91</v>
      </c>
      <c r="BA20" s="41">
        <f>INDEX('[1]End - Use Prices'!$C$6:$AL$89,MATCH($C20,'[1]End - Use Prices'!$A$6:$A$89,0)+MATCH($D20,'[1]End - Use Prices'!$B$9:$B$11,0)-1,MATCH(BA$1,'[1]End - Use Prices'!$C$7:$AL$7,0))</f>
        <v>58.09</v>
      </c>
      <c r="BB20" s="41">
        <f>INDEX('[1]End - Use Prices'!$C$6:$AL$89,MATCH($C20,'[1]End - Use Prices'!$A$6:$A$89,0)+MATCH($D20,'[1]End - Use Prices'!$B$9:$B$11,0)-1,MATCH(BB$1,'[1]End - Use Prices'!$C$7:$AL$7,0))</f>
        <v>58.28</v>
      </c>
      <c r="BC20" s="41">
        <f>INDEX('[1]End - Use Prices'!$C$6:$AL$89,MATCH($C20,'[1]End - Use Prices'!$A$6:$A$89,0)+MATCH($D20,'[1]End - Use Prices'!$B$9:$B$11,0)-1,MATCH(BC$1,'[1]End - Use Prices'!$C$7:$AL$7,0))</f>
        <v>58.47</v>
      </c>
      <c r="BD20" s="41">
        <f>INDEX('[1]End - Use Prices'!$C$6:$AL$89,MATCH($C20,'[1]End - Use Prices'!$A$6:$A$89,0)+MATCH($D20,'[1]End - Use Prices'!$B$9:$B$11,0)-1,MATCH(BD$1,'[1]End - Use Prices'!$C$7:$AL$7,0))</f>
        <v>58.66</v>
      </c>
      <c r="BE20" s="41">
        <f>INDEX('[1]End - Use Prices'!$C$6:$AL$89,MATCH($C20,'[1]End - Use Prices'!$A$6:$A$89,0)+MATCH($D20,'[1]End - Use Prices'!$B$9:$B$11,0)-1,MATCH(BE$1,'[1]End - Use Prices'!$C$7:$AL$7,0))</f>
        <v>58.85</v>
      </c>
      <c r="BF20" s="41">
        <f>INDEX('[1]End - Use Prices'!$C$6:$AL$89,MATCH($C20,'[1]End - Use Prices'!$A$6:$A$89,0)+MATCH($D20,'[1]End - Use Prices'!$B$9:$B$11,0)-1,MATCH(BF$1,'[1]End - Use Prices'!$C$7:$AL$7,0))</f>
        <v>59.04</v>
      </c>
      <c r="BG20" s="41">
        <f>INDEX('[1]End - Use Prices'!$C$6:$AL$89,MATCH($C20,'[1]End - Use Prices'!$A$6:$A$89,0)+MATCH($D20,'[1]End - Use Prices'!$B$9:$B$11,0)-1,MATCH(BG$1,'[1]End - Use Prices'!$C$7:$AL$7,0))</f>
        <v>59.23</v>
      </c>
      <c r="BR20" s="39"/>
      <c r="BS20" s="39"/>
      <c r="BT20" s="39"/>
      <c r="BU20" s="39"/>
      <c r="BV20" s="39"/>
      <c r="BW20" s="39"/>
      <c r="BX20" s="39"/>
      <c r="BY20" s="39"/>
      <c r="BZ20" s="39"/>
      <c r="CA20" s="39"/>
    </row>
    <row r="21" spans="1:79" x14ac:dyDescent="0.25">
      <c r="A21" s="5"/>
      <c r="B21" s="3"/>
      <c r="C21" s="25" t="s">
        <v>87</v>
      </c>
      <c r="D21" s="25" t="s">
        <v>2</v>
      </c>
      <c r="E21" s="25" t="s">
        <v>282</v>
      </c>
      <c r="F21" s="67" t="s">
        <v>279</v>
      </c>
      <c r="G21" s="53">
        <f t="shared" si="4"/>
        <v>37.270000000000003</v>
      </c>
      <c r="H21" s="34">
        <f t="shared" si="5"/>
        <v>37.270000000000003</v>
      </c>
      <c r="I21" s="34">
        <f t="shared" si="5"/>
        <v>40.32</v>
      </c>
      <c r="J21" s="34">
        <f t="shared" si="5"/>
        <v>46.71</v>
      </c>
      <c r="K21" s="34">
        <f t="shared" si="5"/>
        <v>49.31</v>
      </c>
      <c r="L21" s="34">
        <f t="shared" si="5"/>
        <v>53.15</v>
      </c>
      <c r="M21" s="34">
        <f t="shared" si="5"/>
        <v>56.07</v>
      </c>
      <c r="N21" s="34">
        <f t="shared" si="5"/>
        <v>57.94</v>
      </c>
      <c r="O21" s="34">
        <f t="shared" si="5"/>
        <v>58.62</v>
      </c>
      <c r="P21" s="53">
        <f t="shared" si="6"/>
        <v>58.62</v>
      </c>
      <c r="Q21" s="53">
        <f t="shared" si="6"/>
        <v>58.62</v>
      </c>
      <c r="R21" s="38"/>
      <c r="X21" s="41">
        <f>INDEX('[1]End - Use Prices'!$C$6:$AL$89,MATCH($C21,'[1]End - Use Prices'!$A$6:$A$89,0)+MATCH($D21,'[1]End - Use Prices'!$B$9:$B$11,0)-1,MATCH(X$1,'[1]End - Use Prices'!$C$7:$AL$7,0))</f>
        <v>37.270000000000003</v>
      </c>
      <c r="Y21" s="41">
        <f>INDEX('[1]End - Use Prices'!$C$6:$AL$89,MATCH($C21,'[1]End - Use Prices'!$A$6:$A$89,0)+MATCH($D21,'[1]End - Use Prices'!$B$9:$B$11,0)-1,MATCH(Y$1,'[1]End - Use Prices'!$C$7:$AL$7,0))</f>
        <v>41.5</v>
      </c>
      <c r="Z21" s="41">
        <f>INDEX('[1]End - Use Prices'!$C$6:$AL$89,MATCH($C21,'[1]End - Use Prices'!$A$6:$A$89,0)+MATCH($D21,'[1]End - Use Prices'!$B$9:$B$11,0)-1,MATCH(Z$1,'[1]End - Use Prices'!$C$7:$AL$7,0))</f>
        <v>38.799999999999997</v>
      </c>
      <c r="AA21" s="41">
        <f>INDEX('[1]End - Use Prices'!$C$6:$AL$89,MATCH($C21,'[1]End - Use Prices'!$A$6:$A$89,0)+MATCH($D21,'[1]End - Use Prices'!$B$9:$B$11,0)-1,MATCH(AA$1,'[1]End - Use Prices'!$C$7:$AL$7,0))</f>
        <v>36.950000000000003</v>
      </c>
      <c r="AB21" s="41">
        <f>INDEX('[1]End - Use Prices'!$C$6:$AL$89,MATCH($C21,'[1]End - Use Prices'!$A$6:$A$89,0)+MATCH($D21,'[1]End - Use Prices'!$B$9:$B$11,0)-1,MATCH(AB$1,'[1]End - Use Prices'!$C$7:$AL$7,0))</f>
        <v>44.6</v>
      </c>
      <c r="AC21" s="41">
        <f>INDEX('[1]End - Use Prices'!$C$6:$AL$89,MATCH($C21,'[1]End - Use Prices'!$A$6:$A$89,0)+MATCH($D21,'[1]End - Use Prices'!$B$9:$B$11,0)-1,MATCH(AC$1,'[1]End - Use Prices'!$C$7:$AL$7,0))</f>
        <v>40.32</v>
      </c>
      <c r="AD21" s="41">
        <f>INDEX('[1]End - Use Prices'!$C$6:$AL$89,MATCH($C21,'[1]End - Use Prices'!$A$6:$A$89,0)+MATCH($D21,'[1]End - Use Prices'!$B$9:$B$11,0)-1,MATCH(AD$1,'[1]End - Use Prices'!$C$7:$AL$7,0))</f>
        <v>41.27</v>
      </c>
      <c r="AE21" s="41">
        <f>INDEX('[1]End - Use Prices'!$C$6:$AL$89,MATCH($C21,'[1]End - Use Prices'!$A$6:$A$89,0)+MATCH($D21,'[1]End - Use Prices'!$B$9:$B$11,0)-1,MATCH(AE$1,'[1]End - Use Prices'!$C$7:$AL$7,0))</f>
        <v>44.94</v>
      </c>
      <c r="AF21" s="41">
        <f>INDEX('[1]End - Use Prices'!$C$6:$AL$89,MATCH($C21,'[1]End - Use Prices'!$A$6:$A$89,0)+MATCH($D21,'[1]End - Use Prices'!$B$9:$B$11,0)-1,MATCH(AF$1,'[1]End - Use Prices'!$C$7:$AL$7,0))</f>
        <v>45.5</v>
      </c>
      <c r="AG21" s="41">
        <f>INDEX('[1]End - Use Prices'!$C$6:$AL$89,MATCH($C21,'[1]End - Use Prices'!$A$6:$A$89,0)+MATCH($D21,'[1]End - Use Prices'!$B$9:$B$11,0)-1,MATCH(AG$1,'[1]End - Use Prices'!$C$7:$AL$7,0))</f>
        <v>46.34</v>
      </c>
      <c r="AH21" s="41">
        <f>INDEX('[1]End - Use Prices'!$C$6:$AL$89,MATCH($C21,'[1]End - Use Prices'!$A$6:$A$89,0)+MATCH($D21,'[1]End - Use Prices'!$B$9:$B$11,0)-1,MATCH(AH$1,'[1]End - Use Prices'!$C$7:$AL$7,0))</f>
        <v>46.71</v>
      </c>
      <c r="AI21" s="41">
        <f>INDEX('[1]End - Use Prices'!$C$6:$AL$89,MATCH($C21,'[1]End - Use Prices'!$A$6:$A$89,0)+MATCH($D21,'[1]End - Use Prices'!$B$9:$B$11,0)-1,MATCH(AI$1,'[1]End - Use Prices'!$C$7:$AL$7,0))</f>
        <v>46.01</v>
      </c>
      <c r="AJ21" s="41">
        <f>INDEX('[1]End - Use Prices'!$C$6:$AL$89,MATCH($C21,'[1]End - Use Prices'!$A$6:$A$89,0)+MATCH($D21,'[1]End - Use Prices'!$B$9:$B$11,0)-1,MATCH(AJ$1,'[1]End - Use Prices'!$C$7:$AL$7,0))</f>
        <v>46.61</v>
      </c>
      <c r="AK21" s="41">
        <f>INDEX('[1]End - Use Prices'!$C$6:$AL$89,MATCH($C21,'[1]End - Use Prices'!$A$6:$A$89,0)+MATCH($D21,'[1]End - Use Prices'!$B$9:$B$11,0)-1,MATCH(AK$1,'[1]End - Use Prices'!$C$7:$AL$7,0))</f>
        <v>47.54</v>
      </c>
      <c r="AL21" s="41">
        <f>INDEX('[1]End - Use Prices'!$C$6:$AL$89,MATCH($C21,'[1]End - Use Prices'!$A$6:$A$89,0)+MATCH($D21,'[1]End - Use Prices'!$B$9:$B$11,0)-1,MATCH(AL$1,'[1]End - Use Prices'!$C$7:$AL$7,0))</f>
        <v>48.44</v>
      </c>
      <c r="AM21" s="41">
        <f>INDEX('[1]End - Use Prices'!$C$6:$AL$89,MATCH($C21,'[1]End - Use Prices'!$A$6:$A$89,0)+MATCH($D21,'[1]End - Use Prices'!$B$9:$B$11,0)-1,MATCH(AM$1,'[1]End - Use Prices'!$C$7:$AL$7,0))</f>
        <v>49.31</v>
      </c>
      <c r="AN21" s="41">
        <f>INDEX('[1]End - Use Prices'!$C$6:$AL$89,MATCH($C21,'[1]End - Use Prices'!$A$6:$A$89,0)+MATCH($D21,'[1]End - Use Prices'!$B$9:$B$11,0)-1,MATCH(AN$1,'[1]End - Use Prices'!$C$7:$AL$7,0))</f>
        <v>50.14</v>
      </c>
      <c r="AO21" s="41">
        <f>INDEX('[1]End - Use Prices'!$C$6:$AL$89,MATCH($C21,'[1]End - Use Prices'!$A$6:$A$89,0)+MATCH($D21,'[1]End - Use Prices'!$B$9:$B$11,0)-1,MATCH(AO$1,'[1]End - Use Prices'!$C$7:$AL$7,0))</f>
        <v>50.94</v>
      </c>
      <c r="AP21" s="41">
        <f>INDEX('[1]End - Use Prices'!$C$6:$AL$89,MATCH($C21,'[1]End - Use Prices'!$A$6:$A$89,0)+MATCH($D21,'[1]End - Use Prices'!$B$9:$B$11,0)-1,MATCH(AP$1,'[1]End - Use Prices'!$C$7:$AL$7,0))</f>
        <v>51.71</v>
      </c>
      <c r="AQ21" s="41">
        <f>INDEX('[1]End - Use Prices'!$C$6:$AL$89,MATCH($C21,'[1]End - Use Prices'!$A$6:$A$89,0)+MATCH($D21,'[1]End - Use Prices'!$B$9:$B$11,0)-1,MATCH(AQ$1,'[1]End - Use Prices'!$C$7:$AL$7,0))</f>
        <v>52.45</v>
      </c>
      <c r="AR21" s="41">
        <f>INDEX('[1]End - Use Prices'!$C$6:$AL$89,MATCH($C21,'[1]End - Use Prices'!$A$6:$A$89,0)+MATCH($D21,'[1]End - Use Prices'!$B$9:$B$11,0)-1,MATCH(AR$1,'[1]End - Use Prices'!$C$7:$AL$7,0))</f>
        <v>53.15</v>
      </c>
      <c r="AS21" s="41">
        <f>INDEX('[1]End - Use Prices'!$C$6:$AL$89,MATCH($C21,'[1]End - Use Prices'!$A$6:$A$89,0)+MATCH($D21,'[1]End - Use Prices'!$B$9:$B$11,0)-1,MATCH(AS$1,'[1]End - Use Prices'!$C$7:$AL$7,0))</f>
        <v>53.81</v>
      </c>
      <c r="AT21" s="41">
        <f>INDEX('[1]End - Use Prices'!$C$6:$AL$89,MATCH($C21,'[1]End - Use Prices'!$A$6:$A$89,0)+MATCH($D21,'[1]End - Use Prices'!$B$9:$B$11,0)-1,MATCH(AT$1,'[1]End - Use Prices'!$C$7:$AL$7,0))</f>
        <v>54.43</v>
      </c>
      <c r="AU21" s="41">
        <f>INDEX('[1]End - Use Prices'!$C$6:$AL$89,MATCH($C21,'[1]End - Use Prices'!$A$6:$A$89,0)+MATCH($D21,'[1]End - Use Prices'!$B$9:$B$11,0)-1,MATCH(AU$1,'[1]End - Use Prices'!$C$7:$AL$7,0))</f>
        <v>55.02</v>
      </c>
      <c r="AV21" s="41">
        <f>INDEX('[1]End - Use Prices'!$C$6:$AL$89,MATCH($C21,'[1]End - Use Prices'!$A$6:$A$89,0)+MATCH($D21,'[1]End - Use Prices'!$B$9:$B$11,0)-1,MATCH(AV$1,'[1]End - Use Prices'!$C$7:$AL$7,0))</f>
        <v>55.56</v>
      </c>
      <c r="AW21" s="41">
        <f>INDEX('[1]End - Use Prices'!$C$6:$AL$89,MATCH($C21,'[1]End - Use Prices'!$A$6:$A$89,0)+MATCH($D21,'[1]End - Use Prices'!$B$9:$B$11,0)-1,MATCH(AW$1,'[1]End - Use Prices'!$C$7:$AL$7,0))</f>
        <v>56.07</v>
      </c>
      <c r="AX21" s="41">
        <f>INDEX('[1]End - Use Prices'!$C$6:$AL$89,MATCH($C21,'[1]End - Use Prices'!$A$6:$A$89,0)+MATCH($D21,'[1]End - Use Prices'!$B$9:$B$11,0)-1,MATCH(AX$1,'[1]End - Use Prices'!$C$7:$AL$7,0))</f>
        <v>56.53</v>
      </c>
      <c r="AY21" s="41">
        <f>INDEX('[1]End - Use Prices'!$C$6:$AL$89,MATCH($C21,'[1]End - Use Prices'!$A$6:$A$89,0)+MATCH($D21,'[1]End - Use Prices'!$B$9:$B$11,0)-1,MATCH(AY$1,'[1]End - Use Prices'!$C$7:$AL$7,0))</f>
        <v>56.95</v>
      </c>
      <c r="AZ21" s="41">
        <f>INDEX('[1]End - Use Prices'!$C$6:$AL$89,MATCH($C21,'[1]End - Use Prices'!$A$6:$A$89,0)+MATCH($D21,'[1]End - Use Prices'!$B$9:$B$11,0)-1,MATCH(AZ$1,'[1]End - Use Prices'!$C$7:$AL$7,0))</f>
        <v>57.32</v>
      </c>
      <c r="BA21" s="41">
        <f>INDEX('[1]End - Use Prices'!$C$6:$AL$89,MATCH($C21,'[1]End - Use Prices'!$A$6:$A$89,0)+MATCH($D21,'[1]End - Use Prices'!$B$9:$B$11,0)-1,MATCH(BA$1,'[1]End - Use Prices'!$C$7:$AL$7,0))</f>
        <v>57.65</v>
      </c>
      <c r="BB21" s="41">
        <f>INDEX('[1]End - Use Prices'!$C$6:$AL$89,MATCH($C21,'[1]End - Use Prices'!$A$6:$A$89,0)+MATCH($D21,'[1]End - Use Prices'!$B$9:$B$11,0)-1,MATCH(BB$1,'[1]End - Use Prices'!$C$7:$AL$7,0))</f>
        <v>57.94</v>
      </c>
      <c r="BC21" s="41">
        <f>INDEX('[1]End - Use Prices'!$C$6:$AL$89,MATCH($C21,'[1]End - Use Prices'!$A$6:$A$89,0)+MATCH($D21,'[1]End - Use Prices'!$B$9:$B$11,0)-1,MATCH(BC$1,'[1]End - Use Prices'!$C$7:$AL$7,0))</f>
        <v>58.17</v>
      </c>
      <c r="BD21" s="41">
        <f>INDEX('[1]End - Use Prices'!$C$6:$AL$89,MATCH($C21,'[1]End - Use Prices'!$A$6:$A$89,0)+MATCH($D21,'[1]End - Use Prices'!$B$9:$B$11,0)-1,MATCH(BD$1,'[1]End - Use Prices'!$C$7:$AL$7,0))</f>
        <v>58.36</v>
      </c>
      <c r="BE21" s="41">
        <f>INDEX('[1]End - Use Prices'!$C$6:$AL$89,MATCH($C21,'[1]End - Use Prices'!$A$6:$A$89,0)+MATCH($D21,'[1]End - Use Prices'!$B$9:$B$11,0)-1,MATCH(BE$1,'[1]End - Use Prices'!$C$7:$AL$7,0))</f>
        <v>58.5</v>
      </c>
      <c r="BF21" s="41">
        <f>INDEX('[1]End - Use Prices'!$C$6:$AL$89,MATCH($C21,'[1]End - Use Prices'!$A$6:$A$89,0)+MATCH($D21,'[1]End - Use Prices'!$B$9:$B$11,0)-1,MATCH(BF$1,'[1]End - Use Prices'!$C$7:$AL$7,0))</f>
        <v>58.59</v>
      </c>
      <c r="BG21" s="41">
        <f>INDEX('[1]End - Use Prices'!$C$6:$AL$89,MATCH($C21,'[1]End - Use Prices'!$A$6:$A$89,0)+MATCH($D21,'[1]End - Use Prices'!$B$9:$B$11,0)-1,MATCH(BG$1,'[1]End - Use Prices'!$C$7:$AL$7,0))</f>
        <v>58.62</v>
      </c>
      <c r="BR21" s="39"/>
      <c r="BS21" s="39"/>
      <c r="BT21" s="39"/>
      <c r="BU21" s="39"/>
      <c r="BV21" s="39"/>
      <c r="BW21" s="39"/>
      <c r="BX21" s="39"/>
      <c r="BY21" s="39"/>
      <c r="BZ21" s="39"/>
      <c r="CA21" s="39"/>
    </row>
    <row r="22" spans="1:79" x14ac:dyDescent="0.25">
      <c r="A22" s="5"/>
      <c r="B22" s="3"/>
      <c r="C22" s="25" t="s">
        <v>88</v>
      </c>
      <c r="D22" s="25" t="s">
        <v>2</v>
      </c>
      <c r="E22" s="25" t="s">
        <v>282</v>
      </c>
      <c r="F22" s="67" t="s">
        <v>279</v>
      </c>
      <c r="G22" s="53">
        <f t="shared" si="4"/>
        <v>35.630000000000003</v>
      </c>
      <c r="H22" s="34">
        <f t="shared" si="5"/>
        <v>35.630000000000003</v>
      </c>
      <c r="I22" s="34">
        <f t="shared" si="5"/>
        <v>42.27</v>
      </c>
      <c r="J22" s="34">
        <f t="shared" si="5"/>
        <v>41.52</v>
      </c>
      <c r="K22" s="34">
        <f t="shared" si="5"/>
        <v>44.47</v>
      </c>
      <c r="L22" s="34">
        <f t="shared" si="5"/>
        <v>47.37</v>
      </c>
      <c r="M22" s="34">
        <f t="shared" si="5"/>
        <v>50.45</v>
      </c>
      <c r="N22" s="34">
        <f t="shared" si="5"/>
        <v>53.74</v>
      </c>
      <c r="O22" s="34">
        <f t="shared" si="5"/>
        <v>57.24</v>
      </c>
      <c r="P22" s="53">
        <f t="shared" si="6"/>
        <v>57.24</v>
      </c>
      <c r="Q22" s="53">
        <f t="shared" si="6"/>
        <v>57.24</v>
      </c>
      <c r="R22" s="38"/>
      <c r="X22" s="41">
        <f>INDEX('[1]End - Use Prices'!$C$6:$AL$89,MATCH($C22,'[1]End - Use Prices'!$A$6:$A$89,0)+MATCH($D22,'[1]End - Use Prices'!$B$9:$B$11,0)-1,MATCH(X$1,'[1]End - Use Prices'!$C$7:$AL$7,0))</f>
        <v>35.630000000000003</v>
      </c>
      <c r="Y22" s="41">
        <f>INDEX('[1]End - Use Prices'!$C$6:$AL$89,MATCH($C22,'[1]End - Use Prices'!$A$6:$A$89,0)+MATCH($D22,'[1]End - Use Prices'!$B$9:$B$11,0)-1,MATCH(Y$1,'[1]End - Use Prices'!$C$7:$AL$7,0))</f>
        <v>40.94</v>
      </c>
      <c r="Z22" s="41">
        <f>INDEX('[1]End - Use Prices'!$C$6:$AL$89,MATCH($C22,'[1]End - Use Prices'!$A$6:$A$89,0)+MATCH($D22,'[1]End - Use Prices'!$B$9:$B$11,0)-1,MATCH(Z$1,'[1]End - Use Prices'!$C$7:$AL$7,0))</f>
        <v>42.23</v>
      </c>
      <c r="AA22" s="41">
        <f>INDEX('[1]End - Use Prices'!$C$6:$AL$89,MATCH($C22,'[1]End - Use Prices'!$A$6:$A$89,0)+MATCH($D22,'[1]End - Use Prices'!$B$9:$B$11,0)-1,MATCH(AA$1,'[1]End - Use Prices'!$C$7:$AL$7,0))</f>
        <v>41.92</v>
      </c>
      <c r="AB22" s="41">
        <f>INDEX('[1]End - Use Prices'!$C$6:$AL$89,MATCH($C22,'[1]End - Use Prices'!$A$6:$A$89,0)+MATCH($D22,'[1]End - Use Prices'!$B$9:$B$11,0)-1,MATCH(AB$1,'[1]End - Use Prices'!$C$7:$AL$7,0))</f>
        <v>43.47</v>
      </c>
      <c r="AC22" s="41">
        <f>INDEX('[1]End - Use Prices'!$C$6:$AL$89,MATCH($C22,'[1]End - Use Prices'!$A$6:$A$89,0)+MATCH($D22,'[1]End - Use Prices'!$B$9:$B$11,0)-1,MATCH(AC$1,'[1]End - Use Prices'!$C$7:$AL$7,0))</f>
        <v>42.27</v>
      </c>
      <c r="AD22" s="41">
        <f>INDEX('[1]End - Use Prices'!$C$6:$AL$89,MATCH($C22,'[1]End - Use Prices'!$A$6:$A$89,0)+MATCH($D22,'[1]End - Use Prices'!$B$9:$B$11,0)-1,MATCH(AD$1,'[1]End - Use Prices'!$C$7:$AL$7,0))</f>
        <v>41.5</v>
      </c>
      <c r="AE22" s="41">
        <f>INDEX('[1]End - Use Prices'!$C$6:$AL$89,MATCH($C22,'[1]End - Use Prices'!$A$6:$A$89,0)+MATCH($D22,'[1]End - Use Prices'!$B$9:$B$11,0)-1,MATCH(AE$1,'[1]End - Use Prices'!$C$7:$AL$7,0))</f>
        <v>41</v>
      </c>
      <c r="AF22" s="41">
        <f>INDEX('[1]End - Use Prices'!$C$6:$AL$89,MATCH($C22,'[1]End - Use Prices'!$A$6:$A$89,0)+MATCH($D22,'[1]End - Use Prices'!$B$9:$B$11,0)-1,MATCH(AF$1,'[1]End - Use Prices'!$C$7:$AL$7,0))</f>
        <v>40.340000000000003</v>
      </c>
      <c r="AG22" s="41">
        <f>INDEX('[1]End - Use Prices'!$C$6:$AL$89,MATCH($C22,'[1]End - Use Prices'!$A$6:$A$89,0)+MATCH($D22,'[1]End - Use Prices'!$B$9:$B$11,0)-1,MATCH(AG$1,'[1]End - Use Prices'!$C$7:$AL$7,0))</f>
        <v>40.39</v>
      </c>
      <c r="AH22" s="41">
        <f>INDEX('[1]End - Use Prices'!$C$6:$AL$89,MATCH($C22,'[1]End - Use Prices'!$A$6:$A$89,0)+MATCH($D22,'[1]End - Use Prices'!$B$9:$B$11,0)-1,MATCH(AH$1,'[1]End - Use Prices'!$C$7:$AL$7,0))</f>
        <v>41.52</v>
      </c>
      <c r="AI22" s="41">
        <f>INDEX('[1]End - Use Prices'!$C$6:$AL$89,MATCH($C22,'[1]End - Use Prices'!$A$6:$A$89,0)+MATCH($D22,'[1]End - Use Prices'!$B$9:$B$11,0)-1,MATCH(AI$1,'[1]End - Use Prices'!$C$7:$AL$7,0))</f>
        <v>42.28</v>
      </c>
      <c r="AJ22" s="41">
        <f>INDEX('[1]End - Use Prices'!$C$6:$AL$89,MATCH($C22,'[1]End - Use Prices'!$A$6:$A$89,0)+MATCH($D22,'[1]End - Use Prices'!$B$9:$B$11,0)-1,MATCH(AJ$1,'[1]End - Use Prices'!$C$7:$AL$7,0))</f>
        <v>42.82</v>
      </c>
      <c r="AK22" s="41">
        <f>INDEX('[1]End - Use Prices'!$C$6:$AL$89,MATCH($C22,'[1]End - Use Prices'!$A$6:$A$89,0)+MATCH($D22,'[1]End - Use Prices'!$B$9:$B$11,0)-1,MATCH(AK$1,'[1]End - Use Prices'!$C$7:$AL$7,0))</f>
        <v>43.37</v>
      </c>
      <c r="AL22" s="41">
        <f>INDEX('[1]End - Use Prices'!$C$6:$AL$89,MATCH($C22,'[1]End - Use Prices'!$A$6:$A$89,0)+MATCH($D22,'[1]End - Use Prices'!$B$9:$B$11,0)-1,MATCH(AL$1,'[1]End - Use Prices'!$C$7:$AL$7,0))</f>
        <v>43.92</v>
      </c>
      <c r="AM22" s="41">
        <f>INDEX('[1]End - Use Prices'!$C$6:$AL$89,MATCH($C22,'[1]End - Use Prices'!$A$6:$A$89,0)+MATCH($D22,'[1]End - Use Prices'!$B$9:$B$11,0)-1,MATCH(AM$1,'[1]End - Use Prices'!$C$7:$AL$7,0))</f>
        <v>44.47</v>
      </c>
      <c r="AN22" s="41">
        <f>INDEX('[1]End - Use Prices'!$C$6:$AL$89,MATCH($C22,'[1]End - Use Prices'!$A$6:$A$89,0)+MATCH($D22,'[1]End - Use Prices'!$B$9:$B$11,0)-1,MATCH(AN$1,'[1]End - Use Prices'!$C$7:$AL$7,0))</f>
        <v>45.04</v>
      </c>
      <c r="AO22" s="41">
        <f>INDEX('[1]End - Use Prices'!$C$6:$AL$89,MATCH($C22,'[1]End - Use Prices'!$A$6:$A$89,0)+MATCH($D22,'[1]End - Use Prices'!$B$9:$B$11,0)-1,MATCH(AO$1,'[1]End - Use Prices'!$C$7:$AL$7,0))</f>
        <v>45.61</v>
      </c>
      <c r="AP22" s="41">
        <f>INDEX('[1]End - Use Prices'!$C$6:$AL$89,MATCH($C22,'[1]End - Use Prices'!$A$6:$A$89,0)+MATCH($D22,'[1]End - Use Prices'!$B$9:$B$11,0)-1,MATCH(AP$1,'[1]End - Use Prices'!$C$7:$AL$7,0))</f>
        <v>46.19</v>
      </c>
      <c r="AQ22" s="41">
        <f>INDEX('[1]End - Use Prices'!$C$6:$AL$89,MATCH($C22,'[1]End - Use Prices'!$A$6:$A$89,0)+MATCH($D22,'[1]End - Use Prices'!$B$9:$B$11,0)-1,MATCH(AQ$1,'[1]End - Use Prices'!$C$7:$AL$7,0))</f>
        <v>46.78</v>
      </c>
      <c r="AR22" s="41">
        <f>INDEX('[1]End - Use Prices'!$C$6:$AL$89,MATCH($C22,'[1]End - Use Prices'!$A$6:$A$89,0)+MATCH($D22,'[1]End - Use Prices'!$B$9:$B$11,0)-1,MATCH(AR$1,'[1]End - Use Prices'!$C$7:$AL$7,0))</f>
        <v>47.37</v>
      </c>
      <c r="AS22" s="41">
        <f>INDEX('[1]End - Use Prices'!$C$6:$AL$89,MATCH($C22,'[1]End - Use Prices'!$A$6:$A$89,0)+MATCH($D22,'[1]End - Use Prices'!$B$9:$B$11,0)-1,MATCH(AS$1,'[1]End - Use Prices'!$C$7:$AL$7,0))</f>
        <v>47.97</v>
      </c>
      <c r="AT22" s="41">
        <f>INDEX('[1]End - Use Prices'!$C$6:$AL$89,MATCH($C22,'[1]End - Use Prices'!$A$6:$A$89,0)+MATCH($D22,'[1]End - Use Prices'!$B$9:$B$11,0)-1,MATCH(AT$1,'[1]End - Use Prices'!$C$7:$AL$7,0))</f>
        <v>48.58</v>
      </c>
      <c r="AU22" s="41">
        <f>INDEX('[1]End - Use Prices'!$C$6:$AL$89,MATCH($C22,'[1]End - Use Prices'!$A$6:$A$89,0)+MATCH($D22,'[1]End - Use Prices'!$B$9:$B$11,0)-1,MATCH(AU$1,'[1]End - Use Prices'!$C$7:$AL$7,0))</f>
        <v>49.2</v>
      </c>
      <c r="AV22" s="41">
        <f>INDEX('[1]End - Use Prices'!$C$6:$AL$89,MATCH($C22,'[1]End - Use Prices'!$A$6:$A$89,0)+MATCH($D22,'[1]End - Use Prices'!$B$9:$B$11,0)-1,MATCH(AV$1,'[1]End - Use Prices'!$C$7:$AL$7,0))</f>
        <v>49.82</v>
      </c>
      <c r="AW22" s="41">
        <f>INDEX('[1]End - Use Prices'!$C$6:$AL$89,MATCH($C22,'[1]End - Use Prices'!$A$6:$A$89,0)+MATCH($D22,'[1]End - Use Prices'!$B$9:$B$11,0)-1,MATCH(AW$1,'[1]End - Use Prices'!$C$7:$AL$7,0))</f>
        <v>50.45</v>
      </c>
      <c r="AX22" s="41">
        <f>INDEX('[1]End - Use Prices'!$C$6:$AL$89,MATCH($C22,'[1]End - Use Prices'!$A$6:$A$89,0)+MATCH($D22,'[1]End - Use Prices'!$B$9:$B$11,0)-1,MATCH(AX$1,'[1]End - Use Prices'!$C$7:$AL$7,0))</f>
        <v>51.09</v>
      </c>
      <c r="AY22" s="41">
        <f>INDEX('[1]End - Use Prices'!$C$6:$AL$89,MATCH($C22,'[1]End - Use Prices'!$A$6:$A$89,0)+MATCH($D22,'[1]End - Use Prices'!$B$9:$B$11,0)-1,MATCH(AY$1,'[1]End - Use Prices'!$C$7:$AL$7,0))</f>
        <v>51.74</v>
      </c>
      <c r="AZ22" s="41">
        <f>INDEX('[1]End - Use Prices'!$C$6:$AL$89,MATCH($C22,'[1]End - Use Prices'!$A$6:$A$89,0)+MATCH($D22,'[1]End - Use Prices'!$B$9:$B$11,0)-1,MATCH(AZ$1,'[1]End - Use Prices'!$C$7:$AL$7,0))</f>
        <v>52.4</v>
      </c>
      <c r="BA22" s="41">
        <f>INDEX('[1]End - Use Prices'!$C$6:$AL$89,MATCH($C22,'[1]End - Use Prices'!$A$6:$A$89,0)+MATCH($D22,'[1]End - Use Prices'!$B$9:$B$11,0)-1,MATCH(BA$1,'[1]End - Use Prices'!$C$7:$AL$7,0))</f>
        <v>53.07</v>
      </c>
      <c r="BB22" s="41">
        <f>INDEX('[1]End - Use Prices'!$C$6:$AL$89,MATCH($C22,'[1]End - Use Prices'!$A$6:$A$89,0)+MATCH($D22,'[1]End - Use Prices'!$B$9:$B$11,0)-1,MATCH(BB$1,'[1]End - Use Prices'!$C$7:$AL$7,0))</f>
        <v>53.74</v>
      </c>
      <c r="BC22" s="41">
        <f>INDEX('[1]End - Use Prices'!$C$6:$AL$89,MATCH($C22,'[1]End - Use Prices'!$A$6:$A$89,0)+MATCH($D22,'[1]End - Use Prices'!$B$9:$B$11,0)-1,MATCH(BC$1,'[1]End - Use Prices'!$C$7:$AL$7,0))</f>
        <v>54.42</v>
      </c>
      <c r="BD22" s="41">
        <f>INDEX('[1]End - Use Prices'!$C$6:$AL$89,MATCH($C22,'[1]End - Use Prices'!$A$6:$A$89,0)+MATCH($D22,'[1]End - Use Prices'!$B$9:$B$11,0)-1,MATCH(BD$1,'[1]End - Use Prices'!$C$7:$AL$7,0))</f>
        <v>55.11</v>
      </c>
      <c r="BE22" s="41">
        <f>INDEX('[1]End - Use Prices'!$C$6:$AL$89,MATCH($C22,'[1]End - Use Prices'!$A$6:$A$89,0)+MATCH($D22,'[1]End - Use Prices'!$B$9:$B$11,0)-1,MATCH(BE$1,'[1]End - Use Prices'!$C$7:$AL$7,0))</f>
        <v>55.81</v>
      </c>
      <c r="BF22" s="41">
        <f>INDEX('[1]End - Use Prices'!$C$6:$AL$89,MATCH($C22,'[1]End - Use Prices'!$A$6:$A$89,0)+MATCH($D22,'[1]End - Use Prices'!$B$9:$B$11,0)-1,MATCH(BF$1,'[1]End - Use Prices'!$C$7:$AL$7,0))</f>
        <v>56.52</v>
      </c>
      <c r="BG22" s="41">
        <f>INDEX('[1]End - Use Prices'!$C$6:$AL$89,MATCH($C22,'[1]End - Use Prices'!$A$6:$A$89,0)+MATCH($D22,'[1]End - Use Prices'!$B$9:$B$11,0)-1,MATCH(BG$1,'[1]End - Use Prices'!$C$7:$AL$7,0))</f>
        <v>57.24</v>
      </c>
      <c r="BR22" s="39"/>
      <c r="BS22" s="39"/>
      <c r="BT22" s="39"/>
      <c r="BU22" s="39"/>
      <c r="BV22" s="39"/>
      <c r="BW22" s="39"/>
      <c r="BX22" s="39"/>
      <c r="BY22" s="39"/>
      <c r="BZ22" s="39"/>
      <c r="CA22" s="39"/>
    </row>
    <row r="23" spans="1:79" x14ac:dyDescent="0.25">
      <c r="A23" s="5"/>
      <c r="B23" s="3"/>
      <c r="C23" s="25" t="s">
        <v>89</v>
      </c>
      <c r="D23" s="25" t="s">
        <v>2</v>
      </c>
      <c r="E23" s="25" t="s">
        <v>282</v>
      </c>
      <c r="F23" s="67" t="s">
        <v>279</v>
      </c>
      <c r="G23" s="53">
        <f t="shared" si="4"/>
        <v>23.05</v>
      </c>
      <c r="H23" s="34">
        <f t="shared" si="5"/>
        <v>23.05</v>
      </c>
      <c r="I23" s="34">
        <f t="shared" si="5"/>
        <v>24.86</v>
      </c>
      <c r="J23" s="34">
        <f t="shared" si="5"/>
        <v>25.13</v>
      </c>
      <c r="K23" s="34">
        <f t="shared" si="5"/>
        <v>26.11</v>
      </c>
      <c r="L23" s="34">
        <f t="shared" si="5"/>
        <v>27.44</v>
      </c>
      <c r="M23" s="34">
        <f t="shared" si="5"/>
        <v>28.84</v>
      </c>
      <c r="N23" s="34">
        <f t="shared" si="5"/>
        <v>30.3</v>
      </c>
      <c r="O23" s="34">
        <f t="shared" si="5"/>
        <v>31.84</v>
      </c>
      <c r="P23" s="53">
        <f t="shared" si="6"/>
        <v>31.84</v>
      </c>
      <c r="Q23" s="53">
        <f t="shared" si="6"/>
        <v>31.84</v>
      </c>
      <c r="R23" s="38"/>
      <c r="X23" s="41">
        <f>INDEX('[1]End - Use Prices'!$C$6:$AL$89,MATCH($C23,'[1]End - Use Prices'!$A$6:$A$89,0)+MATCH($D23,'[1]End - Use Prices'!$B$9:$B$11,0)-1,MATCH(X$1,'[1]End - Use Prices'!$C$7:$AL$7,0))</f>
        <v>23.05</v>
      </c>
      <c r="Y23" s="41">
        <f>INDEX('[1]End - Use Prices'!$C$6:$AL$89,MATCH($C23,'[1]End - Use Prices'!$A$6:$A$89,0)+MATCH($D23,'[1]End - Use Prices'!$B$9:$B$11,0)-1,MATCH(Y$1,'[1]End - Use Prices'!$C$7:$AL$7,0))</f>
        <v>26.62</v>
      </c>
      <c r="Z23" s="41">
        <f>INDEX('[1]End - Use Prices'!$C$6:$AL$89,MATCH($C23,'[1]End - Use Prices'!$A$6:$A$89,0)+MATCH($D23,'[1]End - Use Prices'!$B$9:$B$11,0)-1,MATCH(Z$1,'[1]End - Use Prices'!$C$7:$AL$7,0))</f>
        <v>25.75</v>
      </c>
      <c r="AA23" s="41">
        <f>INDEX('[1]End - Use Prices'!$C$6:$AL$89,MATCH($C23,'[1]End - Use Prices'!$A$6:$A$89,0)+MATCH($D23,'[1]End - Use Prices'!$B$9:$B$11,0)-1,MATCH(AA$1,'[1]End - Use Prices'!$C$7:$AL$7,0))</f>
        <v>24.75</v>
      </c>
      <c r="AB23" s="41">
        <f>INDEX('[1]End - Use Prices'!$C$6:$AL$89,MATCH($C23,'[1]End - Use Prices'!$A$6:$A$89,0)+MATCH($D23,'[1]End - Use Prices'!$B$9:$B$11,0)-1,MATCH(AB$1,'[1]End - Use Prices'!$C$7:$AL$7,0))</f>
        <v>25.57</v>
      </c>
      <c r="AC23" s="41">
        <f>INDEX('[1]End - Use Prices'!$C$6:$AL$89,MATCH($C23,'[1]End - Use Prices'!$A$6:$A$89,0)+MATCH($D23,'[1]End - Use Prices'!$B$9:$B$11,0)-1,MATCH(AC$1,'[1]End - Use Prices'!$C$7:$AL$7,0))</f>
        <v>24.86</v>
      </c>
      <c r="AD23" s="41">
        <f>INDEX('[1]End - Use Prices'!$C$6:$AL$89,MATCH($C23,'[1]End - Use Prices'!$A$6:$A$89,0)+MATCH($D23,'[1]End - Use Prices'!$B$9:$B$11,0)-1,MATCH(AD$1,'[1]End - Use Prices'!$C$7:$AL$7,0))</f>
        <v>24.33</v>
      </c>
      <c r="AE23" s="41">
        <f>INDEX('[1]End - Use Prices'!$C$6:$AL$89,MATCH($C23,'[1]End - Use Prices'!$A$6:$A$89,0)+MATCH($D23,'[1]End - Use Prices'!$B$9:$B$11,0)-1,MATCH(AE$1,'[1]End - Use Prices'!$C$7:$AL$7,0))</f>
        <v>24.26</v>
      </c>
      <c r="AF23" s="41">
        <f>INDEX('[1]End - Use Prices'!$C$6:$AL$89,MATCH($C23,'[1]End - Use Prices'!$A$6:$A$89,0)+MATCH($D23,'[1]End - Use Prices'!$B$9:$B$11,0)-1,MATCH(AF$1,'[1]End - Use Prices'!$C$7:$AL$7,0))</f>
        <v>24.24</v>
      </c>
      <c r="AG23" s="41">
        <f>INDEX('[1]End - Use Prices'!$C$6:$AL$89,MATCH($C23,'[1]End - Use Prices'!$A$6:$A$89,0)+MATCH($D23,'[1]End - Use Prices'!$B$9:$B$11,0)-1,MATCH(AG$1,'[1]End - Use Prices'!$C$7:$AL$7,0))</f>
        <v>24.48</v>
      </c>
      <c r="AH23" s="41">
        <f>INDEX('[1]End - Use Prices'!$C$6:$AL$89,MATCH($C23,'[1]End - Use Prices'!$A$6:$A$89,0)+MATCH($D23,'[1]End - Use Prices'!$B$9:$B$11,0)-1,MATCH(AH$1,'[1]End - Use Prices'!$C$7:$AL$7,0))</f>
        <v>25.13</v>
      </c>
      <c r="AI23" s="41">
        <f>INDEX('[1]End - Use Prices'!$C$6:$AL$89,MATCH($C23,'[1]End - Use Prices'!$A$6:$A$89,0)+MATCH($D23,'[1]End - Use Prices'!$B$9:$B$11,0)-1,MATCH(AI$1,'[1]End - Use Prices'!$C$7:$AL$7,0))</f>
        <v>25.1</v>
      </c>
      <c r="AJ23" s="41">
        <f>INDEX('[1]End - Use Prices'!$C$6:$AL$89,MATCH($C23,'[1]End - Use Prices'!$A$6:$A$89,0)+MATCH($D23,'[1]End - Use Prices'!$B$9:$B$11,0)-1,MATCH(AJ$1,'[1]End - Use Prices'!$C$7:$AL$7,0))</f>
        <v>25.35</v>
      </c>
      <c r="AK23" s="41">
        <f>INDEX('[1]End - Use Prices'!$C$6:$AL$89,MATCH($C23,'[1]End - Use Prices'!$A$6:$A$89,0)+MATCH($D23,'[1]End - Use Prices'!$B$9:$B$11,0)-1,MATCH(AK$1,'[1]End - Use Prices'!$C$7:$AL$7,0))</f>
        <v>25.6</v>
      </c>
      <c r="AL23" s="41">
        <f>INDEX('[1]End - Use Prices'!$C$6:$AL$89,MATCH($C23,'[1]End - Use Prices'!$A$6:$A$89,0)+MATCH($D23,'[1]End - Use Prices'!$B$9:$B$11,0)-1,MATCH(AL$1,'[1]End - Use Prices'!$C$7:$AL$7,0))</f>
        <v>25.86</v>
      </c>
      <c r="AM23" s="41">
        <f>INDEX('[1]End - Use Prices'!$C$6:$AL$89,MATCH($C23,'[1]End - Use Prices'!$A$6:$A$89,0)+MATCH($D23,'[1]End - Use Prices'!$B$9:$B$11,0)-1,MATCH(AM$1,'[1]End - Use Prices'!$C$7:$AL$7,0))</f>
        <v>26.11</v>
      </c>
      <c r="AN23" s="41">
        <f>INDEX('[1]End - Use Prices'!$C$6:$AL$89,MATCH($C23,'[1]End - Use Prices'!$A$6:$A$89,0)+MATCH($D23,'[1]End - Use Prices'!$B$9:$B$11,0)-1,MATCH(AN$1,'[1]End - Use Prices'!$C$7:$AL$7,0))</f>
        <v>26.37</v>
      </c>
      <c r="AO23" s="41">
        <f>INDEX('[1]End - Use Prices'!$C$6:$AL$89,MATCH($C23,'[1]End - Use Prices'!$A$6:$A$89,0)+MATCH($D23,'[1]End - Use Prices'!$B$9:$B$11,0)-1,MATCH(AO$1,'[1]End - Use Prices'!$C$7:$AL$7,0))</f>
        <v>26.64</v>
      </c>
      <c r="AP23" s="41">
        <f>INDEX('[1]End - Use Prices'!$C$6:$AL$89,MATCH($C23,'[1]End - Use Prices'!$A$6:$A$89,0)+MATCH($D23,'[1]End - Use Prices'!$B$9:$B$11,0)-1,MATCH(AP$1,'[1]End - Use Prices'!$C$7:$AL$7,0))</f>
        <v>26.9</v>
      </c>
      <c r="AQ23" s="41">
        <f>INDEX('[1]End - Use Prices'!$C$6:$AL$89,MATCH($C23,'[1]End - Use Prices'!$A$6:$A$89,0)+MATCH($D23,'[1]End - Use Prices'!$B$9:$B$11,0)-1,MATCH(AQ$1,'[1]End - Use Prices'!$C$7:$AL$7,0))</f>
        <v>27.17</v>
      </c>
      <c r="AR23" s="41">
        <f>INDEX('[1]End - Use Prices'!$C$6:$AL$89,MATCH($C23,'[1]End - Use Prices'!$A$6:$A$89,0)+MATCH($D23,'[1]End - Use Prices'!$B$9:$B$11,0)-1,MATCH(AR$1,'[1]End - Use Prices'!$C$7:$AL$7,0))</f>
        <v>27.44</v>
      </c>
      <c r="AS23" s="41">
        <f>INDEX('[1]End - Use Prices'!$C$6:$AL$89,MATCH($C23,'[1]End - Use Prices'!$A$6:$A$89,0)+MATCH($D23,'[1]End - Use Prices'!$B$9:$B$11,0)-1,MATCH(AS$1,'[1]End - Use Prices'!$C$7:$AL$7,0))</f>
        <v>27.72</v>
      </c>
      <c r="AT23" s="41">
        <f>INDEX('[1]End - Use Prices'!$C$6:$AL$89,MATCH($C23,'[1]End - Use Prices'!$A$6:$A$89,0)+MATCH($D23,'[1]End - Use Prices'!$B$9:$B$11,0)-1,MATCH(AT$1,'[1]End - Use Prices'!$C$7:$AL$7,0))</f>
        <v>27.99</v>
      </c>
      <c r="AU23" s="41">
        <f>INDEX('[1]End - Use Prices'!$C$6:$AL$89,MATCH($C23,'[1]End - Use Prices'!$A$6:$A$89,0)+MATCH($D23,'[1]End - Use Prices'!$B$9:$B$11,0)-1,MATCH(AU$1,'[1]End - Use Prices'!$C$7:$AL$7,0))</f>
        <v>28.27</v>
      </c>
      <c r="AV23" s="41">
        <f>INDEX('[1]End - Use Prices'!$C$6:$AL$89,MATCH($C23,'[1]End - Use Prices'!$A$6:$A$89,0)+MATCH($D23,'[1]End - Use Prices'!$B$9:$B$11,0)-1,MATCH(AV$1,'[1]End - Use Prices'!$C$7:$AL$7,0))</f>
        <v>28.55</v>
      </c>
      <c r="AW23" s="41">
        <f>INDEX('[1]End - Use Prices'!$C$6:$AL$89,MATCH($C23,'[1]End - Use Prices'!$A$6:$A$89,0)+MATCH($D23,'[1]End - Use Prices'!$B$9:$B$11,0)-1,MATCH(AW$1,'[1]End - Use Prices'!$C$7:$AL$7,0))</f>
        <v>28.84</v>
      </c>
      <c r="AX23" s="41">
        <f>INDEX('[1]End - Use Prices'!$C$6:$AL$89,MATCH($C23,'[1]End - Use Prices'!$A$6:$A$89,0)+MATCH($D23,'[1]End - Use Prices'!$B$9:$B$11,0)-1,MATCH(AX$1,'[1]End - Use Prices'!$C$7:$AL$7,0))</f>
        <v>29.12</v>
      </c>
      <c r="AY23" s="41">
        <f>INDEX('[1]End - Use Prices'!$C$6:$AL$89,MATCH($C23,'[1]End - Use Prices'!$A$6:$A$89,0)+MATCH($D23,'[1]End - Use Prices'!$B$9:$B$11,0)-1,MATCH(AY$1,'[1]End - Use Prices'!$C$7:$AL$7,0))</f>
        <v>29.41</v>
      </c>
      <c r="AZ23" s="41">
        <f>INDEX('[1]End - Use Prices'!$C$6:$AL$89,MATCH($C23,'[1]End - Use Prices'!$A$6:$A$89,0)+MATCH($D23,'[1]End - Use Prices'!$B$9:$B$11,0)-1,MATCH(AZ$1,'[1]End - Use Prices'!$C$7:$AL$7,0))</f>
        <v>29.71</v>
      </c>
      <c r="BA23" s="41">
        <f>INDEX('[1]End - Use Prices'!$C$6:$AL$89,MATCH($C23,'[1]End - Use Prices'!$A$6:$A$89,0)+MATCH($D23,'[1]End - Use Prices'!$B$9:$B$11,0)-1,MATCH(BA$1,'[1]End - Use Prices'!$C$7:$AL$7,0))</f>
        <v>30</v>
      </c>
      <c r="BB23" s="41">
        <f>INDEX('[1]End - Use Prices'!$C$6:$AL$89,MATCH($C23,'[1]End - Use Prices'!$A$6:$A$89,0)+MATCH($D23,'[1]End - Use Prices'!$B$9:$B$11,0)-1,MATCH(BB$1,'[1]End - Use Prices'!$C$7:$AL$7,0))</f>
        <v>30.3</v>
      </c>
      <c r="BC23" s="41">
        <f>INDEX('[1]End - Use Prices'!$C$6:$AL$89,MATCH($C23,'[1]End - Use Prices'!$A$6:$A$89,0)+MATCH($D23,'[1]End - Use Prices'!$B$9:$B$11,0)-1,MATCH(BC$1,'[1]End - Use Prices'!$C$7:$AL$7,0))</f>
        <v>30.6</v>
      </c>
      <c r="BD23" s="41">
        <f>INDEX('[1]End - Use Prices'!$C$6:$AL$89,MATCH($C23,'[1]End - Use Prices'!$A$6:$A$89,0)+MATCH($D23,'[1]End - Use Prices'!$B$9:$B$11,0)-1,MATCH(BD$1,'[1]End - Use Prices'!$C$7:$AL$7,0))</f>
        <v>30.91</v>
      </c>
      <c r="BE23" s="41">
        <f>INDEX('[1]End - Use Prices'!$C$6:$AL$89,MATCH($C23,'[1]End - Use Prices'!$A$6:$A$89,0)+MATCH($D23,'[1]End - Use Prices'!$B$9:$B$11,0)-1,MATCH(BE$1,'[1]End - Use Prices'!$C$7:$AL$7,0))</f>
        <v>31.22</v>
      </c>
      <c r="BF23" s="41">
        <f>INDEX('[1]End - Use Prices'!$C$6:$AL$89,MATCH($C23,'[1]End - Use Prices'!$A$6:$A$89,0)+MATCH($D23,'[1]End - Use Prices'!$B$9:$B$11,0)-1,MATCH(BF$1,'[1]End - Use Prices'!$C$7:$AL$7,0))</f>
        <v>31.53</v>
      </c>
      <c r="BG23" s="41">
        <f>INDEX('[1]End - Use Prices'!$C$6:$AL$89,MATCH($C23,'[1]End - Use Prices'!$A$6:$A$89,0)+MATCH($D23,'[1]End - Use Prices'!$B$9:$B$11,0)-1,MATCH(BG$1,'[1]End - Use Prices'!$C$7:$AL$7,0))</f>
        <v>31.84</v>
      </c>
      <c r="BR23" s="39"/>
      <c r="BS23" s="39"/>
      <c r="BT23" s="39"/>
      <c r="BU23" s="39"/>
      <c r="BV23" s="39"/>
      <c r="BW23" s="39"/>
      <c r="BX23" s="39"/>
      <c r="BY23" s="39"/>
      <c r="BZ23" s="39"/>
      <c r="CA23" s="39"/>
    </row>
    <row r="24" spans="1:79" x14ac:dyDescent="0.25">
      <c r="A24" s="5"/>
      <c r="B24" s="3"/>
      <c r="C24" s="25" t="s">
        <v>90</v>
      </c>
      <c r="D24" s="25" t="s">
        <v>2</v>
      </c>
      <c r="E24" s="25" t="s">
        <v>282</v>
      </c>
      <c r="F24" s="67" t="s">
        <v>279</v>
      </c>
      <c r="G24" s="53">
        <f t="shared" si="4"/>
        <v>36.92</v>
      </c>
      <c r="H24" s="34">
        <f t="shared" si="5"/>
        <v>36.92</v>
      </c>
      <c r="I24" s="34">
        <f t="shared" si="5"/>
        <v>39.14</v>
      </c>
      <c r="J24" s="34">
        <f t="shared" si="5"/>
        <v>48.73</v>
      </c>
      <c r="K24" s="34">
        <f t="shared" si="5"/>
        <v>60.89</v>
      </c>
      <c r="L24" s="34">
        <f t="shared" si="5"/>
        <v>63.81</v>
      </c>
      <c r="M24" s="34">
        <f t="shared" si="5"/>
        <v>66.47</v>
      </c>
      <c r="N24" s="34">
        <f t="shared" si="5"/>
        <v>69.05</v>
      </c>
      <c r="O24" s="34">
        <f t="shared" si="5"/>
        <v>71.69</v>
      </c>
      <c r="P24" s="53">
        <f t="shared" si="6"/>
        <v>71.69</v>
      </c>
      <c r="Q24" s="53">
        <f t="shared" si="6"/>
        <v>71.69</v>
      </c>
      <c r="R24" s="38"/>
      <c r="X24" s="41">
        <f>INDEX('[1]End - Use Prices'!$C$6:$AL$89,MATCH($C24,'[1]End - Use Prices'!$A$6:$A$89,0)+MATCH($D24,'[1]End - Use Prices'!$B$9:$B$11,0)-1,MATCH(X$1,'[1]End - Use Prices'!$C$7:$AL$7,0))</f>
        <v>36.92</v>
      </c>
      <c r="Y24" s="41">
        <f>INDEX('[1]End - Use Prices'!$C$6:$AL$89,MATCH($C24,'[1]End - Use Prices'!$A$6:$A$89,0)+MATCH($D24,'[1]End - Use Prices'!$B$9:$B$11,0)-1,MATCH(Y$1,'[1]End - Use Prices'!$C$7:$AL$7,0))</f>
        <v>40.86</v>
      </c>
      <c r="Z24" s="41">
        <f>INDEX('[1]End - Use Prices'!$C$6:$AL$89,MATCH($C24,'[1]End - Use Prices'!$A$6:$A$89,0)+MATCH($D24,'[1]End - Use Prices'!$B$9:$B$11,0)-1,MATCH(Z$1,'[1]End - Use Prices'!$C$7:$AL$7,0))</f>
        <v>40.64</v>
      </c>
      <c r="AA24" s="41">
        <f>INDEX('[1]End - Use Prices'!$C$6:$AL$89,MATCH($C24,'[1]End - Use Prices'!$A$6:$A$89,0)+MATCH($D24,'[1]End - Use Prices'!$B$9:$B$11,0)-1,MATCH(AA$1,'[1]End - Use Prices'!$C$7:$AL$7,0))</f>
        <v>37.31</v>
      </c>
      <c r="AB24" s="41">
        <f>INDEX('[1]End - Use Prices'!$C$6:$AL$89,MATCH($C24,'[1]End - Use Prices'!$A$6:$A$89,0)+MATCH($D24,'[1]End - Use Prices'!$B$9:$B$11,0)-1,MATCH(AB$1,'[1]End - Use Prices'!$C$7:$AL$7,0))</f>
        <v>39.53</v>
      </c>
      <c r="AC24" s="41">
        <f>INDEX('[1]End - Use Prices'!$C$6:$AL$89,MATCH($C24,'[1]End - Use Prices'!$A$6:$A$89,0)+MATCH($D24,'[1]End - Use Prices'!$B$9:$B$11,0)-1,MATCH(AC$1,'[1]End - Use Prices'!$C$7:$AL$7,0))</f>
        <v>39.14</v>
      </c>
      <c r="AD24" s="41">
        <f>INDEX('[1]End - Use Prices'!$C$6:$AL$89,MATCH($C24,'[1]End - Use Prices'!$A$6:$A$89,0)+MATCH($D24,'[1]End - Use Prices'!$B$9:$B$11,0)-1,MATCH(AD$1,'[1]End - Use Prices'!$C$7:$AL$7,0))</f>
        <v>40.4</v>
      </c>
      <c r="AE24" s="41">
        <f>INDEX('[1]End - Use Prices'!$C$6:$AL$89,MATCH($C24,'[1]End - Use Prices'!$A$6:$A$89,0)+MATCH($D24,'[1]End - Use Prices'!$B$9:$B$11,0)-1,MATCH(AE$1,'[1]End - Use Prices'!$C$7:$AL$7,0))</f>
        <v>42.06</v>
      </c>
      <c r="AF24" s="41">
        <f>INDEX('[1]End - Use Prices'!$C$6:$AL$89,MATCH($C24,'[1]End - Use Prices'!$A$6:$A$89,0)+MATCH($D24,'[1]End - Use Prices'!$B$9:$B$11,0)-1,MATCH(AF$1,'[1]End - Use Prices'!$C$7:$AL$7,0))</f>
        <v>42.96</v>
      </c>
      <c r="AG24" s="41">
        <f>INDEX('[1]End - Use Prices'!$C$6:$AL$89,MATCH($C24,'[1]End - Use Prices'!$A$6:$A$89,0)+MATCH($D24,'[1]End - Use Prices'!$B$9:$B$11,0)-1,MATCH(AG$1,'[1]End - Use Prices'!$C$7:$AL$7,0))</f>
        <v>46.39</v>
      </c>
      <c r="AH24" s="41">
        <f>INDEX('[1]End - Use Prices'!$C$6:$AL$89,MATCH($C24,'[1]End - Use Prices'!$A$6:$A$89,0)+MATCH($D24,'[1]End - Use Prices'!$B$9:$B$11,0)-1,MATCH(AH$1,'[1]End - Use Prices'!$C$7:$AL$7,0))</f>
        <v>48.73</v>
      </c>
      <c r="AI24" s="41">
        <f>INDEX('[1]End - Use Prices'!$C$6:$AL$89,MATCH($C24,'[1]End - Use Prices'!$A$6:$A$89,0)+MATCH($D24,'[1]End - Use Prices'!$B$9:$B$11,0)-1,MATCH(AI$1,'[1]End - Use Prices'!$C$7:$AL$7,0))</f>
        <v>58.38</v>
      </c>
      <c r="AJ24" s="41">
        <f>INDEX('[1]End - Use Prices'!$C$6:$AL$89,MATCH($C24,'[1]End - Use Prices'!$A$6:$A$89,0)+MATCH($D24,'[1]End - Use Prices'!$B$9:$B$11,0)-1,MATCH(AJ$1,'[1]End - Use Prices'!$C$7:$AL$7,0))</f>
        <v>58.96</v>
      </c>
      <c r="AK24" s="41">
        <f>INDEX('[1]End - Use Prices'!$C$6:$AL$89,MATCH($C24,'[1]End - Use Prices'!$A$6:$A$89,0)+MATCH($D24,'[1]End - Use Prices'!$B$9:$B$11,0)-1,MATCH(AK$1,'[1]End - Use Prices'!$C$7:$AL$7,0))</f>
        <v>59.62</v>
      </c>
      <c r="AL24" s="41">
        <f>INDEX('[1]End - Use Prices'!$C$6:$AL$89,MATCH($C24,'[1]End - Use Prices'!$A$6:$A$89,0)+MATCH($D24,'[1]End - Use Prices'!$B$9:$B$11,0)-1,MATCH(AL$1,'[1]End - Use Prices'!$C$7:$AL$7,0))</f>
        <v>60.27</v>
      </c>
      <c r="AM24" s="41">
        <f>INDEX('[1]End - Use Prices'!$C$6:$AL$89,MATCH($C24,'[1]End - Use Prices'!$A$6:$A$89,0)+MATCH($D24,'[1]End - Use Prices'!$B$9:$B$11,0)-1,MATCH(AM$1,'[1]End - Use Prices'!$C$7:$AL$7,0))</f>
        <v>60.89</v>
      </c>
      <c r="AN24" s="41">
        <f>INDEX('[1]End - Use Prices'!$C$6:$AL$89,MATCH($C24,'[1]End - Use Prices'!$A$6:$A$89,0)+MATCH($D24,'[1]End - Use Prices'!$B$9:$B$11,0)-1,MATCH(AN$1,'[1]End - Use Prices'!$C$7:$AL$7,0))</f>
        <v>61.51</v>
      </c>
      <c r="AO24" s="41">
        <f>INDEX('[1]End - Use Prices'!$C$6:$AL$89,MATCH($C24,'[1]End - Use Prices'!$A$6:$A$89,0)+MATCH($D24,'[1]End - Use Prices'!$B$9:$B$11,0)-1,MATCH(AO$1,'[1]End - Use Prices'!$C$7:$AL$7,0))</f>
        <v>62.1</v>
      </c>
      <c r="AP24" s="41">
        <f>INDEX('[1]End - Use Prices'!$C$6:$AL$89,MATCH($C24,'[1]End - Use Prices'!$A$6:$A$89,0)+MATCH($D24,'[1]End - Use Prices'!$B$9:$B$11,0)-1,MATCH(AP$1,'[1]End - Use Prices'!$C$7:$AL$7,0))</f>
        <v>62.68</v>
      </c>
      <c r="AQ24" s="41">
        <f>INDEX('[1]End - Use Prices'!$C$6:$AL$89,MATCH($C24,'[1]End - Use Prices'!$A$6:$A$89,0)+MATCH($D24,'[1]End - Use Prices'!$B$9:$B$11,0)-1,MATCH(AQ$1,'[1]End - Use Prices'!$C$7:$AL$7,0))</f>
        <v>63.25</v>
      </c>
      <c r="AR24" s="41">
        <f>INDEX('[1]End - Use Prices'!$C$6:$AL$89,MATCH($C24,'[1]End - Use Prices'!$A$6:$A$89,0)+MATCH($D24,'[1]End - Use Prices'!$B$9:$B$11,0)-1,MATCH(AR$1,'[1]End - Use Prices'!$C$7:$AL$7,0))</f>
        <v>63.81</v>
      </c>
      <c r="AS24" s="41">
        <f>INDEX('[1]End - Use Prices'!$C$6:$AL$89,MATCH($C24,'[1]End - Use Prices'!$A$6:$A$89,0)+MATCH($D24,'[1]End - Use Prices'!$B$9:$B$11,0)-1,MATCH(AS$1,'[1]End - Use Prices'!$C$7:$AL$7,0))</f>
        <v>64.36</v>
      </c>
      <c r="AT24" s="41">
        <f>INDEX('[1]End - Use Prices'!$C$6:$AL$89,MATCH($C24,'[1]End - Use Prices'!$A$6:$A$89,0)+MATCH($D24,'[1]End - Use Prices'!$B$9:$B$11,0)-1,MATCH(AT$1,'[1]End - Use Prices'!$C$7:$AL$7,0))</f>
        <v>64.900000000000006</v>
      </c>
      <c r="AU24" s="41">
        <f>INDEX('[1]End - Use Prices'!$C$6:$AL$89,MATCH($C24,'[1]End - Use Prices'!$A$6:$A$89,0)+MATCH($D24,'[1]End - Use Prices'!$B$9:$B$11,0)-1,MATCH(AU$1,'[1]End - Use Prices'!$C$7:$AL$7,0))</f>
        <v>65.430000000000007</v>
      </c>
      <c r="AV24" s="41">
        <f>INDEX('[1]End - Use Prices'!$C$6:$AL$89,MATCH($C24,'[1]End - Use Prices'!$A$6:$A$89,0)+MATCH($D24,'[1]End - Use Prices'!$B$9:$B$11,0)-1,MATCH(AV$1,'[1]End - Use Prices'!$C$7:$AL$7,0))</f>
        <v>65.95</v>
      </c>
      <c r="AW24" s="41">
        <f>INDEX('[1]End - Use Prices'!$C$6:$AL$89,MATCH($C24,'[1]End - Use Prices'!$A$6:$A$89,0)+MATCH($D24,'[1]End - Use Prices'!$B$9:$B$11,0)-1,MATCH(AW$1,'[1]End - Use Prices'!$C$7:$AL$7,0))</f>
        <v>66.47</v>
      </c>
      <c r="AX24" s="41">
        <f>INDEX('[1]End - Use Prices'!$C$6:$AL$89,MATCH($C24,'[1]End - Use Prices'!$A$6:$A$89,0)+MATCH($D24,'[1]End - Use Prices'!$B$9:$B$11,0)-1,MATCH(AX$1,'[1]End - Use Prices'!$C$7:$AL$7,0))</f>
        <v>66.989999999999995</v>
      </c>
      <c r="AY24" s="41">
        <f>INDEX('[1]End - Use Prices'!$C$6:$AL$89,MATCH($C24,'[1]End - Use Prices'!$A$6:$A$89,0)+MATCH($D24,'[1]End - Use Prices'!$B$9:$B$11,0)-1,MATCH(AY$1,'[1]End - Use Prices'!$C$7:$AL$7,0))</f>
        <v>67.510000000000005</v>
      </c>
      <c r="AZ24" s="41">
        <f>INDEX('[1]End - Use Prices'!$C$6:$AL$89,MATCH($C24,'[1]End - Use Prices'!$A$6:$A$89,0)+MATCH($D24,'[1]End - Use Prices'!$B$9:$B$11,0)-1,MATCH(AZ$1,'[1]End - Use Prices'!$C$7:$AL$7,0))</f>
        <v>68.02</v>
      </c>
      <c r="BA24" s="41">
        <f>INDEX('[1]End - Use Prices'!$C$6:$AL$89,MATCH($C24,'[1]End - Use Prices'!$A$6:$A$89,0)+MATCH($D24,'[1]End - Use Prices'!$B$9:$B$11,0)-1,MATCH(BA$1,'[1]End - Use Prices'!$C$7:$AL$7,0))</f>
        <v>68.53</v>
      </c>
      <c r="BB24" s="41">
        <f>INDEX('[1]End - Use Prices'!$C$6:$AL$89,MATCH($C24,'[1]End - Use Prices'!$A$6:$A$89,0)+MATCH($D24,'[1]End - Use Prices'!$B$9:$B$11,0)-1,MATCH(BB$1,'[1]End - Use Prices'!$C$7:$AL$7,0))</f>
        <v>69.05</v>
      </c>
      <c r="BC24" s="41">
        <f>INDEX('[1]End - Use Prices'!$C$6:$AL$89,MATCH($C24,'[1]End - Use Prices'!$A$6:$A$89,0)+MATCH($D24,'[1]End - Use Prices'!$B$9:$B$11,0)-1,MATCH(BC$1,'[1]End - Use Prices'!$C$7:$AL$7,0))</f>
        <v>69.569999999999993</v>
      </c>
      <c r="BD24" s="41">
        <f>INDEX('[1]End - Use Prices'!$C$6:$AL$89,MATCH($C24,'[1]End - Use Prices'!$A$6:$A$89,0)+MATCH($D24,'[1]End - Use Prices'!$B$9:$B$11,0)-1,MATCH(BD$1,'[1]End - Use Prices'!$C$7:$AL$7,0))</f>
        <v>70.09</v>
      </c>
      <c r="BE24" s="41">
        <f>INDEX('[1]End - Use Prices'!$C$6:$AL$89,MATCH($C24,'[1]End - Use Prices'!$A$6:$A$89,0)+MATCH($D24,'[1]End - Use Prices'!$B$9:$B$11,0)-1,MATCH(BE$1,'[1]End - Use Prices'!$C$7:$AL$7,0))</f>
        <v>70.62</v>
      </c>
      <c r="BF24" s="41">
        <f>INDEX('[1]End - Use Prices'!$C$6:$AL$89,MATCH($C24,'[1]End - Use Prices'!$A$6:$A$89,0)+MATCH($D24,'[1]End - Use Prices'!$B$9:$B$11,0)-1,MATCH(BF$1,'[1]End - Use Prices'!$C$7:$AL$7,0))</f>
        <v>71.150000000000006</v>
      </c>
      <c r="BG24" s="41">
        <f>INDEX('[1]End - Use Prices'!$C$6:$AL$89,MATCH($C24,'[1]End - Use Prices'!$A$6:$A$89,0)+MATCH($D24,'[1]End - Use Prices'!$B$9:$B$11,0)-1,MATCH(BG$1,'[1]End - Use Prices'!$C$7:$AL$7,0))</f>
        <v>71.69</v>
      </c>
      <c r="BR24" s="39"/>
      <c r="BS24" s="39"/>
      <c r="BT24" s="39"/>
      <c r="BU24" s="39"/>
      <c r="BV24" s="39"/>
      <c r="BW24" s="39"/>
      <c r="BX24" s="39"/>
      <c r="BY24" s="39"/>
      <c r="BZ24" s="39"/>
      <c r="CA24" s="39"/>
    </row>
    <row r="25" spans="1:79" x14ac:dyDescent="0.25">
      <c r="A25" s="5"/>
      <c r="B25" s="3"/>
      <c r="C25" s="25" t="s">
        <v>91</v>
      </c>
      <c r="D25" s="25" t="s">
        <v>2</v>
      </c>
      <c r="E25" s="25" t="s">
        <v>282</v>
      </c>
      <c r="F25" s="67" t="s">
        <v>279</v>
      </c>
      <c r="G25" s="53">
        <f t="shared" si="4"/>
        <v>23.08</v>
      </c>
      <c r="H25" s="34">
        <f t="shared" si="5"/>
        <v>23.08</v>
      </c>
      <c r="I25" s="34">
        <f t="shared" si="5"/>
        <v>24.17</v>
      </c>
      <c r="J25" s="34">
        <f t="shared" si="5"/>
        <v>26.03</v>
      </c>
      <c r="K25" s="34">
        <f t="shared" si="5"/>
        <v>28.24</v>
      </c>
      <c r="L25" s="34">
        <f t="shared" si="5"/>
        <v>29.99</v>
      </c>
      <c r="M25" s="34">
        <f t="shared" si="5"/>
        <v>31.58</v>
      </c>
      <c r="N25" s="34">
        <f t="shared" si="5"/>
        <v>32.82</v>
      </c>
      <c r="O25" s="34">
        <f t="shared" si="5"/>
        <v>33.51</v>
      </c>
      <c r="P25" s="53">
        <f t="shared" si="6"/>
        <v>33.51</v>
      </c>
      <c r="Q25" s="53">
        <f t="shared" si="6"/>
        <v>33.51</v>
      </c>
      <c r="R25" s="38"/>
      <c r="X25" s="41">
        <f>INDEX('[1]End - Use Prices'!$C$6:$AL$89,MATCH($C25,'[1]End - Use Prices'!$A$6:$A$89,0)+MATCH($D25,'[1]End - Use Prices'!$B$9:$B$11,0)-1,MATCH(X$1,'[1]End - Use Prices'!$C$7:$AL$7,0))</f>
        <v>23.08</v>
      </c>
      <c r="Y25" s="41">
        <f>INDEX('[1]End - Use Prices'!$C$6:$AL$89,MATCH($C25,'[1]End - Use Prices'!$A$6:$A$89,0)+MATCH($D25,'[1]End - Use Prices'!$B$9:$B$11,0)-1,MATCH(Y$1,'[1]End - Use Prices'!$C$7:$AL$7,0))</f>
        <v>23.95</v>
      </c>
      <c r="Z25" s="41">
        <f>INDEX('[1]End - Use Prices'!$C$6:$AL$89,MATCH($C25,'[1]End - Use Prices'!$A$6:$A$89,0)+MATCH($D25,'[1]End - Use Prices'!$B$9:$B$11,0)-1,MATCH(Z$1,'[1]End - Use Prices'!$C$7:$AL$7,0))</f>
        <v>23.39</v>
      </c>
      <c r="AA25" s="41">
        <f>INDEX('[1]End - Use Prices'!$C$6:$AL$89,MATCH($C25,'[1]End - Use Prices'!$A$6:$A$89,0)+MATCH($D25,'[1]End - Use Prices'!$B$9:$B$11,0)-1,MATCH(AA$1,'[1]End - Use Prices'!$C$7:$AL$7,0))</f>
        <v>22.1</v>
      </c>
      <c r="AB25" s="41">
        <f>INDEX('[1]End - Use Prices'!$C$6:$AL$89,MATCH($C25,'[1]End - Use Prices'!$A$6:$A$89,0)+MATCH($D25,'[1]End - Use Prices'!$B$9:$B$11,0)-1,MATCH(AB$1,'[1]End - Use Prices'!$C$7:$AL$7,0))</f>
        <v>24.37</v>
      </c>
      <c r="AC25" s="41">
        <f>INDEX('[1]End - Use Prices'!$C$6:$AL$89,MATCH($C25,'[1]End - Use Prices'!$A$6:$A$89,0)+MATCH($D25,'[1]End - Use Prices'!$B$9:$B$11,0)-1,MATCH(AC$1,'[1]End - Use Prices'!$C$7:$AL$7,0))</f>
        <v>24.17</v>
      </c>
      <c r="AD25" s="41">
        <f>INDEX('[1]End - Use Prices'!$C$6:$AL$89,MATCH($C25,'[1]End - Use Prices'!$A$6:$A$89,0)+MATCH($D25,'[1]End - Use Prices'!$B$9:$B$11,0)-1,MATCH(AD$1,'[1]End - Use Prices'!$C$7:$AL$7,0))</f>
        <v>24.13</v>
      </c>
      <c r="AE25" s="41">
        <f>INDEX('[1]End - Use Prices'!$C$6:$AL$89,MATCH($C25,'[1]End - Use Prices'!$A$6:$A$89,0)+MATCH($D25,'[1]End - Use Prices'!$B$9:$B$11,0)-1,MATCH(AE$1,'[1]End - Use Prices'!$C$7:$AL$7,0))</f>
        <v>24.35</v>
      </c>
      <c r="AF25" s="41">
        <f>INDEX('[1]End - Use Prices'!$C$6:$AL$89,MATCH($C25,'[1]End - Use Prices'!$A$6:$A$89,0)+MATCH($D25,'[1]End - Use Prices'!$B$9:$B$11,0)-1,MATCH(AF$1,'[1]End - Use Prices'!$C$7:$AL$7,0))</f>
        <v>24.49</v>
      </c>
      <c r="AG25" s="41">
        <f>INDEX('[1]End - Use Prices'!$C$6:$AL$89,MATCH($C25,'[1]End - Use Prices'!$A$6:$A$89,0)+MATCH($D25,'[1]End - Use Prices'!$B$9:$B$11,0)-1,MATCH(AG$1,'[1]End - Use Prices'!$C$7:$AL$7,0))</f>
        <v>25.11</v>
      </c>
      <c r="AH25" s="41">
        <f>INDEX('[1]End - Use Prices'!$C$6:$AL$89,MATCH($C25,'[1]End - Use Prices'!$A$6:$A$89,0)+MATCH($D25,'[1]End - Use Prices'!$B$9:$B$11,0)-1,MATCH(AH$1,'[1]End - Use Prices'!$C$7:$AL$7,0))</f>
        <v>26.03</v>
      </c>
      <c r="AI25" s="41">
        <f>INDEX('[1]End - Use Prices'!$C$6:$AL$89,MATCH($C25,'[1]End - Use Prices'!$A$6:$A$89,0)+MATCH($D25,'[1]End - Use Prices'!$B$9:$B$11,0)-1,MATCH(AI$1,'[1]End - Use Prices'!$C$7:$AL$7,0))</f>
        <v>26.89</v>
      </c>
      <c r="AJ25" s="41">
        <f>INDEX('[1]End - Use Prices'!$C$6:$AL$89,MATCH($C25,'[1]End - Use Prices'!$A$6:$A$89,0)+MATCH($D25,'[1]End - Use Prices'!$B$9:$B$11,0)-1,MATCH(AJ$1,'[1]End - Use Prices'!$C$7:$AL$7,0))</f>
        <v>27.19</v>
      </c>
      <c r="AK25" s="41">
        <f>INDEX('[1]End - Use Prices'!$C$6:$AL$89,MATCH($C25,'[1]End - Use Prices'!$A$6:$A$89,0)+MATCH($D25,'[1]End - Use Prices'!$B$9:$B$11,0)-1,MATCH(AK$1,'[1]End - Use Prices'!$C$7:$AL$7,0))</f>
        <v>27.53</v>
      </c>
      <c r="AL25" s="41">
        <f>INDEX('[1]End - Use Prices'!$C$6:$AL$89,MATCH($C25,'[1]End - Use Prices'!$A$6:$A$89,0)+MATCH($D25,'[1]End - Use Prices'!$B$9:$B$11,0)-1,MATCH(AL$1,'[1]End - Use Prices'!$C$7:$AL$7,0))</f>
        <v>27.88</v>
      </c>
      <c r="AM25" s="41">
        <f>INDEX('[1]End - Use Prices'!$C$6:$AL$89,MATCH($C25,'[1]End - Use Prices'!$A$6:$A$89,0)+MATCH($D25,'[1]End - Use Prices'!$B$9:$B$11,0)-1,MATCH(AM$1,'[1]End - Use Prices'!$C$7:$AL$7,0))</f>
        <v>28.24</v>
      </c>
      <c r="AN25" s="41">
        <f>INDEX('[1]End - Use Prices'!$C$6:$AL$89,MATCH($C25,'[1]End - Use Prices'!$A$6:$A$89,0)+MATCH($D25,'[1]End - Use Prices'!$B$9:$B$11,0)-1,MATCH(AN$1,'[1]End - Use Prices'!$C$7:$AL$7,0))</f>
        <v>28.59</v>
      </c>
      <c r="AO25" s="41">
        <f>INDEX('[1]End - Use Prices'!$C$6:$AL$89,MATCH($C25,'[1]End - Use Prices'!$A$6:$A$89,0)+MATCH($D25,'[1]End - Use Prices'!$B$9:$B$11,0)-1,MATCH(AO$1,'[1]End - Use Prices'!$C$7:$AL$7,0))</f>
        <v>28.94</v>
      </c>
      <c r="AP25" s="41">
        <f>INDEX('[1]End - Use Prices'!$C$6:$AL$89,MATCH($C25,'[1]End - Use Prices'!$A$6:$A$89,0)+MATCH($D25,'[1]End - Use Prices'!$B$9:$B$11,0)-1,MATCH(AP$1,'[1]End - Use Prices'!$C$7:$AL$7,0))</f>
        <v>29.29</v>
      </c>
      <c r="AQ25" s="41">
        <f>INDEX('[1]End - Use Prices'!$C$6:$AL$89,MATCH($C25,'[1]End - Use Prices'!$A$6:$A$89,0)+MATCH($D25,'[1]End - Use Prices'!$B$9:$B$11,0)-1,MATCH(AQ$1,'[1]End - Use Prices'!$C$7:$AL$7,0))</f>
        <v>29.64</v>
      </c>
      <c r="AR25" s="41">
        <f>INDEX('[1]End - Use Prices'!$C$6:$AL$89,MATCH($C25,'[1]End - Use Prices'!$A$6:$A$89,0)+MATCH($D25,'[1]End - Use Prices'!$B$9:$B$11,0)-1,MATCH(AR$1,'[1]End - Use Prices'!$C$7:$AL$7,0))</f>
        <v>29.99</v>
      </c>
      <c r="AS25" s="41">
        <f>INDEX('[1]End - Use Prices'!$C$6:$AL$89,MATCH($C25,'[1]End - Use Prices'!$A$6:$A$89,0)+MATCH($D25,'[1]End - Use Prices'!$B$9:$B$11,0)-1,MATCH(AS$1,'[1]End - Use Prices'!$C$7:$AL$7,0))</f>
        <v>30.32</v>
      </c>
      <c r="AT25" s="41">
        <f>INDEX('[1]End - Use Prices'!$C$6:$AL$89,MATCH($C25,'[1]End - Use Prices'!$A$6:$A$89,0)+MATCH($D25,'[1]End - Use Prices'!$B$9:$B$11,0)-1,MATCH(AT$1,'[1]End - Use Prices'!$C$7:$AL$7,0))</f>
        <v>30.65</v>
      </c>
      <c r="AU25" s="41">
        <f>INDEX('[1]End - Use Prices'!$C$6:$AL$89,MATCH($C25,'[1]End - Use Prices'!$A$6:$A$89,0)+MATCH($D25,'[1]End - Use Prices'!$B$9:$B$11,0)-1,MATCH(AU$1,'[1]End - Use Prices'!$C$7:$AL$7,0))</f>
        <v>30.97</v>
      </c>
      <c r="AV25" s="41">
        <f>INDEX('[1]End - Use Prices'!$C$6:$AL$89,MATCH($C25,'[1]End - Use Prices'!$A$6:$A$89,0)+MATCH($D25,'[1]End - Use Prices'!$B$9:$B$11,0)-1,MATCH(AV$1,'[1]End - Use Prices'!$C$7:$AL$7,0))</f>
        <v>31.28</v>
      </c>
      <c r="AW25" s="41">
        <f>INDEX('[1]End - Use Prices'!$C$6:$AL$89,MATCH($C25,'[1]End - Use Prices'!$A$6:$A$89,0)+MATCH($D25,'[1]End - Use Prices'!$B$9:$B$11,0)-1,MATCH(AW$1,'[1]End - Use Prices'!$C$7:$AL$7,0))</f>
        <v>31.58</v>
      </c>
      <c r="AX25" s="41">
        <f>INDEX('[1]End - Use Prices'!$C$6:$AL$89,MATCH($C25,'[1]End - Use Prices'!$A$6:$A$89,0)+MATCH($D25,'[1]End - Use Prices'!$B$9:$B$11,0)-1,MATCH(AX$1,'[1]End - Use Prices'!$C$7:$AL$7,0))</f>
        <v>31.86</v>
      </c>
      <c r="AY25" s="41">
        <f>INDEX('[1]End - Use Prices'!$C$6:$AL$89,MATCH($C25,'[1]End - Use Prices'!$A$6:$A$89,0)+MATCH($D25,'[1]End - Use Prices'!$B$9:$B$11,0)-1,MATCH(AY$1,'[1]End - Use Prices'!$C$7:$AL$7,0))</f>
        <v>32.130000000000003</v>
      </c>
      <c r="AZ25" s="41">
        <f>INDEX('[1]End - Use Prices'!$C$6:$AL$89,MATCH($C25,'[1]End - Use Prices'!$A$6:$A$89,0)+MATCH($D25,'[1]End - Use Prices'!$B$9:$B$11,0)-1,MATCH(AZ$1,'[1]End - Use Prices'!$C$7:$AL$7,0))</f>
        <v>32.380000000000003</v>
      </c>
      <c r="BA25" s="41">
        <f>INDEX('[1]End - Use Prices'!$C$6:$AL$89,MATCH($C25,'[1]End - Use Prices'!$A$6:$A$89,0)+MATCH($D25,'[1]End - Use Prices'!$B$9:$B$11,0)-1,MATCH(BA$1,'[1]End - Use Prices'!$C$7:$AL$7,0))</f>
        <v>32.61</v>
      </c>
      <c r="BB25" s="41">
        <f>INDEX('[1]End - Use Prices'!$C$6:$AL$89,MATCH($C25,'[1]End - Use Prices'!$A$6:$A$89,0)+MATCH($D25,'[1]End - Use Prices'!$B$9:$B$11,0)-1,MATCH(BB$1,'[1]End - Use Prices'!$C$7:$AL$7,0))</f>
        <v>32.82</v>
      </c>
      <c r="BC25" s="41">
        <f>INDEX('[1]End - Use Prices'!$C$6:$AL$89,MATCH($C25,'[1]End - Use Prices'!$A$6:$A$89,0)+MATCH($D25,'[1]End - Use Prices'!$B$9:$B$11,0)-1,MATCH(BC$1,'[1]End - Use Prices'!$C$7:$AL$7,0))</f>
        <v>33.01</v>
      </c>
      <c r="BD25" s="41">
        <f>INDEX('[1]End - Use Prices'!$C$6:$AL$89,MATCH($C25,'[1]End - Use Prices'!$A$6:$A$89,0)+MATCH($D25,'[1]End - Use Prices'!$B$9:$B$11,0)-1,MATCH(BD$1,'[1]End - Use Prices'!$C$7:$AL$7,0))</f>
        <v>33.17</v>
      </c>
      <c r="BE25" s="41">
        <f>INDEX('[1]End - Use Prices'!$C$6:$AL$89,MATCH($C25,'[1]End - Use Prices'!$A$6:$A$89,0)+MATCH($D25,'[1]End - Use Prices'!$B$9:$B$11,0)-1,MATCH(BE$1,'[1]End - Use Prices'!$C$7:$AL$7,0))</f>
        <v>33.31</v>
      </c>
      <c r="BF25" s="41">
        <f>INDEX('[1]End - Use Prices'!$C$6:$AL$89,MATCH($C25,'[1]End - Use Prices'!$A$6:$A$89,0)+MATCH($D25,'[1]End - Use Prices'!$B$9:$B$11,0)-1,MATCH(BF$1,'[1]End - Use Prices'!$C$7:$AL$7,0))</f>
        <v>33.43</v>
      </c>
      <c r="BG25" s="41">
        <f>INDEX('[1]End - Use Prices'!$C$6:$AL$89,MATCH($C25,'[1]End - Use Prices'!$A$6:$A$89,0)+MATCH($D25,'[1]End - Use Prices'!$B$9:$B$11,0)-1,MATCH(BG$1,'[1]End - Use Prices'!$C$7:$AL$7,0))</f>
        <v>33.51</v>
      </c>
      <c r="BR25" s="39"/>
      <c r="BS25" s="39"/>
      <c r="BT25" s="39"/>
      <c r="BU25" s="39"/>
      <c r="BV25" s="39"/>
      <c r="BW25" s="39"/>
      <c r="BX25" s="39"/>
      <c r="BY25" s="39"/>
      <c r="BZ25" s="39"/>
      <c r="CA25" s="39"/>
    </row>
    <row r="26" spans="1:79" x14ac:dyDescent="0.25">
      <c r="A26" s="5"/>
      <c r="B26" s="3"/>
      <c r="C26" s="25" t="s">
        <v>92</v>
      </c>
      <c r="D26" s="25" t="s">
        <v>2</v>
      </c>
      <c r="E26" s="25" t="s">
        <v>282</v>
      </c>
      <c r="F26" s="67" t="s">
        <v>279</v>
      </c>
      <c r="G26" s="53">
        <f t="shared" si="4"/>
        <v>36.07</v>
      </c>
      <c r="H26" s="34">
        <f t="shared" si="5"/>
        <v>36.07</v>
      </c>
      <c r="I26" s="34">
        <f t="shared" si="5"/>
        <v>42.93</v>
      </c>
      <c r="J26" s="34">
        <f t="shared" si="5"/>
        <v>48.06</v>
      </c>
      <c r="K26" s="34">
        <f t="shared" si="5"/>
        <v>51.84</v>
      </c>
      <c r="L26" s="34">
        <f t="shared" si="5"/>
        <v>54.59</v>
      </c>
      <c r="M26" s="34">
        <f t="shared" si="5"/>
        <v>56.35</v>
      </c>
      <c r="N26" s="34">
        <f t="shared" si="5"/>
        <v>57.81</v>
      </c>
      <c r="O26" s="34">
        <f t="shared" si="5"/>
        <v>59.66</v>
      </c>
      <c r="P26" s="53">
        <f t="shared" si="6"/>
        <v>59.66</v>
      </c>
      <c r="Q26" s="53">
        <f t="shared" si="6"/>
        <v>59.66</v>
      </c>
      <c r="R26" s="38"/>
      <c r="X26" s="41">
        <f>INDEX('[1]End - Use Prices'!$C$6:$AL$89,MATCH($C26,'[1]End - Use Prices'!$A$6:$A$89,0)+MATCH($D26,'[1]End - Use Prices'!$B$9:$B$11,0)-1,MATCH(X$1,'[1]End - Use Prices'!$C$7:$AL$7,0))</f>
        <v>36.07</v>
      </c>
      <c r="Y26" s="41">
        <f>INDEX('[1]End - Use Prices'!$C$6:$AL$89,MATCH($C26,'[1]End - Use Prices'!$A$6:$A$89,0)+MATCH($D26,'[1]End - Use Prices'!$B$9:$B$11,0)-1,MATCH(Y$1,'[1]End - Use Prices'!$C$7:$AL$7,0))</f>
        <v>42.3</v>
      </c>
      <c r="Z26" s="41">
        <f>INDEX('[1]End - Use Prices'!$C$6:$AL$89,MATCH($C26,'[1]End - Use Prices'!$A$6:$A$89,0)+MATCH($D26,'[1]End - Use Prices'!$B$9:$B$11,0)-1,MATCH(Z$1,'[1]End - Use Prices'!$C$7:$AL$7,0))</f>
        <v>41.68</v>
      </c>
      <c r="AA26" s="41">
        <f>INDEX('[1]End - Use Prices'!$C$6:$AL$89,MATCH($C26,'[1]End - Use Prices'!$A$6:$A$89,0)+MATCH($D26,'[1]End - Use Prices'!$B$9:$B$11,0)-1,MATCH(AA$1,'[1]End - Use Prices'!$C$7:$AL$7,0))</f>
        <v>39.369999999999997</v>
      </c>
      <c r="AB26" s="41">
        <f>INDEX('[1]End - Use Prices'!$C$6:$AL$89,MATCH($C26,'[1]End - Use Prices'!$A$6:$A$89,0)+MATCH($D26,'[1]End - Use Prices'!$B$9:$B$11,0)-1,MATCH(AB$1,'[1]End - Use Prices'!$C$7:$AL$7,0))</f>
        <v>40.299999999999997</v>
      </c>
      <c r="AC26" s="41">
        <f>INDEX('[1]End - Use Prices'!$C$6:$AL$89,MATCH($C26,'[1]End - Use Prices'!$A$6:$A$89,0)+MATCH($D26,'[1]End - Use Prices'!$B$9:$B$11,0)-1,MATCH(AC$1,'[1]End - Use Prices'!$C$7:$AL$7,0))</f>
        <v>42.93</v>
      </c>
      <c r="AD26" s="41">
        <f>INDEX('[1]End - Use Prices'!$C$6:$AL$89,MATCH($C26,'[1]End - Use Prices'!$A$6:$A$89,0)+MATCH($D26,'[1]End - Use Prices'!$B$9:$B$11,0)-1,MATCH(AD$1,'[1]End - Use Prices'!$C$7:$AL$7,0))</f>
        <v>43.6</v>
      </c>
      <c r="AE26" s="41">
        <f>INDEX('[1]End - Use Prices'!$C$6:$AL$89,MATCH($C26,'[1]End - Use Prices'!$A$6:$A$89,0)+MATCH($D26,'[1]End - Use Prices'!$B$9:$B$11,0)-1,MATCH(AE$1,'[1]End - Use Prices'!$C$7:$AL$7,0))</f>
        <v>43.08</v>
      </c>
      <c r="AF26" s="41">
        <f>INDEX('[1]End - Use Prices'!$C$6:$AL$89,MATCH($C26,'[1]End - Use Prices'!$A$6:$A$89,0)+MATCH($D26,'[1]End - Use Prices'!$B$9:$B$11,0)-1,MATCH(AF$1,'[1]End - Use Prices'!$C$7:$AL$7,0))</f>
        <v>44.44</v>
      </c>
      <c r="AG26" s="41">
        <f>INDEX('[1]End - Use Prices'!$C$6:$AL$89,MATCH($C26,'[1]End - Use Prices'!$A$6:$A$89,0)+MATCH($D26,'[1]End - Use Prices'!$B$9:$B$11,0)-1,MATCH(AG$1,'[1]End - Use Prices'!$C$7:$AL$7,0))</f>
        <v>46.3</v>
      </c>
      <c r="AH26" s="41">
        <f>INDEX('[1]End - Use Prices'!$C$6:$AL$89,MATCH($C26,'[1]End - Use Prices'!$A$6:$A$89,0)+MATCH($D26,'[1]End - Use Prices'!$B$9:$B$11,0)-1,MATCH(AH$1,'[1]End - Use Prices'!$C$7:$AL$7,0))</f>
        <v>48.06</v>
      </c>
      <c r="AI26" s="41">
        <f>INDEX('[1]End - Use Prices'!$C$6:$AL$89,MATCH($C26,'[1]End - Use Prices'!$A$6:$A$89,0)+MATCH($D26,'[1]End - Use Prices'!$B$9:$B$11,0)-1,MATCH(AI$1,'[1]End - Use Prices'!$C$7:$AL$7,0))</f>
        <v>48.66</v>
      </c>
      <c r="AJ26" s="41">
        <f>INDEX('[1]End - Use Prices'!$C$6:$AL$89,MATCH($C26,'[1]End - Use Prices'!$A$6:$A$89,0)+MATCH($D26,'[1]End - Use Prices'!$B$9:$B$11,0)-1,MATCH(AJ$1,'[1]End - Use Prices'!$C$7:$AL$7,0))</f>
        <v>49.42</v>
      </c>
      <c r="AK26" s="41">
        <f>INDEX('[1]End - Use Prices'!$C$6:$AL$89,MATCH($C26,'[1]End - Use Prices'!$A$6:$A$89,0)+MATCH($D26,'[1]End - Use Prices'!$B$9:$B$11,0)-1,MATCH(AK$1,'[1]End - Use Prices'!$C$7:$AL$7,0))</f>
        <v>50.31</v>
      </c>
      <c r="AL26" s="41">
        <f>INDEX('[1]End - Use Prices'!$C$6:$AL$89,MATCH($C26,'[1]End - Use Prices'!$A$6:$A$89,0)+MATCH($D26,'[1]End - Use Prices'!$B$9:$B$11,0)-1,MATCH(AL$1,'[1]End - Use Prices'!$C$7:$AL$7,0))</f>
        <v>51.11</v>
      </c>
      <c r="AM26" s="41">
        <f>INDEX('[1]End - Use Prices'!$C$6:$AL$89,MATCH($C26,'[1]End - Use Prices'!$A$6:$A$89,0)+MATCH($D26,'[1]End - Use Prices'!$B$9:$B$11,0)-1,MATCH(AM$1,'[1]End - Use Prices'!$C$7:$AL$7,0))</f>
        <v>51.84</v>
      </c>
      <c r="AN26" s="41">
        <f>INDEX('[1]End - Use Prices'!$C$6:$AL$89,MATCH($C26,'[1]End - Use Prices'!$A$6:$A$89,0)+MATCH($D26,'[1]End - Use Prices'!$B$9:$B$11,0)-1,MATCH(AN$1,'[1]End - Use Prices'!$C$7:$AL$7,0))</f>
        <v>52.5</v>
      </c>
      <c r="AO26" s="41">
        <f>INDEX('[1]End - Use Prices'!$C$6:$AL$89,MATCH($C26,'[1]End - Use Prices'!$A$6:$A$89,0)+MATCH($D26,'[1]End - Use Prices'!$B$9:$B$11,0)-1,MATCH(AO$1,'[1]End - Use Prices'!$C$7:$AL$7,0))</f>
        <v>53.11</v>
      </c>
      <c r="AP26" s="41">
        <f>INDEX('[1]End - Use Prices'!$C$6:$AL$89,MATCH($C26,'[1]End - Use Prices'!$A$6:$A$89,0)+MATCH($D26,'[1]End - Use Prices'!$B$9:$B$11,0)-1,MATCH(AP$1,'[1]End - Use Prices'!$C$7:$AL$7,0))</f>
        <v>53.65</v>
      </c>
      <c r="AQ26" s="41">
        <f>INDEX('[1]End - Use Prices'!$C$6:$AL$89,MATCH($C26,'[1]End - Use Prices'!$A$6:$A$89,0)+MATCH($D26,'[1]End - Use Prices'!$B$9:$B$11,0)-1,MATCH(AQ$1,'[1]End - Use Prices'!$C$7:$AL$7,0))</f>
        <v>54.15</v>
      </c>
      <c r="AR26" s="41">
        <f>INDEX('[1]End - Use Prices'!$C$6:$AL$89,MATCH($C26,'[1]End - Use Prices'!$A$6:$A$89,0)+MATCH($D26,'[1]End - Use Prices'!$B$9:$B$11,0)-1,MATCH(AR$1,'[1]End - Use Prices'!$C$7:$AL$7,0))</f>
        <v>54.59</v>
      </c>
      <c r="AS26" s="41">
        <f>INDEX('[1]End - Use Prices'!$C$6:$AL$89,MATCH($C26,'[1]End - Use Prices'!$A$6:$A$89,0)+MATCH($D26,'[1]End - Use Prices'!$B$9:$B$11,0)-1,MATCH(AS$1,'[1]End - Use Prices'!$C$7:$AL$7,0))</f>
        <v>55</v>
      </c>
      <c r="AT26" s="41">
        <f>INDEX('[1]End - Use Prices'!$C$6:$AL$89,MATCH($C26,'[1]End - Use Prices'!$A$6:$A$89,0)+MATCH($D26,'[1]End - Use Prices'!$B$9:$B$11,0)-1,MATCH(AT$1,'[1]End - Use Prices'!$C$7:$AL$7,0))</f>
        <v>55.38</v>
      </c>
      <c r="AU26" s="41">
        <f>INDEX('[1]End - Use Prices'!$C$6:$AL$89,MATCH($C26,'[1]End - Use Prices'!$A$6:$A$89,0)+MATCH($D26,'[1]End - Use Prices'!$B$9:$B$11,0)-1,MATCH(AU$1,'[1]End - Use Prices'!$C$7:$AL$7,0))</f>
        <v>55.73</v>
      </c>
      <c r="AV26" s="41">
        <f>INDEX('[1]End - Use Prices'!$C$6:$AL$89,MATCH($C26,'[1]End - Use Prices'!$A$6:$A$89,0)+MATCH($D26,'[1]End - Use Prices'!$B$9:$B$11,0)-1,MATCH(AV$1,'[1]End - Use Prices'!$C$7:$AL$7,0))</f>
        <v>56.05</v>
      </c>
      <c r="AW26" s="41">
        <f>INDEX('[1]End - Use Prices'!$C$6:$AL$89,MATCH($C26,'[1]End - Use Prices'!$A$6:$A$89,0)+MATCH($D26,'[1]End - Use Prices'!$B$9:$B$11,0)-1,MATCH(AW$1,'[1]End - Use Prices'!$C$7:$AL$7,0))</f>
        <v>56.35</v>
      </c>
      <c r="AX26" s="41">
        <f>INDEX('[1]End - Use Prices'!$C$6:$AL$89,MATCH($C26,'[1]End - Use Prices'!$A$6:$A$89,0)+MATCH($D26,'[1]End - Use Prices'!$B$9:$B$11,0)-1,MATCH(AX$1,'[1]End - Use Prices'!$C$7:$AL$7,0))</f>
        <v>56.65</v>
      </c>
      <c r="AY26" s="41">
        <f>INDEX('[1]End - Use Prices'!$C$6:$AL$89,MATCH($C26,'[1]End - Use Prices'!$A$6:$A$89,0)+MATCH($D26,'[1]End - Use Prices'!$B$9:$B$11,0)-1,MATCH(AY$1,'[1]End - Use Prices'!$C$7:$AL$7,0))</f>
        <v>56.93</v>
      </c>
      <c r="AZ26" s="41">
        <f>INDEX('[1]End - Use Prices'!$C$6:$AL$89,MATCH($C26,'[1]End - Use Prices'!$A$6:$A$89,0)+MATCH($D26,'[1]End - Use Prices'!$B$9:$B$11,0)-1,MATCH(AZ$1,'[1]End - Use Prices'!$C$7:$AL$7,0))</f>
        <v>57.22</v>
      </c>
      <c r="BA26" s="41">
        <f>INDEX('[1]End - Use Prices'!$C$6:$AL$89,MATCH($C26,'[1]End - Use Prices'!$A$6:$A$89,0)+MATCH($D26,'[1]End - Use Prices'!$B$9:$B$11,0)-1,MATCH(BA$1,'[1]End - Use Prices'!$C$7:$AL$7,0))</f>
        <v>57.51</v>
      </c>
      <c r="BB26" s="41">
        <f>INDEX('[1]End - Use Prices'!$C$6:$AL$89,MATCH($C26,'[1]End - Use Prices'!$A$6:$A$89,0)+MATCH($D26,'[1]End - Use Prices'!$B$9:$B$11,0)-1,MATCH(BB$1,'[1]End - Use Prices'!$C$7:$AL$7,0))</f>
        <v>57.81</v>
      </c>
      <c r="BC26" s="41">
        <f>INDEX('[1]End - Use Prices'!$C$6:$AL$89,MATCH($C26,'[1]End - Use Prices'!$A$6:$A$89,0)+MATCH($D26,'[1]End - Use Prices'!$B$9:$B$11,0)-1,MATCH(BC$1,'[1]End - Use Prices'!$C$7:$AL$7,0))</f>
        <v>58.13</v>
      </c>
      <c r="BD26" s="41">
        <f>INDEX('[1]End - Use Prices'!$C$6:$AL$89,MATCH($C26,'[1]End - Use Prices'!$A$6:$A$89,0)+MATCH($D26,'[1]End - Use Prices'!$B$9:$B$11,0)-1,MATCH(BD$1,'[1]End - Use Prices'!$C$7:$AL$7,0))</f>
        <v>58.47</v>
      </c>
      <c r="BE26" s="41">
        <f>INDEX('[1]End - Use Prices'!$C$6:$AL$89,MATCH($C26,'[1]End - Use Prices'!$A$6:$A$89,0)+MATCH($D26,'[1]End - Use Prices'!$B$9:$B$11,0)-1,MATCH(BE$1,'[1]End - Use Prices'!$C$7:$AL$7,0))</f>
        <v>58.83</v>
      </c>
      <c r="BF26" s="41">
        <f>INDEX('[1]End - Use Prices'!$C$6:$AL$89,MATCH($C26,'[1]End - Use Prices'!$A$6:$A$89,0)+MATCH($D26,'[1]End - Use Prices'!$B$9:$B$11,0)-1,MATCH(BF$1,'[1]End - Use Prices'!$C$7:$AL$7,0))</f>
        <v>59.23</v>
      </c>
      <c r="BG26" s="41">
        <f>INDEX('[1]End - Use Prices'!$C$6:$AL$89,MATCH($C26,'[1]End - Use Prices'!$A$6:$A$89,0)+MATCH($D26,'[1]End - Use Prices'!$B$9:$B$11,0)-1,MATCH(BG$1,'[1]End - Use Prices'!$C$7:$AL$7,0))</f>
        <v>59.66</v>
      </c>
      <c r="BR26" s="39"/>
      <c r="BS26" s="39"/>
      <c r="BT26" s="39"/>
      <c r="BU26" s="39"/>
      <c r="BV26" s="39"/>
      <c r="BW26" s="39"/>
      <c r="BX26" s="39"/>
      <c r="BY26" s="39"/>
      <c r="BZ26" s="39"/>
      <c r="CA26" s="39"/>
    </row>
    <row r="27" spans="1:79" x14ac:dyDescent="0.25">
      <c r="A27" s="5"/>
      <c r="B27" s="3"/>
      <c r="C27" s="25" t="s">
        <v>5</v>
      </c>
      <c r="D27" s="25" t="s">
        <v>2</v>
      </c>
      <c r="E27" s="25" t="s">
        <v>282</v>
      </c>
      <c r="F27" s="67" t="s">
        <v>279</v>
      </c>
      <c r="G27" s="53">
        <f t="shared" si="4"/>
        <v>30.07</v>
      </c>
      <c r="H27" s="34">
        <f t="shared" si="5"/>
        <v>30.07</v>
      </c>
      <c r="I27" s="34">
        <f t="shared" si="5"/>
        <v>31.25</v>
      </c>
      <c r="J27" s="34">
        <f t="shared" si="5"/>
        <v>33.81</v>
      </c>
      <c r="K27" s="34">
        <f t="shared" si="5"/>
        <v>32.520000000000003</v>
      </c>
      <c r="L27" s="34">
        <f t="shared" si="5"/>
        <v>35.47</v>
      </c>
      <c r="M27" s="34">
        <f t="shared" si="5"/>
        <v>37.57</v>
      </c>
      <c r="N27" s="34">
        <f t="shared" si="5"/>
        <v>38.39</v>
      </c>
      <c r="O27" s="34">
        <f t="shared" si="5"/>
        <v>37.54</v>
      </c>
      <c r="P27" s="53">
        <f t="shared" si="6"/>
        <v>37.54</v>
      </c>
      <c r="Q27" s="53">
        <f t="shared" si="6"/>
        <v>37.54</v>
      </c>
      <c r="R27" s="38"/>
      <c r="X27" s="41">
        <f>INDEX('[1]End - Use Prices'!$C$6:$AL$89,MATCH($C27,'[1]End - Use Prices'!$A$6:$A$89,0)+MATCH($D27,'[1]End - Use Prices'!$B$9:$B$11,0)-1,MATCH(X$1,'[1]End - Use Prices'!$C$7:$AL$7,0))</f>
        <v>30.07</v>
      </c>
      <c r="Y27" s="41">
        <f>INDEX('[1]End - Use Prices'!$C$6:$AL$89,MATCH($C27,'[1]End - Use Prices'!$A$6:$A$89,0)+MATCH($D27,'[1]End - Use Prices'!$B$9:$B$11,0)-1,MATCH(Y$1,'[1]End - Use Prices'!$C$7:$AL$7,0))</f>
        <v>35.659999999999997</v>
      </c>
      <c r="Z27" s="41">
        <f>INDEX('[1]End - Use Prices'!$C$6:$AL$89,MATCH($C27,'[1]End - Use Prices'!$A$6:$A$89,0)+MATCH($D27,'[1]End - Use Prices'!$B$9:$B$11,0)-1,MATCH(Z$1,'[1]End - Use Prices'!$C$7:$AL$7,0))</f>
        <v>38.57</v>
      </c>
      <c r="AA27" s="41">
        <f>INDEX('[1]End - Use Prices'!$C$6:$AL$89,MATCH($C27,'[1]End - Use Prices'!$A$6:$A$89,0)+MATCH($D27,'[1]End - Use Prices'!$B$9:$B$11,0)-1,MATCH(AA$1,'[1]End - Use Prices'!$C$7:$AL$7,0))</f>
        <v>42.28</v>
      </c>
      <c r="AB27" s="41">
        <f>INDEX('[1]End - Use Prices'!$C$6:$AL$89,MATCH($C27,'[1]End - Use Prices'!$A$6:$A$89,0)+MATCH($D27,'[1]End - Use Prices'!$B$9:$B$11,0)-1,MATCH(AB$1,'[1]End - Use Prices'!$C$7:$AL$7,0))</f>
        <v>36.1</v>
      </c>
      <c r="AC27" s="41">
        <f>INDEX('[1]End - Use Prices'!$C$6:$AL$89,MATCH($C27,'[1]End - Use Prices'!$A$6:$A$89,0)+MATCH($D27,'[1]End - Use Prices'!$B$9:$B$11,0)-1,MATCH(AC$1,'[1]End - Use Prices'!$C$7:$AL$7,0))</f>
        <v>31.25</v>
      </c>
      <c r="AD27" s="41">
        <f>INDEX('[1]End - Use Prices'!$C$6:$AL$89,MATCH($C27,'[1]End - Use Prices'!$A$6:$A$89,0)+MATCH($D27,'[1]End - Use Prices'!$B$9:$B$11,0)-1,MATCH(AD$1,'[1]End - Use Prices'!$C$7:$AL$7,0))</f>
        <v>51.38</v>
      </c>
      <c r="AE27" s="41">
        <f>INDEX('[1]End - Use Prices'!$C$6:$AL$89,MATCH($C27,'[1]End - Use Prices'!$A$6:$A$89,0)+MATCH($D27,'[1]End - Use Prices'!$B$9:$B$11,0)-1,MATCH(AE$1,'[1]End - Use Prices'!$C$7:$AL$7,0))</f>
        <v>40.17</v>
      </c>
      <c r="AF27" s="41">
        <f>INDEX('[1]End - Use Prices'!$C$6:$AL$89,MATCH($C27,'[1]End - Use Prices'!$A$6:$A$89,0)+MATCH($D27,'[1]End - Use Prices'!$B$9:$B$11,0)-1,MATCH(AF$1,'[1]End - Use Prices'!$C$7:$AL$7,0))</f>
        <v>42.35</v>
      </c>
      <c r="AG27" s="41">
        <f>INDEX('[1]End - Use Prices'!$C$6:$AL$89,MATCH($C27,'[1]End - Use Prices'!$A$6:$A$89,0)+MATCH($D27,'[1]End - Use Prices'!$B$9:$B$11,0)-1,MATCH(AG$1,'[1]End - Use Prices'!$C$7:$AL$7,0))</f>
        <v>36.65</v>
      </c>
      <c r="AH27" s="41">
        <f>INDEX('[1]End - Use Prices'!$C$6:$AL$89,MATCH($C27,'[1]End - Use Prices'!$A$6:$A$89,0)+MATCH($D27,'[1]End - Use Prices'!$B$9:$B$11,0)-1,MATCH(AH$1,'[1]End - Use Prices'!$C$7:$AL$7,0))</f>
        <v>33.81</v>
      </c>
      <c r="AI27" s="41">
        <f>INDEX('[1]End - Use Prices'!$C$6:$AL$89,MATCH($C27,'[1]End - Use Prices'!$A$6:$A$89,0)+MATCH($D27,'[1]End - Use Prices'!$B$9:$B$11,0)-1,MATCH(AI$1,'[1]End - Use Prices'!$C$7:$AL$7,0))</f>
        <v>30.08</v>
      </c>
      <c r="AJ27" s="41">
        <f>INDEX('[1]End - Use Prices'!$C$6:$AL$89,MATCH($C27,'[1]End - Use Prices'!$A$6:$A$89,0)+MATCH($D27,'[1]End - Use Prices'!$B$9:$B$11,0)-1,MATCH(AJ$1,'[1]End - Use Prices'!$C$7:$AL$7,0))</f>
        <v>30.5</v>
      </c>
      <c r="AK27" s="41">
        <f>INDEX('[1]End - Use Prices'!$C$6:$AL$89,MATCH($C27,'[1]End - Use Prices'!$A$6:$A$89,0)+MATCH($D27,'[1]End - Use Prices'!$B$9:$B$11,0)-1,MATCH(AK$1,'[1]End - Use Prices'!$C$7:$AL$7,0))</f>
        <v>31.18</v>
      </c>
      <c r="AL27" s="41">
        <f>INDEX('[1]End - Use Prices'!$C$6:$AL$89,MATCH($C27,'[1]End - Use Prices'!$A$6:$A$89,0)+MATCH($D27,'[1]End - Use Prices'!$B$9:$B$11,0)-1,MATCH(AL$1,'[1]End - Use Prices'!$C$7:$AL$7,0))</f>
        <v>31.86</v>
      </c>
      <c r="AM27" s="41">
        <f>INDEX('[1]End - Use Prices'!$C$6:$AL$89,MATCH($C27,'[1]End - Use Prices'!$A$6:$A$89,0)+MATCH($D27,'[1]End - Use Prices'!$B$9:$B$11,0)-1,MATCH(AM$1,'[1]End - Use Prices'!$C$7:$AL$7,0))</f>
        <v>32.520000000000003</v>
      </c>
      <c r="AN27" s="41">
        <f>INDEX('[1]End - Use Prices'!$C$6:$AL$89,MATCH($C27,'[1]End - Use Prices'!$A$6:$A$89,0)+MATCH($D27,'[1]End - Use Prices'!$B$9:$B$11,0)-1,MATCH(AN$1,'[1]End - Use Prices'!$C$7:$AL$7,0))</f>
        <v>33.159999999999997</v>
      </c>
      <c r="AO27" s="41">
        <f>INDEX('[1]End - Use Prices'!$C$6:$AL$89,MATCH($C27,'[1]End - Use Prices'!$A$6:$A$89,0)+MATCH($D27,'[1]End - Use Prices'!$B$9:$B$11,0)-1,MATCH(AO$1,'[1]End - Use Prices'!$C$7:$AL$7,0))</f>
        <v>33.78</v>
      </c>
      <c r="AP27" s="41">
        <f>INDEX('[1]End - Use Prices'!$C$6:$AL$89,MATCH($C27,'[1]End - Use Prices'!$A$6:$A$89,0)+MATCH($D27,'[1]End - Use Prices'!$B$9:$B$11,0)-1,MATCH(AP$1,'[1]End - Use Prices'!$C$7:$AL$7,0))</f>
        <v>34.369999999999997</v>
      </c>
      <c r="AQ27" s="41">
        <f>INDEX('[1]End - Use Prices'!$C$6:$AL$89,MATCH($C27,'[1]End - Use Prices'!$A$6:$A$89,0)+MATCH($D27,'[1]End - Use Prices'!$B$9:$B$11,0)-1,MATCH(AQ$1,'[1]End - Use Prices'!$C$7:$AL$7,0))</f>
        <v>34.94</v>
      </c>
      <c r="AR27" s="41">
        <f>INDEX('[1]End - Use Prices'!$C$6:$AL$89,MATCH($C27,'[1]End - Use Prices'!$A$6:$A$89,0)+MATCH($D27,'[1]End - Use Prices'!$B$9:$B$11,0)-1,MATCH(AR$1,'[1]End - Use Prices'!$C$7:$AL$7,0))</f>
        <v>35.47</v>
      </c>
      <c r="AS27" s="41">
        <f>INDEX('[1]End - Use Prices'!$C$6:$AL$89,MATCH($C27,'[1]End - Use Prices'!$A$6:$A$89,0)+MATCH($D27,'[1]End - Use Prices'!$B$9:$B$11,0)-1,MATCH(AS$1,'[1]End - Use Prices'!$C$7:$AL$7,0))</f>
        <v>35.97</v>
      </c>
      <c r="AT27" s="41">
        <f>INDEX('[1]End - Use Prices'!$C$6:$AL$89,MATCH($C27,'[1]End - Use Prices'!$A$6:$A$89,0)+MATCH($D27,'[1]End - Use Prices'!$B$9:$B$11,0)-1,MATCH(AT$1,'[1]End - Use Prices'!$C$7:$AL$7,0))</f>
        <v>36.44</v>
      </c>
      <c r="AU27" s="41">
        <f>INDEX('[1]End - Use Prices'!$C$6:$AL$89,MATCH($C27,'[1]End - Use Prices'!$A$6:$A$89,0)+MATCH($D27,'[1]End - Use Prices'!$B$9:$B$11,0)-1,MATCH(AU$1,'[1]End - Use Prices'!$C$7:$AL$7,0))</f>
        <v>36.86</v>
      </c>
      <c r="AV27" s="41">
        <f>INDEX('[1]End - Use Prices'!$C$6:$AL$89,MATCH($C27,'[1]End - Use Prices'!$A$6:$A$89,0)+MATCH($D27,'[1]End - Use Prices'!$B$9:$B$11,0)-1,MATCH(AV$1,'[1]End - Use Prices'!$C$7:$AL$7,0))</f>
        <v>37.24</v>
      </c>
      <c r="AW27" s="41">
        <f>INDEX('[1]End - Use Prices'!$C$6:$AL$89,MATCH($C27,'[1]End - Use Prices'!$A$6:$A$89,0)+MATCH($D27,'[1]End - Use Prices'!$B$9:$B$11,0)-1,MATCH(AW$1,'[1]End - Use Prices'!$C$7:$AL$7,0))</f>
        <v>37.57</v>
      </c>
      <c r="AX27" s="41">
        <f>INDEX('[1]End - Use Prices'!$C$6:$AL$89,MATCH($C27,'[1]End - Use Prices'!$A$6:$A$89,0)+MATCH($D27,'[1]End - Use Prices'!$B$9:$B$11,0)-1,MATCH(AX$1,'[1]End - Use Prices'!$C$7:$AL$7,0))</f>
        <v>37.85</v>
      </c>
      <c r="AY27" s="41">
        <f>INDEX('[1]End - Use Prices'!$C$6:$AL$89,MATCH($C27,'[1]End - Use Prices'!$A$6:$A$89,0)+MATCH($D27,'[1]End - Use Prices'!$B$9:$B$11,0)-1,MATCH(AY$1,'[1]End - Use Prices'!$C$7:$AL$7,0))</f>
        <v>38.07</v>
      </c>
      <c r="AZ27" s="41">
        <f>INDEX('[1]End - Use Prices'!$C$6:$AL$89,MATCH($C27,'[1]End - Use Prices'!$A$6:$A$89,0)+MATCH($D27,'[1]End - Use Prices'!$B$9:$B$11,0)-1,MATCH(AZ$1,'[1]End - Use Prices'!$C$7:$AL$7,0))</f>
        <v>38.24</v>
      </c>
      <c r="BA27" s="41">
        <f>INDEX('[1]End - Use Prices'!$C$6:$AL$89,MATCH($C27,'[1]End - Use Prices'!$A$6:$A$89,0)+MATCH($D27,'[1]End - Use Prices'!$B$9:$B$11,0)-1,MATCH(BA$1,'[1]End - Use Prices'!$C$7:$AL$7,0))</f>
        <v>38.35</v>
      </c>
      <c r="BB27" s="41">
        <f>INDEX('[1]End - Use Prices'!$C$6:$AL$89,MATCH($C27,'[1]End - Use Prices'!$A$6:$A$89,0)+MATCH($D27,'[1]End - Use Prices'!$B$9:$B$11,0)-1,MATCH(BB$1,'[1]End - Use Prices'!$C$7:$AL$7,0))</f>
        <v>38.39</v>
      </c>
      <c r="BC27" s="41">
        <f>INDEX('[1]End - Use Prices'!$C$6:$AL$89,MATCH($C27,'[1]End - Use Prices'!$A$6:$A$89,0)+MATCH($D27,'[1]End - Use Prices'!$B$9:$B$11,0)-1,MATCH(BC$1,'[1]End - Use Prices'!$C$7:$AL$7,0))</f>
        <v>38.369999999999997</v>
      </c>
      <c r="BD27" s="41">
        <f>INDEX('[1]End - Use Prices'!$C$6:$AL$89,MATCH($C27,'[1]End - Use Prices'!$A$6:$A$89,0)+MATCH($D27,'[1]End - Use Prices'!$B$9:$B$11,0)-1,MATCH(BD$1,'[1]End - Use Prices'!$C$7:$AL$7,0))</f>
        <v>38.270000000000003</v>
      </c>
      <c r="BE27" s="41">
        <f>INDEX('[1]End - Use Prices'!$C$6:$AL$89,MATCH($C27,'[1]End - Use Prices'!$A$6:$A$89,0)+MATCH($D27,'[1]End - Use Prices'!$B$9:$B$11,0)-1,MATCH(BE$1,'[1]End - Use Prices'!$C$7:$AL$7,0))</f>
        <v>38.11</v>
      </c>
      <c r="BF27" s="41">
        <f>INDEX('[1]End - Use Prices'!$C$6:$AL$89,MATCH($C27,'[1]End - Use Prices'!$A$6:$A$89,0)+MATCH($D27,'[1]End - Use Prices'!$B$9:$B$11,0)-1,MATCH(BF$1,'[1]End - Use Prices'!$C$7:$AL$7,0))</f>
        <v>37.86</v>
      </c>
      <c r="BG27" s="41">
        <f>INDEX('[1]End - Use Prices'!$C$6:$AL$89,MATCH($C27,'[1]End - Use Prices'!$A$6:$A$89,0)+MATCH($D27,'[1]End - Use Prices'!$B$9:$B$11,0)-1,MATCH(BG$1,'[1]End - Use Prices'!$C$7:$AL$7,0))</f>
        <v>37.54</v>
      </c>
      <c r="BR27" s="39"/>
      <c r="BS27" s="39"/>
      <c r="BT27" s="39"/>
      <c r="BU27" s="39"/>
      <c r="BV27" s="39"/>
      <c r="BW27" s="39"/>
      <c r="BX27" s="39"/>
      <c r="BY27" s="39"/>
      <c r="BZ27" s="39"/>
      <c r="CA27" s="39"/>
    </row>
    <row r="28" spans="1:79" x14ac:dyDescent="0.25">
      <c r="A28" s="5"/>
      <c r="B28" s="3"/>
      <c r="C28" s="25" t="s">
        <v>61</v>
      </c>
      <c r="D28" s="25" t="s">
        <v>2</v>
      </c>
      <c r="E28" s="25" t="s">
        <v>282</v>
      </c>
      <c r="F28" s="67" t="s">
        <v>279</v>
      </c>
      <c r="G28" s="53">
        <f t="shared" si="4"/>
        <v>22.24</v>
      </c>
      <c r="H28" s="34">
        <f t="shared" si="5"/>
        <v>22.24</v>
      </c>
      <c r="I28" s="34">
        <f t="shared" si="5"/>
        <v>25.9</v>
      </c>
      <c r="J28" s="34">
        <f t="shared" si="5"/>
        <v>30.53</v>
      </c>
      <c r="K28" s="34">
        <f t="shared" si="5"/>
        <v>31.99</v>
      </c>
      <c r="L28" s="34">
        <f t="shared" si="5"/>
        <v>32.61</v>
      </c>
      <c r="M28" s="34">
        <f t="shared" si="5"/>
        <v>33.25</v>
      </c>
      <c r="N28" s="34">
        <f t="shared" si="5"/>
        <v>33.76</v>
      </c>
      <c r="O28" s="34">
        <f t="shared" si="5"/>
        <v>34</v>
      </c>
      <c r="P28" s="53">
        <f t="shared" si="6"/>
        <v>34</v>
      </c>
      <c r="Q28" s="53">
        <f t="shared" si="6"/>
        <v>34</v>
      </c>
      <c r="R28" s="38"/>
      <c r="X28" s="41">
        <f>INDEX('[1]End - Use Prices'!$C$6:$AL$89,MATCH($C28,'[1]End - Use Prices'!$A$6:$A$89,0)+MATCH($D28,'[1]End - Use Prices'!$B$9:$B$11,0)-1,MATCH(X$1,'[1]End - Use Prices'!$C$7:$AL$7,0))</f>
        <v>22.24</v>
      </c>
      <c r="Y28" s="41">
        <f>INDEX('[1]End - Use Prices'!$C$6:$AL$89,MATCH($C28,'[1]End - Use Prices'!$A$6:$A$89,0)+MATCH($D28,'[1]End - Use Prices'!$B$9:$B$11,0)-1,MATCH(Y$1,'[1]End - Use Prices'!$C$7:$AL$7,0))</f>
        <v>23.07</v>
      </c>
      <c r="Z28" s="41">
        <f>INDEX('[1]End - Use Prices'!$C$6:$AL$89,MATCH($C28,'[1]End - Use Prices'!$A$6:$A$89,0)+MATCH($D28,'[1]End - Use Prices'!$B$9:$B$11,0)-1,MATCH(Z$1,'[1]End - Use Prices'!$C$7:$AL$7,0))</f>
        <v>22.79</v>
      </c>
      <c r="AA28" s="41">
        <f>INDEX('[1]End - Use Prices'!$C$6:$AL$89,MATCH($C28,'[1]End - Use Prices'!$A$6:$A$89,0)+MATCH($D28,'[1]End - Use Prices'!$B$9:$B$11,0)-1,MATCH(AA$1,'[1]End - Use Prices'!$C$7:$AL$7,0))</f>
        <v>22.61</v>
      </c>
      <c r="AB28" s="41">
        <f>INDEX('[1]End - Use Prices'!$C$6:$AL$89,MATCH($C28,'[1]End - Use Prices'!$A$6:$A$89,0)+MATCH($D28,'[1]End - Use Prices'!$B$9:$B$11,0)-1,MATCH(AB$1,'[1]End - Use Prices'!$C$7:$AL$7,0))</f>
        <v>23.66</v>
      </c>
      <c r="AC28" s="41">
        <f>INDEX('[1]End - Use Prices'!$C$6:$AL$89,MATCH($C28,'[1]End - Use Prices'!$A$6:$A$89,0)+MATCH($D28,'[1]End - Use Prices'!$B$9:$B$11,0)-1,MATCH(AC$1,'[1]End - Use Prices'!$C$7:$AL$7,0))</f>
        <v>25.9</v>
      </c>
      <c r="AD28" s="41">
        <f>INDEX('[1]End - Use Prices'!$C$6:$AL$89,MATCH($C28,'[1]End - Use Prices'!$A$6:$A$89,0)+MATCH($D28,'[1]End - Use Prices'!$B$9:$B$11,0)-1,MATCH(AD$1,'[1]End - Use Prices'!$C$7:$AL$7,0))</f>
        <v>25.46</v>
      </c>
      <c r="AE28" s="41">
        <f>INDEX('[1]End - Use Prices'!$C$6:$AL$89,MATCH($C28,'[1]End - Use Prices'!$A$6:$A$89,0)+MATCH($D28,'[1]End - Use Prices'!$B$9:$B$11,0)-1,MATCH(AE$1,'[1]End - Use Prices'!$C$7:$AL$7,0))</f>
        <v>28.65</v>
      </c>
      <c r="AF28" s="41">
        <f>INDEX('[1]End - Use Prices'!$C$6:$AL$89,MATCH($C28,'[1]End - Use Prices'!$A$6:$A$89,0)+MATCH($D28,'[1]End - Use Prices'!$B$9:$B$11,0)-1,MATCH(AF$1,'[1]End - Use Prices'!$C$7:$AL$7,0))</f>
        <v>27.24</v>
      </c>
      <c r="AG28" s="41">
        <f>INDEX('[1]End - Use Prices'!$C$6:$AL$89,MATCH($C28,'[1]End - Use Prices'!$A$6:$A$89,0)+MATCH($D28,'[1]End - Use Prices'!$B$9:$B$11,0)-1,MATCH(AG$1,'[1]End - Use Prices'!$C$7:$AL$7,0))</f>
        <v>28.61</v>
      </c>
      <c r="AH28" s="41">
        <f>INDEX('[1]End - Use Prices'!$C$6:$AL$89,MATCH($C28,'[1]End - Use Prices'!$A$6:$A$89,0)+MATCH($D28,'[1]End - Use Prices'!$B$9:$B$11,0)-1,MATCH(AH$1,'[1]End - Use Prices'!$C$7:$AL$7,0))</f>
        <v>30.53</v>
      </c>
      <c r="AI28" s="41">
        <f>INDEX('[1]End - Use Prices'!$C$6:$AL$89,MATCH($C28,'[1]End - Use Prices'!$A$6:$A$89,0)+MATCH($D28,'[1]End - Use Prices'!$B$9:$B$11,0)-1,MATCH(AI$1,'[1]End - Use Prices'!$C$7:$AL$7,0))</f>
        <v>31.55</v>
      </c>
      <c r="AJ28" s="41">
        <f>INDEX('[1]End - Use Prices'!$C$6:$AL$89,MATCH($C28,'[1]End - Use Prices'!$A$6:$A$89,0)+MATCH($D28,'[1]End - Use Prices'!$B$9:$B$11,0)-1,MATCH(AJ$1,'[1]End - Use Prices'!$C$7:$AL$7,0))</f>
        <v>31.68</v>
      </c>
      <c r="AK28" s="41">
        <f>INDEX('[1]End - Use Prices'!$C$6:$AL$89,MATCH($C28,'[1]End - Use Prices'!$A$6:$A$89,0)+MATCH($D28,'[1]End - Use Prices'!$B$9:$B$11,0)-1,MATCH(AK$1,'[1]End - Use Prices'!$C$7:$AL$7,0))</f>
        <v>31.78</v>
      </c>
      <c r="AL28" s="41">
        <f>INDEX('[1]End - Use Prices'!$C$6:$AL$89,MATCH($C28,'[1]End - Use Prices'!$A$6:$A$89,0)+MATCH($D28,'[1]End - Use Prices'!$B$9:$B$11,0)-1,MATCH(AL$1,'[1]End - Use Prices'!$C$7:$AL$7,0))</f>
        <v>31.88</v>
      </c>
      <c r="AM28" s="41">
        <f>INDEX('[1]End - Use Prices'!$C$6:$AL$89,MATCH($C28,'[1]End - Use Prices'!$A$6:$A$89,0)+MATCH($D28,'[1]End - Use Prices'!$B$9:$B$11,0)-1,MATCH(AM$1,'[1]End - Use Prices'!$C$7:$AL$7,0))</f>
        <v>31.99</v>
      </c>
      <c r="AN28" s="41">
        <f>INDEX('[1]End - Use Prices'!$C$6:$AL$89,MATCH($C28,'[1]End - Use Prices'!$A$6:$A$89,0)+MATCH($D28,'[1]End - Use Prices'!$B$9:$B$11,0)-1,MATCH(AN$1,'[1]End - Use Prices'!$C$7:$AL$7,0))</f>
        <v>32.1</v>
      </c>
      <c r="AO28" s="41">
        <f>INDEX('[1]End - Use Prices'!$C$6:$AL$89,MATCH($C28,'[1]End - Use Prices'!$A$6:$A$89,0)+MATCH($D28,'[1]End - Use Prices'!$B$9:$B$11,0)-1,MATCH(AO$1,'[1]End - Use Prices'!$C$7:$AL$7,0))</f>
        <v>32.229999999999997</v>
      </c>
      <c r="AP28" s="41">
        <f>INDEX('[1]End - Use Prices'!$C$6:$AL$89,MATCH($C28,'[1]End - Use Prices'!$A$6:$A$89,0)+MATCH($D28,'[1]End - Use Prices'!$B$9:$B$11,0)-1,MATCH(AP$1,'[1]End - Use Prices'!$C$7:$AL$7,0))</f>
        <v>32.35</v>
      </c>
      <c r="AQ28" s="41">
        <f>INDEX('[1]End - Use Prices'!$C$6:$AL$89,MATCH($C28,'[1]End - Use Prices'!$A$6:$A$89,0)+MATCH($D28,'[1]End - Use Prices'!$B$9:$B$11,0)-1,MATCH(AQ$1,'[1]End - Use Prices'!$C$7:$AL$7,0))</f>
        <v>32.479999999999997</v>
      </c>
      <c r="AR28" s="41">
        <f>INDEX('[1]End - Use Prices'!$C$6:$AL$89,MATCH($C28,'[1]End - Use Prices'!$A$6:$A$89,0)+MATCH($D28,'[1]End - Use Prices'!$B$9:$B$11,0)-1,MATCH(AR$1,'[1]End - Use Prices'!$C$7:$AL$7,0))</f>
        <v>32.61</v>
      </c>
      <c r="AS28" s="41">
        <f>INDEX('[1]End - Use Prices'!$C$6:$AL$89,MATCH($C28,'[1]End - Use Prices'!$A$6:$A$89,0)+MATCH($D28,'[1]End - Use Prices'!$B$9:$B$11,0)-1,MATCH(AS$1,'[1]End - Use Prices'!$C$7:$AL$7,0))</f>
        <v>32.74</v>
      </c>
      <c r="AT28" s="41">
        <f>INDEX('[1]End - Use Prices'!$C$6:$AL$89,MATCH($C28,'[1]End - Use Prices'!$A$6:$A$89,0)+MATCH($D28,'[1]End - Use Prices'!$B$9:$B$11,0)-1,MATCH(AT$1,'[1]End - Use Prices'!$C$7:$AL$7,0))</f>
        <v>32.869999999999997</v>
      </c>
      <c r="AU28" s="41">
        <f>INDEX('[1]End - Use Prices'!$C$6:$AL$89,MATCH($C28,'[1]End - Use Prices'!$A$6:$A$89,0)+MATCH($D28,'[1]End - Use Prices'!$B$9:$B$11,0)-1,MATCH(AU$1,'[1]End - Use Prices'!$C$7:$AL$7,0))</f>
        <v>33</v>
      </c>
      <c r="AV28" s="41">
        <f>INDEX('[1]End - Use Prices'!$C$6:$AL$89,MATCH($C28,'[1]End - Use Prices'!$A$6:$A$89,0)+MATCH($D28,'[1]End - Use Prices'!$B$9:$B$11,0)-1,MATCH(AV$1,'[1]End - Use Prices'!$C$7:$AL$7,0))</f>
        <v>33.130000000000003</v>
      </c>
      <c r="AW28" s="41">
        <f>INDEX('[1]End - Use Prices'!$C$6:$AL$89,MATCH($C28,'[1]End - Use Prices'!$A$6:$A$89,0)+MATCH($D28,'[1]End - Use Prices'!$B$9:$B$11,0)-1,MATCH(AW$1,'[1]End - Use Prices'!$C$7:$AL$7,0))</f>
        <v>33.25</v>
      </c>
      <c r="AX28" s="41">
        <f>INDEX('[1]End - Use Prices'!$C$6:$AL$89,MATCH($C28,'[1]End - Use Prices'!$A$6:$A$89,0)+MATCH($D28,'[1]End - Use Prices'!$B$9:$B$11,0)-1,MATCH(AX$1,'[1]End - Use Prices'!$C$7:$AL$7,0))</f>
        <v>33.369999999999997</v>
      </c>
      <c r="AY28" s="41">
        <f>INDEX('[1]End - Use Prices'!$C$6:$AL$89,MATCH($C28,'[1]End - Use Prices'!$A$6:$A$89,0)+MATCH($D28,'[1]End - Use Prices'!$B$9:$B$11,0)-1,MATCH(AY$1,'[1]End - Use Prices'!$C$7:$AL$7,0))</f>
        <v>33.479999999999997</v>
      </c>
      <c r="AZ28" s="41">
        <f>INDEX('[1]End - Use Prices'!$C$6:$AL$89,MATCH($C28,'[1]End - Use Prices'!$A$6:$A$89,0)+MATCH($D28,'[1]End - Use Prices'!$B$9:$B$11,0)-1,MATCH(AZ$1,'[1]End - Use Prices'!$C$7:$AL$7,0))</f>
        <v>33.58</v>
      </c>
      <c r="BA28" s="41">
        <f>INDEX('[1]End - Use Prices'!$C$6:$AL$89,MATCH($C28,'[1]End - Use Prices'!$A$6:$A$89,0)+MATCH($D28,'[1]End - Use Prices'!$B$9:$B$11,0)-1,MATCH(BA$1,'[1]End - Use Prices'!$C$7:$AL$7,0))</f>
        <v>33.68</v>
      </c>
      <c r="BB28" s="41">
        <f>INDEX('[1]End - Use Prices'!$C$6:$AL$89,MATCH($C28,'[1]End - Use Prices'!$A$6:$A$89,0)+MATCH($D28,'[1]End - Use Prices'!$B$9:$B$11,0)-1,MATCH(BB$1,'[1]End - Use Prices'!$C$7:$AL$7,0))</f>
        <v>33.76</v>
      </c>
      <c r="BC28" s="41">
        <f>INDEX('[1]End - Use Prices'!$C$6:$AL$89,MATCH($C28,'[1]End - Use Prices'!$A$6:$A$89,0)+MATCH($D28,'[1]End - Use Prices'!$B$9:$B$11,0)-1,MATCH(BC$1,'[1]End - Use Prices'!$C$7:$AL$7,0))</f>
        <v>33.840000000000003</v>
      </c>
      <c r="BD28" s="41">
        <f>INDEX('[1]End - Use Prices'!$C$6:$AL$89,MATCH($C28,'[1]End - Use Prices'!$A$6:$A$89,0)+MATCH($D28,'[1]End - Use Prices'!$B$9:$B$11,0)-1,MATCH(BD$1,'[1]End - Use Prices'!$C$7:$AL$7,0))</f>
        <v>33.9</v>
      </c>
      <c r="BE28" s="41">
        <f>INDEX('[1]End - Use Prices'!$C$6:$AL$89,MATCH($C28,'[1]End - Use Prices'!$A$6:$A$89,0)+MATCH($D28,'[1]End - Use Prices'!$B$9:$B$11,0)-1,MATCH(BE$1,'[1]End - Use Prices'!$C$7:$AL$7,0))</f>
        <v>33.950000000000003</v>
      </c>
      <c r="BF28" s="41">
        <f>INDEX('[1]End - Use Prices'!$C$6:$AL$89,MATCH($C28,'[1]End - Use Prices'!$A$6:$A$89,0)+MATCH($D28,'[1]End - Use Prices'!$B$9:$B$11,0)-1,MATCH(BF$1,'[1]End - Use Prices'!$C$7:$AL$7,0))</f>
        <v>33.979999999999997</v>
      </c>
      <c r="BG28" s="41">
        <f>INDEX('[1]End - Use Prices'!$C$6:$AL$89,MATCH($C28,'[1]End - Use Prices'!$A$6:$A$89,0)+MATCH($D28,'[1]End - Use Prices'!$B$9:$B$11,0)-1,MATCH(BG$1,'[1]End - Use Prices'!$C$7:$AL$7,0))</f>
        <v>34</v>
      </c>
      <c r="BR28" s="39"/>
      <c r="BS28" s="39"/>
      <c r="BT28" s="39"/>
      <c r="BU28" s="39"/>
      <c r="BV28" s="39"/>
      <c r="BW28" s="39"/>
      <c r="BX28" s="39"/>
      <c r="BY28" s="39"/>
      <c r="BZ28" s="39"/>
      <c r="CA28" s="39"/>
    </row>
    <row r="29" spans="1:79" x14ac:dyDescent="0.25">
      <c r="A29" s="5"/>
      <c r="B29" s="3"/>
      <c r="C29" s="25" t="s">
        <v>93</v>
      </c>
      <c r="D29" s="25" t="s">
        <v>2</v>
      </c>
      <c r="E29" s="25" t="s">
        <v>282</v>
      </c>
      <c r="F29" s="67" t="s">
        <v>279</v>
      </c>
      <c r="G29" s="53">
        <f t="shared" si="4"/>
        <v>33.479999999999997</v>
      </c>
      <c r="H29" s="34">
        <f t="shared" si="5"/>
        <v>33.479999999999997</v>
      </c>
      <c r="I29" s="34">
        <f t="shared" si="5"/>
        <v>37.69</v>
      </c>
      <c r="J29" s="34">
        <f t="shared" si="5"/>
        <v>47.73</v>
      </c>
      <c r="K29" s="34">
        <f t="shared" si="5"/>
        <v>48.18</v>
      </c>
      <c r="L29" s="34">
        <f t="shared" si="5"/>
        <v>49.04</v>
      </c>
      <c r="M29" s="34">
        <f t="shared" si="5"/>
        <v>49.97</v>
      </c>
      <c r="N29" s="34">
        <f t="shared" si="5"/>
        <v>50.92</v>
      </c>
      <c r="O29" s="34">
        <f t="shared" si="5"/>
        <v>51.85</v>
      </c>
      <c r="P29" s="53">
        <f t="shared" si="6"/>
        <v>51.85</v>
      </c>
      <c r="Q29" s="53">
        <f t="shared" si="6"/>
        <v>51.85</v>
      </c>
      <c r="R29" s="38"/>
      <c r="X29" s="41">
        <f>INDEX('[1]End - Use Prices'!$C$6:$AL$89,MATCH($C29,'[1]End - Use Prices'!$A$6:$A$89,0)+MATCH($D29,'[1]End - Use Prices'!$B$9:$B$11,0)-1,MATCH(X$1,'[1]End - Use Prices'!$C$7:$AL$7,0))</f>
        <v>33.479999999999997</v>
      </c>
      <c r="Y29" s="41">
        <f>INDEX('[1]End - Use Prices'!$C$6:$AL$89,MATCH($C29,'[1]End - Use Prices'!$A$6:$A$89,0)+MATCH($D29,'[1]End - Use Prices'!$B$9:$B$11,0)-1,MATCH(Y$1,'[1]End - Use Prices'!$C$7:$AL$7,0))</f>
        <v>34.72</v>
      </c>
      <c r="Z29" s="41">
        <f>INDEX('[1]End - Use Prices'!$C$6:$AL$89,MATCH($C29,'[1]End - Use Prices'!$A$6:$A$89,0)+MATCH($D29,'[1]End - Use Prices'!$B$9:$B$11,0)-1,MATCH(Z$1,'[1]End - Use Prices'!$C$7:$AL$7,0))</f>
        <v>34.299999999999997</v>
      </c>
      <c r="AA29" s="41">
        <f>INDEX('[1]End - Use Prices'!$C$6:$AL$89,MATCH($C29,'[1]End - Use Prices'!$A$6:$A$89,0)+MATCH($D29,'[1]End - Use Prices'!$B$9:$B$11,0)-1,MATCH(AA$1,'[1]End - Use Prices'!$C$7:$AL$7,0))</f>
        <v>34</v>
      </c>
      <c r="AB29" s="41">
        <f>INDEX('[1]End - Use Prices'!$C$6:$AL$89,MATCH($C29,'[1]End - Use Prices'!$A$6:$A$89,0)+MATCH($D29,'[1]End - Use Prices'!$B$9:$B$11,0)-1,MATCH(AB$1,'[1]End - Use Prices'!$C$7:$AL$7,0))</f>
        <v>35.590000000000003</v>
      </c>
      <c r="AC29" s="41">
        <f>INDEX('[1]End - Use Prices'!$C$6:$AL$89,MATCH($C29,'[1]End - Use Prices'!$A$6:$A$89,0)+MATCH($D29,'[1]End - Use Prices'!$B$9:$B$11,0)-1,MATCH(AC$1,'[1]End - Use Prices'!$C$7:$AL$7,0))</f>
        <v>37.69</v>
      </c>
      <c r="AD29" s="41">
        <f>INDEX('[1]End - Use Prices'!$C$6:$AL$89,MATCH($C29,'[1]End - Use Prices'!$A$6:$A$89,0)+MATCH($D29,'[1]End - Use Prices'!$B$9:$B$11,0)-1,MATCH(AD$1,'[1]End - Use Prices'!$C$7:$AL$7,0))</f>
        <v>35.89</v>
      </c>
      <c r="AE29" s="41">
        <f>INDEX('[1]End - Use Prices'!$C$6:$AL$89,MATCH($C29,'[1]End - Use Prices'!$A$6:$A$89,0)+MATCH($D29,'[1]End - Use Prices'!$B$9:$B$11,0)-1,MATCH(AE$1,'[1]End - Use Prices'!$C$7:$AL$7,0))</f>
        <v>40.39</v>
      </c>
      <c r="AF29" s="41">
        <f>INDEX('[1]End - Use Prices'!$C$6:$AL$89,MATCH($C29,'[1]End - Use Prices'!$A$6:$A$89,0)+MATCH($D29,'[1]End - Use Prices'!$B$9:$B$11,0)-1,MATCH(AF$1,'[1]End - Use Prices'!$C$7:$AL$7,0))</f>
        <v>40.28</v>
      </c>
      <c r="AG29" s="41">
        <f>INDEX('[1]End - Use Prices'!$C$6:$AL$89,MATCH($C29,'[1]End - Use Prices'!$A$6:$A$89,0)+MATCH($D29,'[1]End - Use Prices'!$B$9:$B$11,0)-1,MATCH(AG$1,'[1]End - Use Prices'!$C$7:$AL$7,0))</f>
        <v>47.35</v>
      </c>
      <c r="AH29" s="41">
        <f>INDEX('[1]End - Use Prices'!$C$6:$AL$89,MATCH($C29,'[1]End - Use Prices'!$A$6:$A$89,0)+MATCH($D29,'[1]End - Use Prices'!$B$9:$B$11,0)-1,MATCH(AH$1,'[1]End - Use Prices'!$C$7:$AL$7,0))</f>
        <v>47.73</v>
      </c>
      <c r="AI29" s="41">
        <f>INDEX('[1]End - Use Prices'!$C$6:$AL$89,MATCH($C29,'[1]End - Use Prices'!$A$6:$A$89,0)+MATCH($D29,'[1]End - Use Prices'!$B$9:$B$11,0)-1,MATCH(AI$1,'[1]End - Use Prices'!$C$7:$AL$7,0))</f>
        <v>47.43</v>
      </c>
      <c r="AJ29" s="41">
        <f>INDEX('[1]End - Use Prices'!$C$6:$AL$89,MATCH($C29,'[1]End - Use Prices'!$A$6:$A$89,0)+MATCH($D29,'[1]End - Use Prices'!$B$9:$B$11,0)-1,MATCH(AJ$1,'[1]End - Use Prices'!$C$7:$AL$7,0))</f>
        <v>47.71</v>
      </c>
      <c r="AK29" s="41">
        <f>INDEX('[1]End - Use Prices'!$C$6:$AL$89,MATCH($C29,'[1]End - Use Prices'!$A$6:$A$89,0)+MATCH($D29,'[1]End - Use Prices'!$B$9:$B$11,0)-1,MATCH(AK$1,'[1]End - Use Prices'!$C$7:$AL$7,0))</f>
        <v>47.86</v>
      </c>
      <c r="AL29" s="41">
        <f>INDEX('[1]End - Use Prices'!$C$6:$AL$89,MATCH($C29,'[1]End - Use Prices'!$A$6:$A$89,0)+MATCH($D29,'[1]End - Use Prices'!$B$9:$B$11,0)-1,MATCH(AL$1,'[1]End - Use Prices'!$C$7:$AL$7,0))</f>
        <v>48.02</v>
      </c>
      <c r="AM29" s="41">
        <f>INDEX('[1]End - Use Prices'!$C$6:$AL$89,MATCH($C29,'[1]End - Use Prices'!$A$6:$A$89,0)+MATCH($D29,'[1]End - Use Prices'!$B$9:$B$11,0)-1,MATCH(AM$1,'[1]End - Use Prices'!$C$7:$AL$7,0))</f>
        <v>48.18</v>
      </c>
      <c r="AN29" s="41">
        <f>INDEX('[1]End - Use Prices'!$C$6:$AL$89,MATCH($C29,'[1]End - Use Prices'!$A$6:$A$89,0)+MATCH($D29,'[1]End - Use Prices'!$B$9:$B$11,0)-1,MATCH(AN$1,'[1]End - Use Prices'!$C$7:$AL$7,0))</f>
        <v>48.35</v>
      </c>
      <c r="AO29" s="41">
        <f>INDEX('[1]End - Use Prices'!$C$6:$AL$89,MATCH($C29,'[1]End - Use Prices'!$A$6:$A$89,0)+MATCH($D29,'[1]End - Use Prices'!$B$9:$B$11,0)-1,MATCH(AO$1,'[1]End - Use Prices'!$C$7:$AL$7,0))</f>
        <v>48.52</v>
      </c>
      <c r="AP29" s="41">
        <f>INDEX('[1]End - Use Prices'!$C$6:$AL$89,MATCH($C29,'[1]End - Use Prices'!$A$6:$A$89,0)+MATCH($D29,'[1]End - Use Prices'!$B$9:$B$11,0)-1,MATCH(AP$1,'[1]End - Use Prices'!$C$7:$AL$7,0))</f>
        <v>48.69</v>
      </c>
      <c r="AQ29" s="41">
        <f>INDEX('[1]End - Use Prices'!$C$6:$AL$89,MATCH($C29,'[1]End - Use Prices'!$A$6:$A$89,0)+MATCH($D29,'[1]End - Use Prices'!$B$9:$B$11,0)-1,MATCH(AQ$1,'[1]End - Use Prices'!$C$7:$AL$7,0))</f>
        <v>48.86</v>
      </c>
      <c r="AR29" s="41">
        <f>INDEX('[1]End - Use Prices'!$C$6:$AL$89,MATCH($C29,'[1]End - Use Prices'!$A$6:$A$89,0)+MATCH($D29,'[1]End - Use Prices'!$B$9:$B$11,0)-1,MATCH(AR$1,'[1]End - Use Prices'!$C$7:$AL$7,0))</f>
        <v>49.04</v>
      </c>
      <c r="AS29" s="41">
        <f>INDEX('[1]End - Use Prices'!$C$6:$AL$89,MATCH($C29,'[1]End - Use Prices'!$A$6:$A$89,0)+MATCH($D29,'[1]End - Use Prices'!$B$9:$B$11,0)-1,MATCH(AS$1,'[1]End - Use Prices'!$C$7:$AL$7,0))</f>
        <v>49.22</v>
      </c>
      <c r="AT29" s="41">
        <f>INDEX('[1]End - Use Prices'!$C$6:$AL$89,MATCH($C29,'[1]End - Use Prices'!$A$6:$A$89,0)+MATCH($D29,'[1]End - Use Prices'!$B$9:$B$11,0)-1,MATCH(AT$1,'[1]End - Use Prices'!$C$7:$AL$7,0))</f>
        <v>49.41</v>
      </c>
      <c r="AU29" s="41">
        <f>INDEX('[1]End - Use Prices'!$C$6:$AL$89,MATCH($C29,'[1]End - Use Prices'!$A$6:$A$89,0)+MATCH($D29,'[1]End - Use Prices'!$B$9:$B$11,0)-1,MATCH(AU$1,'[1]End - Use Prices'!$C$7:$AL$7,0))</f>
        <v>49.59</v>
      </c>
      <c r="AV29" s="41">
        <f>INDEX('[1]End - Use Prices'!$C$6:$AL$89,MATCH($C29,'[1]End - Use Prices'!$A$6:$A$89,0)+MATCH($D29,'[1]End - Use Prices'!$B$9:$B$11,0)-1,MATCH(AV$1,'[1]End - Use Prices'!$C$7:$AL$7,0))</f>
        <v>49.78</v>
      </c>
      <c r="AW29" s="41">
        <f>INDEX('[1]End - Use Prices'!$C$6:$AL$89,MATCH($C29,'[1]End - Use Prices'!$A$6:$A$89,0)+MATCH($D29,'[1]End - Use Prices'!$B$9:$B$11,0)-1,MATCH(AW$1,'[1]End - Use Prices'!$C$7:$AL$7,0))</f>
        <v>49.97</v>
      </c>
      <c r="AX29" s="41">
        <f>INDEX('[1]End - Use Prices'!$C$6:$AL$89,MATCH($C29,'[1]End - Use Prices'!$A$6:$A$89,0)+MATCH($D29,'[1]End - Use Prices'!$B$9:$B$11,0)-1,MATCH(AX$1,'[1]End - Use Prices'!$C$7:$AL$7,0))</f>
        <v>50.16</v>
      </c>
      <c r="AY29" s="41">
        <f>INDEX('[1]End - Use Prices'!$C$6:$AL$89,MATCH($C29,'[1]End - Use Prices'!$A$6:$A$89,0)+MATCH($D29,'[1]End - Use Prices'!$B$9:$B$11,0)-1,MATCH(AY$1,'[1]End - Use Prices'!$C$7:$AL$7,0))</f>
        <v>50.35</v>
      </c>
      <c r="AZ29" s="41">
        <f>INDEX('[1]End - Use Prices'!$C$6:$AL$89,MATCH($C29,'[1]End - Use Prices'!$A$6:$A$89,0)+MATCH($D29,'[1]End - Use Prices'!$B$9:$B$11,0)-1,MATCH(AZ$1,'[1]End - Use Prices'!$C$7:$AL$7,0))</f>
        <v>50.54</v>
      </c>
      <c r="BA29" s="41">
        <f>INDEX('[1]End - Use Prices'!$C$6:$AL$89,MATCH($C29,'[1]End - Use Prices'!$A$6:$A$89,0)+MATCH($D29,'[1]End - Use Prices'!$B$9:$B$11,0)-1,MATCH(BA$1,'[1]End - Use Prices'!$C$7:$AL$7,0))</f>
        <v>50.73</v>
      </c>
      <c r="BB29" s="41">
        <f>INDEX('[1]End - Use Prices'!$C$6:$AL$89,MATCH($C29,'[1]End - Use Prices'!$A$6:$A$89,0)+MATCH($D29,'[1]End - Use Prices'!$B$9:$B$11,0)-1,MATCH(BB$1,'[1]End - Use Prices'!$C$7:$AL$7,0))</f>
        <v>50.92</v>
      </c>
      <c r="BC29" s="41">
        <f>INDEX('[1]End - Use Prices'!$C$6:$AL$89,MATCH($C29,'[1]End - Use Prices'!$A$6:$A$89,0)+MATCH($D29,'[1]End - Use Prices'!$B$9:$B$11,0)-1,MATCH(BC$1,'[1]End - Use Prices'!$C$7:$AL$7,0))</f>
        <v>51.11</v>
      </c>
      <c r="BD29" s="41">
        <f>INDEX('[1]End - Use Prices'!$C$6:$AL$89,MATCH($C29,'[1]End - Use Prices'!$A$6:$A$89,0)+MATCH($D29,'[1]End - Use Prices'!$B$9:$B$11,0)-1,MATCH(BD$1,'[1]End - Use Prices'!$C$7:$AL$7,0))</f>
        <v>51.3</v>
      </c>
      <c r="BE29" s="41">
        <f>INDEX('[1]End - Use Prices'!$C$6:$AL$89,MATCH($C29,'[1]End - Use Prices'!$A$6:$A$89,0)+MATCH($D29,'[1]End - Use Prices'!$B$9:$B$11,0)-1,MATCH(BE$1,'[1]End - Use Prices'!$C$7:$AL$7,0))</f>
        <v>51.48</v>
      </c>
      <c r="BF29" s="41">
        <f>INDEX('[1]End - Use Prices'!$C$6:$AL$89,MATCH($C29,'[1]End - Use Prices'!$A$6:$A$89,0)+MATCH($D29,'[1]End - Use Prices'!$B$9:$B$11,0)-1,MATCH(BF$1,'[1]End - Use Prices'!$C$7:$AL$7,0))</f>
        <v>51.67</v>
      </c>
      <c r="BG29" s="41">
        <f>INDEX('[1]End - Use Prices'!$C$6:$AL$89,MATCH($C29,'[1]End - Use Prices'!$A$6:$A$89,0)+MATCH($D29,'[1]End - Use Prices'!$B$9:$B$11,0)-1,MATCH(BG$1,'[1]End - Use Prices'!$C$7:$AL$7,0))</f>
        <v>51.85</v>
      </c>
      <c r="BR29" s="39"/>
      <c r="BS29" s="39"/>
      <c r="BT29" s="39"/>
      <c r="BU29" s="39"/>
      <c r="BV29" s="39"/>
      <c r="BW29" s="39"/>
      <c r="BX29" s="39"/>
      <c r="BY29" s="39"/>
      <c r="BZ29" s="39"/>
      <c r="CA29" s="39"/>
    </row>
    <row r="30" spans="1:79" x14ac:dyDescent="0.25">
      <c r="A30" s="5"/>
      <c r="B30" s="3"/>
      <c r="C30" s="25" t="s">
        <v>95</v>
      </c>
      <c r="D30" s="25" t="s">
        <v>2</v>
      </c>
      <c r="E30" s="25" t="s">
        <v>282</v>
      </c>
      <c r="F30" s="67" t="s">
        <v>279</v>
      </c>
      <c r="G30" s="53">
        <f t="shared" si="4"/>
        <v>80.930000000000007</v>
      </c>
      <c r="H30" s="34">
        <f t="shared" si="5"/>
        <v>80.930000000000007</v>
      </c>
      <c r="I30" s="34">
        <f t="shared" si="5"/>
        <v>89.34</v>
      </c>
      <c r="J30" s="34">
        <f t="shared" si="5"/>
        <v>95.28</v>
      </c>
      <c r="K30" s="34">
        <f t="shared" si="5"/>
        <v>96.87</v>
      </c>
      <c r="L30" s="34">
        <f t="shared" si="5"/>
        <v>98.86</v>
      </c>
      <c r="M30" s="34">
        <f t="shared" si="5"/>
        <v>100.71</v>
      </c>
      <c r="N30" s="34">
        <f t="shared" si="5"/>
        <v>102.6</v>
      </c>
      <c r="O30" s="34">
        <f t="shared" si="5"/>
        <v>104.69</v>
      </c>
      <c r="P30" s="53">
        <f t="shared" si="6"/>
        <v>104.69</v>
      </c>
      <c r="Q30" s="53">
        <f t="shared" si="6"/>
        <v>104.69</v>
      </c>
      <c r="R30" s="38"/>
      <c r="X30" s="41">
        <f>INDEX('[1]End - Use Prices'!$C$6:$AL$89,MATCH($C30,'[1]End - Use Prices'!$A$6:$A$89,0)+MATCH($D30,'[1]End - Use Prices'!$B$9:$B$11,0)-1,MATCH(X$1,'[1]End - Use Prices'!$C$7:$AL$7,0))</f>
        <v>80.930000000000007</v>
      </c>
      <c r="Y30" s="41">
        <f>INDEX('[1]End - Use Prices'!$C$6:$AL$89,MATCH($C30,'[1]End - Use Prices'!$A$6:$A$89,0)+MATCH($D30,'[1]End - Use Prices'!$B$9:$B$11,0)-1,MATCH(Y$1,'[1]End - Use Prices'!$C$7:$AL$7,0))</f>
        <v>83.41</v>
      </c>
      <c r="Z30" s="41">
        <f>INDEX('[1]End - Use Prices'!$C$6:$AL$89,MATCH($C30,'[1]End - Use Prices'!$A$6:$A$89,0)+MATCH($D30,'[1]End - Use Prices'!$B$9:$B$11,0)-1,MATCH(Z$1,'[1]End - Use Prices'!$C$7:$AL$7,0))</f>
        <v>82.56</v>
      </c>
      <c r="AA30" s="41">
        <f>INDEX('[1]End - Use Prices'!$C$6:$AL$89,MATCH($C30,'[1]End - Use Prices'!$A$6:$A$89,0)+MATCH($D30,'[1]End - Use Prices'!$B$9:$B$11,0)-1,MATCH(AA$1,'[1]End - Use Prices'!$C$7:$AL$7,0))</f>
        <v>81.98</v>
      </c>
      <c r="AB30" s="41">
        <f>INDEX('[1]End - Use Prices'!$C$6:$AL$89,MATCH($C30,'[1]End - Use Prices'!$A$6:$A$89,0)+MATCH($D30,'[1]End - Use Prices'!$B$9:$B$11,0)-1,MATCH(AB$1,'[1]End - Use Prices'!$C$7:$AL$7,0))</f>
        <v>85.14</v>
      </c>
      <c r="AC30" s="41">
        <f>INDEX('[1]End - Use Prices'!$C$6:$AL$89,MATCH($C30,'[1]End - Use Prices'!$A$6:$A$89,0)+MATCH($D30,'[1]End - Use Prices'!$B$9:$B$11,0)-1,MATCH(AC$1,'[1]End - Use Prices'!$C$7:$AL$7,0))</f>
        <v>89.34</v>
      </c>
      <c r="AD30" s="41">
        <f>INDEX('[1]End - Use Prices'!$C$6:$AL$89,MATCH($C30,'[1]End - Use Prices'!$A$6:$A$89,0)+MATCH($D30,'[1]End - Use Prices'!$B$9:$B$11,0)-1,MATCH(AD$1,'[1]End - Use Prices'!$C$7:$AL$7,0))</f>
        <v>85.75</v>
      </c>
      <c r="AE30" s="41">
        <f>INDEX('[1]End - Use Prices'!$C$6:$AL$89,MATCH($C30,'[1]End - Use Prices'!$A$6:$A$89,0)+MATCH($D30,'[1]End - Use Prices'!$B$9:$B$11,0)-1,MATCH(AE$1,'[1]End - Use Prices'!$C$7:$AL$7,0))</f>
        <v>94.73</v>
      </c>
      <c r="AF30" s="41">
        <f>INDEX('[1]End - Use Prices'!$C$6:$AL$89,MATCH($C30,'[1]End - Use Prices'!$A$6:$A$89,0)+MATCH($D30,'[1]End - Use Prices'!$B$9:$B$11,0)-1,MATCH(AF$1,'[1]End - Use Prices'!$C$7:$AL$7,0))</f>
        <v>94.52</v>
      </c>
      <c r="AG30" s="41">
        <f>INDEX('[1]End - Use Prices'!$C$6:$AL$89,MATCH($C30,'[1]End - Use Prices'!$A$6:$A$89,0)+MATCH($D30,'[1]End - Use Prices'!$B$9:$B$11,0)-1,MATCH(AG$1,'[1]End - Use Prices'!$C$7:$AL$7,0))</f>
        <v>94.52</v>
      </c>
      <c r="AH30" s="41">
        <f>INDEX('[1]End - Use Prices'!$C$6:$AL$89,MATCH($C30,'[1]End - Use Prices'!$A$6:$A$89,0)+MATCH($D30,'[1]End - Use Prices'!$B$9:$B$11,0)-1,MATCH(AH$1,'[1]End - Use Prices'!$C$7:$AL$7,0))</f>
        <v>95.28</v>
      </c>
      <c r="AI30" s="41">
        <f>INDEX('[1]End - Use Prices'!$C$6:$AL$89,MATCH($C30,'[1]End - Use Prices'!$A$6:$A$89,0)+MATCH($D30,'[1]End - Use Prices'!$B$9:$B$11,0)-1,MATCH(AI$1,'[1]End - Use Prices'!$C$7:$AL$7,0))</f>
        <v>94.69</v>
      </c>
      <c r="AJ30" s="41">
        <f>INDEX('[1]End - Use Prices'!$C$6:$AL$89,MATCH($C30,'[1]End - Use Prices'!$A$6:$A$89,0)+MATCH($D30,'[1]End - Use Prices'!$B$9:$B$11,0)-1,MATCH(AJ$1,'[1]End - Use Prices'!$C$7:$AL$7,0))</f>
        <v>95.56</v>
      </c>
      <c r="AK30" s="41">
        <f>INDEX('[1]End - Use Prices'!$C$6:$AL$89,MATCH($C30,'[1]End - Use Prices'!$A$6:$A$89,0)+MATCH($D30,'[1]End - Use Prices'!$B$9:$B$11,0)-1,MATCH(AK$1,'[1]End - Use Prices'!$C$7:$AL$7,0))</f>
        <v>96.01</v>
      </c>
      <c r="AL30" s="41">
        <f>INDEX('[1]End - Use Prices'!$C$6:$AL$89,MATCH($C30,'[1]End - Use Prices'!$A$6:$A$89,0)+MATCH($D30,'[1]End - Use Prices'!$B$9:$B$11,0)-1,MATCH(AL$1,'[1]End - Use Prices'!$C$7:$AL$7,0))</f>
        <v>96.45</v>
      </c>
      <c r="AM30" s="41">
        <f>INDEX('[1]End - Use Prices'!$C$6:$AL$89,MATCH($C30,'[1]End - Use Prices'!$A$6:$A$89,0)+MATCH($D30,'[1]End - Use Prices'!$B$9:$B$11,0)-1,MATCH(AM$1,'[1]End - Use Prices'!$C$7:$AL$7,0))</f>
        <v>96.87</v>
      </c>
      <c r="AN30" s="41">
        <f>INDEX('[1]End - Use Prices'!$C$6:$AL$89,MATCH($C30,'[1]End - Use Prices'!$A$6:$A$89,0)+MATCH($D30,'[1]End - Use Prices'!$B$9:$B$11,0)-1,MATCH(AN$1,'[1]End - Use Prices'!$C$7:$AL$7,0))</f>
        <v>97.29</v>
      </c>
      <c r="AO30" s="41">
        <f>INDEX('[1]End - Use Prices'!$C$6:$AL$89,MATCH($C30,'[1]End - Use Prices'!$A$6:$A$89,0)+MATCH($D30,'[1]End - Use Prices'!$B$9:$B$11,0)-1,MATCH(AO$1,'[1]End - Use Prices'!$C$7:$AL$7,0))</f>
        <v>97.69</v>
      </c>
      <c r="AP30" s="41">
        <f>INDEX('[1]End - Use Prices'!$C$6:$AL$89,MATCH($C30,'[1]End - Use Prices'!$A$6:$A$89,0)+MATCH($D30,'[1]End - Use Prices'!$B$9:$B$11,0)-1,MATCH(AP$1,'[1]End - Use Prices'!$C$7:$AL$7,0))</f>
        <v>98.09</v>
      </c>
      <c r="AQ30" s="41">
        <f>INDEX('[1]End - Use Prices'!$C$6:$AL$89,MATCH($C30,'[1]End - Use Prices'!$A$6:$A$89,0)+MATCH($D30,'[1]End - Use Prices'!$B$9:$B$11,0)-1,MATCH(AQ$1,'[1]End - Use Prices'!$C$7:$AL$7,0))</f>
        <v>98.48</v>
      </c>
      <c r="AR30" s="41">
        <f>INDEX('[1]End - Use Prices'!$C$6:$AL$89,MATCH($C30,'[1]End - Use Prices'!$A$6:$A$89,0)+MATCH($D30,'[1]End - Use Prices'!$B$9:$B$11,0)-1,MATCH(AR$1,'[1]End - Use Prices'!$C$7:$AL$7,0))</f>
        <v>98.86</v>
      </c>
      <c r="AS30" s="41">
        <f>INDEX('[1]End - Use Prices'!$C$6:$AL$89,MATCH($C30,'[1]End - Use Prices'!$A$6:$A$89,0)+MATCH($D30,'[1]End - Use Prices'!$B$9:$B$11,0)-1,MATCH(AS$1,'[1]End - Use Prices'!$C$7:$AL$7,0))</f>
        <v>99.23</v>
      </c>
      <c r="AT30" s="41">
        <f>INDEX('[1]End - Use Prices'!$C$6:$AL$89,MATCH($C30,'[1]End - Use Prices'!$A$6:$A$89,0)+MATCH($D30,'[1]End - Use Prices'!$B$9:$B$11,0)-1,MATCH(AT$1,'[1]End - Use Prices'!$C$7:$AL$7,0))</f>
        <v>99.6</v>
      </c>
      <c r="AU30" s="41">
        <f>INDEX('[1]End - Use Prices'!$C$6:$AL$89,MATCH($C30,'[1]End - Use Prices'!$A$6:$A$89,0)+MATCH($D30,'[1]End - Use Prices'!$B$9:$B$11,0)-1,MATCH(AU$1,'[1]End - Use Prices'!$C$7:$AL$7,0))</f>
        <v>99.97</v>
      </c>
      <c r="AV30" s="41">
        <f>INDEX('[1]End - Use Prices'!$C$6:$AL$89,MATCH($C30,'[1]End - Use Prices'!$A$6:$A$89,0)+MATCH($D30,'[1]End - Use Prices'!$B$9:$B$11,0)-1,MATCH(AV$1,'[1]End - Use Prices'!$C$7:$AL$7,0))</f>
        <v>100.34</v>
      </c>
      <c r="AW30" s="41">
        <f>INDEX('[1]End - Use Prices'!$C$6:$AL$89,MATCH($C30,'[1]End - Use Prices'!$A$6:$A$89,0)+MATCH($D30,'[1]End - Use Prices'!$B$9:$B$11,0)-1,MATCH(AW$1,'[1]End - Use Prices'!$C$7:$AL$7,0))</f>
        <v>100.71</v>
      </c>
      <c r="AX30" s="41">
        <f>INDEX('[1]End - Use Prices'!$C$6:$AL$89,MATCH($C30,'[1]End - Use Prices'!$A$6:$A$89,0)+MATCH($D30,'[1]End - Use Prices'!$B$9:$B$11,0)-1,MATCH(AX$1,'[1]End - Use Prices'!$C$7:$AL$7,0))</f>
        <v>101.08</v>
      </c>
      <c r="AY30" s="41">
        <f>INDEX('[1]End - Use Prices'!$C$6:$AL$89,MATCH($C30,'[1]End - Use Prices'!$A$6:$A$89,0)+MATCH($D30,'[1]End - Use Prices'!$B$9:$B$11,0)-1,MATCH(AY$1,'[1]End - Use Prices'!$C$7:$AL$7,0))</f>
        <v>101.45</v>
      </c>
      <c r="AZ30" s="41">
        <f>INDEX('[1]End - Use Prices'!$C$6:$AL$89,MATCH($C30,'[1]End - Use Prices'!$A$6:$A$89,0)+MATCH($D30,'[1]End - Use Prices'!$B$9:$B$11,0)-1,MATCH(AZ$1,'[1]End - Use Prices'!$C$7:$AL$7,0))</f>
        <v>101.83</v>
      </c>
      <c r="BA30" s="41">
        <f>INDEX('[1]End - Use Prices'!$C$6:$AL$89,MATCH($C30,'[1]End - Use Prices'!$A$6:$A$89,0)+MATCH($D30,'[1]End - Use Prices'!$B$9:$B$11,0)-1,MATCH(BA$1,'[1]End - Use Prices'!$C$7:$AL$7,0))</f>
        <v>102.21</v>
      </c>
      <c r="BB30" s="41">
        <f>INDEX('[1]End - Use Prices'!$C$6:$AL$89,MATCH($C30,'[1]End - Use Prices'!$A$6:$A$89,0)+MATCH($D30,'[1]End - Use Prices'!$B$9:$B$11,0)-1,MATCH(BB$1,'[1]End - Use Prices'!$C$7:$AL$7,0))</f>
        <v>102.6</v>
      </c>
      <c r="BC30" s="41">
        <f>INDEX('[1]End - Use Prices'!$C$6:$AL$89,MATCH($C30,'[1]End - Use Prices'!$A$6:$A$89,0)+MATCH($D30,'[1]End - Use Prices'!$B$9:$B$11,0)-1,MATCH(BC$1,'[1]End - Use Prices'!$C$7:$AL$7,0))</f>
        <v>103</v>
      </c>
      <c r="BD30" s="41">
        <f>INDEX('[1]End - Use Prices'!$C$6:$AL$89,MATCH($C30,'[1]End - Use Prices'!$A$6:$A$89,0)+MATCH($D30,'[1]End - Use Prices'!$B$9:$B$11,0)-1,MATCH(BD$1,'[1]End - Use Prices'!$C$7:$AL$7,0))</f>
        <v>103.4</v>
      </c>
      <c r="BE30" s="41">
        <f>INDEX('[1]End - Use Prices'!$C$6:$AL$89,MATCH($C30,'[1]End - Use Prices'!$A$6:$A$89,0)+MATCH($D30,'[1]End - Use Prices'!$B$9:$B$11,0)-1,MATCH(BE$1,'[1]End - Use Prices'!$C$7:$AL$7,0))</f>
        <v>103.82</v>
      </c>
      <c r="BF30" s="41">
        <f>INDEX('[1]End - Use Prices'!$C$6:$AL$89,MATCH($C30,'[1]End - Use Prices'!$A$6:$A$89,0)+MATCH($D30,'[1]End - Use Prices'!$B$9:$B$11,0)-1,MATCH(BF$1,'[1]End - Use Prices'!$C$7:$AL$7,0))</f>
        <v>104.25</v>
      </c>
      <c r="BG30" s="41">
        <f>INDEX('[1]End - Use Prices'!$C$6:$AL$89,MATCH($C30,'[1]End - Use Prices'!$A$6:$A$89,0)+MATCH($D30,'[1]End - Use Prices'!$B$9:$B$11,0)-1,MATCH(BG$1,'[1]End - Use Prices'!$C$7:$AL$7,0))</f>
        <v>104.69</v>
      </c>
      <c r="BR30" s="39"/>
      <c r="BS30" s="39"/>
      <c r="BT30" s="39"/>
      <c r="BU30" s="39"/>
      <c r="BV30" s="39"/>
      <c r="BW30" s="39"/>
      <c r="BX30" s="39"/>
      <c r="BY30" s="39"/>
      <c r="BZ30" s="39"/>
      <c r="CA30" s="39"/>
    </row>
    <row r="31" spans="1:79" x14ac:dyDescent="0.25">
      <c r="A31" s="5"/>
      <c r="B31" s="3"/>
      <c r="C31" s="25" t="s">
        <v>94</v>
      </c>
      <c r="D31" s="25" t="s">
        <v>2</v>
      </c>
      <c r="E31" s="25" t="s">
        <v>282</v>
      </c>
      <c r="F31" s="67" t="s">
        <v>279</v>
      </c>
      <c r="G31" s="53">
        <f t="shared" si="4"/>
        <v>83.79</v>
      </c>
      <c r="H31" s="34">
        <f t="shared" si="5"/>
        <v>83.79</v>
      </c>
      <c r="I31" s="34">
        <f t="shared" si="5"/>
        <v>92.5</v>
      </c>
      <c r="J31" s="34">
        <f t="shared" si="5"/>
        <v>98.65</v>
      </c>
      <c r="K31" s="34">
        <f t="shared" si="5"/>
        <v>99.14</v>
      </c>
      <c r="L31" s="34">
        <f t="shared" si="5"/>
        <v>99.31</v>
      </c>
      <c r="M31" s="34">
        <f t="shared" si="5"/>
        <v>99.23</v>
      </c>
      <c r="N31" s="34">
        <f t="shared" si="5"/>
        <v>99.15</v>
      </c>
      <c r="O31" s="34">
        <f t="shared" si="5"/>
        <v>99.32</v>
      </c>
      <c r="P31" s="53">
        <f t="shared" si="6"/>
        <v>99.32</v>
      </c>
      <c r="Q31" s="53">
        <f t="shared" si="6"/>
        <v>99.32</v>
      </c>
      <c r="R31" s="38"/>
      <c r="X31" s="41">
        <f>INDEX('[1]End - Use Prices'!$C$6:$AL$89,MATCH($C31,'[1]End - Use Prices'!$A$6:$A$89,0)+MATCH($D31,'[1]End - Use Prices'!$B$9:$B$11,0)-1,MATCH(X$1,'[1]End - Use Prices'!$C$7:$AL$7,0))</f>
        <v>83.79</v>
      </c>
      <c r="Y31" s="41">
        <f>INDEX('[1]End - Use Prices'!$C$6:$AL$89,MATCH($C31,'[1]End - Use Prices'!$A$6:$A$89,0)+MATCH($D31,'[1]End - Use Prices'!$B$9:$B$11,0)-1,MATCH(Y$1,'[1]End - Use Prices'!$C$7:$AL$7,0))</f>
        <v>86.36</v>
      </c>
      <c r="Z31" s="41">
        <f>INDEX('[1]End - Use Prices'!$C$6:$AL$89,MATCH($C31,'[1]End - Use Prices'!$A$6:$A$89,0)+MATCH($D31,'[1]End - Use Prices'!$B$9:$B$11,0)-1,MATCH(Z$1,'[1]End - Use Prices'!$C$7:$AL$7,0))</f>
        <v>85.49</v>
      </c>
      <c r="AA31" s="41">
        <f>INDEX('[1]End - Use Prices'!$C$6:$AL$89,MATCH($C31,'[1]End - Use Prices'!$A$6:$A$89,0)+MATCH($D31,'[1]End - Use Prices'!$B$9:$B$11,0)-1,MATCH(AA$1,'[1]End - Use Prices'!$C$7:$AL$7,0))</f>
        <v>84.88</v>
      </c>
      <c r="AB31" s="41">
        <f>INDEX('[1]End - Use Prices'!$C$6:$AL$89,MATCH($C31,'[1]End - Use Prices'!$A$6:$A$89,0)+MATCH($D31,'[1]End - Use Prices'!$B$9:$B$11,0)-1,MATCH(AB$1,'[1]End - Use Prices'!$C$7:$AL$7,0))</f>
        <v>88.16</v>
      </c>
      <c r="AC31" s="41">
        <f>INDEX('[1]End - Use Prices'!$C$6:$AL$89,MATCH($C31,'[1]End - Use Prices'!$A$6:$A$89,0)+MATCH($D31,'[1]End - Use Prices'!$B$9:$B$11,0)-1,MATCH(AC$1,'[1]End - Use Prices'!$C$7:$AL$7,0))</f>
        <v>92.5</v>
      </c>
      <c r="AD31" s="41">
        <f>INDEX('[1]End - Use Prices'!$C$6:$AL$89,MATCH($C31,'[1]End - Use Prices'!$A$6:$A$89,0)+MATCH($D31,'[1]End - Use Prices'!$B$9:$B$11,0)-1,MATCH(AD$1,'[1]End - Use Prices'!$C$7:$AL$7,0))</f>
        <v>88.79</v>
      </c>
      <c r="AE31" s="41">
        <f>INDEX('[1]End - Use Prices'!$C$6:$AL$89,MATCH($C31,'[1]End - Use Prices'!$A$6:$A$89,0)+MATCH($D31,'[1]End - Use Prices'!$B$9:$B$11,0)-1,MATCH(AE$1,'[1]End - Use Prices'!$C$7:$AL$7,0))</f>
        <v>98.09</v>
      </c>
      <c r="AF31" s="41">
        <f>INDEX('[1]End - Use Prices'!$C$6:$AL$89,MATCH($C31,'[1]End - Use Prices'!$A$6:$A$89,0)+MATCH($D31,'[1]End - Use Prices'!$B$9:$B$11,0)-1,MATCH(AF$1,'[1]End - Use Prices'!$C$7:$AL$7,0))</f>
        <v>97.87</v>
      </c>
      <c r="AG31" s="41">
        <f>INDEX('[1]End - Use Prices'!$C$6:$AL$89,MATCH($C31,'[1]End - Use Prices'!$A$6:$A$89,0)+MATCH($D31,'[1]End - Use Prices'!$B$9:$B$11,0)-1,MATCH(AG$1,'[1]End - Use Prices'!$C$7:$AL$7,0))</f>
        <v>97.87</v>
      </c>
      <c r="AH31" s="41">
        <f>INDEX('[1]End - Use Prices'!$C$6:$AL$89,MATCH($C31,'[1]End - Use Prices'!$A$6:$A$89,0)+MATCH($D31,'[1]End - Use Prices'!$B$9:$B$11,0)-1,MATCH(AH$1,'[1]End - Use Prices'!$C$7:$AL$7,0))</f>
        <v>98.65</v>
      </c>
      <c r="AI31" s="41">
        <f>INDEX('[1]End - Use Prices'!$C$6:$AL$89,MATCH($C31,'[1]End - Use Prices'!$A$6:$A$89,0)+MATCH($D31,'[1]End - Use Prices'!$B$9:$B$11,0)-1,MATCH(AI$1,'[1]End - Use Prices'!$C$7:$AL$7,0))</f>
        <v>98.04</v>
      </c>
      <c r="AJ31" s="41">
        <f>INDEX('[1]End - Use Prices'!$C$6:$AL$89,MATCH($C31,'[1]End - Use Prices'!$A$6:$A$89,0)+MATCH($D31,'[1]End - Use Prices'!$B$9:$B$11,0)-1,MATCH(AJ$1,'[1]End - Use Prices'!$C$7:$AL$7,0))</f>
        <v>98.81</v>
      </c>
      <c r="AK31" s="41">
        <f>INDEX('[1]End - Use Prices'!$C$6:$AL$89,MATCH($C31,'[1]End - Use Prices'!$A$6:$A$89,0)+MATCH($D31,'[1]End - Use Prices'!$B$9:$B$11,0)-1,MATCH(AK$1,'[1]End - Use Prices'!$C$7:$AL$7,0))</f>
        <v>98.94</v>
      </c>
      <c r="AL31" s="41">
        <f>INDEX('[1]End - Use Prices'!$C$6:$AL$89,MATCH($C31,'[1]End - Use Prices'!$A$6:$A$89,0)+MATCH($D31,'[1]End - Use Prices'!$B$9:$B$11,0)-1,MATCH(AL$1,'[1]End - Use Prices'!$C$7:$AL$7,0))</f>
        <v>99.05</v>
      </c>
      <c r="AM31" s="41">
        <f>INDEX('[1]End - Use Prices'!$C$6:$AL$89,MATCH($C31,'[1]End - Use Prices'!$A$6:$A$89,0)+MATCH($D31,'[1]End - Use Prices'!$B$9:$B$11,0)-1,MATCH(AM$1,'[1]End - Use Prices'!$C$7:$AL$7,0))</f>
        <v>99.14</v>
      </c>
      <c r="AN31" s="41">
        <f>INDEX('[1]End - Use Prices'!$C$6:$AL$89,MATCH($C31,'[1]End - Use Prices'!$A$6:$A$89,0)+MATCH($D31,'[1]End - Use Prices'!$B$9:$B$11,0)-1,MATCH(AN$1,'[1]End - Use Prices'!$C$7:$AL$7,0))</f>
        <v>99.2</v>
      </c>
      <c r="AO31" s="41">
        <f>INDEX('[1]End - Use Prices'!$C$6:$AL$89,MATCH($C31,'[1]End - Use Prices'!$A$6:$A$89,0)+MATCH($D31,'[1]End - Use Prices'!$B$9:$B$11,0)-1,MATCH(AO$1,'[1]End - Use Prices'!$C$7:$AL$7,0))</f>
        <v>99.25</v>
      </c>
      <c r="AP31" s="41">
        <f>INDEX('[1]End - Use Prices'!$C$6:$AL$89,MATCH($C31,'[1]End - Use Prices'!$A$6:$A$89,0)+MATCH($D31,'[1]End - Use Prices'!$B$9:$B$11,0)-1,MATCH(AP$1,'[1]End - Use Prices'!$C$7:$AL$7,0))</f>
        <v>99.28</v>
      </c>
      <c r="AQ31" s="41">
        <f>INDEX('[1]End - Use Prices'!$C$6:$AL$89,MATCH($C31,'[1]End - Use Prices'!$A$6:$A$89,0)+MATCH($D31,'[1]End - Use Prices'!$B$9:$B$11,0)-1,MATCH(AQ$1,'[1]End - Use Prices'!$C$7:$AL$7,0))</f>
        <v>99.3</v>
      </c>
      <c r="AR31" s="41">
        <f>INDEX('[1]End - Use Prices'!$C$6:$AL$89,MATCH($C31,'[1]End - Use Prices'!$A$6:$A$89,0)+MATCH($D31,'[1]End - Use Prices'!$B$9:$B$11,0)-1,MATCH(AR$1,'[1]End - Use Prices'!$C$7:$AL$7,0))</f>
        <v>99.31</v>
      </c>
      <c r="AS31" s="41">
        <f>INDEX('[1]End - Use Prices'!$C$6:$AL$89,MATCH($C31,'[1]End - Use Prices'!$A$6:$A$89,0)+MATCH($D31,'[1]End - Use Prices'!$B$9:$B$11,0)-1,MATCH(AS$1,'[1]End - Use Prices'!$C$7:$AL$7,0))</f>
        <v>99.3</v>
      </c>
      <c r="AT31" s="41">
        <f>INDEX('[1]End - Use Prices'!$C$6:$AL$89,MATCH($C31,'[1]End - Use Prices'!$A$6:$A$89,0)+MATCH($D31,'[1]End - Use Prices'!$B$9:$B$11,0)-1,MATCH(AT$1,'[1]End - Use Prices'!$C$7:$AL$7,0))</f>
        <v>99.29</v>
      </c>
      <c r="AU31" s="41">
        <f>INDEX('[1]End - Use Prices'!$C$6:$AL$89,MATCH($C31,'[1]End - Use Prices'!$A$6:$A$89,0)+MATCH($D31,'[1]End - Use Prices'!$B$9:$B$11,0)-1,MATCH(AU$1,'[1]End - Use Prices'!$C$7:$AL$7,0))</f>
        <v>99.27</v>
      </c>
      <c r="AV31" s="41">
        <f>INDEX('[1]End - Use Prices'!$C$6:$AL$89,MATCH($C31,'[1]End - Use Prices'!$A$6:$A$89,0)+MATCH($D31,'[1]End - Use Prices'!$B$9:$B$11,0)-1,MATCH(AV$1,'[1]End - Use Prices'!$C$7:$AL$7,0))</f>
        <v>99.25</v>
      </c>
      <c r="AW31" s="41">
        <f>INDEX('[1]End - Use Prices'!$C$6:$AL$89,MATCH($C31,'[1]End - Use Prices'!$A$6:$A$89,0)+MATCH($D31,'[1]End - Use Prices'!$B$9:$B$11,0)-1,MATCH(AW$1,'[1]End - Use Prices'!$C$7:$AL$7,0))</f>
        <v>99.23</v>
      </c>
      <c r="AX31" s="41">
        <f>INDEX('[1]End - Use Prices'!$C$6:$AL$89,MATCH($C31,'[1]End - Use Prices'!$A$6:$A$89,0)+MATCH($D31,'[1]End - Use Prices'!$B$9:$B$11,0)-1,MATCH(AX$1,'[1]End - Use Prices'!$C$7:$AL$7,0))</f>
        <v>99.2</v>
      </c>
      <c r="AY31" s="41">
        <f>INDEX('[1]End - Use Prices'!$C$6:$AL$89,MATCH($C31,'[1]End - Use Prices'!$A$6:$A$89,0)+MATCH($D31,'[1]End - Use Prices'!$B$9:$B$11,0)-1,MATCH(AY$1,'[1]End - Use Prices'!$C$7:$AL$7,0))</f>
        <v>99.18</v>
      </c>
      <c r="AZ31" s="41">
        <f>INDEX('[1]End - Use Prices'!$C$6:$AL$89,MATCH($C31,'[1]End - Use Prices'!$A$6:$A$89,0)+MATCH($D31,'[1]End - Use Prices'!$B$9:$B$11,0)-1,MATCH(AZ$1,'[1]End - Use Prices'!$C$7:$AL$7,0))</f>
        <v>99.16</v>
      </c>
      <c r="BA31" s="41">
        <f>INDEX('[1]End - Use Prices'!$C$6:$AL$89,MATCH($C31,'[1]End - Use Prices'!$A$6:$A$89,0)+MATCH($D31,'[1]End - Use Prices'!$B$9:$B$11,0)-1,MATCH(BA$1,'[1]End - Use Prices'!$C$7:$AL$7,0))</f>
        <v>99.15</v>
      </c>
      <c r="BB31" s="41">
        <f>INDEX('[1]End - Use Prices'!$C$6:$AL$89,MATCH($C31,'[1]End - Use Prices'!$A$6:$A$89,0)+MATCH($D31,'[1]End - Use Prices'!$B$9:$B$11,0)-1,MATCH(BB$1,'[1]End - Use Prices'!$C$7:$AL$7,0))</f>
        <v>99.15</v>
      </c>
      <c r="BC31" s="41">
        <f>INDEX('[1]End - Use Prices'!$C$6:$AL$89,MATCH($C31,'[1]End - Use Prices'!$A$6:$A$89,0)+MATCH($D31,'[1]End - Use Prices'!$B$9:$B$11,0)-1,MATCH(BC$1,'[1]End - Use Prices'!$C$7:$AL$7,0))</f>
        <v>99.15</v>
      </c>
      <c r="BD31" s="41">
        <f>INDEX('[1]End - Use Prices'!$C$6:$AL$89,MATCH($C31,'[1]End - Use Prices'!$A$6:$A$89,0)+MATCH($D31,'[1]End - Use Prices'!$B$9:$B$11,0)-1,MATCH(BD$1,'[1]End - Use Prices'!$C$7:$AL$7,0))</f>
        <v>99.17</v>
      </c>
      <c r="BE31" s="41">
        <f>INDEX('[1]End - Use Prices'!$C$6:$AL$89,MATCH($C31,'[1]End - Use Prices'!$A$6:$A$89,0)+MATCH($D31,'[1]End - Use Prices'!$B$9:$B$11,0)-1,MATCH(BE$1,'[1]End - Use Prices'!$C$7:$AL$7,0))</f>
        <v>99.2</v>
      </c>
      <c r="BF31" s="41">
        <f>INDEX('[1]End - Use Prices'!$C$6:$AL$89,MATCH($C31,'[1]End - Use Prices'!$A$6:$A$89,0)+MATCH($D31,'[1]End - Use Prices'!$B$9:$B$11,0)-1,MATCH(BF$1,'[1]End - Use Prices'!$C$7:$AL$7,0))</f>
        <v>99.25</v>
      </c>
      <c r="BG31" s="41">
        <f>INDEX('[1]End - Use Prices'!$C$6:$AL$89,MATCH($C31,'[1]End - Use Prices'!$A$6:$A$89,0)+MATCH($D31,'[1]End - Use Prices'!$B$9:$B$11,0)-1,MATCH(BG$1,'[1]End - Use Prices'!$C$7:$AL$7,0))</f>
        <v>99.32</v>
      </c>
      <c r="BR31" s="39"/>
      <c r="BS31" s="39"/>
      <c r="BT31" s="39"/>
      <c r="BU31" s="39"/>
      <c r="BV31" s="39"/>
      <c r="BW31" s="39"/>
      <c r="BX31" s="39"/>
      <c r="BY31" s="39"/>
      <c r="BZ31" s="39"/>
      <c r="CA31" s="39"/>
    </row>
    <row r="32" spans="1:79" x14ac:dyDescent="0.25">
      <c r="A32" s="5"/>
      <c r="B32" s="3"/>
      <c r="C32" s="25" t="s">
        <v>48</v>
      </c>
      <c r="D32" s="25" t="s">
        <v>14</v>
      </c>
      <c r="E32" s="25" t="s">
        <v>282</v>
      </c>
      <c r="F32" s="67" t="s">
        <v>279</v>
      </c>
      <c r="G32" s="53">
        <f t="shared" si="4"/>
        <v>15.81</v>
      </c>
      <c r="H32" s="34">
        <f t="shared" si="5"/>
        <v>15.81</v>
      </c>
      <c r="I32" s="34">
        <f t="shared" si="5"/>
        <v>12.69</v>
      </c>
      <c r="J32" s="34">
        <f t="shared" si="5"/>
        <v>10.65</v>
      </c>
      <c r="K32" s="34">
        <f t="shared" si="5"/>
        <v>9.67</v>
      </c>
      <c r="L32" s="34">
        <f t="shared" si="5"/>
        <v>10.64</v>
      </c>
      <c r="M32" s="34">
        <f t="shared" si="5"/>
        <v>11.02</v>
      </c>
      <c r="N32" s="34">
        <f t="shared" si="5"/>
        <v>11.37</v>
      </c>
      <c r="O32" s="34">
        <f t="shared" si="5"/>
        <v>11.44</v>
      </c>
      <c r="P32" s="53">
        <f t="shared" si="6"/>
        <v>11.44</v>
      </c>
      <c r="Q32" s="53">
        <f t="shared" si="6"/>
        <v>11.44</v>
      </c>
      <c r="R32" s="38"/>
      <c r="X32" s="41">
        <f>INDEX('[1]End - Use Prices'!$C$6:$AL$89,MATCH($C32,'[1]End - Use Prices'!$A$6:$A$89,0)+MATCH($D32,'[1]End - Use Prices'!$B$9:$B$11,0)-1,MATCH(X$1,'[1]End - Use Prices'!$C$7:$AL$7,0))</f>
        <v>15.81</v>
      </c>
      <c r="Y32" s="41">
        <f>INDEX('[1]End - Use Prices'!$C$6:$AL$89,MATCH($C32,'[1]End - Use Prices'!$A$6:$A$89,0)+MATCH($D32,'[1]End - Use Prices'!$B$9:$B$11,0)-1,MATCH(Y$1,'[1]End - Use Prices'!$C$7:$AL$7,0))</f>
        <v>16.04</v>
      </c>
      <c r="Z32" s="41">
        <f>INDEX('[1]End - Use Prices'!$C$6:$AL$89,MATCH($C32,'[1]End - Use Prices'!$A$6:$A$89,0)+MATCH($D32,'[1]End - Use Prices'!$B$9:$B$11,0)-1,MATCH(Z$1,'[1]End - Use Prices'!$C$7:$AL$7,0))</f>
        <v>14.76</v>
      </c>
      <c r="AA32" s="41">
        <f>INDEX('[1]End - Use Prices'!$C$6:$AL$89,MATCH($C32,'[1]End - Use Prices'!$A$6:$A$89,0)+MATCH($D32,'[1]End - Use Prices'!$B$9:$B$11,0)-1,MATCH(AA$1,'[1]End - Use Prices'!$C$7:$AL$7,0))</f>
        <v>14.82</v>
      </c>
      <c r="AB32" s="41">
        <f>INDEX('[1]End - Use Prices'!$C$6:$AL$89,MATCH($C32,'[1]End - Use Prices'!$A$6:$A$89,0)+MATCH($D32,'[1]End - Use Prices'!$B$9:$B$11,0)-1,MATCH(AB$1,'[1]End - Use Prices'!$C$7:$AL$7,0))</f>
        <v>12.89</v>
      </c>
      <c r="AC32" s="41">
        <f>INDEX('[1]End - Use Prices'!$C$6:$AL$89,MATCH($C32,'[1]End - Use Prices'!$A$6:$A$89,0)+MATCH($D32,'[1]End - Use Prices'!$B$9:$B$11,0)-1,MATCH(AC$1,'[1]End - Use Prices'!$C$7:$AL$7,0))</f>
        <v>12.69</v>
      </c>
      <c r="AD32" s="41">
        <f>INDEX('[1]End - Use Prices'!$C$6:$AL$89,MATCH($C32,'[1]End - Use Prices'!$A$6:$A$89,0)+MATCH($D32,'[1]End - Use Prices'!$B$9:$B$11,0)-1,MATCH(AD$1,'[1]End - Use Prices'!$C$7:$AL$7,0))</f>
        <v>11.75</v>
      </c>
      <c r="AE32" s="41">
        <f>INDEX('[1]End - Use Prices'!$C$6:$AL$89,MATCH($C32,'[1]End - Use Prices'!$A$6:$A$89,0)+MATCH($D32,'[1]End - Use Prices'!$B$9:$B$11,0)-1,MATCH(AE$1,'[1]End - Use Prices'!$C$7:$AL$7,0))</f>
        <v>10.82</v>
      </c>
      <c r="AF32" s="41">
        <f>INDEX('[1]End - Use Prices'!$C$6:$AL$89,MATCH($C32,'[1]End - Use Prices'!$A$6:$A$89,0)+MATCH($D32,'[1]End - Use Prices'!$B$9:$B$11,0)-1,MATCH(AF$1,'[1]End - Use Prices'!$C$7:$AL$7,0))</f>
        <v>10.77</v>
      </c>
      <c r="AG32" s="41">
        <f>INDEX('[1]End - Use Prices'!$C$6:$AL$89,MATCH($C32,'[1]End - Use Prices'!$A$6:$A$89,0)+MATCH($D32,'[1]End - Use Prices'!$B$9:$B$11,0)-1,MATCH(AG$1,'[1]End - Use Prices'!$C$7:$AL$7,0))</f>
        <v>11.71</v>
      </c>
      <c r="AH32" s="41">
        <f>INDEX('[1]End - Use Prices'!$C$6:$AL$89,MATCH($C32,'[1]End - Use Prices'!$A$6:$A$89,0)+MATCH($D32,'[1]End - Use Prices'!$B$9:$B$11,0)-1,MATCH(AH$1,'[1]End - Use Prices'!$C$7:$AL$7,0))</f>
        <v>10.65</v>
      </c>
      <c r="AI32" s="41">
        <f>INDEX('[1]End - Use Prices'!$C$6:$AL$89,MATCH($C32,'[1]End - Use Prices'!$A$6:$A$89,0)+MATCH($D32,'[1]End - Use Prices'!$B$9:$B$11,0)-1,MATCH(AI$1,'[1]End - Use Prices'!$C$7:$AL$7,0))</f>
        <v>8.93</v>
      </c>
      <c r="AJ32" s="41">
        <f>INDEX('[1]End - Use Prices'!$C$6:$AL$89,MATCH($C32,'[1]End - Use Prices'!$A$6:$A$89,0)+MATCH($D32,'[1]End - Use Prices'!$B$9:$B$11,0)-1,MATCH(AJ$1,'[1]End - Use Prices'!$C$7:$AL$7,0))</f>
        <v>10.82</v>
      </c>
      <c r="AK32" s="41">
        <f>INDEX('[1]End - Use Prices'!$C$6:$AL$89,MATCH($C32,'[1]End - Use Prices'!$A$6:$A$89,0)+MATCH($D32,'[1]End - Use Prices'!$B$9:$B$11,0)-1,MATCH(AK$1,'[1]End - Use Prices'!$C$7:$AL$7,0))</f>
        <v>9.86</v>
      </c>
      <c r="AL32" s="41">
        <f>INDEX('[1]End - Use Prices'!$C$6:$AL$89,MATCH($C32,'[1]End - Use Prices'!$A$6:$A$89,0)+MATCH($D32,'[1]End - Use Prices'!$B$9:$B$11,0)-1,MATCH(AL$1,'[1]End - Use Prices'!$C$7:$AL$7,0))</f>
        <v>9.5299999999999994</v>
      </c>
      <c r="AM32" s="41">
        <f>INDEX('[1]End - Use Prices'!$C$6:$AL$89,MATCH($C32,'[1]End - Use Prices'!$A$6:$A$89,0)+MATCH($D32,'[1]End - Use Prices'!$B$9:$B$11,0)-1,MATCH(AM$1,'[1]End - Use Prices'!$C$7:$AL$7,0))</f>
        <v>9.67</v>
      </c>
      <c r="AN32" s="41">
        <f>INDEX('[1]End - Use Prices'!$C$6:$AL$89,MATCH($C32,'[1]End - Use Prices'!$A$6:$A$89,0)+MATCH($D32,'[1]End - Use Prices'!$B$9:$B$11,0)-1,MATCH(AN$1,'[1]End - Use Prices'!$C$7:$AL$7,0))</f>
        <v>9.8699999999999992</v>
      </c>
      <c r="AO32" s="41">
        <f>INDEX('[1]End - Use Prices'!$C$6:$AL$89,MATCH($C32,'[1]End - Use Prices'!$A$6:$A$89,0)+MATCH($D32,'[1]End - Use Prices'!$B$9:$B$11,0)-1,MATCH(AO$1,'[1]End - Use Prices'!$C$7:$AL$7,0))</f>
        <v>10.19</v>
      </c>
      <c r="AP32" s="41">
        <f>INDEX('[1]End - Use Prices'!$C$6:$AL$89,MATCH($C32,'[1]End - Use Prices'!$A$6:$A$89,0)+MATCH($D32,'[1]End - Use Prices'!$B$9:$B$11,0)-1,MATCH(AP$1,'[1]End - Use Prices'!$C$7:$AL$7,0))</f>
        <v>10.44</v>
      </c>
      <c r="AQ32" s="41">
        <f>INDEX('[1]End - Use Prices'!$C$6:$AL$89,MATCH($C32,'[1]End - Use Prices'!$A$6:$A$89,0)+MATCH($D32,'[1]End - Use Prices'!$B$9:$B$11,0)-1,MATCH(AQ$1,'[1]End - Use Prices'!$C$7:$AL$7,0))</f>
        <v>10.53</v>
      </c>
      <c r="AR32" s="41">
        <f>INDEX('[1]End - Use Prices'!$C$6:$AL$89,MATCH($C32,'[1]End - Use Prices'!$A$6:$A$89,0)+MATCH($D32,'[1]End - Use Prices'!$B$9:$B$11,0)-1,MATCH(AR$1,'[1]End - Use Prices'!$C$7:$AL$7,0))</f>
        <v>10.64</v>
      </c>
      <c r="AS32" s="41">
        <f>INDEX('[1]End - Use Prices'!$C$6:$AL$89,MATCH($C32,'[1]End - Use Prices'!$A$6:$A$89,0)+MATCH($D32,'[1]End - Use Prices'!$B$9:$B$11,0)-1,MATCH(AS$1,'[1]End - Use Prices'!$C$7:$AL$7,0))</f>
        <v>10.82</v>
      </c>
      <c r="AT32" s="41">
        <f>INDEX('[1]End - Use Prices'!$C$6:$AL$89,MATCH($C32,'[1]End - Use Prices'!$A$6:$A$89,0)+MATCH($D32,'[1]End - Use Prices'!$B$9:$B$11,0)-1,MATCH(AT$1,'[1]End - Use Prices'!$C$7:$AL$7,0))</f>
        <v>10.85</v>
      </c>
      <c r="AU32" s="41">
        <f>INDEX('[1]End - Use Prices'!$C$6:$AL$89,MATCH($C32,'[1]End - Use Prices'!$A$6:$A$89,0)+MATCH($D32,'[1]End - Use Prices'!$B$9:$B$11,0)-1,MATCH(AU$1,'[1]End - Use Prices'!$C$7:$AL$7,0))</f>
        <v>10.9</v>
      </c>
      <c r="AV32" s="41">
        <f>INDEX('[1]End - Use Prices'!$C$6:$AL$89,MATCH($C32,'[1]End - Use Prices'!$A$6:$A$89,0)+MATCH($D32,'[1]End - Use Prices'!$B$9:$B$11,0)-1,MATCH(AV$1,'[1]End - Use Prices'!$C$7:$AL$7,0))</f>
        <v>10.96</v>
      </c>
      <c r="AW32" s="41">
        <f>INDEX('[1]End - Use Prices'!$C$6:$AL$89,MATCH($C32,'[1]End - Use Prices'!$A$6:$A$89,0)+MATCH($D32,'[1]End - Use Prices'!$B$9:$B$11,0)-1,MATCH(AW$1,'[1]End - Use Prices'!$C$7:$AL$7,0))</f>
        <v>11.02</v>
      </c>
      <c r="AX32" s="41">
        <f>INDEX('[1]End - Use Prices'!$C$6:$AL$89,MATCH($C32,'[1]End - Use Prices'!$A$6:$A$89,0)+MATCH($D32,'[1]End - Use Prices'!$B$9:$B$11,0)-1,MATCH(AX$1,'[1]End - Use Prices'!$C$7:$AL$7,0))</f>
        <v>11.09</v>
      </c>
      <c r="AY32" s="41">
        <f>INDEX('[1]End - Use Prices'!$C$6:$AL$89,MATCH($C32,'[1]End - Use Prices'!$A$6:$A$89,0)+MATCH($D32,'[1]End - Use Prices'!$B$9:$B$11,0)-1,MATCH(AY$1,'[1]End - Use Prices'!$C$7:$AL$7,0))</f>
        <v>11.18</v>
      </c>
      <c r="AZ32" s="41">
        <f>INDEX('[1]End - Use Prices'!$C$6:$AL$89,MATCH($C32,'[1]End - Use Prices'!$A$6:$A$89,0)+MATCH($D32,'[1]End - Use Prices'!$B$9:$B$11,0)-1,MATCH(AZ$1,'[1]End - Use Prices'!$C$7:$AL$7,0))</f>
        <v>11.28</v>
      </c>
      <c r="BA32" s="41">
        <f>INDEX('[1]End - Use Prices'!$C$6:$AL$89,MATCH($C32,'[1]End - Use Prices'!$A$6:$A$89,0)+MATCH($D32,'[1]End - Use Prices'!$B$9:$B$11,0)-1,MATCH(BA$1,'[1]End - Use Prices'!$C$7:$AL$7,0))</f>
        <v>11.33</v>
      </c>
      <c r="BB32" s="41">
        <f>INDEX('[1]End - Use Prices'!$C$6:$AL$89,MATCH($C32,'[1]End - Use Prices'!$A$6:$A$89,0)+MATCH($D32,'[1]End - Use Prices'!$B$9:$B$11,0)-1,MATCH(BB$1,'[1]End - Use Prices'!$C$7:$AL$7,0))</f>
        <v>11.37</v>
      </c>
      <c r="BC32" s="41">
        <f>INDEX('[1]End - Use Prices'!$C$6:$AL$89,MATCH($C32,'[1]End - Use Prices'!$A$6:$A$89,0)+MATCH($D32,'[1]End - Use Prices'!$B$9:$B$11,0)-1,MATCH(BC$1,'[1]End - Use Prices'!$C$7:$AL$7,0))</f>
        <v>11.41</v>
      </c>
      <c r="BD32" s="41">
        <f>INDEX('[1]End - Use Prices'!$C$6:$AL$89,MATCH($C32,'[1]End - Use Prices'!$A$6:$A$89,0)+MATCH($D32,'[1]End - Use Prices'!$B$9:$B$11,0)-1,MATCH(BD$1,'[1]End - Use Prices'!$C$7:$AL$7,0))</f>
        <v>11.43</v>
      </c>
      <c r="BE32" s="41">
        <f>INDEX('[1]End - Use Prices'!$C$6:$AL$89,MATCH($C32,'[1]End - Use Prices'!$A$6:$A$89,0)+MATCH($D32,'[1]End - Use Prices'!$B$9:$B$11,0)-1,MATCH(BE$1,'[1]End - Use Prices'!$C$7:$AL$7,0))</f>
        <v>11.43</v>
      </c>
      <c r="BF32" s="41">
        <f>INDEX('[1]End - Use Prices'!$C$6:$AL$89,MATCH($C32,'[1]End - Use Prices'!$A$6:$A$89,0)+MATCH($D32,'[1]End - Use Prices'!$B$9:$B$11,0)-1,MATCH(BF$1,'[1]End - Use Prices'!$C$7:$AL$7,0))</f>
        <v>11.44</v>
      </c>
      <c r="BG32" s="41">
        <f>INDEX('[1]End - Use Prices'!$C$6:$AL$89,MATCH($C32,'[1]End - Use Prices'!$A$6:$A$89,0)+MATCH($D32,'[1]End - Use Prices'!$B$9:$B$11,0)-1,MATCH(BG$1,'[1]End - Use Prices'!$C$7:$AL$7,0))</f>
        <v>11.44</v>
      </c>
      <c r="BR32" s="39"/>
      <c r="BS32" s="39"/>
      <c r="BT32" s="39"/>
      <c r="BU32" s="39"/>
      <c r="BV32" s="39"/>
      <c r="BW32" s="39"/>
      <c r="BX32" s="39"/>
      <c r="BY32" s="39"/>
      <c r="BZ32" s="39"/>
      <c r="CA32" s="39"/>
    </row>
    <row r="33" spans="1:79" x14ac:dyDescent="0.25">
      <c r="A33" s="5"/>
      <c r="B33" s="3"/>
      <c r="C33" s="25" t="s">
        <v>85</v>
      </c>
      <c r="D33" s="25" t="s">
        <v>14</v>
      </c>
      <c r="E33" s="25" t="s">
        <v>282</v>
      </c>
      <c r="F33" s="67" t="s">
        <v>279</v>
      </c>
      <c r="G33" s="53">
        <f t="shared" si="4"/>
        <v>18.899999999999999</v>
      </c>
      <c r="H33" s="34">
        <f t="shared" si="5"/>
        <v>18.899999999999999</v>
      </c>
      <c r="I33" s="34">
        <f t="shared" si="5"/>
        <v>20.09</v>
      </c>
      <c r="J33" s="34">
        <f t="shared" si="5"/>
        <v>13.86</v>
      </c>
      <c r="K33" s="34">
        <f t="shared" si="5"/>
        <v>10.91</v>
      </c>
      <c r="L33" s="34">
        <f t="shared" si="5"/>
        <v>11.38</v>
      </c>
      <c r="M33" s="34">
        <f t="shared" si="5"/>
        <v>11.9</v>
      </c>
      <c r="N33" s="34">
        <f t="shared" si="5"/>
        <v>12.45</v>
      </c>
      <c r="O33" s="34">
        <f t="shared" si="5"/>
        <v>12.67</v>
      </c>
      <c r="P33" s="53">
        <f t="shared" si="6"/>
        <v>12.67</v>
      </c>
      <c r="Q33" s="53">
        <f t="shared" si="6"/>
        <v>12.67</v>
      </c>
      <c r="R33" s="38"/>
      <c r="X33" s="41">
        <f>INDEX('[1]End - Use Prices'!$C$6:$AL$89,MATCH($C33,'[1]End - Use Prices'!$A$6:$A$89,0)+MATCH($D33,'[1]End - Use Prices'!$B$9:$B$11,0)-1,MATCH(X$1,'[1]End - Use Prices'!$C$7:$AL$7,0))</f>
        <v>18.899999999999999</v>
      </c>
      <c r="Y33" s="41">
        <f>INDEX('[1]End - Use Prices'!$C$6:$AL$89,MATCH($C33,'[1]End - Use Prices'!$A$6:$A$89,0)+MATCH($D33,'[1]End - Use Prices'!$B$9:$B$11,0)-1,MATCH(Y$1,'[1]End - Use Prices'!$C$7:$AL$7,0))</f>
        <v>18.940000000000001</v>
      </c>
      <c r="Z33" s="41">
        <f>INDEX('[1]End - Use Prices'!$C$6:$AL$89,MATCH($C33,'[1]End - Use Prices'!$A$6:$A$89,0)+MATCH($D33,'[1]End - Use Prices'!$B$9:$B$11,0)-1,MATCH(Z$1,'[1]End - Use Prices'!$C$7:$AL$7,0))</f>
        <v>11.86</v>
      </c>
      <c r="AA33" s="41">
        <f>INDEX('[1]End - Use Prices'!$C$6:$AL$89,MATCH($C33,'[1]End - Use Prices'!$A$6:$A$89,0)+MATCH($D33,'[1]End - Use Prices'!$B$9:$B$11,0)-1,MATCH(AA$1,'[1]End - Use Prices'!$C$7:$AL$7,0))</f>
        <v>14.01</v>
      </c>
      <c r="AB33" s="41">
        <f>INDEX('[1]End - Use Prices'!$C$6:$AL$89,MATCH($C33,'[1]End - Use Prices'!$A$6:$A$89,0)+MATCH($D33,'[1]End - Use Prices'!$B$9:$B$11,0)-1,MATCH(AB$1,'[1]End - Use Prices'!$C$7:$AL$7,0))</f>
        <v>14.6</v>
      </c>
      <c r="AC33" s="41">
        <f>INDEX('[1]End - Use Prices'!$C$6:$AL$89,MATCH($C33,'[1]End - Use Prices'!$A$6:$A$89,0)+MATCH($D33,'[1]End - Use Prices'!$B$9:$B$11,0)-1,MATCH(AC$1,'[1]End - Use Prices'!$C$7:$AL$7,0))</f>
        <v>20.09</v>
      </c>
      <c r="AD33" s="41">
        <f>INDEX('[1]End - Use Prices'!$C$6:$AL$89,MATCH($C33,'[1]End - Use Prices'!$A$6:$A$89,0)+MATCH($D33,'[1]End - Use Prices'!$B$9:$B$11,0)-1,MATCH(AD$1,'[1]End - Use Prices'!$C$7:$AL$7,0))</f>
        <v>17.2</v>
      </c>
      <c r="AE33" s="41">
        <f>INDEX('[1]End - Use Prices'!$C$6:$AL$89,MATCH($C33,'[1]End - Use Prices'!$A$6:$A$89,0)+MATCH($D33,'[1]End - Use Prices'!$B$9:$B$11,0)-1,MATCH(AE$1,'[1]End - Use Prices'!$C$7:$AL$7,0))</f>
        <v>17.59</v>
      </c>
      <c r="AF33" s="41">
        <f>INDEX('[1]End - Use Prices'!$C$6:$AL$89,MATCH($C33,'[1]End - Use Prices'!$A$6:$A$89,0)+MATCH($D33,'[1]End - Use Prices'!$B$9:$B$11,0)-1,MATCH(AF$1,'[1]End - Use Prices'!$C$7:$AL$7,0))</f>
        <v>18.75</v>
      </c>
      <c r="AG33" s="41">
        <f>INDEX('[1]End - Use Prices'!$C$6:$AL$89,MATCH($C33,'[1]End - Use Prices'!$A$6:$A$89,0)+MATCH($D33,'[1]End - Use Prices'!$B$9:$B$11,0)-1,MATCH(AG$1,'[1]End - Use Prices'!$C$7:$AL$7,0))</f>
        <v>18.48</v>
      </c>
      <c r="AH33" s="41">
        <f>INDEX('[1]End - Use Prices'!$C$6:$AL$89,MATCH($C33,'[1]End - Use Prices'!$A$6:$A$89,0)+MATCH($D33,'[1]End - Use Prices'!$B$9:$B$11,0)-1,MATCH(AH$1,'[1]End - Use Prices'!$C$7:$AL$7,0))</f>
        <v>13.86</v>
      </c>
      <c r="AI33" s="41">
        <f>INDEX('[1]End - Use Prices'!$C$6:$AL$89,MATCH($C33,'[1]End - Use Prices'!$A$6:$A$89,0)+MATCH($D33,'[1]End - Use Prices'!$B$9:$B$11,0)-1,MATCH(AI$1,'[1]End - Use Prices'!$C$7:$AL$7,0))</f>
        <v>9.4700000000000006</v>
      </c>
      <c r="AJ33" s="41">
        <f>INDEX('[1]End - Use Prices'!$C$6:$AL$89,MATCH($C33,'[1]End - Use Prices'!$A$6:$A$89,0)+MATCH($D33,'[1]End - Use Prices'!$B$9:$B$11,0)-1,MATCH(AJ$1,'[1]End - Use Prices'!$C$7:$AL$7,0))</f>
        <v>10.75</v>
      </c>
      <c r="AK33" s="41">
        <f>INDEX('[1]End - Use Prices'!$C$6:$AL$89,MATCH($C33,'[1]End - Use Prices'!$A$6:$A$89,0)+MATCH($D33,'[1]End - Use Prices'!$B$9:$B$11,0)-1,MATCH(AK$1,'[1]End - Use Prices'!$C$7:$AL$7,0))</f>
        <v>10.63</v>
      </c>
      <c r="AL33" s="41">
        <f>INDEX('[1]End - Use Prices'!$C$6:$AL$89,MATCH($C33,'[1]End - Use Prices'!$A$6:$A$89,0)+MATCH($D33,'[1]End - Use Prices'!$B$9:$B$11,0)-1,MATCH(AL$1,'[1]End - Use Prices'!$C$7:$AL$7,0))</f>
        <v>10.61</v>
      </c>
      <c r="AM33" s="41">
        <f>INDEX('[1]End - Use Prices'!$C$6:$AL$89,MATCH($C33,'[1]End - Use Prices'!$A$6:$A$89,0)+MATCH($D33,'[1]End - Use Prices'!$B$9:$B$11,0)-1,MATCH(AM$1,'[1]End - Use Prices'!$C$7:$AL$7,0))</f>
        <v>10.91</v>
      </c>
      <c r="AN33" s="41">
        <f>INDEX('[1]End - Use Prices'!$C$6:$AL$89,MATCH($C33,'[1]End - Use Prices'!$A$6:$A$89,0)+MATCH($D33,'[1]End - Use Prices'!$B$9:$B$11,0)-1,MATCH(AN$1,'[1]End - Use Prices'!$C$7:$AL$7,0))</f>
        <v>11.07</v>
      </c>
      <c r="AO33" s="41">
        <f>INDEX('[1]End - Use Prices'!$C$6:$AL$89,MATCH($C33,'[1]End - Use Prices'!$A$6:$A$89,0)+MATCH($D33,'[1]End - Use Prices'!$B$9:$B$11,0)-1,MATCH(AO$1,'[1]End - Use Prices'!$C$7:$AL$7,0))</f>
        <v>11.22</v>
      </c>
      <c r="AP33" s="41">
        <f>INDEX('[1]End - Use Prices'!$C$6:$AL$89,MATCH($C33,'[1]End - Use Prices'!$A$6:$A$89,0)+MATCH($D33,'[1]End - Use Prices'!$B$9:$B$11,0)-1,MATCH(AP$1,'[1]End - Use Prices'!$C$7:$AL$7,0))</f>
        <v>11.35</v>
      </c>
      <c r="AQ33" s="41">
        <f>INDEX('[1]End - Use Prices'!$C$6:$AL$89,MATCH($C33,'[1]End - Use Prices'!$A$6:$A$89,0)+MATCH($D33,'[1]End - Use Prices'!$B$9:$B$11,0)-1,MATCH(AQ$1,'[1]End - Use Prices'!$C$7:$AL$7,0))</f>
        <v>11.35</v>
      </c>
      <c r="AR33" s="41">
        <f>INDEX('[1]End - Use Prices'!$C$6:$AL$89,MATCH($C33,'[1]End - Use Prices'!$A$6:$A$89,0)+MATCH($D33,'[1]End - Use Prices'!$B$9:$B$11,0)-1,MATCH(AR$1,'[1]End - Use Prices'!$C$7:$AL$7,0))</f>
        <v>11.38</v>
      </c>
      <c r="AS33" s="41">
        <f>INDEX('[1]End - Use Prices'!$C$6:$AL$89,MATCH($C33,'[1]End - Use Prices'!$A$6:$A$89,0)+MATCH($D33,'[1]End - Use Prices'!$B$9:$B$11,0)-1,MATCH(AS$1,'[1]End - Use Prices'!$C$7:$AL$7,0))</f>
        <v>11.48</v>
      </c>
      <c r="AT33" s="41">
        <f>INDEX('[1]End - Use Prices'!$C$6:$AL$89,MATCH($C33,'[1]End - Use Prices'!$A$6:$A$89,0)+MATCH($D33,'[1]End - Use Prices'!$B$9:$B$11,0)-1,MATCH(AT$1,'[1]End - Use Prices'!$C$7:$AL$7,0))</f>
        <v>11.57</v>
      </c>
      <c r="AU33" s="41">
        <f>INDEX('[1]End - Use Prices'!$C$6:$AL$89,MATCH($C33,'[1]End - Use Prices'!$A$6:$A$89,0)+MATCH($D33,'[1]End - Use Prices'!$B$9:$B$11,0)-1,MATCH(AU$1,'[1]End - Use Prices'!$C$7:$AL$7,0))</f>
        <v>11.67</v>
      </c>
      <c r="AV33" s="41">
        <f>INDEX('[1]End - Use Prices'!$C$6:$AL$89,MATCH($C33,'[1]End - Use Prices'!$A$6:$A$89,0)+MATCH($D33,'[1]End - Use Prices'!$B$9:$B$11,0)-1,MATCH(AV$1,'[1]End - Use Prices'!$C$7:$AL$7,0))</f>
        <v>11.79</v>
      </c>
      <c r="AW33" s="41">
        <f>INDEX('[1]End - Use Prices'!$C$6:$AL$89,MATCH($C33,'[1]End - Use Prices'!$A$6:$A$89,0)+MATCH($D33,'[1]End - Use Prices'!$B$9:$B$11,0)-1,MATCH(AW$1,'[1]End - Use Prices'!$C$7:$AL$7,0))</f>
        <v>11.9</v>
      </c>
      <c r="AX33" s="41">
        <f>INDEX('[1]End - Use Prices'!$C$6:$AL$89,MATCH($C33,'[1]End - Use Prices'!$A$6:$A$89,0)+MATCH($D33,'[1]End - Use Prices'!$B$9:$B$11,0)-1,MATCH(AX$1,'[1]End - Use Prices'!$C$7:$AL$7,0))</f>
        <v>12.02</v>
      </c>
      <c r="AY33" s="41">
        <f>INDEX('[1]End - Use Prices'!$C$6:$AL$89,MATCH($C33,'[1]End - Use Prices'!$A$6:$A$89,0)+MATCH($D33,'[1]End - Use Prices'!$B$9:$B$11,0)-1,MATCH(AY$1,'[1]End - Use Prices'!$C$7:$AL$7,0))</f>
        <v>12.15</v>
      </c>
      <c r="AZ33" s="41">
        <f>INDEX('[1]End - Use Prices'!$C$6:$AL$89,MATCH($C33,'[1]End - Use Prices'!$A$6:$A$89,0)+MATCH($D33,'[1]End - Use Prices'!$B$9:$B$11,0)-1,MATCH(AZ$1,'[1]End - Use Prices'!$C$7:$AL$7,0))</f>
        <v>12.3</v>
      </c>
      <c r="BA33" s="41">
        <f>INDEX('[1]End - Use Prices'!$C$6:$AL$89,MATCH($C33,'[1]End - Use Prices'!$A$6:$A$89,0)+MATCH($D33,'[1]End - Use Prices'!$B$9:$B$11,0)-1,MATCH(BA$1,'[1]End - Use Prices'!$C$7:$AL$7,0))</f>
        <v>12.38</v>
      </c>
      <c r="BB33" s="41">
        <f>INDEX('[1]End - Use Prices'!$C$6:$AL$89,MATCH($C33,'[1]End - Use Prices'!$A$6:$A$89,0)+MATCH($D33,'[1]End - Use Prices'!$B$9:$B$11,0)-1,MATCH(BB$1,'[1]End - Use Prices'!$C$7:$AL$7,0))</f>
        <v>12.45</v>
      </c>
      <c r="BC33" s="41">
        <f>INDEX('[1]End - Use Prices'!$C$6:$AL$89,MATCH($C33,'[1]End - Use Prices'!$A$6:$A$89,0)+MATCH($D33,'[1]End - Use Prices'!$B$9:$B$11,0)-1,MATCH(BC$1,'[1]End - Use Prices'!$C$7:$AL$7,0))</f>
        <v>12.52</v>
      </c>
      <c r="BD33" s="41">
        <f>INDEX('[1]End - Use Prices'!$C$6:$AL$89,MATCH($C33,'[1]End - Use Prices'!$A$6:$A$89,0)+MATCH($D33,'[1]End - Use Prices'!$B$9:$B$11,0)-1,MATCH(BD$1,'[1]End - Use Prices'!$C$7:$AL$7,0))</f>
        <v>12.57</v>
      </c>
      <c r="BE33" s="41">
        <f>INDEX('[1]End - Use Prices'!$C$6:$AL$89,MATCH($C33,'[1]End - Use Prices'!$A$6:$A$89,0)+MATCH($D33,'[1]End - Use Prices'!$B$9:$B$11,0)-1,MATCH(BE$1,'[1]End - Use Prices'!$C$7:$AL$7,0))</f>
        <v>12.6</v>
      </c>
      <c r="BF33" s="41">
        <f>INDEX('[1]End - Use Prices'!$C$6:$AL$89,MATCH($C33,'[1]End - Use Prices'!$A$6:$A$89,0)+MATCH($D33,'[1]End - Use Prices'!$B$9:$B$11,0)-1,MATCH(BF$1,'[1]End - Use Prices'!$C$7:$AL$7,0))</f>
        <v>12.64</v>
      </c>
      <c r="BG33" s="41">
        <f>INDEX('[1]End - Use Prices'!$C$6:$AL$89,MATCH($C33,'[1]End - Use Prices'!$A$6:$A$89,0)+MATCH($D33,'[1]End - Use Prices'!$B$9:$B$11,0)-1,MATCH(BG$1,'[1]End - Use Prices'!$C$7:$AL$7,0))</f>
        <v>12.67</v>
      </c>
      <c r="BR33" s="39"/>
      <c r="BS33" s="39"/>
      <c r="BT33" s="39"/>
      <c r="BU33" s="39"/>
      <c r="BV33" s="39"/>
      <c r="BW33" s="39"/>
      <c r="BX33" s="39"/>
      <c r="BY33" s="39"/>
      <c r="BZ33" s="39"/>
      <c r="CA33" s="39"/>
    </row>
    <row r="34" spans="1:79" x14ac:dyDescent="0.25">
      <c r="A34" s="5"/>
      <c r="B34" s="3"/>
      <c r="C34" s="25" t="s">
        <v>86</v>
      </c>
      <c r="D34" s="25" t="s">
        <v>14</v>
      </c>
      <c r="E34" s="25" t="s">
        <v>282</v>
      </c>
      <c r="F34" s="67" t="s">
        <v>279</v>
      </c>
      <c r="G34" s="53">
        <f t="shared" si="4"/>
        <v>18.899999999999999</v>
      </c>
      <c r="H34" s="34">
        <f t="shared" ref="H34:O49" si="7">INDEX($S34:$CA34,MATCH(H$1,$S$1:$CA$1,0))</f>
        <v>18.899999999999999</v>
      </c>
      <c r="I34" s="34">
        <f t="shared" si="7"/>
        <v>20.09</v>
      </c>
      <c r="J34" s="34">
        <f t="shared" si="7"/>
        <v>10.53</v>
      </c>
      <c r="K34" s="34">
        <f t="shared" si="7"/>
        <v>10.91</v>
      </c>
      <c r="L34" s="34">
        <f t="shared" si="7"/>
        <v>11.38</v>
      </c>
      <c r="M34" s="34">
        <f t="shared" si="7"/>
        <v>11.9</v>
      </c>
      <c r="N34" s="34">
        <f t="shared" si="7"/>
        <v>12.45</v>
      </c>
      <c r="O34" s="34">
        <f t="shared" si="7"/>
        <v>12.67</v>
      </c>
      <c r="P34" s="53">
        <f t="shared" si="6"/>
        <v>12.67</v>
      </c>
      <c r="Q34" s="53">
        <f t="shared" si="6"/>
        <v>12.67</v>
      </c>
      <c r="R34" s="38"/>
      <c r="X34" s="41">
        <f>INDEX('[1]End - Use Prices'!$C$6:$AL$89,MATCH($C34,'[1]End - Use Prices'!$A$6:$A$89,0)+MATCH($D34,'[1]End - Use Prices'!$B$9:$B$11,0)-1,MATCH(X$1,'[1]End - Use Prices'!$C$7:$AL$7,0))</f>
        <v>18.899999999999999</v>
      </c>
      <c r="Y34" s="41">
        <f>INDEX('[1]End - Use Prices'!$C$6:$AL$89,MATCH($C34,'[1]End - Use Prices'!$A$6:$A$89,0)+MATCH($D34,'[1]End - Use Prices'!$B$9:$B$11,0)-1,MATCH(Y$1,'[1]End - Use Prices'!$C$7:$AL$7,0))</f>
        <v>18.940000000000001</v>
      </c>
      <c r="Z34" s="41">
        <f>INDEX('[1]End - Use Prices'!$C$6:$AL$89,MATCH($C34,'[1]End - Use Prices'!$A$6:$A$89,0)+MATCH($D34,'[1]End - Use Prices'!$B$9:$B$11,0)-1,MATCH(Z$1,'[1]End - Use Prices'!$C$7:$AL$7,0))</f>
        <v>11.86</v>
      </c>
      <c r="AA34" s="41">
        <f>INDEX('[1]End - Use Prices'!$C$6:$AL$89,MATCH($C34,'[1]End - Use Prices'!$A$6:$A$89,0)+MATCH($D34,'[1]End - Use Prices'!$B$9:$B$11,0)-1,MATCH(AA$1,'[1]End - Use Prices'!$C$7:$AL$7,0))</f>
        <v>14.01</v>
      </c>
      <c r="AB34" s="41">
        <f>INDEX('[1]End - Use Prices'!$C$6:$AL$89,MATCH($C34,'[1]End - Use Prices'!$A$6:$A$89,0)+MATCH($D34,'[1]End - Use Prices'!$B$9:$B$11,0)-1,MATCH(AB$1,'[1]End - Use Prices'!$C$7:$AL$7,0))</f>
        <v>14.6</v>
      </c>
      <c r="AC34" s="41">
        <f>INDEX('[1]End - Use Prices'!$C$6:$AL$89,MATCH($C34,'[1]End - Use Prices'!$A$6:$A$89,0)+MATCH($D34,'[1]End - Use Prices'!$B$9:$B$11,0)-1,MATCH(AC$1,'[1]End - Use Prices'!$C$7:$AL$7,0))</f>
        <v>20.09</v>
      </c>
      <c r="AD34" s="41">
        <f>INDEX('[1]End - Use Prices'!$C$6:$AL$89,MATCH($C34,'[1]End - Use Prices'!$A$6:$A$89,0)+MATCH($D34,'[1]End - Use Prices'!$B$9:$B$11,0)-1,MATCH(AD$1,'[1]End - Use Prices'!$C$7:$AL$7,0))</f>
        <v>17.2</v>
      </c>
      <c r="AE34" s="41">
        <f>INDEX('[1]End - Use Prices'!$C$6:$AL$89,MATCH($C34,'[1]End - Use Prices'!$A$6:$A$89,0)+MATCH($D34,'[1]End - Use Prices'!$B$9:$B$11,0)-1,MATCH(AE$1,'[1]End - Use Prices'!$C$7:$AL$7,0))</f>
        <v>17.59</v>
      </c>
      <c r="AF34" s="41">
        <f>INDEX('[1]End - Use Prices'!$C$6:$AL$89,MATCH($C34,'[1]End - Use Prices'!$A$6:$A$89,0)+MATCH($D34,'[1]End - Use Prices'!$B$9:$B$11,0)-1,MATCH(AF$1,'[1]End - Use Prices'!$C$7:$AL$7,0))</f>
        <v>18.38</v>
      </c>
      <c r="AG34" s="41">
        <f>INDEX('[1]End - Use Prices'!$C$6:$AL$89,MATCH($C34,'[1]End - Use Prices'!$A$6:$A$89,0)+MATCH($D34,'[1]End - Use Prices'!$B$9:$B$11,0)-1,MATCH(AG$1,'[1]End - Use Prices'!$C$7:$AL$7,0))</f>
        <v>18.48</v>
      </c>
      <c r="AH34" s="41">
        <f>INDEX('[1]End - Use Prices'!$C$6:$AL$89,MATCH($C34,'[1]End - Use Prices'!$A$6:$A$89,0)+MATCH($D34,'[1]End - Use Prices'!$B$9:$B$11,0)-1,MATCH(AH$1,'[1]End - Use Prices'!$C$7:$AL$7,0))</f>
        <v>10.53</v>
      </c>
      <c r="AI34" s="41">
        <f>INDEX('[1]End - Use Prices'!$C$6:$AL$89,MATCH($C34,'[1]End - Use Prices'!$A$6:$A$89,0)+MATCH($D34,'[1]End - Use Prices'!$B$9:$B$11,0)-1,MATCH(AI$1,'[1]End - Use Prices'!$C$7:$AL$7,0))</f>
        <v>9.49</v>
      </c>
      <c r="AJ34" s="41">
        <f>INDEX('[1]End - Use Prices'!$C$6:$AL$89,MATCH($C34,'[1]End - Use Prices'!$A$6:$A$89,0)+MATCH($D34,'[1]End - Use Prices'!$B$9:$B$11,0)-1,MATCH(AJ$1,'[1]End - Use Prices'!$C$7:$AL$7,0))</f>
        <v>10.75</v>
      </c>
      <c r="AK34" s="41">
        <f>INDEX('[1]End - Use Prices'!$C$6:$AL$89,MATCH($C34,'[1]End - Use Prices'!$A$6:$A$89,0)+MATCH($D34,'[1]End - Use Prices'!$B$9:$B$11,0)-1,MATCH(AK$1,'[1]End - Use Prices'!$C$7:$AL$7,0))</f>
        <v>10.63</v>
      </c>
      <c r="AL34" s="41">
        <f>INDEX('[1]End - Use Prices'!$C$6:$AL$89,MATCH($C34,'[1]End - Use Prices'!$A$6:$A$89,0)+MATCH($D34,'[1]End - Use Prices'!$B$9:$B$11,0)-1,MATCH(AL$1,'[1]End - Use Prices'!$C$7:$AL$7,0))</f>
        <v>10.61</v>
      </c>
      <c r="AM34" s="41">
        <f>INDEX('[1]End - Use Prices'!$C$6:$AL$89,MATCH($C34,'[1]End - Use Prices'!$A$6:$A$89,0)+MATCH($D34,'[1]End - Use Prices'!$B$9:$B$11,0)-1,MATCH(AM$1,'[1]End - Use Prices'!$C$7:$AL$7,0))</f>
        <v>10.91</v>
      </c>
      <c r="AN34" s="41">
        <f>INDEX('[1]End - Use Prices'!$C$6:$AL$89,MATCH($C34,'[1]End - Use Prices'!$A$6:$A$89,0)+MATCH($D34,'[1]End - Use Prices'!$B$9:$B$11,0)-1,MATCH(AN$1,'[1]End - Use Prices'!$C$7:$AL$7,0))</f>
        <v>11.07</v>
      </c>
      <c r="AO34" s="41">
        <f>INDEX('[1]End - Use Prices'!$C$6:$AL$89,MATCH($C34,'[1]End - Use Prices'!$A$6:$A$89,0)+MATCH($D34,'[1]End - Use Prices'!$B$9:$B$11,0)-1,MATCH(AO$1,'[1]End - Use Prices'!$C$7:$AL$7,0))</f>
        <v>11.22</v>
      </c>
      <c r="AP34" s="41">
        <f>INDEX('[1]End - Use Prices'!$C$6:$AL$89,MATCH($C34,'[1]End - Use Prices'!$A$6:$A$89,0)+MATCH($D34,'[1]End - Use Prices'!$B$9:$B$11,0)-1,MATCH(AP$1,'[1]End - Use Prices'!$C$7:$AL$7,0))</f>
        <v>11.35</v>
      </c>
      <c r="AQ34" s="41">
        <f>INDEX('[1]End - Use Prices'!$C$6:$AL$89,MATCH($C34,'[1]End - Use Prices'!$A$6:$A$89,0)+MATCH($D34,'[1]End - Use Prices'!$B$9:$B$11,0)-1,MATCH(AQ$1,'[1]End - Use Prices'!$C$7:$AL$7,0))</f>
        <v>11.35</v>
      </c>
      <c r="AR34" s="41">
        <f>INDEX('[1]End - Use Prices'!$C$6:$AL$89,MATCH($C34,'[1]End - Use Prices'!$A$6:$A$89,0)+MATCH($D34,'[1]End - Use Prices'!$B$9:$B$11,0)-1,MATCH(AR$1,'[1]End - Use Prices'!$C$7:$AL$7,0))</f>
        <v>11.38</v>
      </c>
      <c r="AS34" s="41">
        <f>INDEX('[1]End - Use Prices'!$C$6:$AL$89,MATCH($C34,'[1]End - Use Prices'!$A$6:$A$89,0)+MATCH($D34,'[1]End - Use Prices'!$B$9:$B$11,0)-1,MATCH(AS$1,'[1]End - Use Prices'!$C$7:$AL$7,0))</f>
        <v>11.48</v>
      </c>
      <c r="AT34" s="41">
        <f>INDEX('[1]End - Use Prices'!$C$6:$AL$89,MATCH($C34,'[1]End - Use Prices'!$A$6:$A$89,0)+MATCH($D34,'[1]End - Use Prices'!$B$9:$B$11,0)-1,MATCH(AT$1,'[1]End - Use Prices'!$C$7:$AL$7,0))</f>
        <v>11.57</v>
      </c>
      <c r="AU34" s="41">
        <f>INDEX('[1]End - Use Prices'!$C$6:$AL$89,MATCH($C34,'[1]End - Use Prices'!$A$6:$A$89,0)+MATCH($D34,'[1]End - Use Prices'!$B$9:$B$11,0)-1,MATCH(AU$1,'[1]End - Use Prices'!$C$7:$AL$7,0))</f>
        <v>11.67</v>
      </c>
      <c r="AV34" s="41">
        <f>INDEX('[1]End - Use Prices'!$C$6:$AL$89,MATCH($C34,'[1]End - Use Prices'!$A$6:$A$89,0)+MATCH($D34,'[1]End - Use Prices'!$B$9:$B$11,0)-1,MATCH(AV$1,'[1]End - Use Prices'!$C$7:$AL$7,0))</f>
        <v>11.79</v>
      </c>
      <c r="AW34" s="41">
        <f>INDEX('[1]End - Use Prices'!$C$6:$AL$89,MATCH($C34,'[1]End - Use Prices'!$A$6:$A$89,0)+MATCH($D34,'[1]End - Use Prices'!$B$9:$B$11,0)-1,MATCH(AW$1,'[1]End - Use Prices'!$C$7:$AL$7,0))</f>
        <v>11.9</v>
      </c>
      <c r="AX34" s="41">
        <f>INDEX('[1]End - Use Prices'!$C$6:$AL$89,MATCH($C34,'[1]End - Use Prices'!$A$6:$A$89,0)+MATCH($D34,'[1]End - Use Prices'!$B$9:$B$11,0)-1,MATCH(AX$1,'[1]End - Use Prices'!$C$7:$AL$7,0))</f>
        <v>12.02</v>
      </c>
      <c r="AY34" s="41">
        <f>INDEX('[1]End - Use Prices'!$C$6:$AL$89,MATCH($C34,'[1]End - Use Prices'!$A$6:$A$89,0)+MATCH($D34,'[1]End - Use Prices'!$B$9:$B$11,0)-1,MATCH(AY$1,'[1]End - Use Prices'!$C$7:$AL$7,0))</f>
        <v>12.15</v>
      </c>
      <c r="AZ34" s="41">
        <f>INDEX('[1]End - Use Prices'!$C$6:$AL$89,MATCH($C34,'[1]End - Use Prices'!$A$6:$A$89,0)+MATCH($D34,'[1]End - Use Prices'!$B$9:$B$11,0)-1,MATCH(AZ$1,'[1]End - Use Prices'!$C$7:$AL$7,0))</f>
        <v>12.3</v>
      </c>
      <c r="BA34" s="41">
        <f>INDEX('[1]End - Use Prices'!$C$6:$AL$89,MATCH($C34,'[1]End - Use Prices'!$A$6:$A$89,0)+MATCH($D34,'[1]End - Use Prices'!$B$9:$B$11,0)-1,MATCH(BA$1,'[1]End - Use Prices'!$C$7:$AL$7,0))</f>
        <v>12.38</v>
      </c>
      <c r="BB34" s="41">
        <f>INDEX('[1]End - Use Prices'!$C$6:$AL$89,MATCH($C34,'[1]End - Use Prices'!$A$6:$A$89,0)+MATCH($D34,'[1]End - Use Prices'!$B$9:$B$11,0)-1,MATCH(BB$1,'[1]End - Use Prices'!$C$7:$AL$7,0))</f>
        <v>12.45</v>
      </c>
      <c r="BC34" s="41">
        <f>INDEX('[1]End - Use Prices'!$C$6:$AL$89,MATCH($C34,'[1]End - Use Prices'!$A$6:$A$89,0)+MATCH($D34,'[1]End - Use Prices'!$B$9:$B$11,0)-1,MATCH(BC$1,'[1]End - Use Prices'!$C$7:$AL$7,0))</f>
        <v>12.52</v>
      </c>
      <c r="BD34" s="41">
        <f>INDEX('[1]End - Use Prices'!$C$6:$AL$89,MATCH($C34,'[1]End - Use Prices'!$A$6:$A$89,0)+MATCH($D34,'[1]End - Use Prices'!$B$9:$B$11,0)-1,MATCH(BD$1,'[1]End - Use Prices'!$C$7:$AL$7,0))</f>
        <v>12.57</v>
      </c>
      <c r="BE34" s="41">
        <f>INDEX('[1]End - Use Prices'!$C$6:$AL$89,MATCH($C34,'[1]End - Use Prices'!$A$6:$A$89,0)+MATCH($D34,'[1]End - Use Prices'!$B$9:$B$11,0)-1,MATCH(BE$1,'[1]End - Use Prices'!$C$7:$AL$7,0))</f>
        <v>12.6</v>
      </c>
      <c r="BF34" s="41">
        <f>INDEX('[1]End - Use Prices'!$C$6:$AL$89,MATCH($C34,'[1]End - Use Prices'!$A$6:$A$89,0)+MATCH($D34,'[1]End - Use Prices'!$B$9:$B$11,0)-1,MATCH(BF$1,'[1]End - Use Prices'!$C$7:$AL$7,0))</f>
        <v>12.64</v>
      </c>
      <c r="BG34" s="41">
        <f>INDEX('[1]End - Use Prices'!$C$6:$AL$89,MATCH($C34,'[1]End - Use Prices'!$A$6:$A$89,0)+MATCH($D34,'[1]End - Use Prices'!$B$9:$B$11,0)-1,MATCH(BG$1,'[1]End - Use Prices'!$C$7:$AL$7,0))</f>
        <v>12.67</v>
      </c>
      <c r="BR34" s="39"/>
      <c r="BS34" s="39"/>
      <c r="BT34" s="39"/>
      <c r="BU34" s="39"/>
      <c r="BV34" s="39"/>
      <c r="BW34" s="39"/>
      <c r="BX34" s="39"/>
      <c r="BY34" s="39"/>
      <c r="BZ34" s="39"/>
      <c r="CA34" s="39"/>
    </row>
    <row r="35" spans="1:79" x14ac:dyDescent="0.25">
      <c r="A35" s="5"/>
      <c r="B35" s="3"/>
      <c r="C35" s="25" t="s">
        <v>87</v>
      </c>
      <c r="D35" s="25" t="s">
        <v>14</v>
      </c>
      <c r="E35" s="25" t="s">
        <v>282</v>
      </c>
      <c r="F35" s="67" t="s">
        <v>279</v>
      </c>
      <c r="G35" s="53">
        <f t="shared" si="4"/>
        <v>48.47</v>
      </c>
      <c r="H35" s="34">
        <f t="shared" si="7"/>
        <v>48.47</v>
      </c>
      <c r="I35" s="34">
        <f t="shared" si="7"/>
        <v>36.06</v>
      </c>
      <c r="J35" s="34">
        <f t="shared" si="7"/>
        <v>30.99</v>
      </c>
      <c r="K35" s="34">
        <f t="shared" si="7"/>
        <v>25.99</v>
      </c>
      <c r="L35" s="34">
        <f t="shared" si="7"/>
        <v>26.97</v>
      </c>
      <c r="M35" s="34">
        <f t="shared" si="7"/>
        <v>27.22</v>
      </c>
      <c r="N35" s="34">
        <f t="shared" si="7"/>
        <v>27.55</v>
      </c>
      <c r="O35" s="34">
        <f t="shared" si="7"/>
        <v>27.62</v>
      </c>
      <c r="P35" s="53">
        <f t="shared" si="6"/>
        <v>27.62</v>
      </c>
      <c r="Q35" s="53">
        <f t="shared" si="6"/>
        <v>27.62</v>
      </c>
      <c r="R35" s="38"/>
      <c r="X35" s="41">
        <f>INDEX('[1]End - Use Prices'!$C$6:$AL$89,MATCH($C35,'[1]End - Use Prices'!$A$6:$A$89,0)+MATCH($D35,'[1]End - Use Prices'!$B$9:$B$11,0)-1,MATCH(X$1,'[1]End - Use Prices'!$C$7:$AL$7,0))</f>
        <v>48.47</v>
      </c>
      <c r="Y35" s="41">
        <f>INDEX('[1]End - Use Prices'!$C$6:$AL$89,MATCH($C35,'[1]End - Use Prices'!$A$6:$A$89,0)+MATCH($D35,'[1]End - Use Prices'!$B$9:$B$11,0)-1,MATCH(Y$1,'[1]End - Use Prices'!$C$7:$AL$7,0))</f>
        <v>44.05</v>
      </c>
      <c r="Z35" s="41">
        <f>INDEX('[1]End - Use Prices'!$C$6:$AL$89,MATCH($C35,'[1]End - Use Prices'!$A$6:$A$89,0)+MATCH($D35,'[1]End - Use Prices'!$B$9:$B$11,0)-1,MATCH(Z$1,'[1]End - Use Prices'!$C$7:$AL$7,0))</f>
        <v>40.97</v>
      </c>
      <c r="AA35" s="41">
        <f>INDEX('[1]End - Use Prices'!$C$6:$AL$89,MATCH($C35,'[1]End - Use Prices'!$A$6:$A$89,0)+MATCH($D35,'[1]End - Use Prices'!$B$9:$B$11,0)-1,MATCH(AA$1,'[1]End - Use Prices'!$C$7:$AL$7,0))</f>
        <v>39.74</v>
      </c>
      <c r="AB35" s="41">
        <f>INDEX('[1]End - Use Prices'!$C$6:$AL$89,MATCH($C35,'[1]End - Use Prices'!$A$6:$A$89,0)+MATCH($D35,'[1]End - Use Prices'!$B$9:$B$11,0)-1,MATCH(AB$1,'[1]End - Use Prices'!$C$7:$AL$7,0))</f>
        <v>38.31</v>
      </c>
      <c r="AC35" s="41">
        <f>INDEX('[1]End - Use Prices'!$C$6:$AL$89,MATCH($C35,'[1]End - Use Prices'!$A$6:$A$89,0)+MATCH($D35,'[1]End - Use Prices'!$B$9:$B$11,0)-1,MATCH(AC$1,'[1]End - Use Prices'!$C$7:$AL$7,0))</f>
        <v>36.06</v>
      </c>
      <c r="AD35" s="41">
        <f>INDEX('[1]End - Use Prices'!$C$6:$AL$89,MATCH($C35,'[1]End - Use Prices'!$A$6:$A$89,0)+MATCH($D35,'[1]End - Use Prices'!$B$9:$B$11,0)-1,MATCH(AD$1,'[1]End - Use Prices'!$C$7:$AL$7,0))</f>
        <v>33.869999999999997</v>
      </c>
      <c r="AE35" s="41">
        <f>INDEX('[1]End - Use Prices'!$C$6:$AL$89,MATCH($C35,'[1]End - Use Prices'!$A$6:$A$89,0)+MATCH($D35,'[1]End - Use Prices'!$B$9:$B$11,0)-1,MATCH(AE$1,'[1]End - Use Prices'!$C$7:$AL$7,0))</f>
        <v>32.549999999999997</v>
      </c>
      <c r="AF35" s="41">
        <f>INDEX('[1]End - Use Prices'!$C$6:$AL$89,MATCH($C35,'[1]End - Use Prices'!$A$6:$A$89,0)+MATCH($D35,'[1]End - Use Prices'!$B$9:$B$11,0)-1,MATCH(AF$1,'[1]End - Use Prices'!$C$7:$AL$7,0))</f>
        <v>25.3</v>
      </c>
      <c r="AG35" s="41">
        <f>INDEX('[1]End - Use Prices'!$C$6:$AL$89,MATCH($C35,'[1]End - Use Prices'!$A$6:$A$89,0)+MATCH($D35,'[1]End - Use Prices'!$B$9:$B$11,0)-1,MATCH(AG$1,'[1]End - Use Prices'!$C$7:$AL$7,0))</f>
        <v>26.06</v>
      </c>
      <c r="AH35" s="41">
        <f>INDEX('[1]End - Use Prices'!$C$6:$AL$89,MATCH($C35,'[1]End - Use Prices'!$A$6:$A$89,0)+MATCH($D35,'[1]End - Use Prices'!$B$9:$B$11,0)-1,MATCH(AH$1,'[1]End - Use Prices'!$C$7:$AL$7,0))</f>
        <v>30.99</v>
      </c>
      <c r="AI35" s="41">
        <f>INDEX('[1]End - Use Prices'!$C$6:$AL$89,MATCH($C35,'[1]End - Use Prices'!$A$6:$A$89,0)+MATCH($D35,'[1]End - Use Prices'!$B$9:$B$11,0)-1,MATCH(AI$1,'[1]End - Use Prices'!$C$7:$AL$7,0))</f>
        <v>27.98</v>
      </c>
      <c r="AJ35" s="41">
        <f>INDEX('[1]End - Use Prices'!$C$6:$AL$89,MATCH($C35,'[1]End - Use Prices'!$A$6:$A$89,0)+MATCH($D35,'[1]End - Use Prices'!$B$9:$B$11,0)-1,MATCH(AJ$1,'[1]End - Use Prices'!$C$7:$AL$7,0))</f>
        <v>25.3</v>
      </c>
      <c r="AK35" s="41">
        <f>INDEX('[1]End - Use Prices'!$C$6:$AL$89,MATCH($C35,'[1]End - Use Prices'!$A$6:$A$89,0)+MATCH($D35,'[1]End - Use Prices'!$B$9:$B$11,0)-1,MATCH(AK$1,'[1]End - Use Prices'!$C$7:$AL$7,0))</f>
        <v>25.21</v>
      </c>
      <c r="AL35" s="41">
        <f>INDEX('[1]End - Use Prices'!$C$6:$AL$89,MATCH($C35,'[1]End - Use Prices'!$A$6:$A$89,0)+MATCH($D35,'[1]End - Use Prices'!$B$9:$B$11,0)-1,MATCH(AL$1,'[1]End - Use Prices'!$C$7:$AL$7,0))</f>
        <v>25.2</v>
      </c>
      <c r="AM35" s="41">
        <f>INDEX('[1]End - Use Prices'!$C$6:$AL$89,MATCH($C35,'[1]End - Use Prices'!$A$6:$A$89,0)+MATCH($D35,'[1]End - Use Prices'!$B$9:$B$11,0)-1,MATCH(AM$1,'[1]End - Use Prices'!$C$7:$AL$7,0))</f>
        <v>25.99</v>
      </c>
      <c r="AN35" s="41">
        <f>INDEX('[1]End - Use Prices'!$C$6:$AL$89,MATCH($C35,'[1]End - Use Prices'!$A$6:$A$89,0)+MATCH($D35,'[1]End - Use Prices'!$B$9:$B$11,0)-1,MATCH(AN$1,'[1]End - Use Prices'!$C$7:$AL$7,0))</f>
        <v>26.36</v>
      </c>
      <c r="AO35" s="41">
        <f>INDEX('[1]End - Use Prices'!$C$6:$AL$89,MATCH($C35,'[1]End - Use Prices'!$A$6:$A$89,0)+MATCH($D35,'[1]End - Use Prices'!$B$9:$B$11,0)-1,MATCH(AO$1,'[1]End - Use Prices'!$C$7:$AL$7,0))</f>
        <v>26.71</v>
      </c>
      <c r="AP35" s="41">
        <f>INDEX('[1]End - Use Prices'!$C$6:$AL$89,MATCH($C35,'[1]End - Use Prices'!$A$6:$A$89,0)+MATCH($D35,'[1]End - Use Prices'!$B$9:$B$11,0)-1,MATCH(AP$1,'[1]End - Use Prices'!$C$7:$AL$7,0))</f>
        <v>27.03</v>
      </c>
      <c r="AQ35" s="41">
        <f>INDEX('[1]End - Use Prices'!$C$6:$AL$89,MATCH($C35,'[1]End - Use Prices'!$A$6:$A$89,0)+MATCH($D35,'[1]End - Use Prices'!$B$9:$B$11,0)-1,MATCH(AQ$1,'[1]End - Use Prices'!$C$7:$AL$7,0))</f>
        <v>26.98</v>
      </c>
      <c r="AR35" s="41">
        <f>INDEX('[1]End - Use Prices'!$C$6:$AL$89,MATCH($C35,'[1]End - Use Prices'!$A$6:$A$89,0)+MATCH($D35,'[1]End - Use Prices'!$B$9:$B$11,0)-1,MATCH(AR$1,'[1]End - Use Prices'!$C$7:$AL$7,0))</f>
        <v>26.97</v>
      </c>
      <c r="AS35" s="41">
        <f>INDEX('[1]End - Use Prices'!$C$6:$AL$89,MATCH($C35,'[1]End - Use Prices'!$A$6:$A$89,0)+MATCH($D35,'[1]End - Use Prices'!$B$9:$B$11,0)-1,MATCH(AS$1,'[1]End - Use Prices'!$C$7:$AL$7,0))</f>
        <v>27.01</v>
      </c>
      <c r="AT35" s="41">
        <f>INDEX('[1]End - Use Prices'!$C$6:$AL$89,MATCH($C35,'[1]End - Use Prices'!$A$6:$A$89,0)+MATCH($D35,'[1]End - Use Prices'!$B$9:$B$11,0)-1,MATCH(AT$1,'[1]End - Use Prices'!$C$7:$AL$7,0))</f>
        <v>27.04</v>
      </c>
      <c r="AU35" s="41">
        <f>INDEX('[1]End - Use Prices'!$C$6:$AL$89,MATCH($C35,'[1]End - Use Prices'!$A$6:$A$89,0)+MATCH($D35,'[1]End - Use Prices'!$B$9:$B$11,0)-1,MATCH(AU$1,'[1]End - Use Prices'!$C$7:$AL$7,0))</f>
        <v>27.1</v>
      </c>
      <c r="AV35" s="41">
        <f>INDEX('[1]End - Use Prices'!$C$6:$AL$89,MATCH($C35,'[1]End - Use Prices'!$A$6:$A$89,0)+MATCH($D35,'[1]End - Use Prices'!$B$9:$B$11,0)-1,MATCH(AV$1,'[1]End - Use Prices'!$C$7:$AL$7,0))</f>
        <v>27.16</v>
      </c>
      <c r="AW35" s="41">
        <f>INDEX('[1]End - Use Prices'!$C$6:$AL$89,MATCH($C35,'[1]End - Use Prices'!$A$6:$A$89,0)+MATCH($D35,'[1]End - Use Prices'!$B$9:$B$11,0)-1,MATCH(AW$1,'[1]End - Use Prices'!$C$7:$AL$7,0))</f>
        <v>27.22</v>
      </c>
      <c r="AX35" s="41">
        <f>INDEX('[1]End - Use Prices'!$C$6:$AL$89,MATCH($C35,'[1]End - Use Prices'!$A$6:$A$89,0)+MATCH($D35,'[1]End - Use Prices'!$B$9:$B$11,0)-1,MATCH(AX$1,'[1]End - Use Prices'!$C$7:$AL$7,0))</f>
        <v>27.29</v>
      </c>
      <c r="AY35" s="41">
        <f>INDEX('[1]End - Use Prices'!$C$6:$AL$89,MATCH($C35,'[1]End - Use Prices'!$A$6:$A$89,0)+MATCH($D35,'[1]End - Use Prices'!$B$9:$B$11,0)-1,MATCH(AY$1,'[1]End - Use Prices'!$C$7:$AL$7,0))</f>
        <v>27.37</v>
      </c>
      <c r="AZ35" s="41">
        <f>INDEX('[1]End - Use Prices'!$C$6:$AL$89,MATCH($C35,'[1]End - Use Prices'!$A$6:$A$89,0)+MATCH($D35,'[1]End - Use Prices'!$B$9:$B$11,0)-1,MATCH(AZ$1,'[1]End - Use Prices'!$C$7:$AL$7,0))</f>
        <v>27.46</v>
      </c>
      <c r="BA35" s="41">
        <f>INDEX('[1]End - Use Prices'!$C$6:$AL$89,MATCH($C35,'[1]End - Use Prices'!$A$6:$A$89,0)+MATCH($D35,'[1]End - Use Prices'!$B$9:$B$11,0)-1,MATCH(BA$1,'[1]End - Use Prices'!$C$7:$AL$7,0))</f>
        <v>27.51</v>
      </c>
      <c r="BB35" s="41">
        <f>INDEX('[1]End - Use Prices'!$C$6:$AL$89,MATCH($C35,'[1]End - Use Prices'!$A$6:$A$89,0)+MATCH($D35,'[1]End - Use Prices'!$B$9:$B$11,0)-1,MATCH(BB$1,'[1]End - Use Prices'!$C$7:$AL$7,0))</f>
        <v>27.55</v>
      </c>
      <c r="BC35" s="41">
        <f>INDEX('[1]End - Use Prices'!$C$6:$AL$89,MATCH($C35,'[1]End - Use Prices'!$A$6:$A$89,0)+MATCH($D35,'[1]End - Use Prices'!$B$9:$B$11,0)-1,MATCH(BC$1,'[1]End - Use Prices'!$C$7:$AL$7,0))</f>
        <v>27.58</v>
      </c>
      <c r="BD35" s="41">
        <f>INDEX('[1]End - Use Prices'!$C$6:$AL$89,MATCH($C35,'[1]End - Use Prices'!$A$6:$A$89,0)+MATCH($D35,'[1]End - Use Prices'!$B$9:$B$11,0)-1,MATCH(BD$1,'[1]End - Use Prices'!$C$7:$AL$7,0))</f>
        <v>27.6</v>
      </c>
      <c r="BE35" s="41">
        <f>INDEX('[1]End - Use Prices'!$C$6:$AL$89,MATCH($C35,'[1]End - Use Prices'!$A$6:$A$89,0)+MATCH($D35,'[1]End - Use Prices'!$B$9:$B$11,0)-1,MATCH(BE$1,'[1]End - Use Prices'!$C$7:$AL$7,0))</f>
        <v>27.61</v>
      </c>
      <c r="BF35" s="41">
        <f>INDEX('[1]End - Use Prices'!$C$6:$AL$89,MATCH($C35,'[1]End - Use Prices'!$A$6:$A$89,0)+MATCH($D35,'[1]End - Use Prices'!$B$9:$B$11,0)-1,MATCH(BF$1,'[1]End - Use Prices'!$C$7:$AL$7,0))</f>
        <v>27.62</v>
      </c>
      <c r="BG35" s="41">
        <f>INDEX('[1]End - Use Prices'!$C$6:$AL$89,MATCH($C35,'[1]End - Use Prices'!$A$6:$A$89,0)+MATCH($D35,'[1]End - Use Prices'!$B$9:$B$11,0)-1,MATCH(BG$1,'[1]End - Use Prices'!$C$7:$AL$7,0))</f>
        <v>27.62</v>
      </c>
      <c r="BR35" s="39"/>
      <c r="BS35" s="39"/>
      <c r="BT35" s="39"/>
      <c r="BU35" s="39"/>
      <c r="BV35" s="39"/>
      <c r="BW35" s="39"/>
      <c r="BX35" s="39"/>
      <c r="BY35" s="39"/>
      <c r="BZ35" s="39"/>
      <c r="CA35" s="39"/>
    </row>
    <row r="36" spans="1:79" x14ac:dyDescent="0.25">
      <c r="A36" s="5"/>
      <c r="B36" s="3"/>
      <c r="C36" s="25" t="s">
        <v>88</v>
      </c>
      <c r="D36" s="25" t="s">
        <v>14</v>
      </c>
      <c r="E36" s="25" t="s">
        <v>282</v>
      </c>
      <c r="F36" s="67" t="s">
        <v>279</v>
      </c>
      <c r="G36" s="53">
        <f t="shared" si="4"/>
        <v>18.899999999999999</v>
      </c>
      <c r="H36" s="34">
        <f t="shared" si="7"/>
        <v>18.899999999999999</v>
      </c>
      <c r="I36" s="34">
        <f t="shared" si="7"/>
        <v>20.09</v>
      </c>
      <c r="J36" s="34">
        <f t="shared" si="7"/>
        <v>13.86</v>
      </c>
      <c r="K36" s="34">
        <f t="shared" si="7"/>
        <v>11.56</v>
      </c>
      <c r="L36" s="34">
        <f t="shared" si="7"/>
        <v>12.76</v>
      </c>
      <c r="M36" s="34">
        <f t="shared" si="7"/>
        <v>13.11</v>
      </c>
      <c r="N36" s="34">
        <f t="shared" si="7"/>
        <v>13.55</v>
      </c>
      <c r="O36" s="34">
        <f t="shared" si="7"/>
        <v>13.67</v>
      </c>
      <c r="P36" s="53">
        <f t="shared" si="6"/>
        <v>13.67</v>
      </c>
      <c r="Q36" s="53">
        <f t="shared" si="6"/>
        <v>13.67</v>
      </c>
      <c r="R36" s="38"/>
      <c r="X36" s="41">
        <f>INDEX('[1]End - Use Prices'!$C$6:$AL$89,MATCH($C36,'[1]End - Use Prices'!$A$6:$A$89,0)+MATCH($D36,'[1]End - Use Prices'!$B$9:$B$11,0)-1,MATCH(X$1,'[1]End - Use Prices'!$C$7:$AL$7,0))</f>
        <v>18.899999999999999</v>
      </c>
      <c r="Y36" s="41">
        <f>INDEX('[1]End - Use Prices'!$C$6:$AL$89,MATCH($C36,'[1]End - Use Prices'!$A$6:$A$89,0)+MATCH($D36,'[1]End - Use Prices'!$B$9:$B$11,0)-1,MATCH(Y$1,'[1]End - Use Prices'!$C$7:$AL$7,0))</f>
        <v>18.940000000000001</v>
      </c>
      <c r="Z36" s="41">
        <f>INDEX('[1]End - Use Prices'!$C$6:$AL$89,MATCH($C36,'[1]End - Use Prices'!$A$6:$A$89,0)+MATCH($D36,'[1]End - Use Prices'!$B$9:$B$11,0)-1,MATCH(Z$1,'[1]End - Use Prices'!$C$7:$AL$7,0))</f>
        <v>11.86</v>
      </c>
      <c r="AA36" s="41">
        <f>INDEX('[1]End - Use Prices'!$C$6:$AL$89,MATCH($C36,'[1]End - Use Prices'!$A$6:$A$89,0)+MATCH($D36,'[1]End - Use Prices'!$B$9:$B$11,0)-1,MATCH(AA$1,'[1]End - Use Prices'!$C$7:$AL$7,0))</f>
        <v>14.01</v>
      </c>
      <c r="AB36" s="41">
        <f>INDEX('[1]End - Use Prices'!$C$6:$AL$89,MATCH($C36,'[1]End - Use Prices'!$A$6:$A$89,0)+MATCH($D36,'[1]End - Use Prices'!$B$9:$B$11,0)-1,MATCH(AB$1,'[1]End - Use Prices'!$C$7:$AL$7,0))</f>
        <v>14.6</v>
      </c>
      <c r="AC36" s="41">
        <f>INDEX('[1]End - Use Prices'!$C$6:$AL$89,MATCH($C36,'[1]End - Use Prices'!$A$6:$A$89,0)+MATCH($D36,'[1]End - Use Prices'!$B$9:$B$11,0)-1,MATCH(AC$1,'[1]End - Use Prices'!$C$7:$AL$7,0))</f>
        <v>20.09</v>
      </c>
      <c r="AD36" s="41">
        <f>INDEX('[1]End - Use Prices'!$C$6:$AL$89,MATCH($C36,'[1]End - Use Prices'!$A$6:$A$89,0)+MATCH($D36,'[1]End - Use Prices'!$B$9:$B$11,0)-1,MATCH(AD$1,'[1]End - Use Prices'!$C$7:$AL$7,0))</f>
        <v>17.2</v>
      </c>
      <c r="AE36" s="41">
        <f>INDEX('[1]End - Use Prices'!$C$6:$AL$89,MATCH($C36,'[1]End - Use Prices'!$A$6:$A$89,0)+MATCH($D36,'[1]End - Use Prices'!$B$9:$B$11,0)-1,MATCH(AE$1,'[1]End - Use Prices'!$C$7:$AL$7,0))</f>
        <v>17.59</v>
      </c>
      <c r="AF36" s="41">
        <f>INDEX('[1]End - Use Prices'!$C$6:$AL$89,MATCH($C36,'[1]End - Use Prices'!$A$6:$A$89,0)+MATCH($D36,'[1]End - Use Prices'!$B$9:$B$11,0)-1,MATCH(AF$1,'[1]End - Use Prices'!$C$7:$AL$7,0))</f>
        <v>18.75</v>
      </c>
      <c r="AG36" s="41">
        <f>INDEX('[1]End - Use Prices'!$C$6:$AL$89,MATCH($C36,'[1]End - Use Prices'!$A$6:$A$89,0)+MATCH($D36,'[1]End - Use Prices'!$B$9:$B$11,0)-1,MATCH(AG$1,'[1]End - Use Prices'!$C$7:$AL$7,0))</f>
        <v>18.48</v>
      </c>
      <c r="AH36" s="41">
        <f>INDEX('[1]End - Use Prices'!$C$6:$AL$89,MATCH($C36,'[1]End - Use Prices'!$A$6:$A$89,0)+MATCH($D36,'[1]End - Use Prices'!$B$9:$B$11,0)-1,MATCH(AH$1,'[1]End - Use Prices'!$C$7:$AL$7,0))</f>
        <v>13.86</v>
      </c>
      <c r="AI36" s="41">
        <f>INDEX('[1]End - Use Prices'!$C$6:$AL$89,MATCH($C36,'[1]End - Use Prices'!$A$6:$A$89,0)+MATCH($D36,'[1]End - Use Prices'!$B$9:$B$11,0)-1,MATCH(AI$1,'[1]End - Use Prices'!$C$7:$AL$7,0))</f>
        <v>9.4700000000000006</v>
      </c>
      <c r="AJ36" s="41">
        <f>INDEX('[1]End - Use Prices'!$C$6:$AL$89,MATCH($C36,'[1]End - Use Prices'!$A$6:$A$89,0)+MATCH($D36,'[1]End - Use Prices'!$B$9:$B$11,0)-1,MATCH(AJ$1,'[1]End - Use Prices'!$C$7:$AL$7,0))</f>
        <v>10.75</v>
      </c>
      <c r="AK36" s="41">
        <f>INDEX('[1]End - Use Prices'!$C$6:$AL$89,MATCH($C36,'[1]End - Use Prices'!$A$6:$A$89,0)+MATCH($D36,'[1]End - Use Prices'!$B$9:$B$11,0)-1,MATCH(AK$1,'[1]End - Use Prices'!$C$7:$AL$7,0))</f>
        <v>10.63</v>
      </c>
      <c r="AL36" s="41">
        <f>INDEX('[1]End - Use Prices'!$C$6:$AL$89,MATCH($C36,'[1]End - Use Prices'!$A$6:$A$89,0)+MATCH($D36,'[1]End - Use Prices'!$B$9:$B$11,0)-1,MATCH(AL$1,'[1]End - Use Prices'!$C$7:$AL$7,0))</f>
        <v>10.61</v>
      </c>
      <c r="AM36" s="41">
        <f>INDEX('[1]End - Use Prices'!$C$6:$AL$89,MATCH($C36,'[1]End - Use Prices'!$A$6:$A$89,0)+MATCH($D36,'[1]End - Use Prices'!$B$9:$B$11,0)-1,MATCH(AM$1,'[1]End - Use Prices'!$C$7:$AL$7,0))</f>
        <v>11.56</v>
      </c>
      <c r="AN36" s="41">
        <f>INDEX('[1]End - Use Prices'!$C$6:$AL$89,MATCH($C36,'[1]End - Use Prices'!$A$6:$A$89,0)+MATCH($D36,'[1]End - Use Prices'!$B$9:$B$11,0)-1,MATCH(AN$1,'[1]End - Use Prices'!$C$7:$AL$7,0))</f>
        <v>12.01</v>
      </c>
      <c r="AO36" s="41">
        <f>INDEX('[1]End - Use Prices'!$C$6:$AL$89,MATCH($C36,'[1]End - Use Prices'!$A$6:$A$89,0)+MATCH($D36,'[1]End - Use Prices'!$B$9:$B$11,0)-1,MATCH(AO$1,'[1]End - Use Prices'!$C$7:$AL$7,0))</f>
        <v>12.44</v>
      </c>
      <c r="AP36" s="41">
        <f>INDEX('[1]End - Use Prices'!$C$6:$AL$89,MATCH($C36,'[1]End - Use Prices'!$A$6:$A$89,0)+MATCH($D36,'[1]End - Use Prices'!$B$9:$B$11,0)-1,MATCH(AP$1,'[1]End - Use Prices'!$C$7:$AL$7,0))</f>
        <v>12.83</v>
      </c>
      <c r="AQ36" s="41">
        <f>INDEX('[1]End - Use Prices'!$C$6:$AL$89,MATCH($C36,'[1]End - Use Prices'!$A$6:$A$89,0)+MATCH($D36,'[1]End - Use Prices'!$B$9:$B$11,0)-1,MATCH(AQ$1,'[1]End - Use Prices'!$C$7:$AL$7,0))</f>
        <v>12.77</v>
      </c>
      <c r="AR36" s="41">
        <f>INDEX('[1]End - Use Prices'!$C$6:$AL$89,MATCH($C36,'[1]End - Use Prices'!$A$6:$A$89,0)+MATCH($D36,'[1]End - Use Prices'!$B$9:$B$11,0)-1,MATCH(AR$1,'[1]End - Use Prices'!$C$7:$AL$7,0))</f>
        <v>12.76</v>
      </c>
      <c r="AS36" s="41">
        <f>INDEX('[1]End - Use Prices'!$C$6:$AL$89,MATCH($C36,'[1]End - Use Prices'!$A$6:$A$89,0)+MATCH($D36,'[1]End - Use Prices'!$B$9:$B$11,0)-1,MATCH(AS$1,'[1]End - Use Prices'!$C$7:$AL$7,0))</f>
        <v>12.82</v>
      </c>
      <c r="AT36" s="41">
        <f>INDEX('[1]End - Use Prices'!$C$6:$AL$89,MATCH($C36,'[1]End - Use Prices'!$A$6:$A$89,0)+MATCH($D36,'[1]End - Use Prices'!$B$9:$B$11,0)-1,MATCH(AT$1,'[1]End - Use Prices'!$C$7:$AL$7,0))</f>
        <v>12.87</v>
      </c>
      <c r="AU36" s="41">
        <f>INDEX('[1]End - Use Prices'!$C$6:$AL$89,MATCH($C36,'[1]End - Use Prices'!$A$6:$A$89,0)+MATCH($D36,'[1]End - Use Prices'!$B$9:$B$11,0)-1,MATCH(AU$1,'[1]End - Use Prices'!$C$7:$AL$7,0))</f>
        <v>12.94</v>
      </c>
      <c r="AV36" s="41">
        <f>INDEX('[1]End - Use Prices'!$C$6:$AL$89,MATCH($C36,'[1]End - Use Prices'!$A$6:$A$89,0)+MATCH($D36,'[1]End - Use Prices'!$B$9:$B$11,0)-1,MATCH(AV$1,'[1]End - Use Prices'!$C$7:$AL$7,0))</f>
        <v>13.03</v>
      </c>
      <c r="AW36" s="41">
        <f>INDEX('[1]End - Use Prices'!$C$6:$AL$89,MATCH($C36,'[1]End - Use Prices'!$A$6:$A$89,0)+MATCH($D36,'[1]End - Use Prices'!$B$9:$B$11,0)-1,MATCH(AW$1,'[1]End - Use Prices'!$C$7:$AL$7,0))</f>
        <v>13.11</v>
      </c>
      <c r="AX36" s="41">
        <f>INDEX('[1]End - Use Prices'!$C$6:$AL$89,MATCH($C36,'[1]End - Use Prices'!$A$6:$A$89,0)+MATCH($D36,'[1]End - Use Prices'!$B$9:$B$11,0)-1,MATCH(AX$1,'[1]End - Use Prices'!$C$7:$AL$7,0))</f>
        <v>13.21</v>
      </c>
      <c r="AY36" s="41">
        <f>INDEX('[1]End - Use Prices'!$C$6:$AL$89,MATCH($C36,'[1]End - Use Prices'!$A$6:$A$89,0)+MATCH($D36,'[1]End - Use Prices'!$B$9:$B$11,0)-1,MATCH(AY$1,'[1]End - Use Prices'!$C$7:$AL$7,0))</f>
        <v>13.32</v>
      </c>
      <c r="AZ36" s="41">
        <f>INDEX('[1]End - Use Prices'!$C$6:$AL$89,MATCH($C36,'[1]End - Use Prices'!$A$6:$A$89,0)+MATCH($D36,'[1]End - Use Prices'!$B$9:$B$11,0)-1,MATCH(AZ$1,'[1]End - Use Prices'!$C$7:$AL$7,0))</f>
        <v>13.44</v>
      </c>
      <c r="BA36" s="41">
        <f>INDEX('[1]End - Use Prices'!$C$6:$AL$89,MATCH($C36,'[1]End - Use Prices'!$A$6:$A$89,0)+MATCH($D36,'[1]End - Use Prices'!$B$9:$B$11,0)-1,MATCH(BA$1,'[1]End - Use Prices'!$C$7:$AL$7,0))</f>
        <v>13.5</v>
      </c>
      <c r="BB36" s="41">
        <f>INDEX('[1]End - Use Prices'!$C$6:$AL$89,MATCH($C36,'[1]End - Use Prices'!$A$6:$A$89,0)+MATCH($D36,'[1]End - Use Prices'!$B$9:$B$11,0)-1,MATCH(BB$1,'[1]End - Use Prices'!$C$7:$AL$7,0))</f>
        <v>13.55</v>
      </c>
      <c r="BC36" s="41">
        <f>INDEX('[1]End - Use Prices'!$C$6:$AL$89,MATCH($C36,'[1]End - Use Prices'!$A$6:$A$89,0)+MATCH($D36,'[1]End - Use Prices'!$B$9:$B$11,0)-1,MATCH(BC$1,'[1]End - Use Prices'!$C$7:$AL$7,0))</f>
        <v>13.6</v>
      </c>
      <c r="BD36" s="41">
        <f>INDEX('[1]End - Use Prices'!$C$6:$AL$89,MATCH($C36,'[1]End - Use Prices'!$A$6:$A$89,0)+MATCH($D36,'[1]End - Use Prices'!$B$9:$B$11,0)-1,MATCH(BD$1,'[1]End - Use Prices'!$C$7:$AL$7,0))</f>
        <v>13.63</v>
      </c>
      <c r="BE36" s="41">
        <f>INDEX('[1]End - Use Prices'!$C$6:$AL$89,MATCH($C36,'[1]End - Use Prices'!$A$6:$A$89,0)+MATCH($D36,'[1]End - Use Prices'!$B$9:$B$11,0)-1,MATCH(BE$1,'[1]End - Use Prices'!$C$7:$AL$7,0))</f>
        <v>13.64</v>
      </c>
      <c r="BF36" s="41">
        <f>INDEX('[1]End - Use Prices'!$C$6:$AL$89,MATCH($C36,'[1]End - Use Prices'!$A$6:$A$89,0)+MATCH($D36,'[1]End - Use Prices'!$B$9:$B$11,0)-1,MATCH(BF$1,'[1]End - Use Prices'!$C$7:$AL$7,0))</f>
        <v>13.66</v>
      </c>
      <c r="BG36" s="41">
        <f>INDEX('[1]End - Use Prices'!$C$6:$AL$89,MATCH($C36,'[1]End - Use Prices'!$A$6:$A$89,0)+MATCH($D36,'[1]End - Use Prices'!$B$9:$B$11,0)-1,MATCH(BG$1,'[1]End - Use Prices'!$C$7:$AL$7,0))</f>
        <v>13.67</v>
      </c>
      <c r="BR36" s="39"/>
      <c r="BS36" s="39"/>
      <c r="BT36" s="39"/>
      <c r="BU36" s="39"/>
      <c r="BV36" s="39"/>
      <c r="BW36" s="39"/>
      <c r="BX36" s="39"/>
      <c r="BY36" s="39"/>
      <c r="BZ36" s="39"/>
      <c r="CA36" s="39"/>
    </row>
    <row r="37" spans="1:79" x14ac:dyDescent="0.25">
      <c r="A37" s="5"/>
      <c r="B37" s="3"/>
      <c r="C37" s="25" t="s">
        <v>89</v>
      </c>
      <c r="D37" s="25" t="s">
        <v>14</v>
      </c>
      <c r="E37" s="25" t="s">
        <v>282</v>
      </c>
      <c r="F37" s="67" t="s">
        <v>279</v>
      </c>
      <c r="G37" s="53">
        <f t="shared" si="4"/>
        <v>20.32</v>
      </c>
      <c r="H37" s="34">
        <f t="shared" si="7"/>
        <v>20.32</v>
      </c>
      <c r="I37" s="34">
        <f t="shared" si="7"/>
        <v>18.399999999999999</v>
      </c>
      <c r="J37" s="34">
        <f t="shared" si="7"/>
        <v>15.95</v>
      </c>
      <c r="K37" s="34">
        <f t="shared" si="7"/>
        <v>15</v>
      </c>
      <c r="L37" s="34">
        <f t="shared" si="7"/>
        <v>16.07</v>
      </c>
      <c r="M37" s="34">
        <f t="shared" si="7"/>
        <v>16.5</v>
      </c>
      <c r="N37" s="34">
        <f t="shared" si="7"/>
        <v>16.809999999999999</v>
      </c>
      <c r="O37" s="34">
        <f t="shared" si="7"/>
        <v>16.809999999999999</v>
      </c>
      <c r="P37" s="53">
        <f t="shared" si="6"/>
        <v>16.809999999999999</v>
      </c>
      <c r="Q37" s="53">
        <f t="shared" si="6"/>
        <v>16.809999999999999</v>
      </c>
      <c r="R37" s="38"/>
      <c r="X37" s="41">
        <f>INDEX('[1]End - Use Prices'!$C$6:$AL$89,MATCH($C37,'[1]End - Use Prices'!$A$6:$A$89,0)+MATCH($D37,'[1]End - Use Prices'!$B$9:$B$11,0)-1,MATCH(X$1,'[1]End - Use Prices'!$C$7:$AL$7,0))</f>
        <v>20.32</v>
      </c>
      <c r="Y37" s="41">
        <f>INDEX('[1]End - Use Prices'!$C$6:$AL$89,MATCH($C37,'[1]End - Use Prices'!$A$6:$A$89,0)+MATCH($D37,'[1]End - Use Prices'!$B$9:$B$11,0)-1,MATCH(Y$1,'[1]End - Use Prices'!$C$7:$AL$7,0))</f>
        <v>20.36</v>
      </c>
      <c r="Z37" s="41">
        <f>INDEX('[1]End - Use Prices'!$C$6:$AL$89,MATCH($C37,'[1]End - Use Prices'!$A$6:$A$89,0)+MATCH($D37,'[1]End - Use Prices'!$B$9:$B$11,0)-1,MATCH(Z$1,'[1]End - Use Prices'!$C$7:$AL$7,0))</f>
        <v>19</v>
      </c>
      <c r="AA37" s="41">
        <f>INDEX('[1]End - Use Prices'!$C$6:$AL$89,MATCH($C37,'[1]End - Use Prices'!$A$6:$A$89,0)+MATCH($D37,'[1]End - Use Prices'!$B$9:$B$11,0)-1,MATCH(AA$1,'[1]End - Use Prices'!$C$7:$AL$7,0))</f>
        <v>19.5</v>
      </c>
      <c r="AB37" s="41">
        <f>INDEX('[1]End - Use Prices'!$C$6:$AL$89,MATCH($C37,'[1]End - Use Prices'!$A$6:$A$89,0)+MATCH($D37,'[1]End - Use Prices'!$B$9:$B$11,0)-1,MATCH(AB$1,'[1]End - Use Prices'!$C$7:$AL$7,0))</f>
        <v>18.579999999999998</v>
      </c>
      <c r="AC37" s="41">
        <f>INDEX('[1]End - Use Prices'!$C$6:$AL$89,MATCH($C37,'[1]End - Use Prices'!$A$6:$A$89,0)+MATCH($D37,'[1]End - Use Prices'!$B$9:$B$11,0)-1,MATCH(AC$1,'[1]End - Use Prices'!$C$7:$AL$7,0))</f>
        <v>18.399999999999999</v>
      </c>
      <c r="AD37" s="41">
        <f>INDEX('[1]End - Use Prices'!$C$6:$AL$89,MATCH($C37,'[1]End - Use Prices'!$A$6:$A$89,0)+MATCH($D37,'[1]End - Use Prices'!$B$9:$B$11,0)-1,MATCH(AD$1,'[1]End - Use Prices'!$C$7:$AL$7,0))</f>
        <v>17.54</v>
      </c>
      <c r="AE37" s="41">
        <f>INDEX('[1]End - Use Prices'!$C$6:$AL$89,MATCH($C37,'[1]End - Use Prices'!$A$6:$A$89,0)+MATCH($D37,'[1]End - Use Prices'!$B$9:$B$11,0)-1,MATCH(AE$1,'[1]End - Use Prices'!$C$7:$AL$7,0))</f>
        <v>17.05</v>
      </c>
      <c r="AF37" s="41">
        <f>INDEX('[1]End - Use Prices'!$C$6:$AL$89,MATCH($C37,'[1]End - Use Prices'!$A$6:$A$89,0)+MATCH($D37,'[1]End - Use Prices'!$B$9:$B$11,0)-1,MATCH(AF$1,'[1]End - Use Prices'!$C$7:$AL$7,0))</f>
        <v>15.49</v>
      </c>
      <c r="AG37" s="41">
        <f>INDEX('[1]End - Use Prices'!$C$6:$AL$89,MATCH($C37,'[1]End - Use Prices'!$A$6:$A$89,0)+MATCH($D37,'[1]End - Use Prices'!$B$9:$B$11,0)-1,MATCH(AG$1,'[1]End - Use Prices'!$C$7:$AL$7,0))</f>
        <v>16.84</v>
      </c>
      <c r="AH37" s="41">
        <f>INDEX('[1]End - Use Prices'!$C$6:$AL$89,MATCH($C37,'[1]End - Use Prices'!$A$6:$A$89,0)+MATCH($D37,'[1]End - Use Prices'!$B$9:$B$11,0)-1,MATCH(AH$1,'[1]End - Use Prices'!$C$7:$AL$7,0))</f>
        <v>15.95</v>
      </c>
      <c r="AI37" s="41">
        <f>INDEX('[1]End - Use Prices'!$C$6:$AL$89,MATCH($C37,'[1]End - Use Prices'!$A$6:$A$89,0)+MATCH($D37,'[1]End - Use Prices'!$B$9:$B$11,0)-1,MATCH(AI$1,'[1]End - Use Prices'!$C$7:$AL$7,0))</f>
        <v>14.86</v>
      </c>
      <c r="AJ37" s="41">
        <f>INDEX('[1]End - Use Prices'!$C$6:$AL$89,MATCH($C37,'[1]End - Use Prices'!$A$6:$A$89,0)+MATCH($D37,'[1]End - Use Prices'!$B$9:$B$11,0)-1,MATCH(AJ$1,'[1]End - Use Prices'!$C$7:$AL$7,0))</f>
        <v>15.15</v>
      </c>
      <c r="AK37" s="41">
        <f>INDEX('[1]End - Use Prices'!$C$6:$AL$89,MATCH($C37,'[1]End - Use Prices'!$A$6:$A$89,0)+MATCH($D37,'[1]End - Use Prices'!$B$9:$B$11,0)-1,MATCH(AK$1,'[1]End - Use Prices'!$C$7:$AL$7,0))</f>
        <v>15</v>
      </c>
      <c r="AL37" s="41">
        <f>INDEX('[1]End - Use Prices'!$C$6:$AL$89,MATCH($C37,'[1]End - Use Prices'!$A$6:$A$89,0)+MATCH($D37,'[1]End - Use Prices'!$B$9:$B$11,0)-1,MATCH(AL$1,'[1]End - Use Prices'!$C$7:$AL$7,0))</f>
        <v>14.94</v>
      </c>
      <c r="AM37" s="41">
        <f>INDEX('[1]End - Use Prices'!$C$6:$AL$89,MATCH($C37,'[1]End - Use Prices'!$A$6:$A$89,0)+MATCH($D37,'[1]End - Use Prices'!$B$9:$B$11,0)-1,MATCH(AM$1,'[1]End - Use Prices'!$C$7:$AL$7,0))</f>
        <v>15</v>
      </c>
      <c r="AN37" s="41">
        <f>INDEX('[1]End - Use Prices'!$C$6:$AL$89,MATCH($C37,'[1]End - Use Prices'!$A$6:$A$89,0)+MATCH($D37,'[1]End - Use Prices'!$B$9:$B$11,0)-1,MATCH(AN$1,'[1]End - Use Prices'!$C$7:$AL$7,0))</f>
        <v>15.24</v>
      </c>
      <c r="AO37" s="41">
        <f>INDEX('[1]End - Use Prices'!$C$6:$AL$89,MATCH($C37,'[1]End - Use Prices'!$A$6:$A$89,0)+MATCH($D37,'[1]End - Use Prices'!$B$9:$B$11,0)-1,MATCH(AO$1,'[1]End - Use Prices'!$C$7:$AL$7,0))</f>
        <v>15.47</v>
      </c>
      <c r="AP37" s="41">
        <f>INDEX('[1]End - Use Prices'!$C$6:$AL$89,MATCH($C37,'[1]End - Use Prices'!$A$6:$A$89,0)+MATCH($D37,'[1]End - Use Prices'!$B$9:$B$11,0)-1,MATCH(AP$1,'[1]End - Use Prices'!$C$7:$AL$7,0))</f>
        <v>15.66</v>
      </c>
      <c r="AQ37" s="41">
        <f>INDEX('[1]End - Use Prices'!$C$6:$AL$89,MATCH($C37,'[1]End - Use Prices'!$A$6:$A$89,0)+MATCH($D37,'[1]End - Use Prices'!$B$9:$B$11,0)-1,MATCH(AQ$1,'[1]End - Use Prices'!$C$7:$AL$7,0))</f>
        <v>15.86</v>
      </c>
      <c r="AR37" s="41">
        <f>INDEX('[1]End - Use Prices'!$C$6:$AL$89,MATCH($C37,'[1]End - Use Prices'!$A$6:$A$89,0)+MATCH($D37,'[1]End - Use Prices'!$B$9:$B$11,0)-1,MATCH(AR$1,'[1]End - Use Prices'!$C$7:$AL$7,0))</f>
        <v>16.07</v>
      </c>
      <c r="AS37" s="41">
        <f>INDEX('[1]End - Use Prices'!$C$6:$AL$89,MATCH($C37,'[1]End - Use Prices'!$A$6:$A$89,0)+MATCH($D37,'[1]End - Use Prices'!$B$9:$B$11,0)-1,MATCH(AS$1,'[1]End - Use Prices'!$C$7:$AL$7,0))</f>
        <v>16.350000000000001</v>
      </c>
      <c r="AT37" s="41">
        <f>INDEX('[1]End - Use Prices'!$C$6:$AL$89,MATCH($C37,'[1]End - Use Prices'!$A$6:$A$89,0)+MATCH($D37,'[1]End - Use Prices'!$B$9:$B$11,0)-1,MATCH(AT$1,'[1]End - Use Prices'!$C$7:$AL$7,0))</f>
        <v>16.36</v>
      </c>
      <c r="AU37" s="41">
        <f>INDEX('[1]End - Use Prices'!$C$6:$AL$89,MATCH($C37,'[1]End - Use Prices'!$A$6:$A$89,0)+MATCH($D37,'[1]End - Use Prices'!$B$9:$B$11,0)-1,MATCH(AU$1,'[1]End - Use Prices'!$C$7:$AL$7,0))</f>
        <v>16.399999999999999</v>
      </c>
      <c r="AV37" s="41">
        <f>INDEX('[1]End - Use Prices'!$C$6:$AL$89,MATCH($C37,'[1]End - Use Prices'!$A$6:$A$89,0)+MATCH($D37,'[1]End - Use Prices'!$B$9:$B$11,0)-1,MATCH(AV$1,'[1]End - Use Prices'!$C$7:$AL$7,0))</f>
        <v>16.45</v>
      </c>
      <c r="AW37" s="41">
        <f>INDEX('[1]End - Use Prices'!$C$6:$AL$89,MATCH($C37,'[1]End - Use Prices'!$A$6:$A$89,0)+MATCH($D37,'[1]End - Use Prices'!$B$9:$B$11,0)-1,MATCH(AW$1,'[1]End - Use Prices'!$C$7:$AL$7,0))</f>
        <v>16.5</v>
      </c>
      <c r="AX37" s="41">
        <f>INDEX('[1]End - Use Prices'!$C$6:$AL$89,MATCH($C37,'[1]End - Use Prices'!$A$6:$A$89,0)+MATCH($D37,'[1]End - Use Prices'!$B$9:$B$11,0)-1,MATCH(AX$1,'[1]End - Use Prices'!$C$7:$AL$7,0))</f>
        <v>16.57</v>
      </c>
      <c r="AY37" s="41">
        <f>INDEX('[1]End - Use Prices'!$C$6:$AL$89,MATCH($C37,'[1]End - Use Prices'!$A$6:$A$89,0)+MATCH($D37,'[1]End - Use Prices'!$B$9:$B$11,0)-1,MATCH(AY$1,'[1]End - Use Prices'!$C$7:$AL$7,0))</f>
        <v>16.649999999999999</v>
      </c>
      <c r="AZ37" s="41">
        <f>INDEX('[1]End - Use Prices'!$C$6:$AL$89,MATCH($C37,'[1]End - Use Prices'!$A$6:$A$89,0)+MATCH($D37,'[1]End - Use Prices'!$B$9:$B$11,0)-1,MATCH(AZ$1,'[1]End - Use Prices'!$C$7:$AL$7,0))</f>
        <v>16.739999999999998</v>
      </c>
      <c r="BA37" s="41">
        <f>INDEX('[1]End - Use Prices'!$C$6:$AL$89,MATCH($C37,'[1]End - Use Prices'!$A$6:$A$89,0)+MATCH($D37,'[1]End - Use Prices'!$B$9:$B$11,0)-1,MATCH(BA$1,'[1]End - Use Prices'!$C$7:$AL$7,0))</f>
        <v>16.77</v>
      </c>
      <c r="BB37" s="41">
        <f>INDEX('[1]End - Use Prices'!$C$6:$AL$89,MATCH($C37,'[1]End - Use Prices'!$A$6:$A$89,0)+MATCH($D37,'[1]End - Use Prices'!$B$9:$B$11,0)-1,MATCH(BB$1,'[1]End - Use Prices'!$C$7:$AL$7,0))</f>
        <v>16.809999999999999</v>
      </c>
      <c r="BC37" s="41">
        <f>INDEX('[1]End - Use Prices'!$C$6:$AL$89,MATCH($C37,'[1]End - Use Prices'!$A$6:$A$89,0)+MATCH($D37,'[1]End - Use Prices'!$B$9:$B$11,0)-1,MATCH(BC$1,'[1]End - Use Prices'!$C$7:$AL$7,0))</f>
        <v>16.829999999999998</v>
      </c>
      <c r="BD37" s="41">
        <f>INDEX('[1]End - Use Prices'!$C$6:$AL$89,MATCH($C37,'[1]End - Use Prices'!$A$6:$A$89,0)+MATCH($D37,'[1]End - Use Prices'!$B$9:$B$11,0)-1,MATCH(BD$1,'[1]End - Use Prices'!$C$7:$AL$7,0))</f>
        <v>16.829999999999998</v>
      </c>
      <c r="BE37" s="41">
        <f>INDEX('[1]End - Use Prices'!$C$6:$AL$89,MATCH($C37,'[1]End - Use Prices'!$A$6:$A$89,0)+MATCH($D37,'[1]End - Use Prices'!$B$9:$B$11,0)-1,MATCH(BE$1,'[1]End - Use Prices'!$C$7:$AL$7,0))</f>
        <v>16.829999999999998</v>
      </c>
      <c r="BF37" s="41">
        <f>INDEX('[1]End - Use Prices'!$C$6:$AL$89,MATCH($C37,'[1]End - Use Prices'!$A$6:$A$89,0)+MATCH($D37,'[1]End - Use Prices'!$B$9:$B$11,0)-1,MATCH(BF$1,'[1]End - Use Prices'!$C$7:$AL$7,0))</f>
        <v>16.82</v>
      </c>
      <c r="BG37" s="41">
        <f>INDEX('[1]End - Use Prices'!$C$6:$AL$89,MATCH($C37,'[1]End - Use Prices'!$A$6:$A$89,0)+MATCH($D37,'[1]End - Use Prices'!$B$9:$B$11,0)-1,MATCH(BG$1,'[1]End - Use Prices'!$C$7:$AL$7,0))</f>
        <v>16.809999999999999</v>
      </c>
      <c r="BR37" s="39"/>
      <c r="BS37" s="39"/>
      <c r="BT37" s="39"/>
      <c r="BU37" s="39"/>
      <c r="BV37" s="39"/>
      <c r="BW37" s="39"/>
      <c r="BX37" s="39"/>
      <c r="BY37" s="39"/>
      <c r="BZ37" s="39"/>
      <c r="CA37" s="39"/>
    </row>
    <row r="38" spans="1:79" x14ac:dyDescent="0.25">
      <c r="A38" s="5"/>
      <c r="B38" s="3"/>
      <c r="C38" s="25" t="s">
        <v>90</v>
      </c>
      <c r="D38" s="25" t="s">
        <v>14</v>
      </c>
      <c r="E38" s="25" t="s">
        <v>282</v>
      </c>
      <c r="F38" s="67" t="s">
        <v>279</v>
      </c>
      <c r="G38" s="53">
        <f t="shared" si="4"/>
        <v>16.739999999999998</v>
      </c>
      <c r="H38" s="34">
        <f t="shared" si="7"/>
        <v>16.739999999999998</v>
      </c>
      <c r="I38" s="34">
        <f t="shared" si="7"/>
        <v>13.57</v>
      </c>
      <c r="J38" s="34">
        <f t="shared" si="7"/>
        <v>12.15</v>
      </c>
      <c r="K38" s="34">
        <f t="shared" si="7"/>
        <v>10.119999999999999</v>
      </c>
      <c r="L38" s="34">
        <f t="shared" si="7"/>
        <v>11.4</v>
      </c>
      <c r="M38" s="34">
        <f t="shared" si="7"/>
        <v>11.98</v>
      </c>
      <c r="N38" s="34">
        <f t="shared" si="7"/>
        <v>12.4</v>
      </c>
      <c r="O38" s="34">
        <f t="shared" si="7"/>
        <v>12.52</v>
      </c>
      <c r="P38" s="53">
        <f t="shared" ref="P38:Q57" si="8">O38</f>
        <v>12.52</v>
      </c>
      <c r="Q38" s="53">
        <f t="shared" si="8"/>
        <v>12.52</v>
      </c>
      <c r="R38" s="38"/>
      <c r="X38" s="41">
        <f>INDEX('[1]End - Use Prices'!$C$6:$AL$89,MATCH($C38,'[1]End - Use Prices'!$A$6:$A$89,0)+MATCH($D38,'[1]End - Use Prices'!$B$9:$B$11,0)-1,MATCH(X$1,'[1]End - Use Prices'!$C$7:$AL$7,0))</f>
        <v>16.739999999999998</v>
      </c>
      <c r="Y38" s="41">
        <f>INDEX('[1]End - Use Prices'!$C$6:$AL$89,MATCH($C38,'[1]End - Use Prices'!$A$6:$A$89,0)+MATCH($D38,'[1]End - Use Prices'!$B$9:$B$11,0)-1,MATCH(Y$1,'[1]End - Use Prices'!$C$7:$AL$7,0))</f>
        <v>17.82</v>
      </c>
      <c r="Z38" s="41">
        <f>INDEX('[1]End - Use Prices'!$C$6:$AL$89,MATCH($C38,'[1]End - Use Prices'!$A$6:$A$89,0)+MATCH($D38,'[1]End - Use Prices'!$B$9:$B$11,0)-1,MATCH(Z$1,'[1]End - Use Prices'!$C$7:$AL$7,0))</f>
        <v>16.100000000000001</v>
      </c>
      <c r="AA38" s="41">
        <f>INDEX('[1]End - Use Prices'!$C$6:$AL$89,MATCH($C38,'[1]End - Use Prices'!$A$6:$A$89,0)+MATCH($D38,'[1]End - Use Prices'!$B$9:$B$11,0)-1,MATCH(AA$1,'[1]End - Use Prices'!$C$7:$AL$7,0))</f>
        <v>16.25</v>
      </c>
      <c r="AB38" s="41">
        <f>INDEX('[1]End - Use Prices'!$C$6:$AL$89,MATCH($C38,'[1]End - Use Prices'!$A$6:$A$89,0)+MATCH($D38,'[1]End - Use Prices'!$B$9:$B$11,0)-1,MATCH(AB$1,'[1]End - Use Prices'!$C$7:$AL$7,0))</f>
        <v>13.76</v>
      </c>
      <c r="AC38" s="41">
        <f>INDEX('[1]End - Use Prices'!$C$6:$AL$89,MATCH($C38,'[1]End - Use Prices'!$A$6:$A$89,0)+MATCH($D38,'[1]End - Use Prices'!$B$9:$B$11,0)-1,MATCH(AC$1,'[1]End - Use Prices'!$C$7:$AL$7,0))</f>
        <v>13.57</v>
      </c>
      <c r="AD38" s="41">
        <f>INDEX('[1]End - Use Prices'!$C$6:$AL$89,MATCH($C38,'[1]End - Use Prices'!$A$6:$A$89,0)+MATCH($D38,'[1]End - Use Prices'!$B$9:$B$11,0)-1,MATCH(AD$1,'[1]End - Use Prices'!$C$7:$AL$7,0))</f>
        <v>11.83</v>
      </c>
      <c r="AE38" s="41">
        <f>INDEX('[1]End - Use Prices'!$C$6:$AL$89,MATCH($C38,'[1]End - Use Prices'!$A$6:$A$89,0)+MATCH($D38,'[1]End - Use Prices'!$B$9:$B$11,0)-1,MATCH(AE$1,'[1]End - Use Prices'!$C$7:$AL$7,0))</f>
        <v>11.22</v>
      </c>
      <c r="AF38" s="41">
        <f>INDEX('[1]End - Use Prices'!$C$6:$AL$89,MATCH($C38,'[1]End - Use Prices'!$A$6:$A$89,0)+MATCH($D38,'[1]End - Use Prices'!$B$9:$B$11,0)-1,MATCH(AF$1,'[1]End - Use Prices'!$C$7:$AL$7,0))</f>
        <v>11.17</v>
      </c>
      <c r="AG38" s="41">
        <f>INDEX('[1]End - Use Prices'!$C$6:$AL$89,MATCH($C38,'[1]End - Use Prices'!$A$6:$A$89,0)+MATCH($D38,'[1]End - Use Prices'!$B$9:$B$11,0)-1,MATCH(AG$1,'[1]End - Use Prices'!$C$7:$AL$7,0))</f>
        <v>12.03</v>
      </c>
      <c r="AH38" s="41">
        <f>INDEX('[1]End - Use Prices'!$C$6:$AL$89,MATCH($C38,'[1]End - Use Prices'!$A$6:$A$89,0)+MATCH($D38,'[1]End - Use Prices'!$B$9:$B$11,0)-1,MATCH(AH$1,'[1]End - Use Prices'!$C$7:$AL$7,0))</f>
        <v>12.15</v>
      </c>
      <c r="AI38" s="41">
        <f>INDEX('[1]End - Use Prices'!$C$6:$AL$89,MATCH($C38,'[1]End - Use Prices'!$A$6:$A$89,0)+MATCH($D38,'[1]End - Use Prices'!$B$9:$B$11,0)-1,MATCH(AI$1,'[1]End - Use Prices'!$C$7:$AL$7,0))</f>
        <v>9.42</v>
      </c>
      <c r="AJ38" s="41">
        <f>INDEX('[1]End - Use Prices'!$C$6:$AL$89,MATCH($C38,'[1]End - Use Prices'!$A$6:$A$89,0)+MATCH($D38,'[1]End - Use Prices'!$B$9:$B$11,0)-1,MATCH(AJ$1,'[1]End - Use Prices'!$C$7:$AL$7,0))</f>
        <v>13.49</v>
      </c>
      <c r="AK38" s="41">
        <f>INDEX('[1]End - Use Prices'!$C$6:$AL$89,MATCH($C38,'[1]End - Use Prices'!$A$6:$A$89,0)+MATCH($D38,'[1]End - Use Prices'!$B$9:$B$11,0)-1,MATCH(AK$1,'[1]End - Use Prices'!$C$7:$AL$7,0))</f>
        <v>10.95</v>
      </c>
      <c r="AL38" s="41">
        <f>INDEX('[1]End - Use Prices'!$C$6:$AL$89,MATCH($C38,'[1]End - Use Prices'!$A$6:$A$89,0)+MATCH($D38,'[1]End - Use Prices'!$B$9:$B$11,0)-1,MATCH(AL$1,'[1]End - Use Prices'!$C$7:$AL$7,0))</f>
        <v>10.029999999999999</v>
      </c>
      <c r="AM38" s="41">
        <f>INDEX('[1]End - Use Prices'!$C$6:$AL$89,MATCH($C38,'[1]End - Use Prices'!$A$6:$A$89,0)+MATCH($D38,'[1]End - Use Prices'!$B$9:$B$11,0)-1,MATCH(AM$1,'[1]End - Use Prices'!$C$7:$AL$7,0))</f>
        <v>10.119999999999999</v>
      </c>
      <c r="AN38" s="41">
        <f>INDEX('[1]End - Use Prices'!$C$6:$AL$89,MATCH($C38,'[1]End - Use Prices'!$A$6:$A$89,0)+MATCH($D38,'[1]End - Use Prices'!$B$9:$B$11,0)-1,MATCH(AN$1,'[1]End - Use Prices'!$C$7:$AL$7,0))</f>
        <v>10.4</v>
      </c>
      <c r="AO38" s="41">
        <f>INDEX('[1]End - Use Prices'!$C$6:$AL$89,MATCH($C38,'[1]End - Use Prices'!$A$6:$A$89,0)+MATCH($D38,'[1]End - Use Prices'!$B$9:$B$11,0)-1,MATCH(AO$1,'[1]End - Use Prices'!$C$7:$AL$7,0))</f>
        <v>10.68</v>
      </c>
      <c r="AP38" s="41">
        <f>INDEX('[1]End - Use Prices'!$C$6:$AL$89,MATCH($C38,'[1]End - Use Prices'!$A$6:$A$89,0)+MATCH($D38,'[1]End - Use Prices'!$B$9:$B$11,0)-1,MATCH(AP$1,'[1]End - Use Prices'!$C$7:$AL$7,0))</f>
        <v>10.91</v>
      </c>
      <c r="AQ38" s="41">
        <f>INDEX('[1]End - Use Prices'!$C$6:$AL$89,MATCH($C38,'[1]End - Use Prices'!$A$6:$A$89,0)+MATCH($D38,'[1]End - Use Prices'!$B$9:$B$11,0)-1,MATCH(AQ$1,'[1]End - Use Prices'!$C$7:$AL$7,0))</f>
        <v>11.15</v>
      </c>
      <c r="AR38" s="41">
        <f>INDEX('[1]End - Use Prices'!$C$6:$AL$89,MATCH($C38,'[1]End - Use Prices'!$A$6:$A$89,0)+MATCH($D38,'[1]End - Use Prices'!$B$9:$B$11,0)-1,MATCH(AR$1,'[1]End - Use Prices'!$C$7:$AL$7,0))</f>
        <v>11.4</v>
      </c>
      <c r="AS38" s="41">
        <f>INDEX('[1]End - Use Prices'!$C$6:$AL$89,MATCH($C38,'[1]End - Use Prices'!$A$6:$A$89,0)+MATCH($D38,'[1]End - Use Prices'!$B$9:$B$11,0)-1,MATCH(AS$1,'[1]End - Use Prices'!$C$7:$AL$7,0))</f>
        <v>11.72</v>
      </c>
      <c r="AT38" s="41">
        <f>INDEX('[1]End - Use Prices'!$C$6:$AL$89,MATCH($C38,'[1]End - Use Prices'!$A$6:$A$89,0)+MATCH($D38,'[1]End - Use Prices'!$B$9:$B$11,0)-1,MATCH(AT$1,'[1]End - Use Prices'!$C$7:$AL$7,0))</f>
        <v>11.76</v>
      </c>
      <c r="AU38" s="41">
        <f>INDEX('[1]End - Use Prices'!$C$6:$AL$89,MATCH($C38,'[1]End - Use Prices'!$A$6:$A$89,0)+MATCH($D38,'[1]End - Use Prices'!$B$9:$B$11,0)-1,MATCH(AU$1,'[1]End - Use Prices'!$C$7:$AL$7,0))</f>
        <v>11.83</v>
      </c>
      <c r="AV38" s="41">
        <f>INDEX('[1]End - Use Prices'!$C$6:$AL$89,MATCH($C38,'[1]End - Use Prices'!$A$6:$A$89,0)+MATCH($D38,'[1]End - Use Prices'!$B$9:$B$11,0)-1,MATCH(AV$1,'[1]End - Use Prices'!$C$7:$AL$7,0))</f>
        <v>11.91</v>
      </c>
      <c r="AW38" s="41">
        <f>INDEX('[1]End - Use Prices'!$C$6:$AL$89,MATCH($C38,'[1]End - Use Prices'!$A$6:$A$89,0)+MATCH($D38,'[1]End - Use Prices'!$B$9:$B$11,0)-1,MATCH(AW$1,'[1]End - Use Prices'!$C$7:$AL$7,0))</f>
        <v>11.98</v>
      </c>
      <c r="AX38" s="41">
        <f>INDEX('[1]End - Use Prices'!$C$6:$AL$89,MATCH($C38,'[1]End - Use Prices'!$A$6:$A$89,0)+MATCH($D38,'[1]End - Use Prices'!$B$9:$B$11,0)-1,MATCH(AX$1,'[1]End - Use Prices'!$C$7:$AL$7,0))</f>
        <v>12.07</v>
      </c>
      <c r="AY38" s="41">
        <f>INDEX('[1]End - Use Prices'!$C$6:$AL$89,MATCH($C38,'[1]End - Use Prices'!$A$6:$A$89,0)+MATCH($D38,'[1]End - Use Prices'!$B$9:$B$11,0)-1,MATCH(AY$1,'[1]End - Use Prices'!$C$7:$AL$7,0))</f>
        <v>12.18</v>
      </c>
      <c r="AZ38" s="41">
        <f>INDEX('[1]End - Use Prices'!$C$6:$AL$89,MATCH($C38,'[1]End - Use Prices'!$A$6:$A$89,0)+MATCH($D38,'[1]End - Use Prices'!$B$9:$B$11,0)-1,MATCH(AZ$1,'[1]End - Use Prices'!$C$7:$AL$7,0))</f>
        <v>12.29</v>
      </c>
      <c r="BA38" s="41">
        <f>INDEX('[1]End - Use Prices'!$C$6:$AL$89,MATCH($C38,'[1]End - Use Prices'!$A$6:$A$89,0)+MATCH($D38,'[1]End - Use Prices'!$B$9:$B$11,0)-1,MATCH(BA$1,'[1]End - Use Prices'!$C$7:$AL$7,0))</f>
        <v>12.35</v>
      </c>
      <c r="BB38" s="41">
        <f>INDEX('[1]End - Use Prices'!$C$6:$AL$89,MATCH($C38,'[1]End - Use Prices'!$A$6:$A$89,0)+MATCH($D38,'[1]End - Use Prices'!$B$9:$B$11,0)-1,MATCH(BB$1,'[1]End - Use Prices'!$C$7:$AL$7,0))</f>
        <v>12.4</v>
      </c>
      <c r="BC38" s="41">
        <f>INDEX('[1]End - Use Prices'!$C$6:$AL$89,MATCH($C38,'[1]End - Use Prices'!$A$6:$A$89,0)+MATCH($D38,'[1]End - Use Prices'!$B$9:$B$11,0)-1,MATCH(BC$1,'[1]End - Use Prices'!$C$7:$AL$7,0))</f>
        <v>12.45</v>
      </c>
      <c r="BD38" s="41">
        <f>INDEX('[1]End - Use Prices'!$C$6:$AL$89,MATCH($C38,'[1]End - Use Prices'!$A$6:$A$89,0)+MATCH($D38,'[1]End - Use Prices'!$B$9:$B$11,0)-1,MATCH(BD$1,'[1]End - Use Prices'!$C$7:$AL$7,0))</f>
        <v>12.48</v>
      </c>
      <c r="BE38" s="41">
        <f>INDEX('[1]End - Use Prices'!$C$6:$AL$89,MATCH($C38,'[1]End - Use Prices'!$A$6:$A$89,0)+MATCH($D38,'[1]End - Use Prices'!$B$9:$B$11,0)-1,MATCH(BE$1,'[1]End - Use Prices'!$C$7:$AL$7,0))</f>
        <v>12.49</v>
      </c>
      <c r="BF38" s="41">
        <f>INDEX('[1]End - Use Prices'!$C$6:$AL$89,MATCH($C38,'[1]End - Use Prices'!$A$6:$A$89,0)+MATCH($D38,'[1]End - Use Prices'!$B$9:$B$11,0)-1,MATCH(BF$1,'[1]End - Use Prices'!$C$7:$AL$7,0))</f>
        <v>12.51</v>
      </c>
      <c r="BG38" s="41">
        <f>INDEX('[1]End - Use Prices'!$C$6:$AL$89,MATCH($C38,'[1]End - Use Prices'!$A$6:$A$89,0)+MATCH($D38,'[1]End - Use Prices'!$B$9:$B$11,0)-1,MATCH(BG$1,'[1]End - Use Prices'!$C$7:$AL$7,0))</f>
        <v>12.52</v>
      </c>
      <c r="BR38" s="39"/>
      <c r="BS38" s="39"/>
      <c r="BT38" s="39"/>
      <c r="BU38" s="39"/>
      <c r="BV38" s="39"/>
      <c r="BW38" s="39"/>
      <c r="BX38" s="39"/>
      <c r="BY38" s="39"/>
      <c r="BZ38" s="39"/>
      <c r="CA38" s="39"/>
    </row>
    <row r="39" spans="1:79" x14ac:dyDescent="0.25">
      <c r="A39" s="5"/>
      <c r="B39" s="3"/>
      <c r="C39" s="25" t="s">
        <v>91</v>
      </c>
      <c r="D39" s="25" t="s">
        <v>14</v>
      </c>
      <c r="E39" s="25" t="s">
        <v>282</v>
      </c>
      <c r="F39" s="67" t="s">
        <v>279</v>
      </c>
      <c r="G39" s="53">
        <f t="shared" si="4"/>
        <v>16.21</v>
      </c>
      <c r="H39" s="34">
        <f t="shared" si="7"/>
        <v>16.21</v>
      </c>
      <c r="I39" s="34">
        <f t="shared" si="7"/>
        <v>11.7</v>
      </c>
      <c r="J39" s="34">
        <f t="shared" si="7"/>
        <v>11.47</v>
      </c>
      <c r="K39" s="34">
        <f t="shared" si="7"/>
        <v>10.53</v>
      </c>
      <c r="L39" s="34">
        <f t="shared" si="7"/>
        <v>11.81</v>
      </c>
      <c r="M39" s="34">
        <f t="shared" si="7"/>
        <v>12.43</v>
      </c>
      <c r="N39" s="34">
        <f t="shared" si="7"/>
        <v>13.03</v>
      </c>
      <c r="O39" s="34">
        <f t="shared" si="7"/>
        <v>13.31</v>
      </c>
      <c r="P39" s="53">
        <f t="shared" si="8"/>
        <v>13.31</v>
      </c>
      <c r="Q39" s="53">
        <f t="shared" si="8"/>
        <v>13.31</v>
      </c>
      <c r="R39" s="38"/>
      <c r="X39" s="41">
        <f>INDEX('[1]End - Use Prices'!$C$6:$AL$89,MATCH($C39,'[1]End - Use Prices'!$A$6:$A$89,0)+MATCH($D39,'[1]End - Use Prices'!$B$9:$B$11,0)-1,MATCH(X$1,'[1]End - Use Prices'!$C$7:$AL$7,0))</f>
        <v>16.21</v>
      </c>
      <c r="Y39" s="41">
        <f>INDEX('[1]End - Use Prices'!$C$6:$AL$89,MATCH($C39,'[1]End - Use Prices'!$A$6:$A$89,0)+MATCH($D39,'[1]End - Use Prices'!$B$9:$B$11,0)-1,MATCH(Y$1,'[1]End - Use Prices'!$C$7:$AL$7,0))</f>
        <v>15.41</v>
      </c>
      <c r="Z39" s="41">
        <f>INDEX('[1]End - Use Prices'!$C$6:$AL$89,MATCH($C39,'[1]End - Use Prices'!$A$6:$A$89,0)+MATCH($D39,'[1]End - Use Prices'!$B$9:$B$11,0)-1,MATCH(Z$1,'[1]End - Use Prices'!$C$7:$AL$7,0))</f>
        <v>14.81</v>
      </c>
      <c r="AA39" s="41">
        <f>INDEX('[1]End - Use Prices'!$C$6:$AL$89,MATCH($C39,'[1]End - Use Prices'!$A$6:$A$89,0)+MATCH($D39,'[1]End - Use Prices'!$B$9:$B$11,0)-1,MATCH(AA$1,'[1]End - Use Prices'!$C$7:$AL$7,0))</f>
        <v>14.53</v>
      </c>
      <c r="AB39" s="41">
        <f>INDEX('[1]End - Use Prices'!$C$6:$AL$89,MATCH($C39,'[1]End - Use Prices'!$A$6:$A$89,0)+MATCH($D39,'[1]End - Use Prices'!$B$9:$B$11,0)-1,MATCH(AB$1,'[1]End - Use Prices'!$C$7:$AL$7,0))</f>
        <v>14.23</v>
      </c>
      <c r="AC39" s="41">
        <f>INDEX('[1]End - Use Prices'!$C$6:$AL$89,MATCH($C39,'[1]End - Use Prices'!$A$6:$A$89,0)+MATCH($D39,'[1]End - Use Prices'!$B$9:$B$11,0)-1,MATCH(AC$1,'[1]End - Use Prices'!$C$7:$AL$7,0))</f>
        <v>11.7</v>
      </c>
      <c r="AD39" s="41">
        <f>INDEX('[1]End - Use Prices'!$C$6:$AL$89,MATCH($C39,'[1]End - Use Prices'!$A$6:$A$89,0)+MATCH($D39,'[1]End - Use Prices'!$B$9:$B$11,0)-1,MATCH(AD$1,'[1]End - Use Prices'!$C$7:$AL$7,0))</f>
        <v>11.6</v>
      </c>
      <c r="AE39" s="41">
        <f>INDEX('[1]End - Use Prices'!$C$6:$AL$89,MATCH($C39,'[1]End - Use Prices'!$A$6:$A$89,0)+MATCH($D39,'[1]End - Use Prices'!$B$9:$B$11,0)-1,MATCH(AE$1,'[1]End - Use Prices'!$C$7:$AL$7,0))</f>
        <v>10.07</v>
      </c>
      <c r="AF39" s="41">
        <f>INDEX('[1]End - Use Prices'!$C$6:$AL$89,MATCH($C39,'[1]End - Use Prices'!$A$6:$A$89,0)+MATCH($D39,'[1]End - Use Prices'!$B$9:$B$11,0)-1,MATCH(AF$1,'[1]End - Use Prices'!$C$7:$AL$7,0))</f>
        <v>10.41</v>
      </c>
      <c r="AG39" s="41">
        <f>INDEX('[1]End - Use Prices'!$C$6:$AL$89,MATCH($C39,'[1]End - Use Prices'!$A$6:$A$89,0)+MATCH($D39,'[1]End - Use Prices'!$B$9:$B$11,0)-1,MATCH(AG$1,'[1]End - Use Prices'!$C$7:$AL$7,0))</f>
        <v>10.98</v>
      </c>
      <c r="AH39" s="41">
        <f>INDEX('[1]End - Use Prices'!$C$6:$AL$89,MATCH($C39,'[1]End - Use Prices'!$A$6:$A$89,0)+MATCH($D39,'[1]End - Use Prices'!$B$9:$B$11,0)-1,MATCH(AH$1,'[1]End - Use Prices'!$C$7:$AL$7,0))</f>
        <v>11.47</v>
      </c>
      <c r="AI39" s="41">
        <f>INDEX('[1]End - Use Prices'!$C$6:$AL$89,MATCH($C39,'[1]End - Use Prices'!$A$6:$A$89,0)+MATCH($D39,'[1]End - Use Prices'!$B$9:$B$11,0)-1,MATCH(AI$1,'[1]End - Use Prices'!$C$7:$AL$7,0))</f>
        <v>9.65</v>
      </c>
      <c r="AJ39" s="41">
        <f>INDEX('[1]End - Use Prices'!$C$6:$AL$89,MATCH($C39,'[1]End - Use Prices'!$A$6:$A$89,0)+MATCH($D39,'[1]End - Use Prices'!$B$9:$B$11,0)-1,MATCH(AJ$1,'[1]End - Use Prices'!$C$7:$AL$7,0))</f>
        <v>9.7100000000000009</v>
      </c>
      <c r="AK39" s="41">
        <f>INDEX('[1]End - Use Prices'!$C$6:$AL$89,MATCH($C39,'[1]End - Use Prices'!$A$6:$A$89,0)+MATCH($D39,'[1]End - Use Prices'!$B$9:$B$11,0)-1,MATCH(AK$1,'[1]End - Use Prices'!$C$7:$AL$7,0))</f>
        <v>9.6300000000000008</v>
      </c>
      <c r="AL39" s="41">
        <f>INDEX('[1]End - Use Prices'!$C$6:$AL$89,MATCH($C39,'[1]End - Use Prices'!$A$6:$A$89,0)+MATCH($D39,'[1]End - Use Prices'!$B$9:$B$11,0)-1,MATCH(AL$1,'[1]End - Use Prices'!$C$7:$AL$7,0))</f>
        <v>9.6199999999999992</v>
      </c>
      <c r="AM39" s="41">
        <f>INDEX('[1]End - Use Prices'!$C$6:$AL$89,MATCH($C39,'[1]End - Use Prices'!$A$6:$A$89,0)+MATCH($D39,'[1]End - Use Prices'!$B$9:$B$11,0)-1,MATCH(AM$1,'[1]End - Use Prices'!$C$7:$AL$7,0))</f>
        <v>10.53</v>
      </c>
      <c r="AN39" s="41">
        <f>INDEX('[1]End - Use Prices'!$C$6:$AL$89,MATCH($C39,'[1]End - Use Prices'!$A$6:$A$89,0)+MATCH($D39,'[1]End - Use Prices'!$B$9:$B$11,0)-1,MATCH(AN$1,'[1]End - Use Prices'!$C$7:$AL$7,0))</f>
        <v>10.96</v>
      </c>
      <c r="AO39" s="41">
        <f>INDEX('[1]End - Use Prices'!$C$6:$AL$89,MATCH($C39,'[1]End - Use Prices'!$A$6:$A$89,0)+MATCH($D39,'[1]End - Use Prices'!$B$9:$B$11,0)-1,MATCH(AO$1,'[1]End - Use Prices'!$C$7:$AL$7,0))</f>
        <v>11.37</v>
      </c>
      <c r="AP39" s="41">
        <f>INDEX('[1]End - Use Prices'!$C$6:$AL$89,MATCH($C39,'[1]End - Use Prices'!$A$6:$A$89,0)+MATCH($D39,'[1]End - Use Prices'!$B$9:$B$11,0)-1,MATCH(AP$1,'[1]End - Use Prices'!$C$7:$AL$7,0))</f>
        <v>11.74</v>
      </c>
      <c r="AQ39" s="41">
        <f>INDEX('[1]End - Use Prices'!$C$6:$AL$89,MATCH($C39,'[1]End - Use Prices'!$A$6:$A$89,0)+MATCH($D39,'[1]End - Use Prices'!$B$9:$B$11,0)-1,MATCH(AQ$1,'[1]End - Use Prices'!$C$7:$AL$7,0))</f>
        <v>11.76</v>
      </c>
      <c r="AR39" s="41">
        <f>INDEX('[1]End - Use Prices'!$C$6:$AL$89,MATCH($C39,'[1]End - Use Prices'!$A$6:$A$89,0)+MATCH($D39,'[1]End - Use Prices'!$B$9:$B$11,0)-1,MATCH(AR$1,'[1]End - Use Prices'!$C$7:$AL$7,0))</f>
        <v>11.81</v>
      </c>
      <c r="AS39" s="41">
        <f>INDEX('[1]End - Use Prices'!$C$6:$AL$89,MATCH($C39,'[1]End - Use Prices'!$A$6:$A$89,0)+MATCH($D39,'[1]End - Use Prices'!$B$9:$B$11,0)-1,MATCH(AS$1,'[1]End - Use Prices'!$C$7:$AL$7,0))</f>
        <v>11.93</v>
      </c>
      <c r="AT39" s="41">
        <f>INDEX('[1]End - Use Prices'!$C$6:$AL$89,MATCH($C39,'[1]End - Use Prices'!$A$6:$A$89,0)+MATCH($D39,'[1]End - Use Prices'!$B$9:$B$11,0)-1,MATCH(AT$1,'[1]End - Use Prices'!$C$7:$AL$7,0))</f>
        <v>12.04</v>
      </c>
      <c r="AU39" s="41">
        <f>INDEX('[1]End - Use Prices'!$C$6:$AL$89,MATCH($C39,'[1]End - Use Prices'!$A$6:$A$89,0)+MATCH($D39,'[1]End - Use Prices'!$B$9:$B$11,0)-1,MATCH(AU$1,'[1]End - Use Prices'!$C$7:$AL$7,0))</f>
        <v>12.16</v>
      </c>
      <c r="AV39" s="41">
        <f>INDEX('[1]End - Use Prices'!$C$6:$AL$89,MATCH($C39,'[1]End - Use Prices'!$A$6:$A$89,0)+MATCH($D39,'[1]End - Use Prices'!$B$9:$B$11,0)-1,MATCH(AV$1,'[1]End - Use Prices'!$C$7:$AL$7,0))</f>
        <v>12.3</v>
      </c>
      <c r="AW39" s="41">
        <f>INDEX('[1]End - Use Prices'!$C$6:$AL$89,MATCH($C39,'[1]End - Use Prices'!$A$6:$A$89,0)+MATCH($D39,'[1]End - Use Prices'!$B$9:$B$11,0)-1,MATCH(AW$1,'[1]End - Use Prices'!$C$7:$AL$7,0))</f>
        <v>12.43</v>
      </c>
      <c r="AX39" s="41">
        <f>INDEX('[1]End - Use Prices'!$C$6:$AL$89,MATCH($C39,'[1]End - Use Prices'!$A$6:$A$89,0)+MATCH($D39,'[1]End - Use Prices'!$B$9:$B$11,0)-1,MATCH(AX$1,'[1]End - Use Prices'!$C$7:$AL$7,0))</f>
        <v>12.56</v>
      </c>
      <c r="AY39" s="41">
        <f>INDEX('[1]End - Use Prices'!$C$6:$AL$89,MATCH($C39,'[1]End - Use Prices'!$A$6:$A$89,0)+MATCH($D39,'[1]End - Use Prices'!$B$9:$B$11,0)-1,MATCH(AY$1,'[1]End - Use Prices'!$C$7:$AL$7,0))</f>
        <v>12.7</v>
      </c>
      <c r="AZ39" s="41">
        <f>INDEX('[1]End - Use Prices'!$C$6:$AL$89,MATCH($C39,'[1]End - Use Prices'!$A$6:$A$89,0)+MATCH($D39,'[1]End - Use Prices'!$B$9:$B$11,0)-1,MATCH(AZ$1,'[1]End - Use Prices'!$C$7:$AL$7,0))</f>
        <v>12.86</v>
      </c>
      <c r="BA39" s="41">
        <f>INDEX('[1]End - Use Prices'!$C$6:$AL$89,MATCH($C39,'[1]End - Use Prices'!$A$6:$A$89,0)+MATCH($D39,'[1]End - Use Prices'!$B$9:$B$11,0)-1,MATCH(BA$1,'[1]End - Use Prices'!$C$7:$AL$7,0))</f>
        <v>12.95</v>
      </c>
      <c r="BB39" s="41">
        <f>INDEX('[1]End - Use Prices'!$C$6:$AL$89,MATCH($C39,'[1]End - Use Prices'!$A$6:$A$89,0)+MATCH($D39,'[1]End - Use Prices'!$B$9:$B$11,0)-1,MATCH(BB$1,'[1]End - Use Prices'!$C$7:$AL$7,0))</f>
        <v>13.03</v>
      </c>
      <c r="BC39" s="41">
        <f>INDEX('[1]End - Use Prices'!$C$6:$AL$89,MATCH($C39,'[1]End - Use Prices'!$A$6:$A$89,0)+MATCH($D39,'[1]End - Use Prices'!$B$9:$B$11,0)-1,MATCH(BC$1,'[1]End - Use Prices'!$C$7:$AL$7,0))</f>
        <v>13.11</v>
      </c>
      <c r="BD39" s="41">
        <f>INDEX('[1]End - Use Prices'!$C$6:$AL$89,MATCH($C39,'[1]End - Use Prices'!$A$6:$A$89,0)+MATCH($D39,'[1]End - Use Prices'!$B$9:$B$11,0)-1,MATCH(BD$1,'[1]End - Use Prices'!$C$7:$AL$7,0))</f>
        <v>13.17</v>
      </c>
      <c r="BE39" s="41">
        <f>INDEX('[1]End - Use Prices'!$C$6:$AL$89,MATCH($C39,'[1]End - Use Prices'!$A$6:$A$89,0)+MATCH($D39,'[1]End - Use Prices'!$B$9:$B$11,0)-1,MATCH(BE$1,'[1]End - Use Prices'!$C$7:$AL$7,0))</f>
        <v>13.22</v>
      </c>
      <c r="BF39" s="41">
        <f>INDEX('[1]End - Use Prices'!$C$6:$AL$89,MATCH($C39,'[1]End - Use Prices'!$A$6:$A$89,0)+MATCH($D39,'[1]End - Use Prices'!$B$9:$B$11,0)-1,MATCH(BF$1,'[1]End - Use Prices'!$C$7:$AL$7,0))</f>
        <v>13.27</v>
      </c>
      <c r="BG39" s="41">
        <f>INDEX('[1]End - Use Prices'!$C$6:$AL$89,MATCH($C39,'[1]End - Use Prices'!$A$6:$A$89,0)+MATCH($D39,'[1]End - Use Prices'!$B$9:$B$11,0)-1,MATCH(BG$1,'[1]End - Use Prices'!$C$7:$AL$7,0))</f>
        <v>13.31</v>
      </c>
      <c r="BR39" s="39"/>
      <c r="BS39" s="39"/>
      <c r="BT39" s="39"/>
      <c r="BU39" s="39"/>
      <c r="BV39" s="39"/>
      <c r="BW39" s="39"/>
      <c r="BX39" s="39"/>
      <c r="BY39" s="39"/>
      <c r="BZ39" s="39"/>
      <c r="CA39" s="39"/>
    </row>
    <row r="40" spans="1:79" x14ac:dyDescent="0.25">
      <c r="A40" s="5"/>
      <c r="B40" s="3"/>
      <c r="C40" s="25" t="s">
        <v>92</v>
      </c>
      <c r="D40" s="25" t="s">
        <v>14</v>
      </c>
      <c r="E40" s="25" t="s">
        <v>282</v>
      </c>
      <c r="F40" s="67" t="s">
        <v>279</v>
      </c>
      <c r="G40" s="53">
        <f t="shared" si="4"/>
        <v>14.11</v>
      </c>
      <c r="H40" s="34">
        <f t="shared" si="7"/>
        <v>14.11</v>
      </c>
      <c r="I40" s="34">
        <f t="shared" si="7"/>
        <v>12.28</v>
      </c>
      <c r="J40" s="34">
        <f t="shared" si="7"/>
        <v>11.81</v>
      </c>
      <c r="K40" s="34">
        <f t="shared" si="7"/>
        <v>8.3000000000000007</v>
      </c>
      <c r="L40" s="34">
        <f t="shared" si="7"/>
        <v>9.42</v>
      </c>
      <c r="M40" s="34">
        <f t="shared" si="7"/>
        <v>9.6199999999999992</v>
      </c>
      <c r="N40" s="34">
        <f t="shared" si="7"/>
        <v>9.9</v>
      </c>
      <c r="O40" s="34">
        <f t="shared" si="7"/>
        <v>9.9499999999999993</v>
      </c>
      <c r="P40" s="53">
        <f t="shared" si="8"/>
        <v>9.9499999999999993</v>
      </c>
      <c r="Q40" s="53">
        <f t="shared" si="8"/>
        <v>9.9499999999999993</v>
      </c>
      <c r="R40" s="38"/>
      <c r="X40" s="41">
        <f>INDEX('[1]End - Use Prices'!$C$6:$AL$89,MATCH($C40,'[1]End - Use Prices'!$A$6:$A$89,0)+MATCH($D40,'[1]End - Use Prices'!$B$9:$B$11,0)-1,MATCH(X$1,'[1]End - Use Prices'!$C$7:$AL$7,0))</f>
        <v>14.11</v>
      </c>
      <c r="Y40" s="41">
        <f>INDEX('[1]End - Use Prices'!$C$6:$AL$89,MATCH($C40,'[1]End - Use Prices'!$A$6:$A$89,0)+MATCH($D40,'[1]End - Use Prices'!$B$9:$B$11,0)-1,MATCH(Y$1,'[1]End - Use Prices'!$C$7:$AL$7,0))</f>
        <v>13.96</v>
      </c>
      <c r="Z40" s="41">
        <f>INDEX('[1]End - Use Prices'!$C$6:$AL$89,MATCH($C40,'[1]End - Use Prices'!$A$6:$A$89,0)+MATCH($D40,'[1]End - Use Prices'!$B$9:$B$11,0)-1,MATCH(Z$1,'[1]End - Use Prices'!$C$7:$AL$7,0))</f>
        <v>13.58</v>
      </c>
      <c r="AA40" s="41">
        <f>INDEX('[1]End - Use Prices'!$C$6:$AL$89,MATCH($C40,'[1]End - Use Prices'!$A$6:$A$89,0)+MATCH($D40,'[1]End - Use Prices'!$B$9:$B$11,0)-1,MATCH(AA$1,'[1]End - Use Prices'!$C$7:$AL$7,0))</f>
        <v>12.3</v>
      </c>
      <c r="AB40" s="41">
        <f>INDEX('[1]End - Use Prices'!$C$6:$AL$89,MATCH($C40,'[1]End - Use Prices'!$A$6:$A$89,0)+MATCH($D40,'[1]End - Use Prices'!$B$9:$B$11,0)-1,MATCH(AB$1,'[1]End - Use Prices'!$C$7:$AL$7,0))</f>
        <v>14.1</v>
      </c>
      <c r="AC40" s="41">
        <f>INDEX('[1]End - Use Prices'!$C$6:$AL$89,MATCH($C40,'[1]End - Use Prices'!$A$6:$A$89,0)+MATCH($D40,'[1]End - Use Prices'!$B$9:$B$11,0)-1,MATCH(AC$1,'[1]End - Use Prices'!$C$7:$AL$7,0))</f>
        <v>12.28</v>
      </c>
      <c r="AD40" s="41">
        <f>INDEX('[1]End - Use Prices'!$C$6:$AL$89,MATCH($C40,'[1]End - Use Prices'!$A$6:$A$89,0)+MATCH($D40,'[1]End - Use Prices'!$B$9:$B$11,0)-1,MATCH(AD$1,'[1]End - Use Prices'!$C$7:$AL$7,0))</f>
        <v>11.25</v>
      </c>
      <c r="AE40" s="41">
        <f>INDEX('[1]End - Use Prices'!$C$6:$AL$89,MATCH($C40,'[1]End - Use Prices'!$A$6:$A$89,0)+MATCH($D40,'[1]End - Use Prices'!$B$9:$B$11,0)-1,MATCH(AE$1,'[1]End - Use Prices'!$C$7:$AL$7,0))</f>
        <v>10.93</v>
      </c>
      <c r="AF40" s="41">
        <f>INDEX('[1]End - Use Prices'!$C$6:$AL$89,MATCH($C40,'[1]End - Use Prices'!$A$6:$A$89,0)+MATCH($D40,'[1]End - Use Prices'!$B$9:$B$11,0)-1,MATCH(AF$1,'[1]End - Use Prices'!$C$7:$AL$7,0))</f>
        <v>10.61</v>
      </c>
      <c r="AG40" s="41">
        <f>INDEX('[1]End - Use Prices'!$C$6:$AL$89,MATCH($C40,'[1]End - Use Prices'!$A$6:$A$89,0)+MATCH($D40,'[1]End - Use Prices'!$B$9:$B$11,0)-1,MATCH(AG$1,'[1]End - Use Prices'!$C$7:$AL$7,0))</f>
        <v>9.19</v>
      </c>
      <c r="AH40" s="41">
        <f>INDEX('[1]End - Use Prices'!$C$6:$AL$89,MATCH($C40,'[1]End - Use Prices'!$A$6:$A$89,0)+MATCH($D40,'[1]End - Use Prices'!$B$9:$B$11,0)-1,MATCH(AH$1,'[1]End - Use Prices'!$C$7:$AL$7,0))</f>
        <v>11.81</v>
      </c>
      <c r="AI40" s="41">
        <f>INDEX('[1]End - Use Prices'!$C$6:$AL$89,MATCH($C40,'[1]End - Use Prices'!$A$6:$A$89,0)+MATCH($D40,'[1]End - Use Prices'!$B$9:$B$11,0)-1,MATCH(AI$1,'[1]End - Use Prices'!$C$7:$AL$7,0))</f>
        <v>8.8000000000000007</v>
      </c>
      <c r="AJ40" s="41">
        <f>INDEX('[1]End - Use Prices'!$C$6:$AL$89,MATCH($C40,'[1]End - Use Prices'!$A$6:$A$89,0)+MATCH($D40,'[1]End - Use Prices'!$B$9:$B$11,0)-1,MATCH(AJ$1,'[1]End - Use Prices'!$C$7:$AL$7,0))</f>
        <v>7.48</v>
      </c>
      <c r="AK40" s="41">
        <f>INDEX('[1]End - Use Prices'!$C$6:$AL$89,MATCH($C40,'[1]End - Use Prices'!$A$6:$A$89,0)+MATCH($D40,'[1]End - Use Prices'!$B$9:$B$11,0)-1,MATCH(AK$1,'[1]End - Use Prices'!$C$7:$AL$7,0))</f>
        <v>7.4</v>
      </c>
      <c r="AL40" s="41">
        <f>INDEX('[1]End - Use Prices'!$C$6:$AL$89,MATCH($C40,'[1]End - Use Prices'!$A$6:$A$89,0)+MATCH($D40,'[1]End - Use Prices'!$B$9:$B$11,0)-1,MATCH(AL$1,'[1]End - Use Prices'!$C$7:$AL$7,0))</f>
        <v>7.39</v>
      </c>
      <c r="AM40" s="41">
        <f>INDEX('[1]End - Use Prices'!$C$6:$AL$89,MATCH($C40,'[1]End - Use Prices'!$A$6:$A$89,0)+MATCH($D40,'[1]End - Use Prices'!$B$9:$B$11,0)-1,MATCH(AM$1,'[1]End - Use Prices'!$C$7:$AL$7,0))</f>
        <v>8.3000000000000007</v>
      </c>
      <c r="AN40" s="41">
        <f>INDEX('[1]End - Use Prices'!$C$6:$AL$89,MATCH($C40,'[1]End - Use Prices'!$A$6:$A$89,0)+MATCH($D40,'[1]End - Use Prices'!$B$9:$B$11,0)-1,MATCH(AN$1,'[1]End - Use Prices'!$C$7:$AL$7,0))</f>
        <v>8.73</v>
      </c>
      <c r="AO40" s="41">
        <f>INDEX('[1]End - Use Prices'!$C$6:$AL$89,MATCH($C40,'[1]End - Use Prices'!$A$6:$A$89,0)+MATCH($D40,'[1]End - Use Prices'!$B$9:$B$11,0)-1,MATCH(AO$1,'[1]End - Use Prices'!$C$7:$AL$7,0))</f>
        <v>9.14</v>
      </c>
      <c r="AP40" s="41">
        <f>INDEX('[1]End - Use Prices'!$C$6:$AL$89,MATCH($C40,'[1]End - Use Prices'!$A$6:$A$89,0)+MATCH($D40,'[1]End - Use Prices'!$B$9:$B$11,0)-1,MATCH(AP$1,'[1]End - Use Prices'!$C$7:$AL$7,0))</f>
        <v>9.51</v>
      </c>
      <c r="AQ40" s="41">
        <f>INDEX('[1]End - Use Prices'!$C$6:$AL$89,MATCH($C40,'[1]End - Use Prices'!$A$6:$A$89,0)+MATCH($D40,'[1]End - Use Prices'!$B$9:$B$11,0)-1,MATCH(AQ$1,'[1]End - Use Prices'!$C$7:$AL$7,0))</f>
        <v>9.4499999999999993</v>
      </c>
      <c r="AR40" s="41">
        <f>INDEX('[1]End - Use Prices'!$C$6:$AL$89,MATCH($C40,'[1]End - Use Prices'!$A$6:$A$89,0)+MATCH($D40,'[1]End - Use Prices'!$B$9:$B$11,0)-1,MATCH(AR$1,'[1]End - Use Prices'!$C$7:$AL$7,0))</f>
        <v>9.42</v>
      </c>
      <c r="AS40" s="41">
        <f>INDEX('[1]End - Use Prices'!$C$6:$AL$89,MATCH($C40,'[1]End - Use Prices'!$A$6:$A$89,0)+MATCH($D40,'[1]End - Use Prices'!$B$9:$B$11,0)-1,MATCH(AS$1,'[1]End - Use Prices'!$C$7:$AL$7,0))</f>
        <v>9.4600000000000009</v>
      </c>
      <c r="AT40" s="41">
        <f>INDEX('[1]End - Use Prices'!$C$6:$AL$89,MATCH($C40,'[1]End - Use Prices'!$A$6:$A$89,0)+MATCH($D40,'[1]End - Use Prices'!$B$9:$B$11,0)-1,MATCH(AT$1,'[1]End - Use Prices'!$C$7:$AL$7,0))</f>
        <v>9.48</v>
      </c>
      <c r="AU40" s="41">
        <f>INDEX('[1]End - Use Prices'!$C$6:$AL$89,MATCH($C40,'[1]End - Use Prices'!$A$6:$A$89,0)+MATCH($D40,'[1]End - Use Prices'!$B$9:$B$11,0)-1,MATCH(AU$1,'[1]End - Use Prices'!$C$7:$AL$7,0))</f>
        <v>9.52</v>
      </c>
      <c r="AV40" s="41">
        <f>INDEX('[1]End - Use Prices'!$C$6:$AL$89,MATCH($C40,'[1]End - Use Prices'!$A$6:$A$89,0)+MATCH($D40,'[1]End - Use Prices'!$B$9:$B$11,0)-1,MATCH(AV$1,'[1]End - Use Prices'!$C$7:$AL$7,0))</f>
        <v>9.57</v>
      </c>
      <c r="AW40" s="41">
        <f>INDEX('[1]End - Use Prices'!$C$6:$AL$89,MATCH($C40,'[1]End - Use Prices'!$A$6:$A$89,0)+MATCH($D40,'[1]End - Use Prices'!$B$9:$B$11,0)-1,MATCH(AW$1,'[1]End - Use Prices'!$C$7:$AL$7,0))</f>
        <v>9.6199999999999992</v>
      </c>
      <c r="AX40" s="41">
        <f>INDEX('[1]End - Use Prices'!$C$6:$AL$89,MATCH($C40,'[1]End - Use Prices'!$A$6:$A$89,0)+MATCH($D40,'[1]End - Use Prices'!$B$9:$B$11,0)-1,MATCH(AX$1,'[1]End - Use Prices'!$C$7:$AL$7,0))</f>
        <v>9.68</v>
      </c>
      <c r="AY40" s="41">
        <f>INDEX('[1]End - Use Prices'!$C$6:$AL$89,MATCH($C40,'[1]End - Use Prices'!$A$6:$A$89,0)+MATCH($D40,'[1]End - Use Prices'!$B$9:$B$11,0)-1,MATCH(AY$1,'[1]End - Use Prices'!$C$7:$AL$7,0))</f>
        <v>9.75</v>
      </c>
      <c r="AZ40" s="41">
        <f>INDEX('[1]End - Use Prices'!$C$6:$AL$89,MATCH($C40,'[1]End - Use Prices'!$A$6:$A$89,0)+MATCH($D40,'[1]End - Use Prices'!$B$9:$B$11,0)-1,MATCH(AZ$1,'[1]End - Use Prices'!$C$7:$AL$7,0))</f>
        <v>9.83</v>
      </c>
      <c r="BA40" s="41">
        <f>INDEX('[1]End - Use Prices'!$C$6:$AL$89,MATCH($C40,'[1]End - Use Prices'!$A$6:$A$89,0)+MATCH($D40,'[1]End - Use Prices'!$B$9:$B$11,0)-1,MATCH(BA$1,'[1]End - Use Prices'!$C$7:$AL$7,0))</f>
        <v>9.8699999999999992</v>
      </c>
      <c r="BB40" s="41">
        <f>INDEX('[1]End - Use Prices'!$C$6:$AL$89,MATCH($C40,'[1]End - Use Prices'!$A$6:$A$89,0)+MATCH($D40,'[1]End - Use Prices'!$B$9:$B$11,0)-1,MATCH(BB$1,'[1]End - Use Prices'!$C$7:$AL$7,0))</f>
        <v>9.9</v>
      </c>
      <c r="BC40" s="41">
        <f>INDEX('[1]End - Use Prices'!$C$6:$AL$89,MATCH($C40,'[1]End - Use Prices'!$A$6:$A$89,0)+MATCH($D40,'[1]End - Use Prices'!$B$9:$B$11,0)-1,MATCH(BC$1,'[1]End - Use Prices'!$C$7:$AL$7,0))</f>
        <v>9.93</v>
      </c>
      <c r="BD40" s="41">
        <f>INDEX('[1]End - Use Prices'!$C$6:$AL$89,MATCH($C40,'[1]End - Use Prices'!$A$6:$A$89,0)+MATCH($D40,'[1]End - Use Prices'!$B$9:$B$11,0)-1,MATCH(BD$1,'[1]End - Use Prices'!$C$7:$AL$7,0))</f>
        <v>9.94</v>
      </c>
      <c r="BE40" s="41">
        <f>INDEX('[1]End - Use Prices'!$C$6:$AL$89,MATCH($C40,'[1]End - Use Prices'!$A$6:$A$89,0)+MATCH($D40,'[1]End - Use Prices'!$B$9:$B$11,0)-1,MATCH(BE$1,'[1]End - Use Prices'!$C$7:$AL$7,0))</f>
        <v>9.94</v>
      </c>
      <c r="BF40" s="41">
        <f>INDEX('[1]End - Use Prices'!$C$6:$AL$89,MATCH($C40,'[1]End - Use Prices'!$A$6:$A$89,0)+MATCH($D40,'[1]End - Use Prices'!$B$9:$B$11,0)-1,MATCH(BF$1,'[1]End - Use Prices'!$C$7:$AL$7,0))</f>
        <v>9.9499999999999993</v>
      </c>
      <c r="BG40" s="41">
        <f>INDEX('[1]End - Use Prices'!$C$6:$AL$89,MATCH($C40,'[1]End - Use Prices'!$A$6:$A$89,0)+MATCH($D40,'[1]End - Use Prices'!$B$9:$B$11,0)-1,MATCH(BG$1,'[1]End - Use Prices'!$C$7:$AL$7,0))</f>
        <v>9.9499999999999993</v>
      </c>
      <c r="BR40" s="39"/>
      <c r="BS40" s="39"/>
      <c r="BT40" s="39"/>
      <c r="BU40" s="39"/>
      <c r="BV40" s="39"/>
      <c r="BW40" s="39"/>
      <c r="BX40" s="39"/>
      <c r="BY40" s="39"/>
      <c r="BZ40" s="39"/>
      <c r="CA40" s="39"/>
    </row>
    <row r="41" spans="1:79" x14ac:dyDescent="0.25">
      <c r="A41" s="5"/>
      <c r="B41" s="3"/>
      <c r="C41" s="25" t="s">
        <v>5</v>
      </c>
      <c r="D41" s="25" t="s">
        <v>14</v>
      </c>
      <c r="E41" s="25" t="s">
        <v>282</v>
      </c>
      <c r="F41" s="67" t="s">
        <v>279</v>
      </c>
      <c r="G41" s="53">
        <f t="shared" si="4"/>
        <v>12.98</v>
      </c>
      <c r="H41" s="34">
        <f t="shared" si="7"/>
        <v>12.98</v>
      </c>
      <c r="I41" s="34">
        <f t="shared" si="7"/>
        <v>7.97</v>
      </c>
      <c r="J41" s="34">
        <f t="shared" si="7"/>
        <v>3.36</v>
      </c>
      <c r="K41" s="34">
        <f t="shared" si="7"/>
        <v>6.42</v>
      </c>
      <c r="L41" s="34">
        <f t="shared" si="7"/>
        <v>7.15</v>
      </c>
      <c r="M41" s="34">
        <f t="shared" si="7"/>
        <v>7.33</v>
      </c>
      <c r="N41" s="34">
        <f t="shared" si="7"/>
        <v>7.6</v>
      </c>
      <c r="O41" s="34">
        <f t="shared" si="7"/>
        <v>7.63</v>
      </c>
      <c r="P41" s="53">
        <f t="shared" si="8"/>
        <v>7.63</v>
      </c>
      <c r="Q41" s="53">
        <f t="shared" si="8"/>
        <v>7.63</v>
      </c>
      <c r="R41" s="38"/>
      <c r="X41" s="41">
        <f>INDEX('[1]End - Use Prices'!$C$6:$AL$89,MATCH($C41,'[1]End - Use Prices'!$A$6:$A$89,0)+MATCH($D41,'[1]End - Use Prices'!$B$9:$B$11,0)-1,MATCH(X$1,'[1]End - Use Prices'!$C$7:$AL$7,0))</f>
        <v>12.98</v>
      </c>
      <c r="Y41" s="41">
        <f>INDEX('[1]End - Use Prices'!$C$6:$AL$89,MATCH($C41,'[1]End - Use Prices'!$A$6:$A$89,0)+MATCH($D41,'[1]End - Use Prices'!$B$9:$B$11,0)-1,MATCH(Y$1,'[1]End - Use Prices'!$C$7:$AL$7,0))</f>
        <v>11.76</v>
      </c>
      <c r="Z41" s="41">
        <f>INDEX('[1]End - Use Prices'!$C$6:$AL$89,MATCH($C41,'[1]End - Use Prices'!$A$6:$A$89,0)+MATCH($D41,'[1]End - Use Prices'!$B$9:$B$11,0)-1,MATCH(Z$1,'[1]End - Use Prices'!$C$7:$AL$7,0))</f>
        <v>10.95</v>
      </c>
      <c r="AA41" s="41">
        <f>INDEX('[1]End - Use Prices'!$C$6:$AL$89,MATCH($C41,'[1]End - Use Prices'!$A$6:$A$89,0)+MATCH($D41,'[1]End - Use Prices'!$B$9:$B$11,0)-1,MATCH(AA$1,'[1]End - Use Prices'!$C$7:$AL$7,0))</f>
        <v>11.03</v>
      </c>
      <c r="AB41" s="41">
        <f>INDEX('[1]End - Use Prices'!$C$6:$AL$89,MATCH($C41,'[1]End - Use Prices'!$A$6:$A$89,0)+MATCH($D41,'[1]End - Use Prices'!$B$9:$B$11,0)-1,MATCH(AB$1,'[1]End - Use Prices'!$C$7:$AL$7,0))</f>
        <v>7.77</v>
      </c>
      <c r="AC41" s="41">
        <f>INDEX('[1]End - Use Prices'!$C$6:$AL$89,MATCH($C41,'[1]End - Use Prices'!$A$6:$A$89,0)+MATCH($D41,'[1]End - Use Prices'!$B$9:$B$11,0)-1,MATCH(AC$1,'[1]End - Use Prices'!$C$7:$AL$7,0))</f>
        <v>7.97</v>
      </c>
      <c r="AD41" s="41">
        <f>INDEX('[1]End - Use Prices'!$C$6:$AL$89,MATCH($C41,'[1]End - Use Prices'!$A$6:$A$89,0)+MATCH($D41,'[1]End - Use Prices'!$B$9:$B$11,0)-1,MATCH(AD$1,'[1]End - Use Prices'!$C$7:$AL$7,0))</f>
        <v>8.15</v>
      </c>
      <c r="AE41" s="41">
        <f>INDEX('[1]End - Use Prices'!$C$6:$AL$89,MATCH($C41,'[1]End - Use Prices'!$A$6:$A$89,0)+MATCH($D41,'[1]End - Use Prices'!$B$9:$B$11,0)-1,MATCH(AE$1,'[1]End - Use Prices'!$C$7:$AL$7,0))</f>
        <v>6.63</v>
      </c>
      <c r="AF41" s="41">
        <f>INDEX('[1]End - Use Prices'!$C$6:$AL$89,MATCH($C41,'[1]End - Use Prices'!$A$6:$A$89,0)+MATCH($D41,'[1]End - Use Prices'!$B$9:$B$11,0)-1,MATCH(AF$1,'[1]End - Use Prices'!$C$7:$AL$7,0))</f>
        <v>6.93</v>
      </c>
      <c r="AG41" s="41">
        <f>INDEX('[1]End - Use Prices'!$C$6:$AL$89,MATCH($C41,'[1]End - Use Prices'!$A$6:$A$89,0)+MATCH($D41,'[1]End - Use Prices'!$B$9:$B$11,0)-1,MATCH(AG$1,'[1]End - Use Prices'!$C$7:$AL$7,0))</f>
        <v>8.5399999999999991</v>
      </c>
      <c r="AH41" s="41">
        <f>INDEX('[1]End - Use Prices'!$C$6:$AL$89,MATCH($C41,'[1]End - Use Prices'!$A$6:$A$89,0)+MATCH($D41,'[1]End - Use Prices'!$B$9:$B$11,0)-1,MATCH(AH$1,'[1]End - Use Prices'!$C$7:$AL$7,0))</f>
        <v>3.36</v>
      </c>
      <c r="AI41" s="41">
        <f>INDEX('[1]End - Use Prices'!$C$6:$AL$89,MATCH($C41,'[1]End - Use Prices'!$A$6:$A$89,0)+MATCH($D41,'[1]End - Use Prices'!$B$9:$B$11,0)-1,MATCH(AI$1,'[1]End - Use Prices'!$C$7:$AL$7,0))</f>
        <v>5.3</v>
      </c>
      <c r="AJ41" s="41">
        <f>INDEX('[1]End - Use Prices'!$C$6:$AL$89,MATCH($C41,'[1]End - Use Prices'!$A$6:$A$89,0)+MATCH($D41,'[1]End - Use Prices'!$B$9:$B$11,0)-1,MATCH(AJ$1,'[1]End - Use Prices'!$C$7:$AL$7,0))</f>
        <v>4.5599999999999996</v>
      </c>
      <c r="AK41" s="41">
        <f>INDEX('[1]End - Use Prices'!$C$6:$AL$89,MATCH($C41,'[1]End - Use Prices'!$A$6:$A$89,0)+MATCH($D41,'[1]End - Use Prices'!$B$9:$B$11,0)-1,MATCH(AK$1,'[1]End - Use Prices'!$C$7:$AL$7,0))</f>
        <v>5.99</v>
      </c>
      <c r="AL41" s="41">
        <f>INDEX('[1]End - Use Prices'!$C$6:$AL$89,MATCH($C41,'[1]End - Use Prices'!$A$6:$A$89,0)+MATCH($D41,'[1]End - Use Prices'!$B$9:$B$11,0)-1,MATCH(AL$1,'[1]End - Use Prices'!$C$7:$AL$7,0))</f>
        <v>6.47</v>
      </c>
      <c r="AM41" s="41">
        <f>INDEX('[1]End - Use Prices'!$C$6:$AL$89,MATCH($C41,'[1]End - Use Prices'!$A$6:$A$89,0)+MATCH($D41,'[1]End - Use Prices'!$B$9:$B$11,0)-1,MATCH(AM$1,'[1]End - Use Prices'!$C$7:$AL$7,0))</f>
        <v>6.42</v>
      </c>
      <c r="AN41" s="41">
        <f>INDEX('[1]End - Use Prices'!$C$6:$AL$89,MATCH($C41,'[1]End - Use Prices'!$A$6:$A$89,0)+MATCH($D41,'[1]End - Use Prices'!$B$9:$B$11,0)-1,MATCH(AN$1,'[1]End - Use Prices'!$C$7:$AL$7,0))</f>
        <v>6.38</v>
      </c>
      <c r="AO41" s="41">
        <f>INDEX('[1]End - Use Prices'!$C$6:$AL$89,MATCH($C41,'[1]End - Use Prices'!$A$6:$A$89,0)+MATCH($D41,'[1]End - Use Prices'!$B$9:$B$11,0)-1,MATCH(AO$1,'[1]End - Use Prices'!$C$7:$AL$7,0))</f>
        <v>6.84</v>
      </c>
      <c r="AP41" s="41">
        <f>INDEX('[1]End - Use Prices'!$C$6:$AL$89,MATCH($C41,'[1]End - Use Prices'!$A$6:$A$89,0)+MATCH($D41,'[1]End - Use Prices'!$B$9:$B$11,0)-1,MATCH(AP$1,'[1]End - Use Prices'!$C$7:$AL$7,0))</f>
        <v>7.25</v>
      </c>
      <c r="AQ41" s="41">
        <f>INDEX('[1]End - Use Prices'!$C$6:$AL$89,MATCH($C41,'[1]End - Use Prices'!$A$6:$A$89,0)+MATCH($D41,'[1]End - Use Prices'!$B$9:$B$11,0)-1,MATCH(AQ$1,'[1]End - Use Prices'!$C$7:$AL$7,0))</f>
        <v>7.19</v>
      </c>
      <c r="AR41" s="41">
        <f>INDEX('[1]End - Use Prices'!$C$6:$AL$89,MATCH($C41,'[1]End - Use Prices'!$A$6:$A$89,0)+MATCH($D41,'[1]End - Use Prices'!$B$9:$B$11,0)-1,MATCH(AR$1,'[1]End - Use Prices'!$C$7:$AL$7,0))</f>
        <v>7.15</v>
      </c>
      <c r="AS41" s="41">
        <f>INDEX('[1]End - Use Prices'!$C$6:$AL$89,MATCH($C41,'[1]End - Use Prices'!$A$6:$A$89,0)+MATCH($D41,'[1]End - Use Prices'!$B$9:$B$11,0)-1,MATCH(AS$1,'[1]End - Use Prices'!$C$7:$AL$7,0))</f>
        <v>7.18</v>
      </c>
      <c r="AT41" s="41">
        <f>INDEX('[1]End - Use Prices'!$C$6:$AL$89,MATCH($C41,'[1]End - Use Prices'!$A$6:$A$89,0)+MATCH($D41,'[1]End - Use Prices'!$B$9:$B$11,0)-1,MATCH(AT$1,'[1]End - Use Prices'!$C$7:$AL$7,0))</f>
        <v>7.2</v>
      </c>
      <c r="AU41" s="41">
        <f>INDEX('[1]End - Use Prices'!$C$6:$AL$89,MATCH($C41,'[1]End - Use Prices'!$A$6:$A$89,0)+MATCH($D41,'[1]End - Use Prices'!$B$9:$B$11,0)-1,MATCH(AU$1,'[1]End - Use Prices'!$C$7:$AL$7,0))</f>
        <v>7.23</v>
      </c>
      <c r="AV41" s="41">
        <f>INDEX('[1]End - Use Prices'!$C$6:$AL$89,MATCH($C41,'[1]End - Use Prices'!$A$6:$A$89,0)+MATCH($D41,'[1]End - Use Prices'!$B$9:$B$11,0)-1,MATCH(AV$1,'[1]End - Use Prices'!$C$7:$AL$7,0))</f>
        <v>7.28</v>
      </c>
      <c r="AW41" s="41">
        <f>INDEX('[1]End - Use Prices'!$C$6:$AL$89,MATCH($C41,'[1]End - Use Prices'!$A$6:$A$89,0)+MATCH($D41,'[1]End - Use Prices'!$B$9:$B$11,0)-1,MATCH(AW$1,'[1]End - Use Prices'!$C$7:$AL$7,0))</f>
        <v>7.33</v>
      </c>
      <c r="AX41" s="41">
        <f>INDEX('[1]End - Use Prices'!$C$6:$AL$89,MATCH($C41,'[1]End - Use Prices'!$A$6:$A$89,0)+MATCH($D41,'[1]End - Use Prices'!$B$9:$B$11,0)-1,MATCH(AX$1,'[1]End - Use Prices'!$C$7:$AL$7,0))</f>
        <v>7.38</v>
      </c>
      <c r="AY41" s="41">
        <f>INDEX('[1]End - Use Prices'!$C$6:$AL$89,MATCH($C41,'[1]End - Use Prices'!$A$6:$A$89,0)+MATCH($D41,'[1]End - Use Prices'!$B$9:$B$11,0)-1,MATCH(AY$1,'[1]End - Use Prices'!$C$7:$AL$7,0))</f>
        <v>7.45</v>
      </c>
      <c r="AZ41" s="41">
        <f>INDEX('[1]End - Use Prices'!$C$6:$AL$89,MATCH($C41,'[1]End - Use Prices'!$A$6:$A$89,0)+MATCH($D41,'[1]End - Use Prices'!$B$9:$B$11,0)-1,MATCH(AZ$1,'[1]End - Use Prices'!$C$7:$AL$7,0))</f>
        <v>7.53</v>
      </c>
      <c r="BA41" s="41">
        <f>INDEX('[1]End - Use Prices'!$C$6:$AL$89,MATCH($C41,'[1]End - Use Prices'!$A$6:$A$89,0)+MATCH($D41,'[1]End - Use Prices'!$B$9:$B$11,0)-1,MATCH(BA$1,'[1]End - Use Prices'!$C$7:$AL$7,0))</f>
        <v>7.57</v>
      </c>
      <c r="BB41" s="41">
        <f>INDEX('[1]End - Use Prices'!$C$6:$AL$89,MATCH($C41,'[1]End - Use Prices'!$A$6:$A$89,0)+MATCH($D41,'[1]End - Use Prices'!$B$9:$B$11,0)-1,MATCH(BB$1,'[1]End - Use Prices'!$C$7:$AL$7,0))</f>
        <v>7.6</v>
      </c>
      <c r="BC41" s="41">
        <f>INDEX('[1]End - Use Prices'!$C$6:$AL$89,MATCH($C41,'[1]End - Use Prices'!$A$6:$A$89,0)+MATCH($D41,'[1]End - Use Prices'!$B$9:$B$11,0)-1,MATCH(BC$1,'[1]End - Use Prices'!$C$7:$AL$7,0))</f>
        <v>7.62</v>
      </c>
      <c r="BD41" s="41">
        <f>INDEX('[1]End - Use Prices'!$C$6:$AL$89,MATCH($C41,'[1]End - Use Prices'!$A$6:$A$89,0)+MATCH($D41,'[1]End - Use Prices'!$B$9:$B$11,0)-1,MATCH(BD$1,'[1]End - Use Prices'!$C$7:$AL$7,0))</f>
        <v>7.63</v>
      </c>
      <c r="BE41" s="41">
        <f>INDEX('[1]End - Use Prices'!$C$6:$AL$89,MATCH($C41,'[1]End - Use Prices'!$A$6:$A$89,0)+MATCH($D41,'[1]End - Use Prices'!$B$9:$B$11,0)-1,MATCH(BE$1,'[1]End - Use Prices'!$C$7:$AL$7,0))</f>
        <v>7.63</v>
      </c>
      <c r="BF41" s="41">
        <f>INDEX('[1]End - Use Prices'!$C$6:$AL$89,MATCH($C41,'[1]End - Use Prices'!$A$6:$A$89,0)+MATCH($D41,'[1]End - Use Prices'!$B$9:$B$11,0)-1,MATCH(BF$1,'[1]End - Use Prices'!$C$7:$AL$7,0))</f>
        <v>7.63</v>
      </c>
      <c r="BG41" s="41">
        <f>INDEX('[1]End - Use Prices'!$C$6:$AL$89,MATCH($C41,'[1]End - Use Prices'!$A$6:$A$89,0)+MATCH($D41,'[1]End - Use Prices'!$B$9:$B$11,0)-1,MATCH(BG$1,'[1]End - Use Prices'!$C$7:$AL$7,0))</f>
        <v>7.63</v>
      </c>
      <c r="BR41" s="39"/>
      <c r="BS41" s="39"/>
      <c r="BT41" s="39"/>
      <c r="BU41" s="39"/>
      <c r="BV41" s="39"/>
      <c r="BW41" s="39"/>
      <c r="BX41" s="39"/>
      <c r="BY41" s="39"/>
      <c r="BZ41" s="39"/>
      <c r="CA41" s="39"/>
    </row>
    <row r="42" spans="1:79" x14ac:dyDescent="0.25">
      <c r="A42" s="5"/>
      <c r="B42" s="3"/>
      <c r="C42" s="25" t="s">
        <v>61</v>
      </c>
      <c r="D42" s="25" t="s">
        <v>14</v>
      </c>
      <c r="E42" s="25" t="s">
        <v>282</v>
      </c>
      <c r="F42" s="67" t="s">
        <v>279</v>
      </c>
      <c r="G42" s="53">
        <f t="shared" si="4"/>
        <v>15.71</v>
      </c>
      <c r="H42" s="34">
        <f t="shared" si="7"/>
        <v>15.71</v>
      </c>
      <c r="I42" s="34">
        <f t="shared" si="7"/>
        <v>17.63</v>
      </c>
      <c r="J42" s="34">
        <f t="shared" si="7"/>
        <v>15.79</v>
      </c>
      <c r="K42" s="34">
        <f t="shared" si="7"/>
        <v>13.09</v>
      </c>
      <c r="L42" s="34">
        <f t="shared" si="7"/>
        <v>13.24</v>
      </c>
      <c r="M42" s="34">
        <f t="shared" si="7"/>
        <v>13.33</v>
      </c>
      <c r="N42" s="34">
        <f t="shared" si="7"/>
        <v>13.56</v>
      </c>
      <c r="O42" s="34">
        <f t="shared" si="7"/>
        <v>13.49</v>
      </c>
      <c r="P42" s="53">
        <f t="shared" si="8"/>
        <v>13.49</v>
      </c>
      <c r="Q42" s="53">
        <f t="shared" si="8"/>
        <v>13.49</v>
      </c>
      <c r="R42" s="38"/>
      <c r="X42" s="41">
        <f>INDEX('[1]End - Use Prices'!$C$6:$AL$89,MATCH($C42,'[1]End - Use Prices'!$A$6:$A$89,0)+MATCH($D42,'[1]End - Use Prices'!$B$9:$B$11,0)-1,MATCH(X$1,'[1]End - Use Prices'!$C$7:$AL$7,0))</f>
        <v>15.71</v>
      </c>
      <c r="Y42" s="41">
        <f>INDEX('[1]End - Use Prices'!$C$6:$AL$89,MATCH($C42,'[1]End - Use Prices'!$A$6:$A$89,0)+MATCH($D42,'[1]End - Use Prices'!$B$9:$B$11,0)-1,MATCH(Y$1,'[1]End - Use Prices'!$C$7:$AL$7,0))</f>
        <v>16.100000000000001</v>
      </c>
      <c r="Z42" s="41">
        <f>INDEX('[1]End - Use Prices'!$C$6:$AL$89,MATCH($C42,'[1]End - Use Prices'!$A$6:$A$89,0)+MATCH($D42,'[1]End - Use Prices'!$B$9:$B$11,0)-1,MATCH(Z$1,'[1]End - Use Prices'!$C$7:$AL$7,0))</f>
        <v>15.95</v>
      </c>
      <c r="AA42" s="41">
        <f>INDEX('[1]End - Use Prices'!$C$6:$AL$89,MATCH($C42,'[1]End - Use Prices'!$A$6:$A$89,0)+MATCH($D42,'[1]End - Use Prices'!$B$9:$B$11,0)-1,MATCH(AA$1,'[1]End - Use Prices'!$C$7:$AL$7,0))</f>
        <v>15.79</v>
      </c>
      <c r="AB42" s="41">
        <f>INDEX('[1]End - Use Prices'!$C$6:$AL$89,MATCH($C42,'[1]End - Use Prices'!$A$6:$A$89,0)+MATCH($D42,'[1]End - Use Prices'!$B$9:$B$11,0)-1,MATCH(AB$1,'[1]End - Use Prices'!$C$7:$AL$7,0))</f>
        <v>16.8</v>
      </c>
      <c r="AC42" s="41">
        <f>INDEX('[1]End - Use Prices'!$C$6:$AL$89,MATCH($C42,'[1]End - Use Prices'!$A$6:$A$89,0)+MATCH($D42,'[1]End - Use Prices'!$B$9:$B$11,0)-1,MATCH(AC$1,'[1]End - Use Prices'!$C$7:$AL$7,0))</f>
        <v>17.63</v>
      </c>
      <c r="AD42" s="41">
        <f>INDEX('[1]End - Use Prices'!$C$6:$AL$89,MATCH($C42,'[1]End - Use Prices'!$A$6:$A$89,0)+MATCH($D42,'[1]End - Use Prices'!$B$9:$B$11,0)-1,MATCH(AD$1,'[1]End - Use Prices'!$C$7:$AL$7,0))</f>
        <v>17.100000000000001</v>
      </c>
      <c r="AE42" s="41">
        <f>INDEX('[1]End - Use Prices'!$C$6:$AL$89,MATCH($C42,'[1]End - Use Prices'!$A$6:$A$89,0)+MATCH($D42,'[1]End - Use Prices'!$B$9:$B$11,0)-1,MATCH(AE$1,'[1]End - Use Prices'!$C$7:$AL$7,0))</f>
        <v>16.28</v>
      </c>
      <c r="AF42" s="41">
        <f>INDEX('[1]End - Use Prices'!$C$6:$AL$89,MATCH($C42,'[1]End - Use Prices'!$A$6:$A$89,0)+MATCH($D42,'[1]End - Use Prices'!$B$9:$B$11,0)-1,MATCH(AF$1,'[1]End - Use Prices'!$C$7:$AL$7,0))</f>
        <v>15.65</v>
      </c>
      <c r="AG42" s="41">
        <f>INDEX('[1]End - Use Prices'!$C$6:$AL$89,MATCH($C42,'[1]End - Use Prices'!$A$6:$A$89,0)+MATCH($D42,'[1]End - Use Prices'!$B$9:$B$11,0)-1,MATCH(AG$1,'[1]End - Use Prices'!$C$7:$AL$7,0))</f>
        <v>16.579999999999998</v>
      </c>
      <c r="AH42" s="41">
        <f>INDEX('[1]End - Use Prices'!$C$6:$AL$89,MATCH($C42,'[1]End - Use Prices'!$A$6:$A$89,0)+MATCH($D42,'[1]End - Use Prices'!$B$9:$B$11,0)-1,MATCH(AH$1,'[1]End - Use Prices'!$C$7:$AL$7,0))</f>
        <v>15.79</v>
      </c>
      <c r="AI42" s="41">
        <f>INDEX('[1]End - Use Prices'!$C$6:$AL$89,MATCH($C42,'[1]End - Use Prices'!$A$6:$A$89,0)+MATCH($D42,'[1]End - Use Prices'!$B$9:$B$11,0)-1,MATCH(AI$1,'[1]End - Use Prices'!$C$7:$AL$7,0))</f>
        <v>12.09</v>
      </c>
      <c r="AJ42" s="41">
        <f>INDEX('[1]End - Use Prices'!$C$6:$AL$89,MATCH($C42,'[1]End - Use Prices'!$A$6:$A$89,0)+MATCH($D42,'[1]End - Use Prices'!$B$9:$B$11,0)-1,MATCH(AJ$1,'[1]End - Use Prices'!$C$7:$AL$7,0))</f>
        <v>12.97</v>
      </c>
      <c r="AK42" s="41">
        <f>INDEX('[1]End - Use Prices'!$C$6:$AL$89,MATCH($C42,'[1]End - Use Prices'!$A$6:$A$89,0)+MATCH($D42,'[1]End - Use Prices'!$B$9:$B$11,0)-1,MATCH(AK$1,'[1]End - Use Prices'!$C$7:$AL$7,0))</f>
        <v>12.73</v>
      </c>
      <c r="AL42" s="41">
        <f>INDEX('[1]End - Use Prices'!$C$6:$AL$89,MATCH($C42,'[1]End - Use Prices'!$A$6:$A$89,0)+MATCH($D42,'[1]End - Use Prices'!$B$9:$B$11,0)-1,MATCH(AL$1,'[1]End - Use Prices'!$C$7:$AL$7,0))</f>
        <v>12.86</v>
      </c>
      <c r="AM42" s="41">
        <f>INDEX('[1]End - Use Prices'!$C$6:$AL$89,MATCH($C42,'[1]End - Use Prices'!$A$6:$A$89,0)+MATCH($D42,'[1]End - Use Prices'!$B$9:$B$11,0)-1,MATCH(AM$1,'[1]End - Use Prices'!$C$7:$AL$7,0))</f>
        <v>13.09</v>
      </c>
      <c r="AN42" s="41">
        <f>INDEX('[1]End - Use Prices'!$C$6:$AL$89,MATCH($C42,'[1]End - Use Prices'!$A$6:$A$89,0)+MATCH($D42,'[1]End - Use Prices'!$B$9:$B$11,0)-1,MATCH(AN$1,'[1]End - Use Prices'!$C$7:$AL$7,0))</f>
        <v>13.29</v>
      </c>
      <c r="AO42" s="41">
        <f>INDEX('[1]End - Use Prices'!$C$6:$AL$89,MATCH($C42,'[1]End - Use Prices'!$A$6:$A$89,0)+MATCH($D42,'[1]End - Use Prices'!$B$9:$B$11,0)-1,MATCH(AO$1,'[1]End - Use Prices'!$C$7:$AL$7,0))</f>
        <v>13.49</v>
      </c>
      <c r="AP42" s="41">
        <f>INDEX('[1]End - Use Prices'!$C$6:$AL$89,MATCH($C42,'[1]End - Use Prices'!$A$6:$A$89,0)+MATCH($D42,'[1]End - Use Prices'!$B$9:$B$11,0)-1,MATCH(AP$1,'[1]End - Use Prices'!$C$7:$AL$7,0))</f>
        <v>13.43</v>
      </c>
      <c r="AQ42" s="41">
        <f>INDEX('[1]End - Use Prices'!$C$6:$AL$89,MATCH($C42,'[1]End - Use Prices'!$A$6:$A$89,0)+MATCH($D42,'[1]End - Use Prices'!$B$9:$B$11,0)-1,MATCH(AQ$1,'[1]End - Use Prices'!$C$7:$AL$7,0))</f>
        <v>13.32</v>
      </c>
      <c r="AR42" s="41">
        <f>INDEX('[1]End - Use Prices'!$C$6:$AL$89,MATCH($C42,'[1]End - Use Prices'!$A$6:$A$89,0)+MATCH($D42,'[1]End - Use Prices'!$B$9:$B$11,0)-1,MATCH(AR$1,'[1]End - Use Prices'!$C$7:$AL$7,0))</f>
        <v>13.24</v>
      </c>
      <c r="AS42" s="41">
        <f>INDEX('[1]End - Use Prices'!$C$6:$AL$89,MATCH($C42,'[1]End - Use Prices'!$A$6:$A$89,0)+MATCH($D42,'[1]End - Use Prices'!$B$9:$B$11,0)-1,MATCH(AS$1,'[1]End - Use Prices'!$C$7:$AL$7,0))</f>
        <v>13.25</v>
      </c>
      <c r="AT42" s="41">
        <f>INDEX('[1]End - Use Prices'!$C$6:$AL$89,MATCH($C42,'[1]End - Use Prices'!$A$6:$A$89,0)+MATCH($D42,'[1]End - Use Prices'!$B$9:$B$11,0)-1,MATCH(AT$1,'[1]End - Use Prices'!$C$7:$AL$7,0))</f>
        <v>13.24</v>
      </c>
      <c r="AU42" s="41">
        <f>INDEX('[1]End - Use Prices'!$C$6:$AL$89,MATCH($C42,'[1]End - Use Prices'!$A$6:$A$89,0)+MATCH($D42,'[1]End - Use Prices'!$B$9:$B$11,0)-1,MATCH(AU$1,'[1]End - Use Prices'!$C$7:$AL$7,0))</f>
        <v>13.26</v>
      </c>
      <c r="AV42" s="41">
        <f>INDEX('[1]End - Use Prices'!$C$6:$AL$89,MATCH($C42,'[1]End - Use Prices'!$A$6:$A$89,0)+MATCH($D42,'[1]End - Use Prices'!$B$9:$B$11,0)-1,MATCH(AV$1,'[1]End - Use Prices'!$C$7:$AL$7,0))</f>
        <v>13.3</v>
      </c>
      <c r="AW42" s="41">
        <f>INDEX('[1]End - Use Prices'!$C$6:$AL$89,MATCH($C42,'[1]End - Use Prices'!$A$6:$A$89,0)+MATCH($D42,'[1]End - Use Prices'!$B$9:$B$11,0)-1,MATCH(AW$1,'[1]End - Use Prices'!$C$7:$AL$7,0))</f>
        <v>13.33</v>
      </c>
      <c r="AX42" s="41">
        <f>INDEX('[1]End - Use Prices'!$C$6:$AL$89,MATCH($C42,'[1]End - Use Prices'!$A$6:$A$89,0)+MATCH($D42,'[1]End - Use Prices'!$B$9:$B$11,0)-1,MATCH(AX$1,'[1]End - Use Prices'!$C$7:$AL$7,0))</f>
        <v>13.38</v>
      </c>
      <c r="AY42" s="41">
        <f>INDEX('[1]End - Use Prices'!$C$6:$AL$89,MATCH($C42,'[1]End - Use Prices'!$A$6:$A$89,0)+MATCH($D42,'[1]End - Use Prices'!$B$9:$B$11,0)-1,MATCH(AY$1,'[1]End - Use Prices'!$C$7:$AL$7,0))</f>
        <v>13.44</v>
      </c>
      <c r="AZ42" s="41">
        <f>INDEX('[1]End - Use Prices'!$C$6:$AL$89,MATCH($C42,'[1]End - Use Prices'!$A$6:$A$89,0)+MATCH($D42,'[1]End - Use Prices'!$B$9:$B$11,0)-1,MATCH(AZ$1,'[1]End - Use Prices'!$C$7:$AL$7,0))</f>
        <v>13.51</v>
      </c>
      <c r="BA42" s="41">
        <f>INDEX('[1]End - Use Prices'!$C$6:$AL$89,MATCH($C42,'[1]End - Use Prices'!$A$6:$A$89,0)+MATCH($D42,'[1]End - Use Prices'!$B$9:$B$11,0)-1,MATCH(BA$1,'[1]End - Use Prices'!$C$7:$AL$7,0))</f>
        <v>13.54</v>
      </c>
      <c r="BB42" s="41">
        <f>INDEX('[1]End - Use Prices'!$C$6:$AL$89,MATCH($C42,'[1]End - Use Prices'!$A$6:$A$89,0)+MATCH($D42,'[1]End - Use Prices'!$B$9:$B$11,0)-1,MATCH(BB$1,'[1]End - Use Prices'!$C$7:$AL$7,0))</f>
        <v>13.56</v>
      </c>
      <c r="BC42" s="41">
        <f>INDEX('[1]End - Use Prices'!$C$6:$AL$89,MATCH($C42,'[1]End - Use Prices'!$A$6:$A$89,0)+MATCH($D42,'[1]End - Use Prices'!$B$9:$B$11,0)-1,MATCH(BC$1,'[1]End - Use Prices'!$C$7:$AL$7,0))</f>
        <v>13.57</v>
      </c>
      <c r="BD42" s="41">
        <f>INDEX('[1]End - Use Prices'!$C$6:$AL$89,MATCH($C42,'[1]End - Use Prices'!$A$6:$A$89,0)+MATCH($D42,'[1]End - Use Prices'!$B$9:$B$11,0)-1,MATCH(BD$1,'[1]End - Use Prices'!$C$7:$AL$7,0))</f>
        <v>13.56</v>
      </c>
      <c r="BE42" s="41">
        <f>INDEX('[1]End - Use Prices'!$C$6:$AL$89,MATCH($C42,'[1]End - Use Prices'!$A$6:$A$89,0)+MATCH($D42,'[1]End - Use Prices'!$B$9:$B$11,0)-1,MATCH(BE$1,'[1]End - Use Prices'!$C$7:$AL$7,0))</f>
        <v>13.54</v>
      </c>
      <c r="BF42" s="41">
        <f>INDEX('[1]End - Use Prices'!$C$6:$AL$89,MATCH($C42,'[1]End - Use Prices'!$A$6:$A$89,0)+MATCH($D42,'[1]End - Use Prices'!$B$9:$B$11,0)-1,MATCH(BF$1,'[1]End - Use Prices'!$C$7:$AL$7,0))</f>
        <v>13.52</v>
      </c>
      <c r="BG42" s="41">
        <f>INDEX('[1]End - Use Prices'!$C$6:$AL$89,MATCH($C42,'[1]End - Use Prices'!$A$6:$A$89,0)+MATCH($D42,'[1]End - Use Prices'!$B$9:$B$11,0)-1,MATCH(BG$1,'[1]End - Use Prices'!$C$7:$AL$7,0))</f>
        <v>13.49</v>
      </c>
      <c r="BR42" s="39"/>
      <c r="BS42" s="39"/>
      <c r="BT42" s="39"/>
      <c r="BU42" s="39"/>
      <c r="BV42" s="39"/>
      <c r="BW42" s="39"/>
      <c r="BX42" s="39"/>
      <c r="BY42" s="39"/>
      <c r="BZ42" s="39"/>
      <c r="CA42" s="39"/>
    </row>
    <row r="43" spans="1:79" x14ac:dyDescent="0.25">
      <c r="A43" s="5"/>
      <c r="B43" s="3"/>
      <c r="C43" s="25" t="s">
        <v>93</v>
      </c>
      <c r="D43" s="25" t="s">
        <v>14</v>
      </c>
      <c r="E43" s="25" t="s">
        <v>282</v>
      </c>
      <c r="F43" s="67" t="s">
        <v>279</v>
      </c>
      <c r="G43" s="53">
        <f t="shared" si="4"/>
        <v>15.71</v>
      </c>
      <c r="H43" s="34">
        <f t="shared" si="7"/>
        <v>15.71</v>
      </c>
      <c r="I43" s="34">
        <f t="shared" si="7"/>
        <v>14.92</v>
      </c>
      <c r="J43" s="34">
        <f t="shared" si="7"/>
        <v>12.25</v>
      </c>
      <c r="K43" s="34">
        <f t="shared" si="7"/>
        <v>9.07</v>
      </c>
      <c r="L43" s="34">
        <f t="shared" si="7"/>
        <v>9.5</v>
      </c>
      <c r="M43" s="34">
        <f t="shared" si="7"/>
        <v>9.94</v>
      </c>
      <c r="N43" s="34">
        <f t="shared" si="7"/>
        <v>10.41</v>
      </c>
      <c r="O43" s="34">
        <f t="shared" si="7"/>
        <v>10.59</v>
      </c>
      <c r="P43" s="53">
        <f t="shared" si="8"/>
        <v>10.59</v>
      </c>
      <c r="Q43" s="53">
        <f t="shared" si="8"/>
        <v>10.59</v>
      </c>
      <c r="R43" s="38"/>
      <c r="X43" s="41">
        <f>INDEX('[1]End - Use Prices'!$C$6:$AL$89,MATCH($C43,'[1]End - Use Prices'!$A$6:$A$89,0)+MATCH($D43,'[1]End - Use Prices'!$B$9:$B$11,0)-1,MATCH(X$1,'[1]End - Use Prices'!$C$7:$AL$7,0))</f>
        <v>15.71</v>
      </c>
      <c r="Y43" s="41">
        <f>INDEX('[1]End - Use Prices'!$C$6:$AL$89,MATCH($C43,'[1]End - Use Prices'!$A$6:$A$89,0)+MATCH($D43,'[1]End - Use Prices'!$B$9:$B$11,0)-1,MATCH(Y$1,'[1]End - Use Prices'!$C$7:$AL$7,0))</f>
        <v>16.100000000000001</v>
      </c>
      <c r="Z43" s="41">
        <f>INDEX('[1]End - Use Prices'!$C$6:$AL$89,MATCH($C43,'[1]End - Use Prices'!$A$6:$A$89,0)+MATCH($D43,'[1]End - Use Prices'!$B$9:$B$11,0)-1,MATCH(Z$1,'[1]End - Use Prices'!$C$7:$AL$7,0))</f>
        <v>15.74</v>
      </c>
      <c r="AA43" s="41">
        <f>INDEX('[1]End - Use Prices'!$C$6:$AL$89,MATCH($C43,'[1]End - Use Prices'!$A$6:$A$89,0)+MATCH($D43,'[1]End - Use Prices'!$B$9:$B$11,0)-1,MATCH(AA$1,'[1]End - Use Prices'!$C$7:$AL$7,0))</f>
        <v>15.46</v>
      </c>
      <c r="AB43" s="41">
        <f>INDEX('[1]End - Use Prices'!$C$6:$AL$89,MATCH($C43,'[1]End - Use Prices'!$A$6:$A$89,0)+MATCH($D43,'[1]End - Use Prices'!$B$9:$B$11,0)-1,MATCH(AB$1,'[1]End - Use Prices'!$C$7:$AL$7,0))</f>
        <v>15.41</v>
      </c>
      <c r="AC43" s="41">
        <f>INDEX('[1]End - Use Prices'!$C$6:$AL$89,MATCH($C43,'[1]End - Use Prices'!$A$6:$A$89,0)+MATCH($D43,'[1]End - Use Prices'!$B$9:$B$11,0)-1,MATCH(AC$1,'[1]End - Use Prices'!$C$7:$AL$7,0))</f>
        <v>14.92</v>
      </c>
      <c r="AD43" s="41">
        <f>INDEX('[1]End - Use Prices'!$C$6:$AL$89,MATCH($C43,'[1]End - Use Prices'!$A$6:$A$89,0)+MATCH($D43,'[1]End - Use Prices'!$B$9:$B$11,0)-1,MATCH(AD$1,'[1]End - Use Prices'!$C$7:$AL$7,0))</f>
        <v>13.77</v>
      </c>
      <c r="AE43" s="41">
        <f>INDEX('[1]End - Use Prices'!$C$6:$AL$89,MATCH($C43,'[1]End - Use Prices'!$A$6:$A$89,0)+MATCH($D43,'[1]End - Use Prices'!$B$9:$B$11,0)-1,MATCH(AE$1,'[1]End - Use Prices'!$C$7:$AL$7,0))</f>
        <v>12.54</v>
      </c>
      <c r="AF43" s="41">
        <f>INDEX('[1]End - Use Prices'!$C$6:$AL$89,MATCH($C43,'[1]End - Use Prices'!$A$6:$A$89,0)+MATCH($D43,'[1]End - Use Prices'!$B$9:$B$11,0)-1,MATCH(AF$1,'[1]End - Use Prices'!$C$7:$AL$7,0))</f>
        <v>12.18</v>
      </c>
      <c r="AG43" s="41">
        <f>INDEX('[1]End - Use Prices'!$C$6:$AL$89,MATCH($C43,'[1]End - Use Prices'!$A$6:$A$89,0)+MATCH($D43,'[1]End - Use Prices'!$B$9:$B$11,0)-1,MATCH(AG$1,'[1]End - Use Prices'!$C$7:$AL$7,0))</f>
        <v>13.28</v>
      </c>
      <c r="AH43" s="41">
        <f>INDEX('[1]End - Use Prices'!$C$6:$AL$89,MATCH($C43,'[1]End - Use Prices'!$A$6:$A$89,0)+MATCH($D43,'[1]End - Use Prices'!$B$9:$B$11,0)-1,MATCH(AH$1,'[1]End - Use Prices'!$C$7:$AL$7,0))</f>
        <v>12.25</v>
      </c>
      <c r="AI43" s="41">
        <f>INDEX('[1]End - Use Prices'!$C$6:$AL$89,MATCH($C43,'[1]End - Use Prices'!$A$6:$A$89,0)+MATCH($D43,'[1]End - Use Prices'!$B$9:$B$11,0)-1,MATCH(AI$1,'[1]End - Use Prices'!$C$7:$AL$7,0))</f>
        <v>8.43</v>
      </c>
      <c r="AJ43" s="41">
        <f>INDEX('[1]End - Use Prices'!$C$6:$AL$89,MATCH($C43,'[1]End - Use Prices'!$A$6:$A$89,0)+MATCH($D43,'[1]End - Use Prices'!$B$9:$B$11,0)-1,MATCH(AJ$1,'[1]End - Use Prices'!$C$7:$AL$7,0))</f>
        <v>8.91</v>
      </c>
      <c r="AK43" s="41">
        <f>INDEX('[1]End - Use Prices'!$C$6:$AL$89,MATCH($C43,'[1]End - Use Prices'!$A$6:$A$89,0)+MATCH($D43,'[1]End - Use Prices'!$B$9:$B$11,0)-1,MATCH(AK$1,'[1]End - Use Prices'!$C$7:$AL$7,0))</f>
        <v>8.81</v>
      </c>
      <c r="AL43" s="41">
        <f>INDEX('[1]End - Use Prices'!$C$6:$AL$89,MATCH($C43,'[1]End - Use Prices'!$A$6:$A$89,0)+MATCH($D43,'[1]End - Use Prices'!$B$9:$B$11,0)-1,MATCH(AL$1,'[1]End - Use Prices'!$C$7:$AL$7,0))</f>
        <v>8.7899999999999991</v>
      </c>
      <c r="AM43" s="41">
        <f>INDEX('[1]End - Use Prices'!$C$6:$AL$89,MATCH($C43,'[1]End - Use Prices'!$A$6:$A$89,0)+MATCH($D43,'[1]End - Use Prices'!$B$9:$B$11,0)-1,MATCH(AM$1,'[1]End - Use Prices'!$C$7:$AL$7,0))</f>
        <v>9.07</v>
      </c>
      <c r="AN43" s="41">
        <f>INDEX('[1]End - Use Prices'!$C$6:$AL$89,MATCH($C43,'[1]End - Use Prices'!$A$6:$A$89,0)+MATCH($D43,'[1]End - Use Prices'!$B$9:$B$11,0)-1,MATCH(AN$1,'[1]End - Use Prices'!$C$7:$AL$7,0))</f>
        <v>9.2200000000000006</v>
      </c>
      <c r="AO43" s="41">
        <f>INDEX('[1]End - Use Prices'!$C$6:$AL$89,MATCH($C43,'[1]End - Use Prices'!$A$6:$A$89,0)+MATCH($D43,'[1]End - Use Prices'!$B$9:$B$11,0)-1,MATCH(AO$1,'[1]End - Use Prices'!$C$7:$AL$7,0))</f>
        <v>9.36</v>
      </c>
      <c r="AP43" s="41">
        <f>INDEX('[1]End - Use Prices'!$C$6:$AL$89,MATCH($C43,'[1]End - Use Prices'!$A$6:$A$89,0)+MATCH($D43,'[1]End - Use Prices'!$B$9:$B$11,0)-1,MATCH(AP$1,'[1]End - Use Prices'!$C$7:$AL$7,0))</f>
        <v>9.48</v>
      </c>
      <c r="AQ43" s="41">
        <f>INDEX('[1]End - Use Prices'!$C$6:$AL$89,MATCH($C43,'[1]End - Use Prices'!$A$6:$A$89,0)+MATCH($D43,'[1]End - Use Prices'!$B$9:$B$11,0)-1,MATCH(AQ$1,'[1]End - Use Prices'!$C$7:$AL$7,0))</f>
        <v>9.48</v>
      </c>
      <c r="AR43" s="41">
        <f>INDEX('[1]End - Use Prices'!$C$6:$AL$89,MATCH($C43,'[1]End - Use Prices'!$A$6:$A$89,0)+MATCH($D43,'[1]End - Use Prices'!$B$9:$B$11,0)-1,MATCH(AR$1,'[1]End - Use Prices'!$C$7:$AL$7,0))</f>
        <v>9.5</v>
      </c>
      <c r="AS43" s="41">
        <f>INDEX('[1]End - Use Prices'!$C$6:$AL$89,MATCH($C43,'[1]End - Use Prices'!$A$6:$A$89,0)+MATCH($D43,'[1]End - Use Prices'!$B$9:$B$11,0)-1,MATCH(AS$1,'[1]End - Use Prices'!$C$7:$AL$7,0))</f>
        <v>9.58</v>
      </c>
      <c r="AT43" s="41">
        <f>INDEX('[1]End - Use Prices'!$C$6:$AL$89,MATCH($C43,'[1]End - Use Prices'!$A$6:$A$89,0)+MATCH($D43,'[1]End - Use Prices'!$B$9:$B$11,0)-1,MATCH(AT$1,'[1]End - Use Prices'!$C$7:$AL$7,0))</f>
        <v>9.66</v>
      </c>
      <c r="AU43" s="41">
        <f>INDEX('[1]End - Use Prices'!$C$6:$AL$89,MATCH($C43,'[1]End - Use Prices'!$A$6:$A$89,0)+MATCH($D43,'[1]End - Use Prices'!$B$9:$B$11,0)-1,MATCH(AU$1,'[1]End - Use Prices'!$C$7:$AL$7,0))</f>
        <v>9.75</v>
      </c>
      <c r="AV43" s="41">
        <f>INDEX('[1]End - Use Prices'!$C$6:$AL$89,MATCH($C43,'[1]End - Use Prices'!$A$6:$A$89,0)+MATCH($D43,'[1]End - Use Prices'!$B$9:$B$11,0)-1,MATCH(AV$1,'[1]End - Use Prices'!$C$7:$AL$7,0))</f>
        <v>9.85</v>
      </c>
      <c r="AW43" s="41">
        <f>INDEX('[1]End - Use Prices'!$C$6:$AL$89,MATCH($C43,'[1]End - Use Prices'!$A$6:$A$89,0)+MATCH($D43,'[1]End - Use Prices'!$B$9:$B$11,0)-1,MATCH(AW$1,'[1]End - Use Prices'!$C$7:$AL$7,0))</f>
        <v>9.94</v>
      </c>
      <c r="AX43" s="41">
        <f>INDEX('[1]End - Use Prices'!$C$6:$AL$89,MATCH($C43,'[1]End - Use Prices'!$A$6:$A$89,0)+MATCH($D43,'[1]End - Use Prices'!$B$9:$B$11,0)-1,MATCH(AX$1,'[1]End - Use Prices'!$C$7:$AL$7,0))</f>
        <v>10.039999999999999</v>
      </c>
      <c r="AY43" s="41">
        <f>INDEX('[1]End - Use Prices'!$C$6:$AL$89,MATCH($C43,'[1]End - Use Prices'!$A$6:$A$89,0)+MATCH($D43,'[1]End - Use Prices'!$B$9:$B$11,0)-1,MATCH(AY$1,'[1]End - Use Prices'!$C$7:$AL$7,0))</f>
        <v>10.16</v>
      </c>
      <c r="AZ43" s="41">
        <f>INDEX('[1]End - Use Prices'!$C$6:$AL$89,MATCH($C43,'[1]End - Use Prices'!$A$6:$A$89,0)+MATCH($D43,'[1]End - Use Prices'!$B$9:$B$11,0)-1,MATCH(AZ$1,'[1]End - Use Prices'!$C$7:$AL$7,0))</f>
        <v>10.28</v>
      </c>
      <c r="BA43" s="41">
        <f>INDEX('[1]End - Use Prices'!$C$6:$AL$89,MATCH($C43,'[1]End - Use Prices'!$A$6:$A$89,0)+MATCH($D43,'[1]End - Use Prices'!$B$9:$B$11,0)-1,MATCH(BA$1,'[1]End - Use Prices'!$C$7:$AL$7,0))</f>
        <v>10.34</v>
      </c>
      <c r="BB43" s="41">
        <f>INDEX('[1]End - Use Prices'!$C$6:$AL$89,MATCH($C43,'[1]End - Use Prices'!$A$6:$A$89,0)+MATCH($D43,'[1]End - Use Prices'!$B$9:$B$11,0)-1,MATCH(BB$1,'[1]End - Use Prices'!$C$7:$AL$7,0))</f>
        <v>10.41</v>
      </c>
      <c r="BC43" s="41">
        <f>INDEX('[1]End - Use Prices'!$C$6:$AL$89,MATCH($C43,'[1]End - Use Prices'!$A$6:$A$89,0)+MATCH($D43,'[1]End - Use Prices'!$B$9:$B$11,0)-1,MATCH(BC$1,'[1]End - Use Prices'!$C$7:$AL$7,0))</f>
        <v>10.46</v>
      </c>
      <c r="BD43" s="41">
        <f>INDEX('[1]End - Use Prices'!$C$6:$AL$89,MATCH($C43,'[1]End - Use Prices'!$A$6:$A$89,0)+MATCH($D43,'[1]End - Use Prices'!$B$9:$B$11,0)-1,MATCH(BD$1,'[1]End - Use Prices'!$C$7:$AL$7,0))</f>
        <v>10.5</v>
      </c>
      <c r="BE43" s="41">
        <f>INDEX('[1]End - Use Prices'!$C$6:$AL$89,MATCH($C43,'[1]End - Use Prices'!$A$6:$A$89,0)+MATCH($D43,'[1]End - Use Prices'!$B$9:$B$11,0)-1,MATCH(BE$1,'[1]End - Use Prices'!$C$7:$AL$7,0))</f>
        <v>10.54</v>
      </c>
      <c r="BF43" s="41">
        <f>INDEX('[1]End - Use Prices'!$C$6:$AL$89,MATCH($C43,'[1]End - Use Prices'!$A$6:$A$89,0)+MATCH($D43,'[1]End - Use Prices'!$B$9:$B$11,0)-1,MATCH(BF$1,'[1]End - Use Prices'!$C$7:$AL$7,0))</f>
        <v>10.57</v>
      </c>
      <c r="BG43" s="41">
        <f>INDEX('[1]End - Use Prices'!$C$6:$AL$89,MATCH($C43,'[1]End - Use Prices'!$A$6:$A$89,0)+MATCH($D43,'[1]End - Use Prices'!$B$9:$B$11,0)-1,MATCH(BG$1,'[1]End - Use Prices'!$C$7:$AL$7,0))</f>
        <v>10.59</v>
      </c>
      <c r="BR43" s="39"/>
      <c r="BS43" s="39"/>
      <c r="BT43" s="39"/>
      <c r="BU43" s="39"/>
      <c r="BV43" s="39"/>
      <c r="BW43" s="39"/>
      <c r="BX43" s="39"/>
      <c r="BY43" s="39"/>
      <c r="BZ43" s="39"/>
      <c r="CA43" s="39"/>
    </row>
    <row r="44" spans="1:79" x14ac:dyDescent="0.25">
      <c r="A44" s="5"/>
      <c r="B44" s="3"/>
      <c r="C44" s="25" t="s">
        <v>95</v>
      </c>
      <c r="D44" s="25" t="s">
        <v>14</v>
      </c>
      <c r="E44" s="25" t="s">
        <v>282</v>
      </c>
      <c r="F44" s="67" t="s">
        <v>279</v>
      </c>
      <c r="G44" s="53">
        <f t="shared" si="4"/>
        <v>32.04</v>
      </c>
      <c r="H44" s="34">
        <f t="shared" si="7"/>
        <v>32.04</v>
      </c>
      <c r="I44" s="34">
        <f t="shared" si="7"/>
        <v>30.65</v>
      </c>
      <c r="J44" s="34">
        <f t="shared" si="7"/>
        <v>39.43</v>
      </c>
      <c r="K44" s="34">
        <f t="shared" si="7"/>
        <v>41.09</v>
      </c>
      <c r="L44" s="34">
        <f t="shared" si="7"/>
        <v>42.93</v>
      </c>
      <c r="M44" s="34">
        <f t="shared" si="7"/>
        <v>43.05</v>
      </c>
      <c r="N44" s="34">
        <f t="shared" si="7"/>
        <v>43.31</v>
      </c>
      <c r="O44" s="34">
        <f t="shared" si="7"/>
        <v>43.29</v>
      </c>
      <c r="P44" s="53">
        <f t="shared" si="8"/>
        <v>43.29</v>
      </c>
      <c r="Q44" s="53">
        <f t="shared" si="8"/>
        <v>43.29</v>
      </c>
      <c r="R44" s="38"/>
      <c r="X44" s="41">
        <f>INDEX('[1]End - Use Prices'!$C$6:$AL$89,MATCH($C44,'[1]End - Use Prices'!$A$6:$A$89,0)+MATCH($D44,'[1]End - Use Prices'!$B$9:$B$11,0)-1,MATCH(X$1,'[1]End - Use Prices'!$C$7:$AL$7,0))</f>
        <v>32.04</v>
      </c>
      <c r="Y44" s="41">
        <f>INDEX('[1]End - Use Prices'!$C$6:$AL$89,MATCH($C44,'[1]End - Use Prices'!$A$6:$A$89,0)+MATCH($D44,'[1]End - Use Prices'!$B$9:$B$11,0)-1,MATCH(Y$1,'[1]End - Use Prices'!$C$7:$AL$7,0))</f>
        <v>31.25</v>
      </c>
      <c r="Z44" s="41">
        <f>INDEX('[1]End - Use Prices'!$C$6:$AL$89,MATCH($C44,'[1]End - Use Prices'!$A$6:$A$89,0)+MATCH($D44,'[1]End - Use Prices'!$B$9:$B$11,0)-1,MATCH(Z$1,'[1]End - Use Prices'!$C$7:$AL$7,0))</f>
        <v>32.020000000000003</v>
      </c>
      <c r="AA44" s="41">
        <f>INDEX('[1]End - Use Prices'!$C$6:$AL$89,MATCH($C44,'[1]End - Use Prices'!$A$6:$A$89,0)+MATCH($D44,'[1]End - Use Prices'!$B$9:$B$11,0)-1,MATCH(AA$1,'[1]End - Use Prices'!$C$7:$AL$7,0))</f>
        <v>31.29</v>
      </c>
      <c r="AB44" s="41">
        <f>INDEX('[1]End - Use Prices'!$C$6:$AL$89,MATCH($C44,'[1]End - Use Prices'!$A$6:$A$89,0)+MATCH($D44,'[1]End - Use Prices'!$B$9:$B$11,0)-1,MATCH(AB$1,'[1]End - Use Prices'!$C$7:$AL$7,0))</f>
        <v>30.74</v>
      </c>
      <c r="AC44" s="41">
        <f>INDEX('[1]End - Use Prices'!$C$6:$AL$89,MATCH($C44,'[1]End - Use Prices'!$A$6:$A$89,0)+MATCH($D44,'[1]End - Use Prices'!$B$9:$B$11,0)-1,MATCH(AC$1,'[1]End - Use Prices'!$C$7:$AL$7,0))</f>
        <v>30.65</v>
      </c>
      <c r="AD44" s="41">
        <f>INDEX('[1]End - Use Prices'!$C$6:$AL$89,MATCH($C44,'[1]End - Use Prices'!$A$6:$A$89,0)+MATCH($D44,'[1]End - Use Prices'!$B$9:$B$11,0)-1,MATCH(AD$1,'[1]End - Use Prices'!$C$7:$AL$7,0))</f>
        <v>29.66</v>
      </c>
      <c r="AE44" s="41">
        <f>INDEX('[1]End - Use Prices'!$C$6:$AL$89,MATCH($C44,'[1]End - Use Prices'!$A$6:$A$89,0)+MATCH($D44,'[1]End - Use Prices'!$B$9:$B$11,0)-1,MATCH(AE$1,'[1]End - Use Prices'!$C$7:$AL$7,0))</f>
        <v>33.369999999999997</v>
      </c>
      <c r="AF44" s="41">
        <f>INDEX('[1]End - Use Prices'!$C$6:$AL$89,MATCH($C44,'[1]End - Use Prices'!$A$6:$A$89,0)+MATCH($D44,'[1]End - Use Prices'!$B$9:$B$11,0)-1,MATCH(AF$1,'[1]End - Use Prices'!$C$7:$AL$7,0))</f>
        <v>33.28</v>
      </c>
      <c r="AG44" s="41">
        <f>INDEX('[1]End - Use Prices'!$C$6:$AL$89,MATCH($C44,'[1]End - Use Prices'!$A$6:$A$89,0)+MATCH($D44,'[1]End - Use Prices'!$B$9:$B$11,0)-1,MATCH(AG$1,'[1]End - Use Prices'!$C$7:$AL$7,0))</f>
        <v>39.119999999999997</v>
      </c>
      <c r="AH44" s="41">
        <f>INDEX('[1]End - Use Prices'!$C$6:$AL$89,MATCH($C44,'[1]End - Use Prices'!$A$6:$A$89,0)+MATCH($D44,'[1]End - Use Prices'!$B$9:$B$11,0)-1,MATCH(AH$1,'[1]End - Use Prices'!$C$7:$AL$7,0))</f>
        <v>39.43</v>
      </c>
      <c r="AI44" s="41">
        <f>INDEX('[1]End - Use Prices'!$C$6:$AL$89,MATCH($C44,'[1]End - Use Prices'!$A$6:$A$89,0)+MATCH($D44,'[1]End - Use Prices'!$B$9:$B$11,0)-1,MATCH(AI$1,'[1]End - Use Prices'!$C$7:$AL$7,0))</f>
        <v>39.19</v>
      </c>
      <c r="AJ44" s="41">
        <f>INDEX('[1]End - Use Prices'!$C$6:$AL$89,MATCH($C44,'[1]End - Use Prices'!$A$6:$A$89,0)+MATCH($D44,'[1]End - Use Prices'!$B$9:$B$11,0)-1,MATCH(AJ$1,'[1]End - Use Prices'!$C$7:$AL$7,0))</f>
        <v>39.659999999999997</v>
      </c>
      <c r="AK44" s="41">
        <f>INDEX('[1]End - Use Prices'!$C$6:$AL$89,MATCH($C44,'[1]End - Use Prices'!$A$6:$A$89,0)+MATCH($D44,'[1]End - Use Prices'!$B$9:$B$11,0)-1,MATCH(AK$1,'[1]End - Use Prices'!$C$7:$AL$7,0))</f>
        <v>39.57</v>
      </c>
      <c r="AL44" s="41">
        <f>INDEX('[1]End - Use Prices'!$C$6:$AL$89,MATCH($C44,'[1]End - Use Prices'!$A$6:$A$89,0)+MATCH($D44,'[1]End - Use Prices'!$B$9:$B$11,0)-1,MATCH(AL$1,'[1]End - Use Prices'!$C$7:$AL$7,0))</f>
        <v>39.549999999999997</v>
      </c>
      <c r="AM44" s="41">
        <f>INDEX('[1]End - Use Prices'!$C$6:$AL$89,MATCH($C44,'[1]End - Use Prices'!$A$6:$A$89,0)+MATCH($D44,'[1]End - Use Prices'!$B$9:$B$11,0)-1,MATCH(AM$1,'[1]End - Use Prices'!$C$7:$AL$7,0))</f>
        <v>41.09</v>
      </c>
      <c r="AN44" s="41">
        <f>INDEX('[1]End - Use Prices'!$C$6:$AL$89,MATCH($C44,'[1]End - Use Prices'!$A$6:$A$89,0)+MATCH($D44,'[1]End - Use Prices'!$B$9:$B$11,0)-1,MATCH(AN$1,'[1]End - Use Prices'!$C$7:$AL$7,0))</f>
        <v>41.81</v>
      </c>
      <c r="AO44" s="41">
        <f>INDEX('[1]End - Use Prices'!$C$6:$AL$89,MATCH($C44,'[1]End - Use Prices'!$A$6:$A$89,0)+MATCH($D44,'[1]End - Use Prices'!$B$9:$B$11,0)-1,MATCH(AO$1,'[1]End - Use Prices'!$C$7:$AL$7,0))</f>
        <v>42.49</v>
      </c>
      <c r="AP44" s="41">
        <f>INDEX('[1]End - Use Prices'!$C$6:$AL$89,MATCH($C44,'[1]End - Use Prices'!$A$6:$A$89,0)+MATCH($D44,'[1]End - Use Prices'!$B$9:$B$11,0)-1,MATCH(AP$1,'[1]End - Use Prices'!$C$7:$AL$7,0))</f>
        <v>43.1</v>
      </c>
      <c r="AQ44" s="41">
        <f>INDEX('[1]End - Use Prices'!$C$6:$AL$89,MATCH($C44,'[1]End - Use Prices'!$A$6:$A$89,0)+MATCH($D44,'[1]End - Use Prices'!$B$9:$B$11,0)-1,MATCH(AQ$1,'[1]End - Use Prices'!$C$7:$AL$7,0))</f>
        <v>43</v>
      </c>
      <c r="AR44" s="41">
        <f>INDEX('[1]End - Use Prices'!$C$6:$AL$89,MATCH($C44,'[1]End - Use Prices'!$A$6:$A$89,0)+MATCH($D44,'[1]End - Use Prices'!$B$9:$B$11,0)-1,MATCH(AR$1,'[1]End - Use Prices'!$C$7:$AL$7,0))</f>
        <v>42.93</v>
      </c>
      <c r="AS44" s="41">
        <f>INDEX('[1]End - Use Prices'!$C$6:$AL$89,MATCH($C44,'[1]End - Use Prices'!$A$6:$A$89,0)+MATCH($D44,'[1]End - Use Prices'!$B$9:$B$11,0)-1,MATCH(AS$1,'[1]End - Use Prices'!$C$7:$AL$7,0))</f>
        <v>42.95</v>
      </c>
      <c r="AT44" s="41">
        <f>INDEX('[1]End - Use Prices'!$C$6:$AL$89,MATCH($C44,'[1]End - Use Prices'!$A$6:$A$89,0)+MATCH($D44,'[1]End - Use Prices'!$B$9:$B$11,0)-1,MATCH(AT$1,'[1]End - Use Prices'!$C$7:$AL$7,0))</f>
        <v>42.95</v>
      </c>
      <c r="AU44" s="41">
        <f>INDEX('[1]End - Use Prices'!$C$6:$AL$89,MATCH($C44,'[1]End - Use Prices'!$A$6:$A$89,0)+MATCH($D44,'[1]End - Use Prices'!$B$9:$B$11,0)-1,MATCH(AU$1,'[1]End - Use Prices'!$C$7:$AL$7,0))</f>
        <v>42.97</v>
      </c>
      <c r="AV44" s="41">
        <f>INDEX('[1]End - Use Prices'!$C$6:$AL$89,MATCH($C44,'[1]End - Use Prices'!$A$6:$A$89,0)+MATCH($D44,'[1]End - Use Prices'!$B$9:$B$11,0)-1,MATCH(AV$1,'[1]End - Use Prices'!$C$7:$AL$7,0))</f>
        <v>43.01</v>
      </c>
      <c r="AW44" s="41">
        <f>INDEX('[1]End - Use Prices'!$C$6:$AL$89,MATCH($C44,'[1]End - Use Prices'!$A$6:$A$89,0)+MATCH($D44,'[1]End - Use Prices'!$B$9:$B$11,0)-1,MATCH(AW$1,'[1]End - Use Prices'!$C$7:$AL$7,0))</f>
        <v>43.05</v>
      </c>
      <c r="AX44" s="41">
        <f>INDEX('[1]End - Use Prices'!$C$6:$AL$89,MATCH($C44,'[1]End - Use Prices'!$A$6:$A$89,0)+MATCH($D44,'[1]End - Use Prices'!$B$9:$B$11,0)-1,MATCH(AX$1,'[1]End - Use Prices'!$C$7:$AL$7,0))</f>
        <v>43.1</v>
      </c>
      <c r="AY44" s="41">
        <f>INDEX('[1]End - Use Prices'!$C$6:$AL$89,MATCH($C44,'[1]End - Use Prices'!$A$6:$A$89,0)+MATCH($D44,'[1]End - Use Prices'!$B$9:$B$11,0)-1,MATCH(AY$1,'[1]End - Use Prices'!$C$7:$AL$7,0))</f>
        <v>43.17</v>
      </c>
      <c r="AZ44" s="41">
        <f>INDEX('[1]End - Use Prices'!$C$6:$AL$89,MATCH($C44,'[1]End - Use Prices'!$A$6:$A$89,0)+MATCH($D44,'[1]End - Use Prices'!$B$9:$B$11,0)-1,MATCH(AZ$1,'[1]End - Use Prices'!$C$7:$AL$7,0))</f>
        <v>43.25</v>
      </c>
      <c r="BA44" s="41">
        <f>INDEX('[1]End - Use Prices'!$C$6:$AL$89,MATCH($C44,'[1]End - Use Prices'!$A$6:$A$89,0)+MATCH($D44,'[1]End - Use Prices'!$B$9:$B$11,0)-1,MATCH(BA$1,'[1]End - Use Prices'!$C$7:$AL$7,0))</f>
        <v>43.28</v>
      </c>
      <c r="BB44" s="41">
        <f>INDEX('[1]End - Use Prices'!$C$6:$AL$89,MATCH($C44,'[1]End - Use Prices'!$A$6:$A$89,0)+MATCH($D44,'[1]End - Use Prices'!$B$9:$B$11,0)-1,MATCH(BB$1,'[1]End - Use Prices'!$C$7:$AL$7,0))</f>
        <v>43.31</v>
      </c>
      <c r="BC44" s="41">
        <f>INDEX('[1]End - Use Prices'!$C$6:$AL$89,MATCH($C44,'[1]End - Use Prices'!$A$6:$A$89,0)+MATCH($D44,'[1]End - Use Prices'!$B$9:$B$11,0)-1,MATCH(BC$1,'[1]End - Use Prices'!$C$7:$AL$7,0))</f>
        <v>43.33</v>
      </c>
      <c r="BD44" s="41">
        <f>INDEX('[1]End - Use Prices'!$C$6:$AL$89,MATCH($C44,'[1]End - Use Prices'!$A$6:$A$89,0)+MATCH($D44,'[1]End - Use Prices'!$B$9:$B$11,0)-1,MATCH(BD$1,'[1]End - Use Prices'!$C$7:$AL$7,0))</f>
        <v>43.33</v>
      </c>
      <c r="BE44" s="41">
        <f>INDEX('[1]End - Use Prices'!$C$6:$AL$89,MATCH($C44,'[1]End - Use Prices'!$A$6:$A$89,0)+MATCH($D44,'[1]End - Use Prices'!$B$9:$B$11,0)-1,MATCH(BE$1,'[1]End - Use Prices'!$C$7:$AL$7,0))</f>
        <v>43.31</v>
      </c>
      <c r="BF44" s="41">
        <f>INDEX('[1]End - Use Prices'!$C$6:$AL$89,MATCH($C44,'[1]End - Use Prices'!$A$6:$A$89,0)+MATCH($D44,'[1]End - Use Prices'!$B$9:$B$11,0)-1,MATCH(BF$1,'[1]End - Use Prices'!$C$7:$AL$7,0))</f>
        <v>43.3</v>
      </c>
      <c r="BG44" s="41">
        <f>INDEX('[1]End - Use Prices'!$C$6:$AL$89,MATCH($C44,'[1]End - Use Prices'!$A$6:$A$89,0)+MATCH($D44,'[1]End - Use Prices'!$B$9:$B$11,0)-1,MATCH(BG$1,'[1]End - Use Prices'!$C$7:$AL$7,0))</f>
        <v>43.29</v>
      </c>
      <c r="BR44" s="39"/>
      <c r="BS44" s="39"/>
      <c r="BT44" s="39"/>
      <c r="BU44" s="39"/>
      <c r="BV44" s="39"/>
      <c r="BW44" s="39"/>
      <c r="BX44" s="39"/>
      <c r="BY44" s="39"/>
      <c r="BZ44" s="39"/>
      <c r="CA44" s="39"/>
    </row>
    <row r="45" spans="1:79" x14ac:dyDescent="0.25">
      <c r="A45" s="5"/>
      <c r="B45" s="3"/>
      <c r="C45" s="25" t="s">
        <v>94</v>
      </c>
      <c r="D45" s="25" t="s">
        <v>14</v>
      </c>
      <c r="E45" s="25" t="s">
        <v>282</v>
      </c>
      <c r="F45" s="67" t="s">
        <v>279</v>
      </c>
      <c r="G45" s="53">
        <f t="shared" si="4"/>
        <v>15.71</v>
      </c>
      <c r="H45" s="34">
        <f t="shared" si="7"/>
        <v>15.71</v>
      </c>
      <c r="I45" s="34">
        <f t="shared" si="7"/>
        <v>14.92</v>
      </c>
      <c r="J45" s="34">
        <f t="shared" si="7"/>
        <v>12.25</v>
      </c>
      <c r="K45" s="34">
        <f t="shared" si="7"/>
        <v>9.07</v>
      </c>
      <c r="L45" s="34">
        <f t="shared" si="7"/>
        <v>9.5</v>
      </c>
      <c r="M45" s="34">
        <f t="shared" si="7"/>
        <v>9.94</v>
      </c>
      <c r="N45" s="34">
        <f t="shared" si="7"/>
        <v>10.41</v>
      </c>
      <c r="O45" s="34">
        <f t="shared" si="7"/>
        <v>10.59</v>
      </c>
      <c r="P45" s="53">
        <f t="shared" si="8"/>
        <v>10.59</v>
      </c>
      <c r="Q45" s="53">
        <f t="shared" si="8"/>
        <v>10.59</v>
      </c>
      <c r="R45" s="38"/>
      <c r="X45" s="41">
        <f>INDEX('[1]End - Use Prices'!$C$6:$AL$89,MATCH($C45,'[1]End - Use Prices'!$A$6:$A$89,0)+MATCH($D45,'[1]End - Use Prices'!$B$9:$B$11,0)-1,MATCH(X$1,'[1]End - Use Prices'!$C$7:$AL$7,0))</f>
        <v>15.71</v>
      </c>
      <c r="Y45" s="41">
        <f>INDEX('[1]End - Use Prices'!$C$6:$AL$89,MATCH($C45,'[1]End - Use Prices'!$A$6:$A$89,0)+MATCH($D45,'[1]End - Use Prices'!$B$9:$B$11,0)-1,MATCH(Y$1,'[1]End - Use Prices'!$C$7:$AL$7,0))</f>
        <v>16.100000000000001</v>
      </c>
      <c r="Z45" s="41">
        <f>INDEX('[1]End - Use Prices'!$C$6:$AL$89,MATCH($C45,'[1]End - Use Prices'!$A$6:$A$89,0)+MATCH($D45,'[1]End - Use Prices'!$B$9:$B$11,0)-1,MATCH(Z$1,'[1]End - Use Prices'!$C$7:$AL$7,0))</f>
        <v>15.74</v>
      </c>
      <c r="AA45" s="41">
        <f>INDEX('[1]End - Use Prices'!$C$6:$AL$89,MATCH($C45,'[1]End - Use Prices'!$A$6:$A$89,0)+MATCH($D45,'[1]End - Use Prices'!$B$9:$B$11,0)-1,MATCH(AA$1,'[1]End - Use Prices'!$C$7:$AL$7,0))</f>
        <v>15.46</v>
      </c>
      <c r="AB45" s="41">
        <f>INDEX('[1]End - Use Prices'!$C$6:$AL$89,MATCH($C45,'[1]End - Use Prices'!$A$6:$A$89,0)+MATCH($D45,'[1]End - Use Prices'!$B$9:$B$11,0)-1,MATCH(AB$1,'[1]End - Use Prices'!$C$7:$AL$7,0))</f>
        <v>15.41</v>
      </c>
      <c r="AC45" s="41">
        <f>INDEX('[1]End - Use Prices'!$C$6:$AL$89,MATCH($C45,'[1]End - Use Prices'!$A$6:$A$89,0)+MATCH($D45,'[1]End - Use Prices'!$B$9:$B$11,0)-1,MATCH(AC$1,'[1]End - Use Prices'!$C$7:$AL$7,0))</f>
        <v>14.92</v>
      </c>
      <c r="AD45" s="41">
        <f>INDEX('[1]End - Use Prices'!$C$6:$AL$89,MATCH($C45,'[1]End - Use Prices'!$A$6:$A$89,0)+MATCH($D45,'[1]End - Use Prices'!$B$9:$B$11,0)-1,MATCH(AD$1,'[1]End - Use Prices'!$C$7:$AL$7,0))</f>
        <v>13.77</v>
      </c>
      <c r="AE45" s="41">
        <f>INDEX('[1]End - Use Prices'!$C$6:$AL$89,MATCH($C45,'[1]End - Use Prices'!$A$6:$A$89,0)+MATCH($D45,'[1]End - Use Prices'!$B$9:$B$11,0)-1,MATCH(AE$1,'[1]End - Use Prices'!$C$7:$AL$7,0))</f>
        <v>12.54</v>
      </c>
      <c r="AF45" s="41">
        <f>INDEX('[1]End - Use Prices'!$C$6:$AL$89,MATCH($C45,'[1]End - Use Prices'!$A$6:$A$89,0)+MATCH($D45,'[1]End - Use Prices'!$B$9:$B$11,0)-1,MATCH(AF$1,'[1]End - Use Prices'!$C$7:$AL$7,0))</f>
        <v>12.18</v>
      </c>
      <c r="AG45" s="41">
        <f>INDEX('[1]End - Use Prices'!$C$6:$AL$89,MATCH($C45,'[1]End - Use Prices'!$A$6:$A$89,0)+MATCH($D45,'[1]End - Use Prices'!$B$9:$B$11,0)-1,MATCH(AG$1,'[1]End - Use Prices'!$C$7:$AL$7,0))</f>
        <v>13.28</v>
      </c>
      <c r="AH45" s="41">
        <f>INDEX('[1]End - Use Prices'!$C$6:$AL$89,MATCH($C45,'[1]End - Use Prices'!$A$6:$A$89,0)+MATCH($D45,'[1]End - Use Prices'!$B$9:$B$11,0)-1,MATCH(AH$1,'[1]End - Use Prices'!$C$7:$AL$7,0))</f>
        <v>12.25</v>
      </c>
      <c r="AI45" s="41">
        <f>INDEX('[1]End - Use Prices'!$C$6:$AL$89,MATCH($C45,'[1]End - Use Prices'!$A$6:$A$89,0)+MATCH($D45,'[1]End - Use Prices'!$B$9:$B$11,0)-1,MATCH(AI$1,'[1]End - Use Prices'!$C$7:$AL$7,0))</f>
        <v>8.43</v>
      </c>
      <c r="AJ45" s="41">
        <f>INDEX('[1]End - Use Prices'!$C$6:$AL$89,MATCH($C45,'[1]End - Use Prices'!$A$6:$A$89,0)+MATCH($D45,'[1]End - Use Prices'!$B$9:$B$11,0)-1,MATCH(AJ$1,'[1]End - Use Prices'!$C$7:$AL$7,0))</f>
        <v>8.91</v>
      </c>
      <c r="AK45" s="41">
        <f>INDEX('[1]End - Use Prices'!$C$6:$AL$89,MATCH($C45,'[1]End - Use Prices'!$A$6:$A$89,0)+MATCH($D45,'[1]End - Use Prices'!$B$9:$B$11,0)-1,MATCH(AK$1,'[1]End - Use Prices'!$C$7:$AL$7,0))</f>
        <v>8.81</v>
      </c>
      <c r="AL45" s="41">
        <f>INDEX('[1]End - Use Prices'!$C$6:$AL$89,MATCH($C45,'[1]End - Use Prices'!$A$6:$A$89,0)+MATCH($D45,'[1]End - Use Prices'!$B$9:$B$11,0)-1,MATCH(AL$1,'[1]End - Use Prices'!$C$7:$AL$7,0))</f>
        <v>8.7899999999999991</v>
      </c>
      <c r="AM45" s="41">
        <f>INDEX('[1]End - Use Prices'!$C$6:$AL$89,MATCH($C45,'[1]End - Use Prices'!$A$6:$A$89,0)+MATCH($D45,'[1]End - Use Prices'!$B$9:$B$11,0)-1,MATCH(AM$1,'[1]End - Use Prices'!$C$7:$AL$7,0))</f>
        <v>9.07</v>
      </c>
      <c r="AN45" s="41">
        <f>INDEX('[1]End - Use Prices'!$C$6:$AL$89,MATCH($C45,'[1]End - Use Prices'!$A$6:$A$89,0)+MATCH($D45,'[1]End - Use Prices'!$B$9:$B$11,0)-1,MATCH(AN$1,'[1]End - Use Prices'!$C$7:$AL$7,0))</f>
        <v>9.2200000000000006</v>
      </c>
      <c r="AO45" s="41">
        <f>INDEX('[1]End - Use Prices'!$C$6:$AL$89,MATCH($C45,'[1]End - Use Prices'!$A$6:$A$89,0)+MATCH($D45,'[1]End - Use Prices'!$B$9:$B$11,0)-1,MATCH(AO$1,'[1]End - Use Prices'!$C$7:$AL$7,0))</f>
        <v>9.36</v>
      </c>
      <c r="AP45" s="41">
        <f>INDEX('[1]End - Use Prices'!$C$6:$AL$89,MATCH($C45,'[1]End - Use Prices'!$A$6:$A$89,0)+MATCH($D45,'[1]End - Use Prices'!$B$9:$B$11,0)-1,MATCH(AP$1,'[1]End - Use Prices'!$C$7:$AL$7,0))</f>
        <v>9.48</v>
      </c>
      <c r="AQ45" s="41">
        <f>INDEX('[1]End - Use Prices'!$C$6:$AL$89,MATCH($C45,'[1]End - Use Prices'!$A$6:$A$89,0)+MATCH($D45,'[1]End - Use Prices'!$B$9:$B$11,0)-1,MATCH(AQ$1,'[1]End - Use Prices'!$C$7:$AL$7,0))</f>
        <v>9.48</v>
      </c>
      <c r="AR45" s="41">
        <f>INDEX('[1]End - Use Prices'!$C$6:$AL$89,MATCH($C45,'[1]End - Use Prices'!$A$6:$A$89,0)+MATCH($D45,'[1]End - Use Prices'!$B$9:$B$11,0)-1,MATCH(AR$1,'[1]End - Use Prices'!$C$7:$AL$7,0))</f>
        <v>9.5</v>
      </c>
      <c r="AS45" s="41">
        <f>INDEX('[1]End - Use Prices'!$C$6:$AL$89,MATCH($C45,'[1]End - Use Prices'!$A$6:$A$89,0)+MATCH($D45,'[1]End - Use Prices'!$B$9:$B$11,0)-1,MATCH(AS$1,'[1]End - Use Prices'!$C$7:$AL$7,0))</f>
        <v>9.58</v>
      </c>
      <c r="AT45" s="41">
        <f>INDEX('[1]End - Use Prices'!$C$6:$AL$89,MATCH($C45,'[1]End - Use Prices'!$A$6:$A$89,0)+MATCH($D45,'[1]End - Use Prices'!$B$9:$B$11,0)-1,MATCH(AT$1,'[1]End - Use Prices'!$C$7:$AL$7,0))</f>
        <v>9.66</v>
      </c>
      <c r="AU45" s="41">
        <f>INDEX('[1]End - Use Prices'!$C$6:$AL$89,MATCH($C45,'[1]End - Use Prices'!$A$6:$A$89,0)+MATCH($D45,'[1]End - Use Prices'!$B$9:$B$11,0)-1,MATCH(AU$1,'[1]End - Use Prices'!$C$7:$AL$7,0))</f>
        <v>9.75</v>
      </c>
      <c r="AV45" s="41">
        <f>INDEX('[1]End - Use Prices'!$C$6:$AL$89,MATCH($C45,'[1]End - Use Prices'!$A$6:$A$89,0)+MATCH($D45,'[1]End - Use Prices'!$B$9:$B$11,0)-1,MATCH(AV$1,'[1]End - Use Prices'!$C$7:$AL$7,0))</f>
        <v>9.85</v>
      </c>
      <c r="AW45" s="41">
        <f>INDEX('[1]End - Use Prices'!$C$6:$AL$89,MATCH($C45,'[1]End - Use Prices'!$A$6:$A$89,0)+MATCH($D45,'[1]End - Use Prices'!$B$9:$B$11,0)-1,MATCH(AW$1,'[1]End - Use Prices'!$C$7:$AL$7,0))</f>
        <v>9.94</v>
      </c>
      <c r="AX45" s="41">
        <f>INDEX('[1]End - Use Prices'!$C$6:$AL$89,MATCH($C45,'[1]End - Use Prices'!$A$6:$A$89,0)+MATCH($D45,'[1]End - Use Prices'!$B$9:$B$11,0)-1,MATCH(AX$1,'[1]End - Use Prices'!$C$7:$AL$7,0))</f>
        <v>10.039999999999999</v>
      </c>
      <c r="AY45" s="41">
        <f>INDEX('[1]End - Use Prices'!$C$6:$AL$89,MATCH($C45,'[1]End - Use Prices'!$A$6:$A$89,0)+MATCH($D45,'[1]End - Use Prices'!$B$9:$B$11,0)-1,MATCH(AY$1,'[1]End - Use Prices'!$C$7:$AL$7,0))</f>
        <v>10.16</v>
      </c>
      <c r="AZ45" s="41">
        <f>INDEX('[1]End - Use Prices'!$C$6:$AL$89,MATCH($C45,'[1]End - Use Prices'!$A$6:$A$89,0)+MATCH($D45,'[1]End - Use Prices'!$B$9:$B$11,0)-1,MATCH(AZ$1,'[1]End - Use Prices'!$C$7:$AL$7,0))</f>
        <v>10.28</v>
      </c>
      <c r="BA45" s="41">
        <f>INDEX('[1]End - Use Prices'!$C$6:$AL$89,MATCH($C45,'[1]End - Use Prices'!$A$6:$A$89,0)+MATCH($D45,'[1]End - Use Prices'!$B$9:$B$11,0)-1,MATCH(BA$1,'[1]End - Use Prices'!$C$7:$AL$7,0))</f>
        <v>10.34</v>
      </c>
      <c r="BB45" s="41">
        <f>INDEX('[1]End - Use Prices'!$C$6:$AL$89,MATCH($C45,'[1]End - Use Prices'!$A$6:$A$89,0)+MATCH($D45,'[1]End - Use Prices'!$B$9:$B$11,0)-1,MATCH(BB$1,'[1]End - Use Prices'!$C$7:$AL$7,0))</f>
        <v>10.41</v>
      </c>
      <c r="BC45" s="41">
        <f>INDEX('[1]End - Use Prices'!$C$6:$AL$89,MATCH($C45,'[1]End - Use Prices'!$A$6:$A$89,0)+MATCH($D45,'[1]End - Use Prices'!$B$9:$B$11,0)-1,MATCH(BC$1,'[1]End - Use Prices'!$C$7:$AL$7,0))</f>
        <v>10.46</v>
      </c>
      <c r="BD45" s="41">
        <f>INDEX('[1]End - Use Prices'!$C$6:$AL$89,MATCH($C45,'[1]End - Use Prices'!$A$6:$A$89,0)+MATCH($D45,'[1]End - Use Prices'!$B$9:$B$11,0)-1,MATCH(BD$1,'[1]End - Use Prices'!$C$7:$AL$7,0))</f>
        <v>10.5</v>
      </c>
      <c r="BE45" s="41">
        <f>INDEX('[1]End - Use Prices'!$C$6:$AL$89,MATCH($C45,'[1]End - Use Prices'!$A$6:$A$89,0)+MATCH($D45,'[1]End - Use Prices'!$B$9:$B$11,0)-1,MATCH(BE$1,'[1]End - Use Prices'!$C$7:$AL$7,0))</f>
        <v>10.54</v>
      </c>
      <c r="BF45" s="41">
        <f>INDEX('[1]End - Use Prices'!$C$6:$AL$89,MATCH($C45,'[1]End - Use Prices'!$A$6:$A$89,0)+MATCH($D45,'[1]End - Use Prices'!$B$9:$B$11,0)-1,MATCH(BF$1,'[1]End - Use Prices'!$C$7:$AL$7,0))</f>
        <v>10.57</v>
      </c>
      <c r="BG45" s="41">
        <f>INDEX('[1]End - Use Prices'!$C$6:$AL$89,MATCH($C45,'[1]End - Use Prices'!$A$6:$A$89,0)+MATCH($D45,'[1]End - Use Prices'!$B$9:$B$11,0)-1,MATCH(BG$1,'[1]End - Use Prices'!$C$7:$AL$7,0))</f>
        <v>10.59</v>
      </c>
      <c r="BR45" s="39"/>
      <c r="BS45" s="39"/>
      <c r="BT45" s="39"/>
      <c r="BU45" s="39"/>
      <c r="BV45" s="39"/>
      <c r="BW45" s="39"/>
      <c r="BX45" s="39"/>
      <c r="BY45" s="39"/>
      <c r="BZ45" s="39"/>
      <c r="CA45" s="39"/>
    </row>
    <row r="46" spans="1:79" x14ac:dyDescent="0.25">
      <c r="A46" s="5"/>
      <c r="B46" s="3"/>
      <c r="C46" s="25" t="s">
        <v>48</v>
      </c>
      <c r="D46" s="25" t="s">
        <v>280</v>
      </c>
      <c r="E46" s="25" t="s">
        <v>282</v>
      </c>
      <c r="F46" s="67" t="s">
        <v>279</v>
      </c>
      <c r="G46" s="53">
        <f t="shared" si="4"/>
        <v>25.71</v>
      </c>
      <c r="H46" s="34">
        <f t="shared" si="7"/>
        <v>25.71</v>
      </c>
      <c r="I46" s="34">
        <f t="shared" si="7"/>
        <v>26.91</v>
      </c>
      <c r="J46" s="34">
        <f t="shared" si="7"/>
        <v>28.23</v>
      </c>
      <c r="K46" s="34">
        <f t="shared" si="7"/>
        <v>38.950000000000003</v>
      </c>
      <c r="L46" s="34">
        <f t="shared" si="7"/>
        <v>34.25</v>
      </c>
      <c r="M46" s="34">
        <f t="shared" si="7"/>
        <v>33.67</v>
      </c>
      <c r="N46" s="34">
        <f t="shared" si="7"/>
        <v>33.49</v>
      </c>
      <c r="O46" s="34">
        <f t="shared" si="7"/>
        <v>33.18</v>
      </c>
      <c r="P46" s="53">
        <f t="shared" si="8"/>
        <v>33.18</v>
      </c>
      <c r="Q46" s="53">
        <f t="shared" si="8"/>
        <v>33.18</v>
      </c>
      <c r="R46" s="38"/>
      <c r="X46" s="41">
        <f>INDEX('[1]End - Use Prices'!$C$6:$AL$89,MATCH($C46,'[1]End - Use Prices'!$A$6:$A$89,0)+MATCH($D46,'[1]End - Use Prices'!$B$9:$B$11,0)-1,MATCH(X$1,'[1]End - Use Prices'!$C$7:$AL$7,0))</f>
        <v>25.71</v>
      </c>
      <c r="Y46" s="41">
        <f>INDEX('[1]End - Use Prices'!$C$6:$AL$89,MATCH($C46,'[1]End - Use Prices'!$A$6:$A$89,0)+MATCH($D46,'[1]End - Use Prices'!$B$9:$B$11,0)-1,MATCH(Y$1,'[1]End - Use Prices'!$C$7:$AL$7,0))</f>
        <v>26.31</v>
      </c>
      <c r="Z46" s="41">
        <f>INDEX('[1]End - Use Prices'!$C$6:$AL$89,MATCH($C46,'[1]End - Use Prices'!$A$6:$A$89,0)+MATCH($D46,'[1]End - Use Prices'!$B$9:$B$11,0)-1,MATCH(Z$1,'[1]End - Use Prices'!$C$7:$AL$7,0))</f>
        <v>26.43</v>
      </c>
      <c r="AA46" s="41">
        <f>INDEX('[1]End - Use Prices'!$C$6:$AL$89,MATCH($C46,'[1]End - Use Prices'!$A$6:$A$89,0)+MATCH($D46,'[1]End - Use Prices'!$B$9:$B$11,0)-1,MATCH(AA$1,'[1]End - Use Prices'!$C$7:$AL$7,0))</f>
        <v>33.200000000000003</v>
      </c>
      <c r="AB46" s="41">
        <f>INDEX('[1]End - Use Prices'!$C$6:$AL$89,MATCH($C46,'[1]End - Use Prices'!$A$6:$A$89,0)+MATCH($D46,'[1]End - Use Prices'!$B$9:$B$11,0)-1,MATCH(AB$1,'[1]End - Use Prices'!$C$7:$AL$7,0))</f>
        <v>23.79</v>
      </c>
      <c r="AC46" s="41">
        <f>INDEX('[1]End - Use Prices'!$C$6:$AL$89,MATCH($C46,'[1]End - Use Prices'!$A$6:$A$89,0)+MATCH($D46,'[1]End - Use Prices'!$B$9:$B$11,0)-1,MATCH(AC$1,'[1]End - Use Prices'!$C$7:$AL$7,0))</f>
        <v>26.91</v>
      </c>
      <c r="AD46" s="41">
        <f>INDEX('[1]End - Use Prices'!$C$6:$AL$89,MATCH($C46,'[1]End - Use Prices'!$A$6:$A$89,0)+MATCH($D46,'[1]End - Use Prices'!$B$9:$B$11,0)-1,MATCH(AD$1,'[1]End - Use Prices'!$C$7:$AL$7,0))</f>
        <v>32.58</v>
      </c>
      <c r="AE46" s="41">
        <f>INDEX('[1]End - Use Prices'!$C$6:$AL$89,MATCH($C46,'[1]End - Use Prices'!$A$6:$A$89,0)+MATCH($D46,'[1]End - Use Prices'!$B$9:$B$11,0)-1,MATCH(AE$1,'[1]End - Use Prices'!$C$7:$AL$7,0))</f>
        <v>33.74</v>
      </c>
      <c r="AF46" s="41">
        <f>INDEX('[1]End - Use Prices'!$C$6:$AL$89,MATCH($C46,'[1]End - Use Prices'!$A$6:$A$89,0)+MATCH($D46,'[1]End - Use Prices'!$B$9:$B$11,0)-1,MATCH(AF$1,'[1]End - Use Prices'!$C$7:$AL$7,0))</f>
        <v>33.31</v>
      </c>
      <c r="AG46" s="41">
        <f>INDEX('[1]End - Use Prices'!$C$6:$AL$89,MATCH($C46,'[1]End - Use Prices'!$A$6:$A$89,0)+MATCH($D46,'[1]End - Use Prices'!$B$9:$B$11,0)-1,MATCH(AG$1,'[1]End - Use Prices'!$C$7:$AL$7,0))</f>
        <v>34.46</v>
      </c>
      <c r="AH46" s="41">
        <f>INDEX('[1]End - Use Prices'!$C$6:$AL$89,MATCH($C46,'[1]End - Use Prices'!$A$6:$A$89,0)+MATCH($D46,'[1]End - Use Prices'!$B$9:$B$11,0)-1,MATCH(AH$1,'[1]End - Use Prices'!$C$7:$AL$7,0))</f>
        <v>28.23</v>
      </c>
      <c r="AI46" s="41">
        <f>INDEX('[1]End - Use Prices'!$C$6:$AL$89,MATCH($C46,'[1]End - Use Prices'!$A$6:$A$89,0)+MATCH($D46,'[1]End - Use Prices'!$B$9:$B$11,0)-1,MATCH(AI$1,'[1]End - Use Prices'!$C$7:$AL$7,0))</f>
        <v>24.61</v>
      </c>
      <c r="AJ46" s="41">
        <f>INDEX('[1]End - Use Prices'!$C$6:$AL$89,MATCH($C46,'[1]End - Use Prices'!$A$6:$A$89,0)+MATCH($D46,'[1]End - Use Prices'!$B$9:$B$11,0)-1,MATCH(AJ$1,'[1]End - Use Prices'!$C$7:$AL$7,0))</f>
        <v>27.26</v>
      </c>
      <c r="AK46" s="41">
        <f>INDEX('[1]End - Use Prices'!$C$6:$AL$89,MATCH($C46,'[1]End - Use Prices'!$A$6:$A$89,0)+MATCH($D46,'[1]End - Use Prices'!$B$9:$B$11,0)-1,MATCH(AK$1,'[1]End - Use Prices'!$C$7:$AL$7,0))</f>
        <v>31.59</v>
      </c>
      <c r="AL46" s="41">
        <f>INDEX('[1]End - Use Prices'!$C$6:$AL$89,MATCH($C46,'[1]End - Use Prices'!$A$6:$A$89,0)+MATCH($D46,'[1]End - Use Prices'!$B$9:$B$11,0)-1,MATCH(AL$1,'[1]End - Use Prices'!$C$7:$AL$7,0))</f>
        <v>35.08</v>
      </c>
      <c r="AM46" s="41">
        <f>INDEX('[1]End - Use Prices'!$C$6:$AL$89,MATCH($C46,'[1]End - Use Prices'!$A$6:$A$89,0)+MATCH($D46,'[1]End - Use Prices'!$B$9:$B$11,0)-1,MATCH(AM$1,'[1]End - Use Prices'!$C$7:$AL$7,0))</f>
        <v>38.950000000000003</v>
      </c>
      <c r="AN46" s="41">
        <f>INDEX('[1]End - Use Prices'!$C$6:$AL$89,MATCH($C46,'[1]End - Use Prices'!$A$6:$A$89,0)+MATCH($D46,'[1]End - Use Prices'!$B$9:$B$11,0)-1,MATCH(AN$1,'[1]End - Use Prices'!$C$7:$AL$7,0))</f>
        <v>36.01</v>
      </c>
      <c r="AO46" s="41">
        <f>INDEX('[1]End - Use Prices'!$C$6:$AL$89,MATCH($C46,'[1]End - Use Prices'!$A$6:$A$89,0)+MATCH($D46,'[1]End - Use Prices'!$B$9:$B$11,0)-1,MATCH(AO$1,'[1]End - Use Prices'!$C$7:$AL$7,0))</f>
        <v>34.17</v>
      </c>
      <c r="AP46" s="41">
        <f>INDEX('[1]End - Use Prices'!$C$6:$AL$89,MATCH($C46,'[1]End - Use Prices'!$A$6:$A$89,0)+MATCH($D46,'[1]End - Use Prices'!$B$9:$B$11,0)-1,MATCH(AP$1,'[1]End - Use Prices'!$C$7:$AL$7,0))</f>
        <v>34.06</v>
      </c>
      <c r="AQ46" s="41">
        <f>INDEX('[1]End - Use Prices'!$C$6:$AL$89,MATCH($C46,'[1]End - Use Prices'!$A$6:$A$89,0)+MATCH($D46,'[1]End - Use Prices'!$B$9:$B$11,0)-1,MATCH(AQ$1,'[1]End - Use Prices'!$C$7:$AL$7,0))</f>
        <v>34.04</v>
      </c>
      <c r="AR46" s="41">
        <f>INDEX('[1]End - Use Prices'!$C$6:$AL$89,MATCH($C46,'[1]End - Use Prices'!$A$6:$A$89,0)+MATCH($D46,'[1]End - Use Prices'!$B$9:$B$11,0)-1,MATCH(AR$1,'[1]End - Use Prices'!$C$7:$AL$7,0))</f>
        <v>34.25</v>
      </c>
      <c r="AS46" s="41">
        <f>INDEX('[1]End - Use Prices'!$C$6:$AL$89,MATCH($C46,'[1]End - Use Prices'!$A$6:$A$89,0)+MATCH($D46,'[1]End - Use Prices'!$B$9:$B$11,0)-1,MATCH(AS$1,'[1]End - Use Prices'!$C$7:$AL$7,0))</f>
        <v>34.39</v>
      </c>
      <c r="AT46" s="41">
        <f>INDEX('[1]End - Use Prices'!$C$6:$AL$89,MATCH($C46,'[1]End - Use Prices'!$A$6:$A$89,0)+MATCH($D46,'[1]End - Use Prices'!$B$9:$B$11,0)-1,MATCH(AT$1,'[1]End - Use Prices'!$C$7:$AL$7,0))</f>
        <v>34.22</v>
      </c>
      <c r="AU46" s="41">
        <f>INDEX('[1]End - Use Prices'!$C$6:$AL$89,MATCH($C46,'[1]End - Use Prices'!$A$6:$A$89,0)+MATCH($D46,'[1]End - Use Prices'!$B$9:$B$11,0)-1,MATCH(AU$1,'[1]End - Use Prices'!$C$7:$AL$7,0))</f>
        <v>34.020000000000003</v>
      </c>
      <c r="AV46" s="41">
        <f>INDEX('[1]End - Use Prices'!$C$6:$AL$89,MATCH($C46,'[1]End - Use Prices'!$A$6:$A$89,0)+MATCH($D46,'[1]End - Use Prices'!$B$9:$B$11,0)-1,MATCH(AV$1,'[1]End - Use Prices'!$C$7:$AL$7,0))</f>
        <v>33.840000000000003</v>
      </c>
      <c r="AW46" s="41">
        <f>INDEX('[1]End - Use Prices'!$C$6:$AL$89,MATCH($C46,'[1]End - Use Prices'!$A$6:$A$89,0)+MATCH($D46,'[1]End - Use Prices'!$B$9:$B$11,0)-1,MATCH(AW$1,'[1]End - Use Prices'!$C$7:$AL$7,0))</f>
        <v>33.67</v>
      </c>
      <c r="AX46" s="41">
        <f>INDEX('[1]End - Use Prices'!$C$6:$AL$89,MATCH($C46,'[1]End - Use Prices'!$A$6:$A$89,0)+MATCH($D46,'[1]End - Use Prices'!$B$9:$B$11,0)-1,MATCH(AX$1,'[1]End - Use Prices'!$C$7:$AL$7,0))</f>
        <v>33.58</v>
      </c>
      <c r="AY46" s="41">
        <f>INDEX('[1]End - Use Prices'!$C$6:$AL$89,MATCH($C46,'[1]End - Use Prices'!$A$6:$A$89,0)+MATCH($D46,'[1]End - Use Prices'!$B$9:$B$11,0)-1,MATCH(AY$1,'[1]End - Use Prices'!$C$7:$AL$7,0))</f>
        <v>33.51</v>
      </c>
      <c r="AZ46" s="41">
        <f>INDEX('[1]End - Use Prices'!$C$6:$AL$89,MATCH($C46,'[1]End - Use Prices'!$A$6:$A$89,0)+MATCH($D46,'[1]End - Use Prices'!$B$9:$B$11,0)-1,MATCH(AZ$1,'[1]End - Use Prices'!$C$7:$AL$7,0))</f>
        <v>33.49</v>
      </c>
      <c r="BA46" s="41">
        <f>INDEX('[1]End - Use Prices'!$C$6:$AL$89,MATCH($C46,'[1]End - Use Prices'!$A$6:$A$89,0)+MATCH($D46,'[1]End - Use Prices'!$B$9:$B$11,0)-1,MATCH(BA$1,'[1]End - Use Prices'!$C$7:$AL$7,0))</f>
        <v>33.5</v>
      </c>
      <c r="BB46" s="41">
        <f>INDEX('[1]End - Use Prices'!$C$6:$AL$89,MATCH($C46,'[1]End - Use Prices'!$A$6:$A$89,0)+MATCH($D46,'[1]End - Use Prices'!$B$9:$B$11,0)-1,MATCH(BB$1,'[1]End - Use Prices'!$C$7:$AL$7,0))</f>
        <v>33.49</v>
      </c>
      <c r="BC46" s="41">
        <f>INDEX('[1]End - Use Prices'!$C$6:$AL$89,MATCH($C46,'[1]End - Use Prices'!$A$6:$A$89,0)+MATCH($D46,'[1]End - Use Prices'!$B$9:$B$11,0)-1,MATCH(BC$1,'[1]End - Use Prices'!$C$7:$AL$7,0))</f>
        <v>33.46</v>
      </c>
      <c r="BD46" s="41">
        <f>INDEX('[1]End - Use Prices'!$C$6:$AL$89,MATCH($C46,'[1]End - Use Prices'!$A$6:$A$89,0)+MATCH($D46,'[1]End - Use Prices'!$B$9:$B$11,0)-1,MATCH(BD$1,'[1]End - Use Prices'!$C$7:$AL$7,0))</f>
        <v>33.42</v>
      </c>
      <c r="BE46" s="41">
        <f>INDEX('[1]End - Use Prices'!$C$6:$AL$89,MATCH($C46,'[1]End - Use Prices'!$A$6:$A$89,0)+MATCH($D46,'[1]End - Use Prices'!$B$9:$B$11,0)-1,MATCH(BE$1,'[1]End - Use Prices'!$C$7:$AL$7,0))</f>
        <v>33.340000000000003</v>
      </c>
      <c r="BF46" s="41">
        <f>INDEX('[1]End - Use Prices'!$C$6:$AL$89,MATCH($C46,'[1]End - Use Prices'!$A$6:$A$89,0)+MATCH($D46,'[1]End - Use Prices'!$B$9:$B$11,0)-1,MATCH(BF$1,'[1]End - Use Prices'!$C$7:$AL$7,0))</f>
        <v>33.270000000000003</v>
      </c>
      <c r="BG46" s="41">
        <f>INDEX('[1]End - Use Prices'!$C$6:$AL$89,MATCH($C46,'[1]End - Use Prices'!$A$6:$A$89,0)+MATCH($D46,'[1]End - Use Prices'!$B$9:$B$11,0)-1,MATCH(BG$1,'[1]End - Use Prices'!$C$7:$AL$7,0))</f>
        <v>33.18</v>
      </c>
      <c r="BR46" s="39"/>
      <c r="BS46" s="39"/>
      <c r="BT46" s="39"/>
      <c r="BU46" s="39"/>
      <c r="BV46" s="39"/>
      <c r="BW46" s="39"/>
      <c r="BX46" s="39"/>
      <c r="BY46" s="39"/>
      <c r="BZ46" s="39"/>
      <c r="CA46" s="39"/>
    </row>
    <row r="47" spans="1:79" x14ac:dyDescent="0.25">
      <c r="A47" s="5"/>
      <c r="B47" s="3"/>
      <c r="C47" s="25" t="s">
        <v>85</v>
      </c>
      <c r="D47" s="25" t="s">
        <v>280</v>
      </c>
      <c r="E47" s="25" t="s">
        <v>282</v>
      </c>
      <c r="F47" s="67" t="s">
        <v>279</v>
      </c>
      <c r="G47" s="53">
        <f t="shared" si="4"/>
        <v>25.86</v>
      </c>
      <c r="H47" s="34">
        <f t="shared" si="7"/>
        <v>25.86</v>
      </c>
      <c r="I47" s="34">
        <f t="shared" si="7"/>
        <v>26.25</v>
      </c>
      <c r="J47" s="34">
        <f t="shared" si="7"/>
        <v>22.78</v>
      </c>
      <c r="K47" s="34">
        <f t="shared" si="7"/>
        <v>35.65</v>
      </c>
      <c r="L47" s="34">
        <f t="shared" si="7"/>
        <v>31.1</v>
      </c>
      <c r="M47" s="34">
        <f t="shared" si="7"/>
        <v>30.26</v>
      </c>
      <c r="N47" s="34">
        <f t="shared" si="7"/>
        <v>30.03</v>
      </c>
      <c r="O47" s="34">
        <f t="shared" si="7"/>
        <v>29.65</v>
      </c>
      <c r="P47" s="53">
        <f t="shared" si="8"/>
        <v>29.65</v>
      </c>
      <c r="Q47" s="53">
        <f t="shared" si="8"/>
        <v>29.65</v>
      </c>
      <c r="R47" s="38"/>
      <c r="X47" s="41">
        <f>INDEX('[1]End - Use Prices'!$C$6:$AL$89,MATCH($C47,'[1]End - Use Prices'!$A$6:$A$89,0)+MATCH($D47,'[1]End - Use Prices'!$B$9:$B$11,0)-1,MATCH(X$1,'[1]End - Use Prices'!$C$7:$AL$7,0))</f>
        <v>25.86</v>
      </c>
      <c r="Y47" s="41">
        <f>INDEX('[1]End - Use Prices'!$C$6:$AL$89,MATCH($C47,'[1]End - Use Prices'!$A$6:$A$89,0)+MATCH($D47,'[1]End - Use Prices'!$B$9:$B$11,0)-1,MATCH(Y$1,'[1]End - Use Prices'!$C$7:$AL$7,0))</f>
        <v>27.18</v>
      </c>
      <c r="Z47" s="41">
        <f>INDEX('[1]End - Use Prices'!$C$6:$AL$89,MATCH($C47,'[1]End - Use Prices'!$A$6:$A$89,0)+MATCH($D47,'[1]End - Use Prices'!$B$9:$B$11,0)-1,MATCH(Z$1,'[1]End - Use Prices'!$C$7:$AL$7,0))</f>
        <v>27.19</v>
      </c>
      <c r="AA47" s="41">
        <f>INDEX('[1]End - Use Prices'!$C$6:$AL$89,MATCH($C47,'[1]End - Use Prices'!$A$6:$A$89,0)+MATCH($D47,'[1]End - Use Prices'!$B$9:$B$11,0)-1,MATCH(AA$1,'[1]End - Use Prices'!$C$7:$AL$7,0))</f>
        <v>32.65</v>
      </c>
      <c r="AB47" s="41">
        <f>INDEX('[1]End - Use Prices'!$C$6:$AL$89,MATCH($C47,'[1]End - Use Prices'!$A$6:$A$89,0)+MATCH($D47,'[1]End - Use Prices'!$B$9:$B$11,0)-1,MATCH(AB$1,'[1]End - Use Prices'!$C$7:$AL$7,0))</f>
        <v>22.7</v>
      </c>
      <c r="AC47" s="41">
        <f>INDEX('[1]End - Use Prices'!$C$6:$AL$89,MATCH($C47,'[1]End - Use Prices'!$A$6:$A$89,0)+MATCH($D47,'[1]End - Use Prices'!$B$9:$B$11,0)-1,MATCH(AC$1,'[1]End - Use Prices'!$C$7:$AL$7,0))</f>
        <v>26.25</v>
      </c>
      <c r="AD47" s="41">
        <f>INDEX('[1]End - Use Prices'!$C$6:$AL$89,MATCH($C47,'[1]End - Use Prices'!$A$6:$A$89,0)+MATCH($D47,'[1]End - Use Prices'!$B$9:$B$11,0)-1,MATCH(AD$1,'[1]End - Use Prices'!$C$7:$AL$7,0))</f>
        <v>31.74</v>
      </c>
      <c r="AE47" s="41">
        <f>INDEX('[1]End - Use Prices'!$C$6:$AL$89,MATCH($C47,'[1]End - Use Prices'!$A$6:$A$89,0)+MATCH($D47,'[1]End - Use Prices'!$B$9:$B$11,0)-1,MATCH(AE$1,'[1]End - Use Prices'!$C$7:$AL$7,0))</f>
        <v>32.58</v>
      </c>
      <c r="AF47" s="41">
        <f>INDEX('[1]End - Use Prices'!$C$6:$AL$89,MATCH($C47,'[1]End - Use Prices'!$A$6:$A$89,0)+MATCH($D47,'[1]End - Use Prices'!$B$9:$B$11,0)-1,MATCH(AF$1,'[1]End - Use Prices'!$C$7:$AL$7,0))</f>
        <v>29.61</v>
      </c>
      <c r="AG47" s="41">
        <f>INDEX('[1]End - Use Prices'!$C$6:$AL$89,MATCH($C47,'[1]End - Use Prices'!$A$6:$A$89,0)+MATCH($D47,'[1]End - Use Prices'!$B$9:$B$11,0)-1,MATCH(AG$1,'[1]End - Use Prices'!$C$7:$AL$7,0))</f>
        <v>29.41</v>
      </c>
      <c r="AH47" s="41">
        <f>INDEX('[1]End - Use Prices'!$C$6:$AL$89,MATCH($C47,'[1]End - Use Prices'!$A$6:$A$89,0)+MATCH($D47,'[1]End - Use Prices'!$B$9:$B$11,0)-1,MATCH(AH$1,'[1]End - Use Prices'!$C$7:$AL$7,0))</f>
        <v>22.78</v>
      </c>
      <c r="AI47" s="41">
        <f>INDEX('[1]End - Use Prices'!$C$6:$AL$89,MATCH($C47,'[1]End - Use Prices'!$A$6:$A$89,0)+MATCH($D47,'[1]End - Use Prices'!$B$9:$B$11,0)-1,MATCH(AI$1,'[1]End - Use Prices'!$C$7:$AL$7,0))</f>
        <v>21.05</v>
      </c>
      <c r="AJ47" s="41">
        <f>INDEX('[1]End - Use Prices'!$C$6:$AL$89,MATCH($C47,'[1]End - Use Prices'!$A$6:$A$89,0)+MATCH($D47,'[1]End - Use Prices'!$B$9:$B$11,0)-1,MATCH(AJ$1,'[1]End - Use Prices'!$C$7:$AL$7,0))</f>
        <v>24</v>
      </c>
      <c r="AK47" s="41">
        <f>INDEX('[1]End - Use Prices'!$C$6:$AL$89,MATCH($C47,'[1]End - Use Prices'!$A$6:$A$89,0)+MATCH($D47,'[1]End - Use Prices'!$B$9:$B$11,0)-1,MATCH(AK$1,'[1]End - Use Prices'!$C$7:$AL$7,0))</f>
        <v>27.31</v>
      </c>
      <c r="AL47" s="41">
        <f>INDEX('[1]End - Use Prices'!$C$6:$AL$89,MATCH($C47,'[1]End - Use Prices'!$A$6:$A$89,0)+MATCH($D47,'[1]End - Use Prices'!$B$9:$B$11,0)-1,MATCH(AL$1,'[1]End - Use Prices'!$C$7:$AL$7,0))</f>
        <v>30.69</v>
      </c>
      <c r="AM47" s="41">
        <f>INDEX('[1]End - Use Prices'!$C$6:$AL$89,MATCH($C47,'[1]End - Use Prices'!$A$6:$A$89,0)+MATCH($D47,'[1]End - Use Prices'!$B$9:$B$11,0)-1,MATCH(AM$1,'[1]End - Use Prices'!$C$7:$AL$7,0))</f>
        <v>35.65</v>
      </c>
      <c r="AN47" s="41">
        <f>INDEX('[1]End - Use Prices'!$C$6:$AL$89,MATCH($C47,'[1]End - Use Prices'!$A$6:$A$89,0)+MATCH($D47,'[1]End - Use Prices'!$B$9:$B$11,0)-1,MATCH(AN$1,'[1]End - Use Prices'!$C$7:$AL$7,0))</f>
        <v>32.92</v>
      </c>
      <c r="AO47" s="41">
        <f>INDEX('[1]End - Use Prices'!$C$6:$AL$89,MATCH($C47,'[1]End - Use Prices'!$A$6:$A$89,0)+MATCH($D47,'[1]End - Use Prices'!$B$9:$B$11,0)-1,MATCH(AO$1,'[1]End - Use Prices'!$C$7:$AL$7,0))</f>
        <v>31.27</v>
      </c>
      <c r="AP47" s="41">
        <f>INDEX('[1]End - Use Prices'!$C$6:$AL$89,MATCH($C47,'[1]End - Use Prices'!$A$6:$A$89,0)+MATCH($D47,'[1]End - Use Prices'!$B$9:$B$11,0)-1,MATCH(AP$1,'[1]End - Use Prices'!$C$7:$AL$7,0))</f>
        <v>31.4</v>
      </c>
      <c r="AQ47" s="41">
        <f>INDEX('[1]End - Use Prices'!$C$6:$AL$89,MATCH($C47,'[1]End - Use Prices'!$A$6:$A$89,0)+MATCH($D47,'[1]End - Use Prices'!$B$9:$B$11,0)-1,MATCH(AQ$1,'[1]End - Use Prices'!$C$7:$AL$7,0))</f>
        <v>31.13</v>
      </c>
      <c r="AR47" s="41">
        <f>INDEX('[1]End - Use Prices'!$C$6:$AL$89,MATCH($C47,'[1]End - Use Prices'!$A$6:$A$89,0)+MATCH($D47,'[1]End - Use Prices'!$B$9:$B$11,0)-1,MATCH(AR$1,'[1]End - Use Prices'!$C$7:$AL$7,0))</f>
        <v>31.1</v>
      </c>
      <c r="AS47" s="41">
        <f>INDEX('[1]End - Use Prices'!$C$6:$AL$89,MATCH($C47,'[1]End - Use Prices'!$A$6:$A$89,0)+MATCH($D47,'[1]End - Use Prices'!$B$9:$B$11,0)-1,MATCH(AS$1,'[1]End - Use Prices'!$C$7:$AL$7,0))</f>
        <v>31.02</v>
      </c>
      <c r="AT47" s="41">
        <f>INDEX('[1]End - Use Prices'!$C$6:$AL$89,MATCH($C47,'[1]End - Use Prices'!$A$6:$A$89,0)+MATCH($D47,'[1]End - Use Prices'!$B$9:$B$11,0)-1,MATCH(AT$1,'[1]End - Use Prices'!$C$7:$AL$7,0))</f>
        <v>30.85</v>
      </c>
      <c r="AU47" s="41">
        <f>INDEX('[1]End - Use Prices'!$C$6:$AL$89,MATCH($C47,'[1]End - Use Prices'!$A$6:$A$89,0)+MATCH($D47,'[1]End - Use Prices'!$B$9:$B$11,0)-1,MATCH(AU$1,'[1]End - Use Prices'!$C$7:$AL$7,0))</f>
        <v>30.63</v>
      </c>
      <c r="AV47" s="41">
        <f>INDEX('[1]End - Use Prices'!$C$6:$AL$89,MATCH($C47,'[1]End - Use Prices'!$A$6:$A$89,0)+MATCH($D47,'[1]End - Use Prices'!$B$9:$B$11,0)-1,MATCH(AV$1,'[1]End - Use Prices'!$C$7:$AL$7,0))</f>
        <v>30.45</v>
      </c>
      <c r="AW47" s="41">
        <f>INDEX('[1]End - Use Prices'!$C$6:$AL$89,MATCH($C47,'[1]End - Use Prices'!$A$6:$A$89,0)+MATCH($D47,'[1]End - Use Prices'!$B$9:$B$11,0)-1,MATCH(AW$1,'[1]End - Use Prices'!$C$7:$AL$7,0))</f>
        <v>30.26</v>
      </c>
      <c r="AX47" s="41">
        <f>INDEX('[1]End - Use Prices'!$C$6:$AL$89,MATCH($C47,'[1]End - Use Prices'!$A$6:$A$89,0)+MATCH($D47,'[1]End - Use Prices'!$B$9:$B$11,0)-1,MATCH(AX$1,'[1]End - Use Prices'!$C$7:$AL$7,0))</f>
        <v>30.15</v>
      </c>
      <c r="AY47" s="41">
        <f>INDEX('[1]End - Use Prices'!$C$6:$AL$89,MATCH($C47,'[1]End - Use Prices'!$A$6:$A$89,0)+MATCH($D47,'[1]End - Use Prices'!$B$9:$B$11,0)-1,MATCH(AY$1,'[1]End - Use Prices'!$C$7:$AL$7,0))</f>
        <v>30.08</v>
      </c>
      <c r="AZ47" s="41">
        <f>INDEX('[1]End - Use Prices'!$C$6:$AL$89,MATCH($C47,'[1]End - Use Prices'!$A$6:$A$89,0)+MATCH($D47,'[1]End - Use Prices'!$B$9:$B$11,0)-1,MATCH(AZ$1,'[1]End - Use Prices'!$C$7:$AL$7,0))</f>
        <v>30.05</v>
      </c>
      <c r="BA47" s="41">
        <f>INDEX('[1]End - Use Prices'!$C$6:$AL$89,MATCH($C47,'[1]End - Use Prices'!$A$6:$A$89,0)+MATCH($D47,'[1]End - Use Prices'!$B$9:$B$11,0)-1,MATCH(BA$1,'[1]End - Use Prices'!$C$7:$AL$7,0))</f>
        <v>30.05</v>
      </c>
      <c r="BB47" s="41">
        <f>INDEX('[1]End - Use Prices'!$C$6:$AL$89,MATCH($C47,'[1]End - Use Prices'!$A$6:$A$89,0)+MATCH($D47,'[1]End - Use Prices'!$B$9:$B$11,0)-1,MATCH(BB$1,'[1]End - Use Prices'!$C$7:$AL$7,0))</f>
        <v>30.03</v>
      </c>
      <c r="BC47" s="41">
        <f>INDEX('[1]End - Use Prices'!$C$6:$AL$89,MATCH($C47,'[1]End - Use Prices'!$A$6:$A$89,0)+MATCH($D47,'[1]End - Use Prices'!$B$9:$B$11,0)-1,MATCH(BC$1,'[1]End - Use Prices'!$C$7:$AL$7,0))</f>
        <v>29.99</v>
      </c>
      <c r="BD47" s="41">
        <f>INDEX('[1]End - Use Prices'!$C$6:$AL$89,MATCH($C47,'[1]End - Use Prices'!$A$6:$A$89,0)+MATCH($D47,'[1]End - Use Prices'!$B$9:$B$11,0)-1,MATCH(BD$1,'[1]End - Use Prices'!$C$7:$AL$7,0))</f>
        <v>29.93</v>
      </c>
      <c r="BE47" s="41">
        <f>INDEX('[1]End - Use Prices'!$C$6:$AL$89,MATCH($C47,'[1]End - Use Prices'!$A$6:$A$89,0)+MATCH($D47,'[1]End - Use Prices'!$B$9:$B$11,0)-1,MATCH(BE$1,'[1]End - Use Prices'!$C$7:$AL$7,0))</f>
        <v>29.84</v>
      </c>
      <c r="BF47" s="41">
        <f>INDEX('[1]End - Use Prices'!$C$6:$AL$89,MATCH($C47,'[1]End - Use Prices'!$A$6:$A$89,0)+MATCH($D47,'[1]End - Use Prices'!$B$9:$B$11,0)-1,MATCH(BF$1,'[1]End - Use Prices'!$C$7:$AL$7,0))</f>
        <v>29.75</v>
      </c>
      <c r="BG47" s="41">
        <f>INDEX('[1]End - Use Prices'!$C$6:$AL$89,MATCH($C47,'[1]End - Use Prices'!$A$6:$A$89,0)+MATCH($D47,'[1]End - Use Prices'!$B$9:$B$11,0)-1,MATCH(BG$1,'[1]End - Use Prices'!$C$7:$AL$7,0))</f>
        <v>29.65</v>
      </c>
      <c r="BR47" s="39"/>
      <c r="BS47" s="39"/>
      <c r="BT47" s="39"/>
      <c r="BU47" s="39"/>
      <c r="BV47" s="39"/>
      <c r="BW47" s="39"/>
      <c r="BX47" s="39"/>
      <c r="BY47" s="39"/>
      <c r="BZ47" s="39"/>
      <c r="CA47" s="39"/>
    </row>
    <row r="48" spans="1:79" x14ac:dyDescent="0.25">
      <c r="A48" s="5"/>
      <c r="B48" s="3"/>
      <c r="C48" s="25" t="s">
        <v>86</v>
      </c>
      <c r="D48" s="25" t="s">
        <v>280</v>
      </c>
      <c r="E48" s="25" t="s">
        <v>282</v>
      </c>
      <c r="F48" s="67" t="s">
        <v>279</v>
      </c>
      <c r="G48" s="53">
        <f t="shared" si="4"/>
        <v>24.29</v>
      </c>
      <c r="H48" s="34">
        <f t="shared" si="7"/>
        <v>24.29</v>
      </c>
      <c r="I48" s="34">
        <f t="shared" si="7"/>
        <v>24.71</v>
      </c>
      <c r="J48" s="34">
        <f t="shared" si="7"/>
        <v>24.09</v>
      </c>
      <c r="K48" s="34">
        <f t="shared" si="7"/>
        <v>34.39</v>
      </c>
      <c r="L48" s="34">
        <f t="shared" si="7"/>
        <v>30.37</v>
      </c>
      <c r="M48" s="34">
        <f t="shared" si="7"/>
        <v>29.56</v>
      </c>
      <c r="N48" s="34">
        <f t="shared" si="7"/>
        <v>29.32</v>
      </c>
      <c r="O48" s="34">
        <f t="shared" si="7"/>
        <v>28.95</v>
      </c>
      <c r="P48" s="53">
        <f t="shared" si="8"/>
        <v>28.95</v>
      </c>
      <c r="Q48" s="53">
        <f t="shared" si="8"/>
        <v>28.95</v>
      </c>
      <c r="R48" s="38"/>
      <c r="X48" s="41">
        <f>INDEX('[1]End - Use Prices'!$C$6:$AL$89,MATCH($C48,'[1]End - Use Prices'!$A$6:$A$89,0)+MATCH($D48,'[1]End - Use Prices'!$B$9:$B$11,0)-1,MATCH(X$1,'[1]End - Use Prices'!$C$7:$AL$7,0))</f>
        <v>24.29</v>
      </c>
      <c r="Y48" s="41">
        <f>INDEX('[1]End - Use Prices'!$C$6:$AL$89,MATCH($C48,'[1]End - Use Prices'!$A$6:$A$89,0)+MATCH($D48,'[1]End - Use Prices'!$B$9:$B$11,0)-1,MATCH(Y$1,'[1]End - Use Prices'!$C$7:$AL$7,0))</f>
        <v>24.86</v>
      </c>
      <c r="Z48" s="41">
        <f>INDEX('[1]End - Use Prices'!$C$6:$AL$89,MATCH($C48,'[1]End - Use Prices'!$A$6:$A$89,0)+MATCH($D48,'[1]End - Use Prices'!$B$9:$B$11,0)-1,MATCH(Z$1,'[1]End - Use Prices'!$C$7:$AL$7,0))</f>
        <v>24.61</v>
      </c>
      <c r="AA48" s="41">
        <f>INDEX('[1]End - Use Prices'!$C$6:$AL$89,MATCH($C48,'[1]End - Use Prices'!$A$6:$A$89,0)+MATCH($D48,'[1]End - Use Prices'!$B$9:$B$11,0)-1,MATCH(AA$1,'[1]End - Use Prices'!$C$7:$AL$7,0))</f>
        <v>30.51</v>
      </c>
      <c r="AB48" s="41">
        <f>INDEX('[1]End - Use Prices'!$C$6:$AL$89,MATCH($C48,'[1]End - Use Prices'!$A$6:$A$89,0)+MATCH($D48,'[1]End - Use Prices'!$B$9:$B$11,0)-1,MATCH(AB$1,'[1]End - Use Prices'!$C$7:$AL$7,0))</f>
        <v>21.93</v>
      </c>
      <c r="AC48" s="41">
        <f>INDEX('[1]End - Use Prices'!$C$6:$AL$89,MATCH($C48,'[1]End - Use Prices'!$A$6:$A$89,0)+MATCH($D48,'[1]End - Use Prices'!$B$9:$B$11,0)-1,MATCH(AC$1,'[1]End - Use Prices'!$C$7:$AL$7,0))</f>
        <v>24.71</v>
      </c>
      <c r="AD48" s="41">
        <f>INDEX('[1]End - Use Prices'!$C$6:$AL$89,MATCH($C48,'[1]End - Use Prices'!$A$6:$A$89,0)+MATCH($D48,'[1]End - Use Prices'!$B$9:$B$11,0)-1,MATCH(AD$1,'[1]End - Use Prices'!$C$7:$AL$7,0))</f>
        <v>30.18</v>
      </c>
      <c r="AE48" s="41">
        <f>INDEX('[1]End - Use Prices'!$C$6:$AL$89,MATCH($C48,'[1]End - Use Prices'!$A$6:$A$89,0)+MATCH($D48,'[1]End - Use Prices'!$B$9:$B$11,0)-1,MATCH(AE$1,'[1]End - Use Prices'!$C$7:$AL$7,0))</f>
        <v>31.33</v>
      </c>
      <c r="AF48" s="41">
        <f>INDEX('[1]End - Use Prices'!$C$6:$AL$89,MATCH($C48,'[1]End - Use Prices'!$A$6:$A$89,0)+MATCH($D48,'[1]End - Use Prices'!$B$9:$B$11,0)-1,MATCH(AF$1,'[1]End - Use Prices'!$C$7:$AL$7,0))</f>
        <v>30.91</v>
      </c>
      <c r="AG48" s="41">
        <f>INDEX('[1]End - Use Prices'!$C$6:$AL$89,MATCH($C48,'[1]End - Use Prices'!$A$6:$A$89,0)+MATCH($D48,'[1]End - Use Prices'!$B$9:$B$11,0)-1,MATCH(AG$1,'[1]End - Use Prices'!$C$7:$AL$7,0))</f>
        <v>31</v>
      </c>
      <c r="AH48" s="41">
        <f>INDEX('[1]End - Use Prices'!$C$6:$AL$89,MATCH($C48,'[1]End - Use Prices'!$A$6:$A$89,0)+MATCH($D48,'[1]End - Use Prices'!$B$9:$B$11,0)-1,MATCH(AH$1,'[1]End - Use Prices'!$C$7:$AL$7,0))</f>
        <v>24.09</v>
      </c>
      <c r="AI48" s="41">
        <f>INDEX('[1]End - Use Prices'!$C$6:$AL$89,MATCH($C48,'[1]End - Use Prices'!$A$6:$A$89,0)+MATCH($D48,'[1]End - Use Prices'!$B$9:$B$11,0)-1,MATCH(AI$1,'[1]End - Use Prices'!$C$7:$AL$7,0))</f>
        <v>20.85</v>
      </c>
      <c r="AJ48" s="41">
        <f>INDEX('[1]End - Use Prices'!$C$6:$AL$89,MATCH($C48,'[1]End - Use Prices'!$A$6:$A$89,0)+MATCH($D48,'[1]End - Use Prices'!$B$9:$B$11,0)-1,MATCH(AJ$1,'[1]End - Use Prices'!$C$7:$AL$7,0))</f>
        <v>22.06</v>
      </c>
      <c r="AK48" s="41">
        <f>INDEX('[1]End - Use Prices'!$C$6:$AL$89,MATCH($C48,'[1]End - Use Prices'!$A$6:$A$89,0)+MATCH($D48,'[1]End - Use Prices'!$B$9:$B$11,0)-1,MATCH(AK$1,'[1]End - Use Prices'!$C$7:$AL$7,0))</f>
        <v>26.58</v>
      </c>
      <c r="AL48" s="41">
        <f>INDEX('[1]End - Use Prices'!$C$6:$AL$89,MATCH($C48,'[1]End - Use Prices'!$A$6:$A$89,0)+MATCH($D48,'[1]End - Use Prices'!$B$9:$B$11,0)-1,MATCH(AL$1,'[1]End - Use Prices'!$C$7:$AL$7,0))</f>
        <v>29.7</v>
      </c>
      <c r="AM48" s="41">
        <f>INDEX('[1]End - Use Prices'!$C$6:$AL$89,MATCH($C48,'[1]End - Use Prices'!$A$6:$A$89,0)+MATCH($D48,'[1]End - Use Prices'!$B$9:$B$11,0)-1,MATCH(AM$1,'[1]End - Use Prices'!$C$7:$AL$7,0))</f>
        <v>34.39</v>
      </c>
      <c r="AN48" s="41">
        <f>INDEX('[1]End - Use Prices'!$C$6:$AL$89,MATCH($C48,'[1]End - Use Prices'!$A$6:$A$89,0)+MATCH($D48,'[1]End - Use Prices'!$B$9:$B$11,0)-1,MATCH(AN$1,'[1]End - Use Prices'!$C$7:$AL$7,0))</f>
        <v>31.95</v>
      </c>
      <c r="AO48" s="41">
        <f>INDEX('[1]End - Use Prices'!$C$6:$AL$89,MATCH($C48,'[1]End - Use Prices'!$A$6:$A$89,0)+MATCH($D48,'[1]End - Use Prices'!$B$9:$B$11,0)-1,MATCH(AO$1,'[1]End - Use Prices'!$C$7:$AL$7,0))</f>
        <v>30.49</v>
      </c>
      <c r="AP48" s="41">
        <f>INDEX('[1]End - Use Prices'!$C$6:$AL$89,MATCH($C48,'[1]End - Use Prices'!$A$6:$A$89,0)+MATCH($D48,'[1]End - Use Prices'!$B$9:$B$11,0)-1,MATCH(AP$1,'[1]End - Use Prices'!$C$7:$AL$7,0))</f>
        <v>30.66</v>
      </c>
      <c r="AQ48" s="41">
        <f>INDEX('[1]End - Use Prices'!$C$6:$AL$89,MATCH($C48,'[1]End - Use Prices'!$A$6:$A$89,0)+MATCH($D48,'[1]End - Use Prices'!$B$9:$B$11,0)-1,MATCH(AQ$1,'[1]End - Use Prices'!$C$7:$AL$7,0))</f>
        <v>30.4</v>
      </c>
      <c r="AR48" s="41">
        <f>INDEX('[1]End - Use Prices'!$C$6:$AL$89,MATCH($C48,'[1]End - Use Prices'!$A$6:$A$89,0)+MATCH($D48,'[1]End - Use Prices'!$B$9:$B$11,0)-1,MATCH(AR$1,'[1]End - Use Prices'!$C$7:$AL$7,0))</f>
        <v>30.37</v>
      </c>
      <c r="AS48" s="41">
        <f>INDEX('[1]End - Use Prices'!$C$6:$AL$89,MATCH($C48,'[1]End - Use Prices'!$A$6:$A$89,0)+MATCH($D48,'[1]End - Use Prices'!$B$9:$B$11,0)-1,MATCH(AS$1,'[1]End - Use Prices'!$C$7:$AL$7,0))</f>
        <v>30.29</v>
      </c>
      <c r="AT48" s="41">
        <f>INDEX('[1]End - Use Prices'!$C$6:$AL$89,MATCH($C48,'[1]End - Use Prices'!$A$6:$A$89,0)+MATCH($D48,'[1]End - Use Prices'!$B$9:$B$11,0)-1,MATCH(AT$1,'[1]End - Use Prices'!$C$7:$AL$7,0))</f>
        <v>30.12</v>
      </c>
      <c r="AU48" s="41">
        <f>INDEX('[1]End - Use Prices'!$C$6:$AL$89,MATCH($C48,'[1]End - Use Prices'!$A$6:$A$89,0)+MATCH($D48,'[1]End - Use Prices'!$B$9:$B$11,0)-1,MATCH(AU$1,'[1]End - Use Prices'!$C$7:$AL$7,0))</f>
        <v>29.91</v>
      </c>
      <c r="AV48" s="41">
        <f>INDEX('[1]End - Use Prices'!$C$6:$AL$89,MATCH($C48,'[1]End - Use Prices'!$A$6:$A$89,0)+MATCH($D48,'[1]End - Use Prices'!$B$9:$B$11,0)-1,MATCH(AV$1,'[1]End - Use Prices'!$C$7:$AL$7,0))</f>
        <v>29.74</v>
      </c>
      <c r="AW48" s="41">
        <f>INDEX('[1]End - Use Prices'!$C$6:$AL$89,MATCH($C48,'[1]End - Use Prices'!$A$6:$A$89,0)+MATCH($D48,'[1]End - Use Prices'!$B$9:$B$11,0)-1,MATCH(AW$1,'[1]End - Use Prices'!$C$7:$AL$7,0))</f>
        <v>29.56</v>
      </c>
      <c r="AX48" s="41">
        <f>INDEX('[1]End - Use Prices'!$C$6:$AL$89,MATCH($C48,'[1]End - Use Prices'!$A$6:$A$89,0)+MATCH($D48,'[1]End - Use Prices'!$B$9:$B$11,0)-1,MATCH(AX$1,'[1]End - Use Prices'!$C$7:$AL$7,0))</f>
        <v>29.46</v>
      </c>
      <c r="AY48" s="41">
        <f>INDEX('[1]End - Use Prices'!$C$6:$AL$89,MATCH($C48,'[1]End - Use Prices'!$A$6:$A$89,0)+MATCH($D48,'[1]End - Use Prices'!$B$9:$B$11,0)-1,MATCH(AY$1,'[1]End - Use Prices'!$C$7:$AL$7,0))</f>
        <v>29.39</v>
      </c>
      <c r="AZ48" s="41">
        <f>INDEX('[1]End - Use Prices'!$C$6:$AL$89,MATCH($C48,'[1]End - Use Prices'!$A$6:$A$89,0)+MATCH($D48,'[1]End - Use Prices'!$B$9:$B$11,0)-1,MATCH(AZ$1,'[1]End - Use Prices'!$C$7:$AL$7,0))</f>
        <v>29.35</v>
      </c>
      <c r="BA48" s="41">
        <f>INDEX('[1]End - Use Prices'!$C$6:$AL$89,MATCH($C48,'[1]End - Use Prices'!$A$6:$A$89,0)+MATCH($D48,'[1]End - Use Prices'!$B$9:$B$11,0)-1,MATCH(BA$1,'[1]End - Use Prices'!$C$7:$AL$7,0))</f>
        <v>29.35</v>
      </c>
      <c r="BB48" s="41">
        <f>INDEX('[1]End - Use Prices'!$C$6:$AL$89,MATCH($C48,'[1]End - Use Prices'!$A$6:$A$89,0)+MATCH($D48,'[1]End - Use Prices'!$B$9:$B$11,0)-1,MATCH(BB$1,'[1]End - Use Prices'!$C$7:$AL$7,0))</f>
        <v>29.32</v>
      </c>
      <c r="BC48" s="41">
        <f>INDEX('[1]End - Use Prices'!$C$6:$AL$89,MATCH($C48,'[1]End - Use Prices'!$A$6:$A$89,0)+MATCH($D48,'[1]End - Use Prices'!$B$9:$B$11,0)-1,MATCH(BC$1,'[1]End - Use Prices'!$C$7:$AL$7,0))</f>
        <v>29.28</v>
      </c>
      <c r="BD48" s="41">
        <f>INDEX('[1]End - Use Prices'!$C$6:$AL$89,MATCH($C48,'[1]End - Use Prices'!$A$6:$A$89,0)+MATCH($D48,'[1]End - Use Prices'!$B$9:$B$11,0)-1,MATCH(BD$1,'[1]End - Use Prices'!$C$7:$AL$7,0))</f>
        <v>29.23</v>
      </c>
      <c r="BE48" s="41">
        <f>INDEX('[1]End - Use Prices'!$C$6:$AL$89,MATCH($C48,'[1]End - Use Prices'!$A$6:$A$89,0)+MATCH($D48,'[1]End - Use Prices'!$B$9:$B$11,0)-1,MATCH(BE$1,'[1]End - Use Prices'!$C$7:$AL$7,0))</f>
        <v>29.14</v>
      </c>
      <c r="BF48" s="41">
        <f>INDEX('[1]End - Use Prices'!$C$6:$AL$89,MATCH($C48,'[1]End - Use Prices'!$A$6:$A$89,0)+MATCH($D48,'[1]End - Use Prices'!$B$9:$B$11,0)-1,MATCH(BF$1,'[1]End - Use Prices'!$C$7:$AL$7,0))</f>
        <v>29.05</v>
      </c>
      <c r="BG48" s="41">
        <f>INDEX('[1]End - Use Prices'!$C$6:$AL$89,MATCH($C48,'[1]End - Use Prices'!$A$6:$A$89,0)+MATCH($D48,'[1]End - Use Prices'!$B$9:$B$11,0)-1,MATCH(BG$1,'[1]End - Use Prices'!$C$7:$AL$7,0))</f>
        <v>28.95</v>
      </c>
      <c r="BR48" s="39"/>
      <c r="BS48" s="39"/>
      <c r="BT48" s="39"/>
      <c r="BU48" s="39"/>
      <c r="BV48" s="39"/>
      <c r="BW48" s="39"/>
      <c r="BX48" s="39"/>
      <c r="BY48" s="39"/>
      <c r="BZ48" s="39"/>
      <c r="CA48" s="39"/>
    </row>
    <row r="49" spans="1:79" x14ac:dyDescent="0.25">
      <c r="A49" s="5"/>
      <c r="B49" s="3"/>
      <c r="C49" s="25" t="s">
        <v>87</v>
      </c>
      <c r="D49" s="25" t="s">
        <v>280</v>
      </c>
      <c r="E49" s="25" t="s">
        <v>282</v>
      </c>
      <c r="F49" s="67" t="s">
        <v>279</v>
      </c>
      <c r="G49" s="53">
        <f t="shared" si="4"/>
        <v>27.52</v>
      </c>
      <c r="H49" s="34">
        <f t="shared" si="7"/>
        <v>27.52</v>
      </c>
      <c r="I49" s="34">
        <f t="shared" si="7"/>
        <v>25.32</v>
      </c>
      <c r="J49" s="34">
        <f t="shared" si="7"/>
        <v>27.46</v>
      </c>
      <c r="K49" s="34">
        <f t="shared" si="7"/>
        <v>37.450000000000003</v>
      </c>
      <c r="L49" s="34">
        <f t="shared" si="7"/>
        <v>33.42</v>
      </c>
      <c r="M49" s="34">
        <f t="shared" si="7"/>
        <v>32.61</v>
      </c>
      <c r="N49" s="34">
        <f t="shared" si="7"/>
        <v>32.369999999999997</v>
      </c>
      <c r="O49" s="34">
        <f t="shared" si="7"/>
        <v>32</v>
      </c>
      <c r="P49" s="53">
        <f t="shared" si="8"/>
        <v>32</v>
      </c>
      <c r="Q49" s="53">
        <f t="shared" si="8"/>
        <v>32</v>
      </c>
      <c r="R49" s="38"/>
      <c r="X49" s="41">
        <f>INDEX('[1]End - Use Prices'!$C$6:$AL$89,MATCH($C49,'[1]End - Use Prices'!$A$6:$A$89,0)+MATCH($D49,'[1]End - Use Prices'!$B$9:$B$11,0)-1,MATCH(X$1,'[1]End - Use Prices'!$C$7:$AL$7,0))</f>
        <v>27.52</v>
      </c>
      <c r="Y49" s="41">
        <f>INDEX('[1]End - Use Prices'!$C$6:$AL$89,MATCH($C49,'[1]End - Use Prices'!$A$6:$A$89,0)+MATCH($D49,'[1]End - Use Prices'!$B$9:$B$11,0)-1,MATCH(Y$1,'[1]End - Use Prices'!$C$7:$AL$7,0))</f>
        <v>28.18</v>
      </c>
      <c r="Z49" s="41">
        <f>INDEX('[1]End - Use Prices'!$C$6:$AL$89,MATCH($C49,'[1]End - Use Prices'!$A$6:$A$89,0)+MATCH($D49,'[1]End - Use Prices'!$B$9:$B$11,0)-1,MATCH(Z$1,'[1]End - Use Prices'!$C$7:$AL$7,0))</f>
        <v>26.07</v>
      </c>
      <c r="AA49" s="41">
        <f>INDEX('[1]End - Use Prices'!$C$6:$AL$89,MATCH($C49,'[1]End - Use Prices'!$A$6:$A$89,0)+MATCH($D49,'[1]End - Use Prices'!$B$9:$B$11,0)-1,MATCH(AA$1,'[1]End - Use Prices'!$C$7:$AL$7,0))</f>
        <v>31.72</v>
      </c>
      <c r="AB49" s="41">
        <f>INDEX('[1]End - Use Prices'!$C$6:$AL$89,MATCH($C49,'[1]End - Use Prices'!$A$6:$A$89,0)+MATCH($D49,'[1]End - Use Prices'!$B$9:$B$11,0)-1,MATCH(AB$1,'[1]End - Use Prices'!$C$7:$AL$7,0))</f>
        <v>22.7</v>
      </c>
      <c r="AC49" s="41">
        <f>INDEX('[1]End - Use Prices'!$C$6:$AL$89,MATCH($C49,'[1]End - Use Prices'!$A$6:$A$89,0)+MATCH($D49,'[1]End - Use Prices'!$B$9:$B$11,0)-1,MATCH(AC$1,'[1]End - Use Prices'!$C$7:$AL$7,0))</f>
        <v>25.32</v>
      </c>
      <c r="AD49" s="41">
        <f>INDEX('[1]End - Use Prices'!$C$6:$AL$89,MATCH($C49,'[1]End - Use Prices'!$A$6:$A$89,0)+MATCH($D49,'[1]End - Use Prices'!$B$9:$B$11,0)-1,MATCH(AD$1,'[1]End - Use Prices'!$C$7:$AL$7,0))</f>
        <v>30.73</v>
      </c>
      <c r="AE49" s="41">
        <f>INDEX('[1]End - Use Prices'!$C$6:$AL$89,MATCH($C49,'[1]End - Use Prices'!$A$6:$A$89,0)+MATCH($D49,'[1]End - Use Prices'!$B$9:$B$11,0)-1,MATCH(AE$1,'[1]End - Use Prices'!$C$7:$AL$7,0))</f>
        <v>31.88</v>
      </c>
      <c r="AF49" s="41">
        <f>INDEX('[1]End - Use Prices'!$C$6:$AL$89,MATCH($C49,'[1]End - Use Prices'!$A$6:$A$89,0)+MATCH($D49,'[1]End - Use Prices'!$B$9:$B$11,0)-1,MATCH(AF$1,'[1]End - Use Prices'!$C$7:$AL$7,0))</f>
        <v>31.97</v>
      </c>
      <c r="AG49" s="41">
        <f>INDEX('[1]End - Use Prices'!$C$6:$AL$89,MATCH($C49,'[1]End - Use Prices'!$A$6:$A$89,0)+MATCH($D49,'[1]End - Use Prices'!$B$9:$B$11,0)-1,MATCH(AG$1,'[1]End - Use Prices'!$C$7:$AL$7,0))</f>
        <v>34.450000000000003</v>
      </c>
      <c r="AH49" s="41">
        <f>INDEX('[1]End - Use Prices'!$C$6:$AL$89,MATCH($C49,'[1]End - Use Prices'!$A$6:$A$89,0)+MATCH($D49,'[1]End - Use Prices'!$B$9:$B$11,0)-1,MATCH(AH$1,'[1]End - Use Prices'!$C$7:$AL$7,0))</f>
        <v>27.46</v>
      </c>
      <c r="AI49" s="41">
        <f>INDEX('[1]End - Use Prices'!$C$6:$AL$89,MATCH($C49,'[1]End - Use Prices'!$A$6:$A$89,0)+MATCH($D49,'[1]End - Use Prices'!$B$9:$B$11,0)-1,MATCH(AI$1,'[1]End - Use Prices'!$C$7:$AL$7,0))</f>
        <v>23.92</v>
      </c>
      <c r="AJ49" s="41">
        <f>INDEX('[1]End - Use Prices'!$C$6:$AL$89,MATCH($C49,'[1]End - Use Prices'!$A$6:$A$89,0)+MATCH($D49,'[1]End - Use Prices'!$B$9:$B$11,0)-1,MATCH(AJ$1,'[1]End - Use Prices'!$C$7:$AL$7,0))</f>
        <v>25.38</v>
      </c>
      <c r="AK49" s="41">
        <f>INDEX('[1]End - Use Prices'!$C$6:$AL$89,MATCH($C49,'[1]End - Use Prices'!$A$6:$A$89,0)+MATCH($D49,'[1]End - Use Prices'!$B$9:$B$11,0)-1,MATCH(AK$1,'[1]End - Use Prices'!$C$7:$AL$7,0))</f>
        <v>29.63</v>
      </c>
      <c r="AL49" s="41">
        <f>INDEX('[1]End - Use Prices'!$C$6:$AL$89,MATCH($C49,'[1]End - Use Prices'!$A$6:$A$89,0)+MATCH($D49,'[1]End - Use Prices'!$B$9:$B$11,0)-1,MATCH(AL$1,'[1]End - Use Prices'!$C$7:$AL$7,0))</f>
        <v>32.75</v>
      </c>
      <c r="AM49" s="41">
        <f>INDEX('[1]End - Use Prices'!$C$6:$AL$89,MATCH($C49,'[1]End - Use Prices'!$A$6:$A$89,0)+MATCH($D49,'[1]End - Use Prices'!$B$9:$B$11,0)-1,MATCH(AM$1,'[1]End - Use Prices'!$C$7:$AL$7,0))</f>
        <v>37.450000000000003</v>
      </c>
      <c r="AN49" s="41">
        <f>INDEX('[1]End - Use Prices'!$C$6:$AL$89,MATCH($C49,'[1]End - Use Prices'!$A$6:$A$89,0)+MATCH($D49,'[1]End - Use Prices'!$B$9:$B$11,0)-1,MATCH(AN$1,'[1]End - Use Prices'!$C$7:$AL$7,0))</f>
        <v>35</v>
      </c>
      <c r="AO49" s="41">
        <f>INDEX('[1]End - Use Prices'!$C$6:$AL$89,MATCH($C49,'[1]End - Use Prices'!$A$6:$A$89,0)+MATCH($D49,'[1]End - Use Prices'!$B$9:$B$11,0)-1,MATCH(AO$1,'[1]End - Use Prices'!$C$7:$AL$7,0))</f>
        <v>33.549999999999997</v>
      </c>
      <c r="AP49" s="41">
        <f>INDEX('[1]End - Use Prices'!$C$6:$AL$89,MATCH($C49,'[1]End - Use Prices'!$A$6:$A$89,0)+MATCH($D49,'[1]End - Use Prices'!$B$9:$B$11,0)-1,MATCH(AP$1,'[1]End - Use Prices'!$C$7:$AL$7,0))</f>
        <v>33.72</v>
      </c>
      <c r="AQ49" s="41">
        <f>INDEX('[1]End - Use Prices'!$C$6:$AL$89,MATCH($C49,'[1]End - Use Prices'!$A$6:$A$89,0)+MATCH($D49,'[1]End - Use Prices'!$B$9:$B$11,0)-1,MATCH(AQ$1,'[1]End - Use Prices'!$C$7:$AL$7,0))</f>
        <v>33.450000000000003</v>
      </c>
      <c r="AR49" s="41">
        <f>INDEX('[1]End - Use Prices'!$C$6:$AL$89,MATCH($C49,'[1]End - Use Prices'!$A$6:$A$89,0)+MATCH($D49,'[1]End - Use Prices'!$B$9:$B$11,0)-1,MATCH(AR$1,'[1]End - Use Prices'!$C$7:$AL$7,0))</f>
        <v>33.42</v>
      </c>
      <c r="AS49" s="41">
        <f>INDEX('[1]End - Use Prices'!$C$6:$AL$89,MATCH($C49,'[1]End - Use Prices'!$A$6:$A$89,0)+MATCH($D49,'[1]End - Use Prices'!$B$9:$B$11,0)-1,MATCH(AS$1,'[1]End - Use Prices'!$C$7:$AL$7,0))</f>
        <v>33.340000000000003</v>
      </c>
      <c r="AT49" s="41">
        <f>INDEX('[1]End - Use Prices'!$C$6:$AL$89,MATCH($C49,'[1]End - Use Prices'!$A$6:$A$89,0)+MATCH($D49,'[1]End - Use Prices'!$B$9:$B$11,0)-1,MATCH(AT$1,'[1]End - Use Prices'!$C$7:$AL$7,0))</f>
        <v>33.17</v>
      </c>
      <c r="AU49" s="41">
        <f>INDEX('[1]End - Use Prices'!$C$6:$AL$89,MATCH($C49,'[1]End - Use Prices'!$A$6:$A$89,0)+MATCH($D49,'[1]End - Use Prices'!$B$9:$B$11,0)-1,MATCH(AU$1,'[1]End - Use Prices'!$C$7:$AL$7,0))</f>
        <v>32.96</v>
      </c>
      <c r="AV49" s="41">
        <f>INDEX('[1]End - Use Prices'!$C$6:$AL$89,MATCH($C49,'[1]End - Use Prices'!$A$6:$A$89,0)+MATCH($D49,'[1]End - Use Prices'!$B$9:$B$11,0)-1,MATCH(AV$1,'[1]End - Use Prices'!$C$7:$AL$7,0))</f>
        <v>32.79</v>
      </c>
      <c r="AW49" s="41">
        <f>INDEX('[1]End - Use Prices'!$C$6:$AL$89,MATCH($C49,'[1]End - Use Prices'!$A$6:$A$89,0)+MATCH($D49,'[1]End - Use Prices'!$B$9:$B$11,0)-1,MATCH(AW$1,'[1]End - Use Prices'!$C$7:$AL$7,0))</f>
        <v>32.61</v>
      </c>
      <c r="AX49" s="41">
        <f>INDEX('[1]End - Use Prices'!$C$6:$AL$89,MATCH($C49,'[1]End - Use Prices'!$A$6:$A$89,0)+MATCH($D49,'[1]End - Use Prices'!$B$9:$B$11,0)-1,MATCH(AX$1,'[1]End - Use Prices'!$C$7:$AL$7,0))</f>
        <v>32.51</v>
      </c>
      <c r="AY49" s="41">
        <f>INDEX('[1]End - Use Prices'!$C$6:$AL$89,MATCH($C49,'[1]End - Use Prices'!$A$6:$A$89,0)+MATCH($D49,'[1]End - Use Prices'!$B$9:$B$11,0)-1,MATCH(AY$1,'[1]End - Use Prices'!$C$7:$AL$7,0))</f>
        <v>32.44</v>
      </c>
      <c r="AZ49" s="41">
        <f>INDEX('[1]End - Use Prices'!$C$6:$AL$89,MATCH($C49,'[1]End - Use Prices'!$A$6:$A$89,0)+MATCH($D49,'[1]End - Use Prices'!$B$9:$B$11,0)-1,MATCH(AZ$1,'[1]End - Use Prices'!$C$7:$AL$7,0))</f>
        <v>32.4</v>
      </c>
      <c r="BA49" s="41">
        <f>INDEX('[1]End - Use Prices'!$C$6:$AL$89,MATCH($C49,'[1]End - Use Prices'!$A$6:$A$89,0)+MATCH($D49,'[1]End - Use Prices'!$B$9:$B$11,0)-1,MATCH(BA$1,'[1]End - Use Prices'!$C$7:$AL$7,0))</f>
        <v>32.4</v>
      </c>
      <c r="BB49" s="41">
        <f>INDEX('[1]End - Use Prices'!$C$6:$AL$89,MATCH($C49,'[1]End - Use Prices'!$A$6:$A$89,0)+MATCH($D49,'[1]End - Use Prices'!$B$9:$B$11,0)-1,MATCH(BB$1,'[1]End - Use Prices'!$C$7:$AL$7,0))</f>
        <v>32.369999999999997</v>
      </c>
      <c r="BC49" s="41">
        <f>INDEX('[1]End - Use Prices'!$C$6:$AL$89,MATCH($C49,'[1]End - Use Prices'!$A$6:$A$89,0)+MATCH($D49,'[1]End - Use Prices'!$B$9:$B$11,0)-1,MATCH(BC$1,'[1]End - Use Prices'!$C$7:$AL$7,0))</f>
        <v>32.33</v>
      </c>
      <c r="BD49" s="41">
        <f>INDEX('[1]End - Use Prices'!$C$6:$AL$89,MATCH($C49,'[1]End - Use Prices'!$A$6:$A$89,0)+MATCH($D49,'[1]End - Use Prices'!$B$9:$B$11,0)-1,MATCH(BD$1,'[1]End - Use Prices'!$C$7:$AL$7,0))</f>
        <v>32.28</v>
      </c>
      <c r="BE49" s="41">
        <f>INDEX('[1]End - Use Prices'!$C$6:$AL$89,MATCH($C49,'[1]End - Use Prices'!$A$6:$A$89,0)+MATCH($D49,'[1]End - Use Prices'!$B$9:$B$11,0)-1,MATCH(BE$1,'[1]End - Use Prices'!$C$7:$AL$7,0))</f>
        <v>32.19</v>
      </c>
      <c r="BF49" s="41">
        <f>INDEX('[1]End - Use Prices'!$C$6:$AL$89,MATCH($C49,'[1]End - Use Prices'!$A$6:$A$89,0)+MATCH($D49,'[1]End - Use Prices'!$B$9:$B$11,0)-1,MATCH(BF$1,'[1]End - Use Prices'!$C$7:$AL$7,0))</f>
        <v>32.1</v>
      </c>
      <c r="BG49" s="41">
        <f>INDEX('[1]End - Use Prices'!$C$6:$AL$89,MATCH($C49,'[1]End - Use Prices'!$A$6:$A$89,0)+MATCH($D49,'[1]End - Use Prices'!$B$9:$B$11,0)-1,MATCH(BG$1,'[1]End - Use Prices'!$C$7:$AL$7,0))</f>
        <v>32</v>
      </c>
      <c r="BR49" s="39"/>
      <c r="BS49" s="39"/>
      <c r="BT49" s="39"/>
      <c r="BU49" s="39"/>
      <c r="BV49" s="39"/>
      <c r="BW49" s="39"/>
      <c r="BX49" s="39"/>
      <c r="BY49" s="39"/>
      <c r="BZ49" s="39"/>
      <c r="CA49" s="39"/>
    </row>
    <row r="50" spans="1:79" x14ac:dyDescent="0.25">
      <c r="A50" s="5"/>
      <c r="B50" s="3"/>
      <c r="C50" s="25" t="s">
        <v>88</v>
      </c>
      <c r="D50" s="25" t="s">
        <v>280</v>
      </c>
      <c r="E50" s="25" t="s">
        <v>282</v>
      </c>
      <c r="F50" s="67" t="s">
        <v>279</v>
      </c>
      <c r="G50" s="53">
        <f t="shared" si="4"/>
        <v>27.36</v>
      </c>
      <c r="H50" s="34">
        <f t="shared" ref="H50:O59" si="9">INDEX($S50:$CA50,MATCH(H$1,$S$1:$CA$1,0))</f>
        <v>27.36</v>
      </c>
      <c r="I50" s="34">
        <f t="shared" si="9"/>
        <v>27.36</v>
      </c>
      <c r="J50" s="34">
        <f t="shared" si="9"/>
        <v>28.05</v>
      </c>
      <c r="K50" s="34">
        <f t="shared" si="9"/>
        <v>38.97</v>
      </c>
      <c r="L50" s="34">
        <f t="shared" si="9"/>
        <v>34.42</v>
      </c>
      <c r="M50" s="34">
        <f t="shared" si="9"/>
        <v>33.590000000000003</v>
      </c>
      <c r="N50" s="34">
        <f t="shared" si="9"/>
        <v>33.35</v>
      </c>
      <c r="O50" s="34">
        <f t="shared" si="9"/>
        <v>32.97</v>
      </c>
      <c r="P50" s="53">
        <f t="shared" si="8"/>
        <v>32.97</v>
      </c>
      <c r="Q50" s="53">
        <f t="shared" si="8"/>
        <v>32.97</v>
      </c>
      <c r="R50" s="38"/>
      <c r="X50" s="41">
        <f>INDEX('[1]End - Use Prices'!$C$6:$AL$89,MATCH($C50,'[1]End - Use Prices'!$A$6:$A$89,0)+MATCH($D50,'[1]End - Use Prices'!$B$9:$B$11,0)-1,MATCH(X$1,'[1]End - Use Prices'!$C$7:$AL$7,0))</f>
        <v>27.36</v>
      </c>
      <c r="Y50" s="41">
        <f>INDEX('[1]End - Use Prices'!$C$6:$AL$89,MATCH($C50,'[1]End - Use Prices'!$A$6:$A$89,0)+MATCH($D50,'[1]End - Use Prices'!$B$9:$B$11,0)-1,MATCH(Y$1,'[1]End - Use Prices'!$C$7:$AL$7,0))</f>
        <v>27.14</v>
      </c>
      <c r="Z50" s="41">
        <f>INDEX('[1]End - Use Prices'!$C$6:$AL$89,MATCH($C50,'[1]End - Use Prices'!$A$6:$A$89,0)+MATCH($D50,'[1]End - Use Prices'!$B$9:$B$11,0)-1,MATCH(Z$1,'[1]End - Use Prices'!$C$7:$AL$7,0))</f>
        <v>27.83</v>
      </c>
      <c r="AA50" s="41">
        <f>INDEX('[1]End - Use Prices'!$C$6:$AL$89,MATCH($C50,'[1]End - Use Prices'!$A$6:$A$89,0)+MATCH($D50,'[1]End - Use Prices'!$B$9:$B$11,0)-1,MATCH(AA$1,'[1]End - Use Prices'!$C$7:$AL$7,0))</f>
        <v>34.340000000000003</v>
      </c>
      <c r="AB50" s="41">
        <f>INDEX('[1]End - Use Prices'!$C$6:$AL$89,MATCH($C50,'[1]End - Use Prices'!$A$6:$A$89,0)+MATCH($D50,'[1]End - Use Prices'!$B$9:$B$11,0)-1,MATCH(AB$1,'[1]End - Use Prices'!$C$7:$AL$7,0))</f>
        <v>24.16</v>
      </c>
      <c r="AC50" s="41">
        <f>INDEX('[1]End - Use Prices'!$C$6:$AL$89,MATCH($C50,'[1]End - Use Prices'!$A$6:$A$89,0)+MATCH($D50,'[1]End - Use Prices'!$B$9:$B$11,0)-1,MATCH(AC$1,'[1]End - Use Prices'!$C$7:$AL$7,0))</f>
        <v>27.36</v>
      </c>
      <c r="AD50" s="41">
        <f>INDEX('[1]End - Use Prices'!$C$6:$AL$89,MATCH($C50,'[1]End - Use Prices'!$A$6:$A$89,0)+MATCH($D50,'[1]End - Use Prices'!$B$9:$B$11,0)-1,MATCH(AD$1,'[1]End - Use Prices'!$C$7:$AL$7,0))</f>
        <v>32.19</v>
      </c>
      <c r="AE50" s="41">
        <f>INDEX('[1]End - Use Prices'!$C$6:$AL$89,MATCH($C50,'[1]End - Use Prices'!$A$6:$A$89,0)+MATCH($D50,'[1]End - Use Prices'!$B$9:$B$11,0)-1,MATCH(AE$1,'[1]End - Use Prices'!$C$7:$AL$7,0))</f>
        <v>33.76</v>
      </c>
      <c r="AF50" s="41">
        <f>INDEX('[1]End - Use Prices'!$C$6:$AL$89,MATCH($C50,'[1]End - Use Prices'!$A$6:$A$89,0)+MATCH($D50,'[1]End - Use Prices'!$B$9:$B$11,0)-1,MATCH(AF$1,'[1]End - Use Prices'!$C$7:$AL$7,0))</f>
        <v>32.590000000000003</v>
      </c>
      <c r="AG50" s="41">
        <f>INDEX('[1]End - Use Prices'!$C$6:$AL$89,MATCH($C50,'[1]End - Use Prices'!$A$6:$A$89,0)+MATCH($D50,'[1]End - Use Prices'!$B$9:$B$11,0)-1,MATCH(AG$1,'[1]End - Use Prices'!$C$7:$AL$7,0))</f>
        <v>34.17</v>
      </c>
      <c r="AH50" s="41">
        <f>INDEX('[1]End - Use Prices'!$C$6:$AL$89,MATCH($C50,'[1]End - Use Prices'!$A$6:$A$89,0)+MATCH($D50,'[1]End - Use Prices'!$B$9:$B$11,0)-1,MATCH(AH$1,'[1]End - Use Prices'!$C$7:$AL$7,0))</f>
        <v>28.05</v>
      </c>
      <c r="AI50" s="41">
        <f>INDEX('[1]End - Use Prices'!$C$6:$AL$89,MATCH($C50,'[1]End - Use Prices'!$A$6:$A$89,0)+MATCH($D50,'[1]End - Use Prices'!$B$9:$B$11,0)-1,MATCH(AI$1,'[1]End - Use Prices'!$C$7:$AL$7,0))</f>
        <v>24.4</v>
      </c>
      <c r="AJ50" s="41">
        <f>INDEX('[1]End - Use Prices'!$C$6:$AL$89,MATCH($C50,'[1]End - Use Prices'!$A$6:$A$89,0)+MATCH($D50,'[1]End - Use Prices'!$B$9:$B$11,0)-1,MATCH(AJ$1,'[1]End - Use Prices'!$C$7:$AL$7,0))</f>
        <v>26.95</v>
      </c>
      <c r="AK50" s="41">
        <f>INDEX('[1]End - Use Prices'!$C$6:$AL$89,MATCH($C50,'[1]End - Use Prices'!$A$6:$A$89,0)+MATCH($D50,'[1]End - Use Prices'!$B$9:$B$11,0)-1,MATCH(AK$1,'[1]End - Use Prices'!$C$7:$AL$7,0))</f>
        <v>30.62</v>
      </c>
      <c r="AL50" s="41">
        <f>INDEX('[1]End - Use Prices'!$C$6:$AL$89,MATCH($C50,'[1]End - Use Prices'!$A$6:$A$89,0)+MATCH($D50,'[1]End - Use Prices'!$B$9:$B$11,0)-1,MATCH(AL$1,'[1]End - Use Prices'!$C$7:$AL$7,0))</f>
        <v>34.01</v>
      </c>
      <c r="AM50" s="41">
        <f>INDEX('[1]End - Use Prices'!$C$6:$AL$89,MATCH($C50,'[1]End - Use Prices'!$A$6:$A$89,0)+MATCH($D50,'[1]End - Use Prices'!$B$9:$B$11,0)-1,MATCH(AM$1,'[1]End - Use Prices'!$C$7:$AL$7,0))</f>
        <v>38.97</v>
      </c>
      <c r="AN50" s="41">
        <f>INDEX('[1]End - Use Prices'!$C$6:$AL$89,MATCH($C50,'[1]End - Use Prices'!$A$6:$A$89,0)+MATCH($D50,'[1]End - Use Prices'!$B$9:$B$11,0)-1,MATCH(AN$1,'[1]End - Use Prices'!$C$7:$AL$7,0))</f>
        <v>36.24</v>
      </c>
      <c r="AO50" s="41">
        <f>INDEX('[1]End - Use Prices'!$C$6:$AL$89,MATCH($C50,'[1]End - Use Prices'!$A$6:$A$89,0)+MATCH($D50,'[1]End - Use Prices'!$B$9:$B$11,0)-1,MATCH(AO$1,'[1]End - Use Prices'!$C$7:$AL$7,0))</f>
        <v>34.6</v>
      </c>
      <c r="AP50" s="41">
        <f>INDEX('[1]End - Use Prices'!$C$6:$AL$89,MATCH($C50,'[1]End - Use Prices'!$A$6:$A$89,0)+MATCH($D50,'[1]End - Use Prices'!$B$9:$B$11,0)-1,MATCH(AP$1,'[1]End - Use Prices'!$C$7:$AL$7,0))</f>
        <v>34.72</v>
      </c>
      <c r="AQ50" s="41">
        <f>INDEX('[1]End - Use Prices'!$C$6:$AL$89,MATCH($C50,'[1]End - Use Prices'!$A$6:$A$89,0)+MATCH($D50,'[1]End - Use Prices'!$B$9:$B$11,0)-1,MATCH(AQ$1,'[1]End - Use Prices'!$C$7:$AL$7,0))</f>
        <v>34.450000000000003</v>
      </c>
      <c r="AR50" s="41">
        <f>INDEX('[1]End - Use Prices'!$C$6:$AL$89,MATCH($C50,'[1]End - Use Prices'!$A$6:$A$89,0)+MATCH($D50,'[1]End - Use Prices'!$B$9:$B$11,0)-1,MATCH(AR$1,'[1]End - Use Prices'!$C$7:$AL$7,0))</f>
        <v>34.42</v>
      </c>
      <c r="AS50" s="41">
        <f>INDEX('[1]End - Use Prices'!$C$6:$AL$89,MATCH($C50,'[1]End - Use Prices'!$A$6:$A$89,0)+MATCH($D50,'[1]End - Use Prices'!$B$9:$B$11,0)-1,MATCH(AS$1,'[1]End - Use Prices'!$C$7:$AL$7,0))</f>
        <v>34.35</v>
      </c>
      <c r="AT50" s="41">
        <f>INDEX('[1]End - Use Prices'!$C$6:$AL$89,MATCH($C50,'[1]End - Use Prices'!$A$6:$A$89,0)+MATCH($D50,'[1]End - Use Prices'!$B$9:$B$11,0)-1,MATCH(AT$1,'[1]End - Use Prices'!$C$7:$AL$7,0))</f>
        <v>34.17</v>
      </c>
      <c r="AU50" s="41">
        <f>INDEX('[1]End - Use Prices'!$C$6:$AL$89,MATCH($C50,'[1]End - Use Prices'!$A$6:$A$89,0)+MATCH($D50,'[1]End - Use Prices'!$B$9:$B$11,0)-1,MATCH(AU$1,'[1]End - Use Prices'!$C$7:$AL$7,0))</f>
        <v>33.950000000000003</v>
      </c>
      <c r="AV50" s="41">
        <f>INDEX('[1]End - Use Prices'!$C$6:$AL$89,MATCH($C50,'[1]End - Use Prices'!$A$6:$A$89,0)+MATCH($D50,'[1]End - Use Prices'!$B$9:$B$11,0)-1,MATCH(AV$1,'[1]End - Use Prices'!$C$7:$AL$7,0))</f>
        <v>33.770000000000003</v>
      </c>
      <c r="AW50" s="41">
        <f>INDEX('[1]End - Use Prices'!$C$6:$AL$89,MATCH($C50,'[1]End - Use Prices'!$A$6:$A$89,0)+MATCH($D50,'[1]End - Use Prices'!$B$9:$B$11,0)-1,MATCH(AW$1,'[1]End - Use Prices'!$C$7:$AL$7,0))</f>
        <v>33.590000000000003</v>
      </c>
      <c r="AX50" s="41">
        <f>INDEX('[1]End - Use Prices'!$C$6:$AL$89,MATCH($C50,'[1]End - Use Prices'!$A$6:$A$89,0)+MATCH($D50,'[1]End - Use Prices'!$B$9:$B$11,0)-1,MATCH(AX$1,'[1]End - Use Prices'!$C$7:$AL$7,0))</f>
        <v>33.479999999999997</v>
      </c>
      <c r="AY50" s="41">
        <f>INDEX('[1]End - Use Prices'!$C$6:$AL$89,MATCH($C50,'[1]End - Use Prices'!$A$6:$A$89,0)+MATCH($D50,'[1]End - Use Prices'!$B$9:$B$11,0)-1,MATCH(AY$1,'[1]End - Use Prices'!$C$7:$AL$7,0))</f>
        <v>33.409999999999997</v>
      </c>
      <c r="AZ50" s="41">
        <f>INDEX('[1]End - Use Prices'!$C$6:$AL$89,MATCH($C50,'[1]End - Use Prices'!$A$6:$A$89,0)+MATCH($D50,'[1]End - Use Prices'!$B$9:$B$11,0)-1,MATCH(AZ$1,'[1]End - Use Prices'!$C$7:$AL$7,0))</f>
        <v>33.369999999999997</v>
      </c>
      <c r="BA50" s="41">
        <f>INDEX('[1]End - Use Prices'!$C$6:$AL$89,MATCH($C50,'[1]End - Use Prices'!$A$6:$A$89,0)+MATCH($D50,'[1]End - Use Prices'!$B$9:$B$11,0)-1,MATCH(BA$1,'[1]End - Use Prices'!$C$7:$AL$7,0))</f>
        <v>33.369999999999997</v>
      </c>
      <c r="BB50" s="41">
        <f>INDEX('[1]End - Use Prices'!$C$6:$AL$89,MATCH($C50,'[1]End - Use Prices'!$A$6:$A$89,0)+MATCH($D50,'[1]End - Use Prices'!$B$9:$B$11,0)-1,MATCH(BB$1,'[1]End - Use Prices'!$C$7:$AL$7,0))</f>
        <v>33.35</v>
      </c>
      <c r="BC50" s="41">
        <f>INDEX('[1]End - Use Prices'!$C$6:$AL$89,MATCH($C50,'[1]End - Use Prices'!$A$6:$A$89,0)+MATCH($D50,'[1]End - Use Prices'!$B$9:$B$11,0)-1,MATCH(BC$1,'[1]End - Use Prices'!$C$7:$AL$7,0))</f>
        <v>33.31</v>
      </c>
      <c r="BD50" s="41">
        <f>INDEX('[1]End - Use Prices'!$C$6:$AL$89,MATCH($C50,'[1]End - Use Prices'!$A$6:$A$89,0)+MATCH($D50,'[1]End - Use Prices'!$B$9:$B$11,0)-1,MATCH(BD$1,'[1]End - Use Prices'!$C$7:$AL$7,0))</f>
        <v>33.25</v>
      </c>
      <c r="BE50" s="41">
        <f>INDEX('[1]End - Use Prices'!$C$6:$AL$89,MATCH($C50,'[1]End - Use Prices'!$A$6:$A$89,0)+MATCH($D50,'[1]End - Use Prices'!$B$9:$B$11,0)-1,MATCH(BE$1,'[1]End - Use Prices'!$C$7:$AL$7,0))</f>
        <v>33.159999999999997</v>
      </c>
      <c r="BF50" s="41">
        <f>INDEX('[1]End - Use Prices'!$C$6:$AL$89,MATCH($C50,'[1]End - Use Prices'!$A$6:$A$89,0)+MATCH($D50,'[1]End - Use Prices'!$B$9:$B$11,0)-1,MATCH(BF$1,'[1]End - Use Prices'!$C$7:$AL$7,0))</f>
        <v>33.07</v>
      </c>
      <c r="BG50" s="41">
        <f>INDEX('[1]End - Use Prices'!$C$6:$AL$89,MATCH($C50,'[1]End - Use Prices'!$A$6:$A$89,0)+MATCH($D50,'[1]End - Use Prices'!$B$9:$B$11,0)-1,MATCH(BG$1,'[1]End - Use Prices'!$C$7:$AL$7,0))</f>
        <v>32.97</v>
      </c>
      <c r="BR50" s="39"/>
      <c r="BS50" s="39"/>
      <c r="BT50" s="39"/>
      <c r="BU50" s="39"/>
      <c r="BV50" s="39"/>
      <c r="BW50" s="39"/>
      <c r="BX50" s="39"/>
      <c r="BY50" s="39"/>
      <c r="BZ50" s="39"/>
      <c r="CA50" s="39"/>
    </row>
    <row r="51" spans="1:79" x14ac:dyDescent="0.25">
      <c r="A51" s="5"/>
      <c r="B51" s="3"/>
      <c r="C51" s="25" t="s">
        <v>89</v>
      </c>
      <c r="D51" s="25" t="s">
        <v>280</v>
      </c>
      <c r="E51" s="25" t="s">
        <v>282</v>
      </c>
      <c r="F51" s="67" t="s">
        <v>279</v>
      </c>
      <c r="G51" s="53">
        <f t="shared" si="4"/>
        <v>24.67</v>
      </c>
      <c r="H51" s="34">
        <f t="shared" si="9"/>
        <v>24.67</v>
      </c>
      <c r="I51" s="34">
        <f t="shared" si="9"/>
        <v>26.1</v>
      </c>
      <c r="J51" s="34">
        <f t="shared" si="9"/>
        <v>27.54</v>
      </c>
      <c r="K51" s="34">
        <f t="shared" si="9"/>
        <v>38.03</v>
      </c>
      <c r="L51" s="34">
        <f t="shared" si="9"/>
        <v>32.78</v>
      </c>
      <c r="M51" s="34">
        <f t="shared" si="9"/>
        <v>32.11</v>
      </c>
      <c r="N51" s="34">
        <f t="shared" si="9"/>
        <v>31.7</v>
      </c>
      <c r="O51" s="34">
        <f t="shared" si="9"/>
        <v>31.16</v>
      </c>
      <c r="P51" s="53">
        <f t="shared" si="8"/>
        <v>31.16</v>
      </c>
      <c r="Q51" s="53">
        <f t="shared" si="8"/>
        <v>31.16</v>
      </c>
      <c r="R51" s="38"/>
      <c r="X51" s="41">
        <f>INDEX('[1]End - Use Prices'!$C$6:$AL$89,MATCH($C51,'[1]End - Use Prices'!$A$6:$A$89,0)+MATCH($D51,'[1]End - Use Prices'!$B$9:$B$11,0)-1,MATCH(X$1,'[1]End - Use Prices'!$C$7:$AL$7,0))</f>
        <v>24.67</v>
      </c>
      <c r="Y51" s="41">
        <f>INDEX('[1]End - Use Prices'!$C$6:$AL$89,MATCH($C51,'[1]End - Use Prices'!$A$6:$A$89,0)+MATCH($D51,'[1]End - Use Prices'!$B$9:$B$11,0)-1,MATCH(Y$1,'[1]End - Use Prices'!$C$7:$AL$7,0))</f>
        <v>25.2</v>
      </c>
      <c r="Z51" s="41">
        <f>INDEX('[1]End - Use Prices'!$C$6:$AL$89,MATCH($C51,'[1]End - Use Prices'!$A$6:$A$89,0)+MATCH($D51,'[1]End - Use Prices'!$B$9:$B$11,0)-1,MATCH(Z$1,'[1]End - Use Prices'!$C$7:$AL$7,0))</f>
        <v>25.43</v>
      </c>
      <c r="AA51" s="41">
        <f>INDEX('[1]End - Use Prices'!$C$6:$AL$89,MATCH($C51,'[1]End - Use Prices'!$A$6:$A$89,0)+MATCH($D51,'[1]End - Use Prices'!$B$9:$B$11,0)-1,MATCH(AA$1,'[1]End - Use Prices'!$C$7:$AL$7,0))</f>
        <v>33.47</v>
      </c>
      <c r="AB51" s="41">
        <f>INDEX('[1]End - Use Prices'!$C$6:$AL$89,MATCH($C51,'[1]End - Use Prices'!$A$6:$A$89,0)+MATCH($D51,'[1]End - Use Prices'!$B$9:$B$11,0)-1,MATCH(AB$1,'[1]End - Use Prices'!$C$7:$AL$7,0))</f>
        <v>23.22</v>
      </c>
      <c r="AC51" s="41">
        <f>INDEX('[1]End - Use Prices'!$C$6:$AL$89,MATCH($C51,'[1]End - Use Prices'!$A$6:$A$89,0)+MATCH($D51,'[1]End - Use Prices'!$B$9:$B$11,0)-1,MATCH(AC$1,'[1]End - Use Prices'!$C$7:$AL$7,0))</f>
        <v>26.1</v>
      </c>
      <c r="AD51" s="41">
        <f>INDEX('[1]End - Use Prices'!$C$6:$AL$89,MATCH($C51,'[1]End - Use Prices'!$A$6:$A$89,0)+MATCH($D51,'[1]End - Use Prices'!$B$9:$B$11,0)-1,MATCH(AD$1,'[1]End - Use Prices'!$C$7:$AL$7,0))</f>
        <v>32.090000000000003</v>
      </c>
      <c r="AE51" s="41">
        <f>INDEX('[1]End - Use Prices'!$C$6:$AL$89,MATCH($C51,'[1]End - Use Prices'!$A$6:$A$89,0)+MATCH($D51,'[1]End - Use Prices'!$B$9:$B$11,0)-1,MATCH(AE$1,'[1]End - Use Prices'!$C$7:$AL$7,0))</f>
        <v>33.770000000000003</v>
      </c>
      <c r="AF51" s="41">
        <f>INDEX('[1]End - Use Prices'!$C$6:$AL$89,MATCH($C51,'[1]End - Use Prices'!$A$6:$A$89,0)+MATCH($D51,'[1]End - Use Prices'!$B$9:$B$11,0)-1,MATCH(AF$1,'[1]End - Use Prices'!$C$7:$AL$7,0))</f>
        <v>33.130000000000003</v>
      </c>
      <c r="AG51" s="41">
        <f>INDEX('[1]End - Use Prices'!$C$6:$AL$89,MATCH($C51,'[1]End - Use Prices'!$A$6:$A$89,0)+MATCH($D51,'[1]End - Use Prices'!$B$9:$B$11,0)-1,MATCH(AG$1,'[1]End - Use Prices'!$C$7:$AL$7,0))</f>
        <v>33.630000000000003</v>
      </c>
      <c r="AH51" s="41">
        <f>INDEX('[1]End - Use Prices'!$C$6:$AL$89,MATCH($C51,'[1]End - Use Prices'!$A$6:$A$89,0)+MATCH($D51,'[1]End - Use Prices'!$B$9:$B$11,0)-1,MATCH(AH$1,'[1]End - Use Prices'!$C$7:$AL$7,0))</f>
        <v>27.54</v>
      </c>
      <c r="AI51" s="41">
        <f>INDEX('[1]End - Use Prices'!$C$6:$AL$89,MATCH($C51,'[1]End - Use Prices'!$A$6:$A$89,0)+MATCH($D51,'[1]End - Use Prices'!$B$9:$B$11,0)-1,MATCH(AI$1,'[1]End - Use Prices'!$C$7:$AL$7,0))</f>
        <v>23.58</v>
      </c>
      <c r="AJ51" s="41">
        <f>INDEX('[1]End - Use Prices'!$C$6:$AL$89,MATCH($C51,'[1]End - Use Prices'!$A$6:$A$89,0)+MATCH($D51,'[1]End - Use Prices'!$B$9:$B$11,0)-1,MATCH(AJ$1,'[1]End - Use Prices'!$C$7:$AL$7,0))</f>
        <v>25.75</v>
      </c>
      <c r="AK51" s="41">
        <f>INDEX('[1]End - Use Prices'!$C$6:$AL$89,MATCH($C51,'[1]End - Use Prices'!$A$6:$A$89,0)+MATCH($D51,'[1]End - Use Prices'!$B$9:$B$11,0)-1,MATCH(AK$1,'[1]End - Use Prices'!$C$7:$AL$7,0))</f>
        <v>30.37</v>
      </c>
      <c r="AL51" s="41">
        <f>INDEX('[1]End - Use Prices'!$C$6:$AL$89,MATCH($C51,'[1]End - Use Prices'!$A$6:$A$89,0)+MATCH($D51,'[1]End - Use Prices'!$B$9:$B$11,0)-1,MATCH(AL$1,'[1]End - Use Prices'!$C$7:$AL$7,0))</f>
        <v>34.700000000000003</v>
      </c>
      <c r="AM51" s="41">
        <f>INDEX('[1]End - Use Prices'!$C$6:$AL$89,MATCH($C51,'[1]End - Use Prices'!$A$6:$A$89,0)+MATCH($D51,'[1]End - Use Prices'!$B$9:$B$11,0)-1,MATCH(AM$1,'[1]End - Use Prices'!$C$7:$AL$7,0))</f>
        <v>38.03</v>
      </c>
      <c r="AN51" s="41">
        <f>INDEX('[1]End - Use Prices'!$C$6:$AL$89,MATCH($C51,'[1]End - Use Prices'!$A$6:$A$89,0)+MATCH($D51,'[1]End - Use Prices'!$B$9:$B$11,0)-1,MATCH(AN$1,'[1]End - Use Prices'!$C$7:$AL$7,0))</f>
        <v>34.799999999999997</v>
      </c>
      <c r="AO51" s="41">
        <f>INDEX('[1]End - Use Prices'!$C$6:$AL$89,MATCH($C51,'[1]End - Use Prices'!$A$6:$A$89,0)+MATCH($D51,'[1]End - Use Prices'!$B$9:$B$11,0)-1,MATCH(AO$1,'[1]End - Use Prices'!$C$7:$AL$7,0))</f>
        <v>32.68</v>
      </c>
      <c r="AP51" s="41">
        <f>INDEX('[1]End - Use Prices'!$C$6:$AL$89,MATCH($C51,'[1]End - Use Prices'!$A$6:$A$89,0)+MATCH($D51,'[1]End - Use Prices'!$B$9:$B$11,0)-1,MATCH(AP$1,'[1]End - Use Prices'!$C$7:$AL$7,0))</f>
        <v>32.369999999999997</v>
      </c>
      <c r="AQ51" s="41">
        <f>INDEX('[1]End - Use Prices'!$C$6:$AL$89,MATCH($C51,'[1]End - Use Prices'!$A$6:$A$89,0)+MATCH($D51,'[1]End - Use Prices'!$B$9:$B$11,0)-1,MATCH(AQ$1,'[1]End - Use Prices'!$C$7:$AL$7,0))</f>
        <v>32.47</v>
      </c>
      <c r="AR51" s="41">
        <f>INDEX('[1]End - Use Prices'!$C$6:$AL$89,MATCH($C51,'[1]End - Use Prices'!$A$6:$A$89,0)+MATCH($D51,'[1]End - Use Prices'!$B$9:$B$11,0)-1,MATCH(AR$1,'[1]End - Use Prices'!$C$7:$AL$7,0))</f>
        <v>32.78</v>
      </c>
      <c r="AS51" s="41">
        <f>INDEX('[1]End - Use Prices'!$C$6:$AL$89,MATCH($C51,'[1]End - Use Prices'!$A$6:$A$89,0)+MATCH($D51,'[1]End - Use Prices'!$B$9:$B$11,0)-1,MATCH(AS$1,'[1]End - Use Prices'!$C$7:$AL$7,0))</f>
        <v>33.03</v>
      </c>
      <c r="AT51" s="41">
        <f>INDEX('[1]End - Use Prices'!$C$6:$AL$89,MATCH($C51,'[1]End - Use Prices'!$A$6:$A$89,0)+MATCH($D51,'[1]End - Use Prices'!$B$9:$B$11,0)-1,MATCH(AT$1,'[1]End - Use Prices'!$C$7:$AL$7,0))</f>
        <v>32.81</v>
      </c>
      <c r="AU51" s="41">
        <f>INDEX('[1]End - Use Prices'!$C$6:$AL$89,MATCH($C51,'[1]End - Use Prices'!$A$6:$A$89,0)+MATCH($D51,'[1]End - Use Prices'!$B$9:$B$11,0)-1,MATCH(AU$1,'[1]End - Use Prices'!$C$7:$AL$7,0))</f>
        <v>32.549999999999997</v>
      </c>
      <c r="AV51" s="41">
        <f>INDEX('[1]End - Use Prices'!$C$6:$AL$89,MATCH($C51,'[1]End - Use Prices'!$A$6:$A$89,0)+MATCH($D51,'[1]End - Use Prices'!$B$9:$B$11,0)-1,MATCH(AV$1,'[1]End - Use Prices'!$C$7:$AL$7,0))</f>
        <v>32.33</v>
      </c>
      <c r="AW51" s="41">
        <f>INDEX('[1]End - Use Prices'!$C$6:$AL$89,MATCH($C51,'[1]End - Use Prices'!$A$6:$A$89,0)+MATCH($D51,'[1]End - Use Prices'!$B$9:$B$11,0)-1,MATCH(AW$1,'[1]End - Use Prices'!$C$7:$AL$7,0))</f>
        <v>32.11</v>
      </c>
      <c r="AX51" s="41">
        <f>INDEX('[1]End - Use Prices'!$C$6:$AL$89,MATCH($C51,'[1]End - Use Prices'!$A$6:$A$89,0)+MATCH($D51,'[1]End - Use Prices'!$B$9:$B$11,0)-1,MATCH(AX$1,'[1]End - Use Prices'!$C$7:$AL$7,0))</f>
        <v>31.96</v>
      </c>
      <c r="AY51" s="41">
        <f>INDEX('[1]End - Use Prices'!$C$6:$AL$89,MATCH($C51,'[1]End - Use Prices'!$A$6:$A$89,0)+MATCH($D51,'[1]End - Use Prices'!$B$9:$B$11,0)-1,MATCH(AY$1,'[1]End - Use Prices'!$C$7:$AL$7,0))</f>
        <v>31.85</v>
      </c>
      <c r="AZ51" s="41">
        <f>INDEX('[1]End - Use Prices'!$C$6:$AL$89,MATCH($C51,'[1]End - Use Prices'!$A$6:$A$89,0)+MATCH($D51,'[1]End - Use Prices'!$B$9:$B$11,0)-1,MATCH(AZ$1,'[1]End - Use Prices'!$C$7:$AL$7,0))</f>
        <v>31.79</v>
      </c>
      <c r="BA51" s="41">
        <f>INDEX('[1]End - Use Prices'!$C$6:$AL$89,MATCH($C51,'[1]End - Use Prices'!$A$6:$A$89,0)+MATCH($D51,'[1]End - Use Prices'!$B$9:$B$11,0)-1,MATCH(BA$1,'[1]End - Use Prices'!$C$7:$AL$7,0))</f>
        <v>31.75</v>
      </c>
      <c r="BB51" s="41">
        <f>INDEX('[1]End - Use Prices'!$C$6:$AL$89,MATCH($C51,'[1]End - Use Prices'!$A$6:$A$89,0)+MATCH($D51,'[1]End - Use Prices'!$B$9:$B$11,0)-1,MATCH(BB$1,'[1]End - Use Prices'!$C$7:$AL$7,0))</f>
        <v>31.7</v>
      </c>
      <c r="BC51" s="41">
        <f>INDEX('[1]End - Use Prices'!$C$6:$AL$89,MATCH($C51,'[1]End - Use Prices'!$A$6:$A$89,0)+MATCH($D51,'[1]End - Use Prices'!$B$9:$B$11,0)-1,MATCH(BC$1,'[1]End - Use Prices'!$C$7:$AL$7,0))</f>
        <v>31.63</v>
      </c>
      <c r="BD51" s="41">
        <f>INDEX('[1]End - Use Prices'!$C$6:$AL$89,MATCH($C51,'[1]End - Use Prices'!$A$6:$A$89,0)+MATCH($D51,'[1]End - Use Prices'!$B$9:$B$11,0)-1,MATCH(BD$1,'[1]End - Use Prices'!$C$7:$AL$7,0))</f>
        <v>31.54</v>
      </c>
      <c r="BE51" s="41">
        <f>INDEX('[1]End - Use Prices'!$C$6:$AL$89,MATCH($C51,'[1]End - Use Prices'!$A$6:$A$89,0)+MATCH($D51,'[1]End - Use Prices'!$B$9:$B$11,0)-1,MATCH(BE$1,'[1]End - Use Prices'!$C$7:$AL$7,0))</f>
        <v>31.42</v>
      </c>
      <c r="BF51" s="41">
        <f>INDEX('[1]End - Use Prices'!$C$6:$AL$89,MATCH($C51,'[1]End - Use Prices'!$A$6:$A$89,0)+MATCH($D51,'[1]End - Use Prices'!$B$9:$B$11,0)-1,MATCH(BF$1,'[1]End - Use Prices'!$C$7:$AL$7,0))</f>
        <v>31.3</v>
      </c>
      <c r="BG51" s="41">
        <f>INDEX('[1]End - Use Prices'!$C$6:$AL$89,MATCH($C51,'[1]End - Use Prices'!$A$6:$A$89,0)+MATCH($D51,'[1]End - Use Prices'!$B$9:$B$11,0)-1,MATCH(BG$1,'[1]End - Use Prices'!$C$7:$AL$7,0))</f>
        <v>31.16</v>
      </c>
      <c r="BR51" s="39"/>
      <c r="BS51" s="39"/>
      <c r="BT51" s="39"/>
      <c r="BU51" s="39"/>
      <c r="BV51" s="39"/>
      <c r="BW51" s="39"/>
      <c r="BX51" s="39"/>
      <c r="BY51" s="39"/>
      <c r="BZ51" s="39"/>
      <c r="CA51" s="39"/>
    </row>
    <row r="52" spans="1:79" x14ac:dyDescent="0.25">
      <c r="A52" s="5"/>
      <c r="B52" s="3"/>
      <c r="C52" s="25" t="s">
        <v>90</v>
      </c>
      <c r="D52" s="25" t="s">
        <v>280</v>
      </c>
      <c r="E52" s="25" t="s">
        <v>282</v>
      </c>
      <c r="F52" s="67" t="s">
        <v>279</v>
      </c>
      <c r="G52" s="53">
        <f t="shared" si="4"/>
        <v>25.66</v>
      </c>
      <c r="H52" s="34">
        <f t="shared" si="9"/>
        <v>25.66</v>
      </c>
      <c r="I52" s="34">
        <f t="shared" si="9"/>
        <v>28.54</v>
      </c>
      <c r="J52" s="34">
        <f t="shared" si="9"/>
        <v>30.91</v>
      </c>
      <c r="K52" s="34">
        <f t="shared" si="9"/>
        <v>41.65</v>
      </c>
      <c r="L52" s="34">
        <f t="shared" si="9"/>
        <v>36.79</v>
      </c>
      <c r="M52" s="34">
        <f t="shared" si="9"/>
        <v>36.32</v>
      </c>
      <c r="N52" s="34">
        <f t="shared" si="9"/>
        <v>36.090000000000003</v>
      </c>
      <c r="O52" s="34">
        <f t="shared" si="9"/>
        <v>35.71</v>
      </c>
      <c r="P52" s="53">
        <f t="shared" si="8"/>
        <v>35.71</v>
      </c>
      <c r="Q52" s="53">
        <f t="shared" si="8"/>
        <v>35.71</v>
      </c>
      <c r="R52" s="38"/>
      <c r="X52" s="41">
        <f>INDEX('[1]End - Use Prices'!$C$6:$AL$89,MATCH($C52,'[1]End - Use Prices'!$A$6:$A$89,0)+MATCH($D52,'[1]End - Use Prices'!$B$9:$B$11,0)-1,MATCH(X$1,'[1]End - Use Prices'!$C$7:$AL$7,0))</f>
        <v>25.66</v>
      </c>
      <c r="Y52" s="41">
        <f>INDEX('[1]End - Use Prices'!$C$6:$AL$89,MATCH($C52,'[1]End - Use Prices'!$A$6:$A$89,0)+MATCH($D52,'[1]End - Use Prices'!$B$9:$B$11,0)-1,MATCH(Y$1,'[1]End - Use Prices'!$C$7:$AL$7,0))</f>
        <v>26.36</v>
      </c>
      <c r="Z52" s="41">
        <f>INDEX('[1]End - Use Prices'!$C$6:$AL$89,MATCH($C52,'[1]End - Use Prices'!$A$6:$A$89,0)+MATCH($D52,'[1]End - Use Prices'!$B$9:$B$11,0)-1,MATCH(Z$1,'[1]End - Use Prices'!$C$7:$AL$7,0))</f>
        <v>27.18</v>
      </c>
      <c r="AA52" s="41">
        <f>INDEX('[1]End - Use Prices'!$C$6:$AL$89,MATCH($C52,'[1]End - Use Prices'!$A$6:$A$89,0)+MATCH($D52,'[1]End - Use Prices'!$B$9:$B$11,0)-1,MATCH(AA$1,'[1]End - Use Prices'!$C$7:$AL$7,0))</f>
        <v>33.630000000000003</v>
      </c>
      <c r="AB52" s="41">
        <f>INDEX('[1]End - Use Prices'!$C$6:$AL$89,MATCH($C52,'[1]End - Use Prices'!$A$6:$A$89,0)+MATCH($D52,'[1]End - Use Prices'!$B$9:$B$11,0)-1,MATCH(AB$1,'[1]End - Use Prices'!$C$7:$AL$7,0))</f>
        <v>25.05</v>
      </c>
      <c r="AC52" s="41">
        <f>INDEX('[1]End - Use Prices'!$C$6:$AL$89,MATCH($C52,'[1]End - Use Prices'!$A$6:$A$89,0)+MATCH($D52,'[1]End - Use Prices'!$B$9:$B$11,0)-1,MATCH(AC$1,'[1]End - Use Prices'!$C$7:$AL$7,0))</f>
        <v>28.54</v>
      </c>
      <c r="AD52" s="41">
        <f>INDEX('[1]End - Use Prices'!$C$6:$AL$89,MATCH($C52,'[1]End - Use Prices'!$A$6:$A$89,0)+MATCH($D52,'[1]End - Use Prices'!$B$9:$B$11,0)-1,MATCH(AD$1,'[1]End - Use Prices'!$C$7:$AL$7,0))</f>
        <v>35.020000000000003</v>
      </c>
      <c r="AE52" s="41">
        <f>INDEX('[1]End - Use Prices'!$C$6:$AL$89,MATCH($C52,'[1]End - Use Prices'!$A$6:$A$89,0)+MATCH($D52,'[1]End - Use Prices'!$B$9:$B$11,0)-1,MATCH(AE$1,'[1]End - Use Prices'!$C$7:$AL$7,0))</f>
        <v>35.61</v>
      </c>
      <c r="AF52" s="41">
        <f>INDEX('[1]End - Use Prices'!$C$6:$AL$89,MATCH($C52,'[1]End - Use Prices'!$A$6:$A$89,0)+MATCH($D52,'[1]End - Use Prices'!$B$9:$B$11,0)-1,MATCH(AF$1,'[1]End - Use Prices'!$C$7:$AL$7,0))</f>
        <v>35.47</v>
      </c>
      <c r="AG52" s="41">
        <f>INDEX('[1]End - Use Prices'!$C$6:$AL$89,MATCH($C52,'[1]End - Use Prices'!$A$6:$A$89,0)+MATCH($D52,'[1]End - Use Prices'!$B$9:$B$11,0)-1,MATCH(AG$1,'[1]End - Use Prices'!$C$7:$AL$7,0))</f>
        <v>36.5</v>
      </c>
      <c r="AH52" s="41">
        <f>INDEX('[1]End - Use Prices'!$C$6:$AL$89,MATCH($C52,'[1]End - Use Prices'!$A$6:$A$89,0)+MATCH($D52,'[1]End - Use Prices'!$B$9:$B$11,0)-1,MATCH(AH$1,'[1]End - Use Prices'!$C$7:$AL$7,0))</f>
        <v>30.91</v>
      </c>
      <c r="AI52" s="41">
        <f>INDEX('[1]End - Use Prices'!$C$6:$AL$89,MATCH($C52,'[1]End - Use Prices'!$A$6:$A$89,0)+MATCH($D52,'[1]End - Use Prices'!$B$9:$B$11,0)-1,MATCH(AI$1,'[1]End - Use Prices'!$C$7:$AL$7,0))</f>
        <v>27.23</v>
      </c>
      <c r="AJ52" s="41">
        <f>INDEX('[1]End - Use Prices'!$C$6:$AL$89,MATCH($C52,'[1]End - Use Prices'!$A$6:$A$89,0)+MATCH($D52,'[1]End - Use Prices'!$B$9:$B$11,0)-1,MATCH(AJ$1,'[1]End - Use Prices'!$C$7:$AL$7,0))</f>
        <v>31.23</v>
      </c>
      <c r="AK52" s="41">
        <f>INDEX('[1]End - Use Prices'!$C$6:$AL$89,MATCH($C52,'[1]End - Use Prices'!$A$6:$A$89,0)+MATCH($D52,'[1]End - Use Prices'!$B$9:$B$11,0)-1,MATCH(AK$1,'[1]End - Use Prices'!$C$7:$AL$7,0))</f>
        <v>35.57</v>
      </c>
      <c r="AL52" s="41">
        <f>INDEX('[1]End - Use Prices'!$C$6:$AL$89,MATCH($C52,'[1]End - Use Prices'!$A$6:$A$89,0)+MATCH($D52,'[1]End - Use Prices'!$B$9:$B$11,0)-1,MATCH(AL$1,'[1]End - Use Prices'!$C$7:$AL$7,0))</f>
        <v>38.32</v>
      </c>
      <c r="AM52" s="41">
        <f>INDEX('[1]End - Use Prices'!$C$6:$AL$89,MATCH($C52,'[1]End - Use Prices'!$A$6:$A$89,0)+MATCH($D52,'[1]End - Use Prices'!$B$9:$B$11,0)-1,MATCH(AM$1,'[1]End - Use Prices'!$C$7:$AL$7,0))</f>
        <v>41.65</v>
      </c>
      <c r="AN52" s="41">
        <f>INDEX('[1]End - Use Prices'!$C$6:$AL$89,MATCH($C52,'[1]End - Use Prices'!$A$6:$A$89,0)+MATCH($D52,'[1]End - Use Prices'!$B$9:$B$11,0)-1,MATCH(AN$1,'[1]End - Use Prices'!$C$7:$AL$7,0))</f>
        <v>38.53</v>
      </c>
      <c r="AO52" s="41">
        <f>INDEX('[1]End - Use Prices'!$C$6:$AL$89,MATCH($C52,'[1]End - Use Prices'!$A$6:$A$89,0)+MATCH($D52,'[1]End - Use Prices'!$B$9:$B$11,0)-1,MATCH(AO$1,'[1]End - Use Prices'!$C$7:$AL$7,0))</f>
        <v>36.51</v>
      </c>
      <c r="AP52" s="41">
        <f>INDEX('[1]End - Use Prices'!$C$6:$AL$89,MATCH($C52,'[1]End - Use Prices'!$A$6:$A$89,0)+MATCH($D52,'[1]End - Use Prices'!$B$9:$B$11,0)-1,MATCH(AP$1,'[1]End - Use Prices'!$C$7:$AL$7,0))</f>
        <v>36.270000000000003</v>
      </c>
      <c r="AQ52" s="41">
        <f>INDEX('[1]End - Use Prices'!$C$6:$AL$89,MATCH($C52,'[1]End - Use Prices'!$A$6:$A$89,0)+MATCH($D52,'[1]End - Use Prices'!$B$9:$B$11,0)-1,MATCH(AQ$1,'[1]End - Use Prices'!$C$7:$AL$7,0))</f>
        <v>36.42</v>
      </c>
      <c r="AR52" s="41">
        <f>INDEX('[1]End - Use Prices'!$C$6:$AL$89,MATCH($C52,'[1]End - Use Prices'!$A$6:$A$89,0)+MATCH($D52,'[1]End - Use Prices'!$B$9:$B$11,0)-1,MATCH(AR$1,'[1]End - Use Prices'!$C$7:$AL$7,0))</f>
        <v>36.79</v>
      </c>
      <c r="AS52" s="41">
        <f>INDEX('[1]End - Use Prices'!$C$6:$AL$89,MATCH($C52,'[1]End - Use Prices'!$A$6:$A$89,0)+MATCH($D52,'[1]End - Use Prices'!$B$9:$B$11,0)-1,MATCH(AS$1,'[1]End - Use Prices'!$C$7:$AL$7,0))</f>
        <v>37.08</v>
      </c>
      <c r="AT52" s="41">
        <f>INDEX('[1]End - Use Prices'!$C$6:$AL$89,MATCH($C52,'[1]End - Use Prices'!$A$6:$A$89,0)+MATCH($D52,'[1]End - Use Prices'!$B$9:$B$11,0)-1,MATCH(AT$1,'[1]End - Use Prices'!$C$7:$AL$7,0))</f>
        <v>36.909999999999997</v>
      </c>
      <c r="AU52" s="41">
        <f>INDEX('[1]End - Use Prices'!$C$6:$AL$89,MATCH($C52,'[1]End - Use Prices'!$A$6:$A$89,0)+MATCH($D52,'[1]End - Use Prices'!$B$9:$B$11,0)-1,MATCH(AU$1,'[1]End - Use Prices'!$C$7:$AL$7,0))</f>
        <v>36.69</v>
      </c>
      <c r="AV52" s="41">
        <f>INDEX('[1]End - Use Prices'!$C$6:$AL$89,MATCH($C52,'[1]End - Use Prices'!$A$6:$A$89,0)+MATCH($D52,'[1]End - Use Prices'!$B$9:$B$11,0)-1,MATCH(AV$1,'[1]End - Use Prices'!$C$7:$AL$7,0))</f>
        <v>36.51</v>
      </c>
      <c r="AW52" s="41">
        <f>INDEX('[1]End - Use Prices'!$C$6:$AL$89,MATCH($C52,'[1]End - Use Prices'!$A$6:$A$89,0)+MATCH($D52,'[1]End - Use Prices'!$B$9:$B$11,0)-1,MATCH(AW$1,'[1]End - Use Prices'!$C$7:$AL$7,0))</f>
        <v>36.32</v>
      </c>
      <c r="AX52" s="41">
        <f>INDEX('[1]End - Use Prices'!$C$6:$AL$89,MATCH($C52,'[1]End - Use Prices'!$A$6:$A$89,0)+MATCH($D52,'[1]End - Use Prices'!$B$9:$B$11,0)-1,MATCH(AX$1,'[1]End - Use Prices'!$C$7:$AL$7,0))</f>
        <v>36.22</v>
      </c>
      <c r="AY52" s="41">
        <f>INDEX('[1]End - Use Prices'!$C$6:$AL$89,MATCH($C52,'[1]End - Use Prices'!$A$6:$A$89,0)+MATCH($D52,'[1]End - Use Prices'!$B$9:$B$11,0)-1,MATCH(AY$1,'[1]End - Use Prices'!$C$7:$AL$7,0))</f>
        <v>36.14</v>
      </c>
      <c r="AZ52" s="41">
        <f>INDEX('[1]End - Use Prices'!$C$6:$AL$89,MATCH($C52,'[1]End - Use Prices'!$A$6:$A$89,0)+MATCH($D52,'[1]End - Use Prices'!$B$9:$B$11,0)-1,MATCH(AZ$1,'[1]End - Use Prices'!$C$7:$AL$7,0))</f>
        <v>36.11</v>
      </c>
      <c r="BA52" s="41">
        <f>INDEX('[1]End - Use Prices'!$C$6:$AL$89,MATCH($C52,'[1]End - Use Prices'!$A$6:$A$89,0)+MATCH($D52,'[1]End - Use Prices'!$B$9:$B$11,0)-1,MATCH(BA$1,'[1]End - Use Prices'!$C$7:$AL$7,0))</f>
        <v>36.11</v>
      </c>
      <c r="BB52" s="41">
        <f>INDEX('[1]End - Use Prices'!$C$6:$AL$89,MATCH($C52,'[1]End - Use Prices'!$A$6:$A$89,0)+MATCH($D52,'[1]End - Use Prices'!$B$9:$B$11,0)-1,MATCH(BB$1,'[1]End - Use Prices'!$C$7:$AL$7,0))</f>
        <v>36.090000000000003</v>
      </c>
      <c r="BC52" s="41">
        <f>INDEX('[1]End - Use Prices'!$C$6:$AL$89,MATCH($C52,'[1]End - Use Prices'!$A$6:$A$89,0)+MATCH($D52,'[1]End - Use Prices'!$B$9:$B$11,0)-1,MATCH(BC$1,'[1]End - Use Prices'!$C$7:$AL$7,0))</f>
        <v>36.049999999999997</v>
      </c>
      <c r="BD52" s="41">
        <f>INDEX('[1]End - Use Prices'!$C$6:$AL$89,MATCH($C52,'[1]End - Use Prices'!$A$6:$A$89,0)+MATCH($D52,'[1]End - Use Prices'!$B$9:$B$11,0)-1,MATCH(BD$1,'[1]End - Use Prices'!$C$7:$AL$7,0))</f>
        <v>35.99</v>
      </c>
      <c r="BE52" s="41">
        <f>INDEX('[1]End - Use Prices'!$C$6:$AL$89,MATCH($C52,'[1]End - Use Prices'!$A$6:$A$89,0)+MATCH($D52,'[1]End - Use Prices'!$B$9:$B$11,0)-1,MATCH(BE$1,'[1]End - Use Prices'!$C$7:$AL$7,0))</f>
        <v>35.9</v>
      </c>
      <c r="BF52" s="41">
        <f>INDEX('[1]End - Use Prices'!$C$6:$AL$89,MATCH($C52,'[1]End - Use Prices'!$A$6:$A$89,0)+MATCH($D52,'[1]End - Use Prices'!$B$9:$B$11,0)-1,MATCH(BF$1,'[1]End - Use Prices'!$C$7:$AL$7,0))</f>
        <v>35.81</v>
      </c>
      <c r="BG52" s="41">
        <f>INDEX('[1]End - Use Prices'!$C$6:$AL$89,MATCH($C52,'[1]End - Use Prices'!$A$6:$A$89,0)+MATCH($D52,'[1]End - Use Prices'!$B$9:$B$11,0)-1,MATCH(BG$1,'[1]End - Use Prices'!$C$7:$AL$7,0))</f>
        <v>35.71</v>
      </c>
      <c r="BR52" s="39"/>
      <c r="BS52" s="39"/>
      <c r="BT52" s="39"/>
      <c r="BU52" s="39"/>
      <c r="BV52" s="39"/>
      <c r="BW52" s="39"/>
      <c r="BX52" s="39"/>
      <c r="BY52" s="39"/>
      <c r="BZ52" s="39"/>
      <c r="CA52" s="39"/>
    </row>
    <row r="53" spans="1:79" x14ac:dyDescent="0.25">
      <c r="A53" s="5"/>
      <c r="B53" s="3"/>
      <c r="C53" s="25" t="s">
        <v>91</v>
      </c>
      <c r="D53" s="25" t="s">
        <v>280</v>
      </c>
      <c r="E53" s="25" t="s">
        <v>282</v>
      </c>
      <c r="F53" s="67" t="s">
        <v>279</v>
      </c>
      <c r="G53" s="53">
        <f t="shared" si="4"/>
        <v>26.86</v>
      </c>
      <c r="H53" s="34">
        <f t="shared" si="9"/>
        <v>26.86</v>
      </c>
      <c r="I53" s="34">
        <f t="shared" si="9"/>
        <v>28.11</v>
      </c>
      <c r="J53" s="34">
        <f t="shared" si="9"/>
        <v>26.82</v>
      </c>
      <c r="K53" s="34">
        <f t="shared" si="9"/>
        <v>36.65</v>
      </c>
      <c r="L53" s="34">
        <f t="shared" si="9"/>
        <v>30.13</v>
      </c>
      <c r="M53" s="34">
        <f t="shared" si="9"/>
        <v>29.7</v>
      </c>
      <c r="N53" s="34">
        <f t="shared" si="9"/>
        <v>29.69</v>
      </c>
      <c r="O53" s="34">
        <f t="shared" si="9"/>
        <v>29.56</v>
      </c>
      <c r="P53" s="53">
        <f t="shared" si="8"/>
        <v>29.56</v>
      </c>
      <c r="Q53" s="53">
        <f t="shared" si="8"/>
        <v>29.56</v>
      </c>
      <c r="R53" s="38"/>
      <c r="X53" s="41">
        <f>INDEX('[1]End - Use Prices'!$C$6:$AL$89,MATCH($C53,'[1]End - Use Prices'!$A$6:$A$89,0)+MATCH($D53,'[1]End - Use Prices'!$B$9:$B$11,0)-1,MATCH(X$1,'[1]End - Use Prices'!$C$7:$AL$7,0))</f>
        <v>26.86</v>
      </c>
      <c r="Y53" s="41">
        <f>INDEX('[1]End - Use Prices'!$C$6:$AL$89,MATCH($C53,'[1]End - Use Prices'!$A$6:$A$89,0)+MATCH($D53,'[1]End - Use Prices'!$B$9:$B$11,0)-1,MATCH(Y$1,'[1]End - Use Prices'!$C$7:$AL$7,0))</f>
        <v>26.92</v>
      </c>
      <c r="Z53" s="41">
        <f>INDEX('[1]End - Use Prices'!$C$6:$AL$89,MATCH($C53,'[1]End - Use Prices'!$A$6:$A$89,0)+MATCH($D53,'[1]End - Use Prices'!$B$9:$B$11,0)-1,MATCH(Z$1,'[1]End - Use Prices'!$C$7:$AL$7,0))</f>
        <v>28.39</v>
      </c>
      <c r="AA53" s="41">
        <f>INDEX('[1]End - Use Prices'!$C$6:$AL$89,MATCH($C53,'[1]End - Use Prices'!$A$6:$A$89,0)+MATCH($D53,'[1]End - Use Prices'!$B$9:$B$11,0)-1,MATCH(AA$1,'[1]End - Use Prices'!$C$7:$AL$7,0))</f>
        <v>34.549999999999997</v>
      </c>
      <c r="AB53" s="41">
        <f>INDEX('[1]End - Use Prices'!$C$6:$AL$89,MATCH($C53,'[1]End - Use Prices'!$A$6:$A$89,0)+MATCH($D53,'[1]End - Use Prices'!$B$9:$B$11,0)-1,MATCH(AB$1,'[1]End - Use Prices'!$C$7:$AL$7,0))</f>
        <v>25.26</v>
      </c>
      <c r="AC53" s="41">
        <f>INDEX('[1]End - Use Prices'!$C$6:$AL$89,MATCH($C53,'[1]End - Use Prices'!$A$6:$A$89,0)+MATCH($D53,'[1]End - Use Prices'!$B$9:$B$11,0)-1,MATCH(AC$1,'[1]End - Use Prices'!$C$7:$AL$7,0))</f>
        <v>28.11</v>
      </c>
      <c r="AD53" s="41">
        <f>INDEX('[1]End - Use Prices'!$C$6:$AL$89,MATCH($C53,'[1]End - Use Prices'!$A$6:$A$89,0)+MATCH($D53,'[1]End - Use Prices'!$B$9:$B$11,0)-1,MATCH(AD$1,'[1]End - Use Prices'!$C$7:$AL$7,0))</f>
        <v>32.72</v>
      </c>
      <c r="AE53" s="41">
        <f>INDEX('[1]End - Use Prices'!$C$6:$AL$89,MATCH($C53,'[1]End - Use Prices'!$A$6:$A$89,0)+MATCH($D53,'[1]End - Use Prices'!$B$9:$B$11,0)-1,MATCH(AE$1,'[1]End - Use Prices'!$C$7:$AL$7,0))</f>
        <v>32.950000000000003</v>
      </c>
      <c r="AF53" s="41">
        <f>INDEX('[1]End - Use Prices'!$C$6:$AL$89,MATCH($C53,'[1]End - Use Prices'!$A$6:$A$89,0)+MATCH($D53,'[1]End - Use Prices'!$B$9:$B$11,0)-1,MATCH(AF$1,'[1]End - Use Prices'!$C$7:$AL$7,0))</f>
        <v>33.5</v>
      </c>
      <c r="AG53" s="41">
        <f>INDEX('[1]End - Use Prices'!$C$6:$AL$89,MATCH($C53,'[1]End - Use Prices'!$A$6:$A$89,0)+MATCH($D53,'[1]End - Use Prices'!$B$9:$B$11,0)-1,MATCH(AG$1,'[1]End - Use Prices'!$C$7:$AL$7,0))</f>
        <v>34.840000000000003</v>
      </c>
      <c r="AH53" s="41">
        <f>INDEX('[1]End - Use Prices'!$C$6:$AL$89,MATCH($C53,'[1]End - Use Prices'!$A$6:$A$89,0)+MATCH($D53,'[1]End - Use Prices'!$B$9:$B$11,0)-1,MATCH(AH$1,'[1]End - Use Prices'!$C$7:$AL$7,0))</f>
        <v>26.82</v>
      </c>
      <c r="AI53" s="41">
        <f>INDEX('[1]End - Use Prices'!$C$6:$AL$89,MATCH($C53,'[1]End - Use Prices'!$A$6:$A$89,0)+MATCH($D53,'[1]End - Use Prices'!$B$9:$B$11,0)-1,MATCH(AI$1,'[1]End - Use Prices'!$C$7:$AL$7,0))</f>
        <v>24</v>
      </c>
      <c r="AJ53" s="41">
        <f>INDEX('[1]End - Use Prices'!$C$6:$AL$89,MATCH($C53,'[1]End - Use Prices'!$A$6:$A$89,0)+MATCH($D53,'[1]End - Use Prices'!$B$9:$B$11,0)-1,MATCH(AJ$1,'[1]End - Use Prices'!$C$7:$AL$7,0))</f>
        <v>26.23</v>
      </c>
      <c r="AK53" s="41">
        <f>INDEX('[1]End - Use Prices'!$C$6:$AL$89,MATCH($C53,'[1]End - Use Prices'!$A$6:$A$89,0)+MATCH($D53,'[1]End - Use Prices'!$B$9:$B$11,0)-1,MATCH(AK$1,'[1]End - Use Prices'!$C$7:$AL$7,0))</f>
        <v>30.14</v>
      </c>
      <c r="AL53" s="41">
        <f>INDEX('[1]End - Use Prices'!$C$6:$AL$89,MATCH($C53,'[1]End - Use Prices'!$A$6:$A$89,0)+MATCH($D53,'[1]End - Use Prices'!$B$9:$B$11,0)-1,MATCH(AL$1,'[1]End - Use Prices'!$C$7:$AL$7,0))</f>
        <v>33.479999999999997</v>
      </c>
      <c r="AM53" s="41">
        <f>INDEX('[1]End - Use Prices'!$C$6:$AL$89,MATCH($C53,'[1]End - Use Prices'!$A$6:$A$89,0)+MATCH($D53,'[1]End - Use Prices'!$B$9:$B$11,0)-1,MATCH(AM$1,'[1]End - Use Prices'!$C$7:$AL$7,0))</f>
        <v>36.65</v>
      </c>
      <c r="AN53" s="41">
        <f>INDEX('[1]End - Use Prices'!$C$6:$AL$89,MATCH($C53,'[1]End - Use Prices'!$A$6:$A$89,0)+MATCH($D53,'[1]End - Use Prices'!$B$9:$B$11,0)-1,MATCH(AN$1,'[1]End - Use Prices'!$C$7:$AL$7,0))</f>
        <v>33.15</v>
      </c>
      <c r="AO53" s="41">
        <f>INDEX('[1]End - Use Prices'!$C$6:$AL$89,MATCH($C53,'[1]End - Use Prices'!$A$6:$A$89,0)+MATCH($D53,'[1]End - Use Prices'!$B$9:$B$11,0)-1,MATCH(AO$1,'[1]End - Use Prices'!$C$7:$AL$7,0))</f>
        <v>30.77</v>
      </c>
      <c r="AP53" s="41">
        <f>INDEX('[1]End - Use Prices'!$C$6:$AL$89,MATCH($C53,'[1]End - Use Prices'!$A$6:$A$89,0)+MATCH($D53,'[1]End - Use Prices'!$B$9:$B$11,0)-1,MATCH(AP$1,'[1]End - Use Prices'!$C$7:$AL$7,0))</f>
        <v>30.2</v>
      </c>
      <c r="AQ53" s="41">
        <f>INDEX('[1]End - Use Prices'!$C$6:$AL$89,MATCH($C53,'[1]End - Use Prices'!$A$6:$A$89,0)+MATCH($D53,'[1]End - Use Prices'!$B$9:$B$11,0)-1,MATCH(AQ$1,'[1]End - Use Prices'!$C$7:$AL$7,0))</f>
        <v>30.06</v>
      </c>
      <c r="AR53" s="41">
        <f>INDEX('[1]End - Use Prices'!$C$6:$AL$89,MATCH($C53,'[1]End - Use Prices'!$A$6:$A$89,0)+MATCH($D53,'[1]End - Use Prices'!$B$9:$B$11,0)-1,MATCH(AR$1,'[1]End - Use Prices'!$C$7:$AL$7,0))</f>
        <v>30.13</v>
      </c>
      <c r="AS53" s="41">
        <f>INDEX('[1]End - Use Prices'!$C$6:$AL$89,MATCH($C53,'[1]End - Use Prices'!$A$6:$A$89,0)+MATCH($D53,'[1]End - Use Prices'!$B$9:$B$11,0)-1,MATCH(AS$1,'[1]End - Use Prices'!$C$7:$AL$7,0))</f>
        <v>30.14</v>
      </c>
      <c r="AT53" s="41">
        <f>INDEX('[1]End - Use Prices'!$C$6:$AL$89,MATCH($C53,'[1]End - Use Prices'!$A$6:$A$89,0)+MATCH($D53,'[1]End - Use Prices'!$B$9:$B$11,0)-1,MATCH(AT$1,'[1]End - Use Prices'!$C$7:$AL$7,0))</f>
        <v>30.06</v>
      </c>
      <c r="AU53" s="41">
        <f>INDEX('[1]End - Use Prices'!$C$6:$AL$89,MATCH($C53,'[1]End - Use Prices'!$A$6:$A$89,0)+MATCH($D53,'[1]End - Use Prices'!$B$9:$B$11,0)-1,MATCH(AU$1,'[1]End - Use Prices'!$C$7:$AL$7,0))</f>
        <v>29.92</v>
      </c>
      <c r="AV53" s="41">
        <f>INDEX('[1]End - Use Prices'!$C$6:$AL$89,MATCH($C53,'[1]End - Use Prices'!$A$6:$A$89,0)+MATCH($D53,'[1]End - Use Prices'!$B$9:$B$11,0)-1,MATCH(AV$1,'[1]End - Use Prices'!$C$7:$AL$7,0))</f>
        <v>29.81</v>
      </c>
      <c r="AW53" s="41">
        <f>INDEX('[1]End - Use Prices'!$C$6:$AL$89,MATCH($C53,'[1]End - Use Prices'!$A$6:$A$89,0)+MATCH($D53,'[1]End - Use Prices'!$B$9:$B$11,0)-1,MATCH(AW$1,'[1]End - Use Prices'!$C$7:$AL$7,0))</f>
        <v>29.7</v>
      </c>
      <c r="AX53" s="41">
        <f>INDEX('[1]End - Use Prices'!$C$6:$AL$89,MATCH($C53,'[1]End - Use Prices'!$A$6:$A$89,0)+MATCH($D53,'[1]End - Use Prices'!$B$9:$B$11,0)-1,MATCH(AX$1,'[1]End - Use Prices'!$C$7:$AL$7,0))</f>
        <v>29.64</v>
      </c>
      <c r="AY53" s="41">
        <f>INDEX('[1]End - Use Prices'!$C$6:$AL$89,MATCH($C53,'[1]End - Use Prices'!$A$6:$A$89,0)+MATCH($D53,'[1]End - Use Prices'!$B$9:$B$11,0)-1,MATCH(AY$1,'[1]End - Use Prices'!$C$7:$AL$7,0))</f>
        <v>29.62</v>
      </c>
      <c r="AZ53" s="41">
        <f>INDEX('[1]End - Use Prices'!$C$6:$AL$89,MATCH($C53,'[1]End - Use Prices'!$A$6:$A$89,0)+MATCH($D53,'[1]End - Use Prices'!$B$9:$B$11,0)-1,MATCH(AZ$1,'[1]End - Use Prices'!$C$7:$AL$7,0))</f>
        <v>29.64</v>
      </c>
      <c r="BA53" s="41">
        <f>INDEX('[1]End - Use Prices'!$C$6:$AL$89,MATCH($C53,'[1]End - Use Prices'!$A$6:$A$89,0)+MATCH($D53,'[1]End - Use Prices'!$B$9:$B$11,0)-1,MATCH(BA$1,'[1]End - Use Prices'!$C$7:$AL$7,0))</f>
        <v>29.67</v>
      </c>
      <c r="BB53" s="41">
        <f>INDEX('[1]End - Use Prices'!$C$6:$AL$89,MATCH($C53,'[1]End - Use Prices'!$A$6:$A$89,0)+MATCH($D53,'[1]End - Use Prices'!$B$9:$B$11,0)-1,MATCH(BB$1,'[1]End - Use Prices'!$C$7:$AL$7,0))</f>
        <v>29.69</v>
      </c>
      <c r="BC53" s="41">
        <f>INDEX('[1]End - Use Prices'!$C$6:$AL$89,MATCH($C53,'[1]End - Use Prices'!$A$6:$A$89,0)+MATCH($D53,'[1]End - Use Prices'!$B$9:$B$11,0)-1,MATCH(BC$1,'[1]End - Use Prices'!$C$7:$AL$7,0))</f>
        <v>29.7</v>
      </c>
      <c r="BD53" s="41">
        <f>INDEX('[1]End - Use Prices'!$C$6:$AL$89,MATCH($C53,'[1]End - Use Prices'!$A$6:$A$89,0)+MATCH($D53,'[1]End - Use Prices'!$B$9:$B$11,0)-1,MATCH(BD$1,'[1]End - Use Prices'!$C$7:$AL$7,0))</f>
        <v>29.69</v>
      </c>
      <c r="BE53" s="41">
        <f>INDEX('[1]End - Use Prices'!$C$6:$AL$89,MATCH($C53,'[1]End - Use Prices'!$A$6:$A$89,0)+MATCH($D53,'[1]End - Use Prices'!$B$9:$B$11,0)-1,MATCH(BE$1,'[1]End - Use Prices'!$C$7:$AL$7,0))</f>
        <v>29.65</v>
      </c>
      <c r="BF53" s="41">
        <f>INDEX('[1]End - Use Prices'!$C$6:$AL$89,MATCH($C53,'[1]End - Use Prices'!$A$6:$A$89,0)+MATCH($D53,'[1]End - Use Prices'!$B$9:$B$11,0)-1,MATCH(BF$1,'[1]End - Use Prices'!$C$7:$AL$7,0))</f>
        <v>29.61</v>
      </c>
      <c r="BG53" s="41">
        <f>INDEX('[1]End - Use Prices'!$C$6:$AL$89,MATCH($C53,'[1]End - Use Prices'!$A$6:$A$89,0)+MATCH($D53,'[1]End - Use Prices'!$B$9:$B$11,0)-1,MATCH(BG$1,'[1]End - Use Prices'!$C$7:$AL$7,0))</f>
        <v>29.56</v>
      </c>
      <c r="BR53" s="39"/>
      <c r="BS53" s="39"/>
      <c r="BT53" s="39"/>
      <c r="BU53" s="39"/>
      <c r="BV53" s="39"/>
      <c r="BW53" s="39"/>
      <c r="BX53" s="39"/>
      <c r="BY53" s="39"/>
      <c r="BZ53" s="39"/>
      <c r="CA53" s="39"/>
    </row>
    <row r="54" spans="1:79" x14ac:dyDescent="0.25">
      <c r="A54" s="5"/>
      <c r="B54" s="3"/>
      <c r="C54" s="25" t="s">
        <v>92</v>
      </c>
      <c r="D54" s="25" t="s">
        <v>280</v>
      </c>
      <c r="E54" s="25" t="s">
        <v>282</v>
      </c>
      <c r="F54" s="67" t="s">
        <v>279</v>
      </c>
      <c r="G54" s="53">
        <f t="shared" si="4"/>
        <v>26.98</v>
      </c>
      <c r="H54" s="34">
        <f t="shared" si="9"/>
        <v>26.98</v>
      </c>
      <c r="I54" s="34">
        <f t="shared" si="9"/>
        <v>26.99</v>
      </c>
      <c r="J54" s="34">
        <f t="shared" si="9"/>
        <v>26.82</v>
      </c>
      <c r="K54" s="34">
        <f t="shared" si="9"/>
        <v>37.92</v>
      </c>
      <c r="L54" s="34">
        <f t="shared" si="9"/>
        <v>33.53</v>
      </c>
      <c r="M54" s="34">
        <f t="shared" si="9"/>
        <v>32.72</v>
      </c>
      <c r="N54" s="34">
        <f t="shared" si="9"/>
        <v>32.49</v>
      </c>
      <c r="O54" s="34">
        <f t="shared" si="9"/>
        <v>32.130000000000003</v>
      </c>
      <c r="P54" s="53">
        <f t="shared" si="8"/>
        <v>32.130000000000003</v>
      </c>
      <c r="Q54" s="53">
        <f t="shared" si="8"/>
        <v>32.130000000000003</v>
      </c>
      <c r="R54" s="38"/>
      <c r="X54" s="41">
        <f>INDEX('[1]End - Use Prices'!$C$6:$AL$89,MATCH($C54,'[1]End - Use Prices'!$A$6:$A$89,0)+MATCH($D54,'[1]End - Use Prices'!$B$9:$B$11,0)-1,MATCH(X$1,'[1]End - Use Prices'!$C$7:$AL$7,0))</f>
        <v>26.98</v>
      </c>
      <c r="Y54" s="41">
        <f>INDEX('[1]End - Use Prices'!$C$6:$AL$89,MATCH($C54,'[1]End - Use Prices'!$A$6:$A$89,0)+MATCH($D54,'[1]End - Use Prices'!$B$9:$B$11,0)-1,MATCH(Y$1,'[1]End - Use Prices'!$C$7:$AL$7,0))</f>
        <v>26.48</v>
      </c>
      <c r="Z54" s="41">
        <f>INDEX('[1]End - Use Prices'!$C$6:$AL$89,MATCH($C54,'[1]End - Use Prices'!$A$6:$A$89,0)+MATCH($D54,'[1]End - Use Prices'!$B$9:$B$11,0)-1,MATCH(Z$1,'[1]End - Use Prices'!$C$7:$AL$7,0))</f>
        <v>28.47</v>
      </c>
      <c r="AA54" s="41">
        <f>INDEX('[1]End - Use Prices'!$C$6:$AL$89,MATCH($C54,'[1]End - Use Prices'!$A$6:$A$89,0)+MATCH($D54,'[1]End - Use Prices'!$B$9:$B$11,0)-1,MATCH(AA$1,'[1]End - Use Prices'!$C$7:$AL$7,0))</f>
        <v>34.4</v>
      </c>
      <c r="AB54" s="41">
        <f>INDEX('[1]End - Use Prices'!$C$6:$AL$89,MATCH($C54,'[1]End - Use Prices'!$A$6:$A$89,0)+MATCH($D54,'[1]End - Use Prices'!$B$9:$B$11,0)-1,MATCH(AB$1,'[1]End - Use Prices'!$C$7:$AL$7,0))</f>
        <v>24.36</v>
      </c>
      <c r="AC54" s="41">
        <f>INDEX('[1]End - Use Prices'!$C$6:$AL$89,MATCH($C54,'[1]End - Use Prices'!$A$6:$A$89,0)+MATCH($D54,'[1]End - Use Prices'!$B$9:$B$11,0)-1,MATCH(AC$1,'[1]End - Use Prices'!$C$7:$AL$7,0))</f>
        <v>26.99</v>
      </c>
      <c r="AD54" s="41">
        <f>INDEX('[1]End - Use Prices'!$C$6:$AL$89,MATCH($C54,'[1]End - Use Prices'!$A$6:$A$89,0)+MATCH($D54,'[1]End - Use Prices'!$B$9:$B$11,0)-1,MATCH(AD$1,'[1]End - Use Prices'!$C$7:$AL$7,0))</f>
        <v>32.65</v>
      </c>
      <c r="AE54" s="41">
        <f>INDEX('[1]End - Use Prices'!$C$6:$AL$89,MATCH($C54,'[1]End - Use Prices'!$A$6:$A$89,0)+MATCH($D54,'[1]End - Use Prices'!$B$9:$B$11,0)-1,MATCH(AE$1,'[1]End - Use Prices'!$C$7:$AL$7,0))</f>
        <v>31.57</v>
      </c>
      <c r="AF54" s="41">
        <f>INDEX('[1]End - Use Prices'!$C$6:$AL$89,MATCH($C54,'[1]End - Use Prices'!$A$6:$A$89,0)+MATCH($D54,'[1]End - Use Prices'!$B$9:$B$11,0)-1,MATCH(AF$1,'[1]End - Use Prices'!$C$7:$AL$7,0))</f>
        <v>32.36</v>
      </c>
      <c r="AG54" s="41">
        <f>INDEX('[1]End - Use Prices'!$C$6:$AL$89,MATCH($C54,'[1]End - Use Prices'!$A$6:$A$89,0)+MATCH($D54,'[1]End - Use Prices'!$B$9:$B$11,0)-1,MATCH(AG$1,'[1]End - Use Prices'!$C$7:$AL$7,0))</f>
        <v>35.340000000000003</v>
      </c>
      <c r="AH54" s="41">
        <f>INDEX('[1]End - Use Prices'!$C$6:$AL$89,MATCH($C54,'[1]End - Use Prices'!$A$6:$A$89,0)+MATCH($D54,'[1]End - Use Prices'!$B$9:$B$11,0)-1,MATCH(AH$1,'[1]End - Use Prices'!$C$7:$AL$7,0))</f>
        <v>26.82</v>
      </c>
      <c r="AI54" s="41">
        <f>INDEX('[1]End - Use Prices'!$C$6:$AL$89,MATCH($C54,'[1]End - Use Prices'!$A$6:$A$89,0)+MATCH($D54,'[1]End - Use Prices'!$B$9:$B$11,0)-1,MATCH(AI$1,'[1]End - Use Prices'!$C$7:$AL$7,0))</f>
        <v>24.02</v>
      </c>
      <c r="AJ54" s="41">
        <f>INDEX('[1]End - Use Prices'!$C$6:$AL$89,MATCH($C54,'[1]End - Use Prices'!$A$6:$A$89,0)+MATCH($D54,'[1]End - Use Prices'!$B$9:$B$11,0)-1,MATCH(AJ$1,'[1]End - Use Prices'!$C$7:$AL$7,0))</f>
        <v>26.27</v>
      </c>
      <c r="AK54" s="41">
        <f>INDEX('[1]End - Use Prices'!$C$6:$AL$89,MATCH($C54,'[1]End - Use Prices'!$A$6:$A$89,0)+MATCH($D54,'[1]End - Use Prices'!$B$9:$B$11,0)-1,MATCH(AK$1,'[1]End - Use Prices'!$C$7:$AL$7,0))</f>
        <v>29.87</v>
      </c>
      <c r="AL54" s="41">
        <f>INDEX('[1]End - Use Prices'!$C$6:$AL$89,MATCH($C54,'[1]End - Use Prices'!$A$6:$A$89,0)+MATCH($D54,'[1]End - Use Prices'!$B$9:$B$11,0)-1,MATCH(AL$1,'[1]End - Use Prices'!$C$7:$AL$7,0))</f>
        <v>33.14</v>
      </c>
      <c r="AM54" s="41">
        <f>INDEX('[1]End - Use Prices'!$C$6:$AL$89,MATCH($C54,'[1]End - Use Prices'!$A$6:$A$89,0)+MATCH($D54,'[1]End - Use Prices'!$B$9:$B$11,0)-1,MATCH(AM$1,'[1]End - Use Prices'!$C$7:$AL$7,0))</f>
        <v>37.92</v>
      </c>
      <c r="AN54" s="41">
        <f>INDEX('[1]End - Use Prices'!$C$6:$AL$89,MATCH($C54,'[1]End - Use Prices'!$A$6:$A$89,0)+MATCH($D54,'[1]End - Use Prices'!$B$9:$B$11,0)-1,MATCH(AN$1,'[1]End - Use Prices'!$C$7:$AL$7,0))</f>
        <v>35.28</v>
      </c>
      <c r="AO54" s="41">
        <f>INDEX('[1]End - Use Prices'!$C$6:$AL$89,MATCH($C54,'[1]End - Use Prices'!$A$6:$A$89,0)+MATCH($D54,'[1]End - Use Prices'!$B$9:$B$11,0)-1,MATCH(AO$1,'[1]End - Use Prices'!$C$7:$AL$7,0))</f>
        <v>33.700000000000003</v>
      </c>
      <c r="AP54" s="41">
        <f>INDEX('[1]End - Use Prices'!$C$6:$AL$89,MATCH($C54,'[1]End - Use Prices'!$A$6:$A$89,0)+MATCH($D54,'[1]End - Use Prices'!$B$9:$B$11,0)-1,MATCH(AP$1,'[1]End - Use Prices'!$C$7:$AL$7,0))</f>
        <v>33.82</v>
      </c>
      <c r="AQ54" s="41">
        <f>INDEX('[1]End - Use Prices'!$C$6:$AL$89,MATCH($C54,'[1]End - Use Prices'!$A$6:$A$89,0)+MATCH($D54,'[1]End - Use Prices'!$B$9:$B$11,0)-1,MATCH(AQ$1,'[1]End - Use Prices'!$C$7:$AL$7,0))</f>
        <v>33.549999999999997</v>
      </c>
      <c r="AR54" s="41">
        <f>INDEX('[1]End - Use Prices'!$C$6:$AL$89,MATCH($C54,'[1]End - Use Prices'!$A$6:$A$89,0)+MATCH($D54,'[1]End - Use Prices'!$B$9:$B$11,0)-1,MATCH(AR$1,'[1]End - Use Prices'!$C$7:$AL$7,0))</f>
        <v>33.53</v>
      </c>
      <c r="AS54" s="41">
        <f>INDEX('[1]End - Use Prices'!$C$6:$AL$89,MATCH($C54,'[1]End - Use Prices'!$A$6:$A$89,0)+MATCH($D54,'[1]End - Use Prices'!$B$9:$B$11,0)-1,MATCH(AS$1,'[1]End - Use Prices'!$C$7:$AL$7,0))</f>
        <v>33.46</v>
      </c>
      <c r="AT54" s="41">
        <f>INDEX('[1]End - Use Prices'!$C$6:$AL$89,MATCH($C54,'[1]End - Use Prices'!$A$6:$A$89,0)+MATCH($D54,'[1]End - Use Prices'!$B$9:$B$11,0)-1,MATCH(AT$1,'[1]End - Use Prices'!$C$7:$AL$7,0))</f>
        <v>33.29</v>
      </c>
      <c r="AU54" s="41">
        <f>INDEX('[1]End - Use Prices'!$C$6:$AL$89,MATCH($C54,'[1]End - Use Prices'!$A$6:$A$89,0)+MATCH($D54,'[1]End - Use Prices'!$B$9:$B$11,0)-1,MATCH(AU$1,'[1]End - Use Prices'!$C$7:$AL$7,0))</f>
        <v>33.07</v>
      </c>
      <c r="AV54" s="41">
        <f>INDEX('[1]End - Use Prices'!$C$6:$AL$89,MATCH($C54,'[1]End - Use Prices'!$A$6:$A$89,0)+MATCH($D54,'[1]End - Use Prices'!$B$9:$B$11,0)-1,MATCH(AV$1,'[1]End - Use Prices'!$C$7:$AL$7,0))</f>
        <v>32.9</v>
      </c>
      <c r="AW54" s="41">
        <f>INDEX('[1]End - Use Prices'!$C$6:$AL$89,MATCH($C54,'[1]End - Use Prices'!$A$6:$A$89,0)+MATCH($D54,'[1]End - Use Prices'!$B$9:$B$11,0)-1,MATCH(AW$1,'[1]End - Use Prices'!$C$7:$AL$7,0))</f>
        <v>32.72</v>
      </c>
      <c r="AX54" s="41">
        <f>INDEX('[1]End - Use Prices'!$C$6:$AL$89,MATCH($C54,'[1]End - Use Prices'!$A$6:$A$89,0)+MATCH($D54,'[1]End - Use Prices'!$B$9:$B$11,0)-1,MATCH(AX$1,'[1]End - Use Prices'!$C$7:$AL$7,0))</f>
        <v>32.619999999999997</v>
      </c>
      <c r="AY54" s="41">
        <f>INDEX('[1]End - Use Prices'!$C$6:$AL$89,MATCH($C54,'[1]End - Use Prices'!$A$6:$A$89,0)+MATCH($D54,'[1]End - Use Prices'!$B$9:$B$11,0)-1,MATCH(AY$1,'[1]End - Use Prices'!$C$7:$AL$7,0))</f>
        <v>32.549999999999997</v>
      </c>
      <c r="AZ54" s="41">
        <f>INDEX('[1]End - Use Prices'!$C$6:$AL$89,MATCH($C54,'[1]End - Use Prices'!$A$6:$A$89,0)+MATCH($D54,'[1]End - Use Prices'!$B$9:$B$11,0)-1,MATCH(AZ$1,'[1]End - Use Prices'!$C$7:$AL$7,0))</f>
        <v>32.520000000000003</v>
      </c>
      <c r="BA54" s="41">
        <f>INDEX('[1]End - Use Prices'!$C$6:$AL$89,MATCH($C54,'[1]End - Use Prices'!$A$6:$A$89,0)+MATCH($D54,'[1]End - Use Prices'!$B$9:$B$11,0)-1,MATCH(BA$1,'[1]End - Use Prices'!$C$7:$AL$7,0))</f>
        <v>32.51</v>
      </c>
      <c r="BB54" s="41">
        <f>INDEX('[1]End - Use Prices'!$C$6:$AL$89,MATCH($C54,'[1]End - Use Prices'!$A$6:$A$89,0)+MATCH($D54,'[1]End - Use Prices'!$B$9:$B$11,0)-1,MATCH(BB$1,'[1]End - Use Prices'!$C$7:$AL$7,0))</f>
        <v>32.49</v>
      </c>
      <c r="BC54" s="41">
        <f>INDEX('[1]End - Use Prices'!$C$6:$AL$89,MATCH($C54,'[1]End - Use Prices'!$A$6:$A$89,0)+MATCH($D54,'[1]End - Use Prices'!$B$9:$B$11,0)-1,MATCH(BC$1,'[1]End - Use Prices'!$C$7:$AL$7,0))</f>
        <v>32.450000000000003</v>
      </c>
      <c r="BD54" s="41">
        <f>INDEX('[1]End - Use Prices'!$C$6:$AL$89,MATCH($C54,'[1]End - Use Prices'!$A$6:$A$89,0)+MATCH($D54,'[1]End - Use Prices'!$B$9:$B$11,0)-1,MATCH(BD$1,'[1]End - Use Prices'!$C$7:$AL$7,0))</f>
        <v>32.4</v>
      </c>
      <c r="BE54" s="41">
        <f>INDEX('[1]End - Use Prices'!$C$6:$AL$89,MATCH($C54,'[1]End - Use Prices'!$A$6:$A$89,0)+MATCH($D54,'[1]End - Use Prices'!$B$9:$B$11,0)-1,MATCH(BE$1,'[1]End - Use Prices'!$C$7:$AL$7,0))</f>
        <v>32.31</v>
      </c>
      <c r="BF54" s="41">
        <f>INDEX('[1]End - Use Prices'!$C$6:$AL$89,MATCH($C54,'[1]End - Use Prices'!$A$6:$A$89,0)+MATCH($D54,'[1]End - Use Prices'!$B$9:$B$11,0)-1,MATCH(BF$1,'[1]End - Use Prices'!$C$7:$AL$7,0))</f>
        <v>32.229999999999997</v>
      </c>
      <c r="BG54" s="41">
        <f>INDEX('[1]End - Use Prices'!$C$6:$AL$89,MATCH($C54,'[1]End - Use Prices'!$A$6:$A$89,0)+MATCH($D54,'[1]End - Use Prices'!$B$9:$B$11,0)-1,MATCH(BG$1,'[1]End - Use Prices'!$C$7:$AL$7,0))</f>
        <v>32.130000000000003</v>
      </c>
      <c r="BR54" s="39"/>
      <c r="BS54" s="39"/>
      <c r="BT54" s="39"/>
      <c r="BU54" s="39"/>
      <c r="BV54" s="39"/>
      <c r="BW54" s="39"/>
      <c r="BX54" s="39"/>
      <c r="BY54" s="39"/>
      <c r="BZ54" s="39"/>
      <c r="CA54" s="39"/>
    </row>
    <row r="55" spans="1:79" x14ac:dyDescent="0.25">
      <c r="A55" s="5"/>
      <c r="B55" s="3"/>
      <c r="C55" s="25" t="s">
        <v>5</v>
      </c>
      <c r="D55" s="25" t="s">
        <v>280</v>
      </c>
      <c r="E55" s="25" t="s">
        <v>282</v>
      </c>
      <c r="F55" s="67" t="s">
        <v>279</v>
      </c>
      <c r="G55" s="53">
        <f t="shared" si="4"/>
        <v>24.45</v>
      </c>
      <c r="H55" s="34">
        <f t="shared" si="9"/>
        <v>24.45</v>
      </c>
      <c r="I55" s="34">
        <f t="shared" si="9"/>
        <v>26.03</v>
      </c>
      <c r="J55" s="34">
        <f t="shared" si="9"/>
        <v>24.73</v>
      </c>
      <c r="K55" s="34">
        <f t="shared" si="9"/>
        <v>37.21</v>
      </c>
      <c r="L55" s="34">
        <f t="shared" si="9"/>
        <v>32.299999999999997</v>
      </c>
      <c r="M55" s="34">
        <f t="shared" si="9"/>
        <v>31.49</v>
      </c>
      <c r="N55" s="34">
        <f t="shared" si="9"/>
        <v>31.25</v>
      </c>
      <c r="O55" s="34">
        <f t="shared" si="9"/>
        <v>30.88</v>
      </c>
      <c r="P55" s="53">
        <f t="shared" si="8"/>
        <v>30.88</v>
      </c>
      <c r="Q55" s="53">
        <f t="shared" si="8"/>
        <v>30.88</v>
      </c>
      <c r="R55" s="38"/>
      <c r="X55" s="41">
        <f>INDEX('[1]End - Use Prices'!$C$6:$AL$89,MATCH($C55,'[1]End - Use Prices'!$A$6:$A$89,0)+MATCH($D55,'[1]End - Use Prices'!$B$9:$B$11,0)-1,MATCH(X$1,'[1]End - Use Prices'!$C$7:$AL$7,0))</f>
        <v>24.45</v>
      </c>
      <c r="Y55" s="41">
        <f>INDEX('[1]End - Use Prices'!$C$6:$AL$89,MATCH($C55,'[1]End - Use Prices'!$A$6:$A$89,0)+MATCH($D55,'[1]End - Use Prices'!$B$9:$B$11,0)-1,MATCH(Y$1,'[1]End - Use Prices'!$C$7:$AL$7,0))</f>
        <v>25.51</v>
      </c>
      <c r="Z55" s="41">
        <f>INDEX('[1]End - Use Prices'!$C$6:$AL$89,MATCH($C55,'[1]End - Use Prices'!$A$6:$A$89,0)+MATCH($D55,'[1]End - Use Prices'!$B$9:$B$11,0)-1,MATCH(Z$1,'[1]End - Use Prices'!$C$7:$AL$7,0))</f>
        <v>26.83</v>
      </c>
      <c r="AA55" s="41">
        <f>INDEX('[1]End - Use Prices'!$C$6:$AL$89,MATCH($C55,'[1]End - Use Prices'!$A$6:$A$89,0)+MATCH($D55,'[1]End - Use Prices'!$B$9:$B$11,0)-1,MATCH(AA$1,'[1]End - Use Prices'!$C$7:$AL$7,0))</f>
        <v>31.95</v>
      </c>
      <c r="AB55" s="41">
        <f>INDEX('[1]End - Use Prices'!$C$6:$AL$89,MATCH($C55,'[1]End - Use Prices'!$A$6:$A$89,0)+MATCH($D55,'[1]End - Use Prices'!$B$9:$B$11,0)-1,MATCH(AB$1,'[1]End - Use Prices'!$C$7:$AL$7,0))</f>
        <v>23.37</v>
      </c>
      <c r="AC55" s="41">
        <f>INDEX('[1]End - Use Prices'!$C$6:$AL$89,MATCH($C55,'[1]End - Use Prices'!$A$6:$A$89,0)+MATCH($D55,'[1]End - Use Prices'!$B$9:$B$11,0)-1,MATCH(AC$1,'[1]End - Use Prices'!$C$7:$AL$7,0))</f>
        <v>26.03</v>
      </c>
      <c r="AD55" s="41">
        <f>INDEX('[1]End - Use Prices'!$C$6:$AL$89,MATCH($C55,'[1]End - Use Prices'!$A$6:$A$89,0)+MATCH($D55,'[1]End - Use Prices'!$B$9:$B$11,0)-1,MATCH(AD$1,'[1]End - Use Prices'!$C$7:$AL$7,0))</f>
        <v>27.78</v>
      </c>
      <c r="AE55" s="41">
        <f>INDEX('[1]End - Use Prices'!$C$6:$AL$89,MATCH($C55,'[1]End - Use Prices'!$A$6:$A$89,0)+MATCH($D55,'[1]End - Use Prices'!$B$9:$B$11,0)-1,MATCH(AE$1,'[1]End - Use Prices'!$C$7:$AL$7,0))</f>
        <v>29.65</v>
      </c>
      <c r="AF55" s="41">
        <f>INDEX('[1]End - Use Prices'!$C$6:$AL$89,MATCH($C55,'[1]End - Use Prices'!$A$6:$A$89,0)+MATCH($D55,'[1]End - Use Prices'!$B$9:$B$11,0)-1,MATCH(AF$1,'[1]End - Use Prices'!$C$7:$AL$7,0))</f>
        <v>27.25</v>
      </c>
      <c r="AG55" s="41">
        <f>INDEX('[1]End - Use Prices'!$C$6:$AL$89,MATCH($C55,'[1]End - Use Prices'!$A$6:$A$89,0)+MATCH($D55,'[1]End - Use Prices'!$B$9:$B$11,0)-1,MATCH(AG$1,'[1]End - Use Prices'!$C$7:$AL$7,0))</f>
        <v>32.840000000000003</v>
      </c>
      <c r="AH55" s="41">
        <f>INDEX('[1]End - Use Prices'!$C$6:$AL$89,MATCH($C55,'[1]End - Use Prices'!$A$6:$A$89,0)+MATCH($D55,'[1]End - Use Prices'!$B$9:$B$11,0)-1,MATCH(AH$1,'[1]End - Use Prices'!$C$7:$AL$7,0))</f>
        <v>24.73</v>
      </c>
      <c r="AI55" s="41">
        <f>INDEX('[1]End - Use Prices'!$C$6:$AL$89,MATCH($C55,'[1]End - Use Prices'!$A$6:$A$89,0)+MATCH($D55,'[1]End - Use Prices'!$B$9:$B$11,0)-1,MATCH(AI$1,'[1]End - Use Prices'!$C$7:$AL$7,0))</f>
        <v>22.55</v>
      </c>
      <c r="AJ55" s="41">
        <f>INDEX('[1]End - Use Prices'!$C$6:$AL$89,MATCH($C55,'[1]End - Use Prices'!$A$6:$A$89,0)+MATCH($D55,'[1]End - Use Prices'!$B$9:$B$11,0)-1,MATCH(AJ$1,'[1]End - Use Prices'!$C$7:$AL$7,0))</f>
        <v>24.52</v>
      </c>
      <c r="AK55" s="41">
        <f>INDEX('[1]End - Use Prices'!$C$6:$AL$89,MATCH($C55,'[1]End - Use Prices'!$A$6:$A$89,0)+MATCH($D55,'[1]End - Use Prices'!$B$9:$B$11,0)-1,MATCH(AK$1,'[1]End - Use Prices'!$C$7:$AL$7,0))</f>
        <v>30.35</v>
      </c>
      <c r="AL55" s="41">
        <f>INDEX('[1]End - Use Prices'!$C$6:$AL$89,MATCH($C55,'[1]End - Use Prices'!$A$6:$A$89,0)+MATCH($D55,'[1]End - Use Prices'!$B$9:$B$11,0)-1,MATCH(AL$1,'[1]End - Use Prices'!$C$7:$AL$7,0))</f>
        <v>34.29</v>
      </c>
      <c r="AM55" s="41">
        <f>INDEX('[1]End - Use Prices'!$C$6:$AL$89,MATCH($C55,'[1]End - Use Prices'!$A$6:$A$89,0)+MATCH($D55,'[1]End - Use Prices'!$B$9:$B$11,0)-1,MATCH(AM$1,'[1]End - Use Prices'!$C$7:$AL$7,0))</f>
        <v>37.21</v>
      </c>
      <c r="AN55" s="41">
        <f>INDEX('[1]End - Use Prices'!$C$6:$AL$89,MATCH($C55,'[1]End - Use Prices'!$A$6:$A$89,0)+MATCH($D55,'[1]End - Use Prices'!$B$9:$B$11,0)-1,MATCH(AN$1,'[1]End - Use Prices'!$C$7:$AL$7,0))</f>
        <v>33.880000000000003</v>
      </c>
      <c r="AO55" s="41">
        <f>INDEX('[1]End - Use Prices'!$C$6:$AL$89,MATCH($C55,'[1]End - Use Prices'!$A$6:$A$89,0)+MATCH($D55,'[1]End - Use Prices'!$B$9:$B$11,0)-1,MATCH(AO$1,'[1]End - Use Prices'!$C$7:$AL$7,0))</f>
        <v>32.43</v>
      </c>
      <c r="AP55" s="41">
        <f>INDEX('[1]End - Use Prices'!$C$6:$AL$89,MATCH($C55,'[1]End - Use Prices'!$A$6:$A$89,0)+MATCH($D55,'[1]End - Use Prices'!$B$9:$B$11,0)-1,MATCH(AP$1,'[1]End - Use Prices'!$C$7:$AL$7,0))</f>
        <v>32.590000000000003</v>
      </c>
      <c r="AQ55" s="41">
        <f>INDEX('[1]End - Use Prices'!$C$6:$AL$89,MATCH($C55,'[1]End - Use Prices'!$A$6:$A$89,0)+MATCH($D55,'[1]End - Use Prices'!$B$9:$B$11,0)-1,MATCH(AQ$1,'[1]End - Use Prices'!$C$7:$AL$7,0))</f>
        <v>32.33</v>
      </c>
      <c r="AR55" s="41">
        <f>INDEX('[1]End - Use Prices'!$C$6:$AL$89,MATCH($C55,'[1]End - Use Prices'!$A$6:$A$89,0)+MATCH($D55,'[1]End - Use Prices'!$B$9:$B$11,0)-1,MATCH(AR$1,'[1]End - Use Prices'!$C$7:$AL$7,0))</f>
        <v>32.299999999999997</v>
      </c>
      <c r="AS55" s="41">
        <f>INDEX('[1]End - Use Prices'!$C$6:$AL$89,MATCH($C55,'[1]End - Use Prices'!$A$6:$A$89,0)+MATCH($D55,'[1]End - Use Prices'!$B$9:$B$11,0)-1,MATCH(AS$1,'[1]End - Use Prices'!$C$7:$AL$7,0))</f>
        <v>32.22</v>
      </c>
      <c r="AT55" s="41">
        <f>INDEX('[1]End - Use Prices'!$C$6:$AL$89,MATCH($C55,'[1]End - Use Prices'!$A$6:$A$89,0)+MATCH($D55,'[1]End - Use Prices'!$B$9:$B$11,0)-1,MATCH(AT$1,'[1]End - Use Prices'!$C$7:$AL$7,0))</f>
        <v>32.049999999999997</v>
      </c>
      <c r="AU55" s="41">
        <f>INDEX('[1]End - Use Prices'!$C$6:$AL$89,MATCH($C55,'[1]End - Use Prices'!$A$6:$A$89,0)+MATCH($D55,'[1]End - Use Prices'!$B$9:$B$11,0)-1,MATCH(AU$1,'[1]End - Use Prices'!$C$7:$AL$7,0))</f>
        <v>31.84</v>
      </c>
      <c r="AV55" s="41">
        <f>INDEX('[1]End - Use Prices'!$C$6:$AL$89,MATCH($C55,'[1]End - Use Prices'!$A$6:$A$89,0)+MATCH($D55,'[1]End - Use Prices'!$B$9:$B$11,0)-1,MATCH(AV$1,'[1]End - Use Prices'!$C$7:$AL$7,0))</f>
        <v>31.67</v>
      </c>
      <c r="AW55" s="41">
        <f>INDEX('[1]End - Use Prices'!$C$6:$AL$89,MATCH($C55,'[1]End - Use Prices'!$A$6:$A$89,0)+MATCH($D55,'[1]End - Use Prices'!$B$9:$B$11,0)-1,MATCH(AW$1,'[1]End - Use Prices'!$C$7:$AL$7,0))</f>
        <v>31.49</v>
      </c>
      <c r="AX55" s="41">
        <f>INDEX('[1]End - Use Prices'!$C$6:$AL$89,MATCH($C55,'[1]End - Use Prices'!$A$6:$A$89,0)+MATCH($D55,'[1]End - Use Prices'!$B$9:$B$11,0)-1,MATCH(AX$1,'[1]End - Use Prices'!$C$7:$AL$7,0))</f>
        <v>31.39</v>
      </c>
      <c r="AY55" s="41">
        <f>INDEX('[1]End - Use Prices'!$C$6:$AL$89,MATCH($C55,'[1]End - Use Prices'!$A$6:$A$89,0)+MATCH($D55,'[1]End - Use Prices'!$B$9:$B$11,0)-1,MATCH(AY$1,'[1]End - Use Prices'!$C$7:$AL$7,0))</f>
        <v>31.32</v>
      </c>
      <c r="AZ55" s="41">
        <f>INDEX('[1]End - Use Prices'!$C$6:$AL$89,MATCH($C55,'[1]End - Use Prices'!$A$6:$A$89,0)+MATCH($D55,'[1]End - Use Prices'!$B$9:$B$11,0)-1,MATCH(AZ$1,'[1]End - Use Prices'!$C$7:$AL$7,0))</f>
        <v>31.28</v>
      </c>
      <c r="BA55" s="41">
        <f>INDEX('[1]End - Use Prices'!$C$6:$AL$89,MATCH($C55,'[1]End - Use Prices'!$A$6:$A$89,0)+MATCH($D55,'[1]End - Use Prices'!$B$9:$B$11,0)-1,MATCH(BA$1,'[1]End - Use Prices'!$C$7:$AL$7,0))</f>
        <v>31.27</v>
      </c>
      <c r="BB55" s="41">
        <f>INDEX('[1]End - Use Prices'!$C$6:$AL$89,MATCH($C55,'[1]End - Use Prices'!$A$6:$A$89,0)+MATCH($D55,'[1]End - Use Prices'!$B$9:$B$11,0)-1,MATCH(BB$1,'[1]End - Use Prices'!$C$7:$AL$7,0))</f>
        <v>31.25</v>
      </c>
      <c r="BC55" s="41">
        <f>INDEX('[1]End - Use Prices'!$C$6:$AL$89,MATCH($C55,'[1]End - Use Prices'!$A$6:$A$89,0)+MATCH($D55,'[1]End - Use Prices'!$B$9:$B$11,0)-1,MATCH(BC$1,'[1]End - Use Prices'!$C$7:$AL$7,0))</f>
        <v>31.21</v>
      </c>
      <c r="BD55" s="41">
        <f>INDEX('[1]End - Use Prices'!$C$6:$AL$89,MATCH($C55,'[1]End - Use Prices'!$A$6:$A$89,0)+MATCH($D55,'[1]End - Use Prices'!$B$9:$B$11,0)-1,MATCH(BD$1,'[1]End - Use Prices'!$C$7:$AL$7,0))</f>
        <v>31.15</v>
      </c>
      <c r="BE55" s="41">
        <f>INDEX('[1]End - Use Prices'!$C$6:$AL$89,MATCH($C55,'[1]End - Use Prices'!$A$6:$A$89,0)+MATCH($D55,'[1]End - Use Prices'!$B$9:$B$11,0)-1,MATCH(BE$1,'[1]End - Use Prices'!$C$7:$AL$7,0))</f>
        <v>31.06</v>
      </c>
      <c r="BF55" s="41">
        <f>INDEX('[1]End - Use Prices'!$C$6:$AL$89,MATCH($C55,'[1]End - Use Prices'!$A$6:$A$89,0)+MATCH($D55,'[1]End - Use Prices'!$B$9:$B$11,0)-1,MATCH(BF$1,'[1]End - Use Prices'!$C$7:$AL$7,0))</f>
        <v>30.98</v>
      </c>
      <c r="BG55" s="41">
        <f>INDEX('[1]End - Use Prices'!$C$6:$AL$89,MATCH($C55,'[1]End - Use Prices'!$A$6:$A$89,0)+MATCH($D55,'[1]End - Use Prices'!$B$9:$B$11,0)-1,MATCH(BG$1,'[1]End - Use Prices'!$C$7:$AL$7,0))</f>
        <v>30.88</v>
      </c>
      <c r="BR55" s="39"/>
      <c r="BS55" s="39"/>
      <c r="BT55" s="39"/>
      <c r="BU55" s="39"/>
      <c r="BV55" s="39"/>
      <c r="BW55" s="39"/>
      <c r="BX55" s="39"/>
      <c r="BY55" s="39"/>
      <c r="BZ55" s="39"/>
      <c r="CA55" s="39"/>
    </row>
    <row r="56" spans="1:79" x14ac:dyDescent="0.25">
      <c r="A56" s="5"/>
      <c r="B56" s="3"/>
      <c r="C56" s="25" t="s">
        <v>61</v>
      </c>
      <c r="D56" s="25" t="s">
        <v>280</v>
      </c>
      <c r="E56" s="25" t="s">
        <v>282</v>
      </c>
      <c r="F56" s="67" t="s">
        <v>279</v>
      </c>
      <c r="G56" s="53">
        <f t="shared" si="4"/>
        <v>28.98</v>
      </c>
      <c r="H56" s="34">
        <f t="shared" si="9"/>
        <v>28.98</v>
      </c>
      <c r="I56" s="34">
        <f t="shared" si="9"/>
        <v>29.71</v>
      </c>
      <c r="J56" s="34">
        <f t="shared" si="9"/>
        <v>29.49</v>
      </c>
      <c r="K56" s="34">
        <f t="shared" si="9"/>
        <v>41.92</v>
      </c>
      <c r="L56" s="34">
        <f t="shared" si="9"/>
        <v>36</v>
      </c>
      <c r="M56" s="34">
        <f t="shared" si="9"/>
        <v>35.03</v>
      </c>
      <c r="N56" s="34">
        <f t="shared" si="9"/>
        <v>34.64</v>
      </c>
      <c r="O56" s="34">
        <f t="shared" si="9"/>
        <v>34.14</v>
      </c>
      <c r="P56" s="53">
        <f t="shared" si="8"/>
        <v>34.14</v>
      </c>
      <c r="Q56" s="53">
        <f t="shared" si="8"/>
        <v>34.14</v>
      </c>
      <c r="R56" s="38"/>
      <c r="X56" s="41">
        <f>INDEX('[1]End - Use Prices'!$C$6:$AL$89,MATCH($C56,'[1]End - Use Prices'!$A$6:$A$89,0)+MATCH($D56,'[1]End - Use Prices'!$B$9:$B$11,0)-1,MATCH(X$1,'[1]End - Use Prices'!$C$7:$AL$7,0))</f>
        <v>28.98</v>
      </c>
      <c r="Y56" s="41">
        <f>INDEX('[1]End - Use Prices'!$C$6:$AL$89,MATCH($C56,'[1]End - Use Prices'!$A$6:$A$89,0)+MATCH($D56,'[1]End - Use Prices'!$B$9:$B$11,0)-1,MATCH(Y$1,'[1]End - Use Prices'!$C$7:$AL$7,0))</f>
        <v>28.54</v>
      </c>
      <c r="Z56" s="41">
        <f>INDEX('[1]End - Use Prices'!$C$6:$AL$89,MATCH($C56,'[1]End - Use Prices'!$A$6:$A$89,0)+MATCH($D56,'[1]End - Use Prices'!$B$9:$B$11,0)-1,MATCH(Z$1,'[1]End - Use Prices'!$C$7:$AL$7,0))</f>
        <v>29.02</v>
      </c>
      <c r="AA56" s="41">
        <f>INDEX('[1]End - Use Prices'!$C$6:$AL$89,MATCH($C56,'[1]End - Use Prices'!$A$6:$A$89,0)+MATCH($D56,'[1]End - Use Prices'!$B$9:$B$11,0)-1,MATCH(AA$1,'[1]End - Use Prices'!$C$7:$AL$7,0))</f>
        <v>34.479999999999997</v>
      </c>
      <c r="AB56" s="41">
        <f>INDEX('[1]End - Use Prices'!$C$6:$AL$89,MATCH($C56,'[1]End - Use Prices'!$A$6:$A$89,0)+MATCH($D56,'[1]End - Use Prices'!$B$9:$B$11,0)-1,MATCH(AB$1,'[1]End - Use Prices'!$C$7:$AL$7,0))</f>
        <v>25.41</v>
      </c>
      <c r="AC56" s="41">
        <f>INDEX('[1]End - Use Prices'!$C$6:$AL$89,MATCH($C56,'[1]End - Use Prices'!$A$6:$A$89,0)+MATCH($D56,'[1]End - Use Prices'!$B$9:$B$11,0)-1,MATCH(AC$1,'[1]End - Use Prices'!$C$7:$AL$7,0))</f>
        <v>29.71</v>
      </c>
      <c r="AD56" s="41">
        <f>INDEX('[1]End - Use Prices'!$C$6:$AL$89,MATCH($C56,'[1]End - Use Prices'!$A$6:$A$89,0)+MATCH($D56,'[1]End - Use Prices'!$B$9:$B$11,0)-1,MATCH(AD$1,'[1]End - Use Prices'!$C$7:$AL$7,0))</f>
        <v>34.4</v>
      </c>
      <c r="AE56" s="41">
        <f>INDEX('[1]End - Use Prices'!$C$6:$AL$89,MATCH($C56,'[1]End - Use Prices'!$A$6:$A$89,0)+MATCH($D56,'[1]End - Use Prices'!$B$9:$B$11,0)-1,MATCH(AE$1,'[1]End - Use Prices'!$C$7:$AL$7,0))</f>
        <v>35.71</v>
      </c>
      <c r="AF56" s="41">
        <f>INDEX('[1]End - Use Prices'!$C$6:$AL$89,MATCH($C56,'[1]End - Use Prices'!$A$6:$A$89,0)+MATCH($D56,'[1]End - Use Prices'!$B$9:$B$11,0)-1,MATCH(AF$1,'[1]End - Use Prices'!$C$7:$AL$7,0))</f>
        <v>35.47</v>
      </c>
      <c r="AG56" s="41">
        <f>INDEX('[1]End - Use Prices'!$C$6:$AL$89,MATCH($C56,'[1]End - Use Prices'!$A$6:$A$89,0)+MATCH($D56,'[1]End - Use Prices'!$B$9:$B$11,0)-1,MATCH(AG$1,'[1]End - Use Prices'!$C$7:$AL$7,0))</f>
        <v>35.78</v>
      </c>
      <c r="AH56" s="41">
        <f>INDEX('[1]End - Use Prices'!$C$6:$AL$89,MATCH($C56,'[1]End - Use Prices'!$A$6:$A$89,0)+MATCH($D56,'[1]End - Use Prices'!$B$9:$B$11,0)-1,MATCH(AH$1,'[1]End - Use Prices'!$C$7:$AL$7,0))</f>
        <v>29.49</v>
      </c>
      <c r="AI56" s="41">
        <f>INDEX('[1]End - Use Prices'!$C$6:$AL$89,MATCH($C56,'[1]End - Use Prices'!$A$6:$A$89,0)+MATCH($D56,'[1]End - Use Prices'!$B$9:$B$11,0)-1,MATCH(AI$1,'[1]End - Use Prices'!$C$7:$AL$7,0))</f>
        <v>26.92</v>
      </c>
      <c r="AJ56" s="41">
        <f>INDEX('[1]End - Use Prices'!$C$6:$AL$89,MATCH($C56,'[1]End - Use Prices'!$A$6:$A$89,0)+MATCH($D56,'[1]End - Use Prices'!$B$9:$B$11,0)-1,MATCH(AJ$1,'[1]End - Use Prices'!$C$7:$AL$7,0))</f>
        <v>29.45</v>
      </c>
      <c r="AK56" s="41">
        <f>INDEX('[1]End - Use Prices'!$C$6:$AL$89,MATCH($C56,'[1]End - Use Prices'!$A$6:$A$89,0)+MATCH($D56,'[1]End - Use Prices'!$B$9:$B$11,0)-1,MATCH(AK$1,'[1]End - Use Prices'!$C$7:$AL$7,0))</f>
        <v>33.119999999999997</v>
      </c>
      <c r="AL56" s="41">
        <f>INDEX('[1]End - Use Prices'!$C$6:$AL$89,MATCH($C56,'[1]End - Use Prices'!$A$6:$A$89,0)+MATCH($D56,'[1]End - Use Prices'!$B$9:$B$11,0)-1,MATCH(AL$1,'[1]End - Use Prices'!$C$7:$AL$7,0))</f>
        <v>38.61</v>
      </c>
      <c r="AM56" s="41">
        <f>INDEX('[1]End - Use Prices'!$C$6:$AL$89,MATCH($C56,'[1]End - Use Prices'!$A$6:$A$89,0)+MATCH($D56,'[1]End - Use Prices'!$B$9:$B$11,0)-1,MATCH(AM$1,'[1]End - Use Prices'!$C$7:$AL$7,0))</f>
        <v>41.92</v>
      </c>
      <c r="AN56" s="41">
        <f>INDEX('[1]End - Use Prices'!$C$6:$AL$89,MATCH($C56,'[1]End - Use Prices'!$A$6:$A$89,0)+MATCH($D56,'[1]End - Use Prices'!$B$9:$B$11,0)-1,MATCH(AN$1,'[1]End - Use Prices'!$C$7:$AL$7,0))</f>
        <v>38.94</v>
      </c>
      <c r="AO56" s="41">
        <f>INDEX('[1]End - Use Prices'!$C$6:$AL$89,MATCH($C56,'[1]End - Use Prices'!$A$6:$A$89,0)+MATCH($D56,'[1]End - Use Prices'!$B$9:$B$11,0)-1,MATCH(AO$1,'[1]End - Use Prices'!$C$7:$AL$7,0))</f>
        <v>36.979999999999997</v>
      </c>
      <c r="AP56" s="41">
        <f>INDEX('[1]End - Use Prices'!$C$6:$AL$89,MATCH($C56,'[1]End - Use Prices'!$A$6:$A$89,0)+MATCH($D56,'[1]End - Use Prices'!$B$9:$B$11,0)-1,MATCH(AP$1,'[1]End - Use Prices'!$C$7:$AL$7,0))</f>
        <v>36.39</v>
      </c>
      <c r="AQ56" s="41">
        <f>INDEX('[1]End - Use Prices'!$C$6:$AL$89,MATCH($C56,'[1]End - Use Prices'!$A$6:$A$89,0)+MATCH($D56,'[1]End - Use Prices'!$B$9:$B$11,0)-1,MATCH(AQ$1,'[1]End - Use Prices'!$C$7:$AL$7,0))</f>
        <v>36.08</v>
      </c>
      <c r="AR56" s="41">
        <f>INDEX('[1]End - Use Prices'!$C$6:$AL$89,MATCH($C56,'[1]End - Use Prices'!$A$6:$A$89,0)+MATCH($D56,'[1]End - Use Prices'!$B$9:$B$11,0)-1,MATCH(AR$1,'[1]End - Use Prices'!$C$7:$AL$7,0))</f>
        <v>36</v>
      </c>
      <c r="AS56" s="41">
        <f>INDEX('[1]End - Use Prices'!$C$6:$AL$89,MATCH($C56,'[1]End - Use Prices'!$A$6:$A$89,0)+MATCH($D56,'[1]End - Use Prices'!$B$9:$B$11,0)-1,MATCH(AS$1,'[1]End - Use Prices'!$C$7:$AL$7,0))</f>
        <v>35.89</v>
      </c>
      <c r="AT56" s="41">
        <f>INDEX('[1]End - Use Prices'!$C$6:$AL$89,MATCH($C56,'[1]End - Use Prices'!$A$6:$A$89,0)+MATCH($D56,'[1]End - Use Prices'!$B$9:$B$11,0)-1,MATCH(AT$1,'[1]End - Use Prices'!$C$7:$AL$7,0))</f>
        <v>35.68</v>
      </c>
      <c r="AU56" s="41">
        <f>INDEX('[1]End - Use Prices'!$C$6:$AL$89,MATCH($C56,'[1]End - Use Prices'!$A$6:$A$89,0)+MATCH($D56,'[1]End - Use Prices'!$B$9:$B$11,0)-1,MATCH(AU$1,'[1]End - Use Prices'!$C$7:$AL$7,0))</f>
        <v>35.44</v>
      </c>
      <c r="AV56" s="41">
        <f>INDEX('[1]End - Use Prices'!$C$6:$AL$89,MATCH($C56,'[1]End - Use Prices'!$A$6:$A$89,0)+MATCH($D56,'[1]End - Use Prices'!$B$9:$B$11,0)-1,MATCH(AV$1,'[1]End - Use Prices'!$C$7:$AL$7,0))</f>
        <v>35.229999999999997</v>
      </c>
      <c r="AW56" s="41">
        <f>INDEX('[1]End - Use Prices'!$C$6:$AL$89,MATCH($C56,'[1]End - Use Prices'!$A$6:$A$89,0)+MATCH($D56,'[1]End - Use Prices'!$B$9:$B$11,0)-1,MATCH(AW$1,'[1]End - Use Prices'!$C$7:$AL$7,0))</f>
        <v>35.03</v>
      </c>
      <c r="AX56" s="41">
        <f>INDEX('[1]End - Use Prices'!$C$6:$AL$89,MATCH($C56,'[1]End - Use Prices'!$A$6:$A$89,0)+MATCH($D56,'[1]End - Use Prices'!$B$9:$B$11,0)-1,MATCH(AX$1,'[1]End - Use Prices'!$C$7:$AL$7,0))</f>
        <v>34.89</v>
      </c>
      <c r="AY56" s="41">
        <f>INDEX('[1]End - Use Prices'!$C$6:$AL$89,MATCH($C56,'[1]End - Use Prices'!$A$6:$A$89,0)+MATCH($D56,'[1]End - Use Prices'!$B$9:$B$11,0)-1,MATCH(AY$1,'[1]End - Use Prices'!$C$7:$AL$7,0))</f>
        <v>34.79</v>
      </c>
      <c r="AZ56" s="41">
        <f>INDEX('[1]End - Use Prices'!$C$6:$AL$89,MATCH($C56,'[1]End - Use Prices'!$A$6:$A$89,0)+MATCH($D56,'[1]End - Use Prices'!$B$9:$B$11,0)-1,MATCH(AZ$1,'[1]End - Use Prices'!$C$7:$AL$7,0))</f>
        <v>34.729999999999997</v>
      </c>
      <c r="BA56" s="41">
        <f>INDEX('[1]End - Use Prices'!$C$6:$AL$89,MATCH($C56,'[1]End - Use Prices'!$A$6:$A$89,0)+MATCH($D56,'[1]End - Use Prices'!$B$9:$B$11,0)-1,MATCH(BA$1,'[1]End - Use Prices'!$C$7:$AL$7,0))</f>
        <v>34.69</v>
      </c>
      <c r="BB56" s="41">
        <f>INDEX('[1]End - Use Prices'!$C$6:$AL$89,MATCH($C56,'[1]End - Use Prices'!$A$6:$A$89,0)+MATCH($D56,'[1]End - Use Prices'!$B$9:$B$11,0)-1,MATCH(BB$1,'[1]End - Use Prices'!$C$7:$AL$7,0))</f>
        <v>34.64</v>
      </c>
      <c r="BC56" s="41">
        <f>INDEX('[1]End - Use Prices'!$C$6:$AL$89,MATCH($C56,'[1]End - Use Prices'!$A$6:$A$89,0)+MATCH($D56,'[1]End - Use Prices'!$B$9:$B$11,0)-1,MATCH(BC$1,'[1]End - Use Prices'!$C$7:$AL$7,0))</f>
        <v>34.58</v>
      </c>
      <c r="BD56" s="41">
        <f>INDEX('[1]End - Use Prices'!$C$6:$AL$89,MATCH($C56,'[1]End - Use Prices'!$A$6:$A$89,0)+MATCH($D56,'[1]End - Use Prices'!$B$9:$B$11,0)-1,MATCH(BD$1,'[1]End - Use Prices'!$C$7:$AL$7,0))</f>
        <v>34.49</v>
      </c>
      <c r="BE56" s="41">
        <f>INDEX('[1]End - Use Prices'!$C$6:$AL$89,MATCH($C56,'[1]End - Use Prices'!$A$6:$A$89,0)+MATCH($D56,'[1]End - Use Prices'!$B$9:$B$11,0)-1,MATCH(BE$1,'[1]End - Use Prices'!$C$7:$AL$7,0))</f>
        <v>34.380000000000003</v>
      </c>
      <c r="BF56" s="41">
        <f>INDEX('[1]End - Use Prices'!$C$6:$AL$89,MATCH($C56,'[1]End - Use Prices'!$A$6:$A$89,0)+MATCH($D56,'[1]End - Use Prices'!$B$9:$B$11,0)-1,MATCH(BF$1,'[1]End - Use Prices'!$C$7:$AL$7,0))</f>
        <v>34.270000000000003</v>
      </c>
      <c r="BG56" s="41">
        <f>INDEX('[1]End - Use Prices'!$C$6:$AL$89,MATCH($C56,'[1]End - Use Prices'!$A$6:$A$89,0)+MATCH($D56,'[1]End - Use Prices'!$B$9:$B$11,0)-1,MATCH(BG$1,'[1]End - Use Prices'!$C$7:$AL$7,0))</f>
        <v>34.14</v>
      </c>
      <c r="BR56" s="39"/>
      <c r="BS56" s="39"/>
      <c r="BT56" s="39"/>
      <c r="BU56" s="39"/>
      <c r="BV56" s="39"/>
      <c r="BW56" s="39"/>
      <c r="BX56" s="39"/>
      <c r="BY56" s="39"/>
      <c r="BZ56" s="39"/>
      <c r="CA56" s="39"/>
    </row>
    <row r="57" spans="1:79" x14ac:dyDescent="0.25">
      <c r="A57" s="5"/>
      <c r="B57" s="3"/>
      <c r="C57" s="25" t="s">
        <v>93</v>
      </c>
      <c r="D57" s="25" t="s">
        <v>280</v>
      </c>
      <c r="E57" s="25" t="s">
        <v>282</v>
      </c>
      <c r="F57" s="67" t="s">
        <v>279</v>
      </c>
      <c r="G57" s="53">
        <f t="shared" si="4"/>
        <v>29.08</v>
      </c>
      <c r="H57" s="34">
        <f t="shared" si="9"/>
        <v>29.08</v>
      </c>
      <c r="I57" s="34">
        <f t="shared" si="9"/>
        <v>31.56</v>
      </c>
      <c r="J57" s="34">
        <f t="shared" si="9"/>
        <v>29.89</v>
      </c>
      <c r="K57" s="34">
        <f t="shared" si="9"/>
        <v>37.340000000000003</v>
      </c>
      <c r="L57" s="34">
        <f t="shared" si="9"/>
        <v>32.57</v>
      </c>
      <c r="M57" s="34">
        <f t="shared" si="9"/>
        <v>32.04</v>
      </c>
      <c r="N57" s="34">
        <f t="shared" si="9"/>
        <v>32.03</v>
      </c>
      <c r="O57" s="34">
        <f t="shared" si="9"/>
        <v>31.87</v>
      </c>
      <c r="P57" s="53">
        <f t="shared" si="8"/>
        <v>31.87</v>
      </c>
      <c r="Q57" s="53">
        <f t="shared" si="8"/>
        <v>31.87</v>
      </c>
      <c r="R57" s="38"/>
      <c r="X57" s="41">
        <f>INDEX('[1]End - Use Prices'!$C$6:$AL$89,MATCH($C57,'[1]End - Use Prices'!$A$6:$A$89,0)+MATCH($D57,'[1]End - Use Prices'!$B$9:$B$11,0)-1,MATCH(X$1,'[1]End - Use Prices'!$C$7:$AL$7,0))</f>
        <v>29.08</v>
      </c>
      <c r="Y57" s="41">
        <f>INDEX('[1]End - Use Prices'!$C$6:$AL$89,MATCH($C57,'[1]End - Use Prices'!$A$6:$A$89,0)+MATCH($D57,'[1]End - Use Prices'!$B$9:$B$11,0)-1,MATCH(Y$1,'[1]End - Use Prices'!$C$7:$AL$7,0))</f>
        <v>30.15</v>
      </c>
      <c r="Z57" s="41">
        <f>INDEX('[1]End - Use Prices'!$C$6:$AL$89,MATCH($C57,'[1]End - Use Prices'!$A$6:$A$89,0)+MATCH($D57,'[1]End - Use Prices'!$B$9:$B$11,0)-1,MATCH(Z$1,'[1]End - Use Prices'!$C$7:$AL$7,0))</f>
        <v>31.73</v>
      </c>
      <c r="AA57" s="41">
        <f>INDEX('[1]End - Use Prices'!$C$6:$AL$89,MATCH($C57,'[1]End - Use Prices'!$A$6:$A$89,0)+MATCH($D57,'[1]End - Use Prices'!$B$9:$B$11,0)-1,MATCH(AA$1,'[1]End - Use Prices'!$C$7:$AL$7,0))</f>
        <v>37.46</v>
      </c>
      <c r="AB57" s="41">
        <f>INDEX('[1]End - Use Prices'!$C$6:$AL$89,MATCH($C57,'[1]End - Use Prices'!$A$6:$A$89,0)+MATCH($D57,'[1]End - Use Prices'!$B$9:$B$11,0)-1,MATCH(AB$1,'[1]End - Use Prices'!$C$7:$AL$7,0))</f>
        <v>28.89</v>
      </c>
      <c r="AC57" s="41">
        <f>INDEX('[1]End - Use Prices'!$C$6:$AL$89,MATCH($C57,'[1]End - Use Prices'!$A$6:$A$89,0)+MATCH($D57,'[1]End - Use Prices'!$B$9:$B$11,0)-1,MATCH(AC$1,'[1]End - Use Prices'!$C$7:$AL$7,0))</f>
        <v>31.56</v>
      </c>
      <c r="AD57" s="41">
        <f>INDEX('[1]End - Use Prices'!$C$6:$AL$89,MATCH($C57,'[1]End - Use Prices'!$A$6:$A$89,0)+MATCH($D57,'[1]End - Use Prices'!$B$9:$B$11,0)-1,MATCH(AD$1,'[1]End - Use Prices'!$C$7:$AL$7,0))</f>
        <v>36.9</v>
      </c>
      <c r="AE57" s="41">
        <f>INDEX('[1]End - Use Prices'!$C$6:$AL$89,MATCH($C57,'[1]End - Use Prices'!$A$6:$A$89,0)+MATCH($D57,'[1]End - Use Prices'!$B$9:$B$11,0)-1,MATCH(AE$1,'[1]End - Use Prices'!$C$7:$AL$7,0))</f>
        <v>38.08</v>
      </c>
      <c r="AF57" s="41">
        <f>INDEX('[1]End - Use Prices'!$C$6:$AL$89,MATCH($C57,'[1]End - Use Prices'!$A$6:$A$89,0)+MATCH($D57,'[1]End - Use Prices'!$B$9:$B$11,0)-1,MATCH(AF$1,'[1]End - Use Prices'!$C$7:$AL$7,0))</f>
        <v>36.86</v>
      </c>
      <c r="AG57" s="41">
        <f>INDEX('[1]End - Use Prices'!$C$6:$AL$89,MATCH($C57,'[1]End - Use Prices'!$A$6:$A$89,0)+MATCH($D57,'[1]End - Use Prices'!$B$9:$B$11,0)-1,MATCH(AG$1,'[1]End - Use Prices'!$C$7:$AL$7,0))</f>
        <v>37.01</v>
      </c>
      <c r="AH57" s="41">
        <f>INDEX('[1]End - Use Prices'!$C$6:$AL$89,MATCH($C57,'[1]End - Use Prices'!$A$6:$A$89,0)+MATCH($D57,'[1]End - Use Prices'!$B$9:$B$11,0)-1,MATCH(AH$1,'[1]End - Use Prices'!$C$7:$AL$7,0))</f>
        <v>29.89</v>
      </c>
      <c r="AI57" s="41">
        <f>INDEX('[1]End - Use Prices'!$C$6:$AL$89,MATCH($C57,'[1]End - Use Prices'!$A$6:$A$89,0)+MATCH($D57,'[1]End - Use Prices'!$B$9:$B$11,0)-1,MATCH(AI$1,'[1]End - Use Prices'!$C$7:$AL$7,0))</f>
        <v>25.86</v>
      </c>
      <c r="AJ57" s="41">
        <f>INDEX('[1]End - Use Prices'!$C$6:$AL$89,MATCH($C57,'[1]End - Use Prices'!$A$6:$A$89,0)+MATCH($D57,'[1]End - Use Prices'!$B$9:$B$11,0)-1,MATCH(AJ$1,'[1]End - Use Prices'!$C$7:$AL$7,0))</f>
        <v>27.9</v>
      </c>
      <c r="AK57" s="41">
        <f>INDEX('[1]End - Use Prices'!$C$6:$AL$89,MATCH($C57,'[1]End - Use Prices'!$A$6:$A$89,0)+MATCH($D57,'[1]End - Use Prices'!$B$9:$B$11,0)-1,MATCH(AK$1,'[1]End - Use Prices'!$C$7:$AL$7,0))</f>
        <v>31.56</v>
      </c>
      <c r="AL57" s="41">
        <f>INDEX('[1]End - Use Prices'!$C$6:$AL$89,MATCH($C57,'[1]End - Use Prices'!$A$6:$A$89,0)+MATCH($D57,'[1]End - Use Prices'!$B$9:$B$11,0)-1,MATCH(AL$1,'[1]End - Use Prices'!$C$7:$AL$7,0))</f>
        <v>33.29</v>
      </c>
      <c r="AM57" s="41">
        <f>INDEX('[1]End - Use Prices'!$C$6:$AL$89,MATCH($C57,'[1]End - Use Prices'!$A$6:$A$89,0)+MATCH($D57,'[1]End - Use Prices'!$B$9:$B$11,0)-1,MATCH(AM$1,'[1]End - Use Prices'!$C$7:$AL$7,0))</f>
        <v>37.340000000000003</v>
      </c>
      <c r="AN57" s="41">
        <f>INDEX('[1]End - Use Prices'!$C$6:$AL$89,MATCH($C57,'[1]End - Use Prices'!$A$6:$A$89,0)+MATCH($D57,'[1]End - Use Prices'!$B$9:$B$11,0)-1,MATCH(AN$1,'[1]End - Use Prices'!$C$7:$AL$7,0))</f>
        <v>34.270000000000003</v>
      </c>
      <c r="AO57" s="41">
        <f>INDEX('[1]End - Use Prices'!$C$6:$AL$89,MATCH($C57,'[1]End - Use Prices'!$A$6:$A$89,0)+MATCH($D57,'[1]End - Use Prices'!$B$9:$B$11,0)-1,MATCH(AO$1,'[1]End - Use Prices'!$C$7:$AL$7,0))</f>
        <v>32.229999999999997</v>
      </c>
      <c r="AP57" s="41">
        <f>INDEX('[1]End - Use Prices'!$C$6:$AL$89,MATCH($C57,'[1]End - Use Prices'!$A$6:$A$89,0)+MATCH($D57,'[1]End - Use Prices'!$B$9:$B$11,0)-1,MATCH(AP$1,'[1]End - Use Prices'!$C$7:$AL$7,0))</f>
        <v>32.729999999999997</v>
      </c>
      <c r="AQ57" s="41">
        <f>INDEX('[1]End - Use Prices'!$C$6:$AL$89,MATCH($C57,'[1]End - Use Prices'!$A$6:$A$89,0)+MATCH($D57,'[1]End - Use Prices'!$B$9:$B$11,0)-1,MATCH(AQ$1,'[1]End - Use Prices'!$C$7:$AL$7,0))</f>
        <v>32.54</v>
      </c>
      <c r="AR57" s="41">
        <f>INDEX('[1]End - Use Prices'!$C$6:$AL$89,MATCH($C57,'[1]End - Use Prices'!$A$6:$A$89,0)+MATCH($D57,'[1]End - Use Prices'!$B$9:$B$11,0)-1,MATCH(AR$1,'[1]End - Use Prices'!$C$7:$AL$7,0))</f>
        <v>32.57</v>
      </c>
      <c r="AS57" s="41">
        <f>INDEX('[1]End - Use Prices'!$C$6:$AL$89,MATCH($C57,'[1]End - Use Prices'!$A$6:$A$89,0)+MATCH($D57,'[1]End - Use Prices'!$B$9:$B$11,0)-1,MATCH(AS$1,'[1]End - Use Prices'!$C$7:$AL$7,0))</f>
        <v>32.56</v>
      </c>
      <c r="AT57" s="41">
        <f>INDEX('[1]End - Use Prices'!$C$6:$AL$89,MATCH($C57,'[1]End - Use Prices'!$A$6:$A$89,0)+MATCH($D57,'[1]End - Use Prices'!$B$9:$B$11,0)-1,MATCH(AT$1,'[1]End - Use Prices'!$C$7:$AL$7,0))</f>
        <v>32.44</v>
      </c>
      <c r="AU57" s="41">
        <f>INDEX('[1]End - Use Prices'!$C$6:$AL$89,MATCH($C57,'[1]End - Use Prices'!$A$6:$A$89,0)+MATCH($D57,'[1]End - Use Prices'!$B$9:$B$11,0)-1,MATCH(AU$1,'[1]End - Use Prices'!$C$7:$AL$7,0))</f>
        <v>32.29</v>
      </c>
      <c r="AV57" s="41">
        <f>INDEX('[1]End - Use Prices'!$C$6:$AL$89,MATCH($C57,'[1]End - Use Prices'!$A$6:$A$89,0)+MATCH($D57,'[1]End - Use Prices'!$B$9:$B$11,0)-1,MATCH(AV$1,'[1]End - Use Prices'!$C$7:$AL$7,0))</f>
        <v>32.17</v>
      </c>
      <c r="AW57" s="41">
        <f>INDEX('[1]End - Use Prices'!$C$6:$AL$89,MATCH($C57,'[1]End - Use Prices'!$A$6:$A$89,0)+MATCH($D57,'[1]End - Use Prices'!$B$9:$B$11,0)-1,MATCH(AW$1,'[1]End - Use Prices'!$C$7:$AL$7,0))</f>
        <v>32.04</v>
      </c>
      <c r="AX57" s="41">
        <f>INDEX('[1]End - Use Prices'!$C$6:$AL$89,MATCH($C57,'[1]End - Use Prices'!$A$6:$A$89,0)+MATCH($D57,'[1]End - Use Prices'!$B$9:$B$11,0)-1,MATCH(AX$1,'[1]End - Use Prices'!$C$7:$AL$7,0))</f>
        <v>31.98</v>
      </c>
      <c r="AY57" s="41">
        <f>INDEX('[1]End - Use Prices'!$C$6:$AL$89,MATCH($C57,'[1]End - Use Prices'!$A$6:$A$89,0)+MATCH($D57,'[1]End - Use Prices'!$B$9:$B$11,0)-1,MATCH(AY$1,'[1]End - Use Prices'!$C$7:$AL$7,0))</f>
        <v>31.96</v>
      </c>
      <c r="AZ57" s="41">
        <f>INDEX('[1]End - Use Prices'!$C$6:$AL$89,MATCH($C57,'[1]End - Use Prices'!$A$6:$A$89,0)+MATCH($D57,'[1]End - Use Prices'!$B$9:$B$11,0)-1,MATCH(AZ$1,'[1]End - Use Prices'!$C$7:$AL$7,0))</f>
        <v>31.97</v>
      </c>
      <c r="BA57" s="41">
        <f>INDEX('[1]End - Use Prices'!$C$6:$AL$89,MATCH($C57,'[1]End - Use Prices'!$A$6:$A$89,0)+MATCH($D57,'[1]End - Use Prices'!$B$9:$B$11,0)-1,MATCH(BA$1,'[1]End - Use Prices'!$C$7:$AL$7,0))</f>
        <v>32.01</v>
      </c>
      <c r="BB57" s="41">
        <f>INDEX('[1]End - Use Prices'!$C$6:$AL$89,MATCH($C57,'[1]End - Use Prices'!$A$6:$A$89,0)+MATCH($D57,'[1]End - Use Prices'!$B$9:$B$11,0)-1,MATCH(BB$1,'[1]End - Use Prices'!$C$7:$AL$7,0))</f>
        <v>32.03</v>
      </c>
      <c r="BC57" s="41">
        <f>INDEX('[1]End - Use Prices'!$C$6:$AL$89,MATCH($C57,'[1]End - Use Prices'!$A$6:$A$89,0)+MATCH($D57,'[1]End - Use Prices'!$B$9:$B$11,0)-1,MATCH(BC$1,'[1]End - Use Prices'!$C$7:$AL$7,0))</f>
        <v>32.03</v>
      </c>
      <c r="BD57" s="41">
        <f>INDEX('[1]End - Use Prices'!$C$6:$AL$89,MATCH($C57,'[1]End - Use Prices'!$A$6:$A$89,0)+MATCH($D57,'[1]End - Use Prices'!$B$9:$B$11,0)-1,MATCH(BD$1,'[1]End - Use Prices'!$C$7:$AL$7,0))</f>
        <v>32.020000000000003</v>
      </c>
      <c r="BE57" s="41">
        <f>INDEX('[1]End - Use Prices'!$C$6:$AL$89,MATCH($C57,'[1]End - Use Prices'!$A$6:$A$89,0)+MATCH($D57,'[1]End - Use Prices'!$B$9:$B$11,0)-1,MATCH(BE$1,'[1]End - Use Prices'!$C$7:$AL$7,0))</f>
        <v>31.97</v>
      </c>
      <c r="BF57" s="41">
        <f>INDEX('[1]End - Use Prices'!$C$6:$AL$89,MATCH($C57,'[1]End - Use Prices'!$A$6:$A$89,0)+MATCH($D57,'[1]End - Use Prices'!$B$9:$B$11,0)-1,MATCH(BF$1,'[1]End - Use Prices'!$C$7:$AL$7,0))</f>
        <v>31.93</v>
      </c>
      <c r="BG57" s="41">
        <f>INDEX('[1]End - Use Prices'!$C$6:$AL$89,MATCH($C57,'[1]End - Use Prices'!$A$6:$A$89,0)+MATCH($D57,'[1]End - Use Prices'!$B$9:$B$11,0)-1,MATCH(BG$1,'[1]End - Use Prices'!$C$7:$AL$7,0))</f>
        <v>31.87</v>
      </c>
      <c r="BR57" s="39"/>
      <c r="BS57" s="39"/>
      <c r="BT57" s="39"/>
      <c r="BU57" s="39"/>
      <c r="BV57" s="39"/>
      <c r="BW57" s="39"/>
      <c r="BX57" s="39"/>
      <c r="BY57" s="39"/>
      <c r="BZ57" s="39"/>
      <c r="CA57" s="39"/>
    </row>
    <row r="58" spans="1:79" x14ac:dyDescent="0.25">
      <c r="A58" s="5"/>
      <c r="B58" s="3"/>
      <c r="C58" s="25" t="s">
        <v>95</v>
      </c>
      <c r="D58" s="25" t="s">
        <v>280</v>
      </c>
      <c r="E58" s="25" t="s">
        <v>282</v>
      </c>
      <c r="F58" s="67" t="s">
        <v>279</v>
      </c>
      <c r="G58" s="53">
        <f t="shared" si="4"/>
        <v>26.74</v>
      </c>
      <c r="H58" s="34">
        <f t="shared" si="9"/>
        <v>26.74</v>
      </c>
      <c r="I58" s="34">
        <f t="shared" si="9"/>
        <v>28.81</v>
      </c>
      <c r="J58" s="34">
        <f t="shared" si="9"/>
        <v>28.29</v>
      </c>
      <c r="K58" s="34">
        <f t="shared" si="9"/>
        <v>36.4</v>
      </c>
      <c r="L58" s="34">
        <f t="shared" si="9"/>
        <v>31.63</v>
      </c>
      <c r="M58" s="34">
        <f t="shared" si="9"/>
        <v>31.1</v>
      </c>
      <c r="N58" s="34">
        <f t="shared" si="9"/>
        <v>31.09</v>
      </c>
      <c r="O58" s="34">
        <f t="shared" si="9"/>
        <v>30.93</v>
      </c>
      <c r="P58" s="53">
        <f t="shared" ref="P58:Q59" si="10">O58</f>
        <v>30.93</v>
      </c>
      <c r="Q58" s="53">
        <f t="shared" si="10"/>
        <v>30.93</v>
      </c>
      <c r="R58" s="38"/>
      <c r="X58" s="41">
        <f>INDEX('[1]End - Use Prices'!$C$6:$AL$89,MATCH($C58,'[1]End - Use Prices'!$A$6:$A$89,0)+MATCH($D58,'[1]End - Use Prices'!$B$9:$B$11,0)-1,MATCH(X$1,'[1]End - Use Prices'!$C$7:$AL$7,0))</f>
        <v>26.74</v>
      </c>
      <c r="Y58" s="41">
        <f>INDEX('[1]End - Use Prices'!$C$6:$AL$89,MATCH($C58,'[1]End - Use Prices'!$A$6:$A$89,0)+MATCH($D58,'[1]End - Use Prices'!$B$9:$B$11,0)-1,MATCH(Y$1,'[1]End - Use Prices'!$C$7:$AL$7,0))</f>
        <v>27.19</v>
      </c>
      <c r="Z58" s="41">
        <f>INDEX('[1]End - Use Prices'!$C$6:$AL$89,MATCH($C58,'[1]End - Use Prices'!$A$6:$A$89,0)+MATCH($D58,'[1]End - Use Prices'!$B$9:$B$11,0)-1,MATCH(Z$1,'[1]End - Use Prices'!$C$7:$AL$7,0))</f>
        <v>29.89</v>
      </c>
      <c r="AA58" s="41">
        <f>INDEX('[1]End - Use Prices'!$C$6:$AL$89,MATCH($C58,'[1]End - Use Prices'!$A$6:$A$89,0)+MATCH($D58,'[1]End - Use Prices'!$B$9:$B$11,0)-1,MATCH(AA$1,'[1]End - Use Prices'!$C$7:$AL$7,0))</f>
        <v>36.56</v>
      </c>
      <c r="AB58" s="41">
        <f>INDEX('[1]End - Use Prices'!$C$6:$AL$89,MATCH($C58,'[1]End - Use Prices'!$A$6:$A$89,0)+MATCH($D58,'[1]End - Use Prices'!$B$9:$B$11,0)-1,MATCH(AB$1,'[1]End - Use Prices'!$C$7:$AL$7,0))</f>
        <v>26.59</v>
      </c>
      <c r="AC58" s="41">
        <f>INDEX('[1]End - Use Prices'!$C$6:$AL$89,MATCH($C58,'[1]End - Use Prices'!$A$6:$A$89,0)+MATCH($D58,'[1]End - Use Prices'!$B$9:$B$11,0)-1,MATCH(AC$1,'[1]End - Use Prices'!$C$7:$AL$7,0))</f>
        <v>28.81</v>
      </c>
      <c r="AD58" s="41">
        <f>INDEX('[1]End - Use Prices'!$C$6:$AL$89,MATCH($C58,'[1]End - Use Prices'!$A$6:$A$89,0)+MATCH($D58,'[1]End - Use Prices'!$B$9:$B$11,0)-1,MATCH(AD$1,'[1]End - Use Prices'!$C$7:$AL$7,0))</f>
        <v>34.630000000000003</v>
      </c>
      <c r="AE58" s="41">
        <f>INDEX('[1]End - Use Prices'!$C$6:$AL$89,MATCH($C58,'[1]End - Use Prices'!$A$6:$A$89,0)+MATCH($D58,'[1]End - Use Prices'!$B$9:$B$11,0)-1,MATCH(AE$1,'[1]End - Use Prices'!$C$7:$AL$7,0))</f>
        <v>34.79</v>
      </c>
      <c r="AF58" s="41">
        <f>INDEX('[1]End - Use Prices'!$C$6:$AL$89,MATCH($C58,'[1]End - Use Prices'!$A$6:$A$89,0)+MATCH($D58,'[1]End - Use Prices'!$B$9:$B$11,0)-1,MATCH(AF$1,'[1]End - Use Prices'!$C$7:$AL$7,0))</f>
        <v>33.89</v>
      </c>
      <c r="AG58" s="41">
        <f>INDEX('[1]End - Use Prices'!$C$6:$AL$89,MATCH($C58,'[1]End - Use Prices'!$A$6:$A$89,0)+MATCH($D58,'[1]End - Use Prices'!$B$9:$B$11,0)-1,MATCH(AG$1,'[1]End - Use Prices'!$C$7:$AL$7,0))</f>
        <v>36.409999999999997</v>
      </c>
      <c r="AH58" s="41">
        <f>INDEX('[1]End - Use Prices'!$C$6:$AL$89,MATCH($C58,'[1]End - Use Prices'!$A$6:$A$89,0)+MATCH($D58,'[1]End - Use Prices'!$B$9:$B$11,0)-1,MATCH(AH$1,'[1]End - Use Prices'!$C$7:$AL$7,0))</f>
        <v>28.29</v>
      </c>
      <c r="AI58" s="41">
        <f>INDEX('[1]End - Use Prices'!$C$6:$AL$89,MATCH($C58,'[1]End - Use Prices'!$A$6:$A$89,0)+MATCH($D58,'[1]End - Use Prices'!$B$9:$B$11,0)-1,MATCH(AI$1,'[1]End - Use Prices'!$C$7:$AL$7,0))</f>
        <v>24.92</v>
      </c>
      <c r="AJ58" s="41">
        <f>INDEX('[1]End - Use Prices'!$C$6:$AL$89,MATCH($C58,'[1]End - Use Prices'!$A$6:$A$89,0)+MATCH($D58,'[1]End - Use Prices'!$B$9:$B$11,0)-1,MATCH(AJ$1,'[1]End - Use Prices'!$C$7:$AL$7,0))</f>
        <v>27.54</v>
      </c>
      <c r="AK58" s="41">
        <f>INDEX('[1]End - Use Prices'!$C$6:$AL$89,MATCH($C58,'[1]End - Use Prices'!$A$6:$A$89,0)+MATCH($D58,'[1]End - Use Prices'!$B$9:$B$11,0)-1,MATCH(AK$1,'[1]End - Use Prices'!$C$7:$AL$7,0))</f>
        <v>30.62</v>
      </c>
      <c r="AL58" s="41">
        <f>INDEX('[1]End - Use Prices'!$C$6:$AL$89,MATCH($C58,'[1]End - Use Prices'!$A$6:$A$89,0)+MATCH($D58,'[1]End - Use Prices'!$B$9:$B$11,0)-1,MATCH(AL$1,'[1]End - Use Prices'!$C$7:$AL$7,0))</f>
        <v>32.35</v>
      </c>
      <c r="AM58" s="41">
        <f>INDEX('[1]End - Use Prices'!$C$6:$AL$89,MATCH($C58,'[1]End - Use Prices'!$A$6:$A$89,0)+MATCH($D58,'[1]End - Use Prices'!$B$9:$B$11,0)-1,MATCH(AM$1,'[1]End - Use Prices'!$C$7:$AL$7,0))</f>
        <v>36.4</v>
      </c>
      <c r="AN58" s="41">
        <f>INDEX('[1]End - Use Prices'!$C$6:$AL$89,MATCH($C58,'[1]End - Use Prices'!$A$6:$A$89,0)+MATCH($D58,'[1]End - Use Prices'!$B$9:$B$11,0)-1,MATCH(AN$1,'[1]End - Use Prices'!$C$7:$AL$7,0))</f>
        <v>33.33</v>
      </c>
      <c r="AO58" s="41">
        <f>INDEX('[1]End - Use Prices'!$C$6:$AL$89,MATCH($C58,'[1]End - Use Prices'!$A$6:$A$89,0)+MATCH($D58,'[1]End - Use Prices'!$B$9:$B$11,0)-1,MATCH(AO$1,'[1]End - Use Prices'!$C$7:$AL$7,0))</f>
        <v>31.29</v>
      </c>
      <c r="AP58" s="41">
        <f>INDEX('[1]End - Use Prices'!$C$6:$AL$89,MATCH($C58,'[1]End - Use Prices'!$A$6:$A$89,0)+MATCH($D58,'[1]End - Use Prices'!$B$9:$B$11,0)-1,MATCH(AP$1,'[1]End - Use Prices'!$C$7:$AL$7,0))</f>
        <v>31.79</v>
      </c>
      <c r="AQ58" s="41">
        <f>INDEX('[1]End - Use Prices'!$C$6:$AL$89,MATCH($C58,'[1]End - Use Prices'!$A$6:$A$89,0)+MATCH($D58,'[1]End - Use Prices'!$B$9:$B$11,0)-1,MATCH(AQ$1,'[1]End - Use Prices'!$C$7:$AL$7,0))</f>
        <v>31.61</v>
      </c>
      <c r="AR58" s="41">
        <f>INDEX('[1]End - Use Prices'!$C$6:$AL$89,MATCH($C58,'[1]End - Use Prices'!$A$6:$A$89,0)+MATCH($D58,'[1]End - Use Prices'!$B$9:$B$11,0)-1,MATCH(AR$1,'[1]End - Use Prices'!$C$7:$AL$7,0))</f>
        <v>31.63</v>
      </c>
      <c r="AS58" s="41">
        <f>INDEX('[1]End - Use Prices'!$C$6:$AL$89,MATCH($C58,'[1]End - Use Prices'!$A$6:$A$89,0)+MATCH($D58,'[1]End - Use Prices'!$B$9:$B$11,0)-1,MATCH(AS$1,'[1]End - Use Prices'!$C$7:$AL$7,0))</f>
        <v>31.62</v>
      </c>
      <c r="AT58" s="41">
        <f>INDEX('[1]End - Use Prices'!$C$6:$AL$89,MATCH($C58,'[1]End - Use Prices'!$A$6:$A$89,0)+MATCH($D58,'[1]End - Use Prices'!$B$9:$B$11,0)-1,MATCH(AT$1,'[1]End - Use Prices'!$C$7:$AL$7,0))</f>
        <v>31.5</v>
      </c>
      <c r="AU58" s="41">
        <f>INDEX('[1]End - Use Prices'!$C$6:$AL$89,MATCH($C58,'[1]End - Use Prices'!$A$6:$A$89,0)+MATCH($D58,'[1]End - Use Prices'!$B$9:$B$11,0)-1,MATCH(AU$1,'[1]End - Use Prices'!$C$7:$AL$7,0))</f>
        <v>31.35</v>
      </c>
      <c r="AV58" s="41">
        <f>INDEX('[1]End - Use Prices'!$C$6:$AL$89,MATCH($C58,'[1]End - Use Prices'!$A$6:$A$89,0)+MATCH($D58,'[1]End - Use Prices'!$B$9:$B$11,0)-1,MATCH(AV$1,'[1]End - Use Prices'!$C$7:$AL$7,0))</f>
        <v>31.23</v>
      </c>
      <c r="AW58" s="41">
        <f>INDEX('[1]End - Use Prices'!$C$6:$AL$89,MATCH($C58,'[1]End - Use Prices'!$A$6:$A$89,0)+MATCH($D58,'[1]End - Use Prices'!$B$9:$B$11,0)-1,MATCH(AW$1,'[1]End - Use Prices'!$C$7:$AL$7,0))</f>
        <v>31.1</v>
      </c>
      <c r="AX58" s="41">
        <f>INDEX('[1]End - Use Prices'!$C$6:$AL$89,MATCH($C58,'[1]End - Use Prices'!$A$6:$A$89,0)+MATCH($D58,'[1]End - Use Prices'!$B$9:$B$11,0)-1,MATCH(AX$1,'[1]End - Use Prices'!$C$7:$AL$7,0))</f>
        <v>31.05</v>
      </c>
      <c r="AY58" s="41">
        <f>INDEX('[1]End - Use Prices'!$C$6:$AL$89,MATCH($C58,'[1]End - Use Prices'!$A$6:$A$89,0)+MATCH($D58,'[1]End - Use Prices'!$B$9:$B$11,0)-1,MATCH(AY$1,'[1]End - Use Prices'!$C$7:$AL$7,0))</f>
        <v>31.02</v>
      </c>
      <c r="AZ58" s="41">
        <f>INDEX('[1]End - Use Prices'!$C$6:$AL$89,MATCH($C58,'[1]End - Use Prices'!$A$6:$A$89,0)+MATCH($D58,'[1]End - Use Prices'!$B$9:$B$11,0)-1,MATCH(AZ$1,'[1]End - Use Prices'!$C$7:$AL$7,0))</f>
        <v>31.03</v>
      </c>
      <c r="BA58" s="41">
        <f>INDEX('[1]End - Use Prices'!$C$6:$AL$89,MATCH($C58,'[1]End - Use Prices'!$A$6:$A$89,0)+MATCH($D58,'[1]End - Use Prices'!$B$9:$B$11,0)-1,MATCH(BA$1,'[1]End - Use Prices'!$C$7:$AL$7,0))</f>
        <v>31.07</v>
      </c>
      <c r="BB58" s="41">
        <f>INDEX('[1]End - Use Prices'!$C$6:$AL$89,MATCH($C58,'[1]End - Use Prices'!$A$6:$A$89,0)+MATCH($D58,'[1]End - Use Prices'!$B$9:$B$11,0)-1,MATCH(BB$1,'[1]End - Use Prices'!$C$7:$AL$7,0))</f>
        <v>31.09</v>
      </c>
      <c r="BC58" s="41">
        <f>INDEX('[1]End - Use Prices'!$C$6:$AL$89,MATCH($C58,'[1]End - Use Prices'!$A$6:$A$89,0)+MATCH($D58,'[1]End - Use Prices'!$B$9:$B$11,0)-1,MATCH(BC$1,'[1]End - Use Prices'!$C$7:$AL$7,0))</f>
        <v>31.09</v>
      </c>
      <c r="BD58" s="41">
        <f>INDEX('[1]End - Use Prices'!$C$6:$AL$89,MATCH($C58,'[1]End - Use Prices'!$A$6:$A$89,0)+MATCH($D58,'[1]End - Use Prices'!$B$9:$B$11,0)-1,MATCH(BD$1,'[1]End - Use Prices'!$C$7:$AL$7,0))</f>
        <v>31.08</v>
      </c>
      <c r="BE58" s="41">
        <f>INDEX('[1]End - Use Prices'!$C$6:$AL$89,MATCH($C58,'[1]End - Use Prices'!$A$6:$A$89,0)+MATCH($D58,'[1]End - Use Prices'!$B$9:$B$11,0)-1,MATCH(BE$1,'[1]End - Use Prices'!$C$7:$AL$7,0))</f>
        <v>31.03</v>
      </c>
      <c r="BF58" s="41">
        <f>INDEX('[1]End - Use Prices'!$C$6:$AL$89,MATCH($C58,'[1]End - Use Prices'!$A$6:$A$89,0)+MATCH($D58,'[1]End - Use Prices'!$B$9:$B$11,0)-1,MATCH(BF$1,'[1]End - Use Prices'!$C$7:$AL$7,0))</f>
        <v>30.99</v>
      </c>
      <c r="BG58" s="41">
        <f>INDEX('[1]End - Use Prices'!$C$6:$AL$89,MATCH($C58,'[1]End - Use Prices'!$A$6:$A$89,0)+MATCH($D58,'[1]End - Use Prices'!$B$9:$B$11,0)-1,MATCH(BG$1,'[1]End - Use Prices'!$C$7:$AL$7,0))</f>
        <v>30.93</v>
      </c>
      <c r="BR58" s="39"/>
      <c r="BS58" s="39"/>
      <c r="BT58" s="39"/>
      <c r="BU58" s="39"/>
      <c r="BV58" s="39"/>
      <c r="BW58" s="39"/>
      <c r="BX58" s="39"/>
      <c r="BY58" s="39"/>
      <c r="BZ58" s="39"/>
      <c r="CA58" s="39"/>
    </row>
    <row r="59" spans="1:79" x14ac:dyDescent="0.25">
      <c r="A59" s="5"/>
      <c r="B59" s="3"/>
      <c r="C59" s="25" t="s">
        <v>94</v>
      </c>
      <c r="D59" s="25" t="s">
        <v>280</v>
      </c>
      <c r="E59" s="25" t="s">
        <v>282</v>
      </c>
      <c r="F59" s="67" t="s">
        <v>279</v>
      </c>
      <c r="G59" s="53">
        <f t="shared" si="4"/>
        <v>26.74</v>
      </c>
      <c r="H59" s="34">
        <f t="shared" si="9"/>
        <v>26.74</v>
      </c>
      <c r="I59" s="34">
        <f t="shared" si="9"/>
        <v>28.81</v>
      </c>
      <c r="J59" s="34">
        <f t="shared" si="9"/>
        <v>28.29</v>
      </c>
      <c r="K59" s="34">
        <f t="shared" si="9"/>
        <v>36.33</v>
      </c>
      <c r="L59" s="34">
        <f t="shared" si="9"/>
        <v>31.48</v>
      </c>
      <c r="M59" s="34">
        <f t="shared" si="9"/>
        <v>30.97</v>
      </c>
      <c r="N59" s="34">
        <f t="shared" si="9"/>
        <v>30.96</v>
      </c>
      <c r="O59" s="34">
        <f t="shared" si="9"/>
        <v>30.82</v>
      </c>
      <c r="P59" s="53">
        <f t="shared" si="10"/>
        <v>30.82</v>
      </c>
      <c r="Q59" s="53">
        <f t="shared" si="10"/>
        <v>30.82</v>
      </c>
      <c r="R59" s="38"/>
      <c r="X59" s="41">
        <f>INDEX('[1]End - Use Prices'!$C$6:$AL$89,MATCH($C59,'[1]End - Use Prices'!$A$6:$A$89,0)+MATCH($D59,'[1]End - Use Prices'!$B$9:$B$11,0)-1,MATCH(X$1,'[1]End - Use Prices'!$C$7:$AL$7,0))</f>
        <v>26.74</v>
      </c>
      <c r="Y59" s="41">
        <f>INDEX('[1]End - Use Prices'!$C$6:$AL$89,MATCH($C59,'[1]End - Use Prices'!$A$6:$A$89,0)+MATCH($D59,'[1]End - Use Prices'!$B$9:$B$11,0)-1,MATCH(Y$1,'[1]End - Use Prices'!$C$7:$AL$7,0))</f>
        <v>27.19</v>
      </c>
      <c r="Z59" s="41">
        <f>INDEX('[1]End - Use Prices'!$C$6:$AL$89,MATCH($C59,'[1]End - Use Prices'!$A$6:$A$89,0)+MATCH($D59,'[1]End - Use Prices'!$B$9:$B$11,0)-1,MATCH(Z$1,'[1]End - Use Prices'!$C$7:$AL$7,0))</f>
        <v>29.89</v>
      </c>
      <c r="AA59" s="41">
        <f>INDEX('[1]End - Use Prices'!$C$6:$AL$89,MATCH($C59,'[1]End - Use Prices'!$A$6:$A$89,0)+MATCH($D59,'[1]End - Use Prices'!$B$9:$B$11,0)-1,MATCH(AA$1,'[1]End - Use Prices'!$C$7:$AL$7,0))</f>
        <v>36.56</v>
      </c>
      <c r="AB59" s="41">
        <f>INDEX('[1]End - Use Prices'!$C$6:$AL$89,MATCH($C59,'[1]End - Use Prices'!$A$6:$A$89,0)+MATCH($D59,'[1]End - Use Prices'!$B$9:$B$11,0)-1,MATCH(AB$1,'[1]End - Use Prices'!$C$7:$AL$7,0))</f>
        <v>26.59</v>
      </c>
      <c r="AC59" s="41">
        <f>INDEX('[1]End - Use Prices'!$C$6:$AL$89,MATCH($C59,'[1]End - Use Prices'!$A$6:$A$89,0)+MATCH($D59,'[1]End - Use Prices'!$B$9:$B$11,0)-1,MATCH(AC$1,'[1]End - Use Prices'!$C$7:$AL$7,0))</f>
        <v>28.81</v>
      </c>
      <c r="AD59" s="41">
        <f>INDEX('[1]End - Use Prices'!$C$6:$AL$89,MATCH($C59,'[1]End - Use Prices'!$A$6:$A$89,0)+MATCH($D59,'[1]End - Use Prices'!$B$9:$B$11,0)-1,MATCH(AD$1,'[1]End - Use Prices'!$C$7:$AL$7,0))</f>
        <v>34.630000000000003</v>
      </c>
      <c r="AE59" s="41">
        <f>INDEX('[1]End - Use Prices'!$C$6:$AL$89,MATCH($C59,'[1]End - Use Prices'!$A$6:$A$89,0)+MATCH($D59,'[1]End - Use Prices'!$B$9:$B$11,0)-1,MATCH(AE$1,'[1]End - Use Prices'!$C$7:$AL$7,0))</f>
        <v>34.79</v>
      </c>
      <c r="AF59" s="41">
        <f>INDEX('[1]End - Use Prices'!$C$6:$AL$89,MATCH($C59,'[1]End - Use Prices'!$A$6:$A$89,0)+MATCH($D59,'[1]End - Use Prices'!$B$9:$B$11,0)-1,MATCH(AF$1,'[1]End - Use Prices'!$C$7:$AL$7,0))</f>
        <v>33.89</v>
      </c>
      <c r="AG59" s="41">
        <f>INDEX('[1]End - Use Prices'!$C$6:$AL$89,MATCH($C59,'[1]End - Use Prices'!$A$6:$A$89,0)+MATCH($D59,'[1]End - Use Prices'!$B$9:$B$11,0)-1,MATCH(AG$1,'[1]End - Use Prices'!$C$7:$AL$7,0))</f>
        <v>36.409999999999997</v>
      </c>
      <c r="AH59" s="41">
        <f>INDEX('[1]End - Use Prices'!$C$6:$AL$89,MATCH($C59,'[1]End - Use Prices'!$A$6:$A$89,0)+MATCH($D59,'[1]End - Use Prices'!$B$9:$B$11,0)-1,MATCH(AH$1,'[1]End - Use Prices'!$C$7:$AL$7,0))</f>
        <v>28.29</v>
      </c>
      <c r="AI59" s="41">
        <f>INDEX('[1]End - Use Prices'!$C$6:$AL$89,MATCH($C59,'[1]End - Use Prices'!$A$6:$A$89,0)+MATCH($D59,'[1]End - Use Prices'!$B$9:$B$11,0)-1,MATCH(AI$1,'[1]End - Use Prices'!$C$7:$AL$7,0))</f>
        <v>24.92</v>
      </c>
      <c r="AJ59" s="41">
        <f>INDEX('[1]End - Use Prices'!$C$6:$AL$89,MATCH($C59,'[1]End - Use Prices'!$A$6:$A$89,0)+MATCH($D59,'[1]End - Use Prices'!$B$9:$B$11,0)-1,MATCH(AJ$1,'[1]End - Use Prices'!$C$7:$AL$7,0))</f>
        <v>27.54</v>
      </c>
      <c r="AK59" s="41">
        <f>INDEX('[1]End - Use Prices'!$C$6:$AL$89,MATCH($C59,'[1]End - Use Prices'!$A$6:$A$89,0)+MATCH($D59,'[1]End - Use Prices'!$B$9:$B$11,0)-1,MATCH(AK$1,'[1]End - Use Prices'!$C$7:$AL$7,0))</f>
        <v>30.62</v>
      </c>
      <c r="AL59" s="41">
        <f>INDEX('[1]End - Use Prices'!$C$6:$AL$89,MATCH($C59,'[1]End - Use Prices'!$A$6:$A$89,0)+MATCH($D59,'[1]End - Use Prices'!$B$9:$B$11,0)-1,MATCH(AL$1,'[1]End - Use Prices'!$C$7:$AL$7,0))</f>
        <v>32.35</v>
      </c>
      <c r="AM59" s="41">
        <f>INDEX('[1]End - Use Prices'!$C$6:$AL$89,MATCH($C59,'[1]End - Use Prices'!$A$6:$A$89,0)+MATCH($D59,'[1]End - Use Prices'!$B$9:$B$11,0)-1,MATCH(AM$1,'[1]End - Use Prices'!$C$7:$AL$7,0))</f>
        <v>36.33</v>
      </c>
      <c r="AN59" s="41">
        <f>INDEX('[1]End - Use Prices'!$C$6:$AL$89,MATCH($C59,'[1]End - Use Prices'!$A$6:$A$89,0)+MATCH($D59,'[1]End - Use Prices'!$B$9:$B$11,0)-1,MATCH(AN$1,'[1]End - Use Prices'!$C$7:$AL$7,0))</f>
        <v>33.229999999999997</v>
      </c>
      <c r="AO59" s="41">
        <f>INDEX('[1]End - Use Prices'!$C$6:$AL$89,MATCH($C59,'[1]End - Use Prices'!$A$6:$A$89,0)+MATCH($D59,'[1]End - Use Prices'!$B$9:$B$11,0)-1,MATCH(AO$1,'[1]End - Use Prices'!$C$7:$AL$7,0))</f>
        <v>31.15</v>
      </c>
      <c r="AP59" s="41">
        <f>INDEX('[1]End - Use Prices'!$C$6:$AL$89,MATCH($C59,'[1]End - Use Prices'!$A$6:$A$89,0)+MATCH($D59,'[1]End - Use Prices'!$B$9:$B$11,0)-1,MATCH(AP$1,'[1]End - Use Prices'!$C$7:$AL$7,0))</f>
        <v>31.62</v>
      </c>
      <c r="AQ59" s="41">
        <f>INDEX('[1]End - Use Prices'!$C$6:$AL$89,MATCH($C59,'[1]End - Use Prices'!$A$6:$A$89,0)+MATCH($D59,'[1]End - Use Prices'!$B$9:$B$11,0)-1,MATCH(AQ$1,'[1]End - Use Prices'!$C$7:$AL$7,0))</f>
        <v>31.44</v>
      </c>
      <c r="AR59" s="41">
        <f>INDEX('[1]End - Use Prices'!$C$6:$AL$89,MATCH($C59,'[1]End - Use Prices'!$A$6:$A$89,0)+MATCH($D59,'[1]End - Use Prices'!$B$9:$B$11,0)-1,MATCH(AR$1,'[1]End - Use Prices'!$C$7:$AL$7,0))</f>
        <v>31.48</v>
      </c>
      <c r="AS59" s="41">
        <f>INDEX('[1]End - Use Prices'!$C$6:$AL$89,MATCH($C59,'[1]End - Use Prices'!$A$6:$A$89,0)+MATCH($D59,'[1]End - Use Prices'!$B$9:$B$11,0)-1,MATCH(AS$1,'[1]End - Use Prices'!$C$7:$AL$7,0))</f>
        <v>31.46</v>
      </c>
      <c r="AT59" s="41">
        <f>INDEX('[1]End - Use Prices'!$C$6:$AL$89,MATCH($C59,'[1]End - Use Prices'!$A$6:$A$89,0)+MATCH($D59,'[1]End - Use Prices'!$B$9:$B$11,0)-1,MATCH(AT$1,'[1]End - Use Prices'!$C$7:$AL$7,0))</f>
        <v>31.36</v>
      </c>
      <c r="AU59" s="41">
        <f>INDEX('[1]End - Use Prices'!$C$6:$AL$89,MATCH($C59,'[1]End - Use Prices'!$A$6:$A$89,0)+MATCH($D59,'[1]End - Use Prices'!$B$9:$B$11,0)-1,MATCH(AU$1,'[1]End - Use Prices'!$C$7:$AL$7,0))</f>
        <v>31.2</v>
      </c>
      <c r="AV59" s="41">
        <f>INDEX('[1]End - Use Prices'!$C$6:$AL$89,MATCH($C59,'[1]End - Use Prices'!$A$6:$A$89,0)+MATCH($D59,'[1]End - Use Prices'!$B$9:$B$11,0)-1,MATCH(AV$1,'[1]End - Use Prices'!$C$7:$AL$7,0))</f>
        <v>31.09</v>
      </c>
      <c r="AW59" s="41">
        <f>INDEX('[1]End - Use Prices'!$C$6:$AL$89,MATCH($C59,'[1]End - Use Prices'!$A$6:$A$89,0)+MATCH($D59,'[1]End - Use Prices'!$B$9:$B$11,0)-1,MATCH(AW$1,'[1]End - Use Prices'!$C$7:$AL$7,0))</f>
        <v>30.97</v>
      </c>
      <c r="AX59" s="41">
        <f>INDEX('[1]End - Use Prices'!$C$6:$AL$89,MATCH($C59,'[1]End - Use Prices'!$A$6:$A$89,0)+MATCH($D59,'[1]End - Use Prices'!$B$9:$B$11,0)-1,MATCH(AX$1,'[1]End - Use Prices'!$C$7:$AL$7,0))</f>
        <v>30.91</v>
      </c>
      <c r="AY59" s="41">
        <f>INDEX('[1]End - Use Prices'!$C$6:$AL$89,MATCH($C59,'[1]End - Use Prices'!$A$6:$A$89,0)+MATCH($D59,'[1]End - Use Prices'!$B$9:$B$11,0)-1,MATCH(AY$1,'[1]End - Use Prices'!$C$7:$AL$7,0))</f>
        <v>30.89</v>
      </c>
      <c r="AZ59" s="41">
        <f>INDEX('[1]End - Use Prices'!$C$6:$AL$89,MATCH($C59,'[1]End - Use Prices'!$A$6:$A$89,0)+MATCH($D59,'[1]End - Use Prices'!$B$9:$B$11,0)-1,MATCH(AZ$1,'[1]End - Use Prices'!$C$7:$AL$7,0))</f>
        <v>30.9</v>
      </c>
      <c r="BA59" s="41">
        <f>INDEX('[1]End - Use Prices'!$C$6:$AL$89,MATCH($C59,'[1]End - Use Prices'!$A$6:$A$89,0)+MATCH($D59,'[1]End - Use Prices'!$B$9:$B$11,0)-1,MATCH(BA$1,'[1]End - Use Prices'!$C$7:$AL$7,0))</f>
        <v>30.94</v>
      </c>
      <c r="BB59" s="41">
        <f>INDEX('[1]End - Use Prices'!$C$6:$AL$89,MATCH($C59,'[1]End - Use Prices'!$A$6:$A$89,0)+MATCH($D59,'[1]End - Use Prices'!$B$9:$B$11,0)-1,MATCH(BB$1,'[1]End - Use Prices'!$C$7:$AL$7,0))</f>
        <v>30.96</v>
      </c>
      <c r="BC59" s="41">
        <f>INDEX('[1]End - Use Prices'!$C$6:$AL$89,MATCH($C59,'[1]End - Use Prices'!$A$6:$A$89,0)+MATCH($D59,'[1]End - Use Prices'!$B$9:$B$11,0)-1,MATCH(BC$1,'[1]End - Use Prices'!$C$7:$AL$7,0))</f>
        <v>30.97</v>
      </c>
      <c r="BD59" s="41">
        <f>INDEX('[1]End - Use Prices'!$C$6:$AL$89,MATCH($C59,'[1]End - Use Prices'!$A$6:$A$89,0)+MATCH($D59,'[1]End - Use Prices'!$B$9:$B$11,0)-1,MATCH(BD$1,'[1]End - Use Prices'!$C$7:$AL$7,0))</f>
        <v>30.96</v>
      </c>
      <c r="BE59" s="41">
        <f>INDEX('[1]End - Use Prices'!$C$6:$AL$89,MATCH($C59,'[1]End - Use Prices'!$A$6:$A$89,0)+MATCH($D59,'[1]End - Use Prices'!$B$9:$B$11,0)-1,MATCH(BE$1,'[1]End - Use Prices'!$C$7:$AL$7,0))</f>
        <v>30.91</v>
      </c>
      <c r="BF59" s="41">
        <f>INDEX('[1]End - Use Prices'!$C$6:$AL$89,MATCH($C59,'[1]End - Use Prices'!$A$6:$A$89,0)+MATCH($D59,'[1]End - Use Prices'!$B$9:$B$11,0)-1,MATCH(BF$1,'[1]End - Use Prices'!$C$7:$AL$7,0))</f>
        <v>30.87</v>
      </c>
      <c r="BG59" s="41">
        <f>INDEX('[1]End - Use Prices'!$C$6:$AL$89,MATCH($C59,'[1]End - Use Prices'!$A$6:$A$89,0)+MATCH($D59,'[1]End - Use Prices'!$B$9:$B$11,0)-1,MATCH(BG$1,'[1]End - Use Prices'!$C$7:$AL$7,0))</f>
        <v>30.82</v>
      </c>
      <c r="BR59" s="39"/>
      <c r="BS59" s="39"/>
      <c r="BT59" s="39"/>
      <c r="BU59" s="39"/>
      <c r="BV59" s="39"/>
      <c r="BW59" s="39"/>
      <c r="BX59" s="39"/>
      <c r="BY59" s="39"/>
      <c r="BZ59" s="39"/>
      <c r="CA59" s="39"/>
    </row>
    <row r="60" spans="1:79" s="39" customFormat="1" x14ac:dyDescent="0.25">
      <c r="A60" s="5"/>
      <c r="B60" s="3"/>
      <c r="C60" s="3"/>
      <c r="D60" s="3"/>
      <c r="E60" s="3"/>
      <c r="F60" s="14"/>
      <c r="G60" s="3"/>
      <c r="H60" s="3"/>
      <c r="I60" s="3"/>
      <c r="J60" s="3"/>
      <c r="K60" s="34"/>
      <c r="L60" s="34"/>
      <c r="M60" s="34"/>
      <c r="N60" s="34"/>
      <c r="O60" s="34"/>
      <c r="P60" s="34"/>
      <c r="Q60" s="34"/>
      <c r="R60" s="38"/>
      <c r="BR60"/>
      <c r="BS60"/>
      <c r="BT60"/>
      <c r="BU60"/>
      <c r="BV60"/>
      <c r="BW60"/>
      <c r="BX60"/>
      <c r="BY60"/>
      <c r="BZ60"/>
      <c r="CA60"/>
    </row>
    <row r="61" spans="1:79" s="39" customFormat="1" x14ac:dyDescent="0.25">
      <c r="A61" s="5"/>
      <c r="B61" s="3"/>
      <c r="C61" s="3"/>
      <c r="D61" s="3"/>
      <c r="E61" s="3"/>
      <c r="F61" s="14"/>
      <c r="G61" s="3"/>
      <c r="H61" s="3"/>
      <c r="I61" s="3"/>
      <c r="J61" s="3"/>
      <c r="K61" s="34"/>
      <c r="L61" s="34"/>
      <c r="M61" s="34"/>
      <c r="N61" s="34"/>
      <c r="O61" s="34"/>
      <c r="P61" s="34"/>
      <c r="Q61" s="34"/>
      <c r="R61" s="38"/>
      <c r="BR61"/>
      <c r="BS61"/>
      <c r="BT61"/>
      <c r="BU61"/>
      <c r="BV61"/>
      <c r="BW61"/>
      <c r="BX61"/>
      <c r="BY61"/>
      <c r="BZ61"/>
      <c r="CA61"/>
    </row>
    <row r="62" spans="1:79" x14ac:dyDescent="0.25">
      <c r="A62" s="5"/>
      <c r="B62" s="64" t="s">
        <v>58</v>
      </c>
      <c r="C62" s="25" t="s">
        <v>48</v>
      </c>
      <c r="D62" s="25" t="s">
        <v>2</v>
      </c>
      <c r="E62" s="25" t="s">
        <v>282</v>
      </c>
      <c r="F62" s="67" t="s">
        <v>279</v>
      </c>
      <c r="G62" s="53">
        <f t="shared" ref="G62:G103" si="11">H62</f>
        <v>28.95</v>
      </c>
      <c r="H62" s="34">
        <f t="shared" ref="H62:O77" si="12">INDEX($S62:$CA62,MATCH(H$1,$S$1:$CA$1,0))</f>
        <v>28.95</v>
      </c>
      <c r="I62" s="34">
        <f t="shared" si="12"/>
        <v>31.32</v>
      </c>
      <c r="J62" s="34">
        <f t="shared" si="12"/>
        <v>34.979999999999997</v>
      </c>
      <c r="K62" s="34">
        <f t="shared" si="12"/>
        <v>38.72</v>
      </c>
      <c r="L62" s="34">
        <f t="shared" si="12"/>
        <v>40.39</v>
      </c>
      <c r="M62" s="34">
        <f t="shared" si="12"/>
        <v>42.26</v>
      </c>
      <c r="N62" s="34">
        <f t="shared" si="12"/>
        <v>43.98</v>
      </c>
      <c r="O62" s="34">
        <f t="shared" si="12"/>
        <v>45.58</v>
      </c>
      <c r="P62" s="53">
        <f t="shared" ref="P62:Q81" si="13">O62</f>
        <v>45.58</v>
      </c>
      <c r="Q62" s="53">
        <f t="shared" si="13"/>
        <v>45.58</v>
      </c>
      <c r="R62" s="38"/>
      <c r="X62" s="41">
        <f>INDEX('[1]End - Use Prices'!$C$6:$AL$89,MATCH($C62,'[1]End - Use Prices'!$A$6:$A$89,0)+MATCH($D62,'[1]End - Use Prices'!$B$9:$B$11,0)-1,MATCH(X$1,'[1]End - Use Prices'!$C$7:$AL$7,0))</f>
        <v>28.95</v>
      </c>
      <c r="Y62" s="41">
        <f>INDEX('[1]End - Use Prices'!$C$6:$AL$89,MATCH($C62,'[1]End - Use Prices'!$A$6:$A$89,0)+MATCH($D62,'[1]End - Use Prices'!$B$9:$B$11,0)-1,MATCH(Y$1,'[1]End - Use Prices'!$C$7:$AL$7,0))</f>
        <v>32.35</v>
      </c>
      <c r="Z62" s="41">
        <f>INDEX('[1]End - Use Prices'!$C$6:$AL$89,MATCH($C62,'[1]End - Use Prices'!$A$6:$A$89,0)+MATCH($D62,'[1]End - Use Prices'!$B$9:$B$11,0)-1,MATCH(Z$1,'[1]End - Use Prices'!$C$7:$AL$7,0))</f>
        <v>31.56</v>
      </c>
      <c r="AA62" s="41">
        <f>INDEX('[1]End - Use Prices'!$C$6:$AL$89,MATCH($C62,'[1]End - Use Prices'!$A$6:$A$89,0)+MATCH($D62,'[1]End - Use Prices'!$B$9:$B$11,0)-1,MATCH(AA$1,'[1]End - Use Prices'!$C$7:$AL$7,0))</f>
        <v>30.57</v>
      </c>
      <c r="AB62" s="41">
        <f>INDEX('[1]End - Use Prices'!$C$6:$AL$89,MATCH($C62,'[1]End - Use Prices'!$A$6:$A$89,0)+MATCH($D62,'[1]End - Use Prices'!$B$9:$B$11,0)-1,MATCH(AB$1,'[1]End - Use Prices'!$C$7:$AL$7,0))</f>
        <v>31.64</v>
      </c>
      <c r="AC62" s="41">
        <f>INDEX('[1]End - Use Prices'!$C$6:$AL$89,MATCH($C62,'[1]End - Use Prices'!$A$6:$A$89,0)+MATCH($D62,'[1]End - Use Prices'!$B$9:$B$11,0)-1,MATCH(AC$1,'[1]End - Use Prices'!$C$7:$AL$7,0))</f>
        <v>31.32</v>
      </c>
      <c r="AD62" s="41">
        <f>INDEX('[1]End - Use Prices'!$C$6:$AL$89,MATCH($C62,'[1]End - Use Prices'!$A$6:$A$89,0)+MATCH($D62,'[1]End - Use Prices'!$B$9:$B$11,0)-1,MATCH(AD$1,'[1]End - Use Prices'!$C$7:$AL$7,0))</f>
        <v>32.659999999999997</v>
      </c>
      <c r="AE62" s="41">
        <f>INDEX('[1]End - Use Prices'!$C$6:$AL$89,MATCH($C62,'[1]End - Use Prices'!$A$6:$A$89,0)+MATCH($D62,'[1]End - Use Prices'!$B$9:$B$11,0)-1,MATCH(AE$1,'[1]End - Use Prices'!$C$7:$AL$7,0))</f>
        <v>32.83</v>
      </c>
      <c r="AF62" s="41">
        <f>INDEX('[1]End - Use Prices'!$C$6:$AL$89,MATCH($C62,'[1]End - Use Prices'!$A$6:$A$89,0)+MATCH($D62,'[1]End - Use Prices'!$B$9:$B$11,0)-1,MATCH(AF$1,'[1]End - Use Prices'!$C$7:$AL$7,0))</f>
        <v>32.92</v>
      </c>
      <c r="AG62" s="41">
        <f>INDEX('[1]End - Use Prices'!$C$6:$AL$89,MATCH($C62,'[1]End - Use Prices'!$A$6:$A$89,0)+MATCH($D62,'[1]End - Use Prices'!$B$9:$B$11,0)-1,MATCH(AG$1,'[1]End - Use Prices'!$C$7:$AL$7,0))</f>
        <v>33.6</v>
      </c>
      <c r="AH62" s="41">
        <f>INDEX('[1]End - Use Prices'!$C$6:$AL$89,MATCH($C62,'[1]End - Use Prices'!$A$6:$A$89,0)+MATCH($D62,'[1]End - Use Prices'!$B$9:$B$11,0)-1,MATCH(AH$1,'[1]End - Use Prices'!$C$7:$AL$7,0))</f>
        <v>34.979999999999997</v>
      </c>
      <c r="AI62" s="41">
        <f>INDEX('[1]End - Use Prices'!$C$6:$AL$89,MATCH($C62,'[1]End - Use Prices'!$A$6:$A$89,0)+MATCH($D62,'[1]End - Use Prices'!$B$9:$B$11,0)-1,MATCH(AI$1,'[1]End - Use Prices'!$C$7:$AL$7,0))</f>
        <v>37.61</v>
      </c>
      <c r="AJ62" s="41">
        <f>INDEX('[1]End - Use Prices'!$C$6:$AL$89,MATCH($C62,'[1]End - Use Prices'!$A$6:$A$89,0)+MATCH($D62,'[1]End - Use Prices'!$B$9:$B$11,0)-1,MATCH(AJ$1,'[1]End - Use Prices'!$C$7:$AL$7,0))</f>
        <v>37.65</v>
      </c>
      <c r="AK62" s="41">
        <f>INDEX('[1]End - Use Prices'!$C$6:$AL$89,MATCH($C62,'[1]End - Use Prices'!$A$6:$A$89,0)+MATCH($D62,'[1]End - Use Prices'!$B$9:$B$11,0)-1,MATCH(AK$1,'[1]End - Use Prices'!$C$7:$AL$7,0))</f>
        <v>38.03</v>
      </c>
      <c r="AL62" s="41">
        <f>INDEX('[1]End - Use Prices'!$C$6:$AL$89,MATCH($C62,'[1]End - Use Prices'!$A$6:$A$89,0)+MATCH($D62,'[1]End - Use Prices'!$B$9:$B$11,0)-1,MATCH(AL$1,'[1]End - Use Prices'!$C$7:$AL$7,0))</f>
        <v>38.380000000000003</v>
      </c>
      <c r="AM62" s="41">
        <f>INDEX('[1]End - Use Prices'!$C$6:$AL$89,MATCH($C62,'[1]End - Use Prices'!$A$6:$A$89,0)+MATCH($D62,'[1]End - Use Prices'!$B$9:$B$11,0)-1,MATCH(AM$1,'[1]End - Use Prices'!$C$7:$AL$7,0))</f>
        <v>38.72</v>
      </c>
      <c r="AN62" s="41">
        <f>INDEX('[1]End - Use Prices'!$C$6:$AL$89,MATCH($C62,'[1]End - Use Prices'!$A$6:$A$89,0)+MATCH($D62,'[1]End - Use Prices'!$B$9:$B$11,0)-1,MATCH(AN$1,'[1]End - Use Prices'!$C$7:$AL$7,0))</f>
        <v>39.04</v>
      </c>
      <c r="AO62" s="41">
        <f>INDEX('[1]End - Use Prices'!$C$6:$AL$89,MATCH($C62,'[1]End - Use Prices'!$A$6:$A$89,0)+MATCH($D62,'[1]End - Use Prices'!$B$9:$B$11,0)-1,MATCH(AO$1,'[1]End - Use Prices'!$C$7:$AL$7,0))</f>
        <v>39.36</v>
      </c>
      <c r="AP62" s="41">
        <f>INDEX('[1]End - Use Prices'!$C$6:$AL$89,MATCH($C62,'[1]End - Use Prices'!$A$6:$A$89,0)+MATCH($D62,'[1]End - Use Prices'!$B$9:$B$11,0)-1,MATCH(AP$1,'[1]End - Use Prices'!$C$7:$AL$7,0))</f>
        <v>39.69</v>
      </c>
      <c r="AQ62" s="41">
        <f>INDEX('[1]End - Use Prices'!$C$6:$AL$89,MATCH($C62,'[1]End - Use Prices'!$A$6:$A$89,0)+MATCH($D62,'[1]End - Use Prices'!$B$9:$B$11,0)-1,MATCH(AQ$1,'[1]End - Use Prices'!$C$7:$AL$7,0))</f>
        <v>40.020000000000003</v>
      </c>
      <c r="AR62" s="41">
        <f>INDEX('[1]End - Use Prices'!$C$6:$AL$89,MATCH($C62,'[1]End - Use Prices'!$A$6:$A$89,0)+MATCH($D62,'[1]End - Use Prices'!$B$9:$B$11,0)-1,MATCH(AR$1,'[1]End - Use Prices'!$C$7:$AL$7,0))</f>
        <v>40.39</v>
      </c>
      <c r="AS62" s="41">
        <f>INDEX('[1]End - Use Prices'!$C$6:$AL$89,MATCH($C62,'[1]End - Use Prices'!$A$6:$A$89,0)+MATCH($D62,'[1]End - Use Prices'!$B$9:$B$11,0)-1,MATCH(AS$1,'[1]End - Use Prices'!$C$7:$AL$7,0))</f>
        <v>40.74</v>
      </c>
      <c r="AT62" s="41">
        <f>INDEX('[1]End - Use Prices'!$C$6:$AL$89,MATCH($C62,'[1]End - Use Prices'!$A$6:$A$89,0)+MATCH($D62,'[1]End - Use Prices'!$B$9:$B$11,0)-1,MATCH(AT$1,'[1]End - Use Prices'!$C$7:$AL$7,0))</f>
        <v>41.1</v>
      </c>
      <c r="AU62" s="41">
        <f>INDEX('[1]End - Use Prices'!$C$6:$AL$89,MATCH($C62,'[1]End - Use Prices'!$A$6:$A$89,0)+MATCH($D62,'[1]End - Use Prices'!$B$9:$B$11,0)-1,MATCH(AU$1,'[1]End - Use Prices'!$C$7:$AL$7,0))</f>
        <v>41.49</v>
      </c>
      <c r="AV62" s="41">
        <f>INDEX('[1]End - Use Prices'!$C$6:$AL$89,MATCH($C62,'[1]End - Use Prices'!$A$6:$A$89,0)+MATCH($D62,'[1]End - Use Prices'!$B$9:$B$11,0)-1,MATCH(AV$1,'[1]End - Use Prices'!$C$7:$AL$7,0))</f>
        <v>41.88</v>
      </c>
      <c r="AW62" s="41">
        <f>INDEX('[1]End - Use Prices'!$C$6:$AL$89,MATCH($C62,'[1]End - Use Prices'!$A$6:$A$89,0)+MATCH($D62,'[1]End - Use Prices'!$B$9:$B$11,0)-1,MATCH(AW$1,'[1]End - Use Prices'!$C$7:$AL$7,0))</f>
        <v>42.26</v>
      </c>
      <c r="AX62" s="41">
        <f>INDEX('[1]End - Use Prices'!$C$6:$AL$89,MATCH($C62,'[1]End - Use Prices'!$A$6:$A$89,0)+MATCH($D62,'[1]End - Use Prices'!$B$9:$B$11,0)-1,MATCH(AX$1,'[1]End - Use Prices'!$C$7:$AL$7,0))</f>
        <v>42.62</v>
      </c>
      <c r="AY62" s="41">
        <f>INDEX('[1]End - Use Prices'!$C$6:$AL$89,MATCH($C62,'[1]End - Use Prices'!$A$6:$A$89,0)+MATCH($D62,'[1]End - Use Prices'!$B$9:$B$11,0)-1,MATCH(AY$1,'[1]End - Use Prices'!$C$7:$AL$7,0))</f>
        <v>42.97</v>
      </c>
      <c r="AZ62" s="41">
        <f>INDEX('[1]End - Use Prices'!$C$6:$AL$89,MATCH($C62,'[1]End - Use Prices'!$A$6:$A$89,0)+MATCH($D62,'[1]End - Use Prices'!$B$9:$B$11,0)-1,MATCH(AZ$1,'[1]End - Use Prices'!$C$7:$AL$7,0))</f>
        <v>43.31</v>
      </c>
      <c r="BA62" s="41">
        <f>INDEX('[1]End - Use Prices'!$C$6:$AL$89,MATCH($C62,'[1]End - Use Prices'!$A$6:$A$89,0)+MATCH($D62,'[1]End - Use Prices'!$B$9:$B$11,0)-1,MATCH(BA$1,'[1]End - Use Prices'!$C$7:$AL$7,0))</f>
        <v>43.65</v>
      </c>
      <c r="BB62" s="41">
        <f>INDEX('[1]End - Use Prices'!$C$6:$AL$89,MATCH($C62,'[1]End - Use Prices'!$A$6:$A$89,0)+MATCH($D62,'[1]End - Use Prices'!$B$9:$B$11,0)-1,MATCH(BB$1,'[1]End - Use Prices'!$C$7:$AL$7,0))</f>
        <v>43.98</v>
      </c>
      <c r="BC62" s="41">
        <f>INDEX('[1]End - Use Prices'!$C$6:$AL$89,MATCH($C62,'[1]End - Use Prices'!$A$6:$A$89,0)+MATCH($D62,'[1]End - Use Prices'!$B$9:$B$11,0)-1,MATCH(BC$1,'[1]End - Use Prices'!$C$7:$AL$7,0))</f>
        <v>44.31</v>
      </c>
      <c r="BD62" s="41">
        <f>INDEX('[1]End - Use Prices'!$C$6:$AL$89,MATCH($C62,'[1]End - Use Prices'!$A$6:$A$89,0)+MATCH($D62,'[1]End - Use Prices'!$B$9:$B$11,0)-1,MATCH(BD$1,'[1]End - Use Prices'!$C$7:$AL$7,0))</f>
        <v>44.63</v>
      </c>
      <c r="BE62" s="41">
        <f>INDEX('[1]End - Use Prices'!$C$6:$AL$89,MATCH($C62,'[1]End - Use Prices'!$A$6:$A$89,0)+MATCH($D62,'[1]End - Use Prices'!$B$9:$B$11,0)-1,MATCH(BE$1,'[1]End - Use Prices'!$C$7:$AL$7,0))</f>
        <v>44.95</v>
      </c>
      <c r="BF62" s="41">
        <f>INDEX('[1]End - Use Prices'!$C$6:$AL$89,MATCH($C62,'[1]End - Use Prices'!$A$6:$A$89,0)+MATCH($D62,'[1]End - Use Prices'!$B$9:$B$11,0)-1,MATCH(BF$1,'[1]End - Use Prices'!$C$7:$AL$7,0))</f>
        <v>45.27</v>
      </c>
      <c r="BG62" s="41">
        <f>INDEX('[1]End - Use Prices'!$C$6:$AL$89,MATCH($C62,'[1]End - Use Prices'!$A$6:$A$89,0)+MATCH($D62,'[1]End - Use Prices'!$B$9:$B$11,0)-1,MATCH(BG$1,'[1]End - Use Prices'!$C$7:$AL$7,0))</f>
        <v>45.58</v>
      </c>
      <c r="BR62" s="39"/>
      <c r="BS62" s="39"/>
      <c r="BT62" s="39"/>
      <c r="BU62" s="39"/>
      <c r="BV62" s="39"/>
      <c r="BW62" s="39"/>
      <c r="BX62" s="39"/>
      <c r="BY62" s="39"/>
      <c r="BZ62" s="39"/>
      <c r="CA62" s="39"/>
    </row>
    <row r="63" spans="1:79" x14ac:dyDescent="0.25">
      <c r="A63" s="5"/>
      <c r="B63" s="3"/>
      <c r="C63" s="25" t="s">
        <v>85</v>
      </c>
      <c r="D63" s="25" t="s">
        <v>2</v>
      </c>
      <c r="E63" s="25" t="s">
        <v>282</v>
      </c>
      <c r="F63" s="67" t="s">
        <v>279</v>
      </c>
      <c r="G63" s="53">
        <f t="shared" si="11"/>
        <v>34.03</v>
      </c>
      <c r="H63" s="34">
        <f t="shared" si="12"/>
        <v>34.03</v>
      </c>
      <c r="I63" s="34">
        <f t="shared" si="12"/>
        <v>38.9</v>
      </c>
      <c r="J63" s="34">
        <f t="shared" si="12"/>
        <v>39.4</v>
      </c>
      <c r="K63" s="34">
        <f t="shared" si="12"/>
        <v>45.24</v>
      </c>
      <c r="L63" s="34">
        <f t="shared" si="12"/>
        <v>48</v>
      </c>
      <c r="M63" s="34">
        <f t="shared" si="12"/>
        <v>50.03</v>
      </c>
      <c r="N63" s="34">
        <f t="shared" si="12"/>
        <v>52.14</v>
      </c>
      <c r="O63" s="34">
        <f t="shared" si="12"/>
        <v>55.17</v>
      </c>
      <c r="P63" s="53">
        <f t="shared" si="13"/>
        <v>55.17</v>
      </c>
      <c r="Q63" s="53">
        <f t="shared" si="13"/>
        <v>55.17</v>
      </c>
      <c r="R63" s="38"/>
      <c r="X63" s="41">
        <f>INDEX('[1]End - Use Prices'!$C$6:$AL$89,MATCH($C63,'[1]End - Use Prices'!$A$6:$A$89,0)+MATCH($D63,'[1]End - Use Prices'!$B$9:$B$11,0)-1,MATCH(X$1,'[1]End - Use Prices'!$C$7:$AL$7,0))</f>
        <v>34.03</v>
      </c>
      <c r="Y63" s="41">
        <f>INDEX('[1]End - Use Prices'!$C$6:$AL$89,MATCH($C63,'[1]End - Use Prices'!$A$6:$A$89,0)+MATCH($D63,'[1]End - Use Prices'!$B$9:$B$11,0)-1,MATCH(Y$1,'[1]End - Use Prices'!$C$7:$AL$7,0))</f>
        <v>39.85</v>
      </c>
      <c r="Z63" s="41">
        <f>INDEX('[1]End - Use Prices'!$C$6:$AL$89,MATCH($C63,'[1]End - Use Prices'!$A$6:$A$89,0)+MATCH($D63,'[1]End - Use Prices'!$B$9:$B$11,0)-1,MATCH(Z$1,'[1]End - Use Prices'!$C$7:$AL$7,0))</f>
        <v>39.83</v>
      </c>
      <c r="AA63" s="41">
        <f>INDEX('[1]End - Use Prices'!$C$6:$AL$89,MATCH($C63,'[1]End - Use Prices'!$A$6:$A$89,0)+MATCH($D63,'[1]End - Use Prices'!$B$9:$B$11,0)-1,MATCH(AA$1,'[1]End - Use Prices'!$C$7:$AL$7,0))</f>
        <v>37.99</v>
      </c>
      <c r="AB63" s="41">
        <f>INDEX('[1]End - Use Prices'!$C$6:$AL$89,MATCH($C63,'[1]End - Use Prices'!$A$6:$A$89,0)+MATCH($D63,'[1]End - Use Prices'!$B$9:$B$11,0)-1,MATCH(AB$1,'[1]End - Use Prices'!$C$7:$AL$7,0))</f>
        <v>41.07</v>
      </c>
      <c r="AC63" s="41">
        <f>INDEX('[1]End - Use Prices'!$C$6:$AL$89,MATCH($C63,'[1]End - Use Prices'!$A$6:$A$89,0)+MATCH($D63,'[1]End - Use Prices'!$B$9:$B$11,0)-1,MATCH(AC$1,'[1]End - Use Prices'!$C$7:$AL$7,0))</f>
        <v>38.9</v>
      </c>
      <c r="AD63" s="41">
        <f>INDEX('[1]End - Use Prices'!$C$6:$AL$89,MATCH($C63,'[1]End - Use Prices'!$A$6:$A$89,0)+MATCH($D63,'[1]End - Use Prices'!$B$9:$B$11,0)-1,MATCH(AD$1,'[1]End - Use Prices'!$C$7:$AL$7,0))</f>
        <v>38.54</v>
      </c>
      <c r="AE63" s="41">
        <f>INDEX('[1]End - Use Prices'!$C$6:$AL$89,MATCH($C63,'[1]End - Use Prices'!$A$6:$A$89,0)+MATCH($D63,'[1]End - Use Prices'!$B$9:$B$11,0)-1,MATCH(AE$1,'[1]End - Use Prices'!$C$7:$AL$7,0))</f>
        <v>40.909999999999997</v>
      </c>
      <c r="AF63" s="41">
        <f>INDEX('[1]End - Use Prices'!$C$6:$AL$89,MATCH($C63,'[1]End - Use Prices'!$A$6:$A$89,0)+MATCH($D63,'[1]End - Use Prices'!$B$9:$B$11,0)-1,MATCH(AF$1,'[1]End - Use Prices'!$C$7:$AL$7,0))</f>
        <v>39.76</v>
      </c>
      <c r="AG63" s="41">
        <f>INDEX('[1]End - Use Prices'!$C$6:$AL$89,MATCH($C63,'[1]End - Use Prices'!$A$6:$A$89,0)+MATCH($D63,'[1]End - Use Prices'!$B$9:$B$11,0)-1,MATCH(AG$1,'[1]End - Use Prices'!$C$7:$AL$7,0))</f>
        <v>38.340000000000003</v>
      </c>
      <c r="AH63" s="41">
        <f>INDEX('[1]End - Use Prices'!$C$6:$AL$89,MATCH($C63,'[1]End - Use Prices'!$A$6:$A$89,0)+MATCH($D63,'[1]End - Use Prices'!$B$9:$B$11,0)-1,MATCH(AH$1,'[1]End - Use Prices'!$C$7:$AL$7,0))</f>
        <v>39.4</v>
      </c>
      <c r="AI63" s="41">
        <f>INDEX('[1]End - Use Prices'!$C$6:$AL$89,MATCH($C63,'[1]End - Use Prices'!$A$6:$A$89,0)+MATCH($D63,'[1]End - Use Prices'!$B$9:$B$11,0)-1,MATCH(AI$1,'[1]End - Use Prices'!$C$7:$AL$7,0))</f>
        <v>40.49</v>
      </c>
      <c r="AJ63" s="41">
        <f>INDEX('[1]End - Use Prices'!$C$6:$AL$89,MATCH($C63,'[1]End - Use Prices'!$A$6:$A$89,0)+MATCH($D63,'[1]End - Use Prices'!$B$9:$B$11,0)-1,MATCH(AJ$1,'[1]End - Use Prices'!$C$7:$AL$7,0))</f>
        <v>42.88</v>
      </c>
      <c r="AK63" s="41">
        <f>INDEX('[1]End - Use Prices'!$C$6:$AL$89,MATCH($C63,'[1]End - Use Prices'!$A$6:$A$89,0)+MATCH($D63,'[1]End - Use Prices'!$B$9:$B$11,0)-1,MATCH(AK$1,'[1]End - Use Prices'!$C$7:$AL$7,0))</f>
        <v>43.74</v>
      </c>
      <c r="AL63" s="41">
        <f>INDEX('[1]End - Use Prices'!$C$6:$AL$89,MATCH($C63,'[1]End - Use Prices'!$A$6:$A$89,0)+MATCH($D63,'[1]End - Use Prices'!$B$9:$B$11,0)-1,MATCH(AL$1,'[1]End - Use Prices'!$C$7:$AL$7,0))</f>
        <v>44.52</v>
      </c>
      <c r="AM63" s="41">
        <f>INDEX('[1]End - Use Prices'!$C$6:$AL$89,MATCH($C63,'[1]End - Use Prices'!$A$6:$A$89,0)+MATCH($D63,'[1]End - Use Prices'!$B$9:$B$11,0)-1,MATCH(AM$1,'[1]End - Use Prices'!$C$7:$AL$7,0))</f>
        <v>45.24</v>
      </c>
      <c r="AN63" s="41">
        <f>INDEX('[1]End - Use Prices'!$C$6:$AL$89,MATCH($C63,'[1]End - Use Prices'!$A$6:$A$89,0)+MATCH($D63,'[1]End - Use Prices'!$B$9:$B$11,0)-1,MATCH(AN$1,'[1]End - Use Prices'!$C$7:$AL$7,0))</f>
        <v>45.89</v>
      </c>
      <c r="AO63" s="41">
        <f>INDEX('[1]End - Use Prices'!$C$6:$AL$89,MATCH($C63,'[1]End - Use Prices'!$A$6:$A$89,0)+MATCH($D63,'[1]End - Use Prices'!$B$9:$B$11,0)-1,MATCH(AO$1,'[1]End - Use Prices'!$C$7:$AL$7,0))</f>
        <v>46.48</v>
      </c>
      <c r="AP63" s="41">
        <f>INDEX('[1]End - Use Prices'!$C$6:$AL$89,MATCH($C63,'[1]End - Use Prices'!$A$6:$A$89,0)+MATCH($D63,'[1]End - Use Prices'!$B$9:$B$11,0)-1,MATCH(AP$1,'[1]End - Use Prices'!$C$7:$AL$7,0))</f>
        <v>47.03</v>
      </c>
      <c r="AQ63" s="41">
        <f>INDEX('[1]End - Use Prices'!$C$6:$AL$89,MATCH($C63,'[1]End - Use Prices'!$A$6:$A$89,0)+MATCH($D63,'[1]End - Use Prices'!$B$9:$B$11,0)-1,MATCH(AQ$1,'[1]End - Use Prices'!$C$7:$AL$7,0))</f>
        <v>47.53</v>
      </c>
      <c r="AR63" s="41">
        <f>INDEX('[1]End - Use Prices'!$C$6:$AL$89,MATCH($C63,'[1]End - Use Prices'!$A$6:$A$89,0)+MATCH($D63,'[1]End - Use Prices'!$B$9:$B$11,0)-1,MATCH(AR$1,'[1]End - Use Prices'!$C$7:$AL$7,0))</f>
        <v>48</v>
      </c>
      <c r="AS63" s="41">
        <f>INDEX('[1]End - Use Prices'!$C$6:$AL$89,MATCH($C63,'[1]End - Use Prices'!$A$6:$A$89,0)+MATCH($D63,'[1]End - Use Prices'!$B$9:$B$11,0)-1,MATCH(AS$1,'[1]End - Use Prices'!$C$7:$AL$7,0))</f>
        <v>48.44</v>
      </c>
      <c r="AT63" s="41">
        <f>INDEX('[1]End - Use Prices'!$C$6:$AL$89,MATCH($C63,'[1]End - Use Prices'!$A$6:$A$89,0)+MATCH($D63,'[1]End - Use Prices'!$B$9:$B$11,0)-1,MATCH(AT$1,'[1]End - Use Prices'!$C$7:$AL$7,0))</f>
        <v>48.85</v>
      </c>
      <c r="AU63" s="41">
        <f>INDEX('[1]End - Use Prices'!$C$6:$AL$89,MATCH($C63,'[1]End - Use Prices'!$A$6:$A$89,0)+MATCH($D63,'[1]End - Use Prices'!$B$9:$B$11,0)-1,MATCH(AU$1,'[1]End - Use Prices'!$C$7:$AL$7,0))</f>
        <v>49.25</v>
      </c>
      <c r="AV63" s="41">
        <f>INDEX('[1]End - Use Prices'!$C$6:$AL$89,MATCH($C63,'[1]End - Use Prices'!$A$6:$A$89,0)+MATCH($D63,'[1]End - Use Prices'!$B$9:$B$11,0)-1,MATCH(AV$1,'[1]End - Use Prices'!$C$7:$AL$7,0))</f>
        <v>49.64</v>
      </c>
      <c r="AW63" s="41">
        <f>INDEX('[1]End - Use Prices'!$C$6:$AL$89,MATCH($C63,'[1]End - Use Prices'!$A$6:$A$89,0)+MATCH($D63,'[1]End - Use Prices'!$B$9:$B$11,0)-1,MATCH(AW$1,'[1]End - Use Prices'!$C$7:$AL$7,0))</f>
        <v>50.03</v>
      </c>
      <c r="AX63" s="41">
        <f>INDEX('[1]End - Use Prices'!$C$6:$AL$89,MATCH($C63,'[1]End - Use Prices'!$A$6:$A$89,0)+MATCH($D63,'[1]End - Use Prices'!$B$9:$B$11,0)-1,MATCH(AX$1,'[1]End - Use Prices'!$C$7:$AL$7,0))</f>
        <v>50.42</v>
      </c>
      <c r="AY63" s="41">
        <f>INDEX('[1]End - Use Prices'!$C$6:$AL$89,MATCH($C63,'[1]End - Use Prices'!$A$6:$A$89,0)+MATCH($D63,'[1]End - Use Prices'!$B$9:$B$11,0)-1,MATCH(AY$1,'[1]End - Use Prices'!$C$7:$AL$7,0))</f>
        <v>50.82</v>
      </c>
      <c r="AZ63" s="41">
        <f>INDEX('[1]End - Use Prices'!$C$6:$AL$89,MATCH($C63,'[1]End - Use Prices'!$A$6:$A$89,0)+MATCH($D63,'[1]End - Use Prices'!$B$9:$B$11,0)-1,MATCH(AZ$1,'[1]End - Use Prices'!$C$7:$AL$7,0))</f>
        <v>51.23</v>
      </c>
      <c r="BA63" s="41">
        <f>INDEX('[1]End - Use Prices'!$C$6:$AL$89,MATCH($C63,'[1]End - Use Prices'!$A$6:$A$89,0)+MATCH($D63,'[1]End - Use Prices'!$B$9:$B$11,0)-1,MATCH(BA$1,'[1]End - Use Prices'!$C$7:$AL$7,0))</f>
        <v>51.67</v>
      </c>
      <c r="BB63" s="41">
        <f>INDEX('[1]End - Use Prices'!$C$6:$AL$89,MATCH($C63,'[1]End - Use Prices'!$A$6:$A$89,0)+MATCH($D63,'[1]End - Use Prices'!$B$9:$B$11,0)-1,MATCH(BB$1,'[1]End - Use Prices'!$C$7:$AL$7,0))</f>
        <v>52.14</v>
      </c>
      <c r="BC63" s="41">
        <f>INDEX('[1]End - Use Prices'!$C$6:$AL$89,MATCH($C63,'[1]End - Use Prices'!$A$6:$A$89,0)+MATCH($D63,'[1]End - Use Prices'!$B$9:$B$11,0)-1,MATCH(BC$1,'[1]End - Use Prices'!$C$7:$AL$7,0))</f>
        <v>52.65</v>
      </c>
      <c r="BD63" s="41">
        <f>INDEX('[1]End - Use Prices'!$C$6:$AL$89,MATCH($C63,'[1]End - Use Prices'!$A$6:$A$89,0)+MATCH($D63,'[1]End - Use Prices'!$B$9:$B$11,0)-1,MATCH(BD$1,'[1]End - Use Prices'!$C$7:$AL$7,0))</f>
        <v>53.2</v>
      </c>
      <c r="BE63" s="41">
        <f>INDEX('[1]End - Use Prices'!$C$6:$AL$89,MATCH($C63,'[1]End - Use Prices'!$A$6:$A$89,0)+MATCH($D63,'[1]End - Use Prices'!$B$9:$B$11,0)-1,MATCH(BE$1,'[1]End - Use Prices'!$C$7:$AL$7,0))</f>
        <v>53.8</v>
      </c>
      <c r="BF63" s="41">
        <f>INDEX('[1]End - Use Prices'!$C$6:$AL$89,MATCH($C63,'[1]End - Use Prices'!$A$6:$A$89,0)+MATCH($D63,'[1]End - Use Prices'!$B$9:$B$11,0)-1,MATCH(BF$1,'[1]End - Use Prices'!$C$7:$AL$7,0))</f>
        <v>54.45</v>
      </c>
      <c r="BG63" s="41">
        <f>INDEX('[1]End - Use Prices'!$C$6:$AL$89,MATCH($C63,'[1]End - Use Prices'!$A$6:$A$89,0)+MATCH($D63,'[1]End - Use Prices'!$B$9:$B$11,0)-1,MATCH(BG$1,'[1]End - Use Prices'!$C$7:$AL$7,0))</f>
        <v>55.17</v>
      </c>
      <c r="BR63" s="39"/>
      <c r="BS63" s="39"/>
      <c r="BT63" s="39"/>
      <c r="BU63" s="39"/>
      <c r="BV63" s="39"/>
      <c r="BW63" s="39"/>
      <c r="BX63" s="39"/>
      <c r="BY63" s="39"/>
      <c r="BZ63" s="39"/>
      <c r="CA63" s="39"/>
    </row>
    <row r="64" spans="1:79" x14ac:dyDescent="0.25">
      <c r="A64" s="5"/>
      <c r="B64" s="3"/>
      <c r="C64" s="25" t="s">
        <v>86</v>
      </c>
      <c r="D64" s="25" t="s">
        <v>2</v>
      </c>
      <c r="E64" s="25" t="s">
        <v>282</v>
      </c>
      <c r="F64" s="67" t="s">
        <v>279</v>
      </c>
      <c r="G64" s="53">
        <f t="shared" si="11"/>
        <v>41.51</v>
      </c>
      <c r="H64" s="34">
        <f t="shared" si="12"/>
        <v>41.51</v>
      </c>
      <c r="I64" s="34">
        <f t="shared" si="12"/>
        <v>50.51</v>
      </c>
      <c r="J64" s="34">
        <f t="shared" si="12"/>
        <v>53.64</v>
      </c>
      <c r="K64" s="34">
        <f t="shared" si="12"/>
        <v>55.52</v>
      </c>
      <c r="L64" s="34">
        <f t="shared" si="12"/>
        <v>56.42</v>
      </c>
      <c r="M64" s="34">
        <f t="shared" si="12"/>
        <v>57.35</v>
      </c>
      <c r="N64" s="34">
        <f t="shared" si="12"/>
        <v>58.28</v>
      </c>
      <c r="O64" s="34">
        <f t="shared" si="12"/>
        <v>59.23</v>
      </c>
      <c r="P64" s="53">
        <f t="shared" si="13"/>
        <v>59.23</v>
      </c>
      <c r="Q64" s="53">
        <f t="shared" si="13"/>
        <v>59.23</v>
      </c>
      <c r="R64" s="38"/>
      <c r="X64" s="41">
        <f>INDEX('[1]End - Use Prices'!$C$6:$AL$89,MATCH($C64,'[1]End - Use Prices'!$A$6:$A$89,0)+MATCH($D64,'[1]End - Use Prices'!$B$9:$B$11,0)-1,MATCH(X$1,'[1]End - Use Prices'!$C$7:$AL$7,0))</f>
        <v>41.51</v>
      </c>
      <c r="Y64" s="41">
        <f>INDEX('[1]End - Use Prices'!$C$6:$AL$89,MATCH($C64,'[1]End - Use Prices'!$A$6:$A$89,0)+MATCH($D64,'[1]End - Use Prices'!$B$9:$B$11,0)-1,MATCH(Y$1,'[1]End - Use Prices'!$C$7:$AL$7,0))</f>
        <v>42.42</v>
      </c>
      <c r="Z64" s="41">
        <f>INDEX('[1]End - Use Prices'!$C$6:$AL$89,MATCH($C64,'[1]End - Use Prices'!$A$6:$A$89,0)+MATCH($D64,'[1]End - Use Prices'!$B$9:$B$11,0)-1,MATCH(Z$1,'[1]End - Use Prices'!$C$7:$AL$7,0))</f>
        <v>44.58</v>
      </c>
      <c r="AA64" s="41">
        <f>INDEX('[1]End - Use Prices'!$C$6:$AL$89,MATCH($C64,'[1]End - Use Prices'!$A$6:$A$89,0)+MATCH($D64,'[1]End - Use Prices'!$B$9:$B$11,0)-1,MATCH(AA$1,'[1]End - Use Prices'!$C$7:$AL$7,0))</f>
        <v>46.56</v>
      </c>
      <c r="AB64" s="41">
        <f>INDEX('[1]End - Use Prices'!$C$6:$AL$89,MATCH($C64,'[1]End - Use Prices'!$A$6:$A$89,0)+MATCH($D64,'[1]End - Use Prices'!$B$9:$B$11,0)-1,MATCH(AB$1,'[1]End - Use Prices'!$C$7:$AL$7,0))</f>
        <v>55.63</v>
      </c>
      <c r="AC64" s="41">
        <f>INDEX('[1]End - Use Prices'!$C$6:$AL$89,MATCH($C64,'[1]End - Use Prices'!$A$6:$A$89,0)+MATCH($D64,'[1]End - Use Prices'!$B$9:$B$11,0)-1,MATCH(AC$1,'[1]End - Use Prices'!$C$7:$AL$7,0))</f>
        <v>50.51</v>
      </c>
      <c r="AD64" s="41">
        <f>INDEX('[1]End - Use Prices'!$C$6:$AL$89,MATCH($C64,'[1]End - Use Prices'!$A$6:$A$89,0)+MATCH($D64,'[1]End - Use Prices'!$B$9:$B$11,0)-1,MATCH(AD$1,'[1]End - Use Prices'!$C$7:$AL$7,0))</f>
        <v>43.95</v>
      </c>
      <c r="AE64" s="41">
        <f>INDEX('[1]End - Use Prices'!$C$6:$AL$89,MATCH($C64,'[1]End - Use Prices'!$A$6:$A$89,0)+MATCH($D64,'[1]End - Use Prices'!$B$9:$B$11,0)-1,MATCH(AE$1,'[1]End - Use Prices'!$C$7:$AL$7,0))</f>
        <v>43.43</v>
      </c>
      <c r="AF64" s="41">
        <f>INDEX('[1]End - Use Prices'!$C$6:$AL$89,MATCH($C64,'[1]End - Use Prices'!$A$6:$A$89,0)+MATCH($D64,'[1]End - Use Prices'!$B$9:$B$11,0)-1,MATCH(AF$1,'[1]End - Use Prices'!$C$7:$AL$7,0))</f>
        <v>50.61</v>
      </c>
      <c r="AG64" s="41">
        <f>INDEX('[1]End - Use Prices'!$C$6:$AL$89,MATCH($C64,'[1]End - Use Prices'!$A$6:$A$89,0)+MATCH($D64,'[1]End - Use Prices'!$B$9:$B$11,0)-1,MATCH(AG$1,'[1]End - Use Prices'!$C$7:$AL$7,0))</f>
        <v>51.93</v>
      </c>
      <c r="AH64" s="41">
        <f>INDEX('[1]End - Use Prices'!$C$6:$AL$89,MATCH($C64,'[1]End - Use Prices'!$A$6:$A$89,0)+MATCH($D64,'[1]End - Use Prices'!$B$9:$B$11,0)-1,MATCH(AH$1,'[1]End - Use Prices'!$C$7:$AL$7,0))</f>
        <v>53.64</v>
      </c>
      <c r="AI64" s="41">
        <f>INDEX('[1]End - Use Prices'!$C$6:$AL$89,MATCH($C64,'[1]End - Use Prices'!$A$6:$A$89,0)+MATCH($D64,'[1]End - Use Prices'!$B$9:$B$11,0)-1,MATCH(AI$1,'[1]End - Use Prices'!$C$7:$AL$7,0))</f>
        <v>54.8</v>
      </c>
      <c r="AJ64" s="41">
        <f>INDEX('[1]End - Use Prices'!$C$6:$AL$89,MATCH($C64,'[1]End - Use Prices'!$A$6:$A$89,0)+MATCH($D64,'[1]End - Use Prices'!$B$9:$B$11,0)-1,MATCH(AJ$1,'[1]End - Use Prices'!$C$7:$AL$7,0))</f>
        <v>54.98</v>
      </c>
      <c r="AK64" s="41">
        <f>INDEX('[1]End - Use Prices'!$C$6:$AL$89,MATCH($C64,'[1]End - Use Prices'!$A$6:$A$89,0)+MATCH($D64,'[1]End - Use Prices'!$B$9:$B$11,0)-1,MATCH(AK$1,'[1]End - Use Prices'!$C$7:$AL$7,0))</f>
        <v>55.16</v>
      </c>
      <c r="AL64" s="41">
        <f>INDEX('[1]End - Use Prices'!$C$6:$AL$89,MATCH($C64,'[1]End - Use Prices'!$A$6:$A$89,0)+MATCH($D64,'[1]End - Use Prices'!$B$9:$B$11,0)-1,MATCH(AL$1,'[1]End - Use Prices'!$C$7:$AL$7,0))</f>
        <v>55.34</v>
      </c>
      <c r="AM64" s="41">
        <f>INDEX('[1]End - Use Prices'!$C$6:$AL$89,MATCH($C64,'[1]End - Use Prices'!$A$6:$A$89,0)+MATCH($D64,'[1]End - Use Prices'!$B$9:$B$11,0)-1,MATCH(AM$1,'[1]End - Use Prices'!$C$7:$AL$7,0))</f>
        <v>55.52</v>
      </c>
      <c r="AN64" s="41">
        <f>INDEX('[1]End - Use Prices'!$C$6:$AL$89,MATCH($C64,'[1]End - Use Prices'!$A$6:$A$89,0)+MATCH($D64,'[1]End - Use Prices'!$B$9:$B$11,0)-1,MATCH(AN$1,'[1]End - Use Prices'!$C$7:$AL$7,0))</f>
        <v>55.7</v>
      </c>
      <c r="AO64" s="41">
        <f>INDEX('[1]End - Use Prices'!$C$6:$AL$89,MATCH($C64,'[1]End - Use Prices'!$A$6:$A$89,0)+MATCH($D64,'[1]End - Use Prices'!$B$9:$B$11,0)-1,MATCH(AO$1,'[1]End - Use Prices'!$C$7:$AL$7,0))</f>
        <v>55.88</v>
      </c>
      <c r="AP64" s="41">
        <f>INDEX('[1]End - Use Prices'!$C$6:$AL$89,MATCH($C64,'[1]End - Use Prices'!$A$6:$A$89,0)+MATCH($D64,'[1]End - Use Prices'!$B$9:$B$11,0)-1,MATCH(AP$1,'[1]End - Use Prices'!$C$7:$AL$7,0))</f>
        <v>56.06</v>
      </c>
      <c r="AQ64" s="41">
        <f>INDEX('[1]End - Use Prices'!$C$6:$AL$89,MATCH($C64,'[1]End - Use Prices'!$A$6:$A$89,0)+MATCH($D64,'[1]End - Use Prices'!$B$9:$B$11,0)-1,MATCH(AQ$1,'[1]End - Use Prices'!$C$7:$AL$7,0))</f>
        <v>56.24</v>
      </c>
      <c r="AR64" s="41">
        <f>INDEX('[1]End - Use Prices'!$C$6:$AL$89,MATCH($C64,'[1]End - Use Prices'!$A$6:$A$89,0)+MATCH($D64,'[1]End - Use Prices'!$B$9:$B$11,0)-1,MATCH(AR$1,'[1]End - Use Prices'!$C$7:$AL$7,0))</f>
        <v>56.42</v>
      </c>
      <c r="AS64" s="41">
        <f>INDEX('[1]End - Use Prices'!$C$6:$AL$89,MATCH($C64,'[1]End - Use Prices'!$A$6:$A$89,0)+MATCH($D64,'[1]End - Use Prices'!$B$9:$B$11,0)-1,MATCH(AS$1,'[1]End - Use Prices'!$C$7:$AL$7,0))</f>
        <v>56.61</v>
      </c>
      <c r="AT64" s="41">
        <f>INDEX('[1]End - Use Prices'!$C$6:$AL$89,MATCH($C64,'[1]End - Use Prices'!$A$6:$A$89,0)+MATCH($D64,'[1]End - Use Prices'!$B$9:$B$11,0)-1,MATCH(AT$1,'[1]End - Use Prices'!$C$7:$AL$7,0))</f>
        <v>56.79</v>
      </c>
      <c r="AU64" s="41">
        <f>INDEX('[1]End - Use Prices'!$C$6:$AL$89,MATCH($C64,'[1]End - Use Prices'!$A$6:$A$89,0)+MATCH($D64,'[1]End - Use Prices'!$B$9:$B$11,0)-1,MATCH(AU$1,'[1]End - Use Prices'!$C$7:$AL$7,0))</f>
        <v>56.97</v>
      </c>
      <c r="AV64" s="41">
        <f>INDEX('[1]End - Use Prices'!$C$6:$AL$89,MATCH($C64,'[1]End - Use Prices'!$A$6:$A$89,0)+MATCH($D64,'[1]End - Use Prices'!$B$9:$B$11,0)-1,MATCH(AV$1,'[1]End - Use Prices'!$C$7:$AL$7,0))</f>
        <v>57.16</v>
      </c>
      <c r="AW64" s="41">
        <f>INDEX('[1]End - Use Prices'!$C$6:$AL$89,MATCH($C64,'[1]End - Use Prices'!$A$6:$A$89,0)+MATCH($D64,'[1]End - Use Prices'!$B$9:$B$11,0)-1,MATCH(AW$1,'[1]End - Use Prices'!$C$7:$AL$7,0))</f>
        <v>57.35</v>
      </c>
      <c r="AX64" s="41">
        <f>INDEX('[1]End - Use Prices'!$C$6:$AL$89,MATCH($C64,'[1]End - Use Prices'!$A$6:$A$89,0)+MATCH($D64,'[1]End - Use Prices'!$B$9:$B$11,0)-1,MATCH(AX$1,'[1]End - Use Prices'!$C$7:$AL$7,0))</f>
        <v>57.53</v>
      </c>
      <c r="AY64" s="41">
        <f>INDEX('[1]End - Use Prices'!$C$6:$AL$89,MATCH($C64,'[1]End - Use Prices'!$A$6:$A$89,0)+MATCH($D64,'[1]End - Use Prices'!$B$9:$B$11,0)-1,MATCH(AY$1,'[1]End - Use Prices'!$C$7:$AL$7,0))</f>
        <v>57.72</v>
      </c>
      <c r="AZ64" s="41">
        <f>INDEX('[1]End - Use Prices'!$C$6:$AL$89,MATCH($C64,'[1]End - Use Prices'!$A$6:$A$89,0)+MATCH($D64,'[1]End - Use Prices'!$B$9:$B$11,0)-1,MATCH(AZ$1,'[1]End - Use Prices'!$C$7:$AL$7,0))</f>
        <v>57.91</v>
      </c>
      <c r="BA64" s="41">
        <f>INDEX('[1]End - Use Prices'!$C$6:$AL$89,MATCH($C64,'[1]End - Use Prices'!$A$6:$A$89,0)+MATCH($D64,'[1]End - Use Prices'!$B$9:$B$11,0)-1,MATCH(BA$1,'[1]End - Use Prices'!$C$7:$AL$7,0))</f>
        <v>58.09</v>
      </c>
      <c r="BB64" s="41">
        <f>INDEX('[1]End - Use Prices'!$C$6:$AL$89,MATCH($C64,'[1]End - Use Prices'!$A$6:$A$89,0)+MATCH($D64,'[1]End - Use Prices'!$B$9:$B$11,0)-1,MATCH(BB$1,'[1]End - Use Prices'!$C$7:$AL$7,0))</f>
        <v>58.28</v>
      </c>
      <c r="BC64" s="41">
        <f>INDEX('[1]End - Use Prices'!$C$6:$AL$89,MATCH($C64,'[1]End - Use Prices'!$A$6:$A$89,0)+MATCH($D64,'[1]End - Use Prices'!$B$9:$B$11,0)-1,MATCH(BC$1,'[1]End - Use Prices'!$C$7:$AL$7,0))</f>
        <v>58.47</v>
      </c>
      <c r="BD64" s="41">
        <f>INDEX('[1]End - Use Prices'!$C$6:$AL$89,MATCH($C64,'[1]End - Use Prices'!$A$6:$A$89,0)+MATCH($D64,'[1]End - Use Prices'!$B$9:$B$11,0)-1,MATCH(BD$1,'[1]End - Use Prices'!$C$7:$AL$7,0))</f>
        <v>58.66</v>
      </c>
      <c r="BE64" s="41">
        <f>INDEX('[1]End - Use Prices'!$C$6:$AL$89,MATCH($C64,'[1]End - Use Prices'!$A$6:$A$89,0)+MATCH($D64,'[1]End - Use Prices'!$B$9:$B$11,0)-1,MATCH(BE$1,'[1]End - Use Prices'!$C$7:$AL$7,0))</f>
        <v>58.85</v>
      </c>
      <c r="BF64" s="41">
        <f>INDEX('[1]End - Use Prices'!$C$6:$AL$89,MATCH($C64,'[1]End - Use Prices'!$A$6:$A$89,0)+MATCH($D64,'[1]End - Use Prices'!$B$9:$B$11,0)-1,MATCH(BF$1,'[1]End - Use Prices'!$C$7:$AL$7,0))</f>
        <v>59.04</v>
      </c>
      <c r="BG64" s="41">
        <f>INDEX('[1]End - Use Prices'!$C$6:$AL$89,MATCH($C64,'[1]End - Use Prices'!$A$6:$A$89,0)+MATCH($D64,'[1]End - Use Prices'!$B$9:$B$11,0)-1,MATCH(BG$1,'[1]End - Use Prices'!$C$7:$AL$7,0))</f>
        <v>59.23</v>
      </c>
      <c r="BR64" s="39"/>
      <c r="BS64" s="39"/>
      <c r="BT64" s="39"/>
      <c r="BU64" s="39"/>
      <c r="BV64" s="39"/>
      <c r="BW64" s="39"/>
      <c r="BX64" s="39"/>
      <c r="BY64" s="39"/>
      <c r="BZ64" s="39"/>
      <c r="CA64" s="39"/>
    </row>
    <row r="65" spans="1:79" x14ac:dyDescent="0.25">
      <c r="A65" s="5"/>
      <c r="B65" s="3"/>
      <c r="C65" s="25" t="s">
        <v>87</v>
      </c>
      <c r="D65" s="25" t="s">
        <v>2</v>
      </c>
      <c r="E65" s="25" t="s">
        <v>282</v>
      </c>
      <c r="F65" s="67" t="s">
        <v>279</v>
      </c>
      <c r="G65" s="53">
        <f t="shared" si="11"/>
        <v>37.270000000000003</v>
      </c>
      <c r="H65" s="34">
        <f t="shared" si="12"/>
        <v>37.270000000000003</v>
      </c>
      <c r="I65" s="34">
        <f t="shared" si="12"/>
        <v>40.32</v>
      </c>
      <c r="J65" s="34">
        <f t="shared" si="12"/>
        <v>46.71</v>
      </c>
      <c r="K65" s="34">
        <f t="shared" si="12"/>
        <v>49.31</v>
      </c>
      <c r="L65" s="34">
        <f t="shared" si="12"/>
        <v>53.15</v>
      </c>
      <c r="M65" s="34">
        <f t="shared" si="12"/>
        <v>56.07</v>
      </c>
      <c r="N65" s="34">
        <f t="shared" si="12"/>
        <v>57.94</v>
      </c>
      <c r="O65" s="34">
        <f t="shared" si="12"/>
        <v>58.62</v>
      </c>
      <c r="P65" s="53">
        <f t="shared" si="13"/>
        <v>58.62</v>
      </c>
      <c r="Q65" s="53">
        <f t="shared" si="13"/>
        <v>58.62</v>
      </c>
      <c r="R65" s="38"/>
      <c r="X65" s="41">
        <f>INDEX('[1]End - Use Prices'!$C$6:$AL$89,MATCH($C65,'[1]End - Use Prices'!$A$6:$A$89,0)+MATCH($D65,'[1]End - Use Prices'!$B$9:$B$11,0)-1,MATCH(X$1,'[1]End - Use Prices'!$C$7:$AL$7,0))</f>
        <v>37.270000000000003</v>
      </c>
      <c r="Y65" s="41">
        <f>INDEX('[1]End - Use Prices'!$C$6:$AL$89,MATCH($C65,'[1]End - Use Prices'!$A$6:$A$89,0)+MATCH($D65,'[1]End - Use Prices'!$B$9:$B$11,0)-1,MATCH(Y$1,'[1]End - Use Prices'!$C$7:$AL$7,0))</f>
        <v>41.5</v>
      </c>
      <c r="Z65" s="41">
        <f>INDEX('[1]End - Use Prices'!$C$6:$AL$89,MATCH($C65,'[1]End - Use Prices'!$A$6:$A$89,0)+MATCH($D65,'[1]End - Use Prices'!$B$9:$B$11,0)-1,MATCH(Z$1,'[1]End - Use Prices'!$C$7:$AL$7,0))</f>
        <v>38.799999999999997</v>
      </c>
      <c r="AA65" s="41">
        <f>INDEX('[1]End - Use Prices'!$C$6:$AL$89,MATCH($C65,'[1]End - Use Prices'!$A$6:$A$89,0)+MATCH($D65,'[1]End - Use Prices'!$B$9:$B$11,0)-1,MATCH(AA$1,'[1]End - Use Prices'!$C$7:$AL$7,0))</f>
        <v>36.950000000000003</v>
      </c>
      <c r="AB65" s="41">
        <f>INDEX('[1]End - Use Prices'!$C$6:$AL$89,MATCH($C65,'[1]End - Use Prices'!$A$6:$A$89,0)+MATCH($D65,'[1]End - Use Prices'!$B$9:$B$11,0)-1,MATCH(AB$1,'[1]End - Use Prices'!$C$7:$AL$7,0))</f>
        <v>44.6</v>
      </c>
      <c r="AC65" s="41">
        <f>INDEX('[1]End - Use Prices'!$C$6:$AL$89,MATCH($C65,'[1]End - Use Prices'!$A$6:$A$89,0)+MATCH($D65,'[1]End - Use Prices'!$B$9:$B$11,0)-1,MATCH(AC$1,'[1]End - Use Prices'!$C$7:$AL$7,0))</f>
        <v>40.32</v>
      </c>
      <c r="AD65" s="41">
        <f>INDEX('[1]End - Use Prices'!$C$6:$AL$89,MATCH($C65,'[1]End - Use Prices'!$A$6:$A$89,0)+MATCH($D65,'[1]End - Use Prices'!$B$9:$B$11,0)-1,MATCH(AD$1,'[1]End - Use Prices'!$C$7:$AL$7,0))</f>
        <v>41.27</v>
      </c>
      <c r="AE65" s="41">
        <f>INDEX('[1]End - Use Prices'!$C$6:$AL$89,MATCH($C65,'[1]End - Use Prices'!$A$6:$A$89,0)+MATCH($D65,'[1]End - Use Prices'!$B$9:$B$11,0)-1,MATCH(AE$1,'[1]End - Use Prices'!$C$7:$AL$7,0))</f>
        <v>44.94</v>
      </c>
      <c r="AF65" s="41">
        <f>INDEX('[1]End - Use Prices'!$C$6:$AL$89,MATCH($C65,'[1]End - Use Prices'!$A$6:$A$89,0)+MATCH($D65,'[1]End - Use Prices'!$B$9:$B$11,0)-1,MATCH(AF$1,'[1]End - Use Prices'!$C$7:$AL$7,0))</f>
        <v>45.5</v>
      </c>
      <c r="AG65" s="41">
        <f>INDEX('[1]End - Use Prices'!$C$6:$AL$89,MATCH($C65,'[1]End - Use Prices'!$A$6:$A$89,0)+MATCH($D65,'[1]End - Use Prices'!$B$9:$B$11,0)-1,MATCH(AG$1,'[1]End - Use Prices'!$C$7:$AL$7,0))</f>
        <v>46.34</v>
      </c>
      <c r="AH65" s="41">
        <f>INDEX('[1]End - Use Prices'!$C$6:$AL$89,MATCH($C65,'[1]End - Use Prices'!$A$6:$A$89,0)+MATCH($D65,'[1]End - Use Prices'!$B$9:$B$11,0)-1,MATCH(AH$1,'[1]End - Use Prices'!$C$7:$AL$7,0))</f>
        <v>46.71</v>
      </c>
      <c r="AI65" s="41">
        <f>INDEX('[1]End - Use Prices'!$C$6:$AL$89,MATCH($C65,'[1]End - Use Prices'!$A$6:$A$89,0)+MATCH($D65,'[1]End - Use Prices'!$B$9:$B$11,0)-1,MATCH(AI$1,'[1]End - Use Prices'!$C$7:$AL$7,0))</f>
        <v>46.01</v>
      </c>
      <c r="AJ65" s="41">
        <f>INDEX('[1]End - Use Prices'!$C$6:$AL$89,MATCH($C65,'[1]End - Use Prices'!$A$6:$A$89,0)+MATCH($D65,'[1]End - Use Prices'!$B$9:$B$11,0)-1,MATCH(AJ$1,'[1]End - Use Prices'!$C$7:$AL$7,0))</f>
        <v>46.61</v>
      </c>
      <c r="AK65" s="41">
        <f>INDEX('[1]End - Use Prices'!$C$6:$AL$89,MATCH($C65,'[1]End - Use Prices'!$A$6:$A$89,0)+MATCH($D65,'[1]End - Use Prices'!$B$9:$B$11,0)-1,MATCH(AK$1,'[1]End - Use Prices'!$C$7:$AL$7,0))</f>
        <v>47.54</v>
      </c>
      <c r="AL65" s="41">
        <f>INDEX('[1]End - Use Prices'!$C$6:$AL$89,MATCH($C65,'[1]End - Use Prices'!$A$6:$A$89,0)+MATCH($D65,'[1]End - Use Prices'!$B$9:$B$11,0)-1,MATCH(AL$1,'[1]End - Use Prices'!$C$7:$AL$7,0))</f>
        <v>48.44</v>
      </c>
      <c r="AM65" s="41">
        <f>INDEX('[1]End - Use Prices'!$C$6:$AL$89,MATCH($C65,'[1]End - Use Prices'!$A$6:$A$89,0)+MATCH($D65,'[1]End - Use Prices'!$B$9:$B$11,0)-1,MATCH(AM$1,'[1]End - Use Prices'!$C$7:$AL$7,0))</f>
        <v>49.31</v>
      </c>
      <c r="AN65" s="41">
        <f>INDEX('[1]End - Use Prices'!$C$6:$AL$89,MATCH($C65,'[1]End - Use Prices'!$A$6:$A$89,0)+MATCH($D65,'[1]End - Use Prices'!$B$9:$B$11,0)-1,MATCH(AN$1,'[1]End - Use Prices'!$C$7:$AL$7,0))</f>
        <v>50.14</v>
      </c>
      <c r="AO65" s="41">
        <f>INDEX('[1]End - Use Prices'!$C$6:$AL$89,MATCH($C65,'[1]End - Use Prices'!$A$6:$A$89,0)+MATCH($D65,'[1]End - Use Prices'!$B$9:$B$11,0)-1,MATCH(AO$1,'[1]End - Use Prices'!$C$7:$AL$7,0))</f>
        <v>50.94</v>
      </c>
      <c r="AP65" s="41">
        <f>INDEX('[1]End - Use Prices'!$C$6:$AL$89,MATCH($C65,'[1]End - Use Prices'!$A$6:$A$89,0)+MATCH($D65,'[1]End - Use Prices'!$B$9:$B$11,0)-1,MATCH(AP$1,'[1]End - Use Prices'!$C$7:$AL$7,0))</f>
        <v>51.71</v>
      </c>
      <c r="AQ65" s="41">
        <f>INDEX('[1]End - Use Prices'!$C$6:$AL$89,MATCH($C65,'[1]End - Use Prices'!$A$6:$A$89,0)+MATCH($D65,'[1]End - Use Prices'!$B$9:$B$11,0)-1,MATCH(AQ$1,'[1]End - Use Prices'!$C$7:$AL$7,0))</f>
        <v>52.45</v>
      </c>
      <c r="AR65" s="41">
        <f>INDEX('[1]End - Use Prices'!$C$6:$AL$89,MATCH($C65,'[1]End - Use Prices'!$A$6:$A$89,0)+MATCH($D65,'[1]End - Use Prices'!$B$9:$B$11,0)-1,MATCH(AR$1,'[1]End - Use Prices'!$C$7:$AL$7,0))</f>
        <v>53.15</v>
      </c>
      <c r="AS65" s="41">
        <f>INDEX('[1]End - Use Prices'!$C$6:$AL$89,MATCH($C65,'[1]End - Use Prices'!$A$6:$A$89,0)+MATCH($D65,'[1]End - Use Prices'!$B$9:$B$11,0)-1,MATCH(AS$1,'[1]End - Use Prices'!$C$7:$AL$7,0))</f>
        <v>53.81</v>
      </c>
      <c r="AT65" s="41">
        <f>INDEX('[1]End - Use Prices'!$C$6:$AL$89,MATCH($C65,'[1]End - Use Prices'!$A$6:$A$89,0)+MATCH($D65,'[1]End - Use Prices'!$B$9:$B$11,0)-1,MATCH(AT$1,'[1]End - Use Prices'!$C$7:$AL$7,0))</f>
        <v>54.43</v>
      </c>
      <c r="AU65" s="41">
        <f>INDEX('[1]End - Use Prices'!$C$6:$AL$89,MATCH($C65,'[1]End - Use Prices'!$A$6:$A$89,0)+MATCH($D65,'[1]End - Use Prices'!$B$9:$B$11,0)-1,MATCH(AU$1,'[1]End - Use Prices'!$C$7:$AL$7,0))</f>
        <v>55.02</v>
      </c>
      <c r="AV65" s="41">
        <f>INDEX('[1]End - Use Prices'!$C$6:$AL$89,MATCH($C65,'[1]End - Use Prices'!$A$6:$A$89,0)+MATCH($D65,'[1]End - Use Prices'!$B$9:$B$11,0)-1,MATCH(AV$1,'[1]End - Use Prices'!$C$7:$AL$7,0))</f>
        <v>55.56</v>
      </c>
      <c r="AW65" s="41">
        <f>INDEX('[1]End - Use Prices'!$C$6:$AL$89,MATCH($C65,'[1]End - Use Prices'!$A$6:$A$89,0)+MATCH($D65,'[1]End - Use Prices'!$B$9:$B$11,0)-1,MATCH(AW$1,'[1]End - Use Prices'!$C$7:$AL$7,0))</f>
        <v>56.07</v>
      </c>
      <c r="AX65" s="41">
        <f>INDEX('[1]End - Use Prices'!$C$6:$AL$89,MATCH($C65,'[1]End - Use Prices'!$A$6:$A$89,0)+MATCH($D65,'[1]End - Use Prices'!$B$9:$B$11,0)-1,MATCH(AX$1,'[1]End - Use Prices'!$C$7:$AL$7,0))</f>
        <v>56.53</v>
      </c>
      <c r="AY65" s="41">
        <f>INDEX('[1]End - Use Prices'!$C$6:$AL$89,MATCH($C65,'[1]End - Use Prices'!$A$6:$A$89,0)+MATCH($D65,'[1]End - Use Prices'!$B$9:$B$11,0)-1,MATCH(AY$1,'[1]End - Use Prices'!$C$7:$AL$7,0))</f>
        <v>56.95</v>
      </c>
      <c r="AZ65" s="41">
        <f>INDEX('[1]End - Use Prices'!$C$6:$AL$89,MATCH($C65,'[1]End - Use Prices'!$A$6:$A$89,0)+MATCH($D65,'[1]End - Use Prices'!$B$9:$B$11,0)-1,MATCH(AZ$1,'[1]End - Use Prices'!$C$7:$AL$7,0))</f>
        <v>57.32</v>
      </c>
      <c r="BA65" s="41">
        <f>INDEX('[1]End - Use Prices'!$C$6:$AL$89,MATCH($C65,'[1]End - Use Prices'!$A$6:$A$89,0)+MATCH($D65,'[1]End - Use Prices'!$B$9:$B$11,0)-1,MATCH(BA$1,'[1]End - Use Prices'!$C$7:$AL$7,0))</f>
        <v>57.65</v>
      </c>
      <c r="BB65" s="41">
        <f>INDEX('[1]End - Use Prices'!$C$6:$AL$89,MATCH($C65,'[1]End - Use Prices'!$A$6:$A$89,0)+MATCH($D65,'[1]End - Use Prices'!$B$9:$B$11,0)-1,MATCH(BB$1,'[1]End - Use Prices'!$C$7:$AL$7,0))</f>
        <v>57.94</v>
      </c>
      <c r="BC65" s="41">
        <f>INDEX('[1]End - Use Prices'!$C$6:$AL$89,MATCH($C65,'[1]End - Use Prices'!$A$6:$A$89,0)+MATCH($D65,'[1]End - Use Prices'!$B$9:$B$11,0)-1,MATCH(BC$1,'[1]End - Use Prices'!$C$7:$AL$7,0))</f>
        <v>58.17</v>
      </c>
      <c r="BD65" s="41">
        <f>INDEX('[1]End - Use Prices'!$C$6:$AL$89,MATCH($C65,'[1]End - Use Prices'!$A$6:$A$89,0)+MATCH($D65,'[1]End - Use Prices'!$B$9:$B$11,0)-1,MATCH(BD$1,'[1]End - Use Prices'!$C$7:$AL$7,0))</f>
        <v>58.36</v>
      </c>
      <c r="BE65" s="41">
        <f>INDEX('[1]End - Use Prices'!$C$6:$AL$89,MATCH($C65,'[1]End - Use Prices'!$A$6:$A$89,0)+MATCH($D65,'[1]End - Use Prices'!$B$9:$B$11,0)-1,MATCH(BE$1,'[1]End - Use Prices'!$C$7:$AL$7,0))</f>
        <v>58.5</v>
      </c>
      <c r="BF65" s="41">
        <f>INDEX('[1]End - Use Prices'!$C$6:$AL$89,MATCH($C65,'[1]End - Use Prices'!$A$6:$A$89,0)+MATCH($D65,'[1]End - Use Prices'!$B$9:$B$11,0)-1,MATCH(BF$1,'[1]End - Use Prices'!$C$7:$AL$7,0))</f>
        <v>58.59</v>
      </c>
      <c r="BG65" s="41">
        <f>INDEX('[1]End - Use Prices'!$C$6:$AL$89,MATCH($C65,'[1]End - Use Prices'!$A$6:$A$89,0)+MATCH($D65,'[1]End - Use Prices'!$B$9:$B$11,0)-1,MATCH(BG$1,'[1]End - Use Prices'!$C$7:$AL$7,0))</f>
        <v>58.62</v>
      </c>
      <c r="BR65" s="39"/>
      <c r="BS65" s="39"/>
      <c r="BT65" s="39"/>
      <c r="BU65" s="39"/>
      <c r="BV65" s="39"/>
      <c r="BW65" s="39"/>
      <c r="BX65" s="39"/>
      <c r="BY65" s="39"/>
      <c r="BZ65" s="39"/>
      <c r="CA65" s="39"/>
    </row>
    <row r="66" spans="1:79" x14ac:dyDescent="0.25">
      <c r="A66" s="5"/>
      <c r="B66" s="3"/>
      <c r="C66" s="25" t="s">
        <v>88</v>
      </c>
      <c r="D66" s="25" t="s">
        <v>2</v>
      </c>
      <c r="E66" s="25" t="s">
        <v>282</v>
      </c>
      <c r="F66" s="67" t="s">
        <v>279</v>
      </c>
      <c r="G66" s="53">
        <f t="shared" si="11"/>
        <v>35.630000000000003</v>
      </c>
      <c r="H66" s="34">
        <f t="shared" si="12"/>
        <v>35.630000000000003</v>
      </c>
      <c r="I66" s="34">
        <f t="shared" si="12"/>
        <v>42.27</v>
      </c>
      <c r="J66" s="34">
        <f t="shared" si="12"/>
        <v>41.52</v>
      </c>
      <c r="K66" s="34">
        <f t="shared" si="12"/>
        <v>44.47</v>
      </c>
      <c r="L66" s="34">
        <f t="shared" si="12"/>
        <v>47.37</v>
      </c>
      <c r="M66" s="34">
        <f t="shared" si="12"/>
        <v>50.45</v>
      </c>
      <c r="N66" s="34">
        <f t="shared" si="12"/>
        <v>53.74</v>
      </c>
      <c r="O66" s="34">
        <f t="shared" si="12"/>
        <v>57.24</v>
      </c>
      <c r="P66" s="53">
        <f t="shared" si="13"/>
        <v>57.24</v>
      </c>
      <c r="Q66" s="53">
        <f t="shared" si="13"/>
        <v>57.24</v>
      </c>
      <c r="R66" s="38"/>
      <c r="X66" s="41">
        <f>INDEX('[1]End - Use Prices'!$C$6:$AL$89,MATCH($C66,'[1]End - Use Prices'!$A$6:$A$89,0)+MATCH($D66,'[1]End - Use Prices'!$B$9:$B$11,0)-1,MATCH(X$1,'[1]End - Use Prices'!$C$7:$AL$7,0))</f>
        <v>35.630000000000003</v>
      </c>
      <c r="Y66" s="41">
        <f>INDEX('[1]End - Use Prices'!$C$6:$AL$89,MATCH($C66,'[1]End - Use Prices'!$A$6:$A$89,0)+MATCH($D66,'[1]End - Use Prices'!$B$9:$B$11,0)-1,MATCH(Y$1,'[1]End - Use Prices'!$C$7:$AL$7,0))</f>
        <v>40.94</v>
      </c>
      <c r="Z66" s="41">
        <f>INDEX('[1]End - Use Prices'!$C$6:$AL$89,MATCH($C66,'[1]End - Use Prices'!$A$6:$A$89,0)+MATCH($D66,'[1]End - Use Prices'!$B$9:$B$11,0)-1,MATCH(Z$1,'[1]End - Use Prices'!$C$7:$AL$7,0))</f>
        <v>42.23</v>
      </c>
      <c r="AA66" s="41">
        <f>INDEX('[1]End - Use Prices'!$C$6:$AL$89,MATCH($C66,'[1]End - Use Prices'!$A$6:$A$89,0)+MATCH($D66,'[1]End - Use Prices'!$B$9:$B$11,0)-1,MATCH(AA$1,'[1]End - Use Prices'!$C$7:$AL$7,0))</f>
        <v>41.92</v>
      </c>
      <c r="AB66" s="41">
        <f>INDEX('[1]End - Use Prices'!$C$6:$AL$89,MATCH($C66,'[1]End - Use Prices'!$A$6:$A$89,0)+MATCH($D66,'[1]End - Use Prices'!$B$9:$B$11,0)-1,MATCH(AB$1,'[1]End - Use Prices'!$C$7:$AL$7,0))</f>
        <v>43.47</v>
      </c>
      <c r="AC66" s="41">
        <f>INDEX('[1]End - Use Prices'!$C$6:$AL$89,MATCH($C66,'[1]End - Use Prices'!$A$6:$A$89,0)+MATCH($D66,'[1]End - Use Prices'!$B$9:$B$11,0)-1,MATCH(AC$1,'[1]End - Use Prices'!$C$7:$AL$7,0))</f>
        <v>42.27</v>
      </c>
      <c r="AD66" s="41">
        <f>INDEX('[1]End - Use Prices'!$C$6:$AL$89,MATCH($C66,'[1]End - Use Prices'!$A$6:$A$89,0)+MATCH($D66,'[1]End - Use Prices'!$B$9:$B$11,0)-1,MATCH(AD$1,'[1]End - Use Prices'!$C$7:$AL$7,0))</f>
        <v>41.5</v>
      </c>
      <c r="AE66" s="41">
        <f>INDEX('[1]End - Use Prices'!$C$6:$AL$89,MATCH($C66,'[1]End - Use Prices'!$A$6:$A$89,0)+MATCH($D66,'[1]End - Use Prices'!$B$9:$B$11,0)-1,MATCH(AE$1,'[1]End - Use Prices'!$C$7:$AL$7,0))</f>
        <v>41</v>
      </c>
      <c r="AF66" s="41">
        <f>INDEX('[1]End - Use Prices'!$C$6:$AL$89,MATCH($C66,'[1]End - Use Prices'!$A$6:$A$89,0)+MATCH($D66,'[1]End - Use Prices'!$B$9:$B$11,0)-1,MATCH(AF$1,'[1]End - Use Prices'!$C$7:$AL$7,0))</f>
        <v>40.340000000000003</v>
      </c>
      <c r="AG66" s="41">
        <f>INDEX('[1]End - Use Prices'!$C$6:$AL$89,MATCH($C66,'[1]End - Use Prices'!$A$6:$A$89,0)+MATCH($D66,'[1]End - Use Prices'!$B$9:$B$11,0)-1,MATCH(AG$1,'[1]End - Use Prices'!$C$7:$AL$7,0))</f>
        <v>40.39</v>
      </c>
      <c r="AH66" s="41">
        <f>INDEX('[1]End - Use Prices'!$C$6:$AL$89,MATCH($C66,'[1]End - Use Prices'!$A$6:$A$89,0)+MATCH($D66,'[1]End - Use Prices'!$B$9:$B$11,0)-1,MATCH(AH$1,'[1]End - Use Prices'!$C$7:$AL$7,0))</f>
        <v>41.52</v>
      </c>
      <c r="AI66" s="41">
        <f>INDEX('[1]End - Use Prices'!$C$6:$AL$89,MATCH($C66,'[1]End - Use Prices'!$A$6:$A$89,0)+MATCH($D66,'[1]End - Use Prices'!$B$9:$B$11,0)-1,MATCH(AI$1,'[1]End - Use Prices'!$C$7:$AL$7,0))</f>
        <v>42.28</v>
      </c>
      <c r="AJ66" s="41">
        <f>INDEX('[1]End - Use Prices'!$C$6:$AL$89,MATCH($C66,'[1]End - Use Prices'!$A$6:$A$89,0)+MATCH($D66,'[1]End - Use Prices'!$B$9:$B$11,0)-1,MATCH(AJ$1,'[1]End - Use Prices'!$C$7:$AL$7,0))</f>
        <v>42.82</v>
      </c>
      <c r="AK66" s="41">
        <f>INDEX('[1]End - Use Prices'!$C$6:$AL$89,MATCH($C66,'[1]End - Use Prices'!$A$6:$A$89,0)+MATCH($D66,'[1]End - Use Prices'!$B$9:$B$11,0)-1,MATCH(AK$1,'[1]End - Use Prices'!$C$7:$AL$7,0))</f>
        <v>43.37</v>
      </c>
      <c r="AL66" s="41">
        <f>INDEX('[1]End - Use Prices'!$C$6:$AL$89,MATCH($C66,'[1]End - Use Prices'!$A$6:$A$89,0)+MATCH($D66,'[1]End - Use Prices'!$B$9:$B$11,0)-1,MATCH(AL$1,'[1]End - Use Prices'!$C$7:$AL$7,0))</f>
        <v>43.92</v>
      </c>
      <c r="AM66" s="41">
        <f>INDEX('[1]End - Use Prices'!$C$6:$AL$89,MATCH($C66,'[1]End - Use Prices'!$A$6:$A$89,0)+MATCH($D66,'[1]End - Use Prices'!$B$9:$B$11,0)-1,MATCH(AM$1,'[1]End - Use Prices'!$C$7:$AL$7,0))</f>
        <v>44.47</v>
      </c>
      <c r="AN66" s="41">
        <f>INDEX('[1]End - Use Prices'!$C$6:$AL$89,MATCH($C66,'[1]End - Use Prices'!$A$6:$A$89,0)+MATCH($D66,'[1]End - Use Prices'!$B$9:$B$11,0)-1,MATCH(AN$1,'[1]End - Use Prices'!$C$7:$AL$7,0))</f>
        <v>45.04</v>
      </c>
      <c r="AO66" s="41">
        <f>INDEX('[1]End - Use Prices'!$C$6:$AL$89,MATCH($C66,'[1]End - Use Prices'!$A$6:$A$89,0)+MATCH($D66,'[1]End - Use Prices'!$B$9:$B$11,0)-1,MATCH(AO$1,'[1]End - Use Prices'!$C$7:$AL$7,0))</f>
        <v>45.61</v>
      </c>
      <c r="AP66" s="41">
        <f>INDEX('[1]End - Use Prices'!$C$6:$AL$89,MATCH($C66,'[1]End - Use Prices'!$A$6:$A$89,0)+MATCH($D66,'[1]End - Use Prices'!$B$9:$B$11,0)-1,MATCH(AP$1,'[1]End - Use Prices'!$C$7:$AL$7,0))</f>
        <v>46.19</v>
      </c>
      <c r="AQ66" s="41">
        <f>INDEX('[1]End - Use Prices'!$C$6:$AL$89,MATCH($C66,'[1]End - Use Prices'!$A$6:$A$89,0)+MATCH($D66,'[1]End - Use Prices'!$B$9:$B$11,0)-1,MATCH(AQ$1,'[1]End - Use Prices'!$C$7:$AL$7,0))</f>
        <v>46.78</v>
      </c>
      <c r="AR66" s="41">
        <f>INDEX('[1]End - Use Prices'!$C$6:$AL$89,MATCH($C66,'[1]End - Use Prices'!$A$6:$A$89,0)+MATCH($D66,'[1]End - Use Prices'!$B$9:$B$11,0)-1,MATCH(AR$1,'[1]End - Use Prices'!$C$7:$AL$7,0))</f>
        <v>47.37</v>
      </c>
      <c r="AS66" s="41">
        <f>INDEX('[1]End - Use Prices'!$C$6:$AL$89,MATCH($C66,'[1]End - Use Prices'!$A$6:$A$89,0)+MATCH($D66,'[1]End - Use Prices'!$B$9:$B$11,0)-1,MATCH(AS$1,'[1]End - Use Prices'!$C$7:$AL$7,0))</f>
        <v>47.97</v>
      </c>
      <c r="AT66" s="41">
        <f>INDEX('[1]End - Use Prices'!$C$6:$AL$89,MATCH($C66,'[1]End - Use Prices'!$A$6:$A$89,0)+MATCH($D66,'[1]End - Use Prices'!$B$9:$B$11,0)-1,MATCH(AT$1,'[1]End - Use Prices'!$C$7:$AL$7,0))</f>
        <v>48.58</v>
      </c>
      <c r="AU66" s="41">
        <f>INDEX('[1]End - Use Prices'!$C$6:$AL$89,MATCH($C66,'[1]End - Use Prices'!$A$6:$A$89,0)+MATCH($D66,'[1]End - Use Prices'!$B$9:$B$11,0)-1,MATCH(AU$1,'[1]End - Use Prices'!$C$7:$AL$7,0))</f>
        <v>49.2</v>
      </c>
      <c r="AV66" s="41">
        <f>INDEX('[1]End - Use Prices'!$C$6:$AL$89,MATCH($C66,'[1]End - Use Prices'!$A$6:$A$89,0)+MATCH($D66,'[1]End - Use Prices'!$B$9:$B$11,0)-1,MATCH(AV$1,'[1]End - Use Prices'!$C$7:$AL$7,0))</f>
        <v>49.82</v>
      </c>
      <c r="AW66" s="41">
        <f>INDEX('[1]End - Use Prices'!$C$6:$AL$89,MATCH($C66,'[1]End - Use Prices'!$A$6:$A$89,0)+MATCH($D66,'[1]End - Use Prices'!$B$9:$B$11,0)-1,MATCH(AW$1,'[1]End - Use Prices'!$C$7:$AL$7,0))</f>
        <v>50.45</v>
      </c>
      <c r="AX66" s="41">
        <f>INDEX('[1]End - Use Prices'!$C$6:$AL$89,MATCH($C66,'[1]End - Use Prices'!$A$6:$A$89,0)+MATCH($D66,'[1]End - Use Prices'!$B$9:$B$11,0)-1,MATCH(AX$1,'[1]End - Use Prices'!$C$7:$AL$7,0))</f>
        <v>51.09</v>
      </c>
      <c r="AY66" s="41">
        <f>INDEX('[1]End - Use Prices'!$C$6:$AL$89,MATCH($C66,'[1]End - Use Prices'!$A$6:$A$89,0)+MATCH($D66,'[1]End - Use Prices'!$B$9:$B$11,0)-1,MATCH(AY$1,'[1]End - Use Prices'!$C$7:$AL$7,0))</f>
        <v>51.74</v>
      </c>
      <c r="AZ66" s="41">
        <f>INDEX('[1]End - Use Prices'!$C$6:$AL$89,MATCH($C66,'[1]End - Use Prices'!$A$6:$A$89,0)+MATCH($D66,'[1]End - Use Prices'!$B$9:$B$11,0)-1,MATCH(AZ$1,'[1]End - Use Prices'!$C$7:$AL$7,0))</f>
        <v>52.4</v>
      </c>
      <c r="BA66" s="41">
        <f>INDEX('[1]End - Use Prices'!$C$6:$AL$89,MATCH($C66,'[1]End - Use Prices'!$A$6:$A$89,0)+MATCH($D66,'[1]End - Use Prices'!$B$9:$B$11,0)-1,MATCH(BA$1,'[1]End - Use Prices'!$C$7:$AL$7,0))</f>
        <v>53.07</v>
      </c>
      <c r="BB66" s="41">
        <f>INDEX('[1]End - Use Prices'!$C$6:$AL$89,MATCH($C66,'[1]End - Use Prices'!$A$6:$A$89,0)+MATCH($D66,'[1]End - Use Prices'!$B$9:$B$11,0)-1,MATCH(BB$1,'[1]End - Use Prices'!$C$7:$AL$7,0))</f>
        <v>53.74</v>
      </c>
      <c r="BC66" s="41">
        <f>INDEX('[1]End - Use Prices'!$C$6:$AL$89,MATCH($C66,'[1]End - Use Prices'!$A$6:$A$89,0)+MATCH($D66,'[1]End - Use Prices'!$B$9:$B$11,0)-1,MATCH(BC$1,'[1]End - Use Prices'!$C$7:$AL$7,0))</f>
        <v>54.42</v>
      </c>
      <c r="BD66" s="41">
        <f>INDEX('[1]End - Use Prices'!$C$6:$AL$89,MATCH($C66,'[1]End - Use Prices'!$A$6:$A$89,0)+MATCH($D66,'[1]End - Use Prices'!$B$9:$B$11,0)-1,MATCH(BD$1,'[1]End - Use Prices'!$C$7:$AL$7,0))</f>
        <v>55.11</v>
      </c>
      <c r="BE66" s="41">
        <f>INDEX('[1]End - Use Prices'!$C$6:$AL$89,MATCH($C66,'[1]End - Use Prices'!$A$6:$A$89,0)+MATCH($D66,'[1]End - Use Prices'!$B$9:$B$11,0)-1,MATCH(BE$1,'[1]End - Use Prices'!$C$7:$AL$7,0))</f>
        <v>55.81</v>
      </c>
      <c r="BF66" s="41">
        <f>INDEX('[1]End - Use Prices'!$C$6:$AL$89,MATCH($C66,'[1]End - Use Prices'!$A$6:$A$89,0)+MATCH($D66,'[1]End - Use Prices'!$B$9:$B$11,0)-1,MATCH(BF$1,'[1]End - Use Prices'!$C$7:$AL$7,0))</f>
        <v>56.52</v>
      </c>
      <c r="BG66" s="41">
        <f>INDEX('[1]End - Use Prices'!$C$6:$AL$89,MATCH($C66,'[1]End - Use Prices'!$A$6:$A$89,0)+MATCH($D66,'[1]End - Use Prices'!$B$9:$B$11,0)-1,MATCH(BG$1,'[1]End - Use Prices'!$C$7:$AL$7,0))</f>
        <v>57.24</v>
      </c>
      <c r="BR66" s="39"/>
      <c r="BS66" s="39"/>
      <c r="BT66" s="39"/>
      <c r="BU66" s="39"/>
      <c r="BV66" s="39"/>
      <c r="BW66" s="39"/>
      <c r="BX66" s="39"/>
      <c r="BY66" s="39"/>
      <c r="BZ66" s="39"/>
      <c r="CA66" s="39"/>
    </row>
    <row r="67" spans="1:79" x14ac:dyDescent="0.25">
      <c r="A67" s="5"/>
      <c r="B67" s="3"/>
      <c r="C67" s="25" t="s">
        <v>89</v>
      </c>
      <c r="D67" s="25" t="s">
        <v>2</v>
      </c>
      <c r="E67" s="25" t="s">
        <v>282</v>
      </c>
      <c r="F67" s="67" t="s">
        <v>279</v>
      </c>
      <c r="G67" s="53">
        <f t="shared" si="11"/>
        <v>23.05</v>
      </c>
      <c r="H67" s="34">
        <f t="shared" si="12"/>
        <v>23.05</v>
      </c>
      <c r="I67" s="34">
        <f t="shared" si="12"/>
        <v>24.86</v>
      </c>
      <c r="J67" s="34">
        <f t="shared" si="12"/>
        <v>25.13</v>
      </c>
      <c r="K67" s="34">
        <f t="shared" si="12"/>
        <v>26.11</v>
      </c>
      <c r="L67" s="34">
        <f t="shared" si="12"/>
        <v>27.44</v>
      </c>
      <c r="M67" s="34">
        <f t="shared" si="12"/>
        <v>28.84</v>
      </c>
      <c r="N67" s="34">
        <f t="shared" si="12"/>
        <v>30.3</v>
      </c>
      <c r="O67" s="34">
        <f t="shared" si="12"/>
        <v>31.84</v>
      </c>
      <c r="P67" s="53">
        <f t="shared" si="13"/>
        <v>31.84</v>
      </c>
      <c r="Q67" s="53">
        <f t="shared" si="13"/>
        <v>31.84</v>
      </c>
      <c r="R67" s="38"/>
      <c r="X67" s="41">
        <f>INDEX('[1]End - Use Prices'!$C$6:$AL$89,MATCH($C67,'[1]End - Use Prices'!$A$6:$A$89,0)+MATCH($D67,'[1]End - Use Prices'!$B$9:$B$11,0)-1,MATCH(X$1,'[1]End - Use Prices'!$C$7:$AL$7,0))</f>
        <v>23.05</v>
      </c>
      <c r="Y67" s="41">
        <f>INDEX('[1]End - Use Prices'!$C$6:$AL$89,MATCH($C67,'[1]End - Use Prices'!$A$6:$A$89,0)+MATCH($D67,'[1]End - Use Prices'!$B$9:$B$11,0)-1,MATCH(Y$1,'[1]End - Use Prices'!$C$7:$AL$7,0))</f>
        <v>26.62</v>
      </c>
      <c r="Z67" s="41">
        <f>INDEX('[1]End - Use Prices'!$C$6:$AL$89,MATCH($C67,'[1]End - Use Prices'!$A$6:$A$89,0)+MATCH($D67,'[1]End - Use Prices'!$B$9:$B$11,0)-1,MATCH(Z$1,'[1]End - Use Prices'!$C$7:$AL$7,0))</f>
        <v>25.75</v>
      </c>
      <c r="AA67" s="41">
        <f>INDEX('[1]End - Use Prices'!$C$6:$AL$89,MATCH($C67,'[1]End - Use Prices'!$A$6:$A$89,0)+MATCH($D67,'[1]End - Use Prices'!$B$9:$B$11,0)-1,MATCH(AA$1,'[1]End - Use Prices'!$C$7:$AL$7,0))</f>
        <v>24.75</v>
      </c>
      <c r="AB67" s="41">
        <f>INDEX('[1]End - Use Prices'!$C$6:$AL$89,MATCH($C67,'[1]End - Use Prices'!$A$6:$A$89,0)+MATCH($D67,'[1]End - Use Prices'!$B$9:$B$11,0)-1,MATCH(AB$1,'[1]End - Use Prices'!$C$7:$AL$7,0))</f>
        <v>25.57</v>
      </c>
      <c r="AC67" s="41">
        <f>INDEX('[1]End - Use Prices'!$C$6:$AL$89,MATCH($C67,'[1]End - Use Prices'!$A$6:$A$89,0)+MATCH($D67,'[1]End - Use Prices'!$B$9:$B$11,0)-1,MATCH(AC$1,'[1]End - Use Prices'!$C$7:$AL$7,0))</f>
        <v>24.86</v>
      </c>
      <c r="AD67" s="41">
        <f>INDEX('[1]End - Use Prices'!$C$6:$AL$89,MATCH($C67,'[1]End - Use Prices'!$A$6:$A$89,0)+MATCH($D67,'[1]End - Use Prices'!$B$9:$B$11,0)-1,MATCH(AD$1,'[1]End - Use Prices'!$C$7:$AL$7,0))</f>
        <v>24.33</v>
      </c>
      <c r="AE67" s="41">
        <f>INDEX('[1]End - Use Prices'!$C$6:$AL$89,MATCH($C67,'[1]End - Use Prices'!$A$6:$A$89,0)+MATCH($D67,'[1]End - Use Prices'!$B$9:$B$11,0)-1,MATCH(AE$1,'[1]End - Use Prices'!$C$7:$AL$7,0))</f>
        <v>24.26</v>
      </c>
      <c r="AF67" s="41">
        <f>INDEX('[1]End - Use Prices'!$C$6:$AL$89,MATCH($C67,'[1]End - Use Prices'!$A$6:$A$89,0)+MATCH($D67,'[1]End - Use Prices'!$B$9:$B$11,0)-1,MATCH(AF$1,'[1]End - Use Prices'!$C$7:$AL$7,0))</f>
        <v>24.24</v>
      </c>
      <c r="AG67" s="41">
        <f>INDEX('[1]End - Use Prices'!$C$6:$AL$89,MATCH($C67,'[1]End - Use Prices'!$A$6:$A$89,0)+MATCH($D67,'[1]End - Use Prices'!$B$9:$B$11,0)-1,MATCH(AG$1,'[1]End - Use Prices'!$C$7:$AL$7,0))</f>
        <v>24.48</v>
      </c>
      <c r="AH67" s="41">
        <f>INDEX('[1]End - Use Prices'!$C$6:$AL$89,MATCH($C67,'[1]End - Use Prices'!$A$6:$A$89,0)+MATCH($D67,'[1]End - Use Prices'!$B$9:$B$11,0)-1,MATCH(AH$1,'[1]End - Use Prices'!$C$7:$AL$7,0))</f>
        <v>25.13</v>
      </c>
      <c r="AI67" s="41">
        <f>INDEX('[1]End - Use Prices'!$C$6:$AL$89,MATCH($C67,'[1]End - Use Prices'!$A$6:$A$89,0)+MATCH($D67,'[1]End - Use Prices'!$B$9:$B$11,0)-1,MATCH(AI$1,'[1]End - Use Prices'!$C$7:$AL$7,0))</f>
        <v>25.1</v>
      </c>
      <c r="AJ67" s="41">
        <f>INDEX('[1]End - Use Prices'!$C$6:$AL$89,MATCH($C67,'[1]End - Use Prices'!$A$6:$A$89,0)+MATCH($D67,'[1]End - Use Prices'!$B$9:$B$11,0)-1,MATCH(AJ$1,'[1]End - Use Prices'!$C$7:$AL$7,0))</f>
        <v>25.35</v>
      </c>
      <c r="AK67" s="41">
        <f>INDEX('[1]End - Use Prices'!$C$6:$AL$89,MATCH($C67,'[1]End - Use Prices'!$A$6:$A$89,0)+MATCH($D67,'[1]End - Use Prices'!$B$9:$B$11,0)-1,MATCH(AK$1,'[1]End - Use Prices'!$C$7:$AL$7,0))</f>
        <v>25.6</v>
      </c>
      <c r="AL67" s="41">
        <f>INDEX('[1]End - Use Prices'!$C$6:$AL$89,MATCH($C67,'[1]End - Use Prices'!$A$6:$A$89,0)+MATCH($D67,'[1]End - Use Prices'!$B$9:$B$11,0)-1,MATCH(AL$1,'[1]End - Use Prices'!$C$7:$AL$7,0))</f>
        <v>25.86</v>
      </c>
      <c r="AM67" s="41">
        <f>INDEX('[1]End - Use Prices'!$C$6:$AL$89,MATCH($C67,'[1]End - Use Prices'!$A$6:$A$89,0)+MATCH($D67,'[1]End - Use Prices'!$B$9:$B$11,0)-1,MATCH(AM$1,'[1]End - Use Prices'!$C$7:$AL$7,0))</f>
        <v>26.11</v>
      </c>
      <c r="AN67" s="41">
        <f>INDEX('[1]End - Use Prices'!$C$6:$AL$89,MATCH($C67,'[1]End - Use Prices'!$A$6:$A$89,0)+MATCH($D67,'[1]End - Use Prices'!$B$9:$B$11,0)-1,MATCH(AN$1,'[1]End - Use Prices'!$C$7:$AL$7,0))</f>
        <v>26.37</v>
      </c>
      <c r="AO67" s="41">
        <f>INDEX('[1]End - Use Prices'!$C$6:$AL$89,MATCH($C67,'[1]End - Use Prices'!$A$6:$A$89,0)+MATCH($D67,'[1]End - Use Prices'!$B$9:$B$11,0)-1,MATCH(AO$1,'[1]End - Use Prices'!$C$7:$AL$7,0))</f>
        <v>26.64</v>
      </c>
      <c r="AP67" s="41">
        <f>INDEX('[1]End - Use Prices'!$C$6:$AL$89,MATCH($C67,'[1]End - Use Prices'!$A$6:$A$89,0)+MATCH($D67,'[1]End - Use Prices'!$B$9:$B$11,0)-1,MATCH(AP$1,'[1]End - Use Prices'!$C$7:$AL$7,0))</f>
        <v>26.9</v>
      </c>
      <c r="AQ67" s="41">
        <f>INDEX('[1]End - Use Prices'!$C$6:$AL$89,MATCH($C67,'[1]End - Use Prices'!$A$6:$A$89,0)+MATCH($D67,'[1]End - Use Prices'!$B$9:$B$11,0)-1,MATCH(AQ$1,'[1]End - Use Prices'!$C$7:$AL$7,0))</f>
        <v>27.17</v>
      </c>
      <c r="AR67" s="41">
        <f>INDEX('[1]End - Use Prices'!$C$6:$AL$89,MATCH($C67,'[1]End - Use Prices'!$A$6:$A$89,0)+MATCH($D67,'[1]End - Use Prices'!$B$9:$B$11,0)-1,MATCH(AR$1,'[1]End - Use Prices'!$C$7:$AL$7,0))</f>
        <v>27.44</v>
      </c>
      <c r="AS67" s="41">
        <f>INDEX('[1]End - Use Prices'!$C$6:$AL$89,MATCH($C67,'[1]End - Use Prices'!$A$6:$A$89,0)+MATCH($D67,'[1]End - Use Prices'!$B$9:$B$11,0)-1,MATCH(AS$1,'[1]End - Use Prices'!$C$7:$AL$7,0))</f>
        <v>27.72</v>
      </c>
      <c r="AT67" s="41">
        <f>INDEX('[1]End - Use Prices'!$C$6:$AL$89,MATCH($C67,'[1]End - Use Prices'!$A$6:$A$89,0)+MATCH($D67,'[1]End - Use Prices'!$B$9:$B$11,0)-1,MATCH(AT$1,'[1]End - Use Prices'!$C$7:$AL$7,0))</f>
        <v>27.99</v>
      </c>
      <c r="AU67" s="41">
        <f>INDEX('[1]End - Use Prices'!$C$6:$AL$89,MATCH($C67,'[1]End - Use Prices'!$A$6:$A$89,0)+MATCH($D67,'[1]End - Use Prices'!$B$9:$B$11,0)-1,MATCH(AU$1,'[1]End - Use Prices'!$C$7:$AL$7,0))</f>
        <v>28.27</v>
      </c>
      <c r="AV67" s="41">
        <f>INDEX('[1]End - Use Prices'!$C$6:$AL$89,MATCH($C67,'[1]End - Use Prices'!$A$6:$A$89,0)+MATCH($D67,'[1]End - Use Prices'!$B$9:$B$11,0)-1,MATCH(AV$1,'[1]End - Use Prices'!$C$7:$AL$7,0))</f>
        <v>28.55</v>
      </c>
      <c r="AW67" s="41">
        <f>INDEX('[1]End - Use Prices'!$C$6:$AL$89,MATCH($C67,'[1]End - Use Prices'!$A$6:$A$89,0)+MATCH($D67,'[1]End - Use Prices'!$B$9:$B$11,0)-1,MATCH(AW$1,'[1]End - Use Prices'!$C$7:$AL$7,0))</f>
        <v>28.84</v>
      </c>
      <c r="AX67" s="41">
        <f>INDEX('[1]End - Use Prices'!$C$6:$AL$89,MATCH($C67,'[1]End - Use Prices'!$A$6:$A$89,0)+MATCH($D67,'[1]End - Use Prices'!$B$9:$B$11,0)-1,MATCH(AX$1,'[1]End - Use Prices'!$C$7:$AL$7,0))</f>
        <v>29.12</v>
      </c>
      <c r="AY67" s="41">
        <f>INDEX('[1]End - Use Prices'!$C$6:$AL$89,MATCH($C67,'[1]End - Use Prices'!$A$6:$A$89,0)+MATCH($D67,'[1]End - Use Prices'!$B$9:$B$11,0)-1,MATCH(AY$1,'[1]End - Use Prices'!$C$7:$AL$7,0))</f>
        <v>29.41</v>
      </c>
      <c r="AZ67" s="41">
        <f>INDEX('[1]End - Use Prices'!$C$6:$AL$89,MATCH($C67,'[1]End - Use Prices'!$A$6:$A$89,0)+MATCH($D67,'[1]End - Use Prices'!$B$9:$B$11,0)-1,MATCH(AZ$1,'[1]End - Use Prices'!$C$7:$AL$7,0))</f>
        <v>29.71</v>
      </c>
      <c r="BA67" s="41">
        <f>INDEX('[1]End - Use Prices'!$C$6:$AL$89,MATCH($C67,'[1]End - Use Prices'!$A$6:$A$89,0)+MATCH($D67,'[1]End - Use Prices'!$B$9:$B$11,0)-1,MATCH(BA$1,'[1]End - Use Prices'!$C$7:$AL$7,0))</f>
        <v>30</v>
      </c>
      <c r="BB67" s="41">
        <f>INDEX('[1]End - Use Prices'!$C$6:$AL$89,MATCH($C67,'[1]End - Use Prices'!$A$6:$A$89,0)+MATCH($D67,'[1]End - Use Prices'!$B$9:$B$11,0)-1,MATCH(BB$1,'[1]End - Use Prices'!$C$7:$AL$7,0))</f>
        <v>30.3</v>
      </c>
      <c r="BC67" s="41">
        <f>INDEX('[1]End - Use Prices'!$C$6:$AL$89,MATCH($C67,'[1]End - Use Prices'!$A$6:$A$89,0)+MATCH($D67,'[1]End - Use Prices'!$B$9:$B$11,0)-1,MATCH(BC$1,'[1]End - Use Prices'!$C$7:$AL$7,0))</f>
        <v>30.6</v>
      </c>
      <c r="BD67" s="41">
        <f>INDEX('[1]End - Use Prices'!$C$6:$AL$89,MATCH($C67,'[1]End - Use Prices'!$A$6:$A$89,0)+MATCH($D67,'[1]End - Use Prices'!$B$9:$B$11,0)-1,MATCH(BD$1,'[1]End - Use Prices'!$C$7:$AL$7,0))</f>
        <v>30.91</v>
      </c>
      <c r="BE67" s="41">
        <f>INDEX('[1]End - Use Prices'!$C$6:$AL$89,MATCH($C67,'[1]End - Use Prices'!$A$6:$A$89,0)+MATCH($D67,'[1]End - Use Prices'!$B$9:$B$11,0)-1,MATCH(BE$1,'[1]End - Use Prices'!$C$7:$AL$7,0))</f>
        <v>31.22</v>
      </c>
      <c r="BF67" s="41">
        <f>INDEX('[1]End - Use Prices'!$C$6:$AL$89,MATCH($C67,'[1]End - Use Prices'!$A$6:$A$89,0)+MATCH($D67,'[1]End - Use Prices'!$B$9:$B$11,0)-1,MATCH(BF$1,'[1]End - Use Prices'!$C$7:$AL$7,0))</f>
        <v>31.53</v>
      </c>
      <c r="BG67" s="41">
        <f>INDEX('[1]End - Use Prices'!$C$6:$AL$89,MATCH($C67,'[1]End - Use Prices'!$A$6:$A$89,0)+MATCH($D67,'[1]End - Use Prices'!$B$9:$B$11,0)-1,MATCH(BG$1,'[1]End - Use Prices'!$C$7:$AL$7,0))</f>
        <v>31.84</v>
      </c>
      <c r="BR67" s="39"/>
      <c r="BS67" s="39"/>
      <c r="BT67" s="39"/>
      <c r="BU67" s="39"/>
      <c r="BV67" s="39"/>
      <c r="BW67" s="39"/>
      <c r="BX67" s="39"/>
      <c r="BY67" s="39"/>
      <c r="BZ67" s="39"/>
      <c r="CA67" s="39"/>
    </row>
    <row r="68" spans="1:79" x14ac:dyDescent="0.25">
      <c r="A68" s="5"/>
      <c r="B68" s="3"/>
      <c r="C68" s="25" t="s">
        <v>90</v>
      </c>
      <c r="D68" s="25" t="s">
        <v>2</v>
      </c>
      <c r="E68" s="25" t="s">
        <v>282</v>
      </c>
      <c r="F68" s="67" t="s">
        <v>279</v>
      </c>
      <c r="G68" s="53">
        <f t="shared" si="11"/>
        <v>36.92</v>
      </c>
      <c r="H68" s="34">
        <f t="shared" si="12"/>
        <v>36.92</v>
      </c>
      <c r="I68" s="34">
        <f t="shared" si="12"/>
        <v>39.14</v>
      </c>
      <c r="J68" s="34">
        <f t="shared" si="12"/>
        <v>48.73</v>
      </c>
      <c r="K68" s="34">
        <f t="shared" si="12"/>
        <v>60.89</v>
      </c>
      <c r="L68" s="34">
        <f t="shared" si="12"/>
        <v>63.81</v>
      </c>
      <c r="M68" s="34">
        <f t="shared" si="12"/>
        <v>66.47</v>
      </c>
      <c r="N68" s="34">
        <f t="shared" si="12"/>
        <v>69.05</v>
      </c>
      <c r="O68" s="34">
        <f t="shared" si="12"/>
        <v>71.69</v>
      </c>
      <c r="P68" s="53">
        <f t="shared" si="13"/>
        <v>71.69</v>
      </c>
      <c r="Q68" s="53">
        <f t="shared" si="13"/>
        <v>71.69</v>
      </c>
      <c r="R68" s="38"/>
      <c r="X68" s="41">
        <f>INDEX('[1]End - Use Prices'!$C$6:$AL$89,MATCH($C68,'[1]End - Use Prices'!$A$6:$A$89,0)+MATCH($D68,'[1]End - Use Prices'!$B$9:$B$11,0)-1,MATCH(X$1,'[1]End - Use Prices'!$C$7:$AL$7,0))</f>
        <v>36.92</v>
      </c>
      <c r="Y68" s="41">
        <f>INDEX('[1]End - Use Prices'!$C$6:$AL$89,MATCH($C68,'[1]End - Use Prices'!$A$6:$A$89,0)+MATCH($D68,'[1]End - Use Prices'!$B$9:$B$11,0)-1,MATCH(Y$1,'[1]End - Use Prices'!$C$7:$AL$7,0))</f>
        <v>40.86</v>
      </c>
      <c r="Z68" s="41">
        <f>INDEX('[1]End - Use Prices'!$C$6:$AL$89,MATCH($C68,'[1]End - Use Prices'!$A$6:$A$89,0)+MATCH($D68,'[1]End - Use Prices'!$B$9:$B$11,0)-1,MATCH(Z$1,'[1]End - Use Prices'!$C$7:$AL$7,0))</f>
        <v>40.64</v>
      </c>
      <c r="AA68" s="41">
        <f>INDEX('[1]End - Use Prices'!$C$6:$AL$89,MATCH($C68,'[1]End - Use Prices'!$A$6:$A$89,0)+MATCH($D68,'[1]End - Use Prices'!$B$9:$B$11,0)-1,MATCH(AA$1,'[1]End - Use Prices'!$C$7:$AL$7,0))</f>
        <v>37.31</v>
      </c>
      <c r="AB68" s="41">
        <f>INDEX('[1]End - Use Prices'!$C$6:$AL$89,MATCH($C68,'[1]End - Use Prices'!$A$6:$A$89,0)+MATCH($D68,'[1]End - Use Prices'!$B$9:$B$11,0)-1,MATCH(AB$1,'[1]End - Use Prices'!$C$7:$AL$7,0))</f>
        <v>39.53</v>
      </c>
      <c r="AC68" s="41">
        <f>INDEX('[1]End - Use Prices'!$C$6:$AL$89,MATCH($C68,'[1]End - Use Prices'!$A$6:$A$89,0)+MATCH($D68,'[1]End - Use Prices'!$B$9:$B$11,0)-1,MATCH(AC$1,'[1]End - Use Prices'!$C$7:$AL$7,0))</f>
        <v>39.14</v>
      </c>
      <c r="AD68" s="41">
        <f>INDEX('[1]End - Use Prices'!$C$6:$AL$89,MATCH($C68,'[1]End - Use Prices'!$A$6:$A$89,0)+MATCH($D68,'[1]End - Use Prices'!$B$9:$B$11,0)-1,MATCH(AD$1,'[1]End - Use Prices'!$C$7:$AL$7,0))</f>
        <v>40.4</v>
      </c>
      <c r="AE68" s="41">
        <f>INDEX('[1]End - Use Prices'!$C$6:$AL$89,MATCH($C68,'[1]End - Use Prices'!$A$6:$A$89,0)+MATCH($D68,'[1]End - Use Prices'!$B$9:$B$11,0)-1,MATCH(AE$1,'[1]End - Use Prices'!$C$7:$AL$7,0))</f>
        <v>42.06</v>
      </c>
      <c r="AF68" s="41">
        <f>INDEX('[1]End - Use Prices'!$C$6:$AL$89,MATCH($C68,'[1]End - Use Prices'!$A$6:$A$89,0)+MATCH($D68,'[1]End - Use Prices'!$B$9:$B$11,0)-1,MATCH(AF$1,'[1]End - Use Prices'!$C$7:$AL$7,0))</f>
        <v>42.96</v>
      </c>
      <c r="AG68" s="41">
        <f>INDEX('[1]End - Use Prices'!$C$6:$AL$89,MATCH($C68,'[1]End - Use Prices'!$A$6:$A$89,0)+MATCH($D68,'[1]End - Use Prices'!$B$9:$B$11,0)-1,MATCH(AG$1,'[1]End - Use Prices'!$C$7:$AL$7,0))</f>
        <v>46.39</v>
      </c>
      <c r="AH68" s="41">
        <f>INDEX('[1]End - Use Prices'!$C$6:$AL$89,MATCH($C68,'[1]End - Use Prices'!$A$6:$A$89,0)+MATCH($D68,'[1]End - Use Prices'!$B$9:$B$11,0)-1,MATCH(AH$1,'[1]End - Use Prices'!$C$7:$AL$7,0))</f>
        <v>48.73</v>
      </c>
      <c r="AI68" s="41">
        <f>INDEX('[1]End - Use Prices'!$C$6:$AL$89,MATCH($C68,'[1]End - Use Prices'!$A$6:$A$89,0)+MATCH($D68,'[1]End - Use Prices'!$B$9:$B$11,0)-1,MATCH(AI$1,'[1]End - Use Prices'!$C$7:$AL$7,0))</f>
        <v>58.38</v>
      </c>
      <c r="AJ68" s="41">
        <f>INDEX('[1]End - Use Prices'!$C$6:$AL$89,MATCH($C68,'[1]End - Use Prices'!$A$6:$A$89,0)+MATCH($D68,'[1]End - Use Prices'!$B$9:$B$11,0)-1,MATCH(AJ$1,'[1]End - Use Prices'!$C$7:$AL$7,0))</f>
        <v>58.96</v>
      </c>
      <c r="AK68" s="41">
        <f>INDEX('[1]End - Use Prices'!$C$6:$AL$89,MATCH($C68,'[1]End - Use Prices'!$A$6:$A$89,0)+MATCH($D68,'[1]End - Use Prices'!$B$9:$B$11,0)-1,MATCH(AK$1,'[1]End - Use Prices'!$C$7:$AL$7,0))</f>
        <v>59.62</v>
      </c>
      <c r="AL68" s="41">
        <f>INDEX('[1]End - Use Prices'!$C$6:$AL$89,MATCH($C68,'[1]End - Use Prices'!$A$6:$A$89,0)+MATCH($D68,'[1]End - Use Prices'!$B$9:$B$11,0)-1,MATCH(AL$1,'[1]End - Use Prices'!$C$7:$AL$7,0))</f>
        <v>60.27</v>
      </c>
      <c r="AM68" s="41">
        <f>INDEX('[1]End - Use Prices'!$C$6:$AL$89,MATCH($C68,'[1]End - Use Prices'!$A$6:$A$89,0)+MATCH($D68,'[1]End - Use Prices'!$B$9:$B$11,0)-1,MATCH(AM$1,'[1]End - Use Prices'!$C$7:$AL$7,0))</f>
        <v>60.89</v>
      </c>
      <c r="AN68" s="41">
        <f>INDEX('[1]End - Use Prices'!$C$6:$AL$89,MATCH($C68,'[1]End - Use Prices'!$A$6:$A$89,0)+MATCH($D68,'[1]End - Use Prices'!$B$9:$B$11,0)-1,MATCH(AN$1,'[1]End - Use Prices'!$C$7:$AL$7,0))</f>
        <v>61.51</v>
      </c>
      <c r="AO68" s="41">
        <f>INDEX('[1]End - Use Prices'!$C$6:$AL$89,MATCH($C68,'[1]End - Use Prices'!$A$6:$A$89,0)+MATCH($D68,'[1]End - Use Prices'!$B$9:$B$11,0)-1,MATCH(AO$1,'[1]End - Use Prices'!$C$7:$AL$7,0))</f>
        <v>62.1</v>
      </c>
      <c r="AP68" s="41">
        <f>INDEX('[1]End - Use Prices'!$C$6:$AL$89,MATCH($C68,'[1]End - Use Prices'!$A$6:$A$89,0)+MATCH($D68,'[1]End - Use Prices'!$B$9:$B$11,0)-1,MATCH(AP$1,'[1]End - Use Prices'!$C$7:$AL$7,0))</f>
        <v>62.68</v>
      </c>
      <c r="AQ68" s="41">
        <f>INDEX('[1]End - Use Prices'!$C$6:$AL$89,MATCH($C68,'[1]End - Use Prices'!$A$6:$A$89,0)+MATCH($D68,'[1]End - Use Prices'!$B$9:$B$11,0)-1,MATCH(AQ$1,'[1]End - Use Prices'!$C$7:$AL$7,0))</f>
        <v>63.25</v>
      </c>
      <c r="AR68" s="41">
        <f>INDEX('[1]End - Use Prices'!$C$6:$AL$89,MATCH($C68,'[1]End - Use Prices'!$A$6:$A$89,0)+MATCH($D68,'[1]End - Use Prices'!$B$9:$B$11,0)-1,MATCH(AR$1,'[1]End - Use Prices'!$C$7:$AL$7,0))</f>
        <v>63.81</v>
      </c>
      <c r="AS68" s="41">
        <f>INDEX('[1]End - Use Prices'!$C$6:$AL$89,MATCH($C68,'[1]End - Use Prices'!$A$6:$A$89,0)+MATCH($D68,'[1]End - Use Prices'!$B$9:$B$11,0)-1,MATCH(AS$1,'[1]End - Use Prices'!$C$7:$AL$7,0))</f>
        <v>64.36</v>
      </c>
      <c r="AT68" s="41">
        <f>INDEX('[1]End - Use Prices'!$C$6:$AL$89,MATCH($C68,'[1]End - Use Prices'!$A$6:$A$89,0)+MATCH($D68,'[1]End - Use Prices'!$B$9:$B$11,0)-1,MATCH(AT$1,'[1]End - Use Prices'!$C$7:$AL$7,0))</f>
        <v>64.900000000000006</v>
      </c>
      <c r="AU68" s="41">
        <f>INDEX('[1]End - Use Prices'!$C$6:$AL$89,MATCH($C68,'[1]End - Use Prices'!$A$6:$A$89,0)+MATCH($D68,'[1]End - Use Prices'!$B$9:$B$11,0)-1,MATCH(AU$1,'[1]End - Use Prices'!$C$7:$AL$7,0))</f>
        <v>65.430000000000007</v>
      </c>
      <c r="AV68" s="41">
        <f>INDEX('[1]End - Use Prices'!$C$6:$AL$89,MATCH($C68,'[1]End - Use Prices'!$A$6:$A$89,0)+MATCH($D68,'[1]End - Use Prices'!$B$9:$B$11,0)-1,MATCH(AV$1,'[1]End - Use Prices'!$C$7:$AL$7,0))</f>
        <v>65.95</v>
      </c>
      <c r="AW68" s="41">
        <f>INDEX('[1]End - Use Prices'!$C$6:$AL$89,MATCH($C68,'[1]End - Use Prices'!$A$6:$A$89,0)+MATCH($D68,'[1]End - Use Prices'!$B$9:$B$11,0)-1,MATCH(AW$1,'[1]End - Use Prices'!$C$7:$AL$7,0))</f>
        <v>66.47</v>
      </c>
      <c r="AX68" s="41">
        <f>INDEX('[1]End - Use Prices'!$C$6:$AL$89,MATCH($C68,'[1]End - Use Prices'!$A$6:$A$89,0)+MATCH($D68,'[1]End - Use Prices'!$B$9:$B$11,0)-1,MATCH(AX$1,'[1]End - Use Prices'!$C$7:$AL$7,0))</f>
        <v>66.989999999999995</v>
      </c>
      <c r="AY68" s="41">
        <f>INDEX('[1]End - Use Prices'!$C$6:$AL$89,MATCH($C68,'[1]End - Use Prices'!$A$6:$A$89,0)+MATCH($D68,'[1]End - Use Prices'!$B$9:$B$11,0)-1,MATCH(AY$1,'[1]End - Use Prices'!$C$7:$AL$7,0))</f>
        <v>67.510000000000005</v>
      </c>
      <c r="AZ68" s="41">
        <f>INDEX('[1]End - Use Prices'!$C$6:$AL$89,MATCH($C68,'[1]End - Use Prices'!$A$6:$A$89,0)+MATCH($D68,'[1]End - Use Prices'!$B$9:$B$11,0)-1,MATCH(AZ$1,'[1]End - Use Prices'!$C$7:$AL$7,0))</f>
        <v>68.02</v>
      </c>
      <c r="BA68" s="41">
        <f>INDEX('[1]End - Use Prices'!$C$6:$AL$89,MATCH($C68,'[1]End - Use Prices'!$A$6:$A$89,0)+MATCH($D68,'[1]End - Use Prices'!$B$9:$B$11,0)-1,MATCH(BA$1,'[1]End - Use Prices'!$C$7:$AL$7,0))</f>
        <v>68.53</v>
      </c>
      <c r="BB68" s="41">
        <f>INDEX('[1]End - Use Prices'!$C$6:$AL$89,MATCH($C68,'[1]End - Use Prices'!$A$6:$A$89,0)+MATCH($D68,'[1]End - Use Prices'!$B$9:$B$11,0)-1,MATCH(BB$1,'[1]End - Use Prices'!$C$7:$AL$7,0))</f>
        <v>69.05</v>
      </c>
      <c r="BC68" s="41">
        <f>INDEX('[1]End - Use Prices'!$C$6:$AL$89,MATCH($C68,'[1]End - Use Prices'!$A$6:$A$89,0)+MATCH($D68,'[1]End - Use Prices'!$B$9:$B$11,0)-1,MATCH(BC$1,'[1]End - Use Prices'!$C$7:$AL$7,0))</f>
        <v>69.569999999999993</v>
      </c>
      <c r="BD68" s="41">
        <f>INDEX('[1]End - Use Prices'!$C$6:$AL$89,MATCH($C68,'[1]End - Use Prices'!$A$6:$A$89,0)+MATCH($D68,'[1]End - Use Prices'!$B$9:$B$11,0)-1,MATCH(BD$1,'[1]End - Use Prices'!$C$7:$AL$7,0))</f>
        <v>70.09</v>
      </c>
      <c r="BE68" s="41">
        <f>INDEX('[1]End - Use Prices'!$C$6:$AL$89,MATCH($C68,'[1]End - Use Prices'!$A$6:$A$89,0)+MATCH($D68,'[1]End - Use Prices'!$B$9:$B$11,0)-1,MATCH(BE$1,'[1]End - Use Prices'!$C$7:$AL$7,0))</f>
        <v>70.62</v>
      </c>
      <c r="BF68" s="41">
        <f>INDEX('[1]End - Use Prices'!$C$6:$AL$89,MATCH($C68,'[1]End - Use Prices'!$A$6:$A$89,0)+MATCH($D68,'[1]End - Use Prices'!$B$9:$B$11,0)-1,MATCH(BF$1,'[1]End - Use Prices'!$C$7:$AL$7,0))</f>
        <v>71.150000000000006</v>
      </c>
      <c r="BG68" s="41">
        <f>INDEX('[1]End - Use Prices'!$C$6:$AL$89,MATCH($C68,'[1]End - Use Prices'!$A$6:$A$89,0)+MATCH($D68,'[1]End - Use Prices'!$B$9:$B$11,0)-1,MATCH(BG$1,'[1]End - Use Prices'!$C$7:$AL$7,0))</f>
        <v>71.69</v>
      </c>
      <c r="BR68" s="39"/>
      <c r="BS68" s="39"/>
      <c r="BT68" s="39"/>
      <c r="BU68" s="39"/>
      <c r="BV68" s="39"/>
      <c r="BW68" s="39"/>
      <c r="BX68" s="39"/>
      <c r="BY68" s="39"/>
      <c r="BZ68" s="39"/>
      <c r="CA68" s="39"/>
    </row>
    <row r="69" spans="1:79" x14ac:dyDescent="0.25">
      <c r="A69" s="5"/>
      <c r="B69" s="3"/>
      <c r="C69" s="25" t="s">
        <v>91</v>
      </c>
      <c r="D69" s="25" t="s">
        <v>2</v>
      </c>
      <c r="E69" s="25" t="s">
        <v>282</v>
      </c>
      <c r="F69" s="67" t="s">
        <v>279</v>
      </c>
      <c r="G69" s="53">
        <f t="shared" si="11"/>
        <v>23.08</v>
      </c>
      <c r="H69" s="34">
        <f t="shared" si="12"/>
        <v>23.08</v>
      </c>
      <c r="I69" s="34">
        <f t="shared" si="12"/>
        <v>24.17</v>
      </c>
      <c r="J69" s="34">
        <f t="shared" si="12"/>
        <v>26.03</v>
      </c>
      <c r="K69" s="34">
        <f t="shared" si="12"/>
        <v>28.24</v>
      </c>
      <c r="L69" s="34">
        <f t="shared" si="12"/>
        <v>29.99</v>
      </c>
      <c r="M69" s="34">
        <f t="shared" si="12"/>
        <v>31.58</v>
      </c>
      <c r="N69" s="34">
        <f t="shared" si="12"/>
        <v>32.82</v>
      </c>
      <c r="O69" s="34">
        <f t="shared" si="12"/>
        <v>33.51</v>
      </c>
      <c r="P69" s="53">
        <f t="shared" si="13"/>
        <v>33.51</v>
      </c>
      <c r="Q69" s="53">
        <f t="shared" si="13"/>
        <v>33.51</v>
      </c>
      <c r="R69" s="38"/>
      <c r="X69" s="41">
        <f>INDEX('[1]End - Use Prices'!$C$6:$AL$89,MATCH($C69,'[1]End - Use Prices'!$A$6:$A$89,0)+MATCH($D69,'[1]End - Use Prices'!$B$9:$B$11,0)-1,MATCH(X$1,'[1]End - Use Prices'!$C$7:$AL$7,0))</f>
        <v>23.08</v>
      </c>
      <c r="Y69" s="41">
        <f>INDEX('[1]End - Use Prices'!$C$6:$AL$89,MATCH($C69,'[1]End - Use Prices'!$A$6:$A$89,0)+MATCH($D69,'[1]End - Use Prices'!$B$9:$B$11,0)-1,MATCH(Y$1,'[1]End - Use Prices'!$C$7:$AL$7,0))</f>
        <v>23.95</v>
      </c>
      <c r="Z69" s="41">
        <f>INDEX('[1]End - Use Prices'!$C$6:$AL$89,MATCH($C69,'[1]End - Use Prices'!$A$6:$A$89,0)+MATCH($D69,'[1]End - Use Prices'!$B$9:$B$11,0)-1,MATCH(Z$1,'[1]End - Use Prices'!$C$7:$AL$7,0))</f>
        <v>23.39</v>
      </c>
      <c r="AA69" s="41">
        <f>INDEX('[1]End - Use Prices'!$C$6:$AL$89,MATCH($C69,'[1]End - Use Prices'!$A$6:$A$89,0)+MATCH($D69,'[1]End - Use Prices'!$B$9:$B$11,0)-1,MATCH(AA$1,'[1]End - Use Prices'!$C$7:$AL$7,0))</f>
        <v>22.1</v>
      </c>
      <c r="AB69" s="41">
        <f>INDEX('[1]End - Use Prices'!$C$6:$AL$89,MATCH($C69,'[1]End - Use Prices'!$A$6:$A$89,0)+MATCH($D69,'[1]End - Use Prices'!$B$9:$B$11,0)-1,MATCH(AB$1,'[1]End - Use Prices'!$C$7:$AL$7,0))</f>
        <v>24.37</v>
      </c>
      <c r="AC69" s="41">
        <f>INDEX('[1]End - Use Prices'!$C$6:$AL$89,MATCH($C69,'[1]End - Use Prices'!$A$6:$A$89,0)+MATCH($D69,'[1]End - Use Prices'!$B$9:$B$11,0)-1,MATCH(AC$1,'[1]End - Use Prices'!$C$7:$AL$7,0))</f>
        <v>24.17</v>
      </c>
      <c r="AD69" s="41">
        <f>INDEX('[1]End - Use Prices'!$C$6:$AL$89,MATCH($C69,'[1]End - Use Prices'!$A$6:$A$89,0)+MATCH($D69,'[1]End - Use Prices'!$B$9:$B$11,0)-1,MATCH(AD$1,'[1]End - Use Prices'!$C$7:$AL$7,0))</f>
        <v>24.13</v>
      </c>
      <c r="AE69" s="41">
        <f>INDEX('[1]End - Use Prices'!$C$6:$AL$89,MATCH($C69,'[1]End - Use Prices'!$A$6:$A$89,0)+MATCH($D69,'[1]End - Use Prices'!$B$9:$B$11,0)-1,MATCH(AE$1,'[1]End - Use Prices'!$C$7:$AL$7,0))</f>
        <v>24.35</v>
      </c>
      <c r="AF69" s="41">
        <f>INDEX('[1]End - Use Prices'!$C$6:$AL$89,MATCH($C69,'[1]End - Use Prices'!$A$6:$A$89,0)+MATCH($D69,'[1]End - Use Prices'!$B$9:$B$11,0)-1,MATCH(AF$1,'[1]End - Use Prices'!$C$7:$AL$7,0))</f>
        <v>24.49</v>
      </c>
      <c r="AG69" s="41">
        <f>INDEX('[1]End - Use Prices'!$C$6:$AL$89,MATCH($C69,'[1]End - Use Prices'!$A$6:$A$89,0)+MATCH($D69,'[1]End - Use Prices'!$B$9:$B$11,0)-1,MATCH(AG$1,'[1]End - Use Prices'!$C$7:$AL$7,0))</f>
        <v>25.11</v>
      </c>
      <c r="AH69" s="41">
        <f>INDEX('[1]End - Use Prices'!$C$6:$AL$89,MATCH($C69,'[1]End - Use Prices'!$A$6:$A$89,0)+MATCH($D69,'[1]End - Use Prices'!$B$9:$B$11,0)-1,MATCH(AH$1,'[1]End - Use Prices'!$C$7:$AL$7,0))</f>
        <v>26.03</v>
      </c>
      <c r="AI69" s="41">
        <f>INDEX('[1]End - Use Prices'!$C$6:$AL$89,MATCH($C69,'[1]End - Use Prices'!$A$6:$A$89,0)+MATCH($D69,'[1]End - Use Prices'!$B$9:$B$11,0)-1,MATCH(AI$1,'[1]End - Use Prices'!$C$7:$AL$7,0))</f>
        <v>26.89</v>
      </c>
      <c r="AJ69" s="41">
        <f>INDEX('[1]End - Use Prices'!$C$6:$AL$89,MATCH($C69,'[1]End - Use Prices'!$A$6:$A$89,0)+MATCH($D69,'[1]End - Use Prices'!$B$9:$B$11,0)-1,MATCH(AJ$1,'[1]End - Use Prices'!$C$7:$AL$7,0))</f>
        <v>27.19</v>
      </c>
      <c r="AK69" s="41">
        <f>INDEX('[1]End - Use Prices'!$C$6:$AL$89,MATCH($C69,'[1]End - Use Prices'!$A$6:$A$89,0)+MATCH($D69,'[1]End - Use Prices'!$B$9:$B$11,0)-1,MATCH(AK$1,'[1]End - Use Prices'!$C$7:$AL$7,0))</f>
        <v>27.53</v>
      </c>
      <c r="AL69" s="41">
        <f>INDEX('[1]End - Use Prices'!$C$6:$AL$89,MATCH($C69,'[1]End - Use Prices'!$A$6:$A$89,0)+MATCH($D69,'[1]End - Use Prices'!$B$9:$B$11,0)-1,MATCH(AL$1,'[1]End - Use Prices'!$C$7:$AL$7,0))</f>
        <v>27.88</v>
      </c>
      <c r="AM69" s="41">
        <f>INDEX('[1]End - Use Prices'!$C$6:$AL$89,MATCH($C69,'[1]End - Use Prices'!$A$6:$A$89,0)+MATCH($D69,'[1]End - Use Prices'!$B$9:$B$11,0)-1,MATCH(AM$1,'[1]End - Use Prices'!$C$7:$AL$7,0))</f>
        <v>28.24</v>
      </c>
      <c r="AN69" s="41">
        <f>INDEX('[1]End - Use Prices'!$C$6:$AL$89,MATCH($C69,'[1]End - Use Prices'!$A$6:$A$89,0)+MATCH($D69,'[1]End - Use Prices'!$B$9:$B$11,0)-1,MATCH(AN$1,'[1]End - Use Prices'!$C$7:$AL$7,0))</f>
        <v>28.59</v>
      </c>
      <c r="AO69" s="41">
        <f>INDEX('[1]End - Use Prices'!$C$6:$AL$89,MATCH($C69,'[1]End - Use Prices'!$A$6:$A$89,0)+MATCH($D69,'[1]End - Use Prices'!$B$9:$B$11,0)-1,MATCH(AO$1,'[1]End - Use Prices'!$C$7:$AL$7,0))</f>
        <v>28.94</v>
      </c>
      <c r="AP69" s="41">
        <f>INDEX('[1]End - Use Prices'!$C$6:$AL$89,MATCH($C69,'[1]End - Use Prices'!$A$6:$A$89,0)+MATCH($D69,'[1]End - Use Prices'!$B$9:$B$11,0)-1,MATCH(AP$1,'[1]End - Use Prices'!$C$7:$AL$7,0))</f>
        <v>29.29</v>
      </c>
      <c r="AQ69" s="41">
        <f>INDEX('[1]End - Use Prices'!$C$6:$AL$89,MATCH($C69,'[1]End - Use Prices'!$A$6:$A$89,0)+MATCH($D69,'[1]End - Use Prices'!$B$9:$B$11,0)-1,MATCH(AQ$1,'[1]End - Use Prices'!$C$7:$AL$7,0))</f>
        <v>29.64</v>
      </c>
      <c r="AR69" s="41">
        <f>INDEX('[1]End - Use Prices'!$C$6:$AL$89,MATCH($C69,'[1]End - Use Prices'!$A$6:$A$89,0)+MATCH($D69,'[1]End - Use Prices'!$B$9:$B$11,0)-1,MATCH(AR$1,'[1]End - Use Prices'!$C$7:$AL$7,0))</f>
        <v>29.99</v>
      </c>
      <c r="AS69" s="41">
        <f>INDEX('[1]End - Use Prices'!$C$6:$AL$89,MATCH($C69,'[1]End - Use Prices'!$A$6:$A$89,0)+MATCH($D69,'[1]End - Use Prices'!$B$9:$B$11,0)-1,MATCH(AS$1,'[1]End - Use Prices'!$C$7:$AL$7,0))</f>
        <v>30.32</v>
      </c>
      <c r="AT69" s="41">
        <f>INDEX('[1]End - Use Prices'!$C$6:$AL$89,MATCH($C69,'[1]End - Use Prices'!$A$6:$A$89,0)+MATCH($D69,'[1]End - Use Prices'!$B$9:$B$11,0)-1,MATCH(AT$1,'[1]End - Use Prices'!$C$7:$AL$7,0))</f>
        <v>30.65</v>
      </c>
      <c r="AU69" s="41">
        <f>INDEX('[1]End - Use Prices'!$C$6:$AL$89,MATCH($C69,'[1]End - Use Prices'!$A$6:$A$89,0)+MATCH($D69,'[1]End - Use Prices'!$B$9:$B$11,0)-1,MATCH(AU$1,'[1]End - Use Prices'!$C$7:$AL$7,0))</f>
        <v>30.97</v>
      </c>
      <c r="AV69" s="41">
        <f>INDEX('[1]End - Use Prices'!$C$6:$AL$89,MATCH($C69,'[1]End - Use Prices'!$A$6:$A$89,0)+MATCH($D69,'[1]End - Use Prices'!$B$9:$B$11,0)-1,MATCH(AV$1,'[1]End - Use Prices'!$C$7:$AL$7,0))</f>
        <v>31.28</v>
      </c>
      <c r="AW69" s="41">
        <f>INDEX('[1]End - Use Prices'!$C$6:$AL$89,MATCH($C69,'[1]End - Use Prices'!$A$6:$A$89,0)+MATCH($D69,'[1]End - Use Prices'!$B$9:$B$11,0)-1,MATCH(AW$1,'[1]End - Use Prices'!$C$7:$AL$7,0))</f>
        <v>31.58</v>
      </c>
      <c r="AX69" s="41">
        <f>INDEX('[1]End - Use Prices'!$C$6:$AL$89,MATCH($C69,'[1]End - Use Prices'!$A$6:$A$89,0)+MATCH($D69,'[1]End - Use Prices'!$B$9:$B$11,0)-1,MATCH(AX$1,'[1]End - Use Prices'!$C$7:$AL$7,0))</f>
        <v>31.86</v>
      </c>
      <c r="AY69" s="41">
        <f>INDEX('[1]End - Use Prices'!$C$6:$AL$89,MATCH($C69,'[1]End - Use Prices'!$A$6:$A$89,0)+MATCH($D69,'[1]End - Use Prices'!$B$9:$B$11,0)-1,MATCH(AY$1,'[1]End - Use Prices'!$C$7:$AL$7,0))</f>
        <v>32.130000000000003</v>
      </c>
      <c r="AZ69" s="41">
        <f>INDEX('[1]End - Use Prices'!$C$6:$AL$89,MATCH($C69,'[1]End - Use Prices'!$A$6:$A$89,0)+MATCH($D69,'[1]End - Use Prices'!$B$9:$B$11,0)-1,MATCH(AZ$1,'[1]End - Use Prices'!$C$7:$AL$7,0))</f>
        <v>32.380000000000003</v>
      </c>
      <c r="BA69" s="41">
        <f>INDEX('[1]End - Use Prices'!$C$6:$AL$89,MATCH($C69,'[1]End - Use Prices'!$A$6:$A$89,0)+MATCH($D69,'[1]End - Use Prices'!$B$9:$B$11,0)-1,MATCH(BA$1,'[1]End - Use Prices'!$C$7:$AL$7,0))</f>
        <v>32.61</v>
      </c>
      <c r="BB69" s="41">
        <f>INDEX('[1]End - Use Prices'!$C$6:$AL$89,MATCH($C69,'[1]End - Use Prices'!$A$6:$A$89,0)+MATCH($D69,'[1]End - Use Prices'!$B$9:$B$11,0)-1,MATCH(BB$1,'[1]End - Use Prices'!$C$7:$AL$7,0))</f>
        <v>32.82</v>
      </c>
      <c r="BC69" s="41">
        <f>INDEX('[1]End - Use Prices'!$C$6:$AL$89,MATCH($C69,'[1]End - Use Prices'!$A$6:$A$89,0)+MATCH($D69,'[1]End - Use Prices'!$B$9:$B$11,0)-1,MATCH(BC$1,'[1]End - Use Prices'!$C$7:$AL$7,0))</f>
        <v>33.01</v>
      </c>
      <c r="BD69" s="41">
        <f>INDEX('[1]End - Use Prices'!$C$6:$AL$89,MATCH($C69,'[1]End - Use Prices'!$A$6:$A$89,0)+MATCH($D69,'[1]End - Use Prices'!$B$9:$B$11,0)-1,MATCH(BD$1,'[1]End - Use Prices'!$C$7:$AL$7,0))</f>
        <v>33.17</v>
      </c>
      <c r="BE69" s="41">
        <f>INDEX('[1]End - Use Prices'!$C$6:$AL$89,MATCH($C69,'[1]End - Use Prices'!$A$6:$A$89,0)+MATCH($D69,'[1]End - Use Prices'!$B$9:$B$11,0)-1,MATCH(BE$1,'[1]End - Use Prices'!$C$7:$AL$7,0))</f>
        <v>33.31</v>
      </c>
      <c r="BF69" s="41">
        <f>INDEX('[1]End - Use Prices'!$C$6:$AL$89,MATCH($C69,'[1]End - Use Prices'!$A$6:$A$89,0)+MATCH($D69,'[1]End - Use Prices'!$B$9:$B$11,0)-1,MATCH(BF$1,'[1]End - Use Prices'!$C$7:$AL$7,0))</f>
        <v>33.43</v>
      </c>
      <c r="BG69" s="41">
        <f>INDEX('[1]End - Use Prices'!$C$6:$AL$89,MATCH($C69,'[1]End - Use Prices'!$A$6:$A$89,0)+MATCH($D69,'[1]End - Use Prices'!$B$9:$B$11,0)-1,MATCH(BG$1,'[1]End - Use Prices'!$C$7:$AL$7,0))</f>
        <v>33.51</v>
      </c>
      <c r="BR69" s="39"/>
      <c r="BS69" s="39"/>
      <c r="BT69" s="39"/>
      <c r="BU69" s="39"/>
      <c r="BV69" s="39"/>
      <c r="BW69" s="39"/>
      <c r="BX69" s="39"/>
      <c r="BY69" s="39"/>
      <c r="BZ69" s="39"/>
      <c r="CA69" s="39"/>
    </row>
    <row r="70" spans="1:79" x14ac:dyDescent="0.25">
      <c r="A70" s="5"/>
      <c r="B70" s="3"/>
      <c r="C70" s="25" t="s">
        <v>92</v>
      </c>
      <c r="D70" s="25" t="s">
        <v>2</v>
      </c>
      <c r="E70" s="25" t="s">
        <v>282</v>
      </c>
      <c r="F70" s="67" t="s">
        <v>279</v>
      </c>
      <c r="G70" s="53">
        <f t="shared" si="11"/>
        <v>36.07</v>
      </c>
      <c r="H70" s="34">
        <f t="shared" si="12"/>
        <v>36.07</v>
      </c>
      <c r="I70" s="34">
        <f t="shared" si="12"/>
        <v>42.93</v>
      </c>
      <c r="J70" s="34">
        <f t="shared" si="12"/>
        <v>48.06</v>
      </c>
      <c r="K70" s="34">
        <f t="shared" si="12"/>
        <v>51.84</v>
      </c>
      <c r="L70" s="34">
        <f t="shared" si="12"/>
        <v>54.59</v>
      </c>
      <c r="M70" s="34">
        <f t="shared" si="12"/>
        <v>56.35</v>
      </c>
      <c r="N70" s="34">
        <f t="shared" si="12"/>
        <v>57.81</v>
      </c>
      <c r="O70" s="34">
        <f t="shared" si="12"/>
        <v>59.66</v>
      </c>
      <c r="P70" s="53">
        <f t="shared" si="13"/>
        <v>59.66</v>
      </c>
      <c r="Q70" s="53">
        <f t="shared" si="13"/>
        <v>59.66</v>
      </c>
      <c r="R70" s="38"/>
      <c r="X70" s="41">
        <f>INDEX('[1]End - Use Prices'!$C$6:$AL$89,MATCH($C70,'[1]End - Use Prices'!$A$6:$A$89,0)+MATCH($D70,'[1]End - Use Prices'!$B$9:$B$11,0)-1,MATCH(X$1,'[1]End - Use Prices'!$C$7:$AL$7,0))</f>
        <v>36.07</v>
      </c>
      <c r="Y70" s="41">
        <f>INDEX('[1]End - Use Prices'!$C$6:$AL$89,MATCH($C70,'[1]End - Use Prices'!$A$6:$A$89,0)+MATCH($D70,'[1]End - Use Prices'!$B$9:$B$11,0)-1,MATCH(Y$1,'[1]End - Use Prices'!$C$7:$AL$7,0))</f>
        <v>42.3</v>
      </c>
      <c r="Z70" s="41">
        <f>INDEX('[1]End - Use Prices'!$C$6:$AL$89,MATCH($C70,'[1]End - Use Prices'!$A$6:$A$89,0)+MATCH($D70,'[1]End - Use Prices'!$B$9:$B$11,0)-1,MATCH(Z$1,'[1]End - Use Prices'!$C$7:$AL$7,0))</f>
        <v>41.68</v>
      </c>
      <c r="AA70" s="41">
        <f>INDEX('[1]End - Use Prices'!$C$6:$AL$89,MATCH($C70,'[1]End - Use Prices'!$A$6:$A$89,0)+MATCH($D70,'[1]End - Use Prices'!$B$9:$B$11,0)-1,MATCH(AA$1,'[1]End - Use Prices'!$C$7:$AL$7,0))</f>
        <v>39.369999999999997</v>
      </c>
      <c r="AB70" s="41">
        <f>INDEX('[1]End - Use Prices'!$C$6:$AL$89,MATCH($C70,'[1]End - Use Prices'!$A$6:$A$89,0)+MATCH($D70,'[1]End - Use Prices'!$B$9:$B$11,0)-1,MATCH(AB$1,'[1]End - Use Prices'!$C$7:$AL$7,0))</f>
        <v>40.299999999999997</v>
      </c>
      <c r="AC70" s="41">
        <f>INDEX('[1]End - Use Prices'!$C$6:$AL$89,MATCH($C70,'[1]End - Use Prices'!$A$6:$A$89,0)+MATCH($D70,'[1]End - Use Prices'!$B$9:$B$11,0)-1,MATCH(AC$1,'[1]End - Use Prices'!$C$7:$AL$7,0))</f>
        <v>42.93</v>
      </c>
      <c r="AD70" s="41">
        <f>INDEX('[1]End - Use Prices'!$C$6:$AL$89,MATCH($C70,'[1]End - Use Prices'!$A$6:$A$89,0)+MATCH($D70,'[1]End - Use Prices'!$B$9:$B$11,0)-1,MATCH(AD$1,'[1]End - Use Prices'!$C$7:$AL$7,0))</f>
        <v>43.6</v>
      </c>
      <c r="AE70" s="41">
        <f>INDEX('[1]End - Use Prices'!$C$6:$AL$89,MATCH($C70,'[1]End - Use Prices'!$A$6:$A$89,0)+MATCH($D70,'[1]End - Use Prices'!$B$9:$B$11,0)-1,MATCH(AE$1,'[1]End - Use Prices'!$C$7:$AL$7,0))</f>
        <v>43.08</v>
      </c>
      <c r="AF70" s="41">
        <f>INDEX('[1]End - Use Prices'!$C$6:$AL$89,MATCH($C70,'[1]End - Use Prices'!$A$6:$A$89,0)+MATCH($D70,'[1]End - Use Prices'!$B$9:$B$11,0)-1,MATCH(AF$1,'[1]End - Use Prices'!$C$7:$AL$7,0))</f>
        <v>44.44</v>
      </c>
      <c r="AG70" s="41">
        <f>INDEX('[1]End - Use Prices'!$C$6:$AL$89,MATCH($C70,'[1]End - Use Prices'!$A$6:$A$89,0)+MATCH($D70,'[1]End - Use Prices'!$B$9:$B$11,0)-1,MATCH(AG$1,'[1]End - Use Prices'!$C$7:$AL$7,0))</f>
        <v>46.3</v>
      </c>
      <c r="AH70" s="41">
        <f>INDEX('[1]End - Use Prices'!$C$6:$AL$89,MATCH($C70,'[1]End - Use Prices'!$A$6:$A$89,0)+MATCH($D70,'[1]End - Use Prices'!$B$9:$B$11,0)-1,MATCH(AH$1,'[1]End - Use Prices'!$C$7:$AL$7,0))</f>
        <v>48.06</v>
      </c>
      <c r="AI70" s="41">
        <f>INDEX('[1]End - Use Prices'!$C$6:$AL$89,MATCH($C70,'[1]End - Use Prices'!$A$6:$A$89,0)+MATCH($D70,'[1]End - Use Prices'!$B$9:$B$11,0)-1,MATCH(AI$1,'[1]End - Use Prices'!$C$7:$AL$7,0))</f>
        <v>48.66</v>
      </c>
      <c r="AJ70" s="41">
        <f>INDEX('[1]End - Use Prices'!$C$6:$AL$89,MATCH($C70,'[1]End - Use Prices'!$A$6:$A$89,0)+MATCH($D70,'[1]End - Use Prices'!$B$9:$B$11,0)-1,MATCH(AJ$1,'[1]End - Use Prices'!$C$7:$AL$7,0))</f>
        <v>49.42</v>
      </c>
      <c r="AK70" s="41">
        <f>INDEX('[1]End - Use Prices'!$C$6:$AL$89,MATCH($C70,'[1]End - Use Prices'!$A$6:$A$89,0)+MATCH($D70,'[1]End - Use Prices'!$B$9:$B$11,0)-1,MATCH(AK$1,'[1]End - Use Prices'!$C$7:$AL$7,0))</f>
        <v>50.31</v>
      </c>
      <c r="AL70" s="41">
        <f>INDEX('[1]End - Use Prices'!$C$6:$AL$89,MATCH($C70,'[1]End - Use Prices'!$A$6:$A$89,0)+MATCH($D70,'[1]End - Use Prices'!$B$9:$B$11,0)-1,MATCH(AL$1,'[1]End - Use Prices'!$C$7:$AL$7,0))</f>
        <v>51.11</v>
      </c>
      <c r="AM70" s="41">
        <f>INDEX('[1]End - Use Prices'!$C$6:$AL$89,MATCH($C70,'[1]End - Use Prices'!$A$6:$A$89,0)+MATCH($D70,'[1]End - Use Prices'!$B$9:$B$11,0)-1,MATCH(AM$1,'[1]End - Use Prices'!$C$7:$AL$7,0))</f>
        <v>51.84</v>
      </c>
      <c r="AN70" s="41">
        <f>INDEX('[1]End - Use Prices'!$C$6:$AL$89,MATCH($C70,'[1]End - Use Prices'!$A$6:$A$89,0)+MATCH($D70,'[1]End - Use Prices'!$B$9:$B$11,0)-1,MATCH(AN$1,'[1]End - Use Prices'!$C$7:$AL$7,0))</f>
        <v>52.5</v>
      </c>
      <c r="AO70" s="41">
        <f>INDEX('[1]End - Use Prices'!$C$6:$AL$89,MATCH($C70,'[1]End - Use Prices'!$A$6:$A$89,0)+MATCH($D70,'[1]End - Use Prices'!$B$9:$B$11,0)-1,MATCH(AO$1,'[1]End - Use Prices'!$C$7:$AL$7,0))</f>
        <v>53.11</v>
      </c>
      <c r="AP70" s="41">
        <f>INDEX('[1]End - Use Prices'!$C$6:$AL$89,MATCH($C70,'[1]End - Use Prices'!$A$6:$A$89,0)+MATCH($D70,'[1]End - Use Prices'!$B$9:$B$11,0)-1,MATCH(AP$1,'[1]End - Use Prices'!$C$7:$AL$7,0))</f>
        <v>53.65</v>
      </c>
      <c r="AQ70" s="41">
        <f>INDEX('[1]End - Use Prices'!$C$6:$AL$89,MATCH($C70,'[1]End - Use Prices'!$A$6:$A$89,0)+MATCH($D70,'[1]End - Use Prices'!$B$9:$B$11,0)-1,MATCH(AQ$1,'[1]End - Use Prices'!$C$7:$AL$7,0))</f>
        <v>54.15</v>
      </c>
      <c r="AR70" s="41">
        <f>INDEX('[1]End - Use Prices'!$C$6:$AL$89,MATCH($C70,'[1]End - Use Prices'!$A$6:$A$89,0)+MATCH($D70,'[1]End - Use Prices'!$B$9:$B$11,0)-1,MATCH(AR$1,'[1]End - Use Prices'!$C$7:$AL$7,0))</f>
        <v>54.59</v>
      </c>
      <c r="AS70" s="41">
        <f>INDEX('[1]End - Use Prices'!$C$6:$AL$89,MATCH($C70,'[1]End - Use Prices'!$A$6:$A$89,0)+MATCH($D70,'[1]End - Use Prices'!$B$9:$B$11,0)-1,MATCH(AS$1,'[1]End - Use Prices'!$C$7:$AL$7,0))</f>
        <v>55</v>
      </c>
      <c r="AT70" s="41">
        <f>INDEX('[1]End - Use Prices'!$C$6:$AL$89,MATCH($C70,'[1]End - Use Prices'!$A$6:$A$89,0)+MATCH($D70,'[1]End - Use Prices'!$B$9:$B$11,0)-1,MATCH(AT$1,'[1]End - Use Prices'!$C$7:$AL$7,0))</f>
        <v>55.38</v>
      </c>
      <c r="AU70" s="41">
        <f>INDEX('[1]End - Use Prices'!$C$6:$AL$89,MATCH($C70,'[1]End - Use Prices'!$A$6:$A$89,0)+MATCH($D70,'[1]End - Use Prices'!$B$9:$B$11,0)-1,MATCH(AU$1,'[1]End - Use Prices'!$C$7:$AL$7,0))</f>
        <v>55.73</v>
      </c>
      <c r="AV70" s="41">
        <f>INDEX('[1]End - Use Prices'!$C$6:$AL$89,MATCH($C70,'[1]End - Use Prices'!$A$6:$A$89,0)+MATCH($D70,'[1]End - Use Prices'!$B$9:$B$11,0)-1,MATCH(AV$1,'[1]End - Use Prices'!$C$7:$AL$7,0))</f>
        <v>56.05</v>
      </c>
      <c r="AW70" s="41">
        <f>INDEX('[1]End - Use Prices'!$C$6:$AL$89,MATCH($C70,'[1]End - Use Prices'!$A$6:$A$89,0)+MATCH($D70,'[1]End - Use Prices'!$B$9:$B$11,0)-1,MATCH(AW$1,'[1]End - Use Prices'!$C$7:$AL$7,0))</f>
        <v>56.35</v>
      </c>
      <c r="AX70" s="41">
        <f>INDEX('[1]End - Use Prices'!$C$6:$AL$89,MATCH($C70,'[1]End - Use Prices'!$A$6:$A$89,0)+MATCH($D70,'[1]End - Use Prices'!$B$9:$B$11,0)-1,MATCH(AX$1,'[1]End - Use Prices'!$C$7:$AL$7,0))</f>
        <v>56.65</v>
      </c>
      <c r="AY70" s="41">
        <f>INDEX('[1]End - Use Prices'!$C$6:$AL$89,MATCH($C70,'[1]End - Use Prices'!$A$6:$A$89,0)+MATCH($D70,'[1]End - Use Prices'!$B$9:$B$11,0)-1,MATCH(AY$1,'[1]End - Use Prices'!$C$7:$AL$7,0))</f>
        <v>56.93</v>
      </c>
      <c r="AZ70" s="41">
        <f>INDEX('[1]End - Use Prices'!$C$6:$AL$89,MATCH($C70,'[1]End - Use Prices'!$A$6:$A$89,0)+MATCH($D70,'[1]End - Use Prices'!$B$9:$B$11,0)-1,MATCH(AZ$1,'[1]End - Use Prices'!$C$7:$AL$7,0))</f>
        <v>57.22</v>
      </c>
      <c r="BA70" s="41">
        <f>INDEX('[1]End - Use Prices'!$C$6:$AL$89,MATCH($C70,'[1]End - Use Prices'!$A$6:$A$89,0)+MATCH($D70,'[1]End - Use Prices'!$B$9:$B$11,0)-1,MATCH(BA$1,'[1]End - Use Prices'!$C$7:$AL$7,0))</f>
        <v>57.51</v>
      </c>
      <c r="BB70" s="41">
        <f>INDEX('[1]End - Use Prices'!$C$6:$AL$89,MATCH($C70,'[1]End - Use Prices'!$A$6:$A$89,0)+MATCH($D70,'[1]End - Use Prices'!$B$9:$B$11,0)-1,MATCH(BB$1,'[1]End - Use Prices'!$C$7:$AL$7,0))</f>
        <v>57.81</v>
      </c>
      <c r="BC70" s="41">
        <f>INDEX('[1]End - Use Prices'!$C$6:$AL$89,MATCH($C70,'[1]End - Use Prices'!$A$6:$A$89,0)+MATCH($D70,'[1]End - Use Prices'!$B$9:$B$11,0)-1,MATCH(BC$1,'[1]End - Use Prices'!$C$7:$AL$7,0))</f>
        <v>58.13</v>
      </c>
      <c r="BD70" s="41">
        <f>INDEX('[1]End - Use Prices'!$C$6:$AL$89,MATCH($C70,'[1]End - Use Prices'!$A$6:$A$89,0)+MATCH($D70,'[1]End - Use Prices'!$B$9:$B$11,0)-1,MATCH(BD$1,'[1]End - Use Prices'!$C$7:$AL$7,0))</f>
        <v>58.47</v>
      </c>
      <c r="BE70" s="41">
        <f>INDEX('[1]End - Use Prices'!$C$6:$AL$89,MATCH($C70,'[1]End - Use Prices'!$A$6:$A$89,0)+MATCH($D70,'[1]End - Use Prices'!$B$9:$B$11,0)-1,MATCH(BE$1,'[1]End - Use Prices'!$C$7:$AL$7,0))</f>
        <v>58.83</v>
      </c>
      <c r="BF70" s="41">
        <f>INDEX('[1]End - Use Prices'!$C$6:$AL$89,MATCH($C70,'[1]End - Use Prices'!$A$6:$A$89,0)+MATCH($D70,'[1]End - Use Prices'!$B$9:$B$11,0)-1,MATCH(BF$1,'[1]End - Use Prices'!$C$7:$AL$7,0))</f>
        <v>59.23</v>
      </c>
      <c r="BG70" s="41">
        <f>INDEX('[1]End - Use Prices'!$C$6:$AL$89,MATCH($C70,'[1]End - Use Prices'!$A$6:$A$89,0)+MATCH($D70,'[1]End - Use Prices'!$B$9:$B$11,0)-1,MATCH(BG$1,'[1]End - Use Prices'!$C$7:$AL$7,0))</f>
        <v>59.66</v>
      </c>
      <c r="BR70" s="39"/>
      <c r="BS70" s="39"/>
      <c r="BT70" s="39"/>
      <c r="BU70" s="39"/>
      <c r="BV70" s="39"/>
      <c r="BW70" s="39"/>
      <c r="BX70" s="39"/>
      <c r="BY70" s="39"/>
      <c r="BZ70" s="39"/>
      <c r="CA70" s="39"/>
    </row>
    <row r="71" spans="1:79" x14ac:dyDescent="0.25">
      <c r="A71" s="5"/>
      <c r="B71" s="3"/>
      <c r="C71" s="25" t="s">
        <v>5</v>
      </c>
      <c r="D71" s="25" t="s">
        <v>2</v>
      </c>
      <c r="E71" s="25" t="s">
        <v>282</v>
      </c>
      <c r="F71" s="67" t="s">
        <v>279</v>
      </c>
      <c r="G71" s="53">
        <f t="shared" si="11"/>
        <v>30.07</v>
      </c>
      <c r="H71" s="34">
        <f t="shared" si="12"/>
        <v>30.07</v>
      </c>
      <c r="I71" s="34">
        <f t="shared" si="12"/>
        <v>31.25</v>
      </c>
      <c r="J71" s="34">
        <f t="shared" si="12"/>
        <v>33.81</v>
      </c>
      <c r="K71" s="34">
        <f t="shared" si="12"/>
        <v>32.520000000000003</v>
      </c>
      <c r="L71" s="34">
        <f t="shared" si="12"/>
        <v>35.47</v>
      </c>
      <c r="M71" s="34">
        <f t="shared" si="12"/>
        <v>37.57</v>
      </c>
      <c r="N71" s="34">
        <f t="shared" si="12"/>
        <v>38.39</v>
      </c>
      <c r="O71" s="34">
        <f t="shared" si="12"/>
        <v>37.54</v>
      </c>
      <c r="P71" s="53">
        <f t="shared" si="13"/>
        <v>37.54</v>
      </c>
      <c r="Q71" s="53">
        <f t="shared" si="13"/>
        <v>37.54</v>
      </c>
      <c r="R71" s="38"/>
      <c r="X71" s="41">
        <f>INDEX('[1]End - Use Prices'!$C$6:$AL$89,MATCH($C71,'[1]End - Use Prices'!$A$6:$A$89,0)+MATCH($D71,'[1]End - Use Prices'!$B$9:$B$11,0)-1,MATCH(X$1,'[1]End - Use Prices'!$C$7:$AL$7,0))</f>
        <v>30.07</v>
      </c>
      <c r="Y71" s="41">
        <f>INDEX('[1]End - Use Prices'!$C$6:$AL$89,MATCH($C71,'[1]End - Use Prices'!$A$6:$A$89,0)+MATCH($D71,'[1]End - Use Prices'!$B$9:$B$11,0)-1,MATCH(Y$1,'[1]End - Use Prices'!$C$7:$AL$7,0))</f>
        <v>35.659999999999997</v>
      </c>
      <c r="Z71" s="41">
        <f>INDEX('[1]End - Use Prices'!$C$6:$AL$89,MATCH($C71,'[1]End - Use Prices'!$A$6:$A$89,0)+MATCH($D71,'[1]End - Use Prices'!$B$9:$B$11,0)-1,MATCH(Z$1,'[1]End - Use Prices'!$C$7:$AL$7,0))</f>
        <v>38.57</v>
      </c>
      <c r="AA71" s="41">
        <f>INDEX('[1]End - Use Prices'!$C$6:$AL$89,MATCH($C71,'[1]End - Use Prices'!$A$6:$A$89,0)+MATCH($D71,'[1]End - Use Prices'!$B$9:$B$11,0)-1,MATCH(AA$1,'[1]End - Use Prices'!$C$7:$AL$7,0))</f>
        <v>42.28</v>
      </c>
      <c r="AB71" s="41">
        <f>INDEX('[1]End - Use Prices'!$C$6:$AL$89,MATCH($C71,'[1]End - Use Prices'!$A$6:$A$89,0)+MATCH($D71,'[1]End - Use Prices'!$B$9:$B$11,0)-1,MATCH(AB$1,'[1]End - Use Prices'!$C$7:$AL$7,0))</f>
        <v>36.1</v>
      </c>
      <c r="AC71" s="41">
        <f>INDEX('[1]End - Use Prices'!$C$6:$AL$89,MATCH($C71,'[1]End - Use Prices'!$A$6:$A$89,0)+MATCH($D71,'[1]End - Use Prices'!$B$9:$B$11,0)-1,MATCH(AC$1,'[1]End - Use Prices'!$C$7:$AL$7,0))</f>
        <v>31.25</v>
      </c>
      <c r="AD71" s="41">
        <f>INDEX('[1]End - Use Prices'!$C$6:$AL$89,MATCH($C71,'[1]End - Use Prices'!$A$6:$A$89,0)+MATCH($D71,'[1]End - Use Prices'!$B$9:$B$11,0)-1,MATCH(AD$1,'[1]End - Use Prices'!$C$7:$AL$7,0))</f>
        <v>51.38</v>
      </c>
      <c r="AE71" s="41">
        <f>INDEX('[1]End - Use Prices'!$C$6:$AL$89,MATCH($C71,'[1]End - Use Prices'!$A$6:$A$89,0)+MATCH($D71,'[1]End - Use Prices'!$B$9:$B$11,0)-1,MATCH(AE$1,'[1]End - Use Prices'!$C$7:$AL$7,0))</f>
        <v>40.17</v>
      </c>
      <c r="AF71" s="41">
        <f>INDEX('[1]End - Use Prices'!$C$6:$AL$89,MATCH($C71,'[1]End - Use Prices'!$A$6:$A$89,0)+MATCH($D71,'[1]End - Use Prices'!$B$9:$B$11,0)-1,MATCH(AF$1,'[1]End - Use Prices'!$C$7:$AL$7,0))</f>
        <v>42.35</v>
      </c>
      <c r="AG71" s="41">
        <f>INDEX('[1]End - Use Prices'!$C$6:$AL$89,MATCH($C71,'[1]End - Use Prices'!$A$6:$A$89,0)+MATCH($D71,'[1]End - Use Prices'!$B$9:$B$11,0)-1,MATCH(AG$1,'[1]End - Use Prices'!$C$7:$AL$7,0))</f>
        <v>36.65</v>
      </c>
      <c r="AH71" s="41">
        <f>INDEX('[1]End - Use Prices'!$C$6:$AL$89,MATCH($C71,'[1]End - Use Prices'!$A$6:$A$89,0)+MATCH($D71,'[1]End - Use Prices'!$B$9:$B$11,0)-1,MATCH(AH$1,'[1]End - Use Prices'!$C$7:$AL$7,0))</f>
        <v>33.81</v>
      </c>
      <c r="AI71" s="41">
        <f>INDEX('[1]End - Use Prices'!$C$6:$AL$89,MATCH($C71,'[1]End - Use Prices'!$A$6:$A$89,0)+MATCH($D71,'[1]End - Use Prices'!$B$9:$B$11,0)-1,MATCH(AI$1,'[1]End - Use Prices'!$C$7:$AL$7,0))</f>
        <v>30.08</v>
      </c>
      <c r="AJ71" s="41">
        <f>INDEX('[1]End - Use Prices'!$C$6:$AL$89,MATCH($C71,'[1]End - Use Prices'!$A$6:$A$89,0)+MATCH($D71,'[1]End - Use Prices'!$B$9:$B$11,0)-1,MATCH(AJ$1,'[1]End - Use Prices'!$C$7:$AL$7,0))</f>
        <v>30.5</v>
      </c>
      <c r="AK71" s="41">
        <f>INDEX('[1]End - Use Prices'!$C$6:$AL$89,MATCH($C71,'[1]End - Use Prices'!$A$6:$A$89,0)+MATCH($D71,'[1]End - Use Prices'!$B$9:$B$11,0)-1,MATCH(AK$1,'[1]End - Use Prices'!$C$7:$AL$7,0))</f>
        <v>31.18</v>
      </c>
      <c r="AL71" s="41">
        <f>INDEX('[1]End - Use Prices'!$C$6:$AL$89,MATCH($C71,'[1]End - Use Prices'!$A$6:$A$89,0)+MATCH($D71,'[1]End - Use Prices'!$B$9:$B$11,0)-1,MATCH(AL$1,'[1]End - Use Prices'!$C$7:$AL$7,0))</f>
        <v>31.86</v>
      </c>
      <c r="AM71" s="41">
        <f>INDEX('[1]End - Use Prices'!$C$6:$AL$89,MATCH($C71,'[1]End - Use Prices'!$A$6:$A$89,0)+MATCH($D71,'[1]End - Use Prices'!$B$9:$B$11,0)-1,MATCH(AM$1,'[1]End - Use Prices'!$C$7:$AL$7,0))</f>
        <v>32.520000000000003</v>
      </c>
      <c r="AN71" s="41">
        <f>INDEX('[1]End - Use Prices'!$C$6:$AL$89,MATCH($C71,'[1]End - Use Prices'!$A$6:$A$89,0)+MATCH($D71,'[1]End - Use Prices'!$B$9:$B$11,0)-1,MATCH(AN$1,'[1]End - Use Prices'!$C$7:$AL$7,0))</f>
        <v>33.159999999999997</v>
      </c>
      <c r="AO71" s="41">
        <f>INDEX('[1]End - Use Prices'!$C$6:$AL$89,MATCH($C71,'[1]End - Use Prices'!$A$6:$A$89,0)+MATCH($D71,'[1]End - Use Prices'!$B$9:$B$11,0)-1,MATCH(AO$1,'[1]End - Use Prices'!$C$7:$AL$7,0))</f>
        <v>33.78</v>
      </c>
      <c r="AP71" s="41">
        <f>INDEX('[1]End - Use Prices'!$C$6:$AL$89,MATCH($C71,'[1]End - Use Prices'!$A$6:$A$89,0)+MATCH($D71,'[1]End - Use Prices'!$B$9:$B$11,0)-1,MATCH(AP$1,'[1]End - Use Prices'!$C$7:$AL$7,0))</f>
        <v>34.369999999999997</v>
      </c>
      <c r="AQ71" s="41">
        <f>INDEX('[1]End - Use Prices'!$C$6:$AL$89,MATCH($C71,'[1]End - Use Prices'!$A$6:$A$89,0)+MATCH($D71,'[1]End - Use Prices'!$B$9:$B$11,0)-1,MATCH(AQ$1,'[1]End - Use Prices'!$C$7:$AL$7,0))</f>
        <v>34.94</v>
      </c>
      <c r="AR71" s="41">
        <f>INDEX('[1]End - Use Prices'!$C$6:$AL$89,MATCH($C71,'[1]End - Use Prices'!$A$6:$A$89,0)+MATCH($D71,'[1]End - Use Prices'!$B$9:$B$11,0)-1,MATCH(AR$1,'[1]End - Use Prices'!$C$7:$AL$7,0))</f>
        <v>35.47</v>
      </c>
      <c r="AS71" s="41">
        <f>INDEX('[1]End - Use Prices'!$C$6:$AL$89,MATCH($C71,'[1]End - Use Prices'!$A$6:$A$89,0)+MATCH($D71,'[1]End - Use Prices'!$B$9:$B$11,0)-1,MATCH(AS$1,'[1]End - Use Prices'!$C$7:$AL$7,0))</f>
        <v>35.97</v>
      </c>
      <c r="AT71" s="41">
        <f>INDEX('[1]End - Use Prices'!$C$6:$AL$89,MATCH($C71,'[1]End - Use Prices'!$A$6:$A$89,0)+MATCH($D71,'[1]End - Use Prices'!$B$9:$B$11,0)-1,MATCH(AT$1,'[1]End - Use Prices'!$C$7:$AL$7,0))</f>
        <v>36.44</v>
      </c>
      <c r="AU71" s="41">
        <f>INDEX('[1]End - Use Prices'!$C$6:$AL$89,MATCH($C71,'[1]End - Use Prices'!$A$6:$A$89,0)+MATCH($D71,'[1]End - Use Prices'!$B$9:$B$11,0)-1,MATCH(AU$1,'[1]End - Use Prices'!$C$7:$AL$7,0))</f>
        <v>36.86</v>
      </c>
      <c r="AV71" s="41">
        <f>INDEX('[1]End - Use Prices'!$C$6:$AL$89,MATCH($C71,'[1]End - Use Prices'!$A$6:$A$89,0)+MATCH($D71,'[1]End - Use Prices'!$B$9:$B$11,0)-1,MATCH(AV$1,'[1]End - Use Prices'!$C$7:$AL$7,0))</f>
        <v>37.24</v>
      </c>
      <c r="AW71" s="41">
        <f>INDEX('[1]End - Use Prices'!$C$6:$AL$89,MATCH($C71,'[1]End - Use Prices'!$A$6:$A$89,0)+MATCH($D71,'[1]End - Use Prices'!$B$9:$B$11,0)-1,MATCH(AW$1,'[1]End - Use Prices'!$C$7:$AL$7,0))</f>
        <v>37.57</v>
      </c>
      <c r="AX71" s="41">
        <f>INDEX('[1]End - Use Prices'!$C$6:$AL$89,MATCH($C71,'[1]End - Use Prices'!$A$6:$A$89,0)+MATCH($D71,'[1]End - Use Prices'!$B$9:$B$11,0)-1,MATCH(AX$1,'[1]End - Use Prices'!$C$7:$AL$7,0))</f>
        <v>37.85</v>
      </c>
      <c r="AY71" s="41">
        <f>INDEX('[1]End - Use Prices'!$C$6:$AL$89,MATCH($C71,'[1]End - Use Prices'!$A$6:$A$89,0)+MATCH($D71,'[1]End - Use Prices'!$B$9:$B$11,0)-1,MATCH(AY$1,'[1]End - Use Prices'!$C$7:$AL$7,0))</f>
        <v>38.07</v>
      </c>
      <c r="AZ71" s="41">
        <f>INDEX('[1]End - Use Prices'!$C$6:$AL$89,MATCH($C71,'[1]End - Use Prices'!$A$6:$A$89,0)+MATCH($D71,'[1]End - Use Prices'!$B$9:$B$11,0)-1,MATCH(AZ$1,'[1]End - Use Prices'!$C$7:$AL$7,0))</f>
        <v>38.24</v>
      </c>
      <c r="BA71" s="41">
        <f>INDEX('[1]End - Use Prices'!$C$6:$AL$89,MATCH($C71,'[1]End - Use Prices'!$A$6:$A$89,0)+MATCH($D71,'[1]End - Use Prices'!$B$9:$B$11,0)-1,MATCH(BA$1,'[1]End - Use Prices'!$C$7:$AL$7,0))</f>
        <v>38.35</v>
      </c>
      <c r="BB71" s="41">
        <f>INDEX('[1]End - Use Prices'!$C$6:$AL$89,MATCH($C71,'[1]End - Use Prices'!$A$6:$A$89,0)+MATCH($D71,'[1]End - Use Prices'!$B$9:$B$11,0)-1,MATCH(BB$1,'[1]End - Use Prices'!$C$7:$AL$7,0))</f>
        <v>38.39</v>
      </c>
      <c r="BC71" s="41">
        <f>INDEX('[1]End - Use Prices'!$C$6:$AL$89,MATCH($C71,'[1]End - Use Prices'!$A$6:$A$89,0)+MATCH($D71,'[1]End - Use Prices'!$B$9:$B$11,0)-1,MATCH(BC$1,'[1]End - Use Prices'!$C$7:$AL$7,0))</f>
        <v>38.369999999999997</v>
      </c>
      <c r="BD71" s="41">
        <f>INDEX('[1]End - Use Prices'!$C$6:$AL$89,MATCH($C71,'[1]End - Use Prices'!$A$6:$A$89,0)+MATCH($D71,'[1]End - Use Prices'!$B$9:$B$11,0)-1,MATCH(BD$1,'[1]End - Use Prices'!$C$7:$AL$7,0))</f>
        <v>38.270000000000003</v>
      </c>
      <c r="BE71" s="41">
        <f>INDEX('[1]End - Use Prices'!$C$6:$AL$89,MATCH($C71,'[1]End - Use Prices'!$A$6:$A$89,0)+MATCH($D71,'[1]End - Use Prices'!$B$9:$B$11,0)-1,MATCH(BE$1,'[1]End - Use Prices'!$C$7:$AL$7,0))</f>
        <v>38.11</v>
      </c>
      <c r="BF71" s="41">
        <f>INDEX('[1]End - Use Prices'!$C$6:$AL$89,MATCH($C71,'[1]End - Use Prices'!$A$6:$A$89,0)+MATCH($D71,'[1]End - Use Prices'!$B$9:$B$11,0)-1,MATCH(BF$1,'[1]End - Use Prices'!$C$7:$AL$7,0))</f>
        <v>37.86</v>
      </c>
      <c r="BG71" s="41">
        <f>INDEX('[1]End - Use Prices'!$C$6:$AL$89,MATCH($C71,'[1]End - Use Prices'!$A$6:$A$89,0)+MATCH($D71,'[1]End - Use Prices'!$B$9:$B$11,0)-1,MATCH(BG$1,'[1]End - Use Prices'!$C$7:$AL$7,0))</f>
        <v>37.54</v>
      </c>
      <c r="BR71" s="39"/>
      <c r="BS71" s="39"/>
      <c r="BT71" s="39"/>
      <c r="BU71" s="39"/>
      <c r="BV71" s="39"/>
      <c r="BW71" s="39"/>
      <c r="BX71" s="39"/>
      <c r="BY71" s="39"/>
      <c r="BZ71" s="39"/>
      <c r="CA71" s="39"/>
    </row>
    <row r="72" spans="1:79" x14ac:dyDescent="0.25">
      <c r="A72" s="5"/>
      <c r="B72" s="3"/>
      <c r="C72" s="25" t="s">
        <v>61</v>
      </c>
      <c r="D72" s="25" t="s">
        <v>2</v>
      </c>
      <c r="E72" s="25" t="s">
        <v>282</v>
      </c>
      <c r="F72" s="67" t="s">
        <v>279</v>
      </c>
      <c r="G72" s="53">
        <f t="shared" si="11"/>
        <v>22.24</v>
      </c>
      <c r="H72" s="34">
        <f t="shared" si="12"/>
        <v>22.24</v>
      </c>
      <c r="I72" s="34">
        <f t="shared" si="12"/>
        <v>25.9</v>
      </c>
      <c r="J72" s="34">
        <f t="shared" si="12"/>
        <v>30.53</v>
      </c>
      <c r="K72" s="34">
        <f t="shared" si="12"/>
        <v>31.99</v>
      </c>
      <c r="L72" s="34">
        <f t="shared" si="12"/>
        <v>32.61</v>
      </c>
      <c r="M72" s="34">
        <f t="shared" si="12"/>
        <v>33.25</v>
      </c>
      <c r="N72" s="34">
        <f t="shared" si="12"/>
        <v>33.76</v>
      </c>
      <c r="O72" s="34">
        <f t="shared" si="12"/>
        <v>34</v>
      </c>
      <c r="P72" s="53">
        <f t="shared" si="13"/>
        <v>34</v>
      </c>
      <c r="Q72" s="53">
        <f t="shared" si="13"/>
        <v>34</v>
      </c>
      <c r="R72" s="38"/>
      <c r="X72" s="41">
        <f>INDEX('[1]End - Use Prices'!$C$6:$AL$89,MATCH($C72,'[1]End - Use Prices'!$A$6:$A$89,0)+MATCH($D72,'[1]End - Use Prices'!$B$9:$B$11,0)-1,MATCH(X$1,'[1]End - Use Prices'!$C$7:$AL$7,0))</f>
        <v>22.24</v>
      </c>
      <c r="Y72" s="41">
        <f>INDEX('[1]End - Use Prices'!$C$6:$AL$89,MATCH($C72,'[1]End - Use Prices'!$A$6:$A$89,0)+MATCH($D72,'[1]End - Use Prices'!$B$9:$B$11,0)-1,MATCH(Y$1,'[1]End - Use Prices'!$C$7:$AL$7,0))</f>
        <v>23.07</v>
      </c>
      <c r="Z72" s="41">
        <f>INDEX('[1]End - Use Prices'!$C$6:$AL$89,MATCH($C72,'[1]End - Use Prices'!$A$6:$A$89,0)+MATCH($D72,'[1]End - Use Prices'!$B$9:$B$11,0)-1,MATCH(Z$1,'[1]End - Use Prices'!$C$7:$AL$7,0))</f>
        <v>22.79</v>
      </c>
      <c r="AA72" s="41">
        <f>INDEX('[1]End - Use Prices'!$C$6:$AL$89,MATCH($C72,'[1]End - Use Prices'!$A$6:$A$89,0)+MATCH($D72,'[1]End - Use Prices'!$B$9:$B$11,0)-1,MATCH(AA$1,'[1]End - Use Prices'!$C$7:$AL$7,0))</f>
        <v>22.61</v>
      </c>
      <c r="AB72" s="41">
        <f>INDEX('[1]End - Use Prices'!$C$6:$AL$89,MATCH($C72,'[1]End - Use Prices'!$A$6:$A$89,0)+MATCH($D72,'[1]End - Use Prices'!$B$9:$B$11,0)-1,MATCH(AB$1,'[1]End - Use Prices'!$C$7:$AL$7,0))</f>
        <v>23.66</v>
      </c>
      <c r="AC72" s="41">
        <f>INDEX('[1]End - Use Prices'!$C$6:$AL$89,MATCH($C72,'[1]End - Use Prices'!$A$6:$A$89,0)+MATCH($D72,'[1]End - Use Prices'!$B$9:$B$11,0)-1,MATCH(AC$1,'[1]End - Use Prices'!$C$7:$AL$7,0))</f>
        <v>25.9</v>
      </c>
      <c r="AD72" s="41">
        <f>INDEX('[1]End - Use Prices'!$C$6:$AL$89,MATCH($C72,'[1]End - Use Prices'!$A$6:$A$89,0)+MATCH($D72,'[1]End - Use Prices'!$B$9:$B$11,0)-1,MATCH(AD$1,'[1]End - Use Prices'!$C$7:$AL$7,0))</f>
        <v>25.46</v>
      </c>
      <c r="AE72" s="41">
        <f>INDEX('[1]End - Use Prices'!$C$6:$AL$89,MATCH($C72,'[1]End - Use Prices'!$A$6:$A$89,0)+MATCH($D72,'[1]End - Use Prices'!$B$9:$B$11,0)-1,MATCH(AE$1,'[1]End - Use Prices'!$C$7:$AL$7,0))</f>
        <v>28.65</v>
      </c>
      <c r="AF72" s="41">
        <f>INDEX('[1]End - Use Prices'!$C$6:$AL$89,MATCH($C72,'[1]End - Use Prices'!$A$6:$A$89,0)+MATCH($D72,'[1]End - Use Prices'!$B$9:$B$11,0)-1,MATCH(AF$1,'[1]End - Use Prices'!$C$7:$AL$7,0))</f>
        <v>27.24</v>
      </c>
      <c r="AG72" s="41">
        <f>INDEX('[1]End - Use Prices'!$C$6:$AL$89,MATCH($C72,'[1]End - Use Prices'!$A$6:$A$89,0)+MATCH($D72,'[1]End - Use Prices'!$B$9:$B$11,0)-1,MATCH(AG$1,'[1]End - Use Prices'!$C$7:$AL$7,0))</f>
        <v>28.61</v>
      </c>
      <c r="AH72" s="41">
        <f>INDEX('[1]End - Use Prices'!$C$6:$AL$89,MATCH($C72,'[1]End - Use Prices'!$A$6:$A$89,0)+MATCH($D72,'[1]End - Use Prices'!$B$9:$B$11,0)-1,MATCH(AH$1,'[1]End - Use Prices'!$C$7:$AL$7,0))</f>
        <v>30.53</v>
      </c>
      <c r="AI72" s="41">
        <f>INDEX('[1]End - Use Prices'!$C$6:$AL$89,MATCH($C72,'[1]End - Use Prices'!$A$6:$A$89,0)+MATCH($D72,'[1]End - Use Prices'!$B$9:$B$11,0)-1,MATCH(AI$1,'[1]End - Use Prices'!$C$7:$AL$7,0))</f>
        <v>31.55</v>
      </c>
      <c r="AJ72" s="41">
        <f>INDEX('[1]End - Use Prices'!$C$6:$AL$89,MATCH($C72,'[1]End - Use Prices'!$A$6:$A$89,0)+MATCH($D72,'[1]End - Use Prices'!$B$9:$B$11,0)-1,MATCH(AJ$1,'[1]End - Use Prices'!$C$7:$AL$7,0))</f>
        <v>31.68</v>
      </c>
      <c r="AK72" s="41">
        <f>INDEX('[1]End - Use Prices'!$C$6:$AL$89,MATCH($C72,'[1]End - Use Prices'!$A$6:$A$89,0)+MATCH($D72,'[1]End - Use Prices'!$B$9:$B$11,0)-1,MATCH(AK$1,'[1]End - Use Prices'!$C$7:$AL$7,0))</f>
        <v>31.78</v>
      </c>
      <c r="AL72" s="41">
        <f>INDEX('[1]End - Use Prices'!$C$6:$AL$89,MATCH($C72,'[1]End - Use Prices'!$A$6:$A$89,0)+MATCH($D72,'[1]End - Use Prices'!$B$9:$B$11,0)-1,MATCH(AL$1,'[1]End - Use Prices'!$C$7:$AL$7,0))</f>
        <v>31.88</v>
      </c>
      <c r="AM72" s="41">
        <f>INDEX('[1]End - Use Prices'!$C$6:$AL$89,MATCH($C72,'[1]End - Use Prices'!$A$6:$A$89,0)+MATCH($D72,'[1]End - Use Prices'!$B$9:$B$11,0)-1,MATCH(AM$1,'[1]End - Use Prices'!$C$7:$AL$7,0))</f>
        <v>31.99</v>
      </c>
      <c r="AN72" s="41">
        <f>INDEX('[1]End - Use Prices'!$C$6:$AL$89,MATCH($C72,'[1]End - Use Prices'!$A$6:$A$89,0)+MATCH($D72,'[1]End - Use Prices'!$B$9:$B$11,0)-1,MATCH(AN$1,'[1]End - Use Prices'!$C$7:$AL$7,0))</f>
        <v>32.1</v>
      </c>
      <c r="AO72" s="41">
        <f>INDEX('[1]End - Use Prices'!$C$6:$AL$89,MATCH($C72,'[1]End - Use Prices'!$A$6:$A$89,0)+MATCH($D72,'[1]End - Use Prices'!$B$9:$B$11,0)-1,MATCH(AO$1,'[1]End - Use Prices'!$C$7:$AL$7,0))</f>
        <v>32.229999999999997</v>
      </c>
      <c r="AP72" s="41">
        <f>INDEX('[1]End - Use Prices'!$C$6:$AL$89,MATCH($C72,'[1]End - Use Prices'!$A$6:$A$89,0)+MATCH($D72,'[1]End - Use Prices'!$B$9:$B$11,0)-1,MATCH(AP$1,'[1]End - Use Prices'!$C$7:$AL$7,0))</f>
        <v>32.35</v>
      </c>
      <c r="AQ72" s="41">
        <f>INDEX('[1]End - Use Prices'!$C$6:$AL$89,MATCH($C72,'[1]End - Use Prices'!$A$6:$A$89,0)+MATCH($D72,'[1]End - Use Prices'!$B$9:$B$11,0)-1,MATCH(AQ$1,'[1]End - Use Prices'!$C$7:$AL$7,0))</f>
        <v>32.479999999999997</v>
      </c>
      <c r="AR72" s="41">
        <f>INDEX('[1]End - Use Prices'!$C$6:$AL$89,MATCH($C72,'[1]End - Use Prices'!$A$6:$A$89,0)+MATCH($D72,'[1]End - Use Prices'!$B$9:$B$11,0)-1,MATCH(AR$1,'[1]End - Use Prices'!$C$7:$AL$7,0))</f>
        <v>32.61</v>
      </c>
      <c r="AS72" s="41">
        <f>INDEX('[1]End - Use Prices'!$C$6:$AL$89,MATCH($C72,'[1]End - Use Prices'!$A$6:$A$89,0)+MATCH($D72,'[1]End - Use Prices'!$B$9:$B$11,0)-1,MATCH(AS$1,'[1]End - Use Prices'!$C$7:$AL$7,0))</f>
        <v>32.74</v>
      </c>
      <c r="AT72" s="41">
        <f>INDEX('[1]End - Use Prices'!$C$6:$AL$89,MATCH($C72,'[1]End - Use Prices'!$A$6:$A$89,0)+MATCH($D72,'[1]End - Use Prices'!$B$9:$B$11,0)-1,MATCH(AT$1,'[1]End - Use Prices'!$C$7:$AL$7,0))</f>
        <v>32.869999999999997</v>
      </c>
      <c r="AU72" s="41">
        <f>INDEX('[1]End - Use Prices'!$C$6:$AL$89,MATCH($C72,'[1]End - Use Prices'!$A$6:$A$89,0)+MATCH($D72,'[1]End - Use Prices'!$B$9:$B$11,0)-1,MATCH(AU$1,'[1]End - Use Prices'!$C$7:$AL$7,0))</f>
        <v>33</v>
      </c>
      <c r="AV72" s="41">
        <f>INDEX('[1]End - Use Prices'!$C$6:$AL$89,MATCH($C72,'[1]End - Use Prices'!$A$6:$A$89,0)+MATCH($D72,'[1]End - Use Prices'!$B$9:$B$11,0)-1,MATCH(AV$1,'[1]End - Use Prices'!$C$7:$AL$7,0))</f>
        <v>33.130000000000003</v>
      </c>
      <c r="AW72" s="41">
        <f>INDEX('[1]End - Use Prices'!$C$6:$AL$89,MATCH($C72,'[1]End - Use Prices'!$A$6:$A$89,0)+MATCH($D72,'[1]End - Use Prices'!$B$9:$B$11,0)-1,MATCH(AW$1,'[1]End - Use Prices'!$C$7:$AL$7,0))</f>
        <v>33.25</v>
      </c>
      <c r="AX72" s="41">
        <f>INDEX('[1]End - Use Prices'!$C$6:$AL$89,MATCH($C72,'[1]End - Use Prices'!$A$6:$A$89,0)+MATCH($D72,'[1]End - Use Prices'!$B$9:$B$11,0)-1,MATCH(AX$1,'[1]End - Use Prices'!$C$7:$AL$7,0))</f>
        <v>33.369999999999997</v>
      </c>
      <c r="AY72" s="41">
        <f>INDEX('[1]End - Use Prices'!$C$6:$AL$89,MATCH($C72,'[1]End - Use Prices'!$A$6:$A$89,0)+MATCH($D72,'[1]End - Use Prices'!$B$9:$B$11,0)-1,MATCH(AY$1,'[1]End - Use Prices'!$C$7:$AL$7,0))</f>
        <v>33.479999999999997</v>
      </c>
      <c r="AZ72" s="41">
        <f>INDEX('[1]End - Use Prices'!$C$6:$AL$89,MATCH($C72,'[1]End - Use Prices'!$A$6:$A$89,0)+MATCH($D72,'[1]End - Use Prices'!$B$9:$B$11,0)-1,MATCH(AZ$1,'[1]End - Use Prices'!$C$7:$AL$7,0))</f>
        <v>33.58</v>
      </c>
      <c r="BA72" s="41">
        <f>INDEX('[1]End - Use Prices'!$C$6:$AL$89,MATCH($C72,'[1]End - Use Prices'!$A$6:$A$89,0)+MATCH($D72,'[1]End - Use Prices'!$B$9:$B$11,0)-1,MATCH(BA$1,'[1]End - Use Prices'!$C$7:$AL$7,0))</f>
        <v>33.68</v>
      </c>
      <c r="BB72" s="41">
        <f>INDEX('[1]End - Use Prices'!$C$6:$AL$89,MATCH($C72,'[1]End - Use Prices'!$A$6:$A$89,0)+MATCH($D72,'[1]End - Use Prices'!$B$9:$B$11,0)-1,MATCH(BB$1,'[1]End - Use Prices'!$C$7:$AL$7,0))</f>
        <v>33.76</v>
      </c>
      <c r="BC72" s="41">
        <f>INDEX('[1]End - Use Prices'!$C$6:$AL$89,MATCH($C72,'[1]End - Use Prices'!$A$6:$A$89,0)+MATCH($D72,'[1]End - Use Prices'!$B$9:$B$11,0)-1,MATCH(BC$1,'[1]End - Use Prices'!$C$7:$AL$7,0))</f>
        <v>33.840000000000003</v>
      </c>
      <c r="BD72" s="41">
        <f>INDEX('[1]End - Use Prices'!$C$6:$AL$89,MATCH($C72,'[1]End - Use Prices'!$A$6:$A$89,0)+MATCH($D72,'[1]End - Use Prices'!$B$9:$B$11,0)-1,MATCH(BD$1,'[1]End - Use Prices'!$C$7:$AL$7,0))</f>
        <v>33.9</v>
      </c>
      <c r="BE72" s="41">
        <f>INDEX('[1]End - Use Prices'!$C$6:$AL$89,MATCH($C72,'[1]End - Use Prices'!$A$6:$A$89,0)+MATCH($D72,'[1]End - Use Prices'!$B$9:$B$11,0)-1,MATCH(BE$1,'[1]End - Use Prices'!$C$7:$AL$7,0))</f>
        <v>33.950000000000003</v>
      </c>
      <c r="BF72" s="41">
        <f>INDEX('[1]End - Use Prices'!$C$6:$AL$89,MATCH($C72,'[1]End - Use Prices'!$A$6:$A$89,0)+MATCH($D72,'[1]End - Use Prices'!$B$9:$B$11,0)-1,MATCH(BF$1,'[1]End - Use Prices'!$C$7:$AL$7,0))</f>
        <v>33.979999999999997</v>
      </c>
      <c r="BG72" s="41">
        <f>INDEX('[1]End - Use Prices'!$C$6:$AL$89,MATCH($C72,'[1]End - Use Prices'!$A$6:$A$89,0)+MATCH($D72,'[1]End - Use Prices'!$B$9:$B$11,0)-1,MATCH(BG$1,'[1]End - Use Prices'!$C$7:$AL$7,0))</f>
        <v>34</v>
      </c>
      <c r="BR72" s="39"/>
      <c r="BS72" s="39"/>
      <c r="BT72" s="39"/>
      <c r="BU72" s="39"/>
      <c r="BV72" s="39"/>
      <c r="BW72" s="39"/>
      <c r="BX72" s="39"/>
      <c r="BY72" s="39"/>
      <c r="BZ72" s="39"/>
      <c r="CA72" s="39"/>
    </row>
    <row r="73" spans="1:79" x14ac:dyDescent="0.25">
      <c r="A73" s="5"/>
      <c r="B73" s="3"/>
      <c r="C73" s="25" t="s">
        <v>93</v>
      </c>
      <c r="D73" s="25" t="s">
        <v>2</v>
      </c>
      <c r="E73" s="25" t="s">
        <v>282</v>
      </c>
      <c r="F73" s="67" t="s">
        <v>279</v>
      </c>
      <c r="G73" s="53">
        <f t="shared" si="11"/>
        <v>33.479999999999997</v>
      </c>
      <c r="H73" s="34">
        <f t="shared" si="12"/>
        <v>33.479999999999997</v>
      </c>
      <c r="I73" s="34">
        <f t="shared" si="12"/>
        <v>37.69</v>
      </c>
      <c r="J73" s="34">
        <f t="shared" si="12"/>
        <v>47.73</v>
      </c>
      <c r="K73" s="34">
        <f t="shared" si="12"/>
        <v>48.18</v>
      </c>
      <c r="L73" s="34">
        <f t="shared" si="12"/>
        <v>49.04</v>
      </c>
      <c r="M73" s="34">
        <f t="shared" si="12"/>
        <v>49.97</v>
      </c>
      <c r="N73" s="34">
        <f t="shared" si="12"/>
        <v>50.92</v>
      </c>
      <c r="O73" s="34">
        <f t="shared" si="12"/>
        <v>51.85</v>
      </c>
      <c r="P73" s="53">
        <f t="shared" si="13"/>
        <v>51.85</v>
      </c>
      <c r="Q73" s="53">
        <f t="shared" si="13"/>
        <v>51.85</v>
      </c>
      <c r="R73" s="38"/>
      <c r="X73" s="41">
        <f>INDEX('[1]End - Use Prices'!$C$6:$AL$89,MATCH($C73,'[1]End - Use Prices'!$A$6:$A$89,0)+MATCH($D73,'[1]End - Use Prices'!$B$9:$B$11,0)-1,MATCH(X$1,'[1]End - Use Prices'!$C$7:$AL$7,0))</f>
        <v>33.479999999999997</v>
      </c>
      <c r="Y73" s="41">
        <f>INDEX('[1]End - Use Prices'!$C$6:$AL$89,MATCH($C73,'[1]End - Use Prices'!$A$6:$A$89,0)+MATCH($D73,'[1]End - Use Prices'!$B$9:$B$11,0)-1,MATCH(Y$1,'[1]End - Use Prices'!$C$7:$AL$7,0))</f>
        <v>34.72</v>
      </c>
      <c r="Z73" s="41">
        <f>INDEX('[1]End - Use Prices'!$C$6:$AL$89,MATCH($C73,'[1]End - Use Prices'!$A$6:$A$89,0)+MATCH($D73,'[1]End - Use Prices'!$B$9:$B$11,0)-1,MATCH(Z$1,'[1]End - Use Prices'!$C$7:$AL$7,0))</f>
        <v>34.299999999999997</v>
      </c>
      <c r="AA73" s="41">
        <f>INDEX('[1]End - Use Prices'!$C$6:$AL$89,MATCH($C73,'[1]End - Use Prices'!$A$6:$A$89,0)+MATCH($D73,'[1]End - Use Prices'!$B$9:$B$11,0)-1,MATCH(AA$1,'[1]End - Use Prices'!$C$7:$AL$7,0))</f>
        <v>34</v>
      </c>
      <c r="AB73" s="41">
        <f>INDEX('[1]End - Use Prices'!$C$6:$AL$89,MATCH($C73,'[1]End - Use Prices'!$A$6:$A$89,0)+MATCH($D73,'[1]End - Use Prices'!$B$9:$B$11,0)-1,MATCH(AB$1,'[1]End - Use Prices'!$C$7:$AL$7,0))</f>
        <v>35.590000000000003</v>
      </c>
      <c r="AC73" s="41">
        <f>INDEX('[1]End - Use Prices'!$C$6:$AL$89,MATCH($C73,'[1]End - Use Prices'!$A$6:$A$89,0)+MATCH($D73,'[1]End - Use Prices'!$B$9:$B$11,0)-1,MATCH(AC$1,'[1]End - Use Prices'!$C$7:$AL$7,0))</f>
        <v>37.69</v>
      </c>
      <c r="AD73" s="41">
        <f>INDEX('[1]End - Use Prices'!$C$6:$AL$89,MATCH($C73,'[1]End - Use Prices'!$A$6:$A$89,0)+MATCH($D73,'[1]End - Use Prices'!$B$9:$B$11,0)-1,MATCH(AD$1,'[1]End - Use Prices'!$C$7:$AL$7,0))</f>
        <v>35.89</v>
      </c>
      <c r="AE73" s="41">
        <f>INDEX('[1]End - Use Prices'!$C$6:$AL$89,MATCH($C73,'[1]End - Use Prices'!$A$6:$A$89,0)+MATCH($D73,'[1]End - Use Prices'!$B$9:$B$11,0)-1,MATCH(AE$1,'[1]End - Use Prices'!$C$7:$AL$7,0))</f>
        <v>40.39</v>
      </c>
      <c r="AF73" s="41">
        <f>INDEX('[1]End - Use Prices'!$C$6:$AL$89,MATCH($C73,'[1]End - Use Prices'!$A$6:$A$89,0)+MATCH($D73,'[1]End - Use Prices'!$B$9:$B$11,0)-1,MATCH(AF$1,'[1]End - Use Prices'!$C$7:$AL$7,0))</f>
        <v>40.28</v>
      </c>
      <c r="AG73" s="41">
        <f>INDEX('[1]End - Use Prices'!$C$6:$AL$89,MATCH($C73,'[1]End - Use Prices'!$A$6:$A$89,0)+MATCH($D73,'[1]End - Use Prices'!$B$9:$B$11,0)-1,MATCH(AG$1,'[1]End - Use Prices'!$C$7:$AL$7,0))</f>
        <v>47.35</v>
      </c>
      <c r="AH73" s="41">
        <f>INDEX('[1]End - Use Prices'!$C$6:$AL$89,MATCH($C73,'[1]End - Use Prices'!$A$6:$A$89,0)+MATCH($D73,'[1]End - Use Prices'!$B$9:$B$11,0)-1,MATCH(AH$1,'[1]End - Use Prices'!$C$7:$AL$7,0))</f>
        <v>47.73</v>
      </c>
      <c r="AI73" s="41">
        <f>INDEX('[1]End - Use Prices'!$C$6:$AL$89,MATCH($C73,'[1]End - Use Prices'!$A$6:$A$89,0)+MATCH($D73,'[1]End - Use Prices'!$B$9:$B$11,0)-1,MATCH(AI$1,'[1]End - Use Prices'!$C$7:$AL$7,0))</f>
        <v>47.43</v>
      </c>
      <c r="AJ73" s="41">
        <f>INDEX('[1]End - Use Prices'!$C$6:$AL$89,MATCH($C73,'[1]End - Use Prices'!$A$6:$A$89,0)+MATCH($D73,'[1]End - Use Prices'!$B$9:$B$11,0)-1,MATCH(AJ$1,'[1]End - Use Prices'!$C$7:$AL$7,0))</f>
        <v>47.71</v>
      </c>
      <c r="AK73" s="41">
        <f>INDEX('[1]End - Use Prices'!$C$6:$AL$89,MATCH($C73,'[1]End - Use Prices'!$A$6:$A$89,0)+MATCH($D73,'[1]End - Use Prices'!$B$9:$B$11,0)-1,MATCH(AK$1,'[1]End - Use Prices'!$C$7:$AL$7,0))</f>
        <v>47.86</v>
      </c>
      <c r="AL73" s="41">
        <f>INDEX('[1]End - Use Prices'!$C$6:$AL$89,MATCH($C73,'[1]End - Use Prices'!$A$6:$A$89,0)+MATCH($D73,'[1]End - Use Prices'!$B$9:$B$11,0)-1,MATCH(AL$1,'[1]End - Use Prices'!$C$7:$AL$7,0))</f>
        <v>48.02</v>
      </c>
      <c r="AM73" s="41">
        <f>INDEX('[1]End - Use Prices'!$C$6:$AL$89,MATCH($C73,'[1]End - Use Prices'!$A$6:$A$89,0)+MATCH($D73,'[1]End - Use Prices'!$B$9:$B$11,0)-1,MATCH(AM$1,'[1]End - Use Prices'!$C$7:$AL$7,0))</f>
        <v>48.18</v>
      </c>
      <c r="AN73" s="41">
        <f>INDEX('[1]End - Use Prices'!$C$6:$AL$89,MATCH($C73,'[1]End - Use Prices'!$A$6:$A$89,0)+MATCH($D73,'[1]End - Use Prices'!$B$9:$B$11,0)-1,MATCH(AN$1,'[1]End - Use Prices'!$C$7:$AL$7,0))</f>
        <v>48.35</v>
      </c>
      <c r="AO73" s="41">
        <f>INDEX('[1]End - Use Prices'!$C$6:$AL$89,MATCH($C73,'[1]End - Use Prices'!$A$6:$A$89,0)+MATCH($D73,'[1]End - Use Prices'!$B$9:$B$11,0)-1,MATCH(AO$1,'[1]End - Use Prices'!$C$7:$AL$7,0))</f>
        <v>48.52</v>
      </c>
      <c r="AP73" s="41">
        <f>INDEX('[1]End - Use Prices'!$C$6:$AL$89,MATCH($C73,'[1]End - Use Prices'!$A$6:$A$89,0)+MATCH($D73,'[1]End - Use Prices'!$B$9:$B$11,0)-1,MATCH(AP$1,'[1]End - Use Prices'!$C$7:$AL$7,0))</f>
        <v>48.69</v>
      </c>
      <c r="AQ73" s="41">
        <f>INDEX('[1]End - Use Prices'!$C$6:$AL$89,MATCH($C73,'[1]End - Use Prices'!$A$6:$A$89,0)+MATCH($D73,'[1]End - Use Prices'!$B$9:$B$11,0)-1,MATCH(AQ$1,'[1]End - Use Prices'!$C$7:$AL$7,0))</f>
        <v>48.86</v>
      </c>
      <c r="AR73" s="41">
        <f>INDEX('[1]End - Use Prices'!$C$6:$AL$89,MATCH($C73,'[1]End - Use Prices'!$A$6:$A$89,0)+MATCH($D73,'[1]End - Use Prices'!$B$9:$B$11,0)-1,MATCH(AR$1,'[1]End - Use Prices'!$C$7:$AL$7,0))</f>
        <v>49.04</v>
      </c>
      <c r="AS73" s="41">
        <f>INDEX('[1]End - Use Prices'!$C$6:$AL$89,MATCH($C73,'[1]End - Use Prices'!$A$6:$A$89,0)+MATCH($D73,'[1]End - Use Prices'!$B$9:$B$11,0)-1,MATCH(AS$1,'[1]End - Use Prices'!$C$7:$AL$7,0))</f>
        <v>49.22</v>
      </c>
      <c r="AT73" s="41">
        <f>INDEX('[1]End - Use Prices'!$C$6:$AL$89,MATCH($C73,'[1]End - Use Prices'!$A$6:$A$89,0)+MATCH($D73,'[1]End - Use Prices'!$B$9:$B$11,0)-1,MATCH(AT$1,'[1]End - Use Prices'!$C$7:$AL$7,0))</f>
        <v>49.41</v>
      </c>
      <c r="AU73" s="41">
        <f>INDEX('[1]End - Use Prices'!$C$6:$AL$89,MATCH($C73,'[1]End - Use Prices'!$A$6:$A$89,0)+MATCH($D73,'[1]End - Use Prices'!$B$9:$B$11,0)-1,MATCH(AU$1,'[1]End - Use Prices'!$C$7:$AL$7,0))</f>
        <v>49.59</v>
      </c>
      <c r="AV73" s="41">
        <f>INDEX('[1]End - Use Prices'!$C$6:$AL$89,MATCH($C73,'[1]End - Use Prices'!$A$6:$A$89,0)+MATCH($D73,'[1]End - Use Prices'!$B$9:$B$11,0)-1,MATCH(AV$1,'[1]End - Use Prices'!$C$7:$AL$7,0))</f>
        <v>49.78</v>
      </c>
      <c r="AW73" s="41">
        <f>INDEX('[1]End - Use Prices'!$C$6:$AL$89,MATCH($C73,'[1]End - Use Prices'!$A$6:$A$89,0)+MATCH($D73,'[1]End - Use Prices'!$B$9:$B$11,0)-1,MATCH(AW$1,'[1]End - Use Prices'!$C$7:$AL$7,0))</f>
        <v>49.97</v>
      </c>
      <c r="AX73" s="41">
        <f>INDEX('[1]End - Use Prices'!$C$6:$AL$89,MATCH($C73,'[1]End - Use Prices'!$A$6:$A$89,0)+MATCH($D73,'[1]End - Use Prices'!$B$9:$B$11,0)-1,MATCH(AX$1,'[1]End - Use Prices'!$C$7:$AL$7,0))</f>
        <v>50.16</v>
      </c>
      <c r="AY73" s="41">
        <f>INDEX('[1]End - Use Prices'!$C$6:$AL$89,MATCH($C73,'[1]End - Use Prices'!$A$6:$A$89,0)+MATCH($D73,'[1]End - Use Prices'!$B$9:$B$11,0)-1,MATCH(AY$1,'[1]End - Use Prices'!$C$7:$AL$7,0))</f>
        <v>50.35</v>
      </c>
      <c r="AZ73" s="41">
        <f>INDEX('[1]End - Use Prices'!$C$6:$AL$89,MATCH($C73,'[1]End - Use Prices'!$A$6:$A$89,0)+MATCH($D73,'[1]End - Use Prices'!$B$9:$B$11,0)-1,MATCH(AZ$1,'[1]End - Use Prices'!$C$7:$AL$7,0))</f>
        <v>50.54</v>
      </c>
      <c r="BA73" s="41">
        <f>INDEX('[1]End - Use Prices'!$C$6:$AL$89,MATCH($C73,'[1]End - Use Prices'!$A$6:$A$89,0)+MATCH($D73,'[1]End - Use Prices'!$B$9:$B$11,0)-1,MATCH(BA$1,'[1]End - Use Prices'!$C$7:$AL$7,0))</f>
        <v>50.73</v>
      </c>
      <c r="BB73" s="41">
        <f>INDEX('[1]End - Use Prices'!$C$6:$AL$89,MATCH($C73,'[1]End - Use Prices'!$A$6:$A$89,0)+MATCH($D73,'[1]End - Use Prices'!$B$9:$B$11,0)-1,MATCH(BB$1,'[1]End - Use Prices'!$C$7:$AL$7,0))</f>
        <v>50.92</v>
      </c>
      <c r="BC73" s="41">
        <f>INDEX('[1]End - Use Prices'!$C$6:$AL$89,MATCH($C73,'[1]End - Use Prices'!$A$6:$A$89,0)+MATCH($D73,'[1]End - Use Prices'!$B$9:$B$11,0)-1,MATCH(BC$1,'[1]End - Use Prices'!$C$7:$AL$7,0))</f>
        <v>51.11</v>
      </c>
      <c r="BD73" s="41">
        <f>INDEX('[1]End - Use Prices'!$C$6:$AL$89,MATCH($C73,'[1]End - Use Prices'!$A$6:$A$89,0)+MATCH($D73,'[1]End - Use Prices'!$B$9:$B$11,0)-1,MATCH(BD$1,'[1]End - Use Prices'!$C$7:$AL$7,0))</f>
        <v>51.3</v>
      </c>
      <c r="BE73" s="41">
        <f>INDEX('[1]End - Use Prices'!$C$6:$AL$89,MATCH($C73,'[1]End - Use Prices'!$A$6:$A$89,0)+MATCH($D73,'[1]End - Use Prices'!$B$9:$B$11,0)-1,MATCH(BE$1,'[1]End - Use Prices'!$C$7:$AL$7,0))</f>
        <v>51.48</v>
      </c>
      <c r="BF73" s="41">
        <f>INDEX('[1]End - Use Prices'!$C$6:$AL$89,MATCH($C73,'[1]End - Use Prices'!$A$6:$A$89,0)+MATCH($D73,'[1]End - Use Prices'!$B$9:$B$11,0)-1,MATCH(BF$1,'[1]End - Use Prices'!$C$7:$AL$7,0))</f>
        <v>51.67</v>
      </c>
      <c r="BG73" s="41">
        <f>INDEX('[1]End - Use Prices'!$C$6:$AL$89,MATCH($C73,'[1]End - Use Prices'!$A$6:$A$89,0)+MATCH($D73,'[1]End - Use Prices'!$B$9:$B$11,0)-1,MATCH(BG$1,'[1]End - Use Prices'!$C$7:$AL$7,0))</f>
        <v>51.85</v>
      </c>
      <c r="BR73" s="39"/>
      <c r="BS73" s="39"/>
      <c r="BT73" s="39"/>
      <c r="BU73" s="39"/>
      <c r="BV73" s="39"/>
      <c r="BW73" s="39"/>
      <c r="BX73" s="39"/>
      <c r="BY73" s="39"/>
      <c r="BZ73" s="39"/>
      <c r="CA73" s="39"/>
    </row>
    <row r="74" spans="1:79" x14ac:dyDescent="0.25">
      <c r="A74" s="5"/>
      <c r="B74" s="3"/>
      <c r="C74" s="25" t="s">
        <v>95</v>
      </c>
      <c r="D74" s="25" t="s">
        <v>2</v>
      </c>
      <c r="E74" s="25" t="s">
        <v>282</v>
      </c>
      <c r="F74" s="67" t="s">
        <v>279</v>
      </c>
      <c r="G74" s="53">
        <f t="shared" si="11"/>
        <v>80.930000000000007</v>
      </c>
      <c r="H74" s="34">
        <f t="shared" si="12"/>
        <v>80.930000000000007</v>
      </c>
      <c r="I74" s="34">
        <f t="shared" si="12"/>
        <v>89.34</v>
      </c>
      <c r="J74" s="34">
        <f t="shared" si="12"/>
        <v>95.28</v>
      </c>
      <c r="K74" s="34">
        <f t="shared" si="12"/>
        <v>96.87</v>
      </c>
      <c r="L74" s="34">
        <f t="shared" si="12"/>
        <v>98.86</v>
      </c>
      <c r="M74" s="34">
        <f t="shared" si="12"/>
        <v>100.71</v>
      </c>
      <c r="N74" s="34">
        <f t="shared" si="12"/>
        <v>102.6</v>
      </c>
      <c r="O74" s="34">
        <f t="shared" si="12"/>
        <v>104.69</v>
      </c>
      <c r="P74" s="53">
        <f t="shared" si="13"/>
        <v>104.69</v>
      </c>
      <c r="Q74" s="53">
        <f t="shared" si="13"/>
        <v>104.69</v>
      </c>
      <c r="R74" s="38"/>
      <c r="X74" s="41">
        <f>INDEX('[1]End - Use Prices'!$C$6:$AL$89,MATCH($C74,'[1]End - Use Prices'!$A$6:$A$89,0)+MATCH($D74,'[1]End - Use Prices'!$B$9:$B$11,0)-1,MATCH(X$1,'[1]End - Use Prices'!$C$7:$AL$7,0))</f>
        <v>80.930000000000007</v>
      </c>
      <c r="Y74" s="41">
        <f>INDEX('[1]End - Use Prices'!$C$6:$AL$89,MATCH($C74,'[1]End - Use Prices'!$A$6:$A$89,0)+MATCH($D74,'[1]End - Use Prices'!$B$9:$B$11,0)-1,MATCH(Y$1,'[1]End - Use Prices'!$C$7:$AL$7,0))</f>
        <v>83.41</v>
      </c>
      <c r="Z74" s="41">
        <f>INDEX('[1]End - Use Prices'!$C$6:$AL$89,MATCH($C74,'[1]End - Use Prices'!$A$6:$A$89,0)+MATCH($D74,'[1]End - Use Prices'!$B$9:$B$11,0)-1,MATCH(Z$1,'[1]End - Use Prices'!$C$7:$AL$7,0))</f>
        <v>82.56</v>
      </c>
      <c r="AA74" s="41">
        <f>INDEX('[1]End - Use Prices'!$C$6:$AL$89,MATCH($C74,'[1]End - Use Prices'!$A$6:$A$89,0)+MATCH($D74,'[1]End - Use Prices'!$B$9:$B$11,0)-1,MATCH(AA$1,'[1]End - Use Prices'!$C$7:$AL$7,0))</f>
        <v>81.98</v>
      </c>
      <c r="AB74" s="41">
        <f>INDEX('[1]End - Use Prices'!$C$6:$AL$89,MATCH($C74,'[1]End - Use Prices'!$A$6:$A$89,0)+MATCH($D74,'[1]End - Use Prices'!$B$9:$B$11,0)-1,MATCH(AB$1,'[1]End - Use Prices'!$C$7:$AL$7,0))</f>
        <v>85.14</v>
      </c>
      <c r="AC74" s="41">
        <f>INDEX('[1]End - Use Prices'!$C$6:$AL$89,MATCH($C74,'[1]End - Use Prices'!$A$6:$A$89,0)+MATCH($D74,'[1]End - Use Prices'!$B$9:$B$11,0)-1,MATCH(AC$1,'[1]End - Use Prices'!$C$7:$AL$7,0))</f>
        <v>89.34</v>
      </c>
      <c r="AD74" s="41">
        <f>INDEX('[1]End - Use Prices'!$C$6:$AL$89,MATCH($C74,'[1]End - Use Prices'!$A$6:$A$89,0)+MATCH($D74,'[1]End - Use Prices'!$B$9:$B$11,0)-1,MATCH(AD$1,'[1]End - Use Prices'!$C$7:$AL$7,0))</f>
        <v>85.75</v>
      </c>
      <c r="AE74" s="41">
        <f>INDEX('[1]End - Use Prices'!$C$6:$AL$89,MATCH($C74,'[1]End - Use Prices'!$A$6:$A$89,0)+MATCH($D74,'[1]End - Use Prices'!$B$9:$B$11,0)-1,MATCH(AE$1,'[1]End - Use Prices'!$C$7:$AL$7,0))</f>
        <v>94.73</v>
      </c>
      <c r="AF74" s="41">
        <f>INDEX('[1]End - Use Prices'!$C$6:$AL$89,MATCH($C74,'[1]End - Use Prices'!$A$6:$A$89,0)+MATCH($D74,'[1]End - Use Prices'!$B$9:$B$11,0)-1,MATCH(AF$1,'[1]End - Use Prices'!$C$7:$AL$7,0))</f>
        <v>94.52</v>
      </c>
      <c r="AG74" s="41">
        <f>INDEX('[1]End - Use Prices'!$C$6:$AL$89,MATCH($C74,'[1]End - Use Prices'!$A$6:$A$89,0)+MATCH($D74,'[1]End - Use Prices'!$B$9:$B$11,0)-1,MATCH(AG$1,'[1]End - Use Prices'!$C$7:$AL$7,0))</f>
        <v>94.52</v>
      </c>
      <c r="AH74" s="41">
        <f>INDEX('[1]End - Use Prices'!$C$6:$AL$89,MATCH($C74,'[1]End - Use Prices'!$A$6:$A$89,0)+MATCH($D74,'[1]End - Use Prices'!$B$9:$B$11,0)-1,MATCH(AH$1,'[1]End - Use Prices'!$C$7:$AL$7,0))</f>
        <v>95.28</v>
      </c>
      <c r="AI74" s="41">
        <f>INDEX('[1]End - Use Prices'!$C$6:$AL$89,MATCH($C74,'[1]End - Use Prices'!$A$6:$A$89,0)+MATCH($D74,'[1]End - Use Prices'!$B$9:$B$11,0)-1,MATCH(AI$1,'[1]End - Use Prices'!$C$7:$AL$7,0))</f>
        <v>94.69</v>
      </c>
      <c r="AJ74" s="41">
        <f>INDEX('[1]End - Use Prices'!$C$6:$AL$89,MATCH($C74,'[1]End - Use Prices'!$A$6:$A$89,0)+MATCH($D74,'[1]End - Use Prices'!$B$9:$B$11,0)-1,MATCH(AJ$1,'[1]End - Use Prices'!$C$7:$AL$7,0))</f>
        <v>95.56</v>
      </c>
      <c r="AK74" s="41">
        <f>INDEX('[1]End - Use Prices'!$C$6:$AL$89,MATCH($C74,'[1]End - Use Prices'!$A$6:$A$89,0)+MATCH($D74,'[1]End - Use Prices'!$B$9:$B$11,0)-1,MATCH(AK$1,'[1]End - Use Prices'!$C$7:$AL$7,0))</f>
        <v>96.01</v>
      </c>
      <c r="AL74" s="41">
        <f>INDEX('[1]End - Use Prices'!$C$6:$AL$89,MATCH($C74,'[1]End - Use Prices'!$A$6:$A$89,0)+MATCH($D74,'[1]End - Use Prices'!$B$9:$B$11,0)-1,MATCH(AL$1,'[1]End - Use Prices'!$C$7:$AL$7,0))</f>
        <v>96.45</v>
      </c>
      <c r="AM74" s="41">
        <f>INDEX('[1]End - Use Prices'!$C$6:$AL$89,MATCH($C74,'[1]End - Use Prices'!$A$6:$A$89,0)+MATCH($D74,'[1]End - Use Prices'!$B$9:$B$11,0)-1,MATCH(AM$1,'[1]End - Use Prices'!$C$7:$AL$7,0))</f>
        <v>96.87</v>
      </c>
      <c r="AN74" s="41">
        <f>INDEX('[1]End - Use Prices'!$C$6:$AL$89,MATCH($C74,'[1]End - Use Prices'!$A$6:$A$89,0)+MATCH($D74,'[1]End - Use Prices'!$B$9:$B$11,0)-1,MATCH(AN$1,'[1]End - Use Prices'!$C$7:$AL$7,0))</f>
        <v>97.29</v>
      </c>
      <c r="AO74" s="41">
        <f>INDEX('[1]End - Use Prices'!$C$6:$AL$89,MATCH($C74,'[1]End - Use Prices'!$A$6:$A$89,0)+MATCH($D74,'[1]End - Use Prices'!$B$9:$B$11,0)-1,MATCH(AO$1,'[1]End - Use Prices'!$C$7:$AL$7,0))</f>
        <v>97.69</v>
      </c>
      <c r="AP74" s="41">
        <f>INDEX('[1]End - Use Prices'!$C$6:$AL$89,MATCH($C74,'[1]End - Use Prices'!$A$6:$A$89,0)+MATCH($D74,'[1]End - Use Prices'!$B$9:$B$11,0)-1,MATCH(AP$1,'[1]End - Use Prices'!$C$7:$AL$7,0))</f>
        <v>98.09</v>
      </c>
      <c r="AQ74" s="41">
        <f>INDEX('[1]End - Use Prices'!$C$6:$AL$89,MATCH($C74,'[1]End - Use Prices'!$A$6:$A$89,0)+MATCH($D74,'[1]End - Use Prices'!$B$9:$B$11,0)-1,MATCH(AQ$1,'[1]End - Use Prices'!$C$7:$AL$7,0))</f>
        <v>98.48</v>
      </c>
      <c r="AR74" s="41">
        <f>INDEX('[1]End - Use Prices'!$C$6:$AL$89,MATCH($C74,'[1]End - Use Prices'!$A$6:$A$89,0)+MATCH($D74,'[1]End - Use Prices'!$B$9:$B$11,0)-1,MATCH(AR$1,'[1]End - Use Prices'!$C$7:$AL$7,0))</f>
        <v>98.86</v>
      </c>
      <c r="AS74" s="41">
        <f>INDEX('[1]End - Use Prices'!$C$6:$AL$89,MATCH($C74,'[1]End - Use Prices'!$A$6:$A$89,0)+MATCH($D74,'[1]End - Use Prices'!$B$9:$B$11,0)-1,MATCH(AS$1,'[1]End - Use Prices'!$C$7:$AL$7,0))</f>
        <v>99.23</v>
      </c>
      <c r="AT74" s="41">
        <f>INDEX('[1]End - Use Prices'!$C$6:$AL$89,MATCH($C74,'[1]End - Use Prices'!$A$6:$A$89,0)+MATCH($D74,'[1]End - Use Prices'!$B$9:$B$11,0)-1,MATCH(AT$1,'[1]End - Use Prices'!$C$7:$AL$7,0))</f>
        <v>99.6</v>
      </c>
      <c r="AU74" s="41">
        <f>INDEX('[1]End - Use Prices'!$C$6:$AL$89,MATCH($C74,'[1]End - Use Prices'!$A$6:$A$89,0)+MATCH($D74,'[1]End - Use Prices'!$B$9:$B$11,0)-1,MATCH(AU$1,'[1]End - Use Prices'!$C$7:$AL$7,0))</f>
        <v>99.97</v>
      </c>
      <c r="AV74" s="41">
        <f>INDEX('[1]End - Use Prices'!$C$6:$AL$89,MATCH($C74,'[1]End - Use Prices'!$A$6:$A$89,0)+MATCH($D74,'[1]End - Use Prices'!$B$9:$B$11,0)-1,MATCH(AV$1,'[1]End - Use Prices'!$C$7:$AL$7,0))</f>
        <v>100.34</v>
      </c>
      <c r="AW74" s="41">
        <f>INDEX('[1]End - Use Prices'!$C$6:$AL$89,MATCH($C74,'[1]End - Use Prices'!$A$6:$A$89,0)+MATCH($D74,'[1]End - Use Prices'!$B$9:$B$11,0)-1,MATCH(AW$1,'[1]End - Use Prices'!$C$7:$AL$7,0))</f>
        <v>100.71</v>
      </c>
      <c r="AX74" s="41">
        <f>INDEX('[1]End - Use Prices'!$C$6:$AL$89,MATCH($C74,'[1]End - Use Prices'!$A$6:$A$89,0)+MATCH($D74,'[1]End - Use Prices'!$B$9:$B$11,0)-1,MATCH(AX$1,'[1]End - Use Prices'!$C$7:$AL$7,0))</f>
        <v>101.08</v>
      </c>
      <c r="AY74" s="41">
        <f>INDEX('[1]End - Use Prices'!$C$6:$AL$89,MATCH($C74,'[1]End - Use Prices'!$A$6:$A$89,0)+MATCH($D74,'[1]End - Use Prices'!$B$9:$B$11,0)-1,MATCH(AY$1,'[1]End - Use Prices'!$C$7:$AL$7,0))</f>
        <v>101.45</v>
      </c>
      <c r="AZ74" s="41">
        <f>INDEX('[1]End - Use Prices'!$C$6:$AL$89,MATCH($C74,'[1]End - Use Prices'!$A$6:$A$89,0)+MATCH($D74,'[1]End - Use Prices'!$B$9:$B$11,0)-1,MATCH(AZ$1,'[1]End - Use Prices'!$C$7:$AL$7,0))</f>
        <v>101.83</v>
      </c>
      <c r="BA74" s="41">
        <f>INDEX('[1]End - Use Prices'!$C$6:$AL$89,MATCH($C74,'[1]End - Use Prices'!$A$6:$A$89,0)+MATCH($D74,'[1]End - Use Prices'!$B$9:$B$11,0)-1,MATCH(BA$1,'[1]End - Use Prices'!$C$7:$AL$7,0))</f>
        <v>102.21</v>
      </c>
      <c r="BB74" s="41">
        <f>INDEX('[1]End - Use Prices'!$C$6:$AL$89,MATCH($C74,'[1]End - Use Prices'!$A$6:$A$89,0)+MATCH($D74,'[1]End - Use Prices'!$B$9:$B$11,0)-1,MATCH(BB$1,'[1]End - Use Prices'!$C$7:$AL$7,0))</f>
        <v>102.6</v>
      </c>
      <c r="BC74" s="41">
        <f>INDEX('[1]End - Use Prices'!$C$6:$AL$89,MATCH($C74,'[1]End - Use Prices'!$A$6:$A$89,0)+MATCH($D74,'[1]End - Use Prices'!$B$9:$B$11,0)-1,MATCH(BC$1,'[1]End - Use Prices'!$C$7:$AL$7,0))</f>
        <v>103</v>
      </c>
      <c r="BD74" s="41">
        <f>INDEX('[1]End - Use Prices'!$C$6:$AL$89,MATCH($C74,'[1]End - Use Prices'!$A$6:$A$89,0)+MATCH($D74,'[1]End - Use Prices'!$B$9:$B$11,0)-1,MATCH(BD$1,'[1]End - Use Prices'!$C$7:$AL$7,0))</f>
        <v>103.4</v>
      </c>
      <c r="BE74" s="41">
        <f>INDEX('[1]End - Use Prices'!$C$6:$AL$89,MATCH($C74,'[1]End - Use Prices'!$A$6:$A$89,0)+MATCH($D74,'[1]End - Use Prices'!$B$9:$B$11,0)-1,MATCH(BE$1,'[1]End - Use Prices'!$C$7:$AL$7,0))</f>
        <v>103.82</v>
      </c>
      <c r="BF74" s="41">
        <f>INDEX('[1]End - Use Prices'!$C$6:$AL$89,MATCH($C74,'[1]End - Use Prices'!$A$6:$A$89,0)+MATCH($D74,'[1]End - Use Prices'!$B$9:$B$11,0)-1,MATCH(BF$1,'[1]End - Use Prices'!$C$7:$AL$7,0))</f>
        <v>104.25</v>
      </c>
      <c r="BG74" s="41">
        <f>INDEX('[1]End - Use Prices'!$C$6:$AL$89,MATCH($C74,'[1]End - Use Prices'!$A$6:$A$89,0)+MATCH($D74,'[1]End - Use Prices'!$B$9:$B$11,0)-1,MATCH(BG$1,'[1]End - Use Prices'!$C$7:$AL$7,0))</f>
        <v>104.69</v>
      </c>
      <c r="BR74" s="39"/>
      <c r="BS74" s="39"/>
      <c r="BT74" s="39"/>
      <c r="BU74" s="39"/>
      <c r="BV74" s="39"/>
      <c r="BW74" s="39"/>
      <c r="BX74" s="39"/>
      <c r="BY74" s="39"/>
      <c r="BZ74" s="39"/>
      <c r="CA74" s="39"/>
    </row>
    <row r="75" spans="1:79" x14ac:dyDescent="0.25">
      <c r="A75" s="5"/>
      <c r="B75" s="3"/>
      <c r="C75" s="25" t="s">
        <v>94</v>
      </c>
      <c r="D75" s="25" t="s">
        <v>2</v>
      </c>
      <c r="E75" s="25" t="s">
        <v>282</v>
      </c>
      <c r="F75" s="67" t="s">
        <v>279</v>
      </c>
      <c r="G75" s="53">
        <f t="shared" si="11"/>
        <v>83.79</v>
      </c>
      <c r="H75" s="34">
        <f t="shared" si="12"/>
        <v>83.79</v>
      </c>
      <c r="I75" s="34">
        <f t="shared" si="12"/>
        <v>92.5</v>
      </c>
      <c r="J75" s="34">
        <f t="shared" si="12"/>
        <v>98.65</v>
      </c>
      <c r="K75" s="34">
        <f t="shared" si="12"/>
        <v>99.14</v>
      </c>
      <c r="L75" s="34">
        <f t="shared" si="12"/>
        <v>99.31</v>
      </c>
      <c r="M75" s="34">
        <f t="shared" si="12"/>
        <v>99.23</v>
      </c>
      <c r="N75" s="34">
        <f t="shared" si="12"/>
        <v>99.15</v>
      </c>
      <c r="O75" s="34">
        <f t="shared" si="12"/>
        <v>99.32</v>
      </c>
      <c r="P75" s="53">
        <f t="shared" si="13"/>
        <v>99.32</v>
      </c>
      <c r="Q75" s="53">
        <f t="shared" si="13"/>
        <v>99.32</v>
      </c>
      <c r="R75" s="38"/>
      <c r="X75" s="41">
        <f>INDEX('[1]End - Use Prices'!$C$6:$AL$89,MATCH($C75,'[1]End - Use Prices'!$A$6:$A$89,0)+MATCH($D75,'[1]End - Use Prices'!$B$9:$B$11,0)-1,MATCH(X$1,'[1]End - Use Prices'!$C$7:$AL$7,0))</f>
        <v>83.79</v>
      </c>
      <c r="Y75" s="41">
        <f>INDEX('[1]End - Use Prices'!$C$6:$AL$89,MATCH($C75,'[1]End - Use Prices'!$A$6:$A$89,0)+MATCH($D75,'[1]End - Use Prices'!$B$9:$B$11,0)-1,MATCH(Y$1,'[1]End - Use Prices'!$C$7:$AL$7,0))</f>
        <v>86.36</v>
      </c>
      <c r="Z75" s="41">
        <f>INDEX('[1]End - Use Prices'!$C$6:$AL$89,MATCH($C75,'[1]End - Use Prices'!$A$6:$A$89,0)+MATCH($D75,'[1]End - Use Prices'!$B$9:$B$11,0)-1,MATCH(Z$1,'[1]End - Use Prices'!$C$7:$AL$7,0))</f>
        <v>85.49</v>
      </c>
      <c r="AA75" s="41">
        <f>INDEX('[1]End - Use Prices'!$C$6:$AL$89,MATCH($C75,'[1]End - Use Prices'!$A$6:$A$89,0)+MATCH($D75,'[1]End - Use Prices'!$B$9:$B$11,0)-1,MATCH(AA$1,'[1]End - Use Prices'!$C$7:$AL$7,0))</f>
        <v>84.88</v>
      </c>
      <c r="AB75" s="41">
        <f>INDEX('[1]End - Use Prices'!$C$6:$AL$89,MATCH($C75,'[1]End - Use Prices'!$A$6:$A$89,0)+MATCH($D75,'[1]End - Use Prices'!$B$9:$B$11,0)-1,MATCH(AB$1,'[1]End - Use Prices'!$C$7:$AL$7,0))</f>
        <v>88.16</v>
      </c>
      <c r="AC75" s="41">
        <f>INDEX('[1]End - Use Prices'!$C$6:$AL$89,MATCH($C75,'[1]End - Use Prices'!$A$6:$A$89,0)+MATCH($D75,'[1]End - Use Prices'!$B$9:$B$11,0)-1,MATCH(AC$1,'[1]End - Use Prices'!$C$7:$AL$7,0))</f>
        <v>92.5</v>
      </c>
      <c r="AD75" s="41">
        <f>INDEX('[1]End - Use Prices'!$C$6:$AL$89,MATCH($C75,'[1]End - Use Prices'!$A$6:$A$89,0)+MATCH($D75,'[1]End - Use Prices'!$B$9:$B$11,0)-1,MATCH(AD$1,'[1]End - Use Prices'!$C$7:$AL$7,0))</f>
        <v>88.79</v>
      </c>
      <c r="AE75" s="41">
        <f>INDEX('[1]End - Use Prices'!$C$6:$AL$89,MATCH($C75,'[1]End - Use Prices'!$A$6:$A$89,0)+MATCH($D75,'[1]End - Use Prices'!$B$9:$B$11,0)-1,MATCH(AE$1,'[1]End - Use Prices'!$C$7:$AL$7,0))</f>
        <v>98.09</v>
      </c>
      <c r="AF75" s="41">
        <f>INDEX('[1]End - Use Prices'!$C$6:$AL$89,MATCH($C75,'[1]End - Use Prices'!$A$6:$A$89,0)+MATCH($D75,'[1]End - Use Prices'!$B$9:$B$11,0)-1,MATCH(AF$1,'[1]End - Use Prices'!$C$7:$AL$7,0))</f>
        <v>97.87</v>
      </c>
      <c r="AG75" s="41">
        <f>INDEX('[1]End - Use Prices'!$C$6:$AL$89,MATCH($C75,'[1]End - Use Prices'!$A$6:$A$89,0)+MATCH($D75,'[1]End - Use Prices'!$B$9:$B$11,0)-1,MATCH(AG$1,'[1]End - Use Prices'!$C$7:$AL$7,0))</f>
        <v>97.87</v>
      </c>
      <c r="AH75" s="41">
        <f>INDEX('[1]End - Use Prices'!$C$6:$AL$89,MATCH($C75,'[1]End - Use Prices'!$A$6:$A$89,0)+MATCH($D75,'[1]End - Use Prices'!$B$9:$B$11,0)-1,MATCH(AH$1,'[1]End - Use Prices'!$C$7:$AL$7,0))</f>
        <v>98.65</v>
      </c>
      <c r="AI75" s="41">
        <f>INDEX('[1]End - Use Prices'!$C$6:$AL$89,MATCH($C75,'[1]End - Use Prices'!$A$6:$A$89,0)+MATCH($D75,'[1]End - Use Prices'!$B$9:$B$11,0)-1,MATCH(AI$1,'[1]End - Use Prices'!$C$7:$AL$7,0))</f>
        <v>98.04</v>
      </c>
      <c r="AJ75" s="41">
        <f>INDEX('[1]End - Use Prices'!$C$6:$AL$89,MATCH($C75,'[1]End - Use Prices'!$A$6:$A$89,0)+MATCH($D75,'[1]End - Use Prices'!$B$9:$B$11,0)-1,MATCH(AJ$1,'[1]End - Use Prices'!$C$7:$AL$7,0))</f>
        <v>98.81</v>
      </c>
      <c r="AK75" s="41">
        <f>INDEX('[1]End - Use Prices'!$C$6:$AL$89,MATCH($C75,'[1]End - Use Prices'!$A$6:$A$89,0)+MATCH($D75,'[1]End - Use Prices'!$B$9:$B$11,0)-1,MATCH(AK$1,'[1]End - Use Prices'!$C$7:$AL$7,0))</f>
        <v>98.94</v>
      </c>
      <c r="AL75" s="41">
        <f>INDEX('[1]End - Use Prices'!$C$6:$AL$89,MATCH($C75,'[1]End - Use Prices'!$A$6:$A$89,0)+MATCH($D75,'[1]End - Use Prices'!$B$9:$B$11,0)-1,MATCH(AL$1,'[1]End - Use Prices'!$C$7:$AL$7,0))</f>
        <v>99.05</v>
      </c>
      <c r="AM75" s="41">
        <f>INDEX('[1]End - Use Prices'!$C$6:$AL$89,MATCH($C75,'[1]End - Use Prices'!$A$6:$A$89,0)+MATCH($D75,'[1]End - Use Prices'!$B$9:$B$11,0)-1,MATCH(AM$1,'[1]End - Use Prices'!$C$7:$AL$7,0))</f>
        <v>99.14</v>
      </c>
      <c r="AN75" s="41">
        <f>INDEX('[1]End - Use Prices'!$C$6:$AL$89,MATCH($C75,'[1]End - Use Prices'!$A$6:$A$89,0)+MATCH($D75,'[1]End - Use Prices'!$B$9:$B$11,0)-1,MATCH(AN$1,'[1]End - Use Prices'!$C$7:$AL$7,0))</f>
        <v>99.2</v>
      </c>
      <c r="AO75" s="41">
        <f>INDEX('[1]End - Use Prices'!$C$6:$AL$89,MATCH($C75,'[1]End - Use Prices'!$A$6:$A$89,0)+MATCH($D75,'[1]End - Use Prices'!$B$9:$B$11,0)-1,MATCH(AO$1,'[1]End - Use Prices'!$C$7:$AL$7,0))</f>
        <v>99.25</v>
      </c>
      <c r="AP75" s="41">
        <f>INDEX('[1]End - Use Prices'!$C$6:$AL$89,MATCH($C75,'[1]End - Use Prices'!$A$6:$A$89,0)+MATCH($D75,'[1]End - Use Prices'!$B$9:$B$11,0)-1,MATCH(AP$1,'[1]End - Use Prices'!$C$7:$AL$7,0))</f>
        <v>99.28</v>
      </c>
      <c r="AQ75" s="41">
        <f>INDEX('[1]End - Use Prices'!$C$6:$AL$89,MATCH($C75,'[1]End - Use Prices'!$A$6:$A$89,0)+MATCH($D75,'[1]End - Use Prices'!$B$9:$B$11,0)-1,MATCH(AQ$1,'[1]End - Use Prices'!$C$7:$AL$7,0))</f>
        <v>99.3</v>
      </c>
      <c r="AR75" s="41">
        <f>INDEX('[1]End - Use Prices'!$C$6:$AL$89,MATCH($C75,'[1]End - Use Prices'!$A$6:$A$89,0)+MATCH($D75,'[1]End - Use Prices'!$B$9:$B$11,0)-1,MATCH(AR$1,'[1]End - Use Prices'!$C$7:$AL$7,0))</f>
        <v>99.31</v>
      </c>
      <c r="AS75" s="41">
        <f>INDEX('[1]End - Use Prices'!$C$6:$AL$89,MATCH($C75,'[1]End - Use Prices'!$A$6:$A$89,0)+MATCH($D75,'[1]End - Use Prices'!$B$9:$B$11,0)-1,MATCH(AS$1,'[1]End - Use Prices'!$C$7:$AL$7,0))</f>
        <v>99.3</v>
      </c>
      <c r="AT75" s="41">
        <f>INDEX('[1]End - Use Prices'!$C$6:$AL$89,MATCH($C75,'[1]End - Use Prices'!$A$6:$A$89,0)+MATCH($D75,'[1]End - Use Prices'!$B$9:$B$11,0)-1,MATCH(AT$1,'[1]End - Use Prices'!$C$7:$AL$7,0))</f>
        <v>99.29</v>
      </c>
      <c r="AU75" s="41">
        <f>INDEX('[1]End - Use Prices'!$C$6:$AL$89,MATCH($C75,'[1]End - Use Prices'!$A$6:$A$89,0)+MATCH($D75,'[1]End - Use Prices'!$B$9:$B$11,0)-1,MATCH(AU$1,'[1]End - Use Prices'!$C$7:$AL$7,0))</f>
        <v>99.27</v>
      </c>
      <c r="AV75" s="41">
        <f>INDEX('[1]End - Use Prices'!$C$6:$AL$89,MATCH($C75,'[1]End - Use Prices'!$A$6:$A$89,0)+MATCH($D75,'[1]End - Use Prices'!$B$9:$B$11,0)-1,MATCH(AV$1,'[1]End - Use Prices'!$C$7:$AL$7,0))</f>
        <v>99.25</v>
      </c>
      <c r="AW75" s="41">
        <f>INDEX('[1]End - Use Prices'!$C$6:$AL$89,MATCH($C75,'[1]End - Use Prices'!$A$6:$A$89,0)+MATCH($D75,'[1]End - Use Prices'!$B$9:$B$11,0)-1,MATCH(AW$1,'[1]End - Use Prices'!$C$7:$AL$7,0))</f>
        <v>99.23</v>
      </c>
      <c r="AX75" s="41">
        <f>INDEX('[1]End - Use Prices'!$C$6:$AL$89,MATCH($C75,'[1]End - Use Prices'!$A$6:$A$89,0)+MATCH($D75,'[1]End - Use Prices'!$B$9:$B$11,0)-1,MATCH(AX$1,'[1]End - Use Prices'!$C$7:$AL$7,0))</f>
        <v>99.2</v>
      </c>
      <c r="AY75" s="41">
        <f>INDEX('[1]End - Use Prices'!$C$6:$AL$89,MATCH($C75,'[1]End - Use Prices'!$A$6:$A$89,0)+MATCH($D75,'[1]End - Use Prices'!$B$9:$B$11,0)-1,MATCH(AY$1,'[1]End - Use Prices'!$C$7:$AL$7,0))</f>
        <v>99.18</v>
      </c>
      <c r="AZ75" s="41">
        <f>INDEX('[1]End - Use Prices'!$C$6:$AL$89,MATCH($C75,'[1]End - Use Prices'!$A$6:$A$89,0)+MATCH($D75,'[1]End - Use Prices'!$B$9:$B$11,0)-1,MATCH(AZ$1,'[1]End - Use Prices'!$C$7:$AL$7,0))</f>
        <v>99.16</v>
      </c>
      <c r="BA75" s="41">
        <f>INDEX('[1]End - Use Prices'!$C$6:$AL$89,MATCH($C75,'[1]End - Use Prices'!$A$6:$A$89,0)+MATCH($D75,'[1]End - Use Prices'!$B$9:$B$11,0)-1,MATCH(BA$1,'[1]End - Use Prices'!$C$7:$AL$7,0))</f>
        <v>99.15</v>
      </c>
      <c r="BB75" s="41">
        <f>INDEX('[1]End - Use Prices'!$C$6:$AL$89,MATCH($C75,'[1]End - Use Prices'!$A$6:$A$89,0)+MATCH($D75,'[1]End - Use Prices'!$B$9:$B$11,0)-1,MATCH(BB$1,'[1]End - Use Prices'!$C$7:$AL$7,0))</f>
        <v>99.15</v>
      </c>
      <c r="BC75" s="41">
        <f>INDEX('[1]End - Use Prices'!$C$6:$AL$89,MATCH($C75,'[1]End - Use Prices'!$A$6:$A$89,0)+MATCH($D75,'[1]End - Use Prices'!$B$9:$B$11,0)-1,MATCH(BC$1,'[1]End - Use Prices'!$C$7:$AL$7,0))</f>
        <v>99.15</v>
      </c>
      <c r="BD75" s="41">
        <f>INDEX('[1]End - Use Prices'!$C$6:$AL$89,MATCH($C75,'[1]End - Use Prices'!$A$6:$A$89,0)+MATCH($D75,'[1]End - Use Prices'!$B$9:$B$11,0)-1,MATCH(BD$1,'[1]End - Use Prices'!$C$7:$AL$7,0))</f>
        <v>99.17</v>
      </c>
      <c r="BE75" s="41">
        <f>INDEX('[1]End - Use Prices'!$C$6:$AL$89,MATCH($C75,'[1]End - Use Prices'!$A$6:$A$89,0)+MATCH($D75,'[1]End - Use Prices'!$B$9:$B$11,0)-1,MATCH(BE$1,'[1]End - Use Prices'!$C$7:$AL$7,0))</f>
        <v>99.2</v>
      </c>
      <c r="BF75" s="41">
        <f>INDEX('[1]End - Use Prices'!$C$6:$AL$89,MATCH($C75,'[1]End - Use Prices'!$A$6:$A$89,0)+MATCH($D75,'[1]End - Use Prices'!$B$9:$B$11,0)-1,MATCH(BF$1,'[1]End - Use Prices'!$C$7:$AL$7,0))</f>
        <v>99.25</v>
      </c>
      <c r="BG75" s="41">
        <f>INDEX('[1]End - Use Prices'!$C$6:$AL$89,MATCH($C75,'[1]End - Use Prices'!$A$6:$A$89,0)+MATCH($D75,'[1]End - Use Prices'!$B$9:$B$11,0)-1,MATCH(BG$1,'[1]End - Use Prices'!$C$7:$AL$7,0))</f>
        <v>99.32</v>
      </c>
      <c r="BR75" s="39"/>
      <c r="BS75" s="39"/>
      <c r="BT75" s="39"/>
      <c r="BU75" s="39"/>
      <c r="BV75" s="39"/>
      <c r="BW75" s="39"/>
      <c r="BX75" s="39"/>
      <c r="BY75" s="39"/>
      <c r="BZ75" s="39"/>
      <c r="CA75" s="39"/>
    </row>
    <row r="76" spans="1:79" x14ac:dyDescent="0.25">
      <c r="A76" s="5"/>
      <c r="B76" s="3"/>
      <c r="C76" s="25" t="s">
        <v>48</v>
      </c>
      <c r="D76" s="25" t="s">
        <v>14</v>
      </c>
      <c r="E76" s="25" t="s">
        <v>282</v>
      </c>
      <c r="F76" s="67" t="s">
        <v>279</v>
      </c>
      <c r="G76" s="53">
        <f t="shared" si="11"/>
        <v>15.81</v>
      </c>
      <c r="H76" s="34">
        <f t="shared" si="12"/>
        <v>15.81</v>
      </c>
      <c r="I76" s="34">
        <f t="shared" si="12"/>
        <v>12.69</v>
      </c>
      <c r="J76" s="34">
        <f t="shared" si="12"/>
        <v>10.65</v>
      </c>
      <c r="K76" s="34">
        <f t="shared" si="12"/>
        <v>9.67</v>
      </c>
      <c r="L76" s="34">
        <f t="shared" si="12"/>
        <v>10.64</v>
      </c>
      <c r="M76" s="34">
        <f t="shared" si="12"/>
        <v>11.02</v>
      </c>
      <c r="N76" s="34">
        <f t="shared" si="12"/>
        <v>11.37</v>
      </c>
      <c r="O76" s="34">
        <f t="shared" si="12"/>
        <v>11.44</v>
      </c>
      <c r="P76" s="53">
        <f t="shared" si="13"/>
        <v>11.44</v>
      </c>
      <c r="Q76" s="53">
        <f t="shared" si="13"/>
        <v>11.44</v>
      </c>
      <c r="R76" s="38"/>
      <c r="X76" s="41">
        <f>INDEX('[1]End - Use Prices'!$C$6:$AL$89,MATCH($C76,'[1]End - Use Prices'!$A$6:$A$89,0)+MATCH($D76,'[1]End - Use Prices'!$B$9:$B$11,0)-1,MATCH(X$1,'[1]End - Use Prices'!$C$7:$AL$7,0))</f>
        <v>15.81</v>
      </c>
      <c r="Y76" s="41">
        <f>INDEX('[1]End - Use Prices'!$C$6:$AL$89,MATCH($C76,'[1]End - Use Prices'!$A$6:$A$89,0)+MATCH($D76,'[1]End - Use Prices'!$B$9:$B$11,0)-1,MATCH(Y$1,'[1]End - Use Prices'!$C$7:$AL$7,0))</f>
        <v>16.04</v>
      </c>
      <c r="Z76" s="41">
        <f>INDEX('[1]End - Use Prices'!$C$6:$AL$89,MATCH($C76,'[1]End - Use Prices'!$A$6:$A$89,0)+MATCH($D76,'[1]End - Use Prices'!$B$9:$B$11,0)-1,MATCH(Z$1,'[1]End - Use Prices'!$C$7:$AL$7,0))</f>
        <v>14.76</v>
      </c>
      <c r="AA76" s="41">
        <f>INDEX('[1]End - Use Prices'!$C$6:$AL$89,MATCH($C76,'[1]End - Use Prices'!$A$6:$A$89,0)+MATCH($D76,'[1]End - Use Prices'!$B$9:$B$11,0)-1,MATCH(AA$1,'[1]End - Use Prices'!$C$7:$AL$7,0))</f>
        <v>14.82</v>
      </c>
      <c r="AB76" s="41">
        <f>INDEX('[1]End - Use Prices'!$C$6:$AL$89,MATCH($C76,'[1]End - Use Prices'!$A$6:$A$89,0)+MATCH($D76,'[1]End - Use Prices'!$B$9:$B$11,0)-1,MATCH(AB$1,'[1]End - Use Prices'!$C$7:$AL$7,0))</f>
        <v>12.89</v>
      </c>
      <c r="AC76" s="41">
        <f>INDEX('[1]End - Use Prices'!$C$6:$AL$89,MATCH($C76,'[1]End - Use Prices'!$A$6:$A$89,0)+MATCH($D76,'[1]End - Use Prices'!$B$9:$B$11,0)-1,MATCH(AC$1,'[1]End - Use Prices'!$C$7:$AL$7,0))</f>
        <v>12.69</v>
      </c>
      <c r="AD76" s="41">
        <f>INDEX('[1]End - Use Prices'!$C$6:$AL$89,MATCH($C76,'[1]End - Use Prices'!$A$6:$A$89,0)+MATCH($D76,'[1]End - Use Prices'!$B$9:$B$11,0)-1,MATCH(AD$1,'[1]End - Use Prices'!$C$7:$AL$7,0))</f>
        <v>11.75</v>
      </c>
      <c r="AE76" s="41">
        <f>INDEX('[1]End - Use Prices'!$C$6:$AL$89,MATCH($C76,'[1]End - Use Prices'!$A$6:$A$89,0)+MATCH($D76,'[1]End - Use Prices'!$B$9:$B$11,0)-1,MATCH(AE$1,'[1]End - Use Prices'!$C$7:$AL$7,0))</f>
        <v>10.82</v>
      </c>
      <c r="AF76" s="41">
        <f>INDEX('[1]End - Use Prices'!$C$6:$AL$89,MATCH($C76,'[1]End - Use Prices'!$A$6:$A$89,0)+MATCH($D76,'[1]End - Use Prices'!$B$9:$B$11,0)-1,MATCH(AF$1,'[1]End - Use Prices'!$C$7:$AL$7,0))</f>
        <v>10.77</v>
      </c>
      <c r="AG76" s="41">
        <f>INDEX('[1]End - Use Prices'!$C$6:$AL$89,MATCH($C76,'[1]End - Use Prices'!$A$6:$A$89,0)+MATCH($D76,'[1]End - Use Prices'!$B$9:$B$11,0)-1,MATCH(AG$1,'[1]End - Use Prices'!$C$7:$AL$7,0))</f>
        <v>11.71</v>
      </c>
      <c r="AH76" s="41">
        <f>INDEX('[1]End - Use Prices'!$C$6:$AL$89,MATCH($C76,'[1]End - Use Prices'!$A$6:$A$89,0)+MATCH($D76,'[1]End - Use Prices'!$B$9:$B$11,0)-1,MATCH(AH$1,'[1]End - Use Prices'!$C$7:$AL$7,0))</f>
        <v>10.65</v>
      </c>
      <c r="AI76" s="41">
        <f>INDEX('[1]End - Use Prices'!$C$6:$AL$89,MATCH($C76,'[1]End - Use Prices'!$A$6:$A$89,0)+MATCH($D76,'[1]End - Use Prices'!$B$9:$B$11,0)-1,MATCH(AI$1,'[1]End - Use Prices'!$C$7:$AL$7,0))</f>
        <v>8.93</v>
      </c>
      <c r="AJ76" s="41">
        <f>INDEX('[1]End - Use Prices'!$C$6:$AL$89,MATCH($C76,'[1]End - Use Prices'!$A$6:$A$89,0)+MATCH($D76,'[1]End - Use Prices'!$B$9:$B$11,0)-1,MATCH(AJ$1,'[1]End - Use Prices'!$C$7:$AL$7,0))</f>
        <v>10.82</v>
      </c>
      <c r="AK76" s="41">
        <f>INDEX('[1]End - Use Prices'!$C$6:$AL$89,MATCH($C76,'[1]End - Use Prices'!$A$6:$A$89,0)+MATCH($D76,'[1]End - Use Prices'!$B$9:$B$11,0)-1,MATCH(AK$1,'[1]End - Use Prices'!$C$7:$AL$7,0))</f>
        <v>9.86</v>
      </c>
      <c r="AL76" s="41">
        <f>INDEX('[1]End - Use Prices'!$C$6:$AL$89,MATCH($C76,'[1]End - Use Prices'!$A$6:$A$89,0)+MATCH($D76,'[1]End - Use Prices'!$B$9:$B$11,0)-1,MATCH(AL$1,'[1]End - Use Prices'!$C$7:$AL$7,0))</f>
        <v>9.5299999999999994</v>
      </c>
      <c r="AM76" s="41">
        <f>INDEX('[1]End - Use Prices'!$C$6:$AL$89,MATCH($C76,'[1]End - Use Prices'!$A$6:$A$89,0)+MATCH($D76,'[1]End - Use Prices'!$B$9:$B$11,0)-1,MATCH(AM$1,'[1]End - Use Prices'!$C$7:$AL$7,0))</f>
        <v>9.67</v>
      </c>
      <c r="AN76" s="41">
        <f>INDEX('[1]End - Use Prices'!$C$6:$AL$89,MATCH($C76,'[1]End - Use Prices'!$A$6:$A$89,0)+MATCH($D76,'[1]End - Use Prices'!$B$9:$B$11,0)-1,MATCH(AN$1,'[1]End - Use Prices'!$C$7:$AL$7,0))</f>
        <v>9.8699999999999992</v>
      </c>
      <c r="AO76" s="41">
        <f>INDEX('[1]End - Use Prices'!$C$6:$AL$89,MATCH($C76,'[1]End - Use Prices'!$A$6:$A$89,0)+MATCH($D76,'[1]End - Use Prices'!$B$9:$B$11,0)-1,MATCH(AO$1,'[1]End - Use Prices'!$C$7:$AL$7,0))</f>
        <v>10.19</v>
      </c>
      <c r="AP76" s="41">
        <f>INDEX('[1]End - Use Prices'!$C$6:$AL$89,MATCH($C76,'[1]End - Use Prices'!$A$6:$A$89,0)+MATCH($D76,'[1]End - Use Prices'!$B$9:$B$11,0)-1,MATCH(AP$1,'[1]End - Use Prices'!$C$7:$AL$7,0))</f>
        <v>10.44</v>
      </c>
      <c r="AQ76" s="41">
        <f>INDEX('[1]End - Use Prices'!$C$6:$AL$89,MATCH($C76,'[1]End - Use Prices'!$A$6:$A$89,0)+MATCH($D76,'[1]End - Use Prices'!$B$9:$B$11,0)-1,MATCH(AQ$1,'[1]End - Use Prices'!$C$7:$AL$7,0))</f>
        <v>10.53</v>
      </c>
      <c r="AR76" s="41">
        <f>INDEX('[1]End - Use Prices'!$C$6:$AL$89,MATCH($C76,'[1]End - Use Prices'!$A$6:$A$89,0)+MATCH($D76,'[1]End - Use Prices'!$B$9:$B$11,0)-1,MATCH(AR$1,'[1]End - Use Prices'!$C$7:$AL$7,0))</f>
        <v>10.64</v>
      </c>
      <c r="AS76" s="41">
        <f>INDEX('[1]End - Use Prices'!$C$6:$AL$89,MATCH($C76,'[1]End - Use Prices'!$A$6:$A$89,0)+MATCH($D76,'[1]End - Use Prices'!$B$9:$B$11,0)-1,MATCH(AS$1,'[1]End - Use Prices'!$C$7:$AL$7,0))</f>
        <v>10.82</v>
      </c>
      <c r="AT76" s="41">
        <f>INDEX('[1]End - Use Prices'!$C$6:$AL$89,MATCH($C76,'[1]End - Use Prices'!$A$6:$A$89,0)+MATCH($D76,'[1]End - Use Prices'!$B$9:$B$11,0)-1,MATCH(AT$1,'[1]End - Use Prices'!$C$7:$AL$7,0))</f>
        <v>10.85</v>
      </c>
      <c r="AU76" s="41">
        <f>INDEX('[1]End - Use Prices'!$C$6:$AL$89,MATCH($C76,'[1]End - Use Prices'!$A$6:$A$89,0)+MATCH($D76,'[1]End - Use Prices'!$B$9:$B$11,0)-1,MATCH(AU$1,'[1]End - Use Prices'!$C$7:$AL$7,0))</f>
        <v>10.9</v>
      </c>
      <c r="AV76" s="41">
        <f>INDEX('[1]End - Use Prices'!$C$6:$AL$89,MATCH($C76,'[1]End - Use Prices'!$A$6:$A$89,0)+MATCH($D76,'[1]End - Use Prices'!$B$9:$B$11,0)-1,MATCH(AV$1,'[1]End - Use Prices'!$C$7:$AL$7,0))</f>
        <v>10.96</v>
      </c>
      <c r="AW76" s="41">
        <f>INDEX('[1]End - Use Prices'!$C$6:$AL$89,MATCH($C76,'[1]End - Use Prices'!$A$6:$A$89,0)+MATCH($D76,'[1]End - Use Prices'!$B$9:$B$11,0)-1,MATCH(AW$1,'[1]End - Use Prices'!$C$7:$AL$7,0))</f>
        <v>11.02</v>
      </c>
      <c r="AX76" s="41">
        <f>INDEX('[1]End - Use Prices'!$C$6:$AL$89,MATCH($C76,'[1]End - Use Prices'!$A$6:$A$89,0)+MATCH($D76,'[1]End - Use Prices'!$B$9:$B$11,0)-1,MATCH(AX$1,'[1]End - Use Prices'!$C$7:$AL$7,0))</f>
        <v>11.09</v>
      </c>
      <c r="AY76" s="41">
        <f>INDEX('[1]End - Use Prices'!$C$6:$AL$89,MATCH($C76,'[1]End - Use Prices'!$A$6:$A$89,0)+MATCH($D76,'[1]End - Use Prices'!$B$9:$B$11,0)-1,MATCH(AY$1,'[1]End - Use Prices'!$C$7:$AL$7,0))</f>
        <v>11.18</v>
      </c>
      <c r="AZ76" s="41">
        <f>INDEX('[1]End - Use Prices'!$C$6:$AL$89,MATCH($C76,'[1]End - Use Prices'!$A$6:$A$89,0)+MATCH($D76,'[1]End - Use Prices'!$B$9:$B$11,0)-1,MATCH(AZ$1,'[1]End - Use Prices'!$C$7:$AL$7,0))</f>
        <v>11.28</v>
      </c>
      <c r="BA76" s="41">
        <f>INDEX('[1]End - Use Prices'!$C$6:$AL$89,MATCH($C76,'[1]End - Use Prices'!$A$6:$A$89,0)+MATCH($D76,'[1]End - Use Prices'!$B$9:$B$11,0)-1,MATCH(BA$1,'[1]End - Use Prices'!$C$7:$AL$7,0))</f>
        <v>11.33</v>
      </c>
      <c r="BB76" s="41">
        <f>INDEX('[1]End - Use Prices'!$C$6:$AL$89,MATCH($C76,'[1]End - Use Prices'!$A$6:$A$89,0)+MATCH($D76,'[1]End - Use Prices'!$B$9:$B$11,0)-1,MATCH(BB$1,'[1]End - Use Prices'!$C$7:$AL$7,0))</f>
        <v>11.37</v>
      </c>
      <c r="BC76" s="41">
        <f>INDEX('[1]End - Use Prices'!$C$6:$AL$89,MATCH($C76,'[1]End - Use Prices'!$A$6:$A$89,0)+MATCH($D76,'[1]End - Use Prices'!$B$9:$B$11,0)-1,MATCH(BC$1,'[1]End - Use Prices'!$C$7:$AL$7,0))</f>
        <v>11.41</v>
      </c>
      <c r="BD76" s="41">
        <f>INDEX('[1]End - Use Prices'!$C$6:$AL$89,MATCH($C76,'[1]End - Use Prices'!$A$6:$A$89,0)+MATCH($D76,'[1]End - Use Prices'!$B$9:$B$11,0)-1,MATCH(BD$1,'[1]End - Use Prices'!$C$7:$AL$7,0))</f>
        <v>11.43</v>
      </c>
      <c r="BE76" s="41">
        <f>INDEX('[1]End - Use Prices'!$C$6:$AL$89,MATCH($C76,'[1]End - Use Prices'!$A$6:$A$89,0)+MATCH($D76,'[1]End - Use Prices'!$B$9:$B$11,0)-1,MATCH(BE$1,'[1]End - Use Prices'!$C$7:$AL$7,0))</f>
        <v>11.43</v>
      </c>
      <c r="BF76" s="41">
        <f>INDEX('[1]End - Use Prices'!$C$6:$AL$89,MATCH($C76,'[1]End - Use Prices'!$A$6:$A$89,0)+MATCH($D76,'[1]End - Use Prices'!$B$9:$B$11,0)-1,MATCH(BF$1,'[1]End - Use Prices'!$C$7:$AL$7,0))</f>
        <v>11.44</v>
      </c>
      <c r="BG76" s="41">
        <f>INDEX('[1]End - Use Prices'!$C$6:$AL$89,MATCH($C76,'[1]End - Use Prices'!$A$6:$A$89,0)+MATCH($D76,'[1]End - Use Prices'!$B$9:$B$11,0)-1,MATCH(BG$1,'[1]End - Use Prices'!$C$7:$AL$7,0))</f>
        <v>11.44</v>
      </c>
      <c r="BR76" s="39"/>
      <c r="BS76" s="39"/>
      <c r="BT76" s="39"/>
      <c r="BU76" s="39"/>
      <c r="BV76" s="39"/>
      <c r="BW76" s="39"/>
      <c r="BX76" s="39"/>
      <c r="BY76" s="39"/>
      <c r="BZ76" s="39"/>
      <c r="CA76" s="39"/>
    </row>
    <row r="77" spans="1:79" x14ac:dyDescent="0.25">
      <c r="A77" s="5"/>
      <c r="B77" s="3"/>
      <c r="C77" s="25" t="s">
        <v>85</v>
      </c>
      <c r="D77" s="25" t="s">
        <v>14</v>
      </c>
      <c r="E77" s="25" t="s">
        <v>282</v>
      </c>
      <c r="F77" s="67" t="s">
        <v>279</v>
      </c>
      <c r="G77" s="53">
        <f t="shared" si="11"/>
        <v>18.899999999999999</v>
      </c>
      <c r="H77" s="34">
        <f t="shared" si="12"/>
        <v>18.899999999999999</v>
      </c>
      <c r="I77" s="34">
        <f t="shared" si="12"/>
        <v>20.09</v>
      </c>
      <c r="J77" s="34">
        <f t="shared" si="12"/>
        <v>13.86</v>
      </c>
      <c r="K77" s="34">
        <f t="shared" si="12"/>
        <v>10.91</v>
      </c>
      <c r="L77" s="34">
        <f t="shared" si="12"/>
        <v>11.38</v>
      </c>
      <c r="M77" s="34">
        <f t="shared" si="12"/>
        <v>11.9</v>
      </c>
      <c r="N77" s="34">
        <f t="shared" si="12"/>
        <v>12.45</v>
      </c>
      <c r="O77" s="34">
        <f t="shared" si="12"/>
        <v>12.67</v>
      </c>
      <c r="P77" s="53">
        <f t="shared" si="13"/>
        <v>12.67</v>
      </c>
      <c r="Q77" s="53">
        <f t="shared" si="13"/>
        <v>12.67</v>
      </c>
      <c r="R77" s="38"/>
      <c r="X77" s="41">
        <f>INDEX('[1]End - Use Prices'!$C$6:$AL$89,MATCH($C77,'[1]End - Use Prices'!$A$6:$A$89,0)+MATCH($D77,'[1]End - Use Prices'!$B$9:$B$11,0)-1,MATCH(X$1,'[1]End - Use Prices'!$C$7:$AL$7,0))</f>
        <v>18.899999999999999</v>
      </c>
      <c r="Y77" s="41">
        <f>INDEX('[1]End - Use Prices'!$C$6:$AL$89,MATCH($C77,'[1]End - Use Prices'!$A$6:$A$89,0)+MATCH($D77,'[1]End - Use Prices'!$B$9:$B$11,0)-1,MATCH(Y$1,'[1]End - Use Prices'!$C$7:$AL$7,0))</f>
        <v>18.940000000000001</v>
      </c>
      <c r="Z77" s="41">
        <f>INDEX('[1]End - Use Prices'!$C$6:$AL$89,MATCH($C77,'[1]End - Use Prices'!$A$6:$A$89,0)+MATCH($D77,'[1]End - Use Prices'!$B$9:$B$11,0)-1,MATCH(Z$1,'[1]End - Use Prices'!$C$7:$AL$7,0))</f>
        <v>11.86</v>
      </c>
      <c r="AA77" s="41">
        <f>INDEX('[1]End - Use Prices'!$C$6:$AL$89,MATCH($C77,'[1]End - Use Prices'!$A$6:$A$89,0)+MATCH($D77,'[1]End - Use Prices'!$B$9:$B$11,0)-1,MATCH(AA$1,'[1]End - Use Prices'!$C$7:$AL$7,0))</f>
        <v>14.01</v>
      </c>
      <c r="AB77" s="41">
        <f>INDEX('[1]End - Use Prices'!$C$6:$AL$89,MATCH($C77,'[1]End - Use Prices'!$A$6:$A$89,0)+MATCH($D77,'[1]End - Use Prices'!$B$9:$B$11,0)-1,MATCH(AB$1,'[1]End - Use Prices'!$C$7:$AL$7,0))</f>
        <v>14.6</v>
      </c>
      <c r="AC77" s="41">
        <f>INDEX('[1]End - Use Prices'!$C$6:$AL$89,MATCH($C77,'[1]End - Use Prices'!$A$6:$A$89,0)+MATCH($D77,'[1]End - Use Prices'!$B$9:$B$11,0)-1,MATCH(AC$1,'[1]End - Use Prices'!$C$7:$AL$7,0))</f>
        <v>20.09</v>
      </c>
      <c r="AD77" s="41">
        <f>INDEX('[1]End - Use Prices'!$C$6:$AL$89,MATCH($C77,'[1]End - Use Prices'!$A$6:$A$89,0)+MATCH($D77,'[1]End - Use Prices'!$B$9:$B$11,0)-1,MATCH(AD$1,'[1]End - Use Prices'!$C$7:$AL$7,0))</f>
        <v>17.2</v>
      </c>
      <c r="AE77" s="41">
        <f>INDEX('[1]End - Use Prices'!$C$6:$AL$89,MATCH($C77,'[1]End - Use Prices'!$A$6:$A$89,0)+MATCH($D77,'[1]End - Use Prices'!$B$9:$B$11,0)-1,MATCH(AE$1,'[1]End - Use Prices'!$C$7:$AL$7,0))</f>
        <v>17.59</v>
      </c>
      <c r="AF77" s="41">
        <f>INDEX('[1]End - Use Prices'!$C$6:$AL$89,MATCH($C77,'[1]End - Use Prices'!$A$6:$A$89,0)+MATCH($D77,'[1]End - Use Prices'!$B$9:$B$11,0)-1,MATCH(AF$1,'[1]End - Use Prices'!$C$7:$AL$7,0))</f>
        <v>18.75</v>
      </c>
      <c r="AG77" s="41">
        <f>INDEX('[1]End - Use Prices'!$C$6:$AL$89,MATCH($C77,'[1]End - Use Prices'!$A$6:$A$89,0)+MATCH($D77,'[1]End - Use Prices'!$B$9:$B$11,0)-1,MATCH(AG$1,'[1]End - Use Prices'!$C$7:$AL$7,0))</f>
        <v>18.48</v>
      </c>
      <c r="AH77" s="41">
        <f>INDEX('[1]End - Use Prices'!$C$6:$AL$89,MATCH($C77,'[1]End - Use Prices'!$A$6:$A$89,0)+MATCH($D77,'[1]End - Use Prices'!$B$9:$B$11,0)-1,MATCH(AH$1,'[1]End - Use Prices'!$C$7:$AL$7,0))</f>
        <v>13.86</v>
      </c>
      <c r="AI77" s="41">
        <f>INDEX('[1]End - Use Prices'!$C$6:$AL$89,MATCH($C77,'[1]End - Use Prices'!$A$6:$A$89,0)+MATCH($D77,'[1]End - Use Prices'!$B$9:$B$11,0)-1,MATCH(AI$1,'[1]End - Use Prices'!$C$7:$AL$7,0))</f>
        <v>9.4700000000000006</v>
      </c>
      <c r="AJ77" s="41">
        <f>INDEX('[1]End - Use Prices'!$C$6:$AL$89,MATCH($C77,'[1]End - Use Prices'!$A$6:$A$89,0)+MATCH($D77,'[1]End - Use Prices'!$B$9:$B$11,0)-1,MATCH(AJ$1,'[1]End - Use Prices'!$C$7:$AL$7,0))</f>
        <v>10.75</v>
      </c>
      <c r="AK77" s="41">
        <f>INDEX('[1]End - Use Prices'!$C$6:$AL$89,MATCH($C77,'[1]End - Use Prices'!$A$6:$A$89,0)+MATCH($D77,'[1]End - Use Prices'!$B$9:$B$11,0)-1,MATCH(AK$1,'[1]End - Use Prices'!$C$7:$AL$7,0))</f>
        <v>10.63</v>
      </c>
      <c r="AL77" s="41">
        <f>INDEX('[1]End - Use Prices'!$C$6:$AL$89,MATCH($C77,'[1]End - Use Prices'!$A$6:$A$89,0)+MATCH($D77,'[1]End - Use Prices'!$B$9:$B$11,0)-1,MATCH(AL$1,'[1]End - Use Prices'!$C$7:$AL$7,0))</f>
        <v>10.61</v>
      </c>
      <c r="AM77" s="41">
        <f>INDEX('[1]End - Use Prices'!$C$6:$AL$89,MATCH($C77,'[1]End - Use Prices'!$A$6:$A$89,0)+MATCH($D77,'[1]End - Use Prices'!$B$9:$B$11,0)-1,MATCH(AM$1,'[1]End - Use Prices'!$C$7:$AL$7,0))</f>
        <v>10.91</v>
      </c>
      <c r="AN77" s="41">
        <f>INDEX('[1]End - Use Prices'!$C$6:$AL$89,MATCH($C77,'[1]End - Use Prices'!$A$6:$A$89,0)+MATCH($D77,'[1]End - Use Prices'!$B$9:$B$11,0)-1,MATCH(AN$1,'[1]End - Use Prices'!$C$7:$AL$7,0))</f>
        <v>11.07</v>
      </c>
      <c r="AO77" s="41">
        <f>INDEX('[1]End - Use Prices'!$C$6:$AL$89,MATCH($C77,'[1]End - Use Prices'!$A$6:$A$89,0)+MATCH($D77,'[1]End - Use Prices'!$B$9:$B$11,0)-1,MATCH(AO$1,'[1]End - Use Prices'!$C$7:$AL$7,0))</f>
        <v>11.22</v>
      </c>
      <c r="AP77" s="41">
        <f>INDEX('[1]End - Use Prices'!$C$6:$AL$89,MATCH($C77,'[1]End - Use Prices'!$A$6:$A$89,0)+MATCH($D77,'[1]End - Use Prices'!$B$9:$B$11,0)-1,MATCH(AP$1,'[1]End - Use Prices'!$C$7:$AL$7,0))</f>
        <v>11.35</v>
      </c>
      <c r="AQ77" s="41">
        <f>INDEX('[1]End - Use Prices'!$C$6:$AL$89,MATCH($C77,'[1]End - Use Prices'!$A$6:$A$89,0)+MATCH($D77,'[1]End - Use Prices'!$B$9:$B$11,0)-1,MATCH(AQ$1,'[1]End - Use Prices'!$C$7:$AL$7,0))</f>
        <v>11.35</v>
      </c>
      <c r="AR77" s="41">
        <f>INDEX('[1]End - Use Prices'!$C$6:$AL$89,MATCH($C77,'[1]End - Use Prices'!$A$6:$A$89,0)+MATCH($D77,'[1]End - Use Prices'!$B$9:$B$11,0)-1,MATCH(AR$1,'[1]End - Use Prices'!$C$7:$AL$7,0))</f>
        <v>11.38</v>
      </c>
      <c r="AS77" s="41">
        <f>INDEX('[1]End - Use Prices'!$C$6:$AL$89,MATCH($C77,'[1]End - Use Prices'!$A$6:$A$89,0)+MATCH($D77,'[1]End - Use Prices'!$B$9:$B$11,0)-1,MATCH(AS$1,'[1]End - Use Prices'!$C$7:$AL$7,0))</f>
        <v>11.48</v>
      </c>
      <c r="AT77" s="41">
        <f>INDEX('[1]End - Use Prices'!$C$6:$AL$89,MATCH($C77,'[1]End - Use Prices'!$A$6:$A$89,0)+MATCH($D77,'[1]End - Use Prices'!$B$9:$B$11,0)-1,MATCH(AT$1,'[1]End - Use Prices'!$C$7:$AL$7,0))</f>
        <v>11.57</v>
      </c>
      <c r="AU77" s="41">
        <f>INDEX('[1]End - Use Prices'!$C$6:$AL$89,MATCH($C77,'[1]End - Use Prices'!$A$6:$A$89,0)+MATCH($D77,'[1]End - Use Prices'!$B$9:$B$11,0)-1,MATCH(AU$1,'[1]End - Use Prices'!$C$7:$AL$7,0))</f>
        <v>11.67</v>
      </c>
      <c r="AV77" s="41">
        <f>INDEX('[1]End - Use Prices'!$C$6:$AL$89,MATCH($C77,'[1]End - Use Prices'!$A$6:$A$89,0)+MATCH($D77,'[1]End - Use Prices'!$B$9:$B$11,0)-1,MATCH(AV$1,'[1]End - Use Prices'!$C$7:$AL$7,0))</f>
        <v>11.79</v>
      </c>
      <c r="AW77" s="41">
        <f>INDEX('[1]End - Use Prices'!$C$6:$AL$89,MATCH($C77,'[1]End - Use Prices'!$A$6:$A$89,0)+MATCH($D77,'[1]End - Use Prices'!$B$9:$B$11,0)-1,MATCH(AW$1,'[1]End - Use Prices'!$C$7:$AL$7,0))</f>
        <v>11.9</v>
      </c>
      <c r="AX77" s="41">
        <f>INDEX('[1]End - Use Prices'!$C$6:$AL$89,MATCH($C77,'[1]End - Use Prices'!$A$6:$A$89,0)+MATCH($D77,'[1]End - Use Prices'!$B$9:$B$11,0)-1,MATCH(AX$1,'[1]End - Use Prices'!$C$7:$AL$7,0))</f>
        <v>12.02</v>
      </c>
      <c r="AY77" s="41">
        <f>INDEX('[1]End - Use Prices'!$C$6:$AL$89,MATCH($C77,'[1]End - Use Prices'!$A$6:$A$89,0)+MATCH($D77,'[1]End - Use Prices'!$B$9:$B$11,0)-1,MATCH(AY$1,'[1]End - Use Prices'!$C$7:$AL$7,0))</f>
        <v>12.15</v>
      </c>
      <c r="AZ77" s="41">
        <f>INDEX('[1]End - Use Prices'!$C$6:$AL$89,MATCH($C77,'[1]End - Use Prices'!$A$6:$A$89,0)+MATCH($D77,'[1]End - Use Prices'!$B$9:$B$11,0)-1,MATCH(AZ$1,'[1]End - Use Prices'!$C$7:$AL$7,0))</f>
        <v>12.3</v>
      </c>
      <c r="BA77" s="41">
        <f>INDEX('[1]End - Use Prices'!$C$6:$AL$89,MATCH($C77,'[1]End - Use Prices'!$A$6:$A$89,0)+MATCH($D77,'[1]End - Use Prices'!$B$9:$B$11,0)-1,MATCH(BA$1,'[1]End - Use Prices'!$C$7:$AL$7,0))</f>
        <v>12.38</v>
      </c>
      <c r="BB77" s="41">
        <f>INDEX('[1]End - Use Prices'!$C$6:$AL$89,MATCH($C77,'[1]End - Use Prices'!$A$6:$A$89,0)+MATCH($D77,'[1]End - Use Prices'!$B$9:$B$11,0)-1,MATCH(BB$1,'[1]End - Use Prices'!$C$7:$AL$7,0))</f>
        <v>12.45</v>
      </c>
      <c r="BC77" s="41">
        <f>INDEX('[1]End - Use Prices'!$C$6:$AL$89,MATCH($C77,'[1]End - Use Prices'!$A$6:$A$89,0)+MATCH($D77,'[1]End - Use Prices'!$B$9:$B$11,0)-1,MATCH(BC$1,'[1]End - Use Prices'!$C$7:$AL$7,0))</f>
        <v>12.52</v>
      </c>
      <c r="BD77" s="41">
        <f>INDEX('[1]End - Use Prices'!$C$6:$AL$89,MATCH($C77,'[1]End - Use Prices'!$A$6:$A$89,0)+MATCH($D77,'[1]End - Use Prices'!$B$9:$B$11,0)-1,MATCH(BD$1,'[1]End - Use Prices'!$C$7:$AL$7,0))</f>
        <v>12.57</v>
      </c>
      <c r="BE77" s="41">
        <f>INDEX('[1]End - Use Prices'!$C$6:$AL$89,MATCH($C77,'[1]End - Use Prices'!$A$6:$A$89,0)+MATCH($D77,'[1]End - Use Prices'!$B$9:$B$11,0)-1,MATCH(BE$1,'[1]End - Use Prices'!$C$7:$AL$7,0))</f>
        <v>12.6</v>
      </c>
      <c r="BF77" s="41">
        <f>INDEX('[1]End - Use Prices'!$C$6:$AL$89,MATCH($C77,'[1]End - Use Prices'!$A$6:$A$89,0)+MATCH($D77,'[1]End - Use Prices'!$B$9:$B$11,0)-1,MATCH(BF$1,'[1]End - Use Prices'!$C$7:$AL$7,0))</f>
        <v>12.64</v>
      </c>
      <c r="BG77" s="41">
        <f>INDEX('[1]End - Use Prices'!$C$6:$AL$89,MATCH($C77,'[1]End - Use Prices'!$A$6:$A$89,0)+MATCH($D77,'[1]End - Use Prices'!$B$9:$B$11,0)-1,MATCH(BG$1,'[1]End - Use Prices'!$C$7:$AL$7,0))</f>
        <v>12.67</v>
      </c>
      <c r="BR77" s="39"/>
      <c r="BS77" s="39"/>
      <c r="BT77" s="39"/>
      <c r="BU77" s="39"/>
      <c r="BV77" s="39"/>
      <c r="BW77" s="39"/>
      <c r="BX77" s="39"/>
      <c r="BY77" s="39"/>
      <c r="BZ77" s="39"/>
      <c r="CA77" s="39"/>
    </row>
    <row r="78" spans="1:79" x14ac:dyDescent="0.25">
      <c r="A78" s="5"/>
      <c r="B78" s="3"/>
      <c r="C78" s="25" t="s">
        <v>86</v>
      </c>
      <c r="D78" s="25" t="s">
        <v>14</v>
      </c>
      <c r="E78" s="25" t="s">
        <v>282</v>
      </c>
      <c r="F78" s="67" t="s">
        <v>279</v>
      </c>
      <c r="G78" s="53">
        <f t="shared" si="11"/>
        <v>18.899999999999999</v>
      </c>
      <c r="H78" s="34">
        <f t="shared" ref="H78:O93" si="14">INDEX($S78:$CA78,MATCH(H$1,$S$1:$CA$1,0))</f>
        <v>18.899999999999999</v>
      </c>
      <c r="I78" s="34">
        <f t="shared" si="14"/>
        <v>20.09</v>
      </c>
      <c r="J78" s="34">
        <f t="shared" si="14"/>
        <v>10.53</v>
      </c>
      <c r="K78" s="34">
        <f t="shared" si="14"/>
        <v>10.91</v>
      </c>
      <c r="L78" s="34">
        <f t="shared" si="14"/>
        <v>11.38</v>
      </c>
      <c r="M78" s="34">
        <f t="shared" si="14"/>
        <v>11.9</v>
      </c>
      <c r="N78" s="34">
        <f t="shared" si="14"/>
        <v>12.45</v>
      </c>
      <c r="O78" s="34">
        <f t="shared" si="14"/>
        <v>12.67</v>
      </c>
      <c r="P78" s="53">
        <f t="shared" si="13"/>
        <v>12.67</v>
      </c>
      <c r="Q78" s="53">
        <f t="shared" si="13"/>
        <v>12.67</v>
      </c>
      <c r="R78" s="38"/>
      <c r="X78" s="41">
        <f>INDEX('[1]End - Use Prices'!$C$6:$AL$89,MATCH($C78,'[1]End - Use Prices'!$A$6:$A$89,0)+MATCH($D78,'[1]End - Use Prices'!$B$9:$B$11,0)-1,MATCH(X$1,'[1]End - Use Prices'!$C$7:$AL$7,0))</f>
        <v>18.899999999999999</v>
      </c>
      <c r="Y78" s="41">
        <f>INDEX('[1]End - Use Prices'!$C$6:$AL$89,MATCH($C78,'[1]End - Use Prices'!$A$6:$A$89,0)+MATCH($D78,'[1]End - Use Prices'!$B$9:$B$11,0)-1,MATCH(Y$1,'[1]End - Use Prices'!$C$7:$AL$7,0))</f>
        <v>18.940000000000001</v>
      </c>
      <c r="Z78" s="41">
        <f>INDEX('[1]End - Use Prices'!$C$6:$AL$89,MATCH($C78,'[1]End - Use Prices'!$A$6:$A$89,0)+MATCH($D78,'[1]End - Use Prices'!$B$9:$B$11,0)-1,MATCH(Z$1,'[1]End - Use Prices'!$C$7:$AL$7,0))</f>
        <v>11.86</v>
      </c>
      <c r="AA78" s="41">
        <f>INDEX('[1]End - Use Prices'!$C$6:$AL$89,MATCH($C78,'[1]End - Use Prices'!$A$6:$A$89,0)+MATCH($D78,'[1]End - Use Prices'!$B$9:$B$11,0)-1,MATCH(AA$1,'[1]End - Use Prices'!$C$7:$AL$7,0))</f>
        <v>14.01</v>
      </c>
      <c r="AB78" s="41">
        <f>INDEX('[1]End - Use Prices'!$C$6:$AL$89,MATCH($C78,'[1]End - Use Prices'!$A$6:$A$89,0)+MATCH($D78,'[1]End - Use Prices'!$B$9:$B$11,0)-1,MATCH(AB$1,'[1]End - Use Prices'!$C$7:$AL$7,0))</f>
        <v>14.6</v>
      </c>
      <c r="AC78" s="41">
        <f>INDEX('[1]End - Use Prices'!$C$6:$AL$89,MATCH($C78,'[1]End - Use Prices'!$A$6:$A$89,0)+MATCH($D78,'[1]End - Use Prices'!$B$9:$B$11,0)-1,MATCH(AC$1,'[1]End - Use Prices'!$C$7:$AL$7,0))</f>
        <v>20.09</v>
      </c>
      <c r="AD78" s="41">
        <f>INDEX('[1]End - Use Prices'!$C$6:$AL$89,MATCH($C78,'[1]End - Use Prices'!$A$6:$A$89,0)+MATCH($D78,'[1]End - Use Prices'!$B$9:$B$11,0)-1,MATCH(AD$1,'[1]End - Use Prices'!$C$7:$AL$7,0))</f>
        <v>17.2</v>
      </c>
      <c r="AE78" s="41">
        <f>INDEX('[1]End - Use Prices'!$C$6:$AL$89,MATCH($C78,'[1]End - Use Prices'!$A$6:$A$89,0)+MATCH($D78,'[1]End - Use Prices'!$B$9:$B$11,0)-1,MATCH(AE$1,'[1]End - Use Prices'!$C$7:$AL$7,0))</f>
        <v>17.59</v>
      </c>
      <c r="AF78" s="41">
        <f>INDEX('[1]End - Use Prices'!$C$6:$AL$89,MATCH($C78,'[1]End - Use Prices'!$A$6:$A$89,0)+MATCH($D78,'[1]End - Use Prices'!$B$9:$B$11,0)-1,MATCH(AF$1,'[1]End - Use Prices'!$C$7:$AL$7,0))</f>
        <v>18.38</v>
      </c>
      <c r="AG78" s="41">
        <f>INDEX('[1]End - Use Prices'!$C$6:$AL$89,MATCH($C78,'[1]End - Use Prices'!$A$6:$A$89,0)+MATCH($D78,'[1]End - Use Prices'!$B$9:$B$11,0)-1,MATCH(AG$1,'[1]End - Use Prices'!$C$7:$AL$7,0))</f>
        <v>18.48</v>
      </c>
      <c r="AH78" s="41">
        <f>INDEX('[1]End - Use Prices'!$C$6:$AL$89,MATCH($C78,'[1]End - Use Prices'!$A$6:$A$89,0)+MATCH($D78,'[1]End - Use Prices'!$B$9:$B$11,0)-1,MATCH(AH$1,'[1]End - Use Prices'!$C$7:$AL$7,0))</f>
        <v>10.53</v>
      </c>
      <c r="AI78" s="41">
        <f>INDEX('[1]End - Use Prices'!$C$6:$AL$89,MATCH($C78,'[1]End - Use Prices'!$A$6:$A$89,0)+MATCH($D78,'[1]End - Use Prices'!$B$9:$B$11,0)-1,MATCH(AI$1,'[1]End - Use Prices'!$C$7:$AL$7,0))</f>
        <v>9.49</v>
      </c>
      <c r="AJ78" s="41">
        <f>INDEX('[1]End - Use Prices'!$C$6:$AL$89,MATCH($C78,'[1]End - Use Prices'!$A$6:$A$89,0)+MATCH($D78,'[1]End - Use Prices'!$B$9:$B$11,0)-1,MATCH(AJ$1,'[1]End - Use Prices'!$C$7:$AL$7,0))</f>
        <v>10.75</v>
      </c>
      <c r="AK78" s="41">
        <f>INDEX('[1]End - Use Prices'!$C$6:$AL$89,MATCH($C78,'[1]End - Use Prices'!$A$6:$A$89,0)+MATCH($D78,'[1]End - Use Prices'!$B$9:$B$11,0)-1,MATCH(AK$1,'[1]End - Use Prices'!$C$7:$AL$7,0))</f>
        <v>10.63</v>
      </c>
      <c r="AL78" s="41">
        <f>INDEX('[1]End - Use Prices'!$C$6:$AL$89,MATCH($C78,'[1]End - Use Prices'!$A$6:$A$89,0)+MATCH($D78,'[1]End - Use Prices'!$B$9:$B$11,0)-1,MATCH(AL$1,'[1]End - Use Prices'!$C$7:$AL$7,0))</f>
        <v>10.61</v>
      </c>
      <c r="AM78" s="41">
        <f>INDEX('[1]End - Use Prices'!$C$6:$AL$89,MATCH($C78,'[1]End - Use Prices'!$A$6:$A$89,0)+MATCH($D78,'[1]End - Use Prices'!$B$9:$B$11,0)-1,MATCH(AM$1,'[1]End - Use Prices'!$C$7:$AL$7,0))</f>
        <v>10.91</v>
      </c>
      <c r="AN78" s="41">
        <f>INDEX('[1]End - Use Prices'!$C$6:$AL$89,MATCH($C78,'[1]End - Use Prices'!$A$6:$A$89,0)+MATCH($D78,'[1]End - Use Prices'!$B$9:$B$11,0)-1,MATCH(AN$1,'[1]End - Use Prices'!$C$7:$AL$7,0))</f>
        <v>11.07</v>
      </c>
      <c r="AO78" s="41">
        <f>INDEX('[1]End - Use Prices'!$C$6:$AL$89,MATCH($C78,'[1]End - Use Prices'!$A$6:$A$89,0)+MATCH($D78,'[1]End - Use Prices'!$B$9:$B$11,0)-1,MATCH(AO$1,'[1]End - Use Prices'!$C$7:$AL$7,0))</f>
        <v>11.22</v>
      </c>
      <c r="AP78" s="41">
        <f>INDEX('[1]End - Use Prices'!$C$6:$AL$89,MATCH($C78,'[1]End - Use Prices'!$A$6:$A$89,0)+MATCH($D78,'[1]End - Use Prices'!$B$9:$B$11,0)-1,MATCH(AP$1,'[1]End - Use Prices'!$C$7:$AL$7,0))</f>
        <v>11.35</v>
      </c>
      <c r="AQ78" s="41">
        <f>INDEX('[1]End - Use Prices'!$C$6:$AL$89,MATCH($C78,'[1]End - Use Prices'!$A$6:$A$89,0)+MATCH($D78,'[1]End - Use Prices'!$B$9:$B$11,0)-1,MATCH(AQ$1,'[1]End - Use Prices'!$C$7:$AL$7,0))</f>
        <v>11.35</v>
      </c>
      <c r="AR78" s="41">
        <f>INDEX('[1]End - Use Prices'!$C$6:$AL$89,MATCH($C78,'[1]End - Use Prices'!$A$6:$A$89,0)+MATCH($D78,'[1]End - Use Prices'!$B$9:$B$11,0)-1,MATCH(AR$1,'[1]End - Use Prices'!$C$7:$AL$7,0))</f>
        <v>11.38</v>
      </c>
      <c r="AS78" s="41">
        <f>INDEX('[1]End - Use Prices'!$C$6:$AL$89,MATCH($C78,'[1]End - Use Prices'!$A$6:$A$89,0)+MATCH($D78,'[1]End - Use Prices'!$B$9:$B$11,0)-1,MATCH(AS$1,'[1]End - Use Prices'!$C$7:$AL$7,0))</f>
        <v>11.48</v>
      </c>
      <c r="AT78" s="41">
        <f>INDEX('[1]End - Use Prices'!$C$6:$AL$89,MATCH($C78,'[1]End - Use Prices'!$A$6:$A$89,0)+MATCH($D78,'[1]End - Use Prices'!$B$9:$B$11,0)-1,MATCH(AT$1,'[1]End - Use Prices'!$C$7:$AL$7,0))</f>
        <v>11.57</v>
      </c>
      <c r="AU78" s="41">
        <f>INDEX('[1]End - Use Prices'!$C$6:$AL$89,MATCH($C78,'[1]End - Use Prices'!$A$6:$A$89,0)+MATCH($D78,'[1]End - Use Prices'!$B$9:$B$11,0)-1,MATCH(AU$1,'[1]End - Use Prices'!$C$7:$AL$7,0))</f>
        <v>11.67</v>
      </c>
      <c r="AV78" s="41">
        <f>INDEX('[1]End - Use Prices'!$C$6:$AL$89,MATCH($C78,'[1]End - Use Prices'!$A$6:$A$89,0)+MATCH($D78,'[1]End - Use Prices'!$B$9:$B$11,0)-1,MATCH(AV$1,'[1]End - Use Prices'!$C$7:$AL$7,0))</f>
        <v>11.79</v>
      </c>
      <c r="AW78" s="41">
        <f>INDEX('[1]End - Use Prices'!$C$6:$AL$89,MATCH($C78,'[1]End - Use Prices'!$A$6:$A$89,0)+MATCH($D78,'[1]End - Use Prices'!$B$9:$B$11,0)-1,MATCH(AW$1,'[1]End - Use Prices'!$C$7:$AL$7,0))</f>
        <v>11.9</v>
      </c>
      <c r="AX78" s="41">
        <f>INDEX('[1]End - Use Prices'!$C$6:$AL$89,MATCH($C78,'[1]End - Use Prices'!$A$6:$A$89,0)+MATCH($D78,'[1]End - Use Prices'!$B$9:$B$11,0)-1,MATCH(AX$1,'[1]End - Use Prices'!$C$7:$AL$7,0))</f>
        <v>12.02</v>
      </c>
      <c r="AY78" s="41">
        <f>INDEX('[1]End - Use Prices'!$C$6:$AL$89,MATCH($C78,'[1]End - Use Prices'!$A$6:$A$89,0)+MATCH($D78,'[1]End - Use Prices'!$B$9:$B$11,0)-1,MATCH(AY$1,'[1]End - Use Prices'!$C$7:$AL$7,0))</f>
        <v>12.15</v>
      </c>
      <c r="AZ78" s="41">
        <f>INDEX('[1]End - Use Prices'!$C$6:$AL$89,MATCH($C78,'[1]End - Use Prices'!$A$6:$A$89,0)+MATCH($D78,'[1]End - Use Prices'!$B$9:$B$11,0)-1,MATCH(AZ$1,'[1]End - Use Prices'!$C$7:$AL$7,0))</f>
        <v>12.3</v>
      </c>
      <c r="BA78" s="41">
        <f>INDEX('[1]End - Use Prices'!$C$6:$AL$89,MATCH($C78,'[1]End - Use Prices'!$A$6:$A$89,0)+MATCH($D78,'[1]End - Use Prices'!$B$9:$B$11,0)-1,MATCH(BA$1,'[1]End - Use Prices'!$C$7:$AL$7,0))</f>
        <v>12.38</v>
      </c>
      <c r="BB78" s="41">
        <f>INDEX('[1]End - Use Prices'!$C$6:$AL$89,MATCH($C78,'[1]End - Use Prices'!$A$6:$A$89,0)+MATCH($D78,'[1]End - Use Prices'!$B$9:$B$11,0)-1,MATCH(BB$1,'[1]End - Use Prices'!$C$7:$AL$7,0))</f>
        <v>12.45</v>
      </c>
      <c r="BC78" s="41">
        <f>INDEX('[1]End - Use Prices'!$C$6:$AL$89,MATCH($C78,'[1]End - Use Prices'!$A$6:$A$89,0)+MATCH($D78,'[1]End - Use Prices'!$B$9:$B$11,0)-1,MATCH(BC$1,'[1]End - Use Prices'!$C$7:$AL$7,0))</f>
        <v>12.52</v>
      </c>
      <c r="BD78" s="41">
        <f>INDEX('[1]End - Use Prices'!$C$6:$AL$89,MATCH($C78,'[1]End - Use Prices'!$A$6:$A$89,0)+MATCH($D78,'[1]End - Use Prices'!$B$9:$B$11,0)-1,MATCH(BD$1,'[1]End - Use Prices'!$C$7:$AL$7,0))</f>
        <v>12.57</v>
      </c>
      <c r="BE78" s="41">
        <f>INDEX('[1]End - Use Prices'!$C$6:$AL$89,MATCH($C78,'[1]End - Use Prices'!$A$6:$A$89,0)+MATCH($D78,'[1]End - Use Prices'!$B$9:$B$11,0)-1,MATCH(BE$1,'[1]End - Use Prices'!$C$7:$AL$7,0))</f>
        <v>12.6</v>
      </c>
      <c r="BF78" s="41">
        <f>INDEX('[1]End - Use Prices'!$C$6:$AL$89,MATCH($C78,'[1]End - Use Prices'!$A$6:$A$89,0)+MATCH($D78,'[1]End - Use Prices'!$B$9:$B$11,0)-1,MATCH(BF$1,'[1]End - Use Prices'!$C$7:$AL$7,0))</f>
        <v>12.64</v>
      </c>
      <c r="BG78" s="41">
        <f>INDEX('[1]End - Use Prices'!$C$6:$AL$89,MATCH($C78,'[1]End - Use Prices'!$A$6:$A$89,0)+MATCH($D78,'[1]End - Use Prices'!$B$9:$B$11,0)-1,MATCH(BG$1,'[1]End - Use Prices'!$C$7:$AL$7,0))</f>
        <v>12.67</v>
      </c>
      <c r="BR78" s="39"/>
      <c r="BS78" s="39"/>
      <c r="BT78" s="39"/>
      <c r="BU78" s="39"/>
      <c r="BV78" s="39"/>
      <c r="BW78" s="39"/>
      <c r="BX78" s="39"/>
      <c r="BY78" s="39"/>
      <c r="BZ78" s="39"/>
      <c r="CA78" s="39"/>
    </row>
    <row r="79" spans="1:79" x14ac:dyDescent="0.25">
      <c r="A79" s="5"/>
      <c r="B79" s="3"/>
      <c r="C79" s="25" t="s">
        <v>87</v>
      </c>
      <c r="D79" s="25" t="s">
        <v>14</v>
      </c>
      <c r="E79" s="25" t="s">
        <v>282</v>
      </c>
      <c r="F79" s="67" t="s">
        <v>279</v>
      </c>
      <c r="G79" s="53">
        <f t="shared" si="11"/>
        <v>48.47</v>
      </c>
      <c r="H79" s="34">
        <f t="shared" si="14"/>
        <v>48.47</v>
      </c>
      <c r="I79" s="34">
        <f t="shared" si="14"/>
        <v>36.06</v>
      </c>
      <c r="J79" s="34">
        <f t="shared" si="14"/>
        <v>30.99</v>
      </c>
      <c r="K79" s="34">
        <f t="shared" si="14"/>
        <v>25.99</v>
      </c>
      <c r="L79" s="34">
        <f t="shared" si="14"/>
        <v>26.97</v>
      </c>
      <c r="M79" s="34">
        <f t="shared" si="14"/>
        <v>27.22</v>
      </c>
      <c r="N79" s="34">
        <f t="shared" si="14"/>
        <v>27.55</v>
      </c>
      <c r="O79" s="34">
        <f t="shared" si="14"/>
        <v>27.62</v>
      </c>
      <c r="P79" s="53">
        <f t="shared" si="13"/>
        <v>27.62</v>
      </c>
      <c r="Q79" s="53">
        <f t="shared" si="13"/>
        <v>27.62</v>
      </c>
      <c r="R79" s="38"/>
      <c r="X79" s="41">
        <f>INDEX('[1]End - Use Prices'!$C$6:$AL$89,MATCH($C79,'[1]End - Use Prices'!$A$6:$A$89,0)+MATCH($D79,'[1]End - Use Prices'!$B$9:$B$11,0)-1,MATCH(X$1,'[1]End - Use Prices'!$C$7:$AL$7,0))</f>
        <v>48.47</v>
      </c>
      <c r="Y79" s="41">
        <f>INDEX('[1]End - Use Prices'!$C$6:$AL$89,MATCH($C79,'[1]End - Use Prices'!$A$6:$A$89,0)+MATCH($D79,'[1]End - Use Prices'!$B$9:$B$11,0)-1,MATCH(Y$1,'[1]End - Use Prices'!$C$7:$AL$7,0))</f>
        <v>44.05</v>
      </c>
      <c r="Z79" s="41">
        <f>INDEX('[1]End - Use Prices'!$C$6:$AL$89,MATCH($C79,'[1]End - Use Prices'!$A$6:$A$89,0)+MATCH($D79,'[1]End - Use Prices'!$B$9:$B$11,0)-1,MATCH(Z$1,'[1]End - Use Prices'!$C$7:$AL$7,0))</f>
        <v>40.97</v>
      </c>
      <c r="AA79" s="41">
        <f>INDEX('[1]End - Use Prices'!$C$6:$AL$89,MATCH($C79,'[1]End - Use Prices'!$A$6:$A$89,0)+MATCH($D79,'[1]End - Use Prices'!$B$9:$B$11,0)-1,MATCH(AA$1,'[1]End - Use Prices'!$C$7:$AL$7,0))</f>
        <v>39.74</v>
      </c>
      <c r="AB79" s="41">
        <f>INDEX('[1]End - Use Prices'!$C$6:$AL$89,MATCH($C79,'[1]End - Use Prices'!$A$6:$A$89,0)+MATCH($D79,'[1]End - Use Prices'!$B$9:$B$11,0)-1,MATCH(AB$1,'[1]End - Use Prices'!$C$7:$AL$7,0))</f>
        <v>38.31</v>
      </c>
      <c r="AC79" s="41">
        <f>INDEX('[1]End - Use Prices'!$C$6:$AL$89,MATCH($C79,'[1]End - Use Prices'!$A$6:$A$89,0)+MATCH($D79,'[1]End - Use Prices'!$B$9:$B$11,0)-1,MATCH(AC$1,'[1]End - Use Prices'!$C$7:$AL$7,0))</f>
        <v>36.06</v>
      </c>
      <c r="AD79" s="41">
        <f>INDEX('[1]End - Use Prices'!$C$6:$AL$89,MATCH($C79,'[1]End - Use Prices'!$A$6:$A$89,0)+MATCH($D79,'[1]End - Use Prices'!$B$9:$B$11,0)-1,MATCH(AD$1,'[1]End - Use Prices'!$C$7:$AL$7,0))</f>
        <v>33.869999999999997</v>
      </c>
      <c r="AE79" s="41">
        <f>INDEX('[1]End - Use Prices'!$C$6:$AL$89,MATCH($C79,'[1]End - Use Prices'!$A$6:$A$89,0)+MATCH($D79,'[1]End - Use Prices'!$B$9:$B$11,0)-1,MATCH(AE$1,'[1]End - Use Prices'!$C$7:$AL$7,0))</f>
        <v>32.549999999999997</v>
      </c>
      <c r="AF79" s="41">
        <f>INDEX('[1]End - Use Prices'!$C$6:$AL$89,MATCH($C79,'[1]End - Use Prices'!$A$6:$A$89,0)+MATCH($D79,'[1]End - Use Prices'!$B$9:$B$11,0)-1,MATCH(AF$1,'[1]End - Use Prices'!$C$7:$AL$7,0))</f>
        <v>25.3</v>
      </c>
      <c r="AG79" s="41">
        <f>INDEX('[1]End - Use Prices'!$C$6:$AL$89,MATCH($C79,'[1]End - Use Prices'!$A$6:$A$89,0)+MATCH($D79,'[1]End - Use Prices'!$B$9:$B$11,0)-1,MATCH(AG$1,'[1]End - Use Prices'!$C$7:$AL$7,0))</f>
        <v>26.06</v>
      </c>
      <c r="AH79" s="41">
        <f>INDEX('[1]End - Use Prices'!$C$6:$AL$89,MATCH($C79,'[1]End - Use Prices'!$A$6:$A$89,0)+MATCH($D79,'[1]End - Use Prices'!$B$9:$B$11,0)-1,MATCH(AH$1,'[1]End - Use Prices'!$C$7:$AL$7,0))</f>
        <v>30.99</v>
      </c>
      <c r="AI79" s="41">
        <f>INDEX('[1]End - Use Prices'!$C$6:$AL$89,MATCH($C79,'[1]End - Use Prices'!$A$6:$A$89,0)+MATCH($D79,'[1]End - Use Prices'!$B$9:$B$11,0)-1,MATCH(AI$1,'[1]End - Use Prices'!$C$7:$AL$7,0))</f>
        <v>27.98</v>
      </c>
      <c r="AJ79" s="41">
        <f>INDEX('[1]End - Use Prices'!$C$6:$AL$89,MATCH($C79,'[1]End - Use Prices'!$A$6:$A$89,0)+MATCH($D79,'[1]End - Use Prices'!$B$9:$B$11,0)-1,MATCH(AJ$1,'[1]End - Use Prices'!$C$7:$AL$7,0))</f>
        <v>25.3</v>
      </c>
      <c r="AK79" s="41">
        <f>INDEX('[1]End - Use Prices'!$C$6:$AL$89,MATCH($C79,'[1]End - Use Prices'!$A$6:$A$89,0)+MATCH($D79,'[1]End - Use Prices'!$B$9:$B$11,0)-1,MATCH(AK$1,'[1]End - Use Prices'!$C$7:$AL$7,0))</f>
        <v>25.21</v>
      </c>
      <c r="AL79" s="41">
        <f>INDEX('[1]End - Use Prices'!$C$6:$AL$89,MATCH($C79,'[1]End - Use Prices'!$A$6:$A$89,0)+MATCH($D79,'[1]End - Use Prices'!$B$9:$B$11,0)-1,MATCH(AL$1,'[1]End - Use Prices'!$C$7:$AL$7,0))</f>
        <v>25.2</v>
      </c>
      <c r="AM79" s="41">
        <f>INDEX('[1]End - Use Prices'!$C$6:$AL$89,MATCH($C79,'[1]End - Use Prices'!$A$6:$A$89,0)+MATCH($D79,'[1]End - Use Prices'!$B$9:$B$11,0)-1,MATCH(AM$1,'[1]End - Use Prices'!$C$7:$AL$7,0))</f>
        <v>25.99</v>
      </c>
      <c r="AN79" s="41">
        <f>INDEX('[1]End - Use Prices'!$C$6:$AL$89,MATCH($C79,'[1]End - Use Prices'!$A$6:$A$89,0)+MATCH($D79,'[1]End - Use Prices'!$B$9:$B$11,0)-1,MATCH(AN$1,'[1]End - Use Prices'!$C$7:$AL$7,0))</f>
        <v>26.36</v>
      </c>
      <c r="AO79" s="41">
        <f>INDEX('[1]End - Use Prices'!$C$6:$AL$89,MATCH($C79,'[1]End - Use Prices'!$A$6:$A$89,0)+MATCH($D79,'[1]End - Use Prices'!$B$9:$B$11,0)-1,MATCH(AO$1,'[1]End - Use Prices'!$C$7:$AL$7,0))</f>
        <v>26.71</v>
      </c>
      <c r="AP79" s="41">
        <f>INDEX('[1]End - Use Prices'!$C$6:$AL$89,MATCH($C79,'[1]End - Use Prices'!$A$6:$A$89,0)+MATCH($D79,'[1]End - Use Prices'!$B$9:$B$11,0)-1,MATCH(AP$1,'[1]End - Use Prices'!$C$7:$AL$7,0))</f>
        <v>27.03</v>
      </c>
      <c r="AQ79" s="41">
        <f>INDEX('[1]End - Use Prices'!$C$6:$AL$89,MATCH($C79,'[1]End - Use Prices'!$A$6:$A$89,0)+MATCH($D79,'[1]End - Use Prices'!$B$9:$B$11,0)-1,MATCH(AQ$1,'[1]End - Use Prices'!$C$7:$AL$7,0))</f>
        <v>26.98</v>
      </c>
      <c r="AR79" s="41">
        <f>INDEX('[1]End - Use Prices'!$C$6:$AL$89,MATCH($C79,'[1]End - Use Prices'!$A$6:$A$89,0)+MATCH($D79,'[1]End - Use Prices'!$B$9:$B$11,0)-1,MATCH(AR$1,'[1]End - Use Prices'!$C$7:$AL$7,0))</f>
        <v>26.97</v>
      </c>
      <c r="AS79" s="41">
        <f>INDEX('[1]End - Use Prices'!$C$6:$AL$89,MATCH($C79,'[1]End - Use Prices'!$A$6:$A$89,0)+MATCH($D79,'[1]End - Use Prices'!$B$9:$B$11,0)-1,MATCH(AS$1,'[1]End - Use Prices'!$C$7:$AL$7,0))</f>
        <v>27.01</v>
      </c>
      <c r="AT79" s="41">
        <f>INDEX('[1]End - Use Prices'!$C$6:$AL$89,MATCH($C79,'[1]End - Use Prices'!$A$6:$A$89,0)+MATCH($D79,'[1]End - Use Prices'!$B$9:$B$11,0)-1,MATCH(AT$1,'[1]End - Use Prices'!$C$7:$AL$7,0))</f>
        <v>27.04</v>
      </c>
      <c r="AU79" s="41">
        <f>INDEX('[1]End - Use Prices'!$C$6:$AL$89,MATCH($C79,'[1]End - Use Prices'!$A$6:$A$89,0)+MATCH($D79,'[1]End - Use Prices'!$B$9:$B$11,0)-1,MATCH(AU$1,'[1]End - Use Prices'!$C$7:$AL$7,0))</f>
        <v>27.1</v>
      </c>
      <c r="AV79" s="41">
        <f>INDEX('[1]End - Use Prices'!$C$6:$AL$89,MATCH($C79,'[1]End - Use Prices'!$A$6:$A$89,0)+MATCH($D79,'[1]End - Use Prices'!$B$9:$B$11,0)-1,MATCH(AV$1,'[1]End - Use Prices'!$C$7:$AL$7,0))</f>
        <v>27.16</v>
      </c>
      <c r="AW79" s="41">
        <f>INDEX('[1]End - Use Prices'!$C$6:$AL$89,MATCH($C79,'[1]End - Use Prices'!$A$6:$A$89,0)+MATCH($D79,'[1]End - Use Prices'!$B$9:$B$11,0)-1,MATCH(AW$1,'[1]End - Use Prices'!$C$7:$AL$7,0))</f>
        <v>27.22</v>
      </c>
      <c r="AX79" s="41">
        <f>INDEX('[1]End - Use Prices'!$C$6:$AL$89,MATCH($C79,'[1]End - Use Prices'!$A$6:$A$89,0)+MATCH($D79,'[1]End - Use Prices'!$B$9:$B$11,0)-1,MATCH(AX$1,'[1]End - Use Prices'!$C$7:$AL$7,0))</f>
        <v>27.29</v>
      </c>
      <c r="AY79" s="41">
        <f>INDEX('[1]End - Use Prices'!$C$6:$AL$89,MATCH($C79,'[1]End - Use Prices'!$A$6:$A$89,0)+MATCH($D79,'[1]End - Use Prices'!$B$9:$B$11,0)-1,MATCH(AY$1,'[1]End - Use Prices'!$C$7:$AL$7,0))</f>
        <v>27.37</v>
      </c>
      <c r="AZ79" s="41">
        <f>INDEX('[1]End - Use Prices'!$C$6:$AL$89,MATCH($C79,'[1]End - Use Prices'!$A$6:$A$89,0)+MATCH($D79,'[1]End - Use Prices'!$B$9:$B$11,0)-1,MATCH(AZ$1,'[1]End - Use Prices'!$C$7:$AL$7,0))</f>
        <v>27.46</v>
      </c>
      <c r="BA79" s="41">
        <f>INDEX('[1]End - Use Prices'!$C$6:$AL$89,MATCH($C79,'[1]End - Use Prices'!$A$6:$A$89,0)+MATCH($D79,'[1]End - Use Prices'!$B$9:$B$11,0)-1,MATCH(BA$1,'[1]End - Use Prices'!$C$7:$AL$7,0))</f>
        <v>27.51</v>
      </c>
      <c r="BB79" s="41">
        <f>INDEX('[1]End - Use Prices'!$C$6:$AL$89,MATCH($C79,'[1]End - Use Prices'!$A$6:$A$89,0)+MATCH($D79,'[1]End - Use Prices'!$B$9:$B$11,0)-1,MATCH(BB$1,'[1]End - Use Prices'!$C$7:$AL$7,0))</f>
        <v>27.55</v>
      </c>
      <c r="BC79" s="41">
        <f>INDEX('[1]End - Use Prices'!$C$6:$AL$89,MATCH($C79,'[1]End - Use Prices'!$A$6:$A$89,0)+MATCH($D79,'[1]End - Use Prices'!$B$9:$B$11,0)-1,MATCH(BC$1,'[1]End - Use Prices'!$C$7:$AL$7,0))</f>
        <v>27.58</v>
      </c>
      <c r="BD79" s="41">
        <f>INDEX('[1]End - Use Prices'!$C$6:$AL$89,MATCH($C79,'[1]End - Use Prices'!$A$6:$A$89,0)+MATCH($D79,'[1]End - Use Prices'!$B$9:$B$11,0)-1,MATCH(BD$1,'[1]End - Use Prices'!$C$7:$AL$7,0))</f>
        <v>27.6</v>
      </c>
      <c r="BE79" s="41">
        <f>INDEX('[1]End - Use Prices'!$C$6:$AL$89,MATCH($C79,'[1]End - Use Prices'!$A$6:$A$89,0)+MATCH($D79,'[1]End - Use Prices'!$B$9:$B$11,0)-1,MATCH(BE$1,'[1]End - Use Prices'!$C$7:$AL$7,0))</f>
        <v>27.61</v>
      </c>
      <c r="BF79" s="41">
        <f>INDEX('[1]End - Use Prices'!$C$6:$AL$89,MATCH($C79,'[1]End - Use Prices'!$A$6:$A$89,0)+MATCH($D79,'[1]End - Use Prices'!$B$9:$B$11,0)-1,MATCH(BF$1,'[1]End - Use Prices'!$C$7:$AL$7,0))</f>
        <v>27.62</v>
      </c>
      <c r="BG79" s="41">
        <f>INDEX('[1]End - Use Prices'!$C$6:$AL$89,MATCH($C79,'[1]End - Use Prices'!$A$6:$A$89,0)+MATCH($D79,'[1]End - Use Prices'!$B$9:$B$11,0)-1,MATCH(BG$1,'[1]End - Use Prices'!$C$7:$AL$7,0))</f>
        <v>27.62</v>
      </c>
      <c r="BR79" s="39"/>
      <c r="BS79" s="39"/>
      <c r="BT79" s="39"/>
      <c r="BU79" s="39"/>
      <c r="BV79" s="39"/>
      <c r="BW79" s="39"/>
      <c r="BX79" s="39"/>
      <c r="BY79" s="39"/>
      <c r="BZ79" s="39"/>
      <c r="CA79" s="39"/>
    </row>
    <row r="80" spans="1:79" x14ac:dyDescent="0.25">
      <c r="A80" s="5"/>
      <c r="B80" s="3"/>
      <c r="C80" s="25" t="s">
        <v>88</v>
      </c>
      <c r="D80" s="25" t="s">
        <v>14</v>
      </c>
      <c r="E80" s="25" t="s">
        <v>282</v>
      </c>
      <c r="F80" s="67" t="s">
        <v>279</v>
      </c>
      <c r="G80" s="53">
        <f t="shared" si="11"/>
        <v>18.899999999999999</v>
      </c>
      <c r="H80" s="34">
        <f t="shared" si="14"/>
        <v>18.899999999999999</v>
      </c>
      <c r="I80" s="34">
        <f t="shared" si="14"/>
        <v>20.09</v>
      </c>
      <c r="J80" s="34">
        <f t="shared" si="14"/>
        <v>13.86</v>
      </c>
      <c r="K80" s="34">
        <f t="shared" si="14"/>
        <v>11.56</v>
      </c>
      <c r="L80" s="34">
        <f t="shared" si="14"/>
        <v>12.76</v>
      </c>
      <c r="M80" s="34">
        <f t="shared" si="14"/>
        <v>13.11</v>
      </c>
      <c r="N80" s="34">
        <f t="shared" si="14"/>
        <v>13.55</v>
      </c>
      <c r="O80" s="34">
        <f t="shared" si="14"/>
        <v>13.67</v>
      </c>
      <c r="P80" s="53">
        <f t="shared" si="13"/>
        <v>13.67</v>
      </c>
      <c r="Q80" s="53">
        <f t="shared" si="13"/>
        <v>13.67</v>
      </c>
      <c r="R80" s="38"/>
      <c r="X80" s="41">
        <f>INDEX('[1]End - Use Prices'!$C$6:$AL$89,MATCH($C80,'[1]End - Use Prices'!$A$6:$A$89,0)+MATCH($D80,'[1]End - Use Prices'!$B$9:$B$11,0)-1,MATCH(X$1,'[1]End - Use Prices'!$C$7:$AL$7,0))</f>
        <v>18.899999999999999</v>
      </c>
      <c r="Y80" s="41">
        <f>INDEX('[1]End - Use Prices'!$C$6:$AL$89,MATCH($C80,'[1]End - Use Prices'!$A$6:$A$89,0)+MATCH($D80,'[1]End - Use Prices'!$B$9:$B$11,0)-1,MATCH(Y$1,'[1]End - Use Prices'!$C$7:$AL$7,0))</f>
        <v>18.940000000000001</v>
      </c>
      <c r="Z80" s="41">
        <f>INDEX('[1]End - Use Prices'!$C$6:$AL$89,MATCH($C80,'[1]End - Use Prices'!$A$6:$A$89,0)+MATCH($D80,'[1]End - Use Prices'!$B$9:$B$11,0)-1,MATCH(Z$1,'[1]End - Use Prices'!$C$7:$AL$7,0))</f>
        <v>11.86</v>
      </c>
      <c r="AA80" s="41">
        <f>INDEX('[1]End - Use Prices'!$C$6:$AL$89,MATCH($C80,'[1]End - Use Prices'!$A$6:$A$89,0)+MATCH($D80,'[1]End - Use Prices'!$B$9:$B$11,0)-1,MATCH(AA$1,'[1]End - Use Prices'!$C$7:$AL$7,0))</f>
        <v>14.01</v>
      </c>
      <c r="AB80" s="41">
        <f>INDEX('[1]End - Use Prices'!$C$6:$AL$89,MATCH($C80,'[1]End - Use Prices'!$A$6:$A$89,0)+MATCH($D80,'[1]End - Use Prices'!$B$9:$B$11,0)-1,MATCH(AB$1,'[1]End - Use Prices'!$C$7:$AL$7,0))</f>
        <v>14.6</v>
      </c>
      <c r="AC80" s="41">
        <f>INDEX('[1]End - Use Prices'!$C$6:$AL$89,MATCH($C80,'[1]End - Use Prices'!$A$6:$A$89,0)+MATCH($D80,'[1]End - Use Prices'!$B$9:$B$11,0)-1,MATCH(AC$1,'[1]End - Use Prices'!$C$7:$AL$7,0))</f>
        <v>20.09</v>
      </c>
      <c r="AD80" s="41">
        <f>INDEX('[1]End - Use Prices'!$C$6:$AL$89,MATCH($C80,'[1]End - Use Prices'!$A$6:$A$89,0)+MATCH($D80,'[1]End - Use Prices'!$B$9:$B$11,0)-1,MATCH(AD$1,'[1]End - Use Prices'!$C$7:$AL$7,0))</f>
        <v>17.2</v>
      </c>
      <c r="AE80" s="41">
        <f>INDEX('[1]End - Use Prices'!$C$6:$AL$89,MATCH($C80,'[1]End - Use Prices'!$A$6:$A$89,0)+MATCH($D80,'[1]End - Use Prices'!$B$9:$B$11,0)-1,MATCH(AE$1,'[1]End - Use Prices'!$C$7:$AL$7,0))</f>
        <v>17.59</v>
      </c>
      <c r="AF80" s="41">
        <f>INDEX('[1]End - Use Prices'!$C$6:$AL$89,MATCH($C80,'[1]End - Use Prices'!$A$6:$A$89,0)+MATCH($D80,'[1]End - Use Prices'!$B$9:$B$11,0)-1,MATCH(AF$1,'[1]End - Use Prices'!$C$7:$AL$7,0))</f>
        <v>18.75</v>
      </c>
      <c r="AG80" s="41">
        <f>INDEX('[1]End - Use Prices'!$C$6:$AL$89,MATCH($C80,'[1]End - Use Prices'!$A$6:$A$89,0)+MATCH($D80,'[1]End - Use Prices'!$B$9:$B$11,0)-1,MATCH(AG$1,'[1]End - Use Prices'!$C$7:$AL$7,0))</f>
        <v>18.48</v>
      </c>
      <c r="AH80" s="41">
        <f>INDEX('[1]End - Use Prices'!$C$6:$AL$89,MATCH($C80,'[1]End - Use Prices'!$A$6:$A$89,0)+MATCH($D80,'[1]End - Use Prices'!$B$9:$B$11,0)-1,MATCH(AH$1,'[1]End - Use Prices'!$C$7:$AL$7,0))</f>
        <v>13.86</v>
      </c>
      <c r="AI80" s="41">
        <f>INDEX('[1]End - Use Prices'!$C$6:$AL$89,MATCH($C80,'[1]End - Use Prices'!$A$6:$A$89,0)+MATCH($D80,'[1]End - Use Prices'!$B$9:$B$11,0)-1,MATCH(AI$1,'[1]End - Use Prices'!$C$7:$AL$7,0))</f>
        <v>9.4700000000000006</v>
      </c>
      <c r="AJ80" s="41">
        <f>INDEX('[1]End - Use Prices'!$C$6:$AL$89,MATCH($C80,'[1]End - Use Prices'!$A$6:$A$89,0)+MATCH($D80,'[1]End - Use Prices'!$B$9:$B$11,0)-1,MATCH(AJ$1,'[1]End - Use Prices'!$C$7:$AL$7,0))</f>
        <v>10.75</v>
      </c>
      <c r="AK80" s="41">
        <f>INDEX('[1]End - Use Prices'!$C$6:$AL$89,MATCH($C80,'[1]End - Use Prices'!$A$6:$A$89,0)+MATCH($D80,'[1]End - Use Prices'!$B$9:$B$11,0)-1,MATCH(AK$1,'[1]End - Use Prices'!$C$7:$AL$7,0))</f>
        <v>10.63</v>
      </c>
      <c r="AL80" s="41">
        <f>INDEX('[1]End - Use Prices'!$C$6:$AL$89,MATCH($C80,'[1]End - Use Prices'!$A$6:$A$89,0)+MATCH($D80,'[1]End - Use Prices'!$B$9:$B$11,0)-1,MATCH(AL$1,'[1]End - Use Prices'!$C$7:$AL$7,0))</f>
        <v>10.61</v>
      </c>
      <c r="AM80" s="41">
        <f>INDEX('[1]End - Use Prices'!$C$6:$AL$89,MATCH($C80,'[1]End - Use Prices'!$A$6:$A$89,0)+MATCH($D80,'[1]End - Use Prices'!$B$9:$B$11,0)-1,MATCH(AM$1,'[1]End - Use Prices'!$C$7:$AL$7,0))</f>
        <v>11.56</v>
      </c>
      <c r="AN80" s="41">
        <f>INDEX('[1]End - Use Prices'!$C$6:$AL$89,MATCH($C80,'[1]End - Use Prices'!$A$6:$A$89,0)+MATCH($D80,'[1]End - Use Prices'!$B$9:$B$11,0)-1,MATCH(AN$1,'[1]End - Use Prices'!$C$7:$AL$7,0))</f>
        <v>12.01</v>
      </c>
      <c r="AO80" s="41">
        <f>INDEX('[1]End - Use Prices'!$C$6:$AL$89,MATCH($C80,'[1]End - Use Prices'!$A$6:$A$89,0)+MATCH($D80,'[1]End - Use Prices'!$B$9:$B$11,0)-1,MATCH(AO$1,'[1]End - Use Prices'!$C$7:$AL$7,0))</f>
        <v>12.44</v>
      </c>
      <c r="AP80" s="41">
        <f>INDEX('[1]End - Use Prices'!$C$6:$AL$89,MATCH($C80,'[1]End - Use Prices'!$A$6:$A$89,0)+MATCH($D80,'[1]End - Use Prices'!$B$9:$B$11,0)-1,MATCH(AP$1,'[1]End - Use Prices'!$C$7:$AL$7,0))</f>
        <v>12.83</v>
      </c>
      <c r="AQ80" s="41">
        <f>INDEX('[1]End - Use Prices'!$C$6:$AL$89,MATCH($C80,'[1]End - Use Prices'!$A$6:$A$89,0)+MATCH($D80,'[1]End - Use Prices'!$B$9:$B$11,0)-1,MATCH(AQ$1,'[1]End - Use Prices'!$C$7:$AL$7,0))</f>
        <v>12.77</v>
      </c>
      <c r="AR80" s="41">
        <f>INDEX('[1]End - Use Prices'!$C$6:$AL$89,MATCH($C80,'[1]End - Use Prices'!$A$6:$A$89,0)+MATCH($D80,'[1]End - Use Prices'!$B$9:$B$11,0)-1,MATCH(AR$1,'[1]End - Use Prices'!$C$7:$AL$7,0))</f>
        <v>12.76</v>
      </c>
      <c r="AS80" s="41">
        <f>INDEX('[1]End - Use Prices'!$C$6:$AL$89,MATCH($C80,'[1]End - Use Prices'!$A$6:$A$89,0)+MATCH($D80,'[1]End - Use Prices'!$B$9:$B$11,0)-1,MATCH(AS$1,'[1]End - Use Prices'!$C$7:$AL$7,0))</f>
        <v>12.82</v>
      </c>
      <c r="AT80" s="41">
        <f>INDEX('[1]End - Use Prices'!$C$6:$AL$89,MATCH($C80,'[1]End - Use Prices'!$A$6:$A$89,0)+MATCH($D80,'[1]End - Use Prices'!$B$9:$B$11,0)-1,MATCH(AT$1,'[1]End - Use Prices'!$C$7:$AL$7,0))</f>
        <v>12.87</v>
      </c>
      <c r="AU80" s="41">
        <f>INDEX('[1]End - Use Prices'!$C$6:$AL$89,MATCH($C80,'[1]End - Use Prices'!$A$6:$A$89,0)+MATCH($D80,'[1]End - Use Prices'!$B$9:$B$11,0)-1,MATCH(AU$1,'[1]End - Use Prices'!$C$7:$AL$7,0))</f>
        <v>12.94</v>
      </c>
      <c r="AV80" s="41">
        <f>INDEX('[1]End - Use Prices'!$C$6:$AL$89,MATCH($C80,'[1]End - Use Prices'!$A$6:$A$89,0)+MATCH($D80,'[1]End - Use Prices'!$B$9:$B$11,0)-1,MATCH(AV$1,'[1]End - Use Prices'!$C$7:$AL$7,0))</f>
        <v>13.03</v>
      </c>
      <c r="AW80" s="41">
        <f>INDEX('[1]End - Use Prices'!$C$6:$AL$89,MATCH($C80,'[1]End - Use Prices'!$A$6:$A$89,0)+MATCH($D80,'[1]End - Use Prices'!$B$9:$B$11,0)-1,MATCH(AW$1,'[1]End - Use Prices'!$C$7:$AL$7,0))</f>
        <v>13.11</v>
      </c>
      <c r="AX80" s="41">
        <f>INDEX('[1]End - Use Prices'!$C$6:$AL$89,MATCH($C80,'[1]End - Use Prices'!$A$6:$A$89,0)+MATCH($D80,'[1]End - Use Prices'!$B$9:$B$11,0)-1,MATCH(AX$1,'[1]End - Use Prices'!$C$7:$AL$7,0))</f>
        <v>13.21</v>
      </c>
      <c r="AY80" s="41">
        <f>INDEX('[1]End - Use Prices'!$C$6:$AL$89,MATCH($C80,'[1]End - Use Prices'!$A$6:$A$89,0)+MATCH($D80,'[1]End - Use Prices'!$B$9:$B$11,0)-1,MATCH(AY$1,'[1]End - Use Prices'!$C$7:$AL$7,0))</f>
        <v>13.32</v>
      </c>
      <c r="AZ80" s="41">
        <f>INDEX('[1]End - Use Prices'!$C$6:$AL$89,MATCH($C80,'[1]End - Use Prices'!$A$6:$A$89,0)+MATCH($D80,'[1]End - Use Prices'!$B$9:$B$11,0)-1,MATCH(AZ$1,'[1]End - Use Prices'!$C$7:$AL$7,0))</f>
        <v>13.44</v>
      </c>
      <c r="BA80" s="41">
        <f>INDEX('[1]End - Use Prices'!$C$6:$AL$89,MATCH($C80,'[1]End - Use Prices'!$A$6:$A$89,0)+MATCH($D80,'[1]End - Use Prices'!$B$9:$B$11,0)-1,MATCH(BA$1,'[1]End - Use Prices'!$C$7:$AL$7,0))</f>
        <v>13.5</v>
      </c>
      <c r="BB80" s="41">
        <f>INDEX('[1]End - Use Prices'!$C$6:$AL$89,MATCH($C80,'[1]End - Use Prices'!$A$6:$A$89,0)+MATCH($D80,'[1]End - Use Prices'!$B$9:$B$11,0)-1,MATCH(BB$1,'[1]End - Use Prices'!$C$7:$AL$7,0))</f>
        <v>13.55</v>
      </c>
      <c r="BC80" s="41">
        <f>INDEX('[1]End - Use Prices'!$C$6:$AL$89,MATCH($C80,'[1]End - Use Prices'!$A$6:$A$89,0)+MATCH($D80,'[1]End - Use Prices'!$B$9:$B$11,0)-1,MATCH(BC$1,'[1]End - Use Prices'!$C$7:$AL$7,0))</f>
        <v>13.6</v>
      </c>
      <c r="BD80" s="41">
        <f>INDEX('[1]End - Use Prices'!$C$6:$AL$89,MATCH($C80,'[1]End - Use Prices'!$A$6:$A$89,0)+MATCH($D80,'[1]End - Use Prices'!$B$9:$B$11,0)-1,MATCH(BD$1,'[1]End - Use Prices'!$C$7:$AL$7,0))</f>
        <v>13.63</v>
      </c>
      <c r="BE80" s="41">
        <f>INDEX('[1]End - Use Prices'!$C$6:$AL$89,MATCH($C80,'[1]End - Use Prices'!$A$6:$A$89,0)+MATCH($D80,'[1]End - Use Prices'!$B$9:$B$11,0)-1,MATCH(BE$1,'[1]End - Use Prices'!$C$7:$AL$7,0))</f>
        <v>13.64</v>
      </c>
      <c r="BF80" s="41">
        <f>INDEX('[1]End - Use Prices'!$C$6:$AL$89,MATCH($C80,'[1]End - Use Prices'!$A$6:$A$89,0)+MATCH($D80,'[1]End - Use Prices'!$B$9:$B$11,0)-1,MATCH(BF$1,'[1]End - Use Prices'!$C$7:$AL$7,0))</f>
        <v>13.66</v>
      </c>
      <c r="BG80" s="41">
        <f>INDEX('[1]End - Use Prices'!$C$6:$AL$89,MATCH($C80,'[1]End - Use Prices'!$A$6:$A$89,0)+MATCH($D80,'[1]End - Use Prices'!$B$9:$B$11,0)-1,MATCH(BG$1,'[1]End - Use Prices'!$C$7:$AL$7,0))</f>
        <v>13.67</v>
      </c>
      <c r="BR80" s="39"/>
      <c r="BS80" s="39"/>
      <c r="BT80" s="39"/>
      <c r="BU80" s="39"/>
      <c r="BV80" s="39"/>
      <c r="BW80" s="39"/>
      <c r="BX80" s="39"/>
      <c r="BY80" s="39"/>
      <c r="BZ80" s="39"/>
      <c r="CA80" s="39"/>
    </row>
    <row r="81" spans="1:79" x14ac:dyDescent="0.25">
      <c r="A81" s="5"/>
      <c r="B81" s="3"/>
      <c r="C81" s="25" t="s">
        <v>89</v>
      </c>
      <c r="D81" s="25" t="s">
        <v>14</v>
      </c>
      <c r="E81" s="25" t="s">
        <v>282</v>
      </c>
      <c r="F81" s="67" t="s">
        <v>279</v>
      </c>
      <c r="G81" s="53">
        <f t="shared" si="11"/>
        <v>20.32</v>
      </c>
      <c r="H81" s="34">
        <f t="shared" si="14"/>
        <v>20.32</v>
      </c>
      <c r="I81" s="34">
        <f t="shared" si="14"/>
        <v>18.399999999999999</v>
      </c>
      <c r="J81" s="34">
        <f t="shared" si="14"/>
        <v>15.95</v>
      </c>
      <c r="K81" s="34">
        <f t="shared" si="14"/>
        <v>15</v>
      </c>
      <c r="L81" s="34">
        <f t="shared" si="14"/>
        <v>16.07</v>
      </c>
      <c r="M81" s="34">
        <f t="shared" si="14"/>
        <v>16.5</v>
      </c>
      <c r="N81" s="34">
        <f t="shared" si="14"/>
        <v>16.809999999999999</v>
      </c>
      <c r="O81" s="34">
        <f t="shared" si="14"/>
        <v>16.809999999999999</v>
      </c>
      <c r="P81" s="53">
        <f t="shared" si="13"/>
        <v>16.809999999999999</v>
      </c>
      <c r="Q81" s="53">
        <f t="shared" si="13"/>
        <v>16.809999999999999</v>
      </c>
      <c r="R81" s="38"/>
      <c r="X81" s="41">
        <f>INDEX('[1]End - Use Prices'!$C$6:$AL$89,MATCH($C81,'[1]End - Use Prices'!$A$6:$A$89,0)+MATCH($D81,'[1]End - Use Prices'!$B$9:$B$11,0)-1,MATCH(X$1,'[1]End - Use Prices'!$C$7:$AL$7,0))</f>
        <v>20.32</v>
      </c>
      <c r="Y81" s="41">
        <f>INDEX('[1]End - Use Prices'!$C$6:$AL$89,MATCH($C81,'[1]End - Use Prices'!$A$6:$A$89,0)+MATCH($D81,'[1]End - Use Prices'!$B$9:$B$11,0)-1,MATCH(Y$1,'[1]End - Use Prices'!$C$7:$AL$7,0))</f>
        <v>20.36</v>
      </c>
      <c r="Z81" s="41">
        <f>INDEX('[1]End - Use Prices'!$C$6:$AL$89,MATCH($C81,'[1]End - Use Prices'!$A$6:$A$89,0)+MATCH($D81,'[1]End - Use Prices'!$B$9:$B$11,0)-1,MATCH(Z$1,'[1]End - Use Prices'!$C$7:$AL$7,0))</f>
        <v>19</v>
      </c>
      <c r="AA81" s="41">
        <f>INDEX('[1]End - Use Prices'!$C$6:$AL$89,MATCH($C81,'[1]End - Use Prices'!$A$6:$A$89,0)+MATCH($D81,'[1]End - Use Prices'!$B$9:$B$11,0)-1,MATCH(AA$1,'[1]End - Use Prices'!$C$7:$AL$7,0))</f>
        <v>19.5</v>
      </c>
      <c r="AB81" s="41">
        <f>INDEX('[1]End - Use Prices'!$C$6:$AL$89,MATCH($C81,'[1]End - Use Prices'!$A$6:$A$89,0)+MATCH($D81,'[1]End - Use Prices'!$B$9:$B$11,0)-1,MATCH(AB$1,'[1]End - Use Prices'!$C$7:$AL$7,0))</f>
        <v>18.579999999999998</v>
      </c>
      <c r="AC81" s="41">
        <f>INDEX('[1]End - Use Prices'!$C$6:$AL$89,MATCH($C81,'[1]End - Use Prices'!$A$6:$A$89,0)+MATCH($D81,'[1]End - Use Prices'!$B$9:$B$11,0)-1,MATCH(AC$1,'[1]End - Use Prices'!$C$7:$AL$7,0))</f>
        <v>18.399999999999999</v>
      </c>
      <c r="AD81" s="41">
        <f>INDEX('[1]End - Use Prices'!$C$6:$AL$89,MATCH($C81,'[1]End - Use Prices'!$A$6:$A$89,0)+MATCH($D81,'[1]End - Use Prices'!$B$9:$B$11,0)-1,MATCH(AD$1,'[1]End - Use Prices'!$C$7:$AL$7,0))</f>
        <v>17.54</v>
      </c>
      <c r="AE81" s="41">
        <f>INDEX('[1]End - Use Prices'!$C$6:$AL$89,MATCH($C81,'[1]End - Use Prices'!$A$6:$A$89,0)+MATCH($D81,'[1]End - Use Prices'!$B$9:$B$11,0)-1,MATCH(AE$1,'[1]End - Use Prices'!$C$7:$AL$7,0))</f>
        <v>17.05</v>
      </c>
      <c r="AF81" s="41">
        <f>INDEX('[1]End - Use Prices'!$C$6:$AL$89,MATCH($C81,'[1]End - Use Prices'!$A$6:$A$89,0)+MATCH($D81,'[1]End - Use Prices'!$B$9:$B$11,0)-1,MATCH(AF$1,'[1]End - Use Prices'!$C$7:$AL$7,0))</f>
        <v>15.49</v>
      </c>
      <c r="AG81" s="41">
        <f>INDEX('[1]End - Use Prices'!$C$6:$AL$89,MATCH($C81,'[1]End - Use Prices'!$A$6:$A$89,0)+MATCH($D81,'[1]End - Use Prices'!$B$9:$B$11,0)-1,MATCH(AG$1,'[1]End - Use Prices'!$C$7:$AL$7,0))</f>
        <v>16.84</v>
      </c>
      <c r="AH81" s="41">
        <f>INDEX('[1]End - Use Prices'!$C$6:$AL$89,MATCH($C81,'[1]End - Use Prices'!$A$6:$A$89,0)+MATCH($D81,'[1]End - Use Prices'!$B$9:$B$11,0)-1,MATCH(AH$1,'[1]End - Use Prices'!$C$7:$AL$7,0))</f>
        <v>15.95</v>
      </c>
      <c r="AI81" s="41">
        <f>INDEX('[1]End - Use Prices'!$C$6:$AL$89,MATCH($C81,'[1]End - Use Prices'!$A$6:$A$89,0)+MATCH($D81,'[1]End - Use Prices'!$B$9:$B$11,0)-1,MATCH(AI$1,'[1]End - Use Prices'!$C$7:$AL$7,0))</f>
        <v>14.86</v>
      </c>
      <c r="AJ81" s="41">
        <f>INDEX('[1]End - Use Prices'!$C$6:$AL$89,MATCH($C81,'[1]End - Use Prices'!$A$6:$A$89,0)+MATCH($D81,'[1]End - Use Prices'!$B$9:$B$11,0)-1,MATCH(AJ$1,'[1]End - Use Prices'!$C$7:$AL$7,0))</f>
        <v>15.15</v>
      </c>
      <c r="AK81" s="41">
        <f>INDEX('[1]End - Use Prices'!$C$6:$AL$89,MATCH($C81,'[1]End - Use Prices'!$A$6:$A$89,0)+MATCH($D81,'[1]End - Use Prices'!$B$9:$B$11,0)-1,MATCH(AK$1,'[1]End - Use Prices'!$C$7:$AL$7,0))</f>
        <v>15</v>
      </c>
      <c r="AL81" s="41">
        <f>INDEX('[1]End - Use Prices'!$C$6:$AL$89,MATCH($C81,'[1]End - Use Prices'!$A$6:$A$89,0)+MATCH($D81,'[1]End - Use Prices'!$B$9:$B$11,0)-1,MATCH(AL$1,'[1]End - Use Prices'!$C$7:$AL$7,0))</f>
        <v>14.94</v>
      </c>
      <c r="AM81" s="41">
        <f>INDEX('[1]End - Use Prices'!$C$6:$AL$89,MATCH($C81,'[1]End - Use Prices'!$A$6:$A$89,0)+MATCH($D81,'[1]End - Use Prices'!$B$9:$B$11,0)-1,MATCH(AM$1,'[1]End - Use Prices'!$C$7:$AL$7,0))</f>
        <v>15</v>
      </c>
      <c r="AN81" s="41">
        <f>INDEX('[1]End - Use Prices'!$C$6:$AL$89,MATCH($C81,'[1]End - Use Prices'!$A$6:$A$89,0)+MATCH($D81,'[1]End - Use Prices'!$B$9:$B$11,0)-1,MATCH(AN$1,'[1]End - Use Prices'!$C$7:$AL$7,0))</f>
        <v>15.24</v>
      </c>
      <c r="AO81" s="41">
        <f>INDEX('[1]End - Use Prices'!$C$6:$AL$89,MATCH($C81,'[1]End - Use Prices'!$A$6:$A$89,0)+MATCH($D81,'[1]End - Use Prices'!$B$9:$B$11,0)-1,MATCH(AO$1,'[1]End - Use Prices'!$C$7:$AL$7,0))</f>
        <v>15.47</v>
      </c>
      <c r="AP81" s="41">
        <f>INDEX('[1]End - Use Prices'!$C$6:$AL$89,MATCH($C81,'[1]End - Use Prices'!$A$6:$A$89,0)+MATCH($D81,'[1]End - Use Prices'!$B$9:$B$11,0)-1,MATCH(AP$1,'[1]End - Use Prices'!$C$7:$AL$7,0))</f>
        <v>15.66</v>
      </c>
      <c r="AQ81" s="41">
        <f>INDEX('[1]End - Use Prices'!$C$6:$AL$89,MATCH($C81,'[1]End - Use Prices'!$A$6:$A$89,0)+MATCH($D81,'[1]End - Use Prices'!$B$9:$B$11,0)-1,MATCH(AQ$1,'[1]End - Use Prices'!$C$7:$AL$7,0))</f>
        <v>15.86</v>
      </c>
      <c r="AR81" s="41">
        <f>INDEX('[1]End - Use Prices'!$C$6:$AL$89,MATCH($C81,'[1]End - Use Prices'!$A$6:$A$89,0)+MATCH($D81,'[1]End - Use Prices'!$B$9:$B$11,0)-1,MATCH(AR$1,'[1]End - Use Prices'!$C$7:$AL$7,0))</f>
        <v>16.07</v>
      </c>
      <c r="AS81" s="41">
        <f>INDEX('[1]End - Use Prices'!$C$6:$AL$89,MATCH($C81,'[1]End - Use Prices'!$A$6:$A$89,0)+MATCH($D81,'[1]End - Use Prices'!$B$9:$B$11,0)-1,MATCH(AS$1,'[1]End - Use Prices'!$C$7:$AL$7,0))</f>
        <v>16.350000000000001</v>
      </c>
      <c r="AT81" s="41">
        <f>INDEX('[1]End - Use Prices'!$C$6:$AL$89,MATCH($C81,'[1]End - Use Prices'!$A$6:$A$89,0)+MATCH($D81,'[1]End - Use Prices'!$B$9:$B$11,0)-1,MATCH(AT$1,'[1]End - Use Prices'!$C$7:$AL$7,0))</f>
        <v>16.36</v>
      </c>
      <c r="AU81" s="41">
        <f>INDEX('[1]End - Use Prices'!$C$6:$AL$89,MATCH($C81,'[1]End - Use Prices'!$A$6:$A$89,0)+MATCH($D81,'[1]End - Use Prices'!$B$9:$B$11,0)-1,MATCH(AU$1,'[1]End - Use Prices'!$C$7:$AL$7,0))</f>
        <v>16.399999999999999</v>
      </c>
      <c r="AV81" s="41">
        <f>INDEX('[1]End - Use Prices'!$C$6:$AL$89,MATCH($C81,'[1]End - Use Prices'!$A$6:$A$89,0)+MATCH($D81,'[1]End - Use Prices'!$B$9:$B$11,0)-1,MATCH(AV$1,'[1]End - Use Prices'!$C$7:$AL$7,0))</f>
        <v>16.45</v>
      </c>
      <c r="AW81" s="41">
        <f>INDEX('[1]End - Use Prices'!$C$6:$AL$89,MATCH($C81,'[1]End - Use Prices'!$A$6:$A$89,0)+MATCH($D81,'[1]End - Use Prices'!$B$9:$B$11,0)-1,MATCH(AW$1,'[1]End - Use Prices'!$C$7:$AL$7,0))</f>
        <v>16.5</v>
      </c>
      <c r="AX81" s="41">
        <f>INDEX('[1]End - Use Prices'!$C$6:$AL$89,MATCH($C81,'[1]End - Use Prices'!$A$6:$A$89,0)+MATCH($D81,'[1]End - Use Prices'!$B$9:$B$11,0)-1,MATCH(AX$1,'[1]End - Use Prices'!$C$7:$AL$7,0))</f>
        <v>16.57</v>
      </c>
      <c r="AY81" s="41">
        <f>INDEX('[1]End - Use Prices'!$C$6:$AL$89,MATCH($C81,'[1]End - Use Prices'!$A$6:$A$89,0)+MATCH($D81,'[1]End - Use Prices'!$B$9:$B$11,0)-1,MATCH(AY$1,'[1]End - Use Prices'!$C$7:$AL$7,0))</f>
        <v>16.649999999999999</v>
      </c>
      <c r="AZ81" s="41">
        <f>INDEX('[1]End - Use Prices'!$C$6:$AL$89,MATCH($C81,'[1]End - Use Prices'!$A$6:$A$89,0)+MATCH($D81,'[1]End - Use Prices'!$B$9:$B$11,0)-1,MATCH(AZ$1,'[1]End - Use Prices'!$C$7:$AL$7,0))</f>
        <v>16.739999999999998</v>
      </c>
      <c r="BA81" s="41">
        <f>INDEX('[1]End - Use Prices'!$C$6:$AL$89,MATCH($C81,'[1]End - Use Prices'!$A$6:$A$89,0)+MATCH($D81,'[1]End - Use Prices'!$B$9:$B$11,0)-1,MATCH(BA$1,'[1]End - Use Prices'!$C$7:$AL$7,0))</f>
        <v>16.77</v>
      </c>
      <c r="BB81" s="41">
        <f>INDEX('[1]End - Use Prices'!$C$6:$AL$89,MATCH($C81,'[1]End - Use Prices'!$A$6:$A$89,0)+MATCH($D81,'[1]End - Use Prices'!$B$9:$B$11,0)-1,MATCH(BB$1,'[1]End - Use Prices'!$C$7:$AL$7,0))</f>
        <v>16.809999999999999</v>
      </c>
      <c r="BC81" s="41">
        <f>INDEX('[1]End - Use Prices'!$C$6:$AL$89,MATCH($C81,'[1]End - Use Prices'!$A$6:$A$89,0)+MATCH($D81,'[1]End - Use Prices'!$B$9:$B$11,0)-1,MATCH(BC$1,'[1]End - Use Prices'!$C$7:$AL$7,0))</f>
        <v>16.829999999999998</v>
      </c>
      <c r="BD81" s="41">
        <f>INDEX('[1]End - Use Prices'!$C$6:$AL$89,MATCH($C81,'[1]End - Use Prices'!$A$6:$A$89,0)+MATCH($D81,'[1]End - Use Prices'!$B$9:$B$11,0)-1,MATCH(BD$1,'[1]End - Use Prices'!$C$7:$AL$7,0))</f>
        <v>16.829999999999998</v>
      </c>
      <c r="BE81" s="41">
        <f>INDEX('[1]End - Use Prices'!$C$6:$AL$89,MATCH($C81,'[1]End - Use Prices'!$A$6:$A$89,0)+MATCH($D81,'[1]End - Use Prices'!$B$9:$B$11,0)-1,MATCH(BE$1,'[1]End - Use Prices'!$C$7:$AL$7,0))</f>
        <v>16.829999999999998</v>
      </c>
      <c r="BF81" s="41">
        <f>INDEX('[1]End - Use Prices'!$C$6:$AL$89,MATCH($C81,'[1]End - Use Prices'!$A$6:$A$89,0)+MATCH($D81,'[1]End - Use Prices'!$B$9:$B$11,0)-1,MATCH(BF$1,'[1]End - Use Prices'!$C$7:$AL$7,0))</f>
        <v>16.82</v>
      </c>
      <c r="BG81" s="41">
        <f>INDEX('[1]End - Use Prices'!$C$6:$AL$89,MATCH($C81,'[1]End - Use Prices'!$A$6:$A$89,0)+MATCH($D81,'[1]End - Use Prices'!$B$9:$B$11,0)-1,MATCH(BG$1,'[1]End - Use Prices'!$C$7:$AL$7,0))</f>
        <v>16.809999999999999</v>
      </c>
      <c r="BR81" s="39"/>
      <c r="BS81" s="39"/>
      <c r="BT81" s="39"/>
      <c r="BU81" s="39"/>
      <c r="BV81" s="39"/>
      <c r="BW81" s="39"/>
      <c r="BX81" s="39"/>
      <c r="BY81" s="39"/>
      <c r="BZ81" s="39"/>
      <c r="CA81" s="39"/>
    </row>
    <row r="82" spans="1:79" x14ac:dyDescent="0.25">
      <c r="A82" s="5"/>
      <c r="B82" s="3"/>
      <c r="C82" s="25" t="s">
        <v>90</v>
      </c>
      <c r="D82" s="25" t="s">
        <v>14</v>
      </c>
      <c r="E82" s="25" t="s">
        <v>282</v>
      </c>
      <c r="F82" s="67" t="s">
        <v>279</v>
      </c>
      <c r="G82" s="53">
        <f t="shared" si="11"/>
        <v>16.739999999999998</v>
      </c>
      <c r="H82" s="34">
        <f t="shared" si="14"/>
        <v>16.739999999999998</v>
      </c>
      <c r="I82" s="34">
        <f t="shared" si="14"/>
        <v>13.57</v>
      </c>
      <c r="J82" s="34">
        <f t="shared" si="14"/>
        <v>12.15</v>
      </c>
      <c r="K82" s="34">
        <f t="shared" si="14"/>
        <v>10.119999999999999</v>
      </c>
      <c r="L82" s="34">
        <f t="shared" si="14"/>
        <v>11.4</v>
      </c>
      <c r="M82" s="34">
        <f t="shared" si="14"/>
        <v>11.98</v>
      </c>
      <c r="N82" s="34">
        <f t="shared" si="14"/>
        <v>12.4</v>
      </c>
      <c r="O82" s="34">
        <f t="shared" si="14"/>
        <v>12.52</v>
      </c>
      <c r="P82" s="53">
        <f t="shared" ref="P82:Q101" si="15">O82</f>
        <v>12.52</v>
      </c>
      <c r="Q82" s="53">
        <f t="shared" si="15"/>
        <v>12.52</v>
      </c>
      <c r="R82" s="38"/>
      <c r="X82" s="41">
        <f>INDEX('[1]End - Use Prices'!$C$6:$AL$89,MATCH($C82,'[1]End - Use Prices'!$A$6:$A$89,0)+MATCH($D82,'[1]End - Use Prices'!$B$9:$B$11,0)-1,MATCH(X$1,'[1]End - Use Prices'!$C$7:$AL$7,0))</f>
        <v>16.739999999999998</v>
      </c>
      <c r="Y82" s="41">
        <f>INDEX('[1]End - Use Prices'!$C$6:$AL$89,MATCH($C82,'[1]End - Use Prices'!$A$6:$A$89,0)+MATCH($D82,'[1]End - Use Prices'!$B$9:$B$11,0)-1,MATCH(Y$1,'[1]End - Use Prices'!$C$7:$AL$7,0))</f>
        <v>17.82</v>
      </c>
      <c r="Z82" s="41">
        <f>INDEX('[1]End - Use Prices'!$C$6:$AL$89,MATCH($C82,'[1]End - Use Prices'!$A$6:$A$89,0)+MATCH($D82,'[1]End - Use Prices'!$B$9:$B$11,0)-1,MATCH(Z$1,'[1]End - Use Prices'!$C$7:$AL$7,0))</f>
        <v>16.100000000000001</v>
      </c>
      <c r="AA82" s="41">
        <f>INDEX('[1]End - Use Prices'!$C$6:$AL$89,MATCH($C82,'[1]End - Use Prices'!$A$6:$A$89,0)+MATCH($D82,'[1]End - Use Prices'!$B$9:$B$11,0)-1,MATCH(AA$1,'[1]End - Use Prices'!$C$7:$AL$7,0))</f>
        <v>16.25</v>
      </c>
      <c r="AB82" s="41">
        <f>INDEX('[1]End - Use Prices'!$C$6:$AL$89,MATCH($C82,'[1]End - Use Prices'!$A$6:$A$89,0)+MATCH($D82,'[1]End - Use Prices'!$B$9:$B$11,0)-1,MATCH(AB$1,'[1]End - Use Prices'!$C$7:$AL$7,0))</f>
        <v>13.76</v>
      </c>
      <c r="AC82" s="41">
        <f>INDEX('[1]End - Use Prices'!$C$6:$AL$89,MATCH($C82,'[1]End - Use Prices'!$A$6:$A$89,0)+MATCH($D82,'[1]End - Use Prices'!$B$9:$B$11,0)-1,MATCH(AC$1,'[1]End - Use Prices'!$C$7:$AL$7,0))</f>
        <v>13.57</v>
      </c>
      <c r="AD82" s="41">
        <f>INDEX('[1]End - Use Prices'!$C$6:$AL$89,MATCH($C82,'[1]End - Use Prices'!$A$6:$A$89,0)+MATCH($D82,'[1]End - Use Prices'!$B$9:$B$11,0)-1,MATCH(AD$1,'[1]End - Use Prices'!$C$7:$AL$7,0))</f>
        <v>11.83</v>
      </c>
      <c r="AE82" s="41">
        <f>INDEX('[1]End - Use Prices'!$C$6:$AL$89,MATCH($C82,'[1]End - Use Prices'!$A$6:$A$89,0)+MATCH($D82,'[1]End - Use Prices'!$B$9:$B$11,0)-1,MATCH(AE$1,'[1]End - Use Prices'!$C$7:$AL$7,0))</f>
        <v>11.22</v>
      </c>
      <c r="AF82" s="41">
        <f>INDEX('[1]End - Use Prices'!$C$6:$AL$89,MATCH($C82,'[1]End - Use Prices'!$A$6:$A$89,0)+MATCH($D82,'[1]End - Use Prices'!$B$9:$B$11,0)-1,MATCH(AF$1,'[1]End - Use Prices'!$C$7:$AL$7,0))</f>
        <v>11.17</v>
      </c>
      <c r="AG82" s="41">
        <f>INDEX('[1]End - Use Prices'!$C$6:$AL$89,MATCH($C82,'[1]End - Use Prices'!$A$6:$A$89,0)+MATCH($D82,'[1]End - Use Prices'!$B$9:$B$11,0)-1,MATCH(AG$1,'[1]End - Use Prices'!$C$7:$AL$7,0))</f>
        <v>12.03</v>
      </c>
      <c r="AH82" s="41">
        <f>INDEX('[1]End - Use Prices'!$C$6:$AL$89,MATCH($C82,'[1]End - Use Prices'!$A$6:$A$89,0)+MATCH($D82,'[1]End - Use Prices'!$B$9:$B$11,0)-1,MATCH(AH$1,'[1]End - Use Prices'!$C$7:$AL$7,0))</f>
        <v>12.15</v>
      </c>
      <c r="AI82" s="41">
        <f>INDEX('[1]End - Use Prices'!$C$6:$AL$89,MATCH($C82,'[1]End - Use Prices'!$A$6:$A$89,0)+MATCH($D82,'[1]End - Use Prices'!$B$9:$B$11,0)-1,MATCH(AI$1,'[1]End - Use Prices'!$C$7:$AL$7,0))</f>
        <v>9.42</v>
      </c>
      <c r="AJ82" s="41">
        <f>INDEX('[1]End - Use Prices'!$C$6:$AL$89,MATCH($C82,'[1]End - Use Prices'!$A$6:$A$89,0)+MATCH($D82,'[1]End - Use Prices'!$B$9:$B$11,0)-1,MATCH(AJ$1,'[1]End - Use Prices'!$C$7:$AL$7,0))</f>
        <v>13.49</v>
      </c>
      <c r="AK82" s="41">
        <f>INDEX('[1]End - Use Prices'!$C$6:$AL$89,MATCH($C82,'[1]End - Use Prices'!$A$6:$A$89,0)+MATCH($D82,'[1]End - Use Prices'!$B$9:$B$11,0)-1,MATCH(AK$1,'[1]End - Use Prices'!$C$7:$AL$7,0))</f>
        <v>10.95</v>
      </c>
      <c r="AL82" s="41">
        <f>INDEX('[1]End - Use Prices'!$C$6:$AL$89,MATCH($C82,'[1]End - Use Prices'!$A$6:$A$89,0)+MATCH($D82,'[1]End - Use Prices'!$B$9:$B$11,0)-1,MATCH(AL$1,'[1]End - Use Prices'!$C$7:$AL$7,0))</f>
        <v>10.029999999999999</v>
      </c>
      <c r="AM82" s="41">
        <f>INDEX('[1]End - Use Prices'!$C$6:$AL$89,MATCH($C82,'[1]End - Use Prices'!$A$6:$A$89,0)+MATCH($D82,'[1]End - Use Prices'!$B$9:$B$11,0)-1,MATCH(AM$1,'[1]End - Use Prices'!$C$7:$AL$7,0))</f>
        <v>10.119999999999999</v>
      </c>
      <c r="AN82" s="41">
        <f>INDEX('[1]End - Use Prices'!$C$6:$AL$89,MATCH($C82,'[1]End - Use Prices'!$A$6:$A$89,0)+MATCH($D82,'[1]End - Use Prices'!$B$9:$B$11,0)-1,MATCH(AN$1,'[1]End - Use Prices'!$C$7:$AL$7,0))</f>
        <v>10.4</v>
      </c>
      <c r="AO82" s="41">
        <f>INDEX('[1]End - Use Prices'!$C$6:$AL$89,MATCH($C82,'[1]End - Use Prices'!$A$6:$A$89,0)+MATCH($D82,'[1]End - Use Prices'!$B$9:$B$11,0)-1,MATCH(AO$1,'[1]End - Use Prices'!$C$7:$AL$7,0))</f>
        <v>10.68</v>
      </c>
      <c r="AP82" s="41">
        <f>INDEX('[1]End - Use Prices'!$C$6:$AL$89,MATCH($C82,'[1]End - Use Prices'!$A$6:$A$89,0)+MATCH($D82,'[1]End - Use Prices'!$B$9:$B$11,0)-1,MATCH(AP$1,'[1]End - Use Prices'!$C$7:$AL$7,0))</f>
        <v>10.91</v>
      </c>
      <c r="AQ82" s="41">
        <f>INDEX('[1]End - Use Prices'!$C$6:$AL$89,MATCH($C82,'[1]End - Use Prices'!$A$6:$A$89,0)+MATCH($D82,'[1]End - Use Prices'!$B$9:$B$11,0)-1,MATCH(AQ$1,'[1]End - Use Prices'!$C$7:$AL$7,0))</f>
        <v>11.15</v>
      </c>
      <c r="AR82" s="41">
        <f>INDEX('[1]End - Use Prices'!$C$6:$AL$89,MATCH($C82,'[1]End - Use Prices'!$A$6:$A$89,0)+MATCH($D82,'[1]End - Use Prices'!$B$9:$B$11,0)-1,MATCH(AR$1,'[1]End - Use Prices'!$C$7:$AL$7,0))</f>
        <v>11.4</v>
      </c>
      <c r="AS82" s="41">
        <f>INDEX('[1]End - Use Prices'!$C$6:$AL$89,MATCH($C82,'[1]End - Use Prices'!$A$6:$A$89,0)+MATCH($D82,'[1]End - Use Prices'!$B$9:$B$11,0)-1,MATCH(AS$1,'[1]End - Use Prices'!$C$7:$AL$7,0))</f>
        <v>11.72</v>
      </c>
      <c r="AT82" s="41">
        <f>INDEX('[1]End - Use Prices'!$C$6:$AL$89,MATCH($C82,'[1]End - Use Prices'!$A$6:$A$89,0)+MATCH($D82,'[1]End - Use Prices'!$B$9:$B$11,0)-1,MATCH(AT$1,'[1]End - Use Prices'!$C$7:$AL$7,0))</f>
        <v>11.76</v>
      </c>
      <c r="AU82" s="41">
        <f>INDEX('[1]End - Use Prices'!$C$6:$AL$89,MATCH($C82,'[1]End - Use Prices'!$A$6:$A$89,0)+MATCH($D82,'[1]End - Use Prices'!$B$9:$B$11,0)-1,MATCH(AU$1,'[1]End - Use Prices'!$C$7:$AL$7,0))</f>
        <v>11.83</v>
      </c>
      <c r="AV82" s="41">
        <f>INDEX('[1]End - Use Prices'!$C$6:$AL$89,MATCH($C82,'[1]End - Use Prices'!$A$6:$A$89,0)+MATCH($D82,'[1]End - Use Prices'!$B$9:$B$11,0)-1,MATCH(AV$1,'[1]End - Use Prices'!$C$7:$AL$7,0))</f>
        <v>11.91</v>
      </c>
      <c r="AW82" s="41">
        <f>INDEX('[1]End - Use Prices'!$C$6:$AL$89,MATCH($C82,'[1]End - Use Prices'!$A$6:$A$89,0)+MATCH($D82,'[1]End - Use Prices'!$B$9:$B$11,0)-1,MATCH(AW$1,'[1]End - Use Prices'!$C$7:$AL$7,0))</f>
        <v>11.98</v>
      </c>
      <c r="AX82" s="41">
        <f>INDEX('[1]End - Use Prices'!$C$6:$AL$89,MATCH($C82,'[1]End - Use Prices'!$A$6:$A$89,0)+MATCH($D82,'[1]End - Use Prices'!$B$9:$B$11,0)-1,MATCH(AX$1,'[1]End - Use Prices'!$C$7:$AL$7,0))</f>
        <v>12.07</v>
      </c>
      <c r="AY82" s="41">
        <f>INDEX('[1]End - Use Prices'!$C$6:$AL$89,MATCH($C82,'[1]End - Use Prices'!$A$6:$A$89,0)+MATCH($D82,'[1]End - Use Prices'!$B$9:$B$11,0)-1,MATCH(AY$1,'[1]End - Use Prices'!$C$7:$AL$7,0))</f>
        <v>12.18</v>
      </c>
      <c r="AZ82" s="41">
        <f>INDEX('[1]End - Use Prices'!$C$6:$AL$89,MATCH($C82,'[1]End - Use Prices'!$A$6:$A$89,0)+MATCH($D82,'[1]End - Use Prices'!$B$9:$B$11,0)-1,MATCH(AZ$1,'[1]End - Use Prices'!$C$7:$AL$7,0))</f>
        <v>12.29</v>
      </c>
      <c r="BA82" s="41">
        <f>INDEX('[1]End - Use Prices'!$C$6:$AL$89,MATCH($C82,'[1]End - Use Prices'!$A$6:$A$89,0)+MATCH($D82,'[1]End - Use Prices'!$B$9:$B$11,0)-1,MATCH(BA$1,'[1]End - Use Prices'!$C$7:$AL$7,0))</f>
        <v>12.35</v>
      </c>
      <c r="BB82" s="41">
        <f>INDEX('[1]End - Use Prices'!$C$6:$AL$89,MATCH($C82,'[1]End - Use Prices'!$A$6:$A$89,0)+MATCH($D82,'[1]End - Use Prices'!$B$9:$B$11,0)-1,MATCH(BB$1,'[1]End - Use Prices'!$C$7:$AL$7,0))</f>
        <v>12.4</v>
      </c>
      <c r="BC82" s="41">
        <f>INDEX('[1]End - Use Prices'!$C$6:$AL$89,MATCH($C82,'[1]End - Use Prices'!$A$6:$A$89,0)+MATCH($D82,'[1]End - Use Prices'!$B$9:$B$11,0)-1,MATCH(BC$1,'[1]End - Use Prices'!$C$7:$AL$7,0))</f>
        <v>12.45</v>
      </c>
      <c r="BD82" s="41">
        <f>INDEX('[1]End - Use Prices'!$C$6:$AL$89,MATCH($C82,'[1]End - Use Prices'!$A$6:$A$89,0)+MATCH($D82,'[1]End - Use Prices'!$B$9:$B$11,0)-1,MATCH(BD$1,'[1]End - Use Prices'!$C$7:$AL$7,0))</f>
        <v>12.48</v>
      </c>
      <c r="BE82" s="41">
        <f>INDEX('[1]End - Use Prices'!$C$6:$AL$89,MATCH($C82,'[1]End - Use Prices'!$A$6:$A$89,0)+MATCH($D82,'[1]End - Use Prices'!$B$9:$B$11,0)-1,MATCH(BE$1,'[1]End - Use Prices'!$C$7:$AL$7,0))</f>
        <v>12.49</v>
      </c>
      <c r="BF82" s="41">
        <f>INDEX('[1]End - Use Prices'!$C$6:$AL$89,MATCH($C82,'[1]End - Use Prices'!$A$6:$A$89,0)+MATCH($D82,'[1]End - Use Prices'!$B$9:$B$11,0)-1,MATCH(BF$1,'[1]End - Use Prices'!$C$7:$AL$7,0))</f>
        <v>12.51</v>
      </c>
      <c r="BG82" s="41">
        <f>INDEX('[1]End - Use Prices'!$C$6:$AL$89,MATCH($C82,'[1]End - Use Prices'!$A$6:$A$89,0)+MATCH($D82,'[1]End - Use Prices'!$B$9:$B$11,0)-1,MATCH(BG$1,'[1]End - Use Prices'!$C$7:$AL$7,0))</f>
        <v>12.52</v>
      </c>
      <c r="BR82" s="39"/>
      <c r="BS82" s="39"/>
      <c r="BT82" s="39"/>
      <c r="BU82" s="39"/>
      <c r="BV82" s="39"/>
      <c r="BW82" s="39"/>
      <c r="BX82" s="39"/>
      <c r="BY82" s="39"/>
      <c r="BZ82" s="39"/>
      <c r="CA82" s="39"/>
    </row>
    <row r="83" spans="1:79" x14ac:dyDescent="0.25">
      <c r="A83" s="5"/>
      <c r="B83" s="3"/>
      <c r="C83" s="25" t="s">
        <v>91</v>
      </c>
      <c r="D83" s="25" t="s">
        <v>14</v>
      </c>
      <c r="E83" s="25" t="s">
        <v>282</v>
      </c>
      <c r="F83" s="67" t="s">
        <v>279</v>
      </c>
      <c r="G83" s="53">
        <f t="shared" si="11"/>
        <v>16.21</v>
      </c>
      <c r="H83" s="34">
        <f t="shared" si="14"/>
        <v>16.21</v>
      </c>
      <c r="I83" s="34">
        <f t="shared" si="14"/>
        <v>11.7</v>
      </c>
      <c r="J83" s="34">
        <f t="shared" si="14"/>
        <v>11.47</v>
      </c>
      <c r="K83" s="34">
        <f t="shared" si="14"/>
        <v>10.53</v>
      </c>
      <c r="L83" s="34">
        <f t="shared" si="14"/>
        <v>11.81</v>
      </c>
      <c r="M83" s="34">
        <f t="shared" si="14"/>
        <v>12.43</v>
      </c>
      <c r="N83" s="34">
        <f t="shared" si="14"/>
        <v>13.03</v>
      </c>
      <c r="O83" s="34">
        <f t="shared" si="14"/>
        <v>13.31</v>
      </c>
      <c r="P83" s="53">
        <f t="shared" si="15"/>
        <v>13.31</v>
      </c>
      <c r="Q83" s="53">
        <f t="shared" si="15"/>
        <v>13.31</v>
      </c>
      <c r="R83" s="38"/>
      <c r="X83" s="41">
        <f>INDEX('[1]End - Use Prices'!$C$6:$AL$89,MATCH($C83,'[1]End - Use Prices'!$A$6:$A$89,0)+MATCH($D83,'[1]End - Use Prices'!$B$9:$B$11,0)-1,MATCH(X$1,'[1]End - Use Prices'!$C$7:$AL$7,0))</f>
        <v>16.21</v>
      </c>
      <c r="Y83" s="41">
        <f>INDEX('[1]End - Use Prices'!$C$6:$AL$89,MATCH($C83,'[1]End - Use Prices'!$A$6:$A$89,0)+MATCH($D83,'[1]End - Use Prices'!$B$9:$B$11,0)-1,MATCH(Y$1,'[1]End - Use Prices'!$C$7:$AL$7,0))</f>
        <v>15.41</v>
      </c>
      <c r="Z83" s="41">
        <f>INDEX('[1]End - Use Prices'!$C$6:$AL$89,MATCH($C83,'[1]End - Use Prices'!$A$6:$A$89,0)+MATCH($D83,'[1]End - Use Prices'!$B$9:$B$11,0)-1,MATCH(Z$1,'[1]End - Use Prices'!$C$7:$AL$7,0))</f>
        <v>14.81</v>
      </c>
      <c r="AA83" s="41">
        <f>INDEX('[1]End - Use Prices'!$C$6:$AL$89,MATCH($C83,'[1]End - Use Prices'!$A$6:$A$89,0)+MATCH($D83,'[1]End - Use Prices'!$B$9:$B$11,0)-1,MATCH(AA$1,'[1]End - Use Prices'!$C$7:$AL$7,0))</f>
        <v>14.53</v>
      </c>
      <c r="AB83" s="41">
        <f>INDEX('[1]End - Use Prices'!$C$6:$AL$89,MATCH($C83,'[1]End - Use Prices'!$A$6:$A$89,0)+MATCH($D83,'[1]End - Use Prices'!$B$9:$B$11,0)-1,MATCH(AB$1,'[1]End - Use Prices'!$C$7:$AL$7,0))</f>
        <v>14.23</v>
      </c>
      <c r="AC83" s="41">
        <f>INDEX('[1]End - Use Prices'!$C$6:$AL$89,MATCH($C83,'[1]End - Use Prices'!$A$6:$A$89,0)+MATCH($D83,'[1]End - Use Prices'!$B$9:$B$11,0)-1,MATCH(AC$1,'[1]End - Use Prices'!$C$7:$AL$7,0))</f>
        <v>11.7</v>
      </c>
      <c r="AD83" s="41">
        <f>INDEX('[1]End - Use Prices'!$C$6:$AL$89,MATCH($C83,'[1]End - Use Prices'!$A$6:$A$89,0)+MATCH($D83,'[1]End - Use Prices'!$B$9:$B$11,0)-1,MATCH(AD$1,'[1]End - Use Prices'!$C$7:$AL$7,0))</f>
        <v>11.6</v>
      </c>
      <c r="AE83" s="41">
        <f>INDEX('[1]End - Use Prices'!$C$6:$AL$89,MATCH($C83,'[1]End - Use Prices'!$A$6:$A$89,0)+MATCH($D83,'[1]End - Use Prices'!$B$9:$B$11,0)-1,MATCH(AE$1,'[1]End - Use Prices'!$C$7:$AL$7,0))</f>
        <v>10.07</v>
      </c>
      <c r="AF83" s="41">
        <f>INDEX('[1]End - Use Prices'!$C$6:$AL$89,MATCH($C83,'[1]End - Use Prices'!$A$6:$A$89,0)+MATCH($D83,'[1]End - Use Prices'!$B$9:$B$11,0)-1,MATCH(AF$1,'[1]End - Use Prices'!$C$7:$AL$7,0))</f>
        <v>10.41</v>
      </c>
      <c r="AG83" s="41">
        <f>INDEX('[1]End - Use Prices'!$C$6:$AL$89,MATCH($C83,'[1]End - Use Prices'!$A$6:$A$89,0)+MATCH($D83,'[1]End - Use Prices'!$B$9:$B$11,0)-1,MATCH(AG$1,'[1]End - Use Prices'!$C$7:$AL$7,0))</f>
        <v>10.98</v>
      </c>
      <c r="AH83" s="41">
        <f>INDEX('[1]End - Use Prices'!$C$6:$AL$89,MATCH($C83,'[1]End - Use Prices'!$A$6:$A$89,0)+MATCH($D83,'[1]End - Use Prices'!$B$9:$B$11,0)-1,MATCH(AH$1,'[1]End - Use Prices'!$C$7:$AL$7,0))</f>
        <v>11.47</v>
      </c>
      <c r="AI83" s="41">
        <f>INDEX('[1]End - Use Prices'!$C$6:$AL$89,MATCH($C83,'[1]End - Use Prices'!$A$6:$A$89,0)+MATCH($D83,'[1]End - Use Prices'!$B$9:$B$11,0)-1,MATCH(AI$1,'[1]End - Use Prices'!$C$7:$AL$7,0))</f>
        <v>9.65</v>
      </c>
      <c r="AJ83" s="41">
        <f>INDEX('[1]End - Use Prices'!$C$6:$AL$89,MATCH($C83,'[1]End - Use Prices'!$A$6:$A$89,0)+MATCH($D83,'[1]End - Use Prices'!$B$9:$B$11,0)-1,MATCH(AJ$1,'[1]End - Use Prices'!$C$7:$AL$7,0))</f>
        <v>9.7100000000000009</v>
      </c>
      <c r="AK83" s="41">
        <f>INDEX('[1]End - Use Prices'!$C$6:$AL$89,MATCH($C83,'[1]End - Use Prices'!$A$6:$A$89,0)+MATCH($D83,'[1]End - Use Prices'!$B$9:$B$11,0)-1,MATCH(AK$1,'[1]End - Use Prices'!$C$7:$AL$7,0))</f>
        <v>9.6300000000000008</v>
      </c>
      <c r="AL83" s="41">
        <f>INDEX('[1]End - Use Prices'!$C$6:$AL$89,MATCH($C83,'[1]End - Use Prices'!$A$6:$A$89,0)+MATCH($D83,'[1]End - Use Prices'!$B$9:$B$11,0)-1,MATCH(AL$1,'[1]End - Use Prices'!$C$7:$AL$7,0))</f>
        <v>9.6199999999999992</v>
      </c>
      <c r="AM83" s="41">
        <f>INDEX('[1]End - Use Prices'!$C$6:$AL$89,MATCH($C83,'[1]End - Use Prices'!$A$6:$A$89,0)+MATCH($D83,'[1]End - Use Prices'!$B$9:$B$11,0)-1,MATCH(AM$1,'[1]End - Use Prices'!$C$7:$AL$7,0))</f>
        <v>10.53</v>
      </c>
      <c r="AN83" s="41">
        <f>INDEX('[1]End - Use Prices'!$C$6:$AL$89,MATCH($C83,'[1]End - Use Prices'!$A$6:$A$89,0)+MATCH($D83,'[1]End - Use Prices'!$B$9:$B$11,0)-1,MATCH(AN$1,'[1]End - Use Prices'!$C$7:$AL$7,0))</f>
        <v>10.96</v>
      </c>
      <c r="AO83" s="41">
        <f>INDEX('[1]End - Use Prices'!$C$6:$AL$89,MATCH($C83,'[1]End - Use Prices'!$A$6:$A$89,0)+MATCH($D83,'[1]End - Use Prices'!$B$9:$B$11,0)-1,MATCH(AO$1,'[1]End - Use Prices'!$C$7:$AL$7,0))</f>
        <v>11.37</v>
      </c>
      <c r="AP83" s="41">
        <f>INDEX('[1]End - Use Prices'!$C$6:$AL$89,MATCH($C83,'[1]End - Use Prices'!$A$6:$A$89,0)+MATCH($D83,'[1]End - Use Prices'!$B$9:$B$11,0)-1,MATCH(AP$1,'[1]End - Use Prices'!$C$7:$AL$7,0))</f>
        <v>11.74</v>
      </c>
      <c r="AQ83" s="41">
        <f>INDEX('[1]End - Use Prices'!$C$6:$AL$89,MATCH($C83,'[1]End - Use Prices'!$A$6:$A$89,0)+MATCH($D83,'[1]End - Use Prices'!$B$9:$B$11,0)-1,MATCH(AQ$1,'[1]End - Use Prices'!$C$7:$AL$7,0))</f>
        <v>11.76</v>
      </c>
      <c r="AR83" s="41">
        <f>INDEX('[1]End - Use Prices'!$C$6:$AL$89,MATCH($C83,'[1]End - Use Prices'!$A$6:$A$89,0)+MATCH($D83,'[1]End - Use Prices'!$B$9:$B$11,0)-1,MATCH(AR$1,'[1]End - Use Prices'!$C$7:$AL$7,0))</f>
        <v>11.81</v>
      </c>
      <c r="AS83" s="41">
        <f>INDEX('[1]End - Use Prices'!$C$6:$AL$89,MATCH($C83,'[1]End - Use Prices'!$A$6:$A$89,0)+MATCH($D83,'[1]End - Use Prices'!$B$9:$B$11,0)-1,MATCH(AS$1,'[1]End - Use Prices'!$C$7:$AL$7,0))</f>
        <v>11.93</v>
      </c>
      <c r="AT83" s="41">
        <f>INDEX('[1]End - Use Prices'!$C$6:$AL$89,MATCH($C83,'[1]End - Use Prices'!$A$6:$A$89,0)+MATCH($D83,'[1]End - Use Prices'!$B$9:$B$11,0)-1,MATCH(AT$1,'[1]End - Use Prices'!$C$7:$AL$7,0))</f>
        <v>12.04</v>
      </c>
      <c r="AU83" s="41">
        <f>INDEX('[1]End - Use Prices'!$C$6:$AL$89,MATCH($C83,'[1]End - Use Prices'!$A$6:$A$89,0)+MATCH($D83,'[1]End - Use Prices'!$B$9:$B$11,0)-1,MATCH(AU$1,'[1]End - Use Prices'!$C$7:$AL$7,0))</f>
        <v>12.16</v>
      </c>
      <c r="AV83" s="41">
        <f>INDEX('[1]End - Use Prices'!$C$6:$AL$89,MATCH($C83,'[1]End - Use Prices'!$A$6:$A$89,0)+MATCH($D83,'[1]End - Use Prices'!$B$9:$B$11,0)-1,MATCH(AV$1,'[1]End - Use Prices'!$C$7:$AL$7,0))</f>
        <v>12.3</v>
      </c>
      <c r="AW83" s="41">
        <f>INDEX('[1]End - Use Prices'!$C$6:$AL$89,MATCH($C83,'[1]End - Use Prices'!$A$6:$A$89,0)+MATCH($D83,'[1]End - Use Prices'!$B$9:$B$11,0)-1,MATCH(AW$1,'[1]End - Use Prices'!$C$7:$AL$7,0))</f>
        <v>12.43</v>
      </c>
      <c r="AX83" s="41">
        <f>INDEX('[1]End - Use Prices'!$C$6:$AL$89,MATCH($C83,'[1]End - Use Prices'!$A$6:$A$89,0)+MATCH($D83,'[1]End - Use Prices'!$B$9:$B$11,0)-1,MATCH(AX$1,'[1]End - Use Prices'!$C$7:$AL$7,0))</f>
        <v>12.56</v>
      </c>
      <c r="AY83" s="41">
        <f>INDEX('[1]End - Use Prices'!$C$6:$AL$89,MATCH($C83,'[1]End - Use Prices'!$A$6:$A$89,0)+MATCH($D83,'[1]End - Use Prices'!$B$9:$B$11,0)-1,MATCH(AY$1,'[1]End - Use Prices'!$C$7:$AL$7,0))</f>
        <v>12.7</v>
      </c>
      <c r="AZ83" s="41">
        <f>INDEX('[1]End - Use Prices'!$C$6:$AL$89,MATCH($C83,'[1]End - Use Prices'!$A$6:$A$89,0)+MATCH($D83,'[1]End - Use Prices'!$B$9:$B$11,0)-1,MATCH(AZ$1,'[1]End - Use Prices'!$C$7:$AL$7,0))</f>
        <v>12.86</v>
      </c>
      <c r="BA83" s="41">
        <f>INDEX('[1]End - Use Prices'!$C$6:$AL$89,MATCH($C83,'[1]End - Use Prices'!$A$6:$A$89,0)+MATCH($D83,'[1]End - Use Prices'!$B$9:$B$11,0)-1,MATCH(BA$1,'[1]End - Use Prices'!$C$7:$AL$7,0))</f>
        <v>12.95</v>
      </c>
      <c r="BB83" s="41">
        <f>INDEX('[1]End - Use Prices'!$C$6:$AL$89,MATCH($C83,'[1]End - Use Prices'!$A$6:$A$89,0)+MATCH($D83,'[1]End - Use Prices'!$B$9:$B$11,0)-1,MATCH(BB$1,'[1]End - Use Prices'!$C$7:$AL$7,0))</f>
        <v>13.03</v>
      </c>
      <c r="BC83" s="41">
        <f>INDEX('[1]End - Use Prices'!$C$6:$AL$89,MATCH($C83,'[1]End - Use Prices'!$A$6:$A$89,0)+MATCH($D83,'[1]End - Use Prices'!$B$9:$B$11,0)-1,MATCH(BC$1,'[1]End - Use Prices'!$C$7:$AL$7,0))</f>
        <v>13.11</v>
      </c>
      <c r="BD83" s="41">
        <f>INDEX('[1]End - Use Prices'!$C$6:$AL$89,MATCH($C83,'[1]End - Use Prices'!$A$6:$A$89,0)+MATCH($D83,'[1]End - Use Prices'!$B$9:$B$11,0)-1,MATCH(BD$1,'[1]End - Use Prices'!$C$7:$AL$7,0))</f>
        <v>13.17</v>
      </c>
      <c r="BE83" s="41">
        <f>INDEX('[1]End - Use Prices'!$C$6:$AL$89,MATCH($C83,'[1]End - Use Prices'!$A$6:$A$89,0)+MATCH($D83,'[1]End - Use Prices'!$B$9:$B$11,0)-1,MATCH(BE$1,'[1]End - Use Prices'!$C$7:$AL$7,0))</f>
        <v>13.22</v>
      </c>
      <c r="BF83" s="41">
        <f>INDEX('[1]End - Use Prices'!$C$6:$AL$89,MATCH($C83,'[1]End - Use Prices'!$A$6:$A$89,0)+MATCH($D83,'[1]End - Use Prices'!$B$9:$B$11,0)-1,MATCH(BF$1,'[1]End - Use Prices'!$C$7:$AL$7,0))</f>
        <v>13.27</v>
      </c>
      <c r="BG83" s="41">
        <f>INDEX('[1]End - Use Prices'!$C$6:$AL$89,MATCH($C83,'[1]End - Use Prices'!$A$6:$A$89,0)+MATCH($D83,'[1]End - Use Prices'!$B$9:$B$11,0)-1,MATCH(BG$1,'[1]End - Use Prices'!$C$7:$AL$7,0))</f>
        <v>13.31</v>
      </c>
      <c r="BR83" s="39"/>
      <c r="BS83" s="39"/>
      <c r="BT83" s="39"/>
      <c r="BU83" s="39"/>
      <c r="BV83" s="39"/>
      <c r="BW83" s="39"/>
      <c r="BX83" s="39"/>
      <c r="BY83" s="39"/>
      <c r="BZ83" s="39"/>
      <c r="CA83" s="39"/>
    </row>
    <row r="84" spans="1:79" x14ac:dyDescent="0.25">
      <c r="A84" s="5"/>
      <c r="B84" s="3"/>
      <c r="C84" s="25" t="s">
        <v>92</v>
      </c>
      <c r="D84" s="25" t="s">
        <v>14</v>
      </c>
      <c r="E84" s="25" t="s">
        <v>282</v>
      </c>
      <c r="F84" s="67" t="s">
        <v>279</v>
      </c>
      <c r="G84" s="53">
        <f t="shared" si="11"/>
        <v>14.11</v>
      </c>
      <c r="H84" s="34">
        <f t="shared" si="14"/>
        <v>14.11</v>
      </c>
      <c r="I84" s="34">
        <f t="shared" si="14"/>
        <v>12.28</v>
      </c>
      <c r="J84" s="34">
        <f t="shared" si="14"/>
        <v>11.81</v>
      </c>
      <c r="K84" s="34">
        <f t="shared" si="14"/>
        <v>8.3000000000000007</v>
      </c>
      <c r="L84" s="34">
        <f t="shared" si="14"/>
        <v>9.42</v>
      </c>
      <c r="M84" s="34">
        <f t="shared" si="14"/>
        <v>9.6199999999999992</v>
      </c>
      <c r="N84" s="34">
        <f t="shared" si="14"/>
        <v>9.9</v>
      </c>
      <c r="O84" s="34">
        <f t="shared" si="14"/>
        <v>9.9499999999999993</v>
      </c>
      <c r="P84" s="53">
        <f t="shared" si="15"/>
        <v>9.9499999999999993</v>
      </c>
      <c r="Q84" s="53">
        <f t="shared" si="15"/>
        <v>9.9499999999999993</v>
      </c>
      <c r="R84" s="38"/>
      <c r="X84" s="41">
        <f>INDEX('[1]End - Use Prices'!$C$6:$AL$89,MATCH($C84,'[1]End - Use Prices'!$A$6:$A$89,0)+MATCH($D84,'[1]End - Use Prices'!$B$9:$B$11,0)-1,MATCH(X$1,'[1]End - Use Prices'!$C$7:$AL$7,0))</f>
        <v>14.11</v>
      </c>
      <c r="Y84" s="41">
        <f>INDEX('[1]End - Use Prices'!$C$6:$AL$89,MATCH($C84,'[1]End - Use Prices'!$A$6:$A$89,0)+MATCH($D84,'[1]End - Use Prices'!$B$9:$B$11,0)-1,MATCH(Y$1,'[1]End - Use Prices'!$C$7:$AL$7,0))</f>
        <v>13.96</v>
      </c>
      <c r="Z84" s="41">
        <f>INDEX('[1]End - Use Prices'!$C$6:$AL$89,MATCH($C84,'[1]End - Use Prices'!$A$6:$A$89,0)+MATCH($D84,'[1]End - Use Prices'!$B$9:$B$11,0)-1,MATCH(Z$1,'[1]End - Use Prices'!$C$7:$AL$7,0))</f>
        <v>13.58</v>
      </c>
      <c r="AA84" s="41">
        <f>INDEX('[1]End - Use Prices'!$C$6:$AL$89,MATCH($C84,'[1]End - Use Prices'!$A$6:$A$89,0)+MATCH($D84,'[1]End - Use Prices'!$B$9:$B$11,0)-1,MATCH(AA$1,'[1]End - Use Prices'!$C$7:$AL$7,0))</f>
        <v>12.3</v>
      </c>
      <c r="AB84" s="41">
        <f>INDEX('[1]End - Use Prices'!$C$6:$AL$89,MATCH($C84,'[1]End - Use Prices'!$A$6:$A$89,0)+MATCH($D84,'[1]End - Use Prices'!$B$9:$B$11,0)-1,MATCH(AB$1,'[1]End - Use Prices'!$C$7:$AL$7,0))</f>
        <v>14.1</v>
      </c>
      <c r="AC84" s="41">
        <f>INDEX('[1]End - Use Prices'!$C$6:$AL$89,MATCH($C84,'[1]End - Use Prices'!$A$6:$A$89,0)+MATCH($D84,'[1]End - Use Prices'!$B$9:$B$11,0)-1,MATCH(AC$1,'[1]End - Use Prices'!$C$7:$AL$7,0))</f>
        <v>12.28</v>
      </c>
      <c r="AD84" s="41">
        <f>INDEX('[1]End - Use Prices'!$C$6:$AL$89,MATCH($C84,'[1]End - Use Prices'!$A$6:$A$89,0)+MATCH($D84,'[1]End - Use Prices'!$B$9:$B$11,0)-1,MATCH(AD$1,'[1]End - Use Prices'!$C$7:$AL$7,0))</f>
        <v>11.25</v>
      </c>
      <c r="AE84" s="41">
        <f>INDEX('[1]End - Use Prices'!$C$6:$AL$89,MATCH($C84,'[1]End - Use Prices'!$A$6:$A$89,0)+MATCH($D84,'[1]End - Use Prices'!$B$9:$B$11,0)-1,MATCH(AE$1,'[1]End - Use Prices'!$C$7:$AL$7,0))</f>
        <v>10.93</v>
      </c>
      <c r="AF84" s="41">
        <f>INDEX('[1]End - Use Prices'!$C$6:$AL$89,MATCH($C84,'[1]End - Use Prices'!$A$6:$A$89,0)+MATCH($D84,'[1]End - Use Prices'!$B$9:$B$11,0)-1,MATCH(AF$1,'[1]End - Use Prices'!$C$7:$AL$7,0))</f>
        <v>10.61</v>
      </c>
      <c r="AG84" s="41">
        <f>INDEX('[1]End - Use Prices'!$C$6:$AL$89,MATCH($C84,'[1]End - Use Prices'!$A$6:$A$89,0)+MATCH($D84,'[1]End - Use Prices'!$B$9:$B$11,0)-1,MATCH(AG$1,'[1]End - Use Prices'!$C$7:$AL$7,0))</f>
        <v>9.19</v>
      </c>
      <c r="AH84" s="41">
        <f>INDEX('[1]End - Use Prices'!$C$6:$AL$89,MATCH($C84,'[1]End - Use Prices'!$A$6:$A$89,0)+MATCH($D84,'[1]End - Use Prices'!$B$9:$B$11,0)-1,MATCH(AH$1,'[1]End - Use Prices'!$C$7:$AL$7,0))</f>
        <v>11.81</v>
      </c>
      <c r="AI84" s="41">
        <f>INDEX('[1]End - Use Prices'!$C$6:$AL$89,MATCH($C84,'[1]End - Use Prices'!$A$6:$A$89,0)+MATCH($D84,'[1]End - Use Prices'!$B$9:$B$11,0)-1,MATCH(AI$1,'[1]End - Use Prices'!$C$7:$AL$7,0))</f>
        <v>8.8000000000000007</v>
      </c>
      <c r="AJ84" s="41">
        <f>INDEX('[1]End - Use Prices'!$C$6:$AL$89,MATCH($C84,'[1]End - Use Prices'!$A$6:$A$89,0)+MATCH($D84,'[1]End - Use Prices'!$B$9:$B$11,0)-1,MATCH(AJ$1,'[1]End - Use Prices'!$C$7:$AL$7,0))</f>
        <v>7.48</v>
      </c>
      <c r="AK84" s="41">
        <f>INDEX('[1]End - Use Prices'!$C$6:$AL$89,MATCH($C84,'[1]End - Use Prices'!$A$6:$A$89,0)+MATCH($D84,'[1]End - Use Prices'!$B$9:$B$11,0)-1,MATCH(AK$1,'[1]End - Use Prices'!$C$7:$AL$7,0))</f>
        <v>7.4</v>
      </c>
      <c r="AL84" s="41">
        <f>INDEX('[1]End - Use Prices'!$C$6:$AL$89,MATCH($C84,'[1]End - Use Prices'!$A$6:$A$89,0)+MATCH($D84,'[1]End - Use Prices'!$B$9:$B$11,0)-1,MATCH(AL$1,'[1]End - Use Prices'!$C$7:$AL$7,0))</f>
        <v>7.39</v>
      </c>
      <c r="AM84" s="41">
        <f>INDEX('[1]End - Use Prices'!$C$6:$AL$89,MATCH($C84,'[1]End - Use Prices'!$A$6:$A$89,0)+MATCH($D84,'[1]End - Use Prices'!$B$9:$B$11,0)-1,MATCH(AM$1,'[1]End - Use Prices'!$C$7:$AL$7,0))</f>
        <v>8.3000000000000007</v>
      </c>
      <c r="AN84" s="41">
        <f>INDEX('[1]End - Use Prices'!$C$6:$AL$89,MATCH($C84,'[1]End - Use Prices'!$A$6:$A$89,0)+MATCH($D84,'[1]End - Use Prices'!$B$9:$B$11,0)-1,MATCH(AN$1,'[1]End - Use Prices'!$C$7:$AL$7,0))</f>
        <v>8.73</v>
      </c>
      <c r="AO84" s="41">
        <f>INDEX('[1]End - Use Prices'!$C$6:$AL$89,MATCH($C84,'[1]End - Use Prices'!$A$6:$A$89,0)+MATCH($D84,'[1]End - Use Prices'!$B$9:$B$11,0)-1,MATCH(AO$1,'[1]End - Use Prices'!$C$7:$AL$7,0))</f>
        <v>9.14</v>
      </c>
      <c r="AP84" s="41">
        <f>INDEX('[1]End - Use Prices'!$C$6:$AL$89,MATCH($C84,'[1]End - Use Prices'!$A$6:$A$89,0)+MATCH($D84,'[1]End - Use Prices'!$B$9:$B$11,0)-1,MATCH(AP$1,'[1]End - Use Prices'!$C$7:$AL$7,0))</f>
        <v>9.51</v>
      </c>
      <c r="AQ84" s="41">
        <f>INDEX('[1]End - Use Prices'!$C$6:$AL$89,MATCH($C84,'[1]End - Use Prices'!$A$6:$A$89,0)+MATCH($D84,'[1]End - Use Prices'!$B$9:$B$11,0)-1,MATCH(AQ$1,'[1]End - Use Prices'!$C$7:$AL$7,0))</f>
        <v>9.4499999999999993</v>
      </c>
      <c r="AR84" s="41">
        <f>INDEX('[1]End - Use Prices'!$C$6:$AL$89,MATCH($C84,'[1]End - Use Prices'!$A$6:$A$89,0)+MATCH($D84,'[1]End - Use Prices'!$B$9:$B$11,0)-1,MATCH(AR$1,'[1]End - Use Prices'!$C$7:$AL$7,0))</f>
        <v>9.42</v>
      </c>
      <c r="AS84" s="41">
        <f>INDEX('[1]End - Use Prices'!$C$6:$AL$89,MATCH($C84,'[1]End - Use Prices'!$A$6:$A$89,0)+MATCH($D84,'[1]End - Use Prices'!$B$9:$B$11,0)-1,MATCH(AS$1,'[1]End - Use Prices'!$C$7:$AL$7,0))</f>
        <v>9.4600000000000009</v>
      </c>
      <c r="AT84" s="41">
        <f>INDEX('[1]End - Use Prices'!$C$6:$AL$89,MATCH($C84,'[1]End - Use Prices'!$A$6:$A$89,0)+MATCH($D84,'[1]End - Use Prices'!$B$9:$B$11,0)-1,MATCH(AT$1,'[1]End - Use Prices'!$C$7:$AL$7,0))</f>
        <v>9.48</v>
      </c>
      <c r="AU84" s="41">
        <f>INDEX('[1]End - Use Prices'!$C$6:$AL$89,MATCH($C84,'[1]End - Use Prices'!$A$6:$A$89,0)+MATCH($D84,'[1]End - Use Prices'!$B$9:$B$11,0)-1,MATCH(AU$1,'[1]End - Use Prices'!$C$7:$AL$7,0))</f>
        <v>9.52</v>
      </c>
      <c r="AV84" s="41">
        <f>INDEX('[1]End - Use Prices'!$C$6:$AL$89,MATCH($C84,'[1]End - Use Prices'!$A$6:$A$89,0)+MATCH($D84,'[1]End - Use Prices'!$B$9:$B$11,0)-1,MATCH(AV$1,'[1]End - Use Prices'!$C$7:$AL$7,0))</f>
        <v>9.57</v>
      </c>
      <c r="AW84" s="41">
        <f>INDEX('[1]End - Use Prices'!$C$6:$AL$89,MATCH($C84,'[1]End - Use Prices'!$A$6:$A$89,0)+MATCH($D84,'[1]End - Use Prices'!$B$9:$B$11,0)-1,MATCH(AW$1,'[1]End - Use Prices'!$C$7:$AL$7,0))</f>
        <v>9.6199999999999992</v>
      </c>
      <c r="AX84" s="41">
        <f>INDEX('[1]End - Use Prices'!$C$6:$AL$89,MATCH($C84,'[1]End - Use Prices'!$A$6:$A$89,0)+MATCH($D84,'[1]End - Use Prices'!$B$9:$B$11,0)-1,MATCH(AX$1,'[1]End - Use Prices'!$C$7:$AL$7,0))</f>
        <v>9.68</v>
      </c>
      <c r="AY84" s="41">
        <f>INDEX('[1]End - Use Prices'!$C$6:$AL$89,MATCH($C84,'[1]End - Use Prices'!$A$6:$A$89,0)+MATCH($D84,'[1]End - Use Prices'!$B$9:$B$11,0)-1,MATCH(AY$1,'[1]End - Use Prices'!$C$7:$AL$7,0))</f>
        <v>9.75</v>
      </c>
      <c r="AZ84" s="41">
        <f>INDEX('[1]End - Use Prices'!$C$6:$AL$89,MATCH($C84,'[1]End - Use Prices'!$A$6:$A$89,0)+MATCH($D84,'[1]End - Use Prices'!$B$9:$B$11,0)-1,MATCH(AZ$1,'[1]End - Use Prices'!$C$7:$AL$7,0))</f>
        <v>9.83</v>
      </c>
      <c r="BA84" s="41">
        <f>INDEX('[1]End - Use Prices'!$C$6:$AL$89,MATCH($C84,'[1]End - Use Prices'!$A$6:$A$89,0)+MATCH($D84,'[1]End - Use Prices'!$B$9:$B$11,0)-1,MATCH(BA$1,'[1]End - Use Prices'!$C$7:$AL$7,0))</f>
        <v>9.8699999999999992</v>
      </c>
      <c r="BB84" s="41">
        <f>INDEX('[1]End - Use Prices'!$C$6:$AL$89,MATCH($C84,'[1]End - Use Prices'!$A$6:$A$89,0)+MATCH($D84,'[1]End - Use Prices'!$B$9:$B$11,0)-1,MATCH(BB$1,'[1]End - Use Prices'!$C$7:$AL$7,0))</f>
        <v>9.9</v>
      </c>
      <c r="BC84" s="41">
        <f>INDEX('[1]End - Use Prices'!$C$6:$AL$89,MATCH($C84,'[1]End - Use Prices'!$A$6:$A$89,0)+MATCH($D84,'[1]End - Use Prices'!$B$9:$B$11,0)-1,MATCH(BC$1,'[1]End - Use Prices'!$C$7:$AL$7,0))</f>
        <v>9.93</v>
      </c>
      <c r="BD84" s="41">
        <f>INDEX('[1]End - Use Prices'!$C$6:$AL$89,MATCH($C84,'[1]End - Use Prices'!$A$6:$A$89,0)+MATCH($D84,'[1]End - Use Prices'!$B$9:$B$11,0)-1,MATCH(BD$1,'[1]End - Use Prices'!$C$7:$AL$7,0))</f>
        <v>9.94</v>
      </c>
      <c r="BE84" s="41">
        <f>INDEX('[1]End - Use Prices'!$C$6:$AL$89,MATCH($C84,'[1]End - Use Prices'!$A$6:$A$89,0)+MATCH($D84,'[1]End - Use Prices'!$B$9:$B$11,0)-1,MATCH(BE$1,'[1]End - Use Prices'!$C$7:$AL$7,0))</f>
        <v>9.94</v>
      </c>
      <c r="BF84" s="41">
        <f>INDEX('[1]End - Use Prices'!$C$6:$AL$89,MATCH($C84,'[1]End - Use Prices'!$A$6:$A$89,0)+MATCH($D84,'[1]End - Use Prices'!$B$9:$B$11,0)-1,MATCH(BF$1,'[1]End - Use Prices'!$C$7:$AL$7,0))</f>
        <v>9.9499999999999993</v>
      </c>
      <c r="BG84" s="41">
        <f>INDEX('[1]End - Use Prices'!$C$6:$AL$89,MATCH($C84,'[1]End - Use Prices'!$A$6:$A$89,0)+MATCH($D84,'[1]End - Use Prices'!$B$9:$B$11,0)-1,MATCH(BG$1,'[1]End - Use Prices'!$C$7:$AL$7,0))</f>
        <v>9.9499999999999993</v>
      </c>
      <c r="BR84" s="39"/>
      <c r="BS84" s="39"/>
      <c r="BT84" s="39"/>
      <c r="BU84" s="39"/>
      <c r="BV84" s="39"/>
      <c r="BW84" s="39"/>
      <c r="BX84" s="39"/>
      <c r="BY84" s="39"/>
      <c r="BZ84" s="39"/>
      <c r="CA84" s="39"/>
    </row>
    <row r="85" spans="1:79" x14ac:dyDescent="0.25">
      <c r="A85" s="5"/>
      <c r="B85" s="3"/>
      <c r="C85" s="25" t="s">
        <v>5</v>
      </c>
      <c r="D85" s="25" t="s">
        <v>14</v>
      </c>
      <c r="E85" s="25" t="s">
        <v>282</v>
      </c>
      <c r="F85" s="67" t="s">
        <v>279</v>
      </c>
      <c r="G85" s="53">
        <f t="shared" si="11"/>
        <v>12.98</v>
      </c>
      <c r="H85" s="34">
        <f t="shared" si="14"/>
        <v>12.98</v>
      </c>
      <c r="I85" s="34">
        <f t="shared" si="14"/>
        <v>7.97</v>
      </c>
      <c r="J85" s="34">
        <f t="shared" si="14"/>
        <v>3.36</v>
      </c>
      <c r="K85" s="34">
        <f t="shared" si="14"/>
        <v>6.42</v>
      </c>
      <c r="L85" s="34">
        <f t="shared" si="14"/>
        <v>7.15</v>
      </c>
      <c r="M85" s="34">
        <f t="shared" si="14"/>
        <v>7.33</v>
      </c>
      <c r="N85" s="34">
        <f t="shared" si="14"/>
        <v>7.6</v>
      </c>
      <c r="O85" s="34">
        <f t="shared" si="14"/>
        <v>7.63</v>
      </c>
      <c r="P85" s="53">
        <f t="shared" si="15"/>
        <v>7.63</v>
      </c>
      <c r="Q85" s="53">
        <f t="shared" si="15"/>
        <v>7.63</v>
      </c>
      <c r="R85" s="38"/>
      <c r="X85" s="41">
        <f>INDEX('[1]End - Use Prices'!$C$6:$AL$89,MATCH($C85,'[1]End - Use Prices'!$A$6:$A$89,0)+MATCH($D85,'[1]End - Use Prices'!$B$9:$B$11,0)-1,MATCH(X$1,'[1]End - Use Prices'!$C$7:$AL$7,0))</f>
        <v>12.98</v>
      </c>
      <c r="Y85" s="41">
        <f>INDEX('[1]End - Use Prices'!$C$6:$AL$89,MATCH($C85,'[1]End - Use Prices'!$A$6:$A$89,0)+MATCH($D85,'[1]End - Use Prices'!$B$9:$B$11,0)-1,MATCH(Y$1,'[1]End - Use Prices'!$C$7:$AL$7,0))</f>
        <v>11.76</v>
      </c>
      <c r="Z85" s="41">
        <f>INDEX('[1]End - Use Prices'!$C$6:$AL$89,MATCH($C85,'[1]End - Use Prices'!$A$6:$A$89,0)+MATCH($D85,'[1]End - Use Prices'!$B$9:$B$11,0)-1,MATCH(Z$1,'[1]End - Use Prices'!$C$7:$AL$7,0))</f>
        <v>10.95</v>
      </c>
      <c r="AA85" s="41">
        <f>INDEX('[1]End - Use Prices'!$C$6:$AL$89,MATCH($C85,'[1]End - Use Prices'!$A$6:$A$89,0)+MATCH($D85,'[1]End - Use Prices'!$B$9:$B$11,0)-1,MATCH(AA$1,'[1]End - Use Prices'!$C$7:$AL$7,0))</f>
        <v>11.03</v>
      </c>
      <c r="AB85" s="41">
        <f>INDEX('[1]End - Use Prices'!$C$6:$AL$89,MATCH($C85,'[1]End - Use Prices'!$A$6:$A$89,0)+MATCH($D85,'[1]End - Use Prices'!$B$9:$B$11,0)-1,MATCH(AB$1,'[1]End - Use Prices'!$C$7:$AL$7,0))</f>
        <v>7.77</v>
      </c>
      <c r="AC85" s="41">
        <f>INDEX('[1]End - Use Prices'!$C$6:$AL$89,MATCH($C85,'[1]End - Use Prices'!$A$6:$A$89,0)+MATCH($D85,'[1]End - Use Prices'!$B$9:$B$11,0)-1,MATCH(AC$1,'[1]End - Use Prices'!$C$7:$AL$7,0))</f>
        <v>7.97</v>
      </c>
      <c r="AD85" s="41">
        <f>INDEX('[1]End - Use Prices'!$C$6:$AL$89,MATCH($C85,'[1]End - Use Prices'!$A$6:$A$89,0)+MATCH($D85,'[1]End - Use Prices'!$B$9:$B$11,0)-1,MATCH(AD$1,'[1]End - Use Prices'!$C$7:$AL$7,0))</f>
        <v>8.15</v>
      </c>
      <c r="AE85" s="41">
        <f>INDEX('[1]End - Use Prices'!$C$6:$AL$89,MATCH($C85,'[1]End - Use Prices'!$A$6:$A$89,0)+MATCH($D85,'[1]End - Use Prices'!$B$9:$B$11,0)-1,MATCH(AE$1,'[1]End - Use Prices'!$C$7:$AL$7,0))</f>
        <v>6.63</v>
      </c>
      <c r="AF85" s="41">
        <f>INDEX('[1]End - Use Prices'!$C$6:$AL$89,MATCH($C85,'[1]End - Use Prices'!$A$6:$A$89,0)+MATCH($D85,'[1]End - Use Prices'!$B$9:$B$11,0)-1,MATCH(AF$1,'[1]End - Use Prices'!$C$7:$AL$7,0))</f>
        <v>6.93</v>
      </c>
      <c r="AG85" s="41">
        <f>INDEX('[1]End - Use Prices'!$C$6:$AL$89,MATCH($C85,'[1]End - Use Prices'!$A$6:$A$89,0)+MATCH($D85,'[1]End - Use Prices'!$B$9:$B$11,0)-1,MATCH(AG$1,'[1]End - Use Prices'!$C$7:$AL$7,0))</f>
        <v>8.5399999999999991</v>
      </c>
      <c r="AH85" s="41">
        <f>INDEX('[1]End - Use Prices'!$C$6:$AL$89,MATCH($C85,'[1]End - Use Prices'!$A$6:$A$89,0)+MATCH($D85,'[1]End - Use Prices'!$B$9:$B$11,0)-1,MATCH(AH$1,'[1]End - Use Prices'!$C$7:$AL$7,0))</f>
        <v>3.36</v>
      </c>
      <c r="AI85" s="41">
        <f>INDEX('[1]End - Use Prices'!$C$6:$AL$89,MATCH($C85,'[1]End - Use Prices'!$A$6:$A$89,0)+MATCH($D85,'[1]End - Use Prices'!$B$9:$B$11,0)-1,MATCH(AI$1,'[1]End - Use Prices'!$C$7:$AL$7,0))</f>
        <v>5.3</v>
      </c>
      <c r="AJ85" s="41">
        <f>INDEX('[1]End - Use Prices'!$C$6:$AL$89,MATCH($C85,'[1]End - Use Prices'!$A$6:$A$89,0)+MATCH($D85,'[1]End - Use Prices'!$B$9:$B$11,0)-1,MATCH(AJ$1,'[1]End - Use Prices'!$C$7:$AL$7,0))</f>
        <v>4.5599999999999996</v>
      </c>
      <c r="AK85" s="41">
        <f>INDEX('[1]End - Use Prices'!$C$6:$AL$89,MATCH($C85,'[1]End - Use Prices'!$A$6:$A$89,0)+MATCH($D85,'[1]End - Use Prices'!$B$9:$B$11,0)-1,MATCH(AK$1,'[1]End - Use Prices'!$C$7:$AL$7,0))</f>
        <v>5.99</v>
      </c>
      <c r="AL85" s="41">
        <f>INDEX('[1]End - Use Prices'!$C$6:$AL$89,MATCH($C85,'[1]End - Use Prices'!$A$6:$A$89,0)+MATCH($D85,'[1]End - Use Prices'!$B$9:$B$11,0)-1,MATCH(AL$1,'[1]End - Use Prices'!$C$7:$AL$7,0))</f>
        <v>6.47</v>
      </c>
      <c r="AM85" s="41">
        <f>INDEX('[1]End - Use Prices'!$C$6:$AL$89,MATCH($C85,'[1]End - Use Prices'!$A$6:$A$89,0)+MATCH($D85,'[1]End - Use Prices'!$B$9:$B$11,0)-1,MATCH(AM$1,'[1]End - Use Prices'!$C$7:$AL$7,0))</f>
        <v>6.42</v>
      </c>
      <c r="AN85" s="41">
        <f>INDEX('[1]End - Use Prices'!$C$6:$AL$89,MATCH($C85,'[1]End - Use Prices'!$A$6:$A$89,0)+MATCH($D85,'[1]End - Use Prices'!$B$9:$B$11,0)-1,MATCH(AN$1,'[1]End - Use Prices'!$C$7:$AL$7,0))</f>
        <v>6.38</v>
      </c>
      <c r="AO85" s="41">
        <f>INDEX('[1]End - Use Prices'!$C$6:$AL$89,MATCH($C85,'[1]End - Use Prices'!$A$6:$A$89,0)+MATCH($D85,'[1]End - Use Prices'!$B$9:$B$11,0)-1,MATCH(AO$1,'[1]End - Use Prices'!$C$7:$AL$7,0))</f>
        <v>6.84</v>
      </c>
      <c r="AP85" s="41">
        <f>INDEX('[1]End - Use Prices'!$C$6:$AL$89,MATCH($C85,'[1]End - Use Prices'!$A$6:$A$89,0)+MATCH($D85,'[1]End - Use Prices'!$B$9:$B$11,0)-1,MATCH(AP$1,'[1]End - Use Prices'!$C$7:$AL$7,0))</f>
        <v>7.25</v>
      </c>
      <c r="AQ85" s="41">
        <f>INDEX('[1]End - Use Prices'!$C$6:$AL$89,MATCH($C85,'[1]End - Use Prices'!$A$6:$A$89,0)+MATCH($D85,'[1]End - Use Prices'!$B$9:$B$11,0)-1,MATCH(AQ$1,'[1]End - Use Prices'!$C$7:$AL$7,0))</f>
        <v>7.19</v>
      </c>
      <c r="AR85" s="41">
        <f>INDEX('[1]End - Use Prices'!$C$6:$AL$89,MATCH($C85,'[1]End - Use Prices'!$A$6:$A$89,0)+MATCH($D85,'[1]End - Use Prices'!$B$9:$B$11,0)-1,MATCH(AR$1,'[1]End - Use Prices'!$C$7:$AL$7,0))</f>
        <v>7.15</v>
      </c>
      <c r="AS85" s="41">
        <f>INDEX('[1]End - Use Prices'!$C$6:$AL$89,MATCH($C85,'[1]End - Use Prices'!$A$6:$A$89,0)+MATCH($D85,'[1]End - Use Prices'!$B$9:$B$11,0)-1,MATCH(AS$1,'[1]End - Use Prices'!$C$7:$AL$7,0))</f>
        <v>7.18</v>
      </c>
      <c r="AT85" s="41">
        <f>INDEX('[1]End - Use Prices'!$C$6:$AL$89,MATCH($C85,'[1]End - Use Prices'!$A$6:$A$89,0)+MATCH($D85,'[1]End - Use Prices'!$B$9:$B$11,0)-1,MATCH(AT$1,'[1]End - Use Prices'!$C$7:$AL$7,0))</f>
        <v>7.2</v>
      </c>
      <c r="AU85" s="41">
        <f>INDEX('[1]End - Use Prices'!$C$6:$AL$89,MATCH($C85,'[1]End - Use Prices'!$A$6:$A$89,0)+MATCH($D85,'[1]End - Use Prices'!$B$9:$B$11,0)-1,MATCH(AU$1,'[1]End - Use Prices'!$C$7:$AL$7,0))</f>
        <v>7.23</v>
      </c>
      <c r="AV85" s="41">
        <f>INDEX('[1]End - Use Prices'!$C$6:$AL$89,MATCH($C85,'[1]End - Use Prices'!$A$6:$A$89,0)+MATCH($D85,'[1]End - Use Prices'!$B$9:$B$11,0)-1,MATCH(AV$1,'[1]End - Use Prices'!$C$7:$AL$7,0))</f>
        <v>7.28</v>
      </c>
      <c r="AW85" s="41">
        <f>INDEX('[1]End - Use Prices'!$C$6:$AL$89,MATCH($C85,'[1]End - Use Prices'!$A$6:$A$89,0)+MATCH($D85,'[1]End - Use Prices'!$B$9:$B$11,0)-1,MATCH(AW$1,'[1]End - Use Prices'!$C$7:$AL$7,0))</f>
        <v>7.33</v>
      </c>
      <c r="AX85" s="41">
        <f>INDEX('[1]End - Use Prices'!$C$6:$AL$89,MATCH($C85,'[1]End - Use Prices'!$A$6:$A$89,0)+MATCH($D85,'[1]End - Use Prices'!$B$9:$B$11,0)-1,MATCH(AX$1,'[1]End - Use Prices'!$C$7:$AL$7,0))</f>
        <v>7.38</v>
      </c>
      <c r="AY85" s="41">
        <f>INDEX('[1]End - Use Prices'!$C$6:$AL$89,MATCH($C85,'[1]End - Use Prices'!$A$6:$A$89,0)+MATCH($D85,'[1]End - Use Prices'!$B$9:$B$11,0)-1,MATCH(AY$1,'[1]End - Use Prices'!$C$7:$AL$7,0))</f>
        <v>7.45</v>
      </c>
      <c r="AZ85" s="41">
        <f>INDEX('[1]End - Use Prices'!$C$6:$AL$89,MATCH($C85,'[1]End - Use Prices'!$A$6:$A$89,0)+MATCH($D85,'[1]End - Use Prices'!$B$9:$B$11,0)-1,MATCH(AZ$1,'[1]End - Use Prices'!$C$7:$AL$7,0))</f>
        <v>7.53</v>
      </c>
      <c r="BA85" s="41">
        <f>INDEX('[1]End - Use Prices'!$C$6:$AL$89,MATCH($C85,'[1]End - Use Prices'!$A$6:$A$89,0)+MATCH($D85,'[1]End - Use Prices'!$B$9:$B$11,0)-1,MATCH(BA$1,'[1]End - Use Prices'!$C$7:$AL$7,0))</f>
        <v>7.57</v>
      </c>
      <c r="BB85" s="41">
        <f>INDEX('[1]End - Use Prices'!$C$6:$AL$89,MATCH($C85,'[1]End - Use Prices'!$A$6:$A$89,0)+MATCH($D85,'[1]End - Use Prices'!$B$9:$B$11,0)-1,MATCH(BB$1,'[1]End - Use Prices'!$C$7:$AL$7,0))</f>
        <v>7.6</v>
      </c>
      <c r="BC85" s="41">
        <f>INDEX('[1]End - Use Prices'!$C$6:$AL$89,MATCH($C85,'[1]End - Use Prices'!$A$6:$A$89,0)+MATCH($D85,'[1]End - Use Prices'!$B$9:$B$11,0)-1,MATCH(BC$1,'[1]End - Use Prices'!$C$7:$AL$7,0))</f>
        <v>7.62</v>
      </c>
      <c r="BD85" s="41">
        <f>INDEX('[1]End - Use Prices'!$C$6:$AL$89,MATCH($C85,'[1]End - Use Prices'!$A$6:$A$89,0)+MATCH($D85,'[1]End - Use Prices'!$B$9:$B$11,0)-1,MATCH(BD$1,'[1]End - Use Prices'!$C$7:$AL$7,0))</f>
        <v>7.63</v>
      </c>
      <c r="BE85" s="41">
        <f>INDEX('[1]End - Use Prices'!$C$6:$AL$89,MATCH($C85,'[1]End - Use Prices'!$A$6:$A$89,0)+MATCH($D85,'[1]End - Use Prices'!$B$9:$B$11,0)-1,MATCH(BE$1,'[1]End - Use Prices'!$C$7:$AL$7,0))</f>
        <v>7.63</v>
      </c>
      <c r="BF85" s="41">
        <f>INDEX('[1]End - Use Prices'!$C$6:$AL$89,MATCH($C85,'[1]End - Use Prices'!$A$6:$A$89,0)+MATCH($D85,'[1]End - Use Prices'!$B$9:$B$11,0)-1,MATCH(BF$1,'[1]End - Use Prices'!$C$7:$AL$7,0))</f>
        <v>7.63</v>
      </c>
      <c r="BG85" s="41">
        <f>INDEX('[1]End - Use Prices'!$C$6:$AL$89,MATCH($C85,'[1]End - Use Prices'!$A$6:$A$89,0)+MATCH($D85,'[1]End - Use Prices'!$B$9:$B$11,0)-1,MATCH(BG$1,'[1]End - Use Prices'!$C$7:$AL$7,0))</f>
        <v>7.63</v>
      </c>
      <c r="BR85" s="39"/>
      <c r="BS85" s="39"/>
      <c r="BT85" s="39"/>
      <c r="BU85" s="39"/>
      <c r="BV85" s="39"/>
      <c r="BW85" s="39"/>
      <c r="BX85" s="39"/>
      <c r="BY85" s="39"/>
      <c r="BZ85" s="39"/>
      <c r="CA85" s="39"/>
    </row>
    <row r="86" spans="1:79" x14ac:dyDescent="0.25">
      <c r="A86" s="5"/>
      <c r="B86" s="3"/>
      <c r="C86" s="25" t="s">
        <v>61</v>
      </c>
      <c r="D86" s="25" t="s">
        <v>14</v>
      </c>
      <c r="E86" s="25" t="s">
        <v>282</v>
      </c>
      <c r="F86" s="67" t="s">
        <v>279</v>
      </c>
      <c r="G86" s="53">
        <f t="shared" si="11"/>
        <v>15.71</v>
      </c>
      <c r="H86" s="34">
        <f t="shared" si="14"/>
        <v>15.71</v>
      </c>
      <c r="I86" s="34">
        <f t="shared" si="14"/>
        <v>17.63</v>
      </c>
      <c r="J86" s="34">
        <f t="shared" si="14"/>
        <v>15.79</v>
      </c>
      <c r="K86" s="34">
        <f t="shared" si="14"/>
        <v>13.09</v>
      </c>
      <c r="L86" s="34">
        <f t="shared" si="14"/>
        <v>13.24</v>
      </c>
      <c r="M86" s="34">
        <f t="shared" si="14"/>
        <v>13.33</v>
      </c>
      <c r="N86" s="34">
        <f t="shared" si="14"/>
        <v>13.56</v>
      </c>
      <c r="O86" s="34">
        <f t="shared" si="14"/>
        <v>13.49</v>
      </c>
      <c r="P86" s="53">
        <f t="shared" si="15"/>
        <v>13.49</v>
      </c>
      <c r="Q86" s="53">
        <f t="shared" si="15"/>
        <v>13.49</v>
      </c>
      <c r="R86" s="38"/>
      <c r="X86" s="41">
        <f>INDEX('[1]End - Use Prices'!$C$6:$AL$89,MATCH($C86,'[1]End - Use Prices'!$A$6:$A$89,0)+MATCH($D86,'[1]End - Use Prices'!$B$9:$B$11,0)-1,MATCH(X$1,'[1]End - Use Prices'!$C$7:$AL$7,0))</f>
        <v>15.71</v>
      </c>
      <c r="Y86" s="41">
        <f>INDEX('[1]End - Use Prices'!$C$6:$AL$89,MATCH($C86,'[1]End - Use Prices'!$A$6:$A$89,0)+MATCH($D86,'[1]End - Use Prices'!$B$9:$B$11,0)-1,MATCH(Y$1,'[1]End - Use Prices'!$C$7:$AL$7,0))</f>
        <v>16.100000000000001</v>
      </c>
      <c r="Z86" s="41">
        <f>INDEX('[1]End - Use Prices'!$C$6:$AL$89,MATCH($C86,'[1]End - Use Prices'!$A$6:$A$89,0)+MATCH($D86,'[1]End - Use Prices'!$B$9:$B$11,0)-1,MATCH(Z$1,'[1]End - Use Prices'!$C$7:$AL$7,0))</f>
        <v>15.95</v>
      </c>
      <c r="AA86" s="41">
        <f>INDEX('[1]End - Use Prices'!$C$6:$AL$89,MATCH($C86,'[1]End - Use Prices'!$A$6:$A$89,0)+MATCH($D86,'[1]End - Use Prices'!$B$9:$B$11,0)-1,MATCH(AA$1,'[1]End - Use Prices'!$C$7:$AL$7,0))</f>
        <v>15.79</v>
      </c>
      <c r="AB86" s="41">
        <f>INDEX('[1]End - Use Prices'!$C$6:$AL$89,MATCH($C86,'[1]End - Use Prices'!$A$6:$A$89,0)+MATCH($D86,'[1]End - Use Prices'!$B$9:$B$11,0)-1,MATCH(AB$1,'[1]End - Use Prices'!$C$7:$AL$7,0))</f>
        <v>16.8</v>
      </c>
      <c r="AC86" s="41">
        <f>INDEX('[1]End - Use Prices'!$C$6:$AL$89,MATCH($C86,'[1]End - Use Prices'!$A$6:$A$89,0)+MATCH($D86,'[1]End - Use Prices'!$B$9:$B$11,0)-1,MATCH(AC$1,'[1]End - Use Prices'!$C$7:$AL$7,0))</f>
        <v>17.63</v>
      </c>
      <c r="AD86" s="41">
        <f>INDEX('[1]End - Use Prices'!$C$6:$AL$89,MATCH($C86,'[1]End - Use Prices'!$A$6:$A$89,0)+MATCH($D86,'[1]End - Use Prices'!$B$9:$B$11,0)-1,MATCH(AD$1,'[1]End - Use Prices'!$C$7:$AL$7,0))</f>
        <v>17.100000000000001</v>
      </c>
      <c r="AE86" s="41">
        <f>INDEX('[1]End - Use Prices'!$C$6:$AL$89,MATCH($C86,'[1]End - Use Prices'!$A$6:$A$89,0)+MATCH($D86,'[1]End - Use Prices'!$B$9:$B$11,0)-1,MATCH(AE$1,'[1]End - Use Prices'!$C$7:$AL$7,0))</f>
        <v>16.28</v>
      </c>
      <c r="AF86" s="41">
        <f>INDEX('[1]End - Use Prices'!$C$6:$AL$89,MATCH($C86,'[1]End - Use Prices'!$A$6:$A$89,0)+MATCH($D86,'[1]End - Use Prices'!$B$9:$B$11,0)-1,MATCH(AF$1,'[1]End - Use Prices'!$C$7:$AL$7,0))</f>
        <v>15.65</v>
      </c>
      <c r="AG86" s="41">
        <f>INDEX('[1]End - Use Prices'!$C$6:$AL$89,MATCH($C86,'[1]End - Use Prices'!$A$6:$A$89,0)+MATCH($D86,'[1]End - Use Prices'!$B$9:$B$11,0)-1,MATCH(AG$1,'[1]End - Use Prices'!$C$7:$AL$7,0))</f>
        <v>16.579999999999998</v>
      </c>
      <c r="AH86" s="41">
        <f>INDEX('[1]End - Use Prices'!$C$6:$AL$89,MATCH($C86,'[1]End - Use Prices'!$A$6:$A$89,0)+MATCH($D86,'[1]End - Use Prices'!$B$9:$B$11,0)-1,MATCH(AH$1,'[1]End - Use Prices'!$C$7:$AL$7,0))</f>
        <v>15.79</v>
      </c>
      <c r="AI86" s="41">
        <f>INDEX('[1]End - Use Prices'!$C$6:$AL$89,MATCH($C86,'[1]End - Use Prices'!$A$6:$A$89,0)+MATCH($D86,'[1]End - Use Prices'!$B$9:$B$11,0)-1,MATCH(AI$1,'[1]End - Use Prices'!$C$7:$AL$7,0))</f>
        <v>12.09</v>
      </c>
      <c r="AJ86" s="41">
        <f>INDEX('[1]End - Use Prices'!$C$6:$AL$89,MATCH($C86,'[1]End - Use Prices'!$A$6:$A$89,0)+MATCH($D86,'[1]End - Use Prices'!$B$9:$B$11,0)-1,MATCH(AJ$1,'[1]End - Use Prices'!$C$7:$AL$7,0))</f>
        <v>12.97</v>
      </c>
      <c r="AK86" s="41">
        <f>INDEX('[1]End - Use Prices'!$C$6:$AL$89,MATCH($C86,'[1]End - Use Prices'!$A$6:$A$89,0)+MATCH($D86,'[1]End - Use Prices'!$B$9:$B$11,0)-1,MATCH(AK$1,'[1]End - Use Prices'!$C$7:$AL$7,0))</f>
        <v>12.73</v>
      </c>
      <c r="AL86" s="41">
        <f>INDEX('[1]End - Use Prices'!$C$6:$AL$89,MATCH($C86,'[1]End - Use Prices'!$A$6:$A$89,0)+MATCH($D86,'[1]End - Use Prices'!$B$9:$B$11,0)-1,MATCH(AL$1,'[1]End - Use Prices'!$C$7:$AL$7,0))</f>
        <v>12.86</v>
      </c>
      <c r="AM86" s="41">
        <f>INDEX('[1]End - Use Prices'!$C$6:$AL$89,MATCH($C86,'[1]End - Use Prices'!$A$6:$A$89,0)+MATCH($D86,'[1]End - Use Prices'!$B$9:$B$11,0)-1,MATCH(AM$1,'[1]End - Use Prices'!$C$7:$AL$7,0))</f>
        <v>13.09</v>
      </c>
      <c r="AN86" s="41">
        <f>INDEX('[1]End - Use Prices'!$C$6:$AL$89,MATCH($C86,'[1]End - Use Prices'!$A$6:$A$89,0)+MATCH($D86,'[1]End - Use Prices'!$B$9:$B$11,0)-1,MATCH(AN$1,'[1]End - Use Prices'!$C$7:$AL$7,0))</f>
        <v>13.29</v>
      </c>
      <c r="AO86" s="41">
        <f>INDEX('[1]End - Use Prices'!$C$6:$AL$89,MATCH($C86,'[1]End - Use Prices'!$A$6:$A$89,0)+MATCH($D86,'[1]End - Use Prices'!$B$9:$B$11,0)-1,MATCH(AO$1,'[1]End - Use Prices'!$C$7:$AL$7,0))</f>
        <v>13.49</v>
      </c>
      <c r="AP86" s="41">
        <f>INDEX('[1]End - Use Prices'!$C$6:$AL$89,MATCH($C86,'[1]End - Use Prices'!$A$6:$A$89,0)+MATCH($D86,'[1]End - Use Prices'!$B$9:$B$11,0)-1,MATCH(AP$1,'[1]End - Use Prices'!$C$7:$AL$7,0))</f>
        <v>13.43</v>
      </c>
      <c r="AQ86" s="41">
        <f>INDEX('[1]End - Use Prices'!$C$6:$AL$89,MATCH($C86,'[1]End - Use Prices'!$A$6:$A$89,0)+MATCH($D86,'[1]End - Use Prices'!$B$9:$B$11,0)-1,MATCH(AQ$1,'[1]End - Use Prices'!$C$7:$AL$7,0))</f>
        <v>13.32</v>
      </c>
      <c r="AR86" s="41">
        <f>INDEX('[1]End - Use Prices'!$C$6:$AL$89,MATCH($C86,'[1]End - Use Prices'!$A$6:$A$89,0)+MATCH($D86,'[1]End - Use Prices'!$B$9:$B$11,0)-1,MATCH(AR$1,'[1]End - Use Prices'!$C$7:$AL$7,0))</f>
        <v>13.24</v>
      </c>
      <c r="AS86" s="41">
        <f>INDEX('[1]End - Use Prices'!$C$6:$AL$89,MATCH($C86,'[1]End - Use Prices'!$A$6:$A$89,0)+MATCH($D86,'[1]End - Use Prices'!$B$9:$B$11,0)-1,MATCH(AS$1,'[1]End - Use Prices'!$C$7:$AL$7,0))</f>
        <v>13.25</v>
      </c>
      <c r="AT86" s="41">
        <f>INDEX('[1]End - Use Prices'!$C$6:$AL$89,MATCH($C86,'[1]End - Use Prices'!$A$6:$A$89,0)+MATCH($D86,'[1]End - Use Prices'!$B$9:$B$11,0)-1,MATCH(AT$1,'[1]End - Use Prices'!$C$7:$AL$7,0))</f>
        <v>13.24</v>
      </c>
      <c r="AU86" s="41">
        <f>INDEX('[1]End - Use Prices'!$C$6:$AL$89,MATCH($C86,'[1]End - Use Prices'!$A$6:$A$89,0)+MATCH($D86,'[1]End - Use Prices'!$B$9:$B$11,0)-1,MATCH(AU$1,'[1]End - Use Prices'!$C$7:$AL$7,0))</f>
        <v>13.26</v>
      </c>
      <c r="AV86" s="41">
        <f>INDEX('[1]End - Use Prices'!$C$6:$AL$89,MATCH($C86,'[1]End - Use Prices'!$A$6:$A$89,0)+MATCH($D86,'[1]End - Use Prices'!$B$9:$B$11,0)-1,MATCH(AV$1,'[1]End - Use Prices'!$C$7:$AL$7,0))</f>
        <v>13.3</v>
      </c>
      <c r="AW86" s="41">
        <f>INDEX('[1]End - Use Prices'!$C$6:$AL$89,MATCH($C86,'[1]End - Use Prices'!$A$6:$A$89,0)+MATCH($D86,'[1]End - Use Prices'!$B$9:$B$11,0)-1,MATCH(AW$1,'[1]End - Use Prices'!$C$7:$AL$7,0))</f>
        <v>13.33</v>
      </c>
      <c r="AX86" s="41">
        <f>INDEX('[1]End - Use Prices'!$C$6:$AL$89,MATCH($C86,'[1]End - Use Prices'!$A$6:$A$89,0)+MATCH($D86,'[1]End - Use Prices'!$B$9:$B$11,0)-1,MATCH(AX$1,'[1]End - Use Prices'!$C$7:$AL$7,0))</f>
        <v>13.38</v>
      </c>
      <c r="AY86" s="41">
        <f>INDEX('[1]End - Use Prices'!$C$6:$AL$89,MATCH($C86,'[1]End - Use Prices'!$A$6:$A$89,0)+MATCH($D86,'[1]End - Use Prices'!$B$9:$B$11,0)-1,MATCH(AY$1,'[1]End - Use Prices'!$C$7:$AL$7,0))</f>
        <v>13.44</v>
      </c>
      <c r="AZ86" s="41">
        <f>INDEX('[1]End - Use Prices'!$C$6:$AL$89,MATCH($C86,'[1]End - Use Prices'!$A$6:$A$89,0)+MATCH($D86,'[1]End - Use Prices'!$B$9:$B$11,0)-1,MATCH(AZ$1,'[1]End - Use Prices'!$C$7:$AL$7,0))</f>
        <v>13.51</v>
      </c>
      <c r="BA86" s="41">
        <f>INDEX('[1]End - Use Prices'!$C$6:$AL$89,MATCH($C86,'[1]End - Use Prices'!$A$6:$A$89,0)+MATCH($D86,'[1]End - Use Prices'!$B$9:$B$11,0)-1,MATCH(BA$1,'[1]End - Use Prices'!$C$7:$AL$7,0))</f>
        <v>13.54</v>
      </c>
      <c r="BB86" s="41">
        <f>INDEX('[1]End - Use Prices'!$C$6:$AL$89,MATCH($C86,'[1]End - Use Prices'!$A$6:$A$89,0)+MATCH($D86,'[1]End - Use Prices'!$B$9:$B$11,0)-1,MATCH(BB$1,'[1]End - Use Prices'!$C$7:$AL$7,0))</f>
        <v>13.56</v>
      </c>
      <c r="BC86" s="41">
        <f>INDEX('[1]End - Use Prices'!$C$6:$AL$89,MATCH($C86,'[1]End - Use Prices'!$A$6:$A$89,0)+MATCH($D86,'[1]End - Use Prices'!$B$9:$B$11,0)-1,MATCH(BC$1,'[1]End - Use Prices'!$C$7:$AL$7,0))</f>
        <v>13.57</v>
      </c>
      <c r="BD86" s="41">
        <f>INDEX('[1]End - Use Prices'!$C$6:$AL$89,MATCH($C86,'[1]End - Use Prices'!$A$6:$A$89,0)+MATCH($D86,'[1]End - Use Prices'!$B$9:$B$11,0)-1,MATCH(BD$1,'[1]End - Use Prices'!$C$7:$AL$7,0))</f>
        <v>13.56</v>
      </c>
      <c r="BE86" s="41">
        <f>INDEX('[1]End - Use Prices'!$C$6:$AL$89,MATCH($C86,'[1]End - Use Prices'!$A$6:$A$89,0)+MATCH($D86,'[1]End - Use Prices'!$B$9:$B$11,0)-1,MATCH(BE$1,'[1]End - Use Prices'!$C$7:$AL$7,0))</f>
        <v>13.54</v>
      </c>
      <c r="BF86" s="41">
        <f>INDEX('[1]End - Use Prices'!$C$6:$AL$89,MATCH($C86,'[1]End - Use Prices'!$A$6:$A$89,0)+MATCH($D86,'[1]End - Use Prices'!$B$9:$B$11,0)-1,MATCH(BF$1,'[1]End - Use Prices'!$C$7:$AL$7,0))</f>
        <v>13.52</v>
      </c>
      <c r="BG86" s="41">
        <f>INDEX('[1]End - Use Prices'!$C$6:$AL$89,MATCH($C86,'[1]End - Use Prices'!$A$6:$A$89,0)+MATCH($D86,'[1]End - Use Prices'!$B$9:$B$11,0)-1,MATCH(BG$1,'[1]End - Use Prices'!$C$7:$AL$7,0))</f>
        <v>13.49</v>
      </c>
      <c r="BR86" s="39"/>
      <c r="BS86" s="39"/>
      <c r="BT86" s="39"/>
      <c r="BU86" s="39"/>
      <c r="BV86" s="39"/>
      <c r="BW86" s="39"/>
      <c r="BX86" s="39"/>
      <c r="BY86" s="39"/>
      <c r="BZ86" s="39"/>
      <c r="CA86" s="39"/>
    </row>
    <row r="87" spans="1:79" x14ac:dyDescent="0.25">
      <c r="A87" s="5"/>
      <c r="B87" s="3"/>
      <c r="C87" s="25" t="s">
        <v>93</v>
      </c>
      <c r="D87" s="25" t="s">
        <v>14</v>
      </c>
      <c r="E87" s="25" t="s">
        <v>282</v>
      </c>
      <c r="F87" s="67" t="s">
        <v>279</v>
      </c>
      <c r="G87" s="53">
        <f t="shared" si="11"/>
        <v>15.71</v>
      </c>
      <c r="H87" s="34">
        <f t="shared" si="14"/>
        <v>15.71</v>
      </c>
      <c r="I87" s="34">
        <f t="shared" si="14"/>
        <v>14.92</v>
      </c>
      <c r="J87" s="34">
        <f t="shared" si="14"/>
        <v>12.25</v>
      </c>
      <c r="K87" s="34">
        <f t="shared" si="14"/>
        <v>9.07</v>
      </c>
      <c r="L87" s="34">
        <f t="shared" si="14"/>
        <v>9.5</v>
      </c>
      <c r="M87" s="34">
        <f t="shared" si="14"/>
        <v>9.94</v>
      </c>
      <c r="N87" s="34">
        <f t="shared" si="14"/>
        <v>10.41</v>
      </c>
      <c r="O87" s="34">
        <f t="shared" si="14"/>
        <v>10.59</v>
      </c>
      <c r="P87" s="53">
        <f t="shared" si="15"/>
        <v>10.59</v>
      </c>
      <c r="Q87" s="53">
        <f t="shared" si="15"/>
        <v>10.59</v>
      </c>
      <c r="R87" s="38"/>
      <c r="X87" s="41">
        <f>INDEX('[1]End - Use Prices'!$C$6:$AL$89,MATCH($C87,'[1]End - Use Prices'!$A$6:$A$89,0)+MATCH($D87,'[1]End - Use Prices'!$B$9:$B$11,0)-1,MATCH(X$1,'[1]End - Use Prices'!$C$7:$AL$7,0))</f>
        <v>15.71</v>
      </c>
      <c r="Y87" s="41">
        <f>INDEX('[1]End - Use Prices'!$C$6:$AL$89,MATCH($C87,'[1]End - Use Prices'!$A$6:$A$89,0)+MATCH($D87,'[1]End - Use Prices'!$B$9:$B$11,0)-1,MATCH(Y$1,'[1]End - Use Prices'!$C$7:$AL$7,0))</f>
        <v>16.100000000000001</v>
      </c>
      <c r="Z87" s="41">
        <f>INDEX('[1]End - Use Prices'!$C$6:$AL$89,MATCH($C87,'[1]End - Use Prices'!$A$6:$A$89,0)+MATCH($D87,'[1]End - Use Prices'!$B$9:$B$11,0)-1,MATCH(Z$1,'[1]End - Use Prices'!$C$7:$AL$7,0))</f>
        <v>15.74</v>
      </c>
      <c r="AA87" s="41">
        <f>INDEX('[1]End - Use Prices'!$C$6:$AL$89,MATCH($C87,'[1]End - Use Prices'!$A$6:$A$89,0)+MATCH($D87,'[1]End - Use Prices'!$B$9:$B$11,0)-1,MATCH(AA$1,'[1]End - Use Prices'!$C$7:$AL$7,0))</f>
        <v>15.46</v>
      </c>
      <c r="AB87" s="41">
        <f>INDEX('[1]End - Use Prices'!$C$6:$AL$89,MATCH($C87,'[1]End - Use Prices'!$A$6:$A$89,0)+MATCH($D87,'[1]End - Use Prices'!$B$9:$B$11,0)-1,MATCH(AB$1,'[1]End - Use Prices'!$C$7:$AL$7,0))</f>
        <v>15.41</v>
      </c>
      <c r="AC87" s="41">
        <f>INDEX('[1]End - Use Prices'!$C$6:$AL$89,MATCH($C87,'[1]End - Use Prices'!$A$6:$A$89,0)+MATCH($D87,'[1]End - Use Prices'!$B$9:$B$11,0)-1,MATCH(AC$1,'[1]End - Use Prices'!$C$7:$AL$7,0))</f>
        <v>14.92</v>
      </c>
      <c r="AD87" s="41">
        <f>INDEX('[1]End - Use Prices'!$C$6:$AL$89,MATCH($C87,'[1]End - Use Prices'!$A$6:$A$89,0)+MATCH($D87,'[1]End - Use Prices'!$B$9:$B$11,0)-1,MATCH(AD$1,'[1]End - Use Prices'!$C$7:$AL$7,0))</f>
        <v>13.77</v>
      </c>
      <c r="AE87" s="41">
        <f>INDEX('[1]End - Use Prices'!$C$6:$AL$89,MATCH($C87,'[1]End - Use Prices'!$A$6:$A$89,0)+MATCH($D87,'[1]End - Use Prices'!$B$9:$B$11,0)-1,MATCH(AE$1,'[1]End - Use Prices'!$C$7:$AL$7,0))</f>
        <v>12.54</v>
      </c>
      <c r="AF87" s="41">
        <f>INDEX('[1]End - Use Prices'!$C$6:$AL$89,MATCH($C87,'[1]End - Use Prices'!$A$6:$A$89,0)+MATCH($D87,'[1]End - Use Prices'!$B$9:$B$11,0)-1,MATCH(AF$1,'[1]End - Use Prices'!$C$7:$AL$7,0))</f>
        <v>12.18</v>
      </c>
      <c r="AG87" s="41">
        <f>INDEX('[1]End - Use Prices'!$C$6:$AL$89,MATCH($C87,'[1]End - Use Prices'!$A$6:$A$89,0)+MATCH($D87,'[1]End - Use Prices'!$B$9:$B$11,0)-1,MATCH(AG$1,'[1]End - Use Prices'!$C$7:$AL$7,0))</f>
        <v>13.28</v>
      </c>
      <c r="AH87" s="41">
        <f>INDEX('[1]End - Use Prices'!$C$6:$AL$89,MATCH($C87,'[1]End - Use Prices'!$A$6:$A$89,0)+MATCH($D87,'[1]End - Use Prices'!$B$9:$B$11,0)-1,MATCH(AH$1,'[1]End - Use Prices'!$C$7:$AL$7,0))</f>
        <v>12.25</v>
      </c>
      <c r="AI87" s="41">
        <f>INDEX('[1]End - Use Prices'!$C$6:$AL$89,MATCH($C87,'[1]End - Use Prices'!$A$6:$A$89,0)+MATCH($D87,'[1]End - Use Prices'!$B$9:$B$11,0)-1,MATCH(AI$1,'[1]End - Use Prices'!$C$7:$AL$7,0))</f>
        <v>8.43</v>
      </c>
      <c r="AJ87" s="41">
        <f>INDEX('[1]End - Use Prices'!$C$6:$AL$89,MATCH($C87,'[1]End - Use Prices'!$A$6:$A$89,0)+MATCH($D87,'[1]End - Use Prices'!$B$9:$B$11,0)-1,MATCH(AJ$1,'[1]End - Use Prices'!$C$7:$AL$7,0))</f>
        <v>8.91</v>
      </c>
      <c r="AK87" s="41">
        <f>INDEX('[1]End - Use Prices'!$C$6:$AL$89,MATCH($C87,'[1]End - Use Prices'!$A$6:$A$89,0)+MATCH($D87,'[1]End - Use Prices'!$B$9:$B$11,0)-1,MATCH(AK$1,'[1]End - Use Prices'!$C$7:$AL$7,0))</f>
        <v>8.81</v>
      </c>
      <c r="AL87" s="41">
        <f>INDEX('[1]End - Use Prices'!$C$6:$AL$89,MATCH($C87,'[1]End - Use Prices'!$A$6:$A$89,0)+MATCH($D87,'[1]End - Use Prices'!$B$9:$B$11,0)-1,MATCH(AL$1,'[1]End - Use Prices'!$C$7:$AL$7,0))</f>
        <v>8.7899999999999991</v>
      </c>
      <c r="AM87" s="41">
        <f>INDEX('[1]End - Use Prices'!$C$6:$AL$89,MATCH($C87,'[1]End - Use Prices'!$A$6:$A$89,0)+MATCH($D87,'[1]End - Use Prices'!$B$9:$B$11,0)-1,MATCH(AM$1,'[1]End - Use Prices'!$C$7:$AL$7,0))</f>
        <v>9.07</v>
      </c>
      <c r="AN87" s="41">
        <f>INDEX('[1]End - Use Prices'!$C$6:$AL$89,MATCH($C87,'[1]End - Use Prices'!$A$6:$A$89,0)+MATCH($D87,'[1]End - Use Prices'!$B$9:$B$11,0)-1,MATCH(AN$1,'[1]End - Use Prices'!$C$7:$AL$7,0))</f>
        <v>9.2200000000000006</v>
      </c>
      <c r="AO87" s="41">
        <f>INDEX('[1]End - Use Prices'!$C$6:$AL$89,MATCH($C87,'[1]End - Use Prices'!$A$6:$A$89,0)+MATCH($D87,'[1]End - Use Prices'!$B$9:$B$11,0)-1,MATCH(AO$1,'[1]End - Use Prices'!$C$7:$AL$7,0))</f>
        <v>9.36</v>
      </c>
      <c r="AP87" s="41">
        <f>INDEX('[1]End - Use Prices'!$C$6:$AL$89,MATCH($C87,'[1]End - Use Prices'!$A$6:$A$89,0)+MATCH($D87,'[1]End - Use Prices'!$B$9:$B$11,0)-1,MATCH(AP$1,'[1]End - Use Prices'!$C$7:$AL$7,0))</f>
        <v>9.48</v>
      </c>
      <c r="AQ87" s="41">
        <f>INDEX('[1]End - Use Prices'!$C$6:$AL$89,MATCH($C87,'[1]End - Use Prices'!$A$6:$A$89,0)+MATCH($D87,'[1]End - Use Prices'!$B$9:$B$11,0)-1,MATCH(AQ$1,'[1]End - Use Prices'!$C$7:$AL$7,0))</f>
        <v>9.48</v>
      </c>
      <c r="AR87" s="41">
        <f>INDEX('[1]End - Use Prices'!$C$6:$AL$89,MATCH($C87,'[1]End - Use Prices'!$A$6:$A$89,0)+MATCH($D87,'[1]End - Use Prices'!$B$9:$B$11,0)-1,MATCH(AR$1,'[1]End - Use Prices'!$C$7:$AL$7,0))</f>
        <v>9.5</v>
      </c>
      <c r="AS87" s="41">
        <f>INDEX('[1]End - Use Prices'!$C$6:$AL$89,MATCH($C87,'[1]End - Use Prices'!$A$6:$A$89,0)+MATCH($D87,'[1]End - Use Prices'!$B$9:$B$11,0)-1,MATCH(AS$1,'[1]End - Use Prices'!$C$7:$AL$7,0))</f>
        <v>9.58</v>
      </c>
      <c r="AT87" s="41">
        <f>INDEX('[1]End - Use Prices'!$C$6:$AL$89,MATCH($C87,'[1]End - Use Prices'!$A$6:$A$89,0)+MATCH($D87,'[1]End - Use Prices'!$B$9:$B$11,0)-1,MATCH(AT$1,'[1]End - Use Prices'!$C$7:$AL$7,0))</f>
        <v>9.66</v>
      </c>
      <c r="AU87" s="41">
        <f>INDEX('[1]End - Use Prices'!$C$6:$AL$89,MATCH($C87,'[1]End - Use Prices'!$A$6:$A$89,0)+MATCH($D87,'[1]End - Use Prices'!$B$9:$B$11,0)-1,MATCH(AU$1,'[1]End - Use Prices'!$C$7:$AL$7,0))</f>
        <v>9.75</v>
      </c>
      <c r="AV87" s="41">
        <f>INDEX('[1]End - Use Prices'!$C$6:$AL$89,MATCH($C87,'[1]End - Use Prices'!$A$6:$A$89,0)+MATCH($D87,'[1]End - Use Prices'!$B$9:$B$11,0)-1,MATCH(AV$1,'[1]End - Use Prices'!$C$7:$AL$7,0))</f>
        <v>9.85</v>
      </c>
      <c r="AW87" s="41">
        <f>INDEX('[1]End - Use Prices'!$C$6:$AL$89,MATCH($C87,'[1]End - Use Prices'!$A$6:$A$89,0)+MATCH($D87,'[1]End - Use Prices'!$B$9:$B$11,0)-1,MATCH(AW$1,'[1]End - Use Prices'!$C$7:$AL$7,0))</f>
        <v>9.94</v>
      </c>
      <c r="AX87" s="41">
        <f>INDEX('[1]End - Use Prices'!$C$6:$AL$89,MATCH($C87,'[1]End - Use Prices'!$A$6:$A$89,0)+MATCH($D87,'[1]End - Use Prices'!$B$9:$B$11,0)-1,MATCH(AX$1,'[1]End - Use Prices'!$C$7:$AL$7,0))</f>
        <v>10.039999999999999</v>
      </c>
      <c r="AY87" s="41">
        <f>INDEX('[1]End - Use Prices'!$C$6:$AL$89,MATCH($C87,'[1]End - Use Prices'!$A$6:$A$89,0)+MATCH($D87,'[1]End - Use Prices'!$B$9:$B$11,0)-1,MATCH(AY$1,'[1]End - Use Prices'!$C$7:$AL$7,0))</f>
        <v>10.16</v>
      </c>
      <c r="AZ87" s="41">
        <f>INDEX('[1]End - Use Prices'!$C$6:$AL$89,MATCH($C87,'[1]End - Use Prices'!$A$6:$A$89,0)+MATCH($D87,'[1]End - Use Prices'!$B$9:$B$11,0)-1,MATCH(AZ$1,'[1]End - Use Prices'!$C$7:$AL$7,0))</f>
        <v>10.28</v>
      </c>
      <c r="BA87" s="41">
        <f>INDEX('[1]End - Use Prices'!$C$6:$AL$89,MATCH($C87,'[1]End - Use Prices'!$A$6:$A$89,0)+MATCH($D87,'[1]End - Use Prices'!$B$9:$B$11,0)-1,MATCH(BA$1,'[1]End - Use Prices'!$C$7:$AL$7,0))</f>
        <v>10.34</v>
      </c>
      <c r="BB87" s="41">
        <f>INDEX('[1]End - Use Prices'!$C$6:$AL$89,MATCH($C87,'[1]End - Use Prices'!$A$6:$A$89,0)+MATCH($D87,'[1]End - Use Prices'!$B$9:$B$11,0)-1,MATCH(BB$1,'[1]End - Use Prices'!$C$7:$AL$7,0))</f>
        <v>10.41</v>
      </c>
      <c r="BC87" s="41">
        <f>INDEX('[1]End - Use Prices'!$C$6:$AL$89,MATCH($C87,'[1]End - Use Prices'!$A$6:$A$89,0)+MATCH($D87,'[1]End - Use Prices'!$B$9:$B$11,0)-1,MATCH(BC$1,'[1]End - Use Prices'!$C$7:$AL$7,0))</f>
        <v>10.46</v>
      </c>
      <c r="BD87" s="41">
        <f>INDEX('[1]End - Use Prices'!$C$6:$AL$89,MATCH($C87,'[1]End - Use Prices'!$A$6:$A$89,0)+MATCH($D87,'[1]End - Use Prices'!$B$9:$B$11,0)-1,MATCH(BD$1,'[1]End - Use Prices'!$C$7:$AL$7,0))</f>
        <v>10.5</v>
      </c>
      <c r="BE87" s="41">
        <f>INDEX('[1]End - Use Prices'!$C$6:$AL$89,MATCH($C87,'[1]End - Use Prices'!$A$6:$A$89,0)+MATCH($D87,'[1]End - Use Prices'!$B$9:$B$11,0)-1,MATCH(BE$1,'[1]End - Use Prices'!$C$7:$AL$7,0))</f>
        <v>10.54</v>
      </c>
      <c r="BF87" s="41">
        <f>INDEX('[1]End - Use Prices'!$C$6:$AL$89,MATCH($C87,'[1]End - Use Prices'!$A$6:$A$89,0)+MATCH($D87,'[1]End - Use Prices'!$B$9:$B$11,0)-1,MATCH(BF$1,'[1]End - Use Prices'!$C$7:$AL$7,0))</f>
        <v>10.57</v>
      </c>
      <c r="BG87" s="41">
        <f>INDEX('[1]End - Use Prices'!$C$6:$AL$89,MATCH($C87,'[1]End - Use Prices'!$A$6:$A$89,0)+MATCH($D87,'[1]End - Use Prices'!$B$9:$B$11,0)-1,MATCH(BG$1,'[1]End - Use Prices'!$C$7:$AL$7,0))</f>
        <v>10.59</v>
      </c>
      <c r="BR87" s="39"/>
      <c r="BS87" s="39"/>
      <c r="BT87" s="39"/>
      <c r="BU87" s="39"/>
      <c r="BV87" s="39"/>
      <c r="BW87" s="39"/>
      <c r="BX87" s="39"/>
      <c r="BY87" s="39"/>
      <c r="BZ87" s="39"/>
      <c r="CA87" s="39"/>
    </row>
    <row r="88" spans="1:79" x14ac:dyDescent="0.25">
      <c r="A88" s="5"/>
      <c r="B88" s="3"/>
      <c r="C88" s="25" t="s">
        <v>95</v>
      </c>
      <c r="D88" s="25" t="s">
        <v>14</v>
      </c>
      <c r="E88" s="25" t="s">
        <v>282</v>
      </c>
      <c r="F88" s="67" t="s">
        <v>279</v>
      </c>
      <c r="G88" s="53">
        <f t="shared" si="11"/>
        <v>32.04</v>
      </c>
      <c r="H88" s="34">
        <f t="shared" si="14"/>
        <v>32.04</v>
      </c>
      <c r="I88" s="34">
        <f t="shared" si="14"/>
        <v>30.65</v>
      </c>
      <c r="J88" s="34">
        <f t="shared" si="14"/>
        <v>39.43</v>
      </c>
      <c r="K88" s="34">
        <f t="shared" si="14"/>
        <v>41.09</v>
      </c>
      <c r="L88" s="34">
        <f t="shared" si="14"/>
        <v>42.93</v>
      </c>
      <c r="M88" s="34">
        <f t="shared" si="14"/>
        <v>43.05</v>
      </c>
      <c r="N88" s="34">
        <f t="shared" si="14"/>
        <v>43.31</v>
      </c>
      <c r="O88" s="34">
        <f t="shared" si="14"/>
        <v>43.29</v>
      </c>
      <c r="P88" s="53">
        <f t="shared" si="15"/>
        <v>43.29</v>
      </c>
      <c r="Q88" s="53">
        <f t="shared" si="15"/>
        <v>43.29</v>
      </c>
      <c r="R88" s="38"/>
      <c r="X88" s="41">
        <f>INDEX('[1]End - Use Prices'!$C$6:$AL$89,MATCH($C88,'[1]End - Use Prices'!$A$6:$A$89,0)+MATCH($D88,'[1]End - Use Prices'!$B$9:$B$11,0)-1,MATCH(X$1,'[1]End - Use Prices'!$C$7:$AL$7,0))</f>
        <v>32.04</v>
      </c>
      <c r="Y88" s="41">
        <f>INDEX('[1]End - Use Prices'!$C$6:$AL$89,MATCH($C88,'[1]End - Use Prices'!$A$6:$A$89,0)+MATCH($D88,'[1]End - Use Prices'!$B$9:$B$11,0)-1,MATCH(Y$1,'[1]End - Use Prices'!$C$7:$AL$7,0))</f>
        <v>31.25</v>
      </c>
      <c r="Z88" s="41">
        <f>INDEX('[1]End - Use Prices'!$C$6:$AL$89,MATCH($C88,'[1]End - Use Prices'!$A$6:$A$89,0)+MATCH($D88,'[1]End - Use Prices'!$B$9:$B$11,0)-1,MATCH(Z$1,'[1]End - Use Prices'!$C$7:$AL$7,0))</f>
        <v>32.020000000000003</v>
      </c>
      <c r="AA88" s="41">
        <f>INDEX('[1]End - Use Prices'!$C$6:$AL$89,MATCH($C88,'[1]End - Use Prices'!$A$6:$A$89,0)+MATCH($D88,'[1]End - Use Prices'!$B$9:$B$11,0)-1,MATCH(AA$1,'[1]End - Use Prices'!$C$7:$AL$7,0))</f>
        <v>31.29</v>
      </c>
      <c r="AB88" s="41">
        <f>INDEX('[1]End - Use Prices'!$C$6:$AL$89,MATCH($C88,'[1]End - Use Prices'!$A$6:$A$89,0)+MATCH($D88,'[1]End - Use Prices'!$B$9:$B$11,0)-1,MATCH(AB$1,'[1]End - Use Prices'!$C$7:$AL$7,0))</f>
        <v>30.74</v>
      </c>
      <c r="AC88" s="41">
        <f>INDEX('[1]End - Use Prices'!$C$6:$AL$89,MATCH($C88,'[1]End - Use Prices'!$A$6:$A$89,0)+MATCH($D88,'[1]End - Use Prices'!$B$9:$B$11,0)-1,MATCH(AC$1,'[1]End - Use Prices'!$C$7:$AL$7,0))</f>
        <v>30.65</v>
      </c>
      <c r="AD88" s="41">
        <f>INDEX('[1]End - Use Prices'!$C$6:$AL$89,MATCH($C88,'[1]End - Use Prices'!$A$6:$A$89,0)+MATCH($D88,'[1]End - Use Prices'!$B$9:$B$11,0)-1,MATCH(AD$1,'[1]End - Use Prices'!$C$7:$AL$7,0))</f>
        <v>29.66</v>
      </c>
      <c r="AE88" s="41">
        <f>INDEX('[1]End - Use Prices'!$C$6:$AL$89,MATCH($C88,'[1]End - Use Prices'!$A$6:$A$89,0)+MATCH($D88,'[1]End - Use Prices'!$B$9:$B$11,0)-1,MATCH(AE$1,'[1]End - Use Prices'!$C$7:$AL$7,0))</f>
        <v>33.369999999999997</v>
      </c>
      <c r="AF88" s="41">
        <f>INDEX('[1]End - Use Prices'!$C$6:$AL$89,MATCH($C88,'[1]End - Use Prices'!$A$6:$A$89,0)+MATCH($D88,'[1]End - Use Prices'!$B$9:$B$11,0)-1,MATCH(AF$1,'[1]End - Use Prices'!$C$7:$AL$7,0))</f>
        <v>33.28</v>
      </c>
      <c r="AG88" s="41">
        <f>INDEX('[1]End - Use Prices'!$C$6:$AL$89,MATCH($C88,'[1]End - Use Prices'!$A$6:$A$89,0)+MATCH($D88,'[1]End - Use Prices'!$B$9:$B$11,0)-1,MATCH(AG$1,'[1]End - Use Prices'!$C$7:$AL$7,0))</f>
        <v>39.119999999999997</v>
      </c>
      <c r="AH88" s="41">
        <f>INDEX('[1]End - Use Prices'!$C$6:$AL$89,MATCH($C88,'[1]End - Use Prices'!$A$6:$A$89,0)+MATCH($D88,'[1]End - Use Prices'!$B$9:$B$11,0)-1,MATCH(AH$1,'[1]End - Use Prices'!$C$7:$AL$7,0))</f>
        <v>39.43</v>
      </c>
      <c r="AI88" s="41">
        <f>INDEX('[1]End - Use Prices'!$C$6:$AL$89,MATCH($C88,'[1]End - Use Prices'!$A$6:$A$89,0)+MATCH($D88,'[1]End - Use Prices'!$B$9:$B$11,0)-1,MATCH(AI$1,'[1]End - Use Prices'!$C$7:$AL$7,0))</f>
        <v>39.19</v>
      </c>
      <c r="AJ88" s="41">
        <f>INDEX('[1]End - Use Prices'!$C$6:$AL$89,MATCH($C88,'[1]End - Use Prices'!$A$6:$A$89,0)+MATCH($D88,'[1]End - Use Prices'!$B$9:$B$11,0)-1,MATCH(AJ$1,'[1]End - Use Prices'!$C$7:$AL$7,0))</f>
        <v>39.659999999999997</v>
      </c>
      <c r="AK88" s="41">
        <f>INDEX('[1]End - Use Prices'!$C$6:$AL$89,MATCH($C88,'[1]End - Use Prices'!$A$6:$A$89,0)+MATCH($D88,'[1]End - Use Prices'!$B$9:$B$11,0)-1,MATCH(AK$1,'[1]End - Use Prices'!$C$7:$AL$7,0))</f>
        <v>39.57</v>
      </c>
      <c r="AL88" s="41">
        <f>INDEX('[1]End - Use Prices'!$C$6:$AL$89,MATCH($C88,'[1]End - Use Prices'!$A$6:$A$89,0)+MATCH($D88,'[1]End - Use Prices'!$B$9:$B$11,0)-1,MATCH(AL$1,'[1]End - Use Prices'!$C$7:$AL$7,0))</f>
        <v>39.549999999999997</v>
      </c>
      <c r="AM88" s="41">
        <f>INDEX('[1]End - Use Prices'!$C$6:$AL$89,MATCH($C88,'[1]End - Use Prices'!$A$6:$A$89,0)+MATCH($D88,'[1]End - Use Prices'!$B$9:$B$11,0)-1,MATCH(AM$1,'[1]End - Use Prices'!$C$7:$AL$7,0))</f>
        <v>41.09</v>
      </c>
      <c r="AN88" s="41">
        <f>INDEX('[1]End - Use Prices'!$C$6:$AL$89,MATCH($C88,'[1]End - Use Prices'!$A$6:$A$89,0)+MATCH($D88,'[1]End - Use Prices'!$B$9:$B$11,0)-1,MATCH(AN$1,'[1]End - Use Prices'!$C$7:$AL$7,0))</f>
        <v>41.81</v>
      </c>
      <c r="AO88" s="41">
        <f>INDEX('[1]End - Use Prices'!$C$6:$AL$89,MATCH($C88,'[1]End - Use Prices'!$A$6:$A$89,0)+MATCH($D88,'[1]End - Use Prices'!$B$9:$B$11,0)-1,MATCH(AO$1,'[1]End - Use Prices'!$C$7:$AL$7,0))</f>
        <v>42.49</v>
      </c>
      <c r="AP88" s="41">
        <f>INDEX('[1]End - Use Prices'!$C$6:$AL$89,MATCH($C88,'[1]End - Use Prices'!$A$6:$A$89,0)+MATCH($D88,'[1]End - Use Prices'!$B$9:$B$11,0)-1,MATCH(AP$1,'[1]End - Use Prices'!$C$7:$AL$7,0))</f>
        <v>43.1</v>
      </c>
      <c r="AQ88" s="41">
        <f>INDEX('[1]End - Use Prices'!$C$6:$AL$89,MATCH($C88,'[1]End - Use Prices'!$A$6:$A$89,0)+MATCH($D88,'[1]End - Use Prices'!$B$9:$B$11,0)-1,MATCH(AQ$1,'[1]End - Use Prices'!$C$7:$AL$7,0))</f>
        <v>43</v>
      </c>
      <c r="AR88" s="41">
        <f>INDEX('[1]End - Use Prices'!$C$6:$AL$89,MATCH($C88,'[1]End - Use Prices'!$A$6:$A$89,0)+MATCH($D88,'[1]End - Use Prices'!$B$9:$B$11,0)-1,MATCH(AR$1,'[1]End - Use Prices'!$C$7:$AL$7,0))</f>
        <v>42.93</v>
      </c>
      <c r="AS88" s="41">
        <f>INDEX('[1]End - Use Prices'!$C$6:$AL$89,MATCH($C88,'[1]End - Use Prices'!$A$6:$A$89,0)+MATCH($D88,'[1]End - Use Prices'!$B$9:$B$11,0)-1,MATCH(AS$1,'[1]End - Use Prices'!$C$7:$AL$7,0))</f>
        <v>42.95</v>
      </c>
      <c r="AT88" s="41">
        <f>INDEX('[1]End - Use Prices'!$C$6:$AL$89,MATCH($C88,'[1]End - Use Prices'!$A$6:$A$89,0)+MATCH($D88,'[1]End - Use Prices'!$B$9:$B$11,0)-1,MATCH(AT$1,'[1]End - Use Prices'!$C$7:$AL$7,0))</f>
        <v>42.95</v>
      </c>
      <c r="AU88" s="41">
        <f>INDEX('[1]End - Use Prices'!$C$6:$AL$89,MATCH($C88,'[1]End - Use Prices'!$A$6:$A$89,0)+MATCH($D88,'[1]End - Use Prices'!$B$9:$B$11,0)-1,MATCH(AU$1,'[1]End - Use Prices'!$C$7:$AL$7,0))</f>
        <v>42.97</v>
      </c>
      <c r="AV88" s="41">
        <f>INDEX('[1]End - Use Prices'!$C$6:$AL$89,MATCH($C88,'[1]End - Use Prices'!$A$6:$A$89,0)+MATCH($D88,'[1]End - Use Prices'!$B$9:$B$11,0)-1,MATCH(AV$1,'[1]End - Use Prices'!$C$7:$AL$7,0))</f>
        <v>43.01</v>
      </c>
      <c r="AW88" s="41">
        <f>INDEX('[1]End - Use Prices'!$C$6:$AL$89,MATCH($C88,'[1]End - Use Prices'!$A$6:$A$89,0)+MATCH($D88,'[1]End - Use Prices'!$B$9:$B$11,0)-1,MATCH(AW$1,'[1]End - Use Prices'!$C$7:$AL$7,0))</f>
        <v>43.05</v>
      </c>
      <c r="AX88" s="41">
        <f>INDEX('[1]End - Use Prices'!$C$6:$AL$89,MATCH($C88,'[1]End - Use Prices'!$A$6:$A$89,0)+MATCH($D88,'[1]End - Use Prices'!$B$9:$B$11,0)-1,MATCH(AX$1,'[1]End - Use Prices'!$C$7:$AL$7,0))</f>
        <v>43.1</v>
      </c>
      <c r="AY88" s="41">
        <f>INDEX('[1]End - Use Prices'!$C$6:$AL$89,MATCH($C88,'[1]End - Use Prices'!$A$6:$A$89,0)+MATCH($D88,'[1]End - Use Prices'!$B$9:$B$11,0)-1,MATCH(AY$1,'[1]End - Use Prices'!$C$7:$AL$7,0))</f>
        <v>43.17</v>
      </c>
      <c r="AZ88" s="41">
        <f>INDEX('[1]End - Use Prices'!$C$6:$AL$89,MATCH($C88,'[1]End - Use Prices'!$A$6:$A$89,0)+MATCH($D88,'[1]End - Use Prices'!$B$9:$B$11,0)-1,MATCH(AZ$1,'[1]End - Use Prices'!$C$7:$AL$7,0))</f>
        <v>43.25</v>
      </c>
      <c r="BA88" s="41">
        <f>INDEX('[1]End - Use Prices'!$C$6:$AL$89,MATCH($C88,'[1]End - Use Prices'!$A$6:$A$89,0)+MATCH($D88,'[1]End - Use Prices'!$B$9:$B$11,0)-1,MATCH(BA$1,'[1]End - Use Prices'!$C$7:$AL$7,0))</f>
        <v>43.28</v>
      </c>
      <c r="BB88" s="41">
        <f>INDEX('[1]End - Use Prices'!$C$6:$AL$89,MATCH($C88,'[1]End - Use Prices'!$A$6:$A$89,0)+MATCH($D88,'[1]End - Use Prices'!$B$9:$B$11,0)-1,MATCH(BB$1,'[1]End - Use Prices'!$C$7:$AL$7,0))</f>
        <v>43.31</v>
      </c>
      <c r="BC88" s="41">
        <f>INDEX('[1]End - Use Prices'!$C$6:$AL$89,MATCH($C88,'[1]End - Use Prices'!$A$6:$A$89,0)+MATCH($D88,'[1]End - Use Prices'!$B$9:$B$11,0)-1,MATCH(BC$1,'[1]End - Use Prices'!$C$7:$AL$7,0))</f>
        <v>43.33</v>
      </c>
      <c r="BD88" s="41">
        <f>INDEX('[1]End - Use Prices'!$C$6:$AL$89,MATCH($C88,'[1]End - Use Prices'!$A$6:$A$89,0)+MATCH($D88,'[1]End - Use Prices'!$B$9:$B$11,0)-1,MATCH(BD$1,'[1]End - Use Prices'!$C$7:$AL$7,0))</f>
        <v>43.33</v>
      </c>
      <c r="BE88" s="41">
        <f>INDEX('[1]End - Use Prices'!$C$6:$AL$89,MATCH($C88,'[1]End - Use Prices'!$A$6:$A$89,0)+MATCH($D88,'[1]End - Use Prices'!$B$9:$B$11,0)-1,MATCH(BE$1,'[1]End - Use Prices'!$C$7:$AL$7,0))</f>
        <v>43.31</v>
      </c>
      <c r="BF88" s="41">
        <f>INDEX('[1]End - Use Prices'!$C$6:$AL$89,MATCH($C88,'[1]End - Use Prices'!$A$6:$A$89,0)+MATCH($D88,'[1]End - Use Prices'!$B$9:$B$11,0)-1,MATCH(BF$1,'[1]End - Use Prices'!$C$7:$AL$7,0))</f>
        <v>43.3</v>
      </c>
      <c r="BG88" s="41">
        <f>INDEX('[1]End - Use Prices'!$C$6:$AL$89,MATCH($C88,'[1]End - Use Prices'!$A$6:$A$89,0)+MATCH($D88,'[1]End - Use Prices'!$B$9:$B$11,0)-1,MATCH(BG$1,'[1]End - Use Prices'!$C$7:$AL$7,0))</f>
        <v>43.29</v>
      </c>
      <c r="BR88" s="39"/>
      <c r="BS88" s="39"/>
      <c r="BT88" s="39"/>
      <c r="BU88" s="39"/>
      <c r="BV88" s="39"/>
      <c r="BW88" s="39"/>
      <c r="BX88" s="39"/>
      <c r="BY88" s="39"/>
      <c r="BZ88" s="39"/>
      <c r="CA88" s="39"/>
    </row>
    <row r="89" spans="1:79" x14ac:dyDescent="0.25">
      <c r="A89" s="5"/>
      <c r="B89" s="3"/>
      <c r="C89" s="25" t="s">
        <v>94</v>
      </c>
      <c r="D89" s="25" t="s">
        <v>14</v>
      </c>
      <c r="E89" s="25" t="s">
        <v>282</v>
      </c>
      <c r="F89" s="67" t="s">
        <v>279</v>
      </c>
      <c r="G89" s="53">
        <f t="shared" si="11"/>
        <v>15.71</v>
      </c>
      <c r="H89" s="34">
        <f t="shared" si="14"/>
        <v>15.71</v>
      </c>
      <c r="I89" s="34">
        <f t="shared" si="14"/>
        <v>14.92</v>
      </c>
      <c r="J89" s="34">
        <f t="shared" si="14"/>
        <v>12.25</v>
      </c>
      <c r="K89" s="34">
        <f t="shared" si="14"/>
        <v>9.07</v>
      </c>
      <c r="L89" s="34">
        <f t="shared" si="14"/>
        <v>9.5</v>
      </c>
      <c r="M89" s="34">
        <f t="shared" si="14"/>
        <v>9.94</v>
      </c>
      <c r="N89" s="34">
        <f t="shared" si="14"/>
        <v>10.41</v>
      </c>
      <c r="O89" s="34">
        <f t="shared" si="14"/>
        <v>10.59</v>
      </c>
      <c r="P89" s="53">
        <f t="shared" si="15"/>
        <v>10.59</v>
      </c>
      <c r="Q89" s="53">
        <f t="shared" si="15"/>
        <v>10.59</v>
      </c>
      <c r="R89" s="38"/>
      <c r="X89" s="41">
        <f>INDEX('[1]End - Use Prices'!$C$6:$AL$89,MATCH($C89,'[1]End - Use Prices'!$A$6:$A$89,0)+MATCH($D89,'[1]End - Use Prices'!$B$9:$B$11,0)-1,MATCH(X$1,'[1]End - Use Prices'!$C$7:$AL$7,0))</f>
        <v>15.71</v>
      </c>
      <c r="Y89" s="41">
        <f>INDEX('[1]End - Use Prices'!$C$6:$AL$89,MATCH($C89,'[1]End - Use Prices'!$A$6:$A$89,0)+MATCH($D89,'[1]End - Use Prices'!$B$9:$B$11,0)-1,MATCH(Y$1,'[1]End - Use Prices'!$C$7:$AL$7,0))</f>
        <v>16.100000000000001</v>
      </c>
      <c r="Z89" s="41">
        <f>INDEX('[1]End - Use Prices'!$C$6:$AL$89,MATCH($C89,'[1]End - Use Prices'!$A$6:$A$89,0)+MATCH($D89,'[1]End - Use Prices'!$B$9:$B$11,0)-1,MATCH(Z$1,'[1]End - Use Prices'!$C$7:$AL$7,0))</f>
        <v>15.74</v>
      </c>
      <c r="AA89" s="41">
        <f>INDEX('[1]End - Use Prices'!$C$6:$AL$89,MATCH($C89,'[1]End - Use Prices'!$A$6:$A$89,0)+MATCH($D89,'[1]End - Use Prices'!$B$9:$B$11,0)-1,MATCH(AA$1,'[1]End - Use Prices'!$C$7:$AL$7,0))</f>
        <v>15.46</v>
      </c>
      <c r="AB89" s="41">
        <f>INDEX('[1]End - Use Prices'!$C$6:$AL$89,MATCH($C89,'[1]End - Use Prices'!$A$6:$A$89,0)+MATCH($D89,'[1]End - Use Prices'!$B$9:$B$11,0)-1,MATCH(AB$1,'[1]End - Use Prices'!$C$7:$AL$7,0))</f>
        <v>15.41</v>
      </c>
      <c r="AC89" s="41">
        <f>INDEX('[1]End - Use Prices'!$C$6:$AL$89,MATCH($C89,'[1]End - Use Prices'!$A$6:$A$89,0)+MATCH($D89,'[1]End - Use Prices'!$B$9:$B$11,0)-1,MATCH(AC$1,'[1]End - Use Prices'!$C$7:$AL$7,0))</f>
        <v>14.92</v>
      </c>
      <c r="AD89" s="41">
        <f>INDEX('[1]End - Use Prices'!$C$6:$AL$89,MATCH($C89,'[1]End - Use Prices'!$A$6:$A$89,0)+MATCH($D89,'[1]End - Use Prices'!$B$9:$B$11,0)-1,MATCH(AD$1,'[1]End - Use Prices'!$C$7:$AL$7,0))</f>
        <v>13.77</v>
      </c>
      <c r="AE89" s="41">
        <f>INDEX('[1]End - Use Prices'!$C$6:$AL$89,MATCH($C89,'[1]End - Use Prices'!$A$6:$A$89,0)+MATCH($D89,'[1]End - Use Prices'!$B$9:$B$11,0)-1,MATCH(AE$1,'[1]End - Use Prices'!$C$7:$AL$7,0))</f>
        <v>12.54</v>
      </c>
      <c r="AF89" s="41">
        <f>INDEX('[1]End - Use Prices'!$C$6:$AL$89,MATCH($C89,'[1]End - Use Prices'!$A$6:$A$89,0)+MATCH($D89,'[1]End - Use Prices'!$B$9:$B$11,0)-1,MATCH(AF$1,'[1]End - Use Prices'!$C$7:$AL$7,0))</f>
        <v>12.18</v>
      </c>
      <c r="AG89" s="41">
        <f>INDEX('[1]End - Use Prices'!$C$6:$AL$89,MATCH($C89,'[1]End - Use Prices'!$A$6:$A$89,0)+MATCH($D89,'[1]End - Use Prices'!$B$9:$B$11,0)-1,MATCH(AG$1,'[1]End - Use Prices'!$C$7:$AL$7,0))</f>
        <v>13.28</v>
      </c>
      <c r="AH89" s="41">
        <f>INDEX('[1]End - Use Prices'!$C$6:$AL$89,MATCH($C89,'[1]End - Use Prices'!$A$6:$A$89,0)+MATCH($D89,'[1]End - Use Prices'!$B$9:$B$11,0)-1,MATCH(AH$1,'[1]End - Use Prices'!$C$7:$AL$7,0))</f>
        <v>12.25</v>
      </c>
      <c r="AI89" s="41">
        <f>INDEX('[1]End - Use Prices'!$C$6:$AL$89,MATCH($C89,'[1]End - Use Prices'!$A$6:$A$89,0)+MATCH($D89,'[1]End - Use Prices'!$B$9:$B$11,0)-1,MATCH(AI$1,'[1]End - Use Prices'!$C$7:$AL$7,0))</f>
        <v>8.43</v>
      </c>
      <c r="AJ89" s="41">
        <f>INDEX('[1]End - Use Prices'!$C$6:$AL$89,MATCH($C89,'[1]End - Use Prices'!$A$6:$A$89,0)+MATCH($D89,'[1]End - Use Prices'!$B$9:$B$11,0)-1,MATCH(AJ$1,'[1]End - Use Prices'!$C$7:$AL$7,0))</f>
        <v>8.91</v>
      </c>
      <c r="AK89" s="41">
        <f>INDEX('[1]End - Use Prices'!$C$6:$AL$89,MATCH($C89,'[1]End - Use Prices'!$A$6:$A$89,0)+MATCH($D89,'[1]End - Use Prices'!$B$9:$B$11,0)-1,MATCH(AK$1,'[1]End - Use Prices'!$C$7:$AL$7,0))</f>
        <v>8.81</v>
      </c>
      <c r="AL89" s="41">
        <f>INDEX('[1]End - Use Prices'!$C$6:$AL$89,MATCH($C89,'[1]End - Use Prices'!$A$6:$A$89,0)+MATCH($D89,'[1]End - Use Prices'!$B$9:$B$11,0)-1,MATCH(AL$1,'[1]End - Use Prices'!$C$7:$AL$7,0))</f>
        <v>8.7899999999999991</v>
      </c>
      <c r="AM89" s="41">
        <f>INDEX('[1]End - Use Prices'!$C$6:$AL$89,MATCH($C89,'[1]End - Use Prices'!$A$6:$A$89,0)+MATCH($D89,'[1]End - Use Prices'!$B$9:$B$11,0)-1,MATCH(AM$1,'[1]End - Use Prices'!$C$7:$AL$7,0))</f>
        <v>9.07</v>
      </c>
      <c r="AN89" s="41">
        <f>INDEX('[1]End - Use Prices'!$C$6:$AL$89,MATCH($C89,'[1]End - Use Prices'!$A$6:$A$89,0)+MATCH($D89,'[1]End - Use Prices'!$B$9:$B$11,0)-1,MATCH(AN$1,'[1]End - Use Prices'!$C$7:$AL$7,0))</f>
        <v>9.2200000000000006</v>
      </c>
      <c r="AO89" s="41">
        <f>INDEX('[1]End - Use Prices'!$C$6:$AL$89,MATCH($C89,'[1]End - Use Prices'!$A$6:$A$89,0)+MATCH($D89,'[1]End - Use Prices'!$B$9:$B$11,0)-1,MATCH(AO$1,'[1]End - Use Prices'!$C$7:$AL$7,0))</f>
        <v>9.36</v>
      </c>
      <c r="AP89" s="41">
        <f>INDEX('[1]End - Use Prices'!$C$6:$AL$89,MATCH($C89,'[1]End - Use Prices'!$A$6:$A$89,0)+MATCH($D89,'[1]End - Use Prices'!$B$9:$B$11,0)-1,MATCH(AP$1,'[1]End - Use Prices'!$C$7:$AL$7,0))</f>
        <v>9.48</v>
      </c>
      <c r="AQ89" s="41">
        <f>INDEX('[1]End - Use Prices'!$C$6:$AL$89,MATCH($C89,'[1]End - Use Prices'!$A$6:$A$89,0)+MATCH($D89,'[1]End - Use Prices'!$B$9:$B$11,0)-1,MATCH(AQ$1,'[1]End - Use Prices'!$C$7:$AL$7,0))</f>
        <v>9.48</v>
      </c>
      <c r="AR89" s="41">
        <f>INDEX('[1]End - Use Prices'!$C$6:$AL$89,MATCH($C89,'[1]End - Use Prices'!$A$6:$A$89,0)+MATCH($D89,'[1]End - Use Prices'!$B$9:$B$11,0)-1,MATCH(AR$1,'[1]End - Use Prices'!$C$7:$AL$7,0))</f>
        <v>9.5</v>
      </c>
      <c r="AS89" s="41">
        <f>INDEX('[1]End - Use Prices'!$C$6:$AL$89,MATCH($C89,'[1]End - Use Prices'!$A$6:$A$89,0)+MATCH($D89,'[1]End - Use Prices'!$B$9:$B$11,0)-1,MATCH(AS$1,'[1]End - Use Prices'!$C$7:$AL$7,0))</f>
        <v>9.58</v>
      </c>
      <c r="AT89" s="41">
        <f>INDEX('[1]End - Use Prices'!$C$6:$AL$89,MATCH($C89,'[1]End - Use Prices'!$A$6:$A$89,0)+MATCH($D89,'[1]End - Use Prices'!$B$9:$B$11,0)-1,MATCH(AT$1,'[1]End - Use Prices'!$C$7:$AL$7,0))</f>
        <v>9.66</v>
      </c>
      <c r="AU89" s="41">
        <f>INDEX('[1]End - Use Prices'!$C$6:$AL$89,MATCH($C89,'[1]End - Use Prices'!$A$6:$A$89,0)+MATCH($D89,'[1]End - Use Prices'!$B$9:$B$11,0)-1,MATCH(AU$1,'[1]End - Use Prices'!$C$7:$AL$7,0))</f>
        <v>9.75</v>
      </c>
      <c r="AV89" s="41">
        <f>INDEX('[1]End - Use Prices'!$C$6:$AL$89,MATCH($C89,'[1]End - Use Prices'!$A$6:$A$89,0)+MATCH($D89,'[1]End - Use Prices'!$B$9:$B$11,0)-1,MATCH(AV$1,'[1]End - Use Prices'!$C$7:$AL$7,0))</f>
        <v>9.85</v>
      </c>
      <c r="AW89" s="41">
        <f>INDEX('[1]End - Use Prices'!$C$6:$AL$89,MATCH($C89,'[1]End - Use Prices'!$A$6:$A$89,0)+MATCH($D89,'[1]End - Use Prices'!$B$9:$B$11,0)-1,MATCH(AW$1,'[1]End - Use Prices'!$C$7:$AL$7,0))</f>
        <v>9.94</v>
      </c>
      <c r="AX89" s="41">
        <f>INDEX('[1]End - Use Prices'!$C$6:$AL$89,MATCH($C89,'[1]End - Use Prices'!$A$6:$A$89,0)+MATCH($D89,'[1]End - Use Prices'!$B$9:$B$11,0)-1,MATCH(AX$1,'[1]End - Use Prices'!$C$7:$AL$7,0))</f>
        <v>10.039999999999999</v>
      </c>
      <c r="AY89" s="41">
        <f>INDEX('[1]End - Use Prices'!$C$6:$AL$89,MATCH($C89,'[1]End - Use Prices'!$A$6:$A$89,0)+MATCH($D89,'[1]End - Use Prices'!$B$9:$B$11,0)-1,MATCH(AY$1,'[1]End - Use Prices'!$C$7:$AL$7,0))</f>
        <v>10.16</v>
      </c>
      <c r="AZ89" s="41">
        <f>INDEX('[1]End - Use Prices'!$C$6:$AL$89,MATCH($C89,'[1]End - Use Prices'!$A$6:$A$89,0)+MATCH($D89,'[1]End - Use Prices'!$B$9:$B$11,0)-1,MATCH(AZ$1,'[1]End - Use Prices'!$C$7:$AL$7,0))</f>
        <v>10.28</v>
      </c>
      <c r="BA89" s="41">
        <f>INDEX('[1]End - Use Prices'!$C$6:$AL$89,MATCH($C89,'[1]End - Use Prices'!$A$6:$A$89,0)+MATCH($D89,'[1]End - Use Prices'!$B$9:$B$11,0)-1,MATCH(BA$1,'[1]End - Use Prices'!$C$7:$AL$7,0))</f>
        <v>10.34</v>
      </c>
      <c r="BB89" s="41">
        <f>INDEX('[1]End - Use Prices'!$C$6:$AL$89,MATCH($C89,'[1]End - Use Prices'!$A$6:$A$89,0)+MATCH($D89,'[1]End - Use Prices'!$B$9:$B$11,0)-1,MATCH(BB$1,'[1]End - Use Prices'!$C$7:$AL$7,0))</f>
        <v>10.41</v>
      </c>
      <c r="BC89" s="41">
        <f>INDEX('[1]End - Use Prices'!$C$6:$AL$89,MATCH($C89,'[1]End - Use Prices'!$A$6:$A$89,0)+MATCH($D89,'[1]End - Use Prices'!$B$9:$B$11,0)-1,MATCH(BC$1,'[1]End - Use Prices'!$C$7:$AL$7,0))</f>
        <v>10.46</v>
      </c>
      <c r="BD89" s="41">
        <f>INDEX('[1]End - Use Prices'!$C$6:$AL$89,MATCH($C89,'[1]End - Use Prices'!$A$6:$A$89,0)+MATCH($D89,'[1]End - Use Prices'!$B$9:$B$11,0)-1,MATCH(BD$1,'[1]End - Use Prices'!$C$7:$AL$7,0))</f>
        <v>10.5</v>
      </c>
      <c r="BE89" s="41">
        <f>INDEX('[1]End - Use Prices'!$C$6:$AL$89,MATCH($C89,'[1]End - Use Prices'!$A$6:$A$89,0)+MATCH($D89,'[1]End - Use Prices'!$B$9:$B$11,0)-1,MATCH(BE$1,'[1]End - Use Prices'!$C$7:$AL$7,0))</f>
        <v>10.54</v>
      </c>
      <c r="BF89" s="41">
        <f>INDEX('[1]End - Use Prices'!$C$6:$AL$89,MATCH($C89,'[1]End - Use Prices'!$A$6:$A$89,0)+MATCH($D89,'[1]End - Use Prices'!$B$9:$B$11,0)-1,MATCH(BF$1,'[1]End - Use Prices'!$C$7:$AL$7,0))</f>
        <v>10.57</v>
      </c>
      <c r="BG89" s="41">
        <f>INDEX('[1]End - Use Prices'!$C$6:$AL$89,MATCH($C89,'[1]End - Use Prices'!$A$6:$A$89,0)+MATCH($D89,'[1]End - Use Prices'!$B$9:$B$11,0)-1,MATCH(BG$1,'[1]End - Use Prices'!$C$7:$AL$7,0))</f>
        <v>10.59</v>
      </c>
      <c r="BR89" s="39"/>
      <c r="BS89" s="39"/>
      <c r="BT89" s="39"/>
      <c r="BU89" s="39"/>
      <c r="BV89" s="39"/>
      <c r="BW89" s="39"/>
      <c r="BX89" s="39"/>
      <c r="BY89" s="39"/>
      <c r="BZ89" s="39"/>
      <c r="CA89" s="39"/>
    </row>
    <row r="90" spans="1:79" x14ac:dyDescent="0.25">
      <c r="A90" s="5"/>
      <c r="B90" s="3"/>
      <c r="C90" s="25" t="s">
        <v>48</v>
      </c>
      <c r="D90" s="25" t="s">
        <v>280</v>
      </c>
      <c r="E90" s="25" t="s">
        <v>282</v>
      </c>
      <c r="F90" s="67" t="s">
        <v>279</v>
      </c>
      <c r="G90" s="53">
        <f t="shared" si="11"/>
        <v>25.71</v>
      </c>
      <c r="H90" s="34">
        <f t="shared" si="14"/>
        <v>25.71</v>
      </c>
      <c r="I90" s="34">
        <f t="shared" si="14"/>
        <v>26.91</v>
      </c>
      <c r="J90" s="34">
        <f t="shared" si="14"/>
        <v>28.23</v>
      </c>
      <c r="K90" s="34">
        <f t="shared" si="14"/>
        <v>38.950000000000003</v>
      </c>
      <c r="L90" s="34">
        <f t="shared" si="14"/>
        <v>34.25</v>
      </c>
      <c r="M90" s="34">
        <f t="shared" si="14"/>
        <v>33.67</v>
      </c>
      <c r="N90" s="34">
        <f t="shared" si="14"/>
        <v>33.49</v>
      </c>
      <c r="O90" s="34">
        <f t="shared" si="14"/>
        <v>33.18</v>
      </c>
      <c r="P90" s="53">
        <f t="shared" si="15"/>
        <v>33.18</v>
      </c>
      <c r="Q90" s="53">
        <f t="shared" si="15"/>
        <v>33.18</v>
      </c>
      <c r="R90" s="38"/>
      <c r="X90" s="41">
        <f>INDEX('[1]End - Use Prices'!$C$6:$AL$89,MATCH($C90,'[1]End - Use Prices'!$A$6:$A$89,0)+MATCH($D90,'[1]End - Use Prices'!$B$9:$B$11,0)-1,MATCH(X$1,'[1]End - Use Prices'!$C$7:$AL$7,0))</f>
        <v>25.71</v>
      </c>
      <c r="Y90" s="41">
        <f>INDEX('[1]End - Use Prices'!$C$6:$AL$89,MATCH($C90,'[1]End - Use Prices'!$A$6:$A$89,0)+MATCH($D90,'[1]End - Use Prices'!$B$9:$B$11,0)-1,MATCH(Y$1,'[1]End - Use Prices'!$C$7:$AL$7,0))</f>
        <v>26.31</v>
      </c>
      <c r="Z90" s="41">
        <f>INDEX('[1]End - Use Prices'!$C$6:$AL$89,MATCH($C90,'[1]End - Use Prices'!$A$6:$A$89,0)+MATCH($D90,'[1]End - Use Prices'!$B$9:$B$11,0)-1,MATCH(Z$1,'[1]End - Use Prices'!$C$7:$AL$7,0))</f>
        <v>26.43</v>
      </c>
      <c r="AA90" s="41">
        <f>INDEX('[1]End - Use Prices'!$C$6:$AL$89,MATCH($C90,'[1]End - Use Prices'!$A$6:$A$89,0)+MATCH($D90,'[1]End - Use Prices'!$B$9:$B$11,0)-1,MATCH(AA$1,'[1]End - Use Prices'!$C$7:$AL$7,0))</f>
        <v>33.200000000000003</v>
      </c>
      <c r="AB90" s="41">
        <f>INDEX('[1]End - Use Prices'!$C$6:$AL$89,MATCH($C90,'[1]End - Use Prices'!$A$6:$A$89,0)+MATCH($D90,'[1]End - Use Prices'!$B$9:$B$11,0)-1,MATCH(AB$1,'[1]End - Use Prices'!$C$7:$AL$7,0))</f>
        <v>23.79</v>
      </c>
      <c r="AC90" s="41">
        <f>INDEX('[1]End - Use Prices'!$C$6:$AL$89,MATCH($C90,'[1]End - Use Prices'!$A$6:$A$89,0)+MATCH($D90,'[1]End - Use Prices'!$B$9:$B$11,0)-1,MATCH(AC$1,'[1]End - Use Prices'!$C$7:$AL$7,0))</f>
        <v>26.91</v>
      </c>
      <c r="AD90" s="41">
        <f>INDEX('[1]End - Use Prices'!$C$6:$AL$89,MATCH($C90,'[1]End - Use Prices'!$A$6:$A$89,0)+MATCH($D90,'[1]End - Use Prices'!$B$9:$B$11,0)-1,MATCH(AD$1,'[1]End - Use Prices'!$C$7:$AL$7,0))</f>
        <v>32.58</v>
      </c>
      <c r="AE90" s="41">
        <f>INDEX('[1]End - Use Prices'!$C$6:$AL$89,MATCH($C90,'[1]End - Use Prices'!$A$6:$A$89,0)+MATCH($D90,'[1]End - Use Prices'!$B$9:$B$11,0)-1,MATCH(AE$1,'[1]End - Use Prices'!$C$7:$AL$7,0))</f>
        <v>33.74</v>
      </c>
      <c r="AF90" s="41">
        <f>INDEX('[1]End - Use Prices'!$C$6:$AL$89,MATCH($C90,'[1]End - Use Prices'!$A$6:$A$89,0)+MATCH($D90,'[1]End - Use Prices'!$B$9:$B$11,0)-1,MATCH(AF$1,'[1]End - Use Prices'!$C$7:$AL$7,0))</f>
        <v>33.31</v>
      </c>
      <c r="AG90" s="41">
        <f>INDEX('[1]End - Use Prices'!$C$6:$AL$89,MATCH($C90,'[1]End - Use Prices'!$A$6:$A$89,0)+MATCH($D90,'[1]End - Use Prices'!$B$9:$B$11,0)-1,MATCH(AG$1,'[1]End - Use Prices'!$C$7:$AL$7,0))</f>
        <v>34.46</v>
      </c>
      <c r="AH90" s="41">
        <f>INDEX('[1]End - Use Prices'!$C$6:$AL$89,MATCH($C90,'[1]End - Use Prices'!$A$6:$A$89,0)+MATCH($D90,'[1]End - Use Prices'!$B$9:$B$11,0)-1,MATCH(AH$1,'[1]End - Use Prices'!$C$7:$AL$7,0))</f>
        <v>28.23</v>
      </c>
      <c r="AI90" s="41">
        <f>INDEX('[1]End - Use Prices'!$C$6:$AL$89,MATCH($C90,'[1]End - Use Prices'!$A$6:$A$89,0)+MATCH($D90,'[1]End - Use Prices'!$B$9:$B$11,0)-1,MATCH(AI$1,'[1]End - Use Prices'!$C$7:$AL$7,0))</f>
        <v>24.61</v>
      </c>
      <c r="AJ90" s="41">
        <f>INDEX('[1]End - Use Prices'!$C$6:$AL$89,MATCH($C90,'[1]End - Use Prices'!$A$6:$A$89,0)+MATCH($D90,'[1]End - Use Prices'!$B$9:$B$11,0)-1,MATCH(AJ$1,'[1]End - Use Prices'!$C$7:$AL$7,0))</f>
        <v>27.26</v>
      </c>
      <c r="AK90" s="41">
        <f>INDEX('[1]End - Use Prices'!$C$6:$AL$89,MATCH($C90,'[1]End - Use Prices'!$A$6:$A$89,0)+MATCH($D90,'[1]End - Use Prices'!$B$9:$B$11,0)-1,MATCH(AK$1,'[1]End - Use Prices'!$C$7:$AL$7,0))</f>
        <v>31.59</v>
      </c>
      <c r="AL90" s="41">
        <f>INDEX('[1]End - Use Prices'!$C$6:$AL$89,MATCH($C90,'[1]End - Use Prices'!$A$6:$A$89,0)+MATCH($D90,'[1]End - Use Prices'!$B$9:$B$11,0)-1,MATCH(AL$1,'[1]End - Use Prices'!$C$7:$AL$7,0))</f>
        <v>35.08</v>
      </c>
      <c r="AM90" s="41">
        <f>INDEX('[1]End - Use Prices'!$C$6:$AL$89,MATCH($C90,'[1]End - Use Prices'!$A$6:$A$89,0)+MATCH($D90,'[1]End - Use Prices'!$B$9:$B$11,0)-1,MATCH(AM$1,'[1]End - Use Prices'!$C$7:$AL$7,0))</f>
        <v>38.950000000000003</v>
      </c>
      <c r="AN90" s="41">
        <f>INDEX('[1]End - Use Prices'!$C$6:$AL$89,MATCH($C90,'[1]End - Use Prices'!$A$6:$A$89,0)+MATCH($D90,'[1]End - Use Prices'!$B$9:$B$11,0)-1,MATCH(AN$1,'[1]End - Use Prices'!$C$7:$AL$7,0))</f>
        <v>36.01</v>
      </c>
      <c r="AO90" s="41">
        <f>INDEX('[1]End - Use Prices'!$C$6:$AL$89,MATCH($C90,'[1]End - Use Prices'!$A$6:$A$89,0)+MATCH($D90,'[1]End - Use Prices'!$B$9:$B$11,0)-1,MATCH(AO$1,'[1]End - Use Prices'!$C$7:$AL$7,0))</f>
        <v>34.17</v>
      </c>
      <c r="AP90" s="41">
        <f>INDEX('[1]End - Use Prices'!$C$6:$AL$89,MATCH($C90,'[1]End - Use Prices'!$A$6:$A$89,0)+MATCH($D90,'[1]End - Use Prices'!$B$9:$B$11,0)-1,MATCH(AP$1,'[1]End - Use Prices'!$C$7:$AL$7,0))</f>
        <v>34.06</v>
      </c>
      <c r="AQ90" s="41">
        <f>INDEX('[1]End - Use Prices'!$C$6:$AL$89,MATCH($C90,'[1]End - Use Prices'!$A$6:$A$89,0)+MATCH($D90,'[1]End - Use Prices'!$B$9:$B$11,0)-1,MATCH(AQ$1,'[1]End - Use Prices'!$C$7:$AL$7,0))</f>
        <v>34.04</v>
      </c>
      <c r="AR90" s="41">
        <f>INDEX('[1]End - Use Prices'!$C$6:$AL$89,MATCH($C90,'[1]End - Use Prices'!$A$6:$A$89,0)+MATCH($D90,'[1]End - Use Prices'!$B$9:$B$11,0)-1,MATCH(AR$1,'[1]End - Use Prices'!$C$7:$AL$7,0))</f>
        <v>34.25</v>
      </c>
      <c r="AS90" s="41">
        <f>INDEX('[1]End - Use Prices'!$C$6:$AL$89,MATCH($C90,'[1]End - Use Prices'!$A$6:$A$89,0)+MATCH($D90,'[1]End - Use Prices'!$B$9:$B$11,0)-1,MATCH(AS$1,'[1]End - Use Prices'!$C$7:$AL$7,0))</f>
        <v>34.39</v>
      </c>
      <c r="AT90" s="41">
        <f>INDEX('[1]End - Use Prices'!$C$6:$AL$89,MATCH($C90,'[1]End - Use Prices'!$A$6:$A$89,0)+MATCH($D90,'[1]End - Use Prices'!$B$9:$B$11,0)-1,MATCH(AT$1,'[1]End - Use Prices'!$C$7:$AL$7,0))</f>
        <v>34.22</v>
      </c>
      <c r="AU90" s="41">
        <f>INDEX('[1]End - Use Prices'!$C$6:$AL$89,MATCH($C90,'[1]End - Use Prices'!$A$6:$A$89,0)+MATCH($D90,'[1]End - Use Prices'!$B$9:$B$11,0)-1,MATCH(AU$1,'[1]End - Use Prices'!$C$7:$AL$7,0))</f>
        <v>34.020000000000003</v>
      </c>
      <c r="AV90" s="41">
        <f>INDEX('[1]End - Use Prices'!$C$6:$AL$89,MATCH($C90,'[1]End - Use Prices'!$A$6:$A$89,0)+MATCH($D90,'[1]End - Use Prices'!$B$9:$B$11,0)-1,MATCH(AV$1,'[1]End - Use Prices'!$C$7:$AL$7,0))</f>
        <v>33.840000000000003</v>
      </c>
      <c r="AW90" s="41">
        <f>INDEX('[1]End - Use Prices'!$C$6:$AL$89,MATCH($C90,'[1]End - Use Prices'!$A$6:$A$89,0)+MATCH($D90,'[1]End - Use Prices'!$B$9:$B$11,0)-1,MATCH(AW$1,'[1]End - Use Prices'!$C$7:$AL$7,0))</f>
        <v>33.67</v>
      </c>
      <c r="AX90" s="41">
        <f>INDEX('[1]End - Use Prices'!$C$6:$AL$89,MATCH($C90,'[1]End - Use Prices'!$A$6:$A$89,0)+MATCH($D90,'[1]End - Use Prices'!$B$9:$B$11,0)-1,MATCH(AX$1,'[1]End - Use Prices'!$C$7:$AL$7,0))</f>
        <v>33.58</v>
      </c>
      <c r="AY90" s="41">
        <f>INDEX('[1]End - Use Prices'!$C$6:$AL$89,MATCH($C90,'[1]End - Use Prices'!$A$6:$A$89,0)+MATCH($D90,'[1]End - Use Prices'!$B$9:$B$11,0)-1,MATCH(AY$1,'[1]End - Use Prices'!$C$7:$AL$7,0))</f>
        <v>33.51</v>
      </c>
      <c r="AZ90" s="41">
        <f>INDEX('[1]End - Use Prices'!$C$6:$AL$89,MATCH($C90,'[1]End - Use Prices'!$A$6:$A$89,0)+MATCH($D90,'[1]End - Use Prices'!$B$9:$B$11,0)-1,MATCH(AZ$1,'[1]End - Use Prices'!$C$7:$AL$7,0))</f>
        <v>33.49</v>
      </c>
      <c r="BA90" s="41">
        <f>INDEX('[1]End - Use Prices'!$C$6:$AL$89,MATCH($C90,'[1]End - Use Prices'!$A$6:$A$89,0)+MATCH($D90,'[1]End - Use Prices'!$B$9:$B$11,0)-1,MATCH(BA$1,'[1]End - Use Prices'!$C$7:$AL$7,0))</f>
        <v>33.5</v>
      </c>
      <c r="BB90" s="41">
        <f>INDEX('[1]End - Use Prices'!$C$6:$AL$89,MATCH($C90,'[1]End - Use Prices'!$A$6:$A$89,0)+MATCH($D90,'[1]End - Use Prices'!$B$9:$B$11,0)-1,MATCH(BB$1,'[1]End - Use Prices'!$C$7:$AL$7,0))</f>
        <v>33.49</v>
      </c>
      <c r="BC90" s="41">
        <f>INDEX('[1]End - Use Prices'!$C$6:$AL$89,MATCH($C90,'[1]End - Use Prices'!$A$6:$A$89,0)+MATCH($D90,'[1]End - Use Prices'!$B$9:$B$11,0)-1,MATCH(BC$1,'[1]End - Use Prices'!$C$7:$AL$7,0))</f>
        <v>33.46</v>
      </c>
      <c r="BD90" s="41">
        <f>INDEX('[1]End - Use Prices'!$C$6:$AL$89,MATCH($C90,'[1]End - Use Prices'!$A$6:$A$89,0)+MATCH($D90,'[1]End - Use Prices'!$B$9:$B$11,0)-1,MATCH(BD$1,'[1]End - Use Prices'!$C$7:$AL$7,0))</f>
        <v>33.42</v>
      </c>
      <c r="BE90" s="41">
        <f>INDEX('[1]End - Use Prices'!$C$6:$AL$89,MATCH($C90,'[1]End - Use Prices'!$A$6:$A$89,0)+MATCH($D90,'[1]End - Use Prices'!$B$9:$B$11,0)-1,MATCH(BE$1,'[1]End - Use Prices'!$C$7:$AL$7,0))</f>
        <v>33.340000000000003</v>
      </c>
      <c r="BF90" s="41">
        <f>INDEX('[1]End - Use Prices'!$C$6:$AL$89,MATCH($C90,'[1]End - Use Prices'!$A$6:$A$89,0)+MATCH($D90,'[1]End - Use Prices'!$B$9:$B$11,0)-1,MATCH(BF$1,'[1]End - Use Prices'!$C$7:$AL$7,0))</f>
        <v>33.270000000000003</v>
      </c>
      <c r="BG90" s="41">
        <f>INDEX('[1]End - Use Prices'!$C$6:$AL$89,MATCH($C90,'[1]End - Use Prices'!$A$6:$A$89,0)+MATCH($D90,'[1]End - Use Prices'!$B$9:$B$11,0)-1,MATCH(BG$1,'[1]End - Use Prices'!$C$7:$AL$7,0))</f>
        <v>33.18</v>
      </c>
      <c r="BR90" s="39"/>
      <c r="BS90" s="39"/>
      <c r="BT90" s="39"/>
      <c r="BU90" s="39"/>
      <c r="BV90" s="39"/>
      <c r="BW90" s="39"/>
      <c r="BX90" s="39"/>
      <c r="BY90" s="39"/>
      <c r="BZ90" s="39"/>
      <c r="CA90" s="39"/>
    </row>
    <row r="91" spans="1:79" x14ac:dyDescent="0.25">
      <c r="A91" s="5"/>
      <c r="B91" s="3"/>
      <c r="C91" s="25" t="s">
        <v>85</v>
      </c>
      <c r="D91" s="25" t="s">
        <v>280</v>
      </c>
      <c r="E91" s="25" t="s">
        <v>282</v>
      </c>
      <c r="F91" s="67" t="s">
        <v>279</v>
      </c>
      <c r="G91" s="53">
        <f t="shared" si="11"/>
        <v>25.86</v>
      </c>
      <c r="H91" s="34">
        <f t="shared" si="14"/>
        <v>25.86</v>
      </c>
      <c r="I91" s="34">
        <f t="shared" si="14"/>
        <v>26.25</v>
      </c>
      <c r="J91" s="34">
        <f t="shared" si="14"/>
        <v>22.78</v>
      </c>
      <c r="K91" s="34">
        <f t="shared" si="14"/>
        <v>35.65</v>
      </c>
      <c r="L91" s="34">
        <f t="shared" si="14"/>
        <v>31.1</v>
      </c>
      <c r="M91" s="34">
        <f t="shared" si="14"/>
        <v>30.26</v>
      </c>
      <c r="N91" s="34">
        <f t="shared" si="14"/>
        <v>30.03</v>
      </c>
      <c r="O91" s="34">
        <f t="shared" si="14"/>
        <v>29.65</v>
      </c>
      <c r="P91" s="53">
        <f t="shared" si="15"/>
        <v>29.65</v>
      </c>
      <c r="Q91" s="53">
        <f t="shared" si="15"/>
        <v>29.65</v>
      </c>
      <c r="R91" s="38"/>
      <c r="X91" s="41">
        <f>INDEX('[1]End - Use Prices'!$C$6:$AL$89,MATCH($C91,'[1]End - Use Prices'!$A$6:$A$89,0)+MATCH($D91,'[1]End - Use Prices'!$B$9:$B$11,0)-1,MATCH(X$1,'[1]End - Use Prices'!$C$7:$AL$7,0))</f>
        <v>25.86</v>
      </c>
      <c r="Y91" s="41">
        <f>INDEX('[1]End - Use Prices'!$C$6:$AL$89,MATCH($C91,'[1]End - Use Prices'!$A$6:$A$89,0)+MATCH($D91,'[1]End - Use Prices'!$B$9:$B$11,0)-1,MATCH(Y$1,'[1]End - Use Prices'!$C$7:$AL$7,0))</f>
        <v>27.18</v>
      </c>
      <c r="Z91" s="41">
        <f>INDEX('[1]End - Use Prices'!$C$6:$AL$89,MATCH($C91,'[1]End - Use Prices'!$A$6:$A$89,0)+MATCH($D91,'[1]End - Use Prices'!$B$9:$B$11,0)-1,MATCH(Z$1,'[1]End - Use Prices'!$C$7:$AL$7,0))</f>
        <v>27.19</v>
      </c>
      <c r="AA91" s="41">
        <f>INDEX('[1]End - Use Prices'!$C$6:$AL$89,MATCH($C91,'[1]End - Use Prices'!$A$6:$A$89,0)+MATCH($D91,'[1]End - Use Prices'!$B$9:$B$11,0)-1,MATCH(AA$1,'[1]End - Use Prices'!$C$7:$AL$7,0))</f>
        <v>32.65</v>
      </c>
      <c r="AB91" s="41">
        <f>INDEX('[1]End - Use Prices'!$C$6:$AL$89,MATCH($C91,'[1]End - Use Prices'!$A$6:$A$89,0)+MATCH($D91,'[1]End - Use Prices'!$B$9:$B$11,0)-1,MATCH(AB$1,'[1]End - Use Prices'!$C$7:$AL$7,0))</f>
        <v>22.7</v>
      </c>
      <c r="AC91" s="41">
        <f>INDEX('[1]End - Use Prices'!$C$6:$AL$89,MATCH($C91,'[1]End - Use Prices'!$A$6:$A$89,0)+MATCH($D91,'[1]End - Use Prices'!$B$9:$B$11,0)-1,MATCH(AC$1,'[1]End - Use Prices'!$C$7:$AL$7,0))</f>
        <v>26.25</v>
      </c>
      <c r="AD91" s="41">
        <f>INDEX('[1]End - Use Prices'!$C$6:$AL$89,MATCH($C91,'[1]End - Use Prices'!$A$6:$A$89,0)+MATCH($D91,'[1]End - Use Prices'!$B$9:$B$11,0)-1,MATCH(AD$1,'[1]End - Use Prices'!$C$7:$AL$7,0))</f>
        <v>31.74</v>
      </c>
      <c r="AE91" s="41">
        <f>INDEX('[1]End - Use Prices'!$C$6:$AL$89,MATCH($C91,'[1]End - Use Prices'!$A$6:$A$89,0)+MATCH($D91,'[1]End - Use Prices'!$B$9:$B$11,0)-1,MATCH(AE$1,'[1]End - Use Prices'!$C$7:$AL$7,0))</f>
        <v>32.58</v>
      </c>
      <c r="AF91" s="41">
        <f>INDEX('[1]End - Use Prices'!$C$6:$AL$89,MATCH($C91,'[1]End - Use Prices'!$A$6:$A$89,0)+MATCH($D91,'[1]End - Use Prices'!$B$9:$B$11,0)-1,MATCH(AF$1,'[1]End - Use Prices'!$C$7:$AL$7,0))</f>
        <v>29.61</v>
      </c>
      <c r="AG91" s="41">
        <f>INDEX('[1]End - Use Prices'!$C$6:$AL$89,MATCH($C91,'[1]End - Use Prices'!$A$6:$A$89,0)+MATCH($D91,'[1]End - Use Prices'!$B$9:$B$11,0)-1,MATCH(AG$1,'[1]End - Use Prices'!$C$7:$AL$7,0))</f>
        <v>29.41</v>
      </c>
      <c r="AH91" s="41">
        <f>INDEX('[1]End - Use Prices'!$C$6:$AL$89,MATCH($C91,'[1]End - Use Prices'!$A$6:$A$89,0)+MATCH($D91,'[1]End - Use Prices'!$B$9:$B$11,0)-1,MATCH(AH$1,'[1]End - Use Prices'!$C$7:$AL$7,0))</f>
        <v>22.78</v>
      </c>
      <c r="AI91" s="41">
        <f>INDEX('[1]End - Use Prices'!$C$6:$AL$89,MATCH($C91,'[1]End - Use Prices'!$A$6:$A$89,0)+MATCH($D91,'[1]End - Use Prices'!$B$9:$B$11,0)-1,MATCH(AI$1,'[1]End - Use Prices'!$C$7:$AL$7,0))</f>
        <v>21.05</v>
      </c>
      <c r="AJ91" s="41">
        <f>INDEX('[1]End - Use Prices'!$C$6:$AL$89,MATCH($C91,'[1]End - Use Prices'!$A$6:$A$89,0)+MATCH($D91,'[1]End - Use Prices'!$B$9:$B$11,0)-1,MATCH(AJ$1,'[1]End - Use Prices'!$C$7:$AL$7,0))</f>
        <v>24</v>
      </c>
      <c r="AK91" s="41">
        <f>INDEX('[1]End - Use Prices'!$C$6:$AL$89,MATCH($C91,'[1]End - Use Prices'!$A$6:$A$89,0)+MATCH($D91,'[1]End - Use Prices'!$B$9:$B$11,0)-1,MATCH(AK$1,'[1]End - Use Prices'!$C$7:$AL$7,0))</f>
        <v>27.31</v>
      </c>
      <c r="AL91" s="41">
        <f>INDEX('[1]End - Use Prices'!$C$6:$AL$89,MATCH($C91,'[1]End - Use Prices'!$A$6:$A$89,0)+MATCH($D91,'[1]End - Use Prices'!$B$9:$B$11,0)-1,MATCH(AL$1,'[1]End - Use Prices'!$C$7:$AL$7,0))</f>
        <v>30.69</v>
      </c>
      <c r="AM91" s="41">
        <f>INDEX('[1]End - Use Prices'!$C$6:$AL$89,MATCH($C91,'[1]End - Use Prices'!$A$6:$A$89,0)+MATCH($D91,'[1]End - Use Prices'!$B$9:$B$11,0)-1,MATCH(AM$1,'[1]End - Use Prices'!$C$7:$AL$7,0))</f>
        <v>35.65</v>
      </c>
      <c r="AN91" s="41">
        <f>INDEX('[1]End - Use Prices'!$C$6:$AL$89,MATCH($C91,'[1]End - Use Prices'!$A$6:$A$89,0)+MATCH($D91,'[1]End - Use Prices'!$B$9:$B$11,0)-1,MATCH(AN$1,'[1]End - Use Prices'!$C$7:$AL$7,0))</f>
        <v>32.92</v>
      </c>
      <c r="AO91" s="41">
        <f>INDEX('[1]End - Use Prices'!$C$6:$AL$89,MATCH($C91,'[1]End - Use Prices'!$A$6:$A$89,0)+MATCH($D91,'[1]End - Use Prices'!$B$9:$B$11,0)-1,MATCH(AO$1,'[1]End - Use Prices'!$C$7:$AL$7,0))</f>
        <v>31.27</v>
      </c>
      <c r="AP91" s="41">
        <f>INDEX('[1]End - Use Prices'!$C$6:$AL$89,MATCH($C91,'[1]End - Use Prices'!$A$6:$A$89,0)+MATCH($D91,'[1]End - Use Prices'!$B$9:$B$11,0)-1,MATCH(AP$1,'[1]End - Use Prices'!$C$7:$AL$7,0))</f>
        <v>31.4</v>
      </c>
      <c r="AQ91" s="41">
        <f>INDEX('[1]End - Use Prices'!$C$6:$AL$89,MATCH($C91,'[1]End - Use Prices'!$A$6:$A$89,0)+MATCH($D91,'[1]End - Use Prices'!$B$9:$B$11,0)-1,MATCH(AQ$1,'[1]End - Use Prices'!$C$7:$AL$7,0))</f>
        <v>31.13</v>
      </c>
      <c r="AR91" s="41">
        <f>INDEX('[1]End - Use Prices'!$C$6:$AL$89,MATCH($C91,'[1]End - Use Prices'!$A$6:$A$89,0)+MATCH($D91,'[1]End - Use Prices'!$B$9:$B$11,0)-1,MATCH(AR$1,'[1]End - Use Prices'!$C$7:$AL$7,0))</f>
        <v>31.1</v>
      </c>
      <c r="AS91" s="41">
        <f>INDEX('[1]End - Use Prices'!$C$6:$AL$89,MATCH($C91,'[1]End - Use Prices'!$A$6:$A$89,0)+MATCH($D91,'[1]End - Use Prices'!$B$9:$B$11,0)-1,MATCH(AS$1,'[1]End - Use Prices'!$C$7:$AL$7,0))</f>
        <v>31.02</v>
      </c>
      <c r="AT91" s="41">
        <f>INDEX('[1]End - Use Prices'!$C$6:$AL$89,MATCH($C91,'[1]End - Use Prices'!$A$6:$A$89,0)+MATCH($D91,'[1]End - Use Prices'!$B$9:$B$11,0)-1,MATCH(AT$1,'[1]End - Use Prices'!$C$7:$AL$7,0))</f>
        <v>30.85</v>
      </c>
      <c r="AU91" s="41">
        <f>INDEX('[1]End - Use Prices'!$C$6:$AL$89,MATCH($C91,'[1]End - Use Prices'!$A$6:$A$89,0)+MATCH($D91,'[1]End - Use Prices'!$B$9:$B$11,0)-1,MATCH(AU$1,'[1]End - Use Prices'!$C$7:$AL$7,0))</f>
        <v>30.63</v>
      </c>
      <c r="AV91" s="41">
        <f>INDEX('[1]End - Use Prices'!$C$6:$AL$89,MATCH($C91,'[1]End - Use Prices'!$A$6:$A$89,0)+MATCH($D91,'[1]End - Use Prices'!$B$9:$B$11,0)-1,MATCH(AV$1,'[1]End - Use Prices'!$C$7:$AL$7,0))</f>
        <v>30.45</v>
      </c>
      <c r="AW91" s="41">
        <f>INDEX('[1]End - Use Prices'!$C$6:$AL$89,MATCH($C91,'[1]End - Use Prices'!$A$6:$A$89,0)+MATCH($D91,'[1]End - Use Prices'!$B$9:$B$11,0)-1,MATCH(AW$1,'[1]End - Use Prices'!$C$7:$AL$7,0))</f>
        <v>30.26</v>
      </c>
      <c r="AX91" s="41">
        <f>INDEX('[1]End - Use Prices'!$C$6:$AL$89,MATCH($C91,'[1]End - Use Prices'!$A$6:$A$89,0)+MATCH($D91,'[1]End - Use Prices'!$B$9:$B$11,0)-1,MATCH(AX$1,'[1]End - Use Prices'!$C$7:$AL$7,0))</f>
        <v>30.15</v>
      </c>
      <c r="AY91" s="41">
        <f>INDEX('[1]End - Use Prices'!$C$6:$AL$89,MATCH($C91,'[1]End - Use Prices'!$A$6:$A$89,0)+MATCH($D91,'[1]End - Use Prices'!$B$9:$B$11,0)-1,MATCH(AY$1,'[1]End - Use Prices'!$C$7:$AL$7,0))</f>
        <v>30.08</v>
      </c>
      <c r="AZ91" s="41">
        <f>INDEX('[1]End - Use Prices'!$C$6:$AL$89,MATCH($C91,'[1]End - Use Prices'!$A$6:$A$89,0)+MATCH($D91,'[1]End - Use Prices'!$B$9:$B$11,0)-1,MATCH(AZ$1,'[1]End - Use Prices'!$C$7:$AL$7,0))</f>
        <v>30.05</v>
      </c>
      <c r="BA91" s="41">
        <f>INDEX('[1]End - Use Prices'!$C$6:$AL$89,MATCH($C91,'[1]End - Use Prices'!$A$6:$A$89,0)+MATCH($D91,'[1]End - Use Prices'!$B$9:$B$11,0)-1,MATCH(BA$1,'[1]End - Use Prices'!$C$7:$AL$7,0))</f>
        <v>30.05</v>
      </c>
      <c r="BB91" s="41">
        <f>INDEX('[1]End - Use Prices'!$C$6:$AL$89,MATCH($C91,'[1]End - Use Prices'!$A$6:$A$89,0)+MATCH($D91,'[1]End - Use Prices'!$B$9:$B$11,0)-1,MATCH(BB$1,'[1]End - Use Prices'!$C$7:$AL$7,0))</f>
        <v>30.03</v>
      </c>
      <c r="BC91" s="41">
        <f>INDEX('[1]End - Use Prices'!$C$6:$AL$89,MATCH($C91,'[1]End - Use Prices'!$A$6:$A$89,0)+MATCH($D91,'[1]End - Use Prices'!$B$9:$B$11,0)-1,MATCH(BC$1,'[1]End - Use Prices'!$C$7:$AL$7,0))</f>
        <v>29.99</v>
      </c>
      <c r="BD91" s="41">
        <f>INDEX('[1]End - Use Prices'!$C$6:$AL$89,MATCH($C91,'[1]End - Use Prices'!$A$6:$A$89,0)+MATCH($D91,'[1]End - Use Prices'!$B$9:$B$11,0)-1,MATCH(BD$1,'[1]End - Use Prices'!$C$7:$AL$7,0))</f>
        <v>29.93</v>
      </c>
      <c r="BE91" s="41">
        <f>INDEX('[1]End - Use Prices'!$C$6:$AL$89,MATCH($C91,'[1]End - Use Prices'!$A$6:$A$89,0)+MATCH($D91,'[1]End - Use Prices'!$B$9:$B$11,0)-1,MATCH(BE$1,'[1]End - Use Prices'!$C$7:$AL$7,0))</f>
        <v>29.84</v>
      </c>
      <c r="BF91" s="41">
        <f>INDEX('[1]End - Use Prices'!$C$6:$AL$89,MATCH($C91,'[1]End - Use Prices'!$A$6:$A$89,0)+MATCH($D91,'[1]End - Use Prices'!$B$9:$B$11,0)-1,MATCH(BF$1,'[1]End - Use Prices'!$C$7:$AL$7,0))</f>
        <v>29.75</v>
      </c>
      <c r="BG91" s="41">
        <f>INDEX('[1]End - Use Prices'!$C$6:$AL$89,MATCH($C91,'[1]End - Use Prices'!$A$6:$A$89,0)+MATCH($D91,'[1]End - Use Prices'!$B$9:$B$11,0)-1,MATCH(BG$1,'[1]End - Use Prices'!$C$7:$AL$7,0))</f>
        <v>29.65</v>
      </c>
      <c r="BR91" s="39"/>
      <c r="BS91" s="39"/>
      <c r="BT91" s="39"/>
      <c r="BU91" s="39"/>
      <c r="BV91" s="39"/>
      <c r="BW91" s="39"/>
      <c r="BX91" s="39"/>
      <c r="BY91" s="39"/>
      <c r="BZ91" s="39"/>
      <c r="CA91" s="39"/>
    </row>
    <row r="92" spans="1:79" x14ac:dyDescent="0.25">
      <c r="A92" s="5"/>
      <c r="B92" s="3"/>
      <c r="C92" s="25" t="s">
        <v>86</v>
      </c>
      <c r="D92" s="25" t="s">
        <v>280</v>
      </c>
      <c r="E92" s="25" t="s">
        <v>282</v>
      </c>
      <c r="F92" s="67" t="s">
        <v>279</v>
      </c>
      <c r="G92" s="53">
        <f t="shared" si="11"/>
        <v>24.29</v>
      </c>
      <c r="H92" s="34">
        <f t="shared" si="14"/>
        <v>24.29</v>
      </c>
      <c r="I92" s="34">
        <f t="shared" si="14"/>
        <v>24.71</v>
      </c>
      <c r="J92" s="34">
        <f t="shared" si="14"/>
        <v>24.09</v>
      </c>
      <c r="K92" s="34">
        <f t="shared" si="14"/>
        <v>34.39</v>
      </c>
      <c r="L92" s="34">
        <f t="shared" si="14"/>
        <v>30.37</v>
      </c>
      <c r="M92" s="34">
        <f t="shared" si="14"/>
        <v>29.56</v>
      </c>
      <c r="N92" s="34">
        <f t="shared" si="14"/>
        <v>29.32</v>
      </c>
      <c r="O92" s="34">
        <f t="shared" si="14"/>
        <v>28.95</v>
      </c>
      <c r="P92" s="53">
        <f t="shared" si="15"/>
        <v>28.95</v>
      </c>
      <c r="Q92" s="53">
        <f t="shared" si="15"/>
        <v>28.95</v>
      </c>
      <c r="R92" s="38"/>
      <c r="X92" s="41">
        <f>INDEX('[1]End - Use Prices'!$C$6:$AL$89,MATCH($C92,'[1]End - Use Prices'!$A$6:$A$89,0)+MATCH($D92,'[1]End - Use Prices'!$B$9:$B$11,0)-1,MATCH(X$1,'[1]End - Use Prices'!$C$7:$AL$7,0))</f>
        <v>24.29</v>
      </c>
      <c r="Y92" s="41">
        <f>INDEX('[1]End - Use Prices'!$C$6:$AL$89,MATCH($C92,'[1]End - Use Prices'!$A$6:$A$89,0)+MATCH($D92,'[1]End - Use Prices'!$B$9:$B$11,0)-1,MATCH(Y$1,'[1]End - Use Prices'!$C$7:$AL$7,0))</f>
        <v>24.86</v>
      </c>
      <c r="Z92" s="41">
        <f>INDEX('[1]End - Use Prices'!$C$6:$AL$89,MATCH($C92,'[1]End - Use Prices'!$A$6:$A$89,0)+MATCH($D92,'[1]End - Use Prices'!$B$9:$B$11,0)-1,MATCH(Z$1,'[1]End - Use Prices'!$C$7:$AL$7,0))</f>
        <v>24.61</v>
      </c>
      <c r="AA92" s="41">
        <f>INDEX('[1]End - Use Prices'!$C$6:$AL$89,MATCH($C92,'[1]End - Use Prices'!$A$6:$A$89,0)+MATCH($D92,'[1]End - Use Prices'!$B$9:$B$11,0)-1,MATCH(AA$1,'[1]End - Use Prices'!$C$7:$AL$7,0))</f>
        <v>30.51</v>
      </c>
      <c r="AB92" s="41">
        <f>INDEX('[1]End - Use Prices'!$C$6:$AL$89,MATCH($C92,'[1]End - Use Prices'!$A$6:$A$89,0)+MATCH($D92,'[1]End - Use Prices'!$B$9:$B$11,0)-1,MATCH(AB$1,'[1]End - Use Prices'!$C$7:$AL$7,0))</f>
        <v>21.93</v>
      </c>
      <c r="AC92" s="41">
        <f>INDEX('[1]End - Use Prices'!$C$6:$AL$89,MATCH($C92,'[1]End - Use Prices'!$A$6:$A$89,0)+MATCH($D92,'[1]End - Use Prices'!$B$9:$B$11,0)-1,MATCH(AC$1,'[1]End - Use Prices'!$C$7:$AL$7,0))</f>
        <v>24.71</v>
      </c>
      <c r="AD92" s="41">
        <f>INDEX('[1]End - Use Prices'!$C$6:$AL$89,MATCH($C92,'[1]End - Use Prices'!$A$6:$A$89,0)+MATCH($D92,'[1]End - Use Prices'!$B$9:$B$11,0)-1,MATCH(AD$1,'[1]End - Use Prices'!$C$7:$AL$7,0))</f>
        <v>30.18</v>
      </c>
      <c r="AE92" s="41">
        <f>INDEX('[1]End - Use Prices'!$C$6:$AL$89,MATCH($C92,'[1]End - Use Prices'!$A$6:$A$89,0)+MATCH($D92,'[1]End - Use Prices'!$B$9:$B$11,0)-1,MATCH(AE$1,'[1]End - Use Prices'!$C$7:$AL$7,0))</f>
        <v>31.33</v>
      </c>
      <c r="AF92" s="41">
        <f>INDEX('[1]End - Use Prices'!$C$6:$AL$89,MATCH($C92,'[1]End - Use Prices'!$A$6:$A$89,0)+MATCH($D92,'[1]End - Use Prices'!$B$9:$B$11,0)-1,MATCH(AF$1,'[1]End - Use Prices'!$C$7:$AL$7,0))</f>
        <v>30.91</v>
      </c>
      <c r="AG92" s="41">
        <f>INDEX('[1]End - Use Prices'!$C$6:$AL$89,MATCH($C92,'[1]End - Use Prices'!$A$6:$A$89,0)+MATCH($D92,'[1]End - Use Prices'!$B$9:$B$11,0)-1,MATCH(AG$1,'[1]End - Use Prices'!$C$7:$AL$7,0))</f>
        <v>31</v>
      </c>
      <c r="AH92" s="41">
        <f>INDEX('[1]End - Use Prices'!$C$6:$AL$89,MATCH($C92,'[1]End - Use Prices'!$A$6:$A$89,0)+MATCH($D92,'[1]End - Use Prices'!$B$9:$B$11,0)-1,MATCH(AH$1,'[1]End - Use Prices'!$C$7:$AL$7,0))</f>
        <v>24.09</v>
      </c>
      <c r="AI92" s="41">
        <f>INDEX('[1]End - Use Prices'!$C$6:$AL$89,MATCH($C92,'[1]End - Use Prices'!$A$6:$A$89,0)+MATCH($D92,'[1]End - Use Prices'!$B$9:$B$11,0)-1,MATCH(AI$1,'[1]End - Use Prices'!$C$7:$AL$7,0))</f>
        <v>20.85</v>
      </c>
      <c r="AJ92" s="41">
        <f>INDEX('[1]End - Use Prices'!$C$6:$AL$89,MATCH($C92,'[1]End - Use Prices'!$A$6:$A$89,0)+MATCH($D92,'[1]End - Use Prices'!$B$9:$B$11,0)-1,MATCH(AJ$1,'[1]End - Use Prices'!$C$7:$AL$7,0))</f>
        <v>22.06</v>
      </c>
      <c r="AK92" s="41">
        <f>INDEX('[1]End - Use Prices'!$C$6:$AL$89,MATCH($C92,'[1]End - Use Prices'!$A$6:$A$89,0)+MATCH($D92,'[1]End - Use Prices'!$B$9:$B$11,0)-1,MATCH(AK$1,'[1]End - Use Prices'!$C$7:$AL$7,0))</f>
        <v>26.58</v>
      </c>
      <c r="AL92" s="41">
        <f>INDEX('[1]End - Use Prices'!$C$6:$AL$89,MATCH($C92,'[1]End - Use Prices'!$A$6:$A$89,0)+MATCH($D92,'[1]End - Use Prices'!$B$9:$B$11,0)-1,MATCH(AL$1,'[1]End - Use Prices'!$C$7:$AL$7,0))</f>
        <v>29.7</v>
      </c>
      <c r="AM92" s="41">
        <f>INDEX('[1]End - Use Prices'!$C$6:$AL$89,MATCH($C92,'[1]End - Use Prices'!$A$6:$A$89,0)+MATCH($D92,'[1]End - Use Prices'!$B$9:$B$11,0)-1,MATCH(AM$1,'[1]End - Use Prices'!$C$7:$AL$7,0))</f>
        <v>34.39</v>
      </c>
      <c r="AN92" s="41">
        <f>INDEX('[1]End - Use Prices'!$C$6:$AL$89,MATCH($C92,'[1]End - Use Prices'!$A$6:$A$89,0)+MATCH($D92,'[1]End - Use Prices'!$B$9:$B$11,0)-1,MATCH(AN$1,'[1]End - Use Prices'!$C$7:$AL$7,0))</f>
        <v>31.95</v>
      </c>
      <c r="AO92" s="41">
        <f>INDEX('[1]End - Use Prices'!$C$6:$AL$89,MATCH($C92,'[1]End - Use Prices'!$A$6:$A$89,0)+MATCH($D92,'[1]End - Use Prices'!$B$9:$B$11,0)-1,MATCH(AO$1,'[1]End - Use Prices'!$C$7:$AL$7,0))</f>
        <v>30.49</v>
      </c>
      <c r="AP92" s="41">
        <f>INDEX('[1]End - Use Prices'!$C$6:$AL$89,MATCH($C92,'[1]End - Use Prices'!$A$6:$A$89,0)+MATCH($D92,'[1]End - Use Prices'!$B$9:$B$11,0)-1,MATCH(AP$1,'[1]End - Use Prices'!$C$7:$AL$7,0))</f>
        <v>30.66</v>
      </c>
      <c r="AQ92" s="41">
        <f>INDEX('[1]End - Use Prices'!$C$6:$AL$89,MATCH($C92,'[1]End - Use Prices'!$A$6:$A$89,0)+MATCH($D92,'[1]End - Use Prices'!$B$9:$B$11,0)-1,MATCH(AQ$1,'[1]End - Use Prices'!$C$7:$AL$7,0))</f>
        <v>30.4</v>
      </c>
      <c r="AR92" s="41">
        <f>INDEX('[1]End - Use Prices'!$C$6:$AL$89,MATCH($C92,'[1]End - Use Prices'!$A$6:$A$89,0)+MATCH($D92,'[1]End - Use Prices'!$B$9:$B$11,0)-1,MATCH(AR$1,'[1]End - Use Prices'!$C$7:$AL$7,0))</f>
        <v>30.37</v>
      </c>
      <c r="AS92" s="41">
        <f>INDEX('[1]End - Use Prices'!$C$6:$AL$89,MATCH($C92,'[1]End - Use Prices'!$A$6:$A$89,0)+MATCH($D92,'[1]End - Use Prices'!$B$9:$B$11,0)-1,MATCH(AS$1,'[1]End - Use Prices'!$C$7:$AL$7,0))</f>
        <v>30.29</v>
      </c>
      <c r="AT92" s="41">
        <f>INDEX('[1]End - Use Prices'!$C$6:$AL$89,MATCH($C92,'[1]End - Use Prices'!$A$6:$A$89,0)+MATCH($D92,'[1]End - Use Prices'!$B$9:$B$11,0)-1,MATCH(AT$1,'[1]End - Use Prices'!$C$7:$AL$7,0))</f>
        <v>30.12</v>
      </c>
      <c r="AU92" s="41">
        <f>INDEX('[1]End - Use Prices'!$C$6:$AL$89,MATCH($C92,'[1]End - Use Prices'!$A$6:$A$89,0)+MATCH($D92,'[1]End - Use Prices'!$B$9:$B$11,0)-1,MATCH(AU$1,'[1]End - Use Prices'!$C$7:$AL$7,0))</f>
        <v>29.91</v>
      </c>
      <c r="AV92" s="41">
        <f>INDEX('[1]End - Use Prices'!$C$6:$AL$89,MATCH($C92,'[1]End - Use Prices'!$A$6:$A$89,0)+MATCH($D92,'[1]End - Use Prices'!$B$9:$B$11,0)-1,MATCH(AV$1,'[1]End - Use Prices'!$C$7:$AL$7,0))</f>
        <v>29.74</v>
      </c>
      <c r="AW92" s="41">
        <f>INDEX('[1]End - Use Prices'!$C$6:$AL$89,MATCH($C92,'[1]End - Use Prices'!$A$6:$A$89,0)+MATCH($D92,'[1]End - Use Prices'!$B$9:$B$11,0)-1,MATCH(AW$1,'[1]End - Use Prices'!$C$7:$AL$7,0))</f>
        <v>29.56</v>
      </c>
      <c r="AX92" s="41">
        <f>INDEX('[1]End - Use Prices'!$C$6:$AL$89,MATCH($C92,'[1]End - Use Prices'!$A$6:$A$89,0)+MATCH($D92,'[1]End - Use Prices'!$B$9:$B$11,0)-1,MATCH(AX$1,'[1]End - Use Prices'!$C$7:$AL$7,0))</f>
        <v>29.46</v>
      </c>
      <c r="AY92" s="41">
        <f>INDEX('[1]End - Use Prices'!$C$6:$AL$89,MATCH($C92,'[1]End - Use Prices'!$A$6:$A$89,0)+MATCH($D92,'[1]End - Use Prices'!$B$9:$B$11,0)-1,MATCH(AY$1,'[1]End - Use Prices'!$C$7:$AL$7,0))</f>
        <v>29.39</v>
      </c>
      <c r="AZ92" s="41">
        <f>INDEX('[1]End - Use Prices'!$C$6:$AL$89,MATCH($C92,'[1]End - Use Prices'!$A$6:$A$89,0)+MATCH($D92,'[1]End - Use Prices'!$B$9:$B$11,0)-1,MATCH(AZ$1,'[1]End - Use Prices'!$C$7:$AL$7,0))</f>
        <v>29.35</v>
      </c>
      <c r="BA92" s="41">
        <f>INDEX('[1]End - Use Prices'!$C$6:$AL$89,MATCH($C92,'[1]End - Use Prices'!$A$6:$A$89,0)+MATCH($D92,'[1]End - Use Prices'!$B$9:$B$11,0)-1,MATCH(BA$1,'[1]End - Use Prices'!$C$7:$AL$7,0))</f>
        <v>29.35</v>
      </c>
      <c r="BB92" s="41">
        <f>INDEX('[1]End - Use Prices'!$C$6:$AL$89,MATCH($C92,'[1]End - Use Prices'!$A$6:$A$89,0)+MATCH($D92,'[1]End - Use Prices'!$B$9:$B$11,0)-1,MATCH(BB$1,'[1]End - Use Prices'!$C$7:$AL$7,0))</f>
        <v>29.32</v>
      </c>
      <c r="BC92" s="41">
        <f>INDEX('[1]End - Use Prices'!$C$6:$AL$89,MATCH($C92,'[1]End - Use Prices'!$A$6:$A$89,0)+MATCH($D92,'[1]End - Use Prices'!$B$9:$B$11,0)-1,MATCH(BC$1,'[1]End - Use Prices'!$C$7:$AL$7,0))</f>
        <v>29.28</v>
      </c>
      <c r="BD92" s="41">
        <f>INDEX('[1]End - Use Prices'!$C$6:$AL$89,MATCH($C92,'[1]End - Use Prices'!$A$6:$A$89,0)+MATCH($D92,'[1]End - Use Prices'!$B$9:$B$11,0)-1,MATCH(BD$1,'[1]End - Use Prices'!$C$7:$AL$7,0))</f>
        <v>29.23</v>
      </c>
      <c r="BE92" s="41">
        <f>INDEX('[1]End - Use Prices'!$C$6:$AL$89,MATCH($C92,'[1]End - Use Prices'!$A$6:$A$89,0)+MATCH($D92,'[1]End - Use Prices'!$B$9:$B$11,0)-1,MATCH(BE$1,'[1]End - Use Prices'!$C$7:$AL$7,0))</f>
        <v>29.14</v>
      </c>
      <c r="BF92" s="41">
        <f>INDEX('[1]End - Use Prices'!$C$6:$AL$89,MATCH($C92,'[1]End - Use Prices'!$A$6:$A$89,0)+MATCH($D92,'[1]End - Use Prices'!$B$9:$B$11,0)-1,MATCH(BF$1,'[1]End - Use Prices'!$C$7:$AL$7,0))</f>
        <v>29.05</v>
      </c>
      <c r="BG92" s="41">
        <f>INDEX('[1]End - Use Prices'!$C$6:$AL$89,MATCH($C92,'[1]End - Use Prices'!$A$6:$A$89,0)+MATCH($D92,'[1]End - Use Prices'!$B$9:$B$11,0)-1,MATCH(BG$1,'[1]End - Use Prices'!$C$7:$AL$7,0))</f>
        <v>28.95</v>
      </c>
      <c r="BR92" s="39"/>
      <c r="BS92" s="39"/>
      <c r="BT92" s="39"/>
      <c r="BU92" s="39"/>
      <c r="BV92" s="39"/>
      <c r="BW92" s="39"/>
      <c r="BX92" s="39"/>
      <c r="BY92" s="39"/>
      <c r="BZ92" s="39"/>
      <c r="CA92" s="39"/>
    </row>
    <row r="93" spans="1:79" x14ac:dyDescent="0.25">
      <c r="A93" s="5"/>
      <c r="B93" s="3"/>
      <c r="C93" s="25" t="s">
        <v>87</v>
      </c>
      <c r="D93" s="25" t="s">
        <v>280</v>
      </c>
      <c r="E93" s="25" t="s">
        <v>282</v>
      </c>
      <c r="F93" s="67" t="s">
        <v>279</v>
      </c>
      <c r="G93" s="53">
        <f t="shared" si="11"/>
        <v>27.52</v>
      </c>
      <c r="H93" s="34">
        <f t="shared" si="14"/>
        <v>27.52</v>
      </c>
      <c r="I93" s="34">
        <f t="shared" si="14"/>
        <v>25.32</v>
      </c>
      <c r="J93" s="34">
        <f t="shared" si="14"/>
        <v>27.46</v>
      </c>
      <c r="K93" s="34">
        <f t="shared" si="14"/>
        <v>37.450000000000003</v>
      </c>
      <c r="L93" s="34">
        <f t="shared" si="14"/>
        <v>33.42</v>
      </c>
      <c r="M93" s="34">
        <f t="shared" si="14"/>
        <v>32.61</v>
      </c>
      <c r="N93" s="34">
        <f t="shared" si="14"/>
        <v>32.369999999999997</v>
      </c>
      <c r="O93" s="34">
        <f t="shared" si="14"/>
        <v>32</v>
      </c>
      <c r="P93" s="53">
        <f t="shared" si="15"/>
        <v>32</v>
      </c>
      <c r="Q93" s="53">
        <f t="shared" si="15"/>
        <v>32</v>
      </c>
      <c r="R93" s="38"/>
      <c r="X93" s="41">
        <f>INDEX('[1]End - Use Prices'!$C$6:$AL$89,MATCH($C93,'[1]End - Use Prices'!$A$6:$A$89,0)+MATCH($D93,'[1]End - Use Prices'!$B$9:$B$11,0)-1,MATCH(X$1,'[1]End - Use Prices'!$C$7:$AL$7,0))</f>
        <v>27.52</v>
      </c>
      <c r="Y93" s="41">
        <f>INDEX('[1]End - Use Prices'!$C$6:$AL$89,MATCH($C93,'[1]End - Use Prices'!$A$6:$A$89,0)+MATCH($D93,'[1]End - Use Prices'!$B$9:$B$11,0)-1,MATCH(Y$1,'[1]End - Use Prices'!$C$7:$AL$7,0))</f>
        <v>28.18</v>
      </c>
      <c r="Z93" s="41">
        <f>INDEX('[1]End - Use Prices'!$C$6:$AL$89,MATCH($C93,'[1]End - Use Prices'!$A$6:$A$89,0)+MATCH($D93,'[1]End - Use Prices'!$B$9:$B$11,0)-1,MATCH(Z$1,'[1]End - Use Prices'!$C$7:$AL$7,0))</f>
        <v>26.07</v>
      </c>
      <c r="AA93" s="41">
        <f>INDEX('[1]End - Use Prices'!$C$6:$AL$89,MATCH($C93,'[1]End - Use Prices'!$A$6:$A$89,0)+MATCH($D93,'[1]End - Use Prices'!$B$9:$B$11,0)-1,MATCH(AA$1,'[1]End - Use Prices'!$C$7:$AL$7,0))</f>
        <v>31.72</v>
      </c>
      <c r="AB93" s="41">
        <f>INDEX('[1]End - Use Prices'!$C$6:$AL$89,MATCH($C93,'[1]End - Use Prices'!$A$6:$A$89,0)+MATCH($D93,'[1]End - Use Prices'!$B$9:$B$11,0)-1,MATCH(AB$1,'[1]End - Use Prices'!$C$7:$AL$7,0))</f>
        <v>22.7</v>
      </c>
      <c r="AC93" s="41">
        <f>INDEX('[1]End - Use Prices'!$C$6:$AL$89,MATCH($C93,'[1]End - Use Prices'!$A$6:$A$89,0)+MATCH($D93,'[1]End - Use Prices'!$B$9:$B$11,0)-1,MATCH(AC$1,'[1]End - Use Prices'!$C$7:$AL$7,0))</f>
        <v>25.32</v>
      </c>
      <c r="AD93" s="41">
        <f>INDEX('[1]End - Use Prices'!$C$6:$AL$89,MATCH($C93,'[1]End - Use Prices'!$A$6:$A$89,0)+MATCH($D93,'[1]End - Use Prices'!$B$9:$B$11,0)-1,MATCH(AD$1,'[1]End - Use Prices'!$C$7:$AL$7,0))</f>
        <v>30.73</v>
      </c>
      <c r="AE93" s="41">
        <f>INDEX('[1]End - Use Prices'!$C$6:$AL$89,MATCH($C93,'[1]End - Use Prices'!$A$6:$A$89,0)+MATCH($D93,'[1]End - Use Prices'!$B$9:$B$11,0)-1,MATCH(AE$1,'[1]End - Use Prices'!$C$7:$AL$7,0))</f>
        <v>31.88</v>
      </c>
      <c r="AF93" s="41">
        <f>INDEX('[1]End - Use Prices'!$C$6:$AL$89,MATCH($C93,'[1]End - Use Prices'!$A$6:$A$89,0)+MATCH($D93,'[1]End - Use Prices'!$B$9:$B$11,0)-1,MATCH(AF$1,'[1]End - Use Prices'!$C$7:$AL$7,0))</f>
        <v>31.97</v>
      </c>
      <c r="AG93" s="41">
        <f>INDEX('[1]End - Use Prices'!$C$6:$AL$89,MATCH($C93,'[1]End - Use Prices'!$A$6:$A$89,0)+MATCH($D93,'[1]End - Use Prices'!$B$9:$B$11,0)-1,MATCH(AG$1,'[1]End - Use Prices'!$C$7:$AL$7,0))</f>
        <v>34.450000000000003</v>
      </c>
      <c r="AH93" s="41">
        <f>INDEX('[1]End - Use Prices'!$C$6:$AL$89,MATCH($C93,'[1]End - Use Prices'!$A$6:$A$89,0)+MATCH($D93,'[1]End - Use Prices'!$B$9:$B$11,0)-1,MATCH(AH$1,'[1]End - Use Prices'!$C$7:$AL$7,0))</f>
        <v>27.46</v>
      </c>
      <c r="AI93" s="41">
        <f>INDEX('[1]End - Use Prices'!$C$6:$AL$89,MATCH($C93,'[1]End - Use Prices'!$A$6:$A$89,0)+MATCH($D93,'[1]End - Use Prices'!$B$9:$B$11,0)-1,MATCH(AI$1,'[1]End - Use Prices'!$C$7:$AL$7,0))</f>
        <v>23.92</v>
      </c>
      <c r="AJ93" s="41">
        <f>INDEX('[1]End - Use Prices'!$C$6:$AL$89,MATCH($C93,'[1]End - Use Prices'!$A$6:$A$89,0)+MATCH($D93,'[1]End - Use Prices'!$B$9:$B$11,0)-1,MATCH(AJ$1,'[1]End - Use Prices'!$C$7:$AL$7,0))</f>
        <v>25.38</v>
      </c>
      <c r="AK93" s="41">
        <f>INDEX('[1]End - Use Prices'!$C$6:$AL$89,MATCH($C93,'[1]End - Use Prices'!$A$6:$A$89,0)+MATCH($D93,'[1]End - Use Prices'!$B$9:$B$11,0)-1,MATCH(AK$1,'[1]End - Use Prices'!$C$7:$AL$7,0))</f>
        <v>29.63</v>
      </c>
      <c r="AL93" s="41">
        <f>INDEX('[1]End - Use Prices'!$C$6:$AL$89,MATCH($C93,'[1]End - Use Prices'!$A$6:$A$89,0)+MATCH($D93,'[1]End - Use Prices'!$B$9:$B$11,0)-1,MATCH(AL$1,'[1]End - Use Prices'!$C$7:$AL$7,0))</f>
        <v>32.75</v>
      </c>
      <c r="AM93" s="41">
        <f>INDEX('[1]End - Use Prices'!$C$6:$AL$89,MATCH($C93,'[1]End - Use Prices'!$A$6:$A$89,0)+MATCH($D93,'[1]End - Use Prices'!$B$9:$B$11,0)-1,MATCH(AM$1,'[1]End - Use Prices'!$C$7:$AL$7,0))</f>
        <v>37.450000000000003</v>
      </c>
      <c r="AN93" s="41">
        <f>INDEX('[1]End - Use Prices'!$C$6:$AL$89,MATCH($C93,'[1]End - Use Prices'!$A$6:$A$89,0)+MATCH($D93,'[1]End - Use Prices'!$B$9:$B$11,0)-1,MATCH(AN$1,'[1]End - Use Prices'!$C$7:$AL$7,0))</f>
        <v>35</v>
      </c>
      <c r="AO93" s="41">
        <f>INDEX('[1]End - Use Prices'!$C$6:$AL$89,MATCH($C93,'[1]End - Use Prices'!$A$6:$A$89,0)+MATCH($D93,'[1]End - Use Prices'!$B$9:$B$11,0)-1,MATCH(AO$1,'[1]End - Use Prices'!$C$7:$AL$7,0))</f>
        <v>33.549999999999997</v>
      </c>
      <c r="AP93" s="41">
        <f>INDEX('[1]End - Use Prices'!$C$6:$AL$89,MATCH($C93,'[1]End - Use Prices'!$A$6:$A$89,0)+MATCH($D93,'[1]End - Use Prices'!$B$9:$B$11,0)-1,MATCH(AP$1,'[1]End - Use Prices'!$C$7:$AL$7,0))</f>
        <v>33.72</v>
      </c>
      <c r="AQ93" s="41">
        <f>INDEX('[1]End - Use Prices'!$C$6:$AL$89,MATCH($C93,'[1]End - Use Prices'!$A$6:$A$89,0)+MATCH($D93,'[1]End - Use Prices'!$B$9:$B$11,0)-1,MATCH(AQ$1,'[1]End - Use Prices'!$C$7:$AL$7,0))</f>
        <v>33.450000000000003</v>
      </c>
      <c r="AR93" s="41">
        <f>INDEX('[1]End - Use Prices'!$C$6:$AL$89,MATCH($C93,'[1]End - Use Prices'!$A$6:$A$89,0)+MATCH($D93,'[1]End - Use Prices'!$B$9:$B$11,0)-1,MATCH(AR$1,'[1]End - Use Prices'!$C$7:$AL$7,0))</f>
        <v>33.42</v>
      </c>
      <c r="AS93" s="41">
        <f>INDEX('[1]End - Use Prices'!$C$6:$AL$89,MATCH($C93,'[1]End - Use Prices'!$A$6:$A$89,0)+MATCH($D93,'[1]End - Use Prices'!$B$9:$B$11,0)-1,MATCH(AS$1,'[1]End - Use Prices'!$C$7:$AL$7,0))</f>
        <v>33.340000000000003</v>
      </c>
      <c r="AT93" s="41">
        <f>INDEX('[1]End - Use Prices'!$C$6:$AL$89,MATCH($C93,'[1]End - Use Prices'!$A$6:$A$89,0)+MATCH($D93,'[1]End - Use Prices'!$B$9:$B$11,0)-1,MATCH(AT$1,'[1]End - Use Prices'!$C$7:$AL$7,0))</f>
        <v>33.17</v>
      </c>
      <c r="AU93" s="41">
        <f>INDEX('[1]End - Use Prices'!$C$6:$AL$89,MATCH($C93,'[1]End - Use Prices'!$A$6:$A$89,0)+MATCH($D93,'[1]End - Use Prices'!$B$9:$B$11,0)-1,MATCH(AU$1,'[1]End - Use Prices'!$C$7:$AL$7,0))</f>
        <v>32.96</v>
      </c>
      <c r="AV93" s="41">
        <f>INDEX('[1]End - Use Prices'!$C$6:$AL$89,MATCH($C93,'[1]End - Use Prices'!$A$6:$A$89,0)+MATCH($D93,'[1]End - Use Prices'!$B$9:$B$11,0)-1,MATCH(AV$1,'[1]End - Use Prices'!$C$7:$AL$7,0))</f>
        <v>32.79</v>
      </c>
      <c r="AW93" s="41">
        <f>INDEX('[1]End - Use Prices'!$C$6:$AL$89,MATCH($C93,'[1]End - Use Prices'!$A$6:$A$89,0)+MATCH($D93,'[1]End - Use Prices'!$B$9:$B$11,0)-1,MATCH(AW$1,'[1]End - Use Prices'!$C$7:$AL$7,0))</f>
        <v>32.61</v>
      </c>
      <c r="AX93" s="41">
        <f>INDEX('[1]End - Use Prices'!$C$6:$AL$89,MATCH($C93,'[1]End - Use Prices'!$A$6:$A$89,0)+MATCH($D93,'[1]End - Use Prices'!$B$9:$B$11,0)-1,MATCH(AX$1,'[1]End - Use Prices'!$C$7:$AL$7,0))</f>
        <v>32.51</v>
      </c>
      <c r="AY93" s="41">
        <f>INDEX('[1]End - Use Prices'!$C$6:$AL$89,MATCH($C93,'[1]End - Use Prices'!$A$6:$A$89,0)+MATCH($D93,'[1]End - Use Prices'!$B$9:$B$11,0)-1,MATCH(AY$1,'[1]End - Use Prices'!$C$7:$AL$7,0))</f>
        <v>32.44</v>
      </c>
      <c r="AZ93" s="41">
        <f>INDEX('[1]End - Use Prices'!$C$6:$AL$89,MATCH($C93,'[1]End - Use Prices'!$A$6:$A$89,0)+MATCH($D93,'[1]End - Use Prices'!$B$9:$B$11,0)-1,MATCH(AZ$1,'[1]End - Use Prices'!$C$7:$AL$7,0))</f>
        <v>32.4</v>
      </c>
      <c r="BA93" s="41">
        <f>INDEX('[1]End - Use Prices'!$C$6:$AL$89,MATCH($C93,'[1]End - Use Prices'!$A$6:$A$89,0)+MATCH($D93,'[1]End - Use Prices'!$B$9:$B$11,0)-1,MATCH(BA$1,'[1]End - Use Prices'!$C$7:$AL$7,0))</f>
        <v>32.4</v>
      </c>
      <c r="BB93" s="41">
        <f>INDEX('[1]End - Use Prices'!$C$6:$AL$89,MATCH($C93,'[1]End - Use Prices'!$A$6:$A$89,0)+MATCH($D93,'[1]End - Use Prices'!$B$9:$B$11,0)-1,MATCH(BB$1,'[1]End - Use Prices'!$C$7:$AL$7,0))</f>
        <v>32.369999999999997</v>
      </c>
      <c r="BC93" s="41">
        <f>INDEX('[1]End - Use Prices'!$C$6:$AL$89,MATCH($C93,'[1]End - Use Prices'!$A$6:$A$89,0)+MATCH($D93,'[1]End - Use Prices'!$B$9:$B$11,0)-1,MATCH(BC$1,'[1]End - Use Prices'!$C$7:$AL$7,0))</f>
        <v>32.33</v>
      </c>
      <c r="BD93" s="41">
        <f>INDEX('[1]End - Use Prices'!$C$6:$AL$89,MATCH($C93,'[1]End - Use Prices'!$A$6:$A$89,0)+MATCH($D93,'[1]End - Use Prices'!$B$9:$B$11,0)-1,MATCH(BD$1,'[1]End - Use Prices'!$C$7:$AL$7,0))</f>
        <v>32.28</v>
      </c>
      <c r="BE93" s="41">
        <f>INDEX('[1]End - Use Prices'!$C$6:$AL$89,MATCH($C93,'[1]End - Use Prices'!$A$6:$A$89,0)+MATCH($D93,'[1]End - Use Prices'!$B$9:$B$11,0)-1,MATCH(BE$1,'[1]End - Use Prices'!$C$7:$AL$7,0))</f>
        <v>32.19</v>
      </c>
      <c r="BF93" s="41">
        <f>INDEX('[1]End - Use Prices'!$C$6:$AL$89,MATCH($C93,'[1]End - Use Prices'!$A$6:$A$89,0)+MATCH($D93,'[1]End - Use Prices'!$B$9:$B$11,0)-1,MATCH(BF$1,'[1]End - Use Prices'!$C$7:$AL$7,0))</f>
        <v>32.1</v>
      </c>
      <c r="BG93" s="41">
        <f>INDEX('[1]End - Use Prices'!$C$6:$AL$89,MATCH($C93,'[1]End - Use Prices'!$A$6:$A$89,0)+MATCH($D93,'[1]End - Use Prices'!$B$9:$B$11,0)-1,MATCH(BG$1,'[1]End - Use Prices'!$C$7:$AL$7,0))</f>
        <v>32</v>
      </c>
      <c r="BR93" s="39"/>
      <c r="BS93" s="39"/>
      <c r="BT93" s="39"/>
      <c r="BU93" s="39"/>
      <c r="BV93" s="39"/>
      <c r="BW93" s="39"/>
      <c r="BX93" s="39"/>
      <c r="BY93" s="39"/>
      <c r="BZ93" s="39"/>
      <c r="CA93" s="39"/>
    </row>
    <row r="94" spans="1:79" x14ac:dyDescent="0.25">
      <c r="A94" s="5"/>
      <c r="B94" s="3"/>
      <c r="C94" s="25" t="s">
        <v>88</v>
      </c>
      <c r="D94" s="25" t="s">
        <v>280</v>
      </c>
      <c r="E94" s="25" t="s">
        <v>282</v>
      </c>
      <c r="F94" s="67" t="s">
        <v>279</v>
      </c>
      <c r="G94" s="53">
        <f t="shared" si="11"/>
        <v>27.36</v>
      </c>
      <c r="H94" s="34">
        <f t="shared" ref="H94:O103" si="16">INDEX($S94:$CA94,MATCH(H$1,$S$1:$CA$1,0))</f>
        <v>27.36</v>
      </c>
      <c r="I94" s="34">
        <f t="shared" si="16"/>
        <v>27.36</v>
      </c>
      <c r="J94" s="34">
        <f t="shared" si="16"/>
        <v>28.05</v>
      </c>
      <c r="K94" s="34">
        <f t="shared" si="16"/>
        <v>38.97</v>
      </c>
      <c r="L94" s="34">
        <f t="shared" si="16"/>
        <v>34.42</v>
      </c>
      <c r="M94" s="34">
        <f t="shared" si="16"/>
        <v>33.590000000000003</v>
      </c>
      <c r="N94" s="34">
        <f t="shared" si="16"/>
        <v>33.35</v>
      </c>
      <c r="O94" s="34">
        <f t="shared" si="16"/>
        <v>32.97</v>
      </c>
      <c r="P94" s="53">
        <f t="shared" si="15"/>
        <v>32.97</v>
      </c>
      <c r="Q94" s="53">
        <f t="shared" si="15"/>
        <v>32.97</v>
      </c>
      <c r="R94" s="38"/>
      <c r="X94" s="41">
        <f>INDEX('[1]End - Use Prices'!$C$6:$AL$89,MATCH($C94,'[1]End - Use Prices'!$A$6:$A$89,0)+MATCH($D94,'[1]End - Use Prices'!$B$9:$B$11,0)-1,MATCH(X$1,'[1]End - Use Prices'!$C$7:$AL$7,0))</f>
        <v>27.36</v>
      </c>
      <c r="Y94" s="41">
        <f>INDEX('[1]End - Use Prices'!$C$6:$AL$89,MATCH($C94,'[1]End - Use Prices'!$A$6:$A$89,0)+MATCH($D94,'[1]End - Use Prices'!$B$9:$B$11,0)-1,MATCH(Y$1,'[1]End - Use Prices'!$C$7:$AL$7,0))</f>
        <v>27.14</v>
      </c>
      <c r="Z94" s="41">
        <f>INDEX('[1]End - Use Prices'!$C$6:$AL$89,MATCH($C94,'[1]End - Use Prices'!$A$6:$A$89,0)+MATCH($D94,'[1]End - Use Prices'!$B$9:$B$11,0)-1,MATCH(Z$1,'[1]End - Use Prices'!$C$7:$AL$7,0))</f>
        <v>27.83</v>
      </c>
      <c r="AA94" s="41">
        <f>INDEX('[1]End - Use Prices'!$C$6:$AL$89,MATCH($C94,'[1]End - Use Prices'!$A$6:$A$89,0)+MATCH($D94,'[1]End - Use Prices'!$B$9:$B$11,0)-1,MATCH(AA$1,'[1]End - Use Prices'!$C$7:$AL$7,0))</f>
        <v>34.340000000000003</v>
      </c>
      <c r="AB94" s="41">
        <f>INDEX('[1]End - Use Prices'!$C$6:$AL$89,MATCH($C94,'[1]End - Use Prices'!$A$6:$A$89,0)+MATCH($D94,'[1]End - Use Prices'!$B$9:$B$11,0)-1,MATCH(AB$1,'[1]End - Use Prices'!$C$7:$AL$7,0))</f>
        <v>24.16</v>
      </c>
      <c r="AC94" s="41">
        <f>INDEX('[1]End - Use Prices'!$C$6:$AL$89,MATCH($C94,'[1]End - Use Prices'!$A$6:$A$89,0)+MATCH($D94,'[1]End - Use Prices'!$B$9:$B$11,0)-1,MATCH(AC$1,'[1]End - Use Prices'!$C$7:$AL$7,0))</f>
        <v>27.36</v>
      </c>
      <c r="AD94" s="41">
        <f>INDEX('[1]End - Use Prices'!$C$6:$AL$89,MATCH($C94,'[1]End - Use Prices'!$A$6:$A$89,0)+MATCH($D94,'[1]End - Use Prices'!$B$9:$B$11,0)-1,MATCH(AD$1,'[1]End - Use Prices'!$C$7:$AL$7,0))</f>
        <v>32.19</v>
      </c>
      <c r="AE94" s="41">
        <f>INDEX('[1]End - Use Prices'!$C$6:$AL$89,MATCH($C94,'[1]End - Use Prices'!$A$6:$A$89,0)+MATCH($D94,'[1]End - Use Prices'!$B$9:$B$11,0)-1,MATCH(AE$1,'[1]End - Use Prices'!$C$7:$AL$7,0))</f>
        <v>33.76</v>
      </c>
      <c r="AF94" s="41">
        <f>INDEX('[1]End - Use Prices'!$C$6:$AL$89,MATCH($C94,'[1]End - Use Prices'!$A$6:$A$89,0)+MATCH($D94,'[1]End - Use Prices'!$B$9:$B$11,0)-1,MATCH(AF$1,'[1]End - Use Prices'!$C$7:$AL$7,0))</f>
        <v>32.590000000000003</v>
      </c>
      <c r="AG94" s="41">
        <f>INDEX('[1]End - Use Prices'!$C$6:$AL$89,MATCH($C94,'[1]End - Use Prices'!$A$6:$A$89,0)+MATCH($D94,'[1]End - Use Prices'!$B$9:$B$11,0)-1,MATCH(AG$1,'[1]End - Use Prices'!$C$7:$AL$7,0))</f>
        <v>34.17</v>
      </c>
      <c r="AH94" s="41">
        <f>INDEX('[1]End - Use Prices'!$C$6:$AL$89,MATCH($C94,'[1]End - Use Prices'!$A$6:$A$89,0)+MATCH($D94,'[1]End - Use Prices'!$B$9:$B$11,0)-1,MATCH(AH$1,'[1]End - Use Prices'!$C$7:$AL$7,0))</f>
        <v>28.05</v>
      </c>
      <c r="AI94" s="41">
        <f>INDEX('[1]End - Use Prices'!$C$6:$AL$89,MATCH($C94,'[1]End - Use Prices'!$A$6:$A$89,0)+MATCH($D94,'[1]End - Use Prices'!$B$9:$B$11,0)-1,MATCH(AI$1,'[1]End - Use Prices'!$C$7:$AL$7,0))</f>
        <v>24.4</v>
      </c>
      <c r="AJ94" s="41">
        <f>INDEX('[1]End - Use Prices'!$C$6:$AL$89,MATCH($C94,'[1]End - Use Prices'!$A$6:$A$89,0)+MATCH($D94,'[1]End - Use Prices'!$B$9:$B$11,0)-1,MATCH(AJ$1,'[1]End - Use Prices'!$C$7:$AL$7,0))</f>
        <v>26.95</v>
      </c>
      <c r="AK94" s="41">
        <f>INDEX('[1]End - Use Prices'!$C$6:$AL$89,MATCH($C94,'[1]End - Use Prices'!$A$6:$A$89,0)+MATCH($D94,'[1]End - Use Prices'!$B$9:$B$11,0)-1,MATCH(AK$1,'[1]End - Use Prices'!$C$7:$AL$7,0))</f>
        <v>30.62</v>
      </c>
      <c r="AL94" s="41">
        <f>INDEX('[1]End - Use Prices'!$C$6:$AL$89,MATCH($C94,'[1]End - Use Prices'!$A$6:$A$89,0)+MATCH($D94,'[1]End - Use Prices'!$B$9:$B$11,0)-1,MATCH(AL$1,'[1]End - Use Prices'!$C$7:$AL$7,0))</f>
        <v>34.01</v>
      </c>
      <c r="AM94" s="41">
        <f>INDEX('[1]End - Use Prices'!$C$6:$AL$89,MATCH($C94,'[1]End - Use Prices'!$A$6:$A$89,0)+MATCH($D94,'[1]End - Use Prices'!$B$9:$B$11,0)-1,MATCH(AM$1,'[1]End - Use Prices'!$C$7:$AL$7,0))</f>
        <v>38.97</v>
      </c>
      <c r="AN94" s="41">
        <f>INDEX('[1]End - Use Prices'!$C$6:$AL$89,MATCH($C94,'[1]End - Use Prices'!$A$6:$A$89,0)+MATCH($D94,'[1]End - Use Prices'!$B$9:$B$11,0)-1,MATCH(AN$1,'[1]End - Use Prices'!$C$7:$AL$7,0))</f>
        <v>36.24</v>
      </c>
      <c r="AO94" s="41">
        <f>INDEX('[1]End - Use Prices'!$C$6:$AL$89,MATCH($C94,'[1]End - Use Prices'!$A$6:$A$89,0)+MATCH($D94,'[1]End - Use Prices'!$B$9:$B$11,0)-1,MATCH(AO$1,'[1]End - Use Prices'!$C$7:$AL$7,0))</f>
        <v>34.6</v>
      </c>
      <c r="AP94" s="41">
        <f>INDEX('[1]End - Use Prices'!$C$6:$AL$89,MATCH($C94,'[1]End - Use Prices'!$A$6:$A$89,0)+MATCH($D94,'[1]End - Use Prices'!$B$9:$B$11,0)-1,MATCH(AP$1,'[1]End - Use Prices'!$C$7:$AL$7,0))</f>
        <v>34.72</v>
      </c>
      <c r="AQ94" s="41">
        <f>INDEX('[1]End - Use Prices'!$C$6:$AL$89,MATCH($C94,'[1]End - Use Prices'!$A$6:$A$89,0)+MATCH($D94,'[1]End - Use Prices'!$B$9:$B$11,0)-1,MATCH(AQ$1,'[1]End - Use Prices'!$C$7:$AL$7,0))</f>
        <v>34.450000000000003</v>
      </c>
      <c r="AR94" s="41">
        <f>INDEX('[1]End - Use Prices'!$C$6:$AL$89,MATCH($C94,'[1]End - Use Prices'!$A$6:$A$89,0)+MATCH($D94,'[1]End - Use Prices'!$B$9:$B$11,0)-1,MATCH(AR$1,'[1]End - Use Prices'!$C$7:$AL$7,0))</f>
        <v>34.42</v>
      </c>
      <c r="AS94" s="41">
        <f>INDEX('[1]End - Use Prices'!$C$6:$AL$89,MATCH($C94,'[1]End - Use Prices'!$A$6:$A$89,0)+MATCH($D94,'[1]End - Use Prices'!$B$9:$B$11,0)-1,MATCH(AS$1,'[1]End - Use Prices'!$C$7:$AL$7,0))</f>
        <v>34.35</v>
      </c>
      <c r="AT94" s="41">
        <f>INDEX('[1]End - Use Prices'!$C$6:$AL$89,MATCH($C94,'[1]End - Use Prices'!$A$6:$A$89,0)+MATCH($D94,'[1]End - Use Prices'!$B$9:$B$11,0)-1,MATCH(AT$1,'[1]End - Use Prices'!$C$7:$AL$7,0))</f>
        <v>34.17</v>
      </c>
      <c r="AU94" s="41">
        <f>INDEX('[1]End - Use Prices'!$C$6:$AL$89,MATCH($C94,'[1]End - Use Prices'!$A$6:$A$89,0)+MATCH($D94,'[1]End - Use Prices'!$B$9:$B$11,0)-1,MATCH(AU$1,'[1]End - Use Prices'!$C$7:$AL$7,0))</f>
        <v>33.950000000000003</v>
      </c>
      <c r="AV94" s="41">
        <f>INDEX('[1]End - Use Prices'!$C$6:$AL$89,MATCH($C94,'[1]End - Use Prices'!$A$6:$A$89,0)+MATCH($D94,'[1]End - Use Prices'!$B$9:$B$11,0)-1,MATCH(AV$1,'[1]End - Use Prices'!$C$7:$AL$7,0))</f>
        <v>33.770000000000003</v>
      </c>
      <c r="AW94" s="41">
        <f>INDEX('[1]End - Use Prices'!$C$6:$AL$89,MATCH($C94,'[1]End - Use Prices'!$A$6:$A$89,0)+MATCH($D94,'[1]End - Use Prices'!$B$9:$B$11,0)-1,MATCH(AW$1,'[1]End - Use Prices'!$C$7:$AL$7,0))</f>
        <v>33.590000000000003</v>
      </c>
      <c r="AX94" s="41">
        <f>INDEX('[1]End - Use Prices'!$C$6:$AL$89,MATCH($C94,'[1]End - Use Prices'!$A$6:$A$89,0)+MATCH($D94,'[1]End - Use Prices'!$B$9:$B$11,0)-1,MATCH(AX$1,'[1]End - Use Prices'!$C$7:$AL$7,0))</f>
        <v>33.479999999999997</v>
      </c>
      <c r="AY94" s="41">
        <f>INDEX('[1]End - Use Prices'!$C$6:$AL$89,MATCH($C94,'[1]End - Use Prices'!$A$6:$A$89,0)+MATCH($D94,'[1]End - Use Prices'!$B$9:$B$11,0)-1,MATCH(AY$1,'[1]End - Use Prices'!$C$7:$AL$7,0))</f>
        <v>33.409999999999997</v>
      </c>
      <c r="AZ94" s="41">
        <f>INDEX('[1]End - Use Prices'!$C$6:$AL$89,MATCH($C94,'[1]End - Use Prices'!$A$6:$A$89,0)+MATCH($D94,'[1]End - Use Prices'!$B$9:$B$11,0)-1,MATCH(AZ$1,'[1]End - Use Prices'!$C$7:$AL$7,0))</f>
        <v>33.369999999999997</v>
      </c>
      <c r="BA94" s="41">
        <f>INDEX('[1]End - Use Prices'!$C$6:$AL$89,MATCH($C94,'[1]End - Use Prices'!$A$6:$A$89,0)+MATCH($D94,'[1]End - Use Prices'!$B$9:$B$11,0)-1,MATCH(BA$1,'[1]End - Use Prices'!$C$7:$AL$7,0))</f>
        <v>33.369999999999997</v>
      </c>
      <c r="BB94" s="41">
        <f>INDEX('[1]End - Use Prices'!$C$6:$AL$89,MATCH($C94,'[1]End - Use Prices'!$A$6:$A$89,0)+MATCH($D94,'[1]End - Use Prices'!$B$9:$B$11,0)-1,MATCH(BB$1,'[1]End - Use Prices'!$C$7:$AL$7,0))</f>
        <v>33.35</v>
      </c>
      <c r="BC94" s="41">
        <f>INDEX('[1]End - Use Prices'!$C$6:$AL$89,MATCH($C94,'[1]End - Use Prices'!$A$6:$A$89,0)+MATCH($D94,'[1]End - Use Prices'!$B$9:$B$11,0)-1,MATCH(BC$1,'[1]End - Use Prices'!$C$7:$AL$7,0))</f>
        <v>33.31</v>
      </c>
      <c r="BD94" s="41">
        <f>INDEX('[1]End - Use Prices'!$C$6:$AL$89,MATCH($C94,'[1]End - Use Prices'!$A$6:$A$89,0)+MATCH($D94,'[1]End - Use Prices'!$B$9:$B$11,0)-1,MATCH(BD$1,'[1]End - Use Prices'!$C$7:$AL$7,0))</f>
        <v>33.25</v>
      </c>
      <c r="BE94" s="41">
        <f>INDEX('[1]End - Use Prices'!$C$6:$AL$89,MATCH($C94,'[1]End - Use Prices'!$A$6:$A$89,0)+MATCH($D94,'[1]End - Use Prices'!$B$9:$B$11,0)-1,MATCH(BE$1,'[1]End - Use Prices'!$C$7:$AL$7,0))</f>
        <v>33.159999999999997</v>
      </c>
      <c r="BF94" s="41">
        <f>INDEX('[1]End - Use Prices'!$C$6:$AL$89,MATCH($C94,'[1]End - Use Prices'!$A$6:$A$89,0)+MATCH($D94,'[1]End - Use Prices'!$B$9:$B$11,0)-1,MATCH(BF$1,'[1]End - Use Prices'!$C$7:$AL$7,0))</f>
        <v>33.07</v>
      </c>
      <c r="BG94" s="41">
        <f>INDEX('[1]End - Use Prices'!$C$6:$AL$89,MATCH($C94,'[1]End - Use Prices'!$A$6:$A$89,0)+MATCH($D94,'[1]End - Use Prices'!$B$9:$B$11,0)-1,MATCH(BG$1,'[1]End - Use Prices'!$C$7:$AL$7,0))</f>
        <v>32.97</v>
      </c>
      <c r="BR94" s="39"/>
      <c r="BS94" s="39"/>
      <c r="BT94" s="39"/>
      <c r="BU94" s="39"/>
      <c r="BV94" s="39"/>
      <c r="BW94" s="39"/>
      <c r="BX94" s="39"/>
      <c r="BY94" s="39"/>
      <c r="BZ94" s="39"/>
      <c r="CA94" s="39"/>
    </row>
    <row r="95" spans="1:79" x14ac:dyDescent="0.25">
      <c r="A95" s="5"/>
      <c r="B95" s="3"/>
      <c r="C95" s="25" t="s">
        <v>89</v>
      </c>
      <c r="D95" s="25" t="s">
        <v>280</v>
      </c>
      <c r="E95" s="25" t="s">
        <v>282</v>
      </c>
      <c r="F95" s="67" t="s">
        <v>279</v>
      </c>
      <c r="G95" s="53">
        <f t="shared" si="11"/>
        <v>24.67</v>
      </c>
      <c r="H95" s="34">
        <f t="shared" si="16"/>
        <v>24.67</v>
      </c>
      <c r="I95" s="34">
        <f t="shared" si="16"/>
        <v>26.1</v>
      </c>
      <c r="J95" s="34">
        <f t="shared" si="16"/>
        <v>27.54</v>
      </c>
      <c r="K95" s="34">
        <f t="shared" si="16"/>
        <v>38.03</v>
      </c>
      <c r="L95" s="34">
        <f t="shared" si="16"/>
        <v>32.78</v>
      </c>
      <c r="M95" s="34">
        <f t="shared" si="16"/>
        <v>32.11</v>
      </c>
      <c r="N95" s="34">
        <f t="shared" si="16"/>
        <v>31.7</v>
      </c>
      <c r="O95" s="34">
        <f t="shared" si="16"/>
        <v>31.16</v>
      </c>
      <c r="P95" s="53">
        <f t="shared" si="15"/>
        <v>31.16</v>
      </c>
      <c r="Q95" s="53">
        <f t="shared" si="15"/>
        <v>31.16</v>
      </c>
      <c r="R95" s="38"/>
      <c r="X95" s="41">
        <f>INDEX('[1]End - Use Prices'!$C$6:$AL$89,MATCH($C95,'[1]End - Use Prices'!$A$6:$A$89,0)+MATCH($D95,'[1]End - Use Prices'!$B$9:$B$11,0)-1,MATCH(X$1,'[1]End - Use Prices'!$C$7:$AL$7,0))</f>
        <v>24.67</v>
      </c>
      <c r="Y95" s="41">
        <f>INDEX('[1]End - Use Prices'!$C$6:$AL$89,MATCH($C95,'[1]End - Use Prices'!$A$6:$A$89,0)+MATCH($D95,'[1]End - Use Prices'!$B$9:$B$11,0)-1,MATCH(Y$1,'[1]End - Use Prices'!$C$7:$AL$7,0))</f>
        <v>25.2</v>
      </c>
      <c r="Z95" s="41">
        <f>INDEX('[1]End - Use Prices'!$C$6:$AL$89,MATCH($C95,'[1]End - Use Prices'!$A$6:$A$89,0)+MATCH($D95,'[1]End - Use Prices'!$B$9:$B$11,0)-1,MATCH(Z$1,'[1]End - Use Prices'!$C$7:$AL$7,0))</f>
        <v>25.43</v>
      </c>
      <c r="AA95" s="41">
        <f>INDEX('[1]End - Use Prices'!$C$6:$AL$89,MATCH($C95,'[1]End - Use Prices'!$A$6:$A$89,0)+MATCH($D95,'[1]End - Use Prices'!$B$9:$B$11,0)-1,MATCH(AA$1,'[1]End - Use Prices'!$C$7:$AL$7,0))</f>
        <v>33.47</v>
      </c>
      <c r="AB95" s="41">
        <f>INDEX('[1]End - Use Prices'!$C$6:$AL$89,MATCH($C95,'[1]End - Use Prices'!$A$6:$A$89,0)+MATCH($D95,'[1]End - Use Prices'!$B$9:$B$11,0)-1,MATCH(AB$1,'[1]End - Use Prices'!$C$7:$AL$7,0))</f>
        <v>23.22</v>
      </c>
      <c r="AC95" s="41">
        <f>INDEX('[1]End - Use Prices'!$C$6:$AL$89,MATCH($C95,'[1]End - Use Prices'!$A$6:$A$89,0)+MATCH($D95,'[1]End - Use Prices'!$B$9:$B$11,0)-1,MATCH(AC$1,'[1]End - Use Prices'!$C$7:$AL$7,0))</f>
        <v>26.1</v>
      </c>
      <c r="AD95" s="41">
        <f>INDEX('[1]End - Use Prices'!$C$6:$AL$89,MATCH($C95,'[1]End - Use Prices'!$A$6:$A$89,0)+MATCH($D95,'[1]End - Use Prices'!$B$9:$B$11,0)-1,MATCH(AD$1,'[1]End - Use Prices'!$C$7:$AL$7,0))</f>
        <v>32.090000000000003</v>
      </c>
      <c r="AE95" s="41">
        <f>INDEX('[1]End - Use Prices'!$C$6:$AL$89,MATCH($C95,'[1]End - Use Prices'!$A$6:$A$89,0)+MATCH($D95,'[1]End - Use Prices'!$B$9:$B$11,0)-1,MATCH(AE$1,'[1]End - Use Prices'!$C$7:$AL$7,0))</f>
        <v>33.770000000000003</v>
      </c>
      <c r="AF95" s="41">
        <f>INDEX('[1]End - Use Prices'!$C$6:$AL$89,MATCH($C95,'[1]End - Use Prices'!$A$6:$A$89,0)+MATCH($D95,'[1]End - Use Prices'!$B$9:$B$11,0)-1,MATCH(AF$1,'[1]End - Use Prices'!$C$7:$AL$7,0))</f>
        <v>33.130000000000003</v>
      </c>
      <c r="AG95" s="41">
        <f>INDEX('[1]End - Use Prices'!$C$6:$AL$89,MATCH($C95,'[1]End - Use Prices'!$A$6:$A$89,0)+MATCH($D95,'[1]End - Use Prices'!$B$9:$B$11,0)-1,MATCH(AG$1,'[1]End - Use Prices'!$C$7:$AL$7,0))</f>
        <v>33.630000000000003</v>
      </c>
      <c r="AH95" s="41">
        <f>INDEX('[1]End - Use Prices'!$C$6:$AL$89,MATCH($C95,'[1]End - Use Prices'!$A$6:$A$89,0)+MATCH($D95,'[1]End - Use Prices'!$B$9:$B$11,0)-1,MATCH(AH$1,'[1]End - Use Prices'!$C$7:$AL$7,0))</f>
        <v>27.54</v>
      </c>
      <c r="AI95" s="41">
        <f>INDEX('[1]End - Use Prices'!$C$6:$AL$89,MATCH($C95,'[1]End - Use Prices'!$A$6:$A$89,0)+MATCH($D95,'[1]End - Use Prices'!$B$9:$B$11,0)-1,MATCH(AI$1,'[1]End - Use Prices'!$C$7:$AL$7,0))</f>
        <v>23.58</v>
      </c>
      <c r="AJ95" s="41">
        <f>INDEX('[1]End - Use Prices'!$C$6:$AL$89,MATCH($C95,'[1]End - Use Prices'!$A$6:$A$89,0)+MATCH($D95,'[1]End - Use Prices'!$B$9:$B$11,0)-1,MATCH(AJ$1,'[1]End - Use Prices'!$C$7:$AL$7,0))</f>
        <v>25.75</v>
      </c>
      <c r="AK95" s="41">
        <f>INDEX('[1]End - Use Prices'!$C$6:$AL$89,MATCH($C95,'[1]End - Use Prices'!$A$6:$A$89,0)+MATCH($D95,'[1]End - Use Prices'!$B$9:$B$11,0)-1,MATCH(AK$1,'[1]End - Use Prices'!$C$7:$AL$7,0))</f>
        <v>30.37</v>
      </c>
      <c r="AL95" s="41">
        <f>INDEX('[1]End - Use Prices'!$C$6:$AL$89,MATCH($C95,'[1]End - Use Prices'!$A$6:$A$89,0)+MATCH($D95,'[1]End - Use Prices'!$B$9:$B$11,0)-1,MATCH(AL$1,'[1]End - Use Prices'!$C$7:$AL$7,0))</f>
        <v>34.700000000000003</v>
      </c>
      <c r="AM95" s="41">
        <f>INDEX('[1]End - Use Prices'!$C$6:$AL$89,MATCH($C95,'[1]End - Use Prices'!$A$6:$A$89,0)+MATCH($D95,'[1]End - Use Prices'!$B$9:$B$11,0)-1,MATCH(AM$1,'[1]End - Use Prices'!$C$7:$AL$7,0))</f>
        <v>38.03</v>
      </c>
      <c r="AN95" s="41">
        <f>INDEX('[1]End - Use Prices'!$C$6:$AL$89,MATCH($C95,'[1]End - Use Prices'!$A$6:$A$89,0)+MATCH($D95,'[1]End - Use Prices'!$B$9:$B$11,0)-1,MATCH(AN$1,'[1]End - Use Prices'!$C$7:$AL$7,0))</f>
        <v>34.799999999999997</v>
      </c>
      <c r="AO95" s="41">
        <f>INDEX('[1]End - Use Prices'!$C$6:$AL$89,MATCH($C95,'[1]End - Use Prices'!$A$6:$A$89,0)+MATCH($D95,'[1]End - Use Prices'!$B$9:$B$11,0)-1,MATCH(AO$1,'[1]End - Use Prices'!$C$7:$AL$7,0))</f>
        <v>32.68</v>
      </c>
      <c r="AP95" s="41">
        <f>INDEX('[1]End - Use Prices'!$C$6:$AL$89,MATCH($C95,'[1]End - Use Prices'!$A$6:$A$89,0)+MATCH($D95,'[1]End - Use Prices'!$B$9:$B$11,0)-1,MATCH(AP$1,'[1]End - Use Prices'!$C$7:$AL$7,0))</f>
        <v>32.369999999999997</v>
      </c>
      <c r="AQ95" s="41">
        <f>INDEX('[1]End - Use Prices'!$C$6:$AL$89,MATCH($C95,'[1]End - Use Prices'!$A$6:$A$89,0)+MATCH($D95,'[1]End - Use Prices'!$B$9:$B$11,0)-1,MATCH(AQ$1,'[1]End - Use Prices'!$C$7:$AL$7,0))</f>
        <v>32.47</v>
      </c>
      <c r="AR95" s="41">
        <f>INDEX('[1]End - Use Prices'!$C$6:$AL$89,MATCH($C95,'[1]End - Use Prices'!$A$6:$A$89,0)+MATCH($D95,'[1]End - Use Prices'!$B$9:$B$11,0)-1,MATCH(AR$1,'[1]End - Use Prices'!$C$7:$AL$7,0))</f>
        <v>32.78</v>
      </c>
      <c r="AS95" s="41">
        <f>INDEX('[1]End - Use Prices'!$C$6:$AL$89,MATCH($C95,'[1]End - Use Prices'!$A$6:$A$89,0)+MATCH($D95,'[1]End - Use Prices'!$B$9:$B$11,0)-1,MATCH(AS$1,'[1]End - Use Prices'!$C$7:$AL$7,0))</f>
        <v>33.03</v>
      </c>
      <c r="AT95" s="41">
        <f>INDEX('[1]End - Use Prices'!$C$6:$AL$89,MATCH($C95,'[1]End - Use Prices'!$A$6:$A$89,0)+MATCH($D95,'[1]End - Use Prices'!$B$9:$B$11,0)-1,MATCH(AT$1,'[1]End - Use Prices'!$C$7:$AL$7,0))</f>
        <v>32.81</v>
      </c>
      <c r="AU95" s="41">
        <f>INDEX('[1]End - Use Prices'!$C$6:$AL$89,MATCH($C95,'[1]End - Use Prices'!$A$6:$A$89,0)+MATCH($D95,'[1]End - Use Prices'!$B$9:$B$11,0)-1,MATCH(AU$1,'[1]End - Use Prices'!$C$7:$AL$7,0))</f>
        <v>32.549999999999997</v>
      </c>
      <c r="AV95" s="41">
        <f>INDEX('[1]End - Use Prices'!$C$6:$AL$89,MATCH($C95,'[1]End - Use Prices'!$A$6:$A$89,0)+MATCH($D95,'[1]End - Use Prices'!$B$9:$B$11,0)-1,MATCH(AV$1,'[1]End - Use Prices'!$C$7:$AL$7,0))</f>
        <v>32.33</v>
      </c>
      <c r="AW95" s="41">
        <f>INDEX('[1]End - Use Prices'!$C$6:$AL$89,MATCH($C95,'[1]End - Use Prices'!$A$6:$A$89,0)+MATCH($D95,'[1]End - Use Prices'!$B$9:$B$11,0)-1,MATCH(AW$1,'[1]End - Use Prices'!$C$7:$AL$7,0))</f>
        <v>32.11</v>
      </c>
      <c r="AX95" s="41">
        <f>INDEX('[1]End - Use Prices'!$C$6:$AL$89,MATCH($C95,'[1]End - Use Prices'!$A$6:$A$89,0)+MATCH($D95,'[1]End - Use Prices'!$B$9:$B$11,0)-1,MATCH(AX$1,'[1]End - Use Prices'!$C$7:$AL$7,0))</f>
        <v>31.96</v>
      </c>
      <c r="AY95" s="41">
        <f>INDEX('[1]End - Use Prices'!$C$6:$AL$89,MATCH($C95,'[1]End - Use Prices'!$A$6:$A$89,0)+MATCH($D95,'[1]End - Use Prices'!$B$9:$B$11,0)-1,MATCH(AY$1,'[1]End - Use Prices'!$C$7:$AL$7,0))</f>
        <v>31.85</v>
      </c>
      <c r="AZ95" s="41">
        <f>INDEX('[1]End - Use Prices'!$C$6:$AL$89,MATCH($C95,'[1]End - Use Prices'!$A$6:$A$89,0)+MATCH($D95,'[1]End - Use Prices'!$B$9:$B$11,0)-1,MATCH(AZ$1,'[1]End - Use Prices'!$C$7:$AL$7,0))</f>
        <v>31.79</v>
      </c>
      <c r="BA95" s="41">
        <f>INDEX('[1]End - Use Prices'!$C$6:$AL$89,MATCH($C95,'[1]End - Use Prices'!$A$6:$A$89,0)+MATCH($D95,'[1]End - Use Prices'!$B$9:$B$11,0)-1,MATCH(BA$1,'[1]End - Use Prices'!$C$7:$AL$7,0))</f>
        <v>31.75</v>
      </c>
      <c r="BB95" s="41">
        <f>INDEX('[1]End - Use Prices'!$C$6:$AL$89,MATCH($C95,'[1]End - Use Prices'!$A$6:$A$89,0)+MATCH($D95,'[1]End - Use Prices'!$B$9:$B$11,0)-1,MATCH(BB$1,'[1]End - Use Prices'!$C$7:$AL$7,0))</f>
        <v>31.7</v>
      </c>
      <c r="BC95" s="41">
        <f>INDEX('[1]End - Use Prices'!$C$6:$AL$89,MATCH($C95,'[1]End - Use Prices'!$A$6:$A$89,0)+MATCH($D95,'[1]End - Use Prices'!$B$9:$B$11,0)-1,MATCH(BC$1,'[1]End - Use Prices'!$C$7:$AL$7,0))</f>
        <v>31.63</v>
      </c>
      <c r="BD95" s="41">
        <f>INDEX('[1]End - Use Prices'!$C$6:$AL$89,MATCH($C95,'[1]End - Use Prices'!$A$6:$A$89,0)+MATCH($D95,'[1]End - Use Prices'!$B$9:$B$11,0)-1,MATCH(BD$1,'[1]End - Use Prices'!$C$7:$AL$7,0))</f>
        <v>31.54</v>
      </c>
      <c r="BE95" s="41">
        <f>INDEX('[1]End - Use Prices'!$C$6:$AL$89,MATCH($C95,'[1]End - Use Prices'!$A$6:$A$89,0)+MATCH($D95,'[1]End - Use Prices'!$B$9:$B$11,0)-1,MATCH(BE$1,'[1]End - Use Prices'!$C$7:$AL$7,0))</f>
        <v>31.42</v>
      </c>
      <c r="BF95" s="41">
        <f>INDEX('[1]End - Use Prices'!$C$6:$AL$89,MATCH($C95,'[1]End - Use Prices'!$A$6:$A$89,0)+MATCH($D95,'[1]End - Use Prices'!$B$9:$B$11,0)-1,MATCH(BF$1,'[1]End - Use Prices'!$C$7:$AL$7,0))</f>
        <v>31.3</v>
      </c>
      <c r="BG95" s="41">
        <f>INDEX('[1]End - Use Prices'!$C$6:$AL$89,MATCH($C95,'[1]End - Use Prices'!$A$6:$A$89,0)+MATCH($D95,'[1]End - Use Prices'!$B$9:$B$11,0)-1,MATCH(BG$1,'[1]End - Use Prices'!$C$7:$AL$7,0))</f>
        <v>31.16</v>
      </c>
      <c r="BR95" s="39"/>
      <c r="BS95" s="39"/>
      <c r="BT95" s="39"/>
      <c r="BU95" s="39"/>
      <c r="BV95" s="39"/>
      <c r="BW95" s="39"/>
      <c r="BX95" s="39"/>
      <c r="BY95" s="39"/>
      <c r="BZ95" s="39"/>
      <c r="CA95" s="39"/>
    </row>
    <row r="96" spans="1:79" x14ac:dyDescent="0.25">
      <c r="A96" s="5"/>
      <c r="B96" s="3"/>
      <c r="C96" s="25" t="s">
        <v>90</v>
      </c>
      <c r="D96" s="25" t="s">
        <v>280</v>
      </c>
      <c r="E96" s="25" t="s">
        <v>282</v>
      </c>
      <c r="F96" s="67" t="s">
        <v>279</v>
      </c>
      <c r="G96" s="53">
        <f t="shared" si="11"/>
        <v>25.66</v>
      </c>
      <c r="H96" s="34">
        <f t="shared" si="16"/>
        <v>25.66</v>
      </c>
      <c r="I96" s="34">
        <f t="shared" si="16"/>
        <v>28.54</v>
      </c>
      <c r="J96" s="34">
        <f t="shared" si="16"/>
        <v>30.91</v>
      </c>
      <c r="K96" s="34">
        <f t="shared" si="16"/>
        <v>41.65</v>
      </c>
      <c r="L96" s="34">
        <f t="shared" si="16"/>
        <v>36.79</v>
      </c>
      <c r="M96" s="34">
        <f t="shared" si="16"/>
        <v>36.32</v>
      </c>
      <c r="N96" s="34">
        <f t="shared" si="16"/>
        <v>36.090000000000003</v>
      </c>
      <c r="O96" s="34">
        <f t="shared" si="16"/>
        <v>35.71</v>
      </c>
      <c r="P96" s="53">
        <f t="shared" si="15"/>
        <v>35.71</v>
      </c>
      <c r="Q96" s="53">
        <f t="shared" si="15"/>
        <v>35.71</v>
      </c>
      <c r="R96" s="38"/>
      <c r="X96" s="41">
        <f>INDEX('[1]End - Use Prices'!$C$6:$AL$89,MATCH($C96,'[1]End - Use Prices'!$A$6:$A$89,0)+MATCH($D96,'[1]End - Use Prices'!$B$9:$B$11,0)-1,MATCH(X$1,'[1]End - Use Prices'!$C$7:$AL$7,0))</f>
        <v>25.66</v>
      </c>
      <c r="Y96" s="41">
        <f>INDEX('[1]End - Use Prices'!$C$6:$AL$89,MATCH($C96,'[1]End - Use Prices'!$A$6:$A$89,0)+MATCH($D96,'[1]End - Use Prices'!$B$9:$B$11,0)-1,MATCH(Y$1,'[1]End - Use Prices'!$C$7:$AL$7,0))</f>
        <v>26.36</v>
      </c>
      <c r="Z96" s="41">
        <f>INDEX('[1]End - Use Prices'!$C$6:$AL$89,MATCH($C96,'[1]End - Use Prices'!$A$6:$A$89,0)+MATCH($D96,'[1]End - Use Prices'!$B$9:$B$11,0)-1,MATCH(Z$1,'[1]End - Use Prices'!$C$7:$AL$7,0))</f>
        <v>27.18</v>
      </c>
      <c r="AA96" s="41">
        <f>INDEX('[1]End - Use Prices'!$C$6:$AL$89,MATCH($C96,'[1]End - Use Prices'!$A$6:$A$89,0)+MATCH($D96,'[1]End - Use Prices'!$B$9:$B$11,0)-1,MATCH(AA$1,'[1]End - Use Prices'!$C$7:$AL$7,0))</f>
        <v>33.630000000000003</v>
      </c>
      <c r="AB96" s="41">
        <f>INDEX('[1]End - Use Prices'!$C$6:$AL$89,MATCH($C96,'[1]End - Use Prices'!$A$6:$A$89,0)+MATCH($D96,'[1]End - Use Prices'!$B$9:$B$11,0)-1,MATCH(AB$1,'[1]End - Use Prices'!$C$7:$AL$7,0))</f>
        <v>25.05</v>
      </c>
      <c r="AC96" s="41">
        <f>INDEX('[1]End - Use Prices'!$C$6:$AL$89,MATCH($C96,'[1]End - Use Prices'!$A$6:$A$89,0)+MATCH($D96,'[1]End - Use Prices'!$B$9:$B$11,0)-1,MATCH(AC$1,'[1]End - Use Prices'!$C$7:$AL$7,0))</f>
        <v>28.54</v>
      </c>
      <c r="AD96" s="41">
        <f>INDEX('[1]End - Use Prices'!$C$6:$AL$89,MATCH($C96,'[1]End - Use Prices'!$A$6:$A$89,0)+MATCH($D96,'[1]End - Use Prices'!$B$9:$B$11,0)-1,MATCH(AD$1,'[1]End - Use Prices'!$C$7:$AL$7,0))</f>
        <v>35.020000000000003</v>
      </c>
      <c r="AE96" s="41">
        <f>INDEX('[1]End - Use Prices'!$C$6:$AL$89,MATCH($C96,'[1]End - Use Prices'!$A$6:$A$89,0)+MATCH($D96,'[1]End - Use Prices'!$B$9:$B$11,0)-1,MATCH(AE$1,'[1]End - Use Prices'!$C$7:$AL$7,0))</f>
        <v>35.61</v>
      </c>
      <c r="AF96" s="41">
        <f>INDEX('[1]End - Use Prices'!$C$6:$AL$89,MATCH($C96,'[1]End - Use Prices'!$A$6:$A$89,0)+MATCH($D96,'[1]End - Use Prices'!$B$9:$B$11,0)-1,MATCH(AF$1,'[1]End - Use Prices'!$C$7:$AL$7,0))</f>
        <v>35.47</v>
      </c>
      <c r="AG96" s="41">
        <f>INDEX('[1]End - Use Prices'!$C$6:$AL$89,MATCH($C96,'[1]End - Use Prices'!$A$6:$A$89,0)+MATCH($D96,'[1]End - Use Prices'!$B$9:$B$11,0)-1,MATCH(AG$1,'[1]End - Use Prices'!$C$7:$AL$7,0))</f>
        <v>36.5</v>
      </c>
      <c r="AH96" s="41">
        <f>INDEX('[1]End - Use Prices'!$C$6:$AL$89,MATCH($C96,'[1]End - Use Prices'!$A$6:$A$89,0)+MATCH($D96,'[1]End - Use Prices'!$B$9:$B$11,0)-1,MATCH(AH$1,'[1]End - Use Prices'!$C$7:$AL$7,0))</f>
        <v>30.91</v>
      </c>
      <c r="AI96" s="41">
        <f>INDEX('[1]End - Use Prices'!$C$6:$AL$89,MATCH($C96,'[1]End - Use Prices'!$A$6:$A$89,0)+MATCH($D96,'[1]End - Use Prices'!$B$9:$B$11,0)-1,MATCH(AI$1,'[1]End - Use Prices'!$C$7:$AL$7,0))</f>
        <v>27.23</v>
      </c>
      <c r="AJ96" s="41">
        <f>INDEX('[1]End - Use Prices'!$C$6:$AL$89,MATCH($C96,'[1]End - Use Prices'!$A$6:$A$89,0)+MATCH($D96,'[1]End - Use Prices'!$B$9:$B$11,0)-1,MATCH(AJ$1,'[1]End - Use Prices'!$C$7:$AL$7,0))</f>
        <v>31.23</v>
      </c>
      <c r="AK96" s="41">
        <f>INDEX('[1]End - Use Prices'!$C$6:$AL$89,MATCH($C96,'[1]End - Use Prices'!$A$6:$A$89,0)+MATCH($D96,'[1]End - Use Prices'!$B$9:$B$11,0)-1,MATCH(AK$1,'[1]End - Use Prices'!$C$7:$AL$7,0))</f>
        <v>35.57</v>
      </c>
      <c r="AL96" s="41">
        <f>INDEX('[1]End - Use Prices'!$C$6:$AL$89,MATCH($C96,'[1]End - Use Prices'!$A$6:$A$89,0)+MATCH($D96,'[1]End - Use Prices'!$B$9:$B$11,0)-1,MATCH(AL$1,'[1]End - Use Prices'!$C$7:$AL$7,0))</f>
        <v>38.32</v>
      </c>
      <c r="AM96" s="41">
        <f>INDEX('[1]End - Use Prices'!$C$6:$AL$89,MATCH($C96,'[1]End - Use Prices'!$A$6:$A$89,0)+MATCH($D96,'[1]End - Use Prices'!$B$9:$B$11,0)-1,MATCH(AM$1,'[1]End - Use Prices'!$C$7:$AL$7,0))</f>
        <v>41.65</v>
      </c>
      <c r="AN96" s="41">
        <f>INDEX('[1]End - Use Prices'!$C$6:$AL$89,MATCH($C96,'[1]End - Use Prices'!$A$6:$A$89,0)+MATCH($D96,'[1]End - Use Prices'!$B$9:$B$11,0)-1,MATCH(AN$1,'[1]End - Use Prices'!$C$7:$AL$7,0))</f>
        <v>38.53</v>
      </c>
      <c r="AO96" s="41">
        <f>INDEX('[1]End - Use Prices'!$C$6:$AL$89,MATCH($C96,'[1]End - Use Prices'!$A$6:$A$89,0)+MATCH($D96,'[1]End - Use Prices'!$B$9:$B$11,0)-1,MATCH(AO$1,'[1]End - Use Prices'!$C$7:$AL$7,0))</f>
        <v>36.51</v>
      </c>
      <c r="AP96" s="41">
        <f>INDEX('[1]End - Use Prices'!$C$6:$AL$89,MATCH($C96,'[1]End - Use Prices'!$A$6:$A$89,0)+MATCH($D96,'[1]End - Use Prices'!$B$9:$B$11,0)-1,MATCH(AP$1,'[1]End - Use Prices'!$C$7:$AL$7,0))</f>
        <v>36.270000000000003</v>
      </c>
      <c r="AQ96" s="41">
        <f>INDEX('[1]End - Use Prices'!$C$6:$AL$89,MATCH($C96,'[1]End - Use Prices'!$A$6:$A$89,0)+MATCH($D96,'[1]End - Use Prices'!$B$9:$B$11,0)-1,MATCH(AQ$1,'[1]End - Use Prices'!$C$7:$AL$7,0))</f>
        <v>36.42</v>
      </c>
      <c r="AR96" s="41">
        <f>INDEX('[1]End - Use Prices'!$C$6:$AL$89,MATCH($C96,'[1]End - Use Prices'!$A$6:$A$89,0)+MATCH($D96,'[1]End - Use Prices'!$B$9:$B$11,0)-1,MATCH(AR$1,'[1]End - Use Prices'!$C$7:$AL$7,0))</f>
        <v>36.79</v>
      </c>
      <c r="AS96" s="41">
        <f>INDEX('[1]End - Use Prices'!$C$6:$AL$89,MATCH($C96,'[1]End - Use Prices'!$A$6:$A$89,0)+MATCH($D96,'[1]End - Use Prices'!$B$9:$B$11,0)-1,MATCH(AS$1,'[1]End - Use Prices'!$C$7:$AL$7,0))</f>
        <v>37.08</v>
      </c>
      <c r="AT96" s="41">
        <f>INDEX('[1]End - Use Prices'!$C$6:$AL$89,MATCH($C96,'[1]End - Use Prices'!$A$6:$A$89,0)+MATCH($D96,'[1]End - Use Prices'!$B$9:$B$11,0)-1,MATCH(AT$1,'[1]End - Use Prices'!$C$7:$AL$7,0))</f>
        <v>36.909999999999997</v>
      </c>
      <c r="AU96" s="41">
        <f>INDEX('[1]End - Use Prices'!$C$6:$AL$89,MATCH($C96,'[1]End - Use Prices'!$A$6:$A$89,0)+MATCH($D96,'[1]End - Use Prices'!$B$9:$B$11,0)-1,MATCH(AU$1,'[1]End - Use Prices'!$C$7:$AL$7,0))</f>
        <v>36.69</v>
      </c>
      <c r="AV96" s="41">
        <f>INDEX('[1]End - Use Prices'!$C$6:$AL$89,MATCH($C96,'[1]End - Use Prices'!$A$6:$A$89,0)+MATCH($D96,'[1]End - Use Prices'!$B$9:$B$11,0)-1,MATCH(AV$1,'[1]End - Use Prices'!$C$7:$AL$7,0))</f>
        <v>36.51</v>
      </c>
      <c r="AW96" s="41">
        <f>INDEX('[1]End - Use Prices'!$C$6:$AL$89,MATCH($C96,'[1]End - Use Prices'!$A$6:$A$89,0)+MATCH($D96,'[1]End - Use Prices'!$B$9:$B$11,0)-1,MATCH(AW$1,'[1]End - Use Prices'!$C$7:$AL$7,0))</f>
        <v>36.32</v>
      </c>
      <c r="AX96" s="41">
        <f>INDEX('[1]End - Use Prices'!$C$6:$AL$89,MATCH($C96,'[1]End - Use Prices'!$A$6:$A$89,0)+MATCH($D96,'[1]End - Use Prices'!$B$9:$B$11,0)-1,MATCH(AX$1,'[1]End - Use Prices'!$C$7:$AL$7,0))</f>
        <v>36.22</v>
      </c>
      <c r="AY96" s="41">
        <f>INDEX('[1]End - Use Prices'!$C$6:$AL$89,MATCH($C96,'[1]End - Use Prices'!$A$6:$A$89,0)+MATCH($D96,'[1]End - Use Prices'!$B$9:$B$11,0)-1,MATCH(AY$1,'[1]End - Use Prices'!$C$7:$AL$7,0))</f>
        <v>36.14</v>
      </c>
      <c r="AZ96" s="41">
        <f>INDEX('[1]End - Use Prices'!$C$6:$AL$89,MATCH($C96,'[1]End - Use Prices'!$A$6:$A$89,0)+MATCH($D96,'[1]End - Use Prices'!$B$9:$B$11,0)-1,MATCH(AZ$1,'[1]End - Use Prices'!$C$7:$AL$7,0))</f>
        <v>36.11</v>
      </c>
      <c r="BA96" s="41">
        <f>INDEX('[1]End - Use Prices'!$C$6:$AL$89,MATCH($C96,'[1]End - Use Prices'!$A$6:$A$89,0)+MATCH($D96,'[1]End - Use Prices'!$B$9:$B$11,0)-1,MATCH(BA$1,'[1]End - Use Prices'!$C$7:$AL$7,0))</f>
        <v>36.11</v>
      </c>
      <c r="BB96" s="41">
        <f>INDEX('[1]End - Use Prices'!$C$6:$AL$89,MATCH($C96,'[1]End - Use Prices'!$A$6:$A$89,0)+MATCH($D96,'[1]End - Use Prices'!$B$9:$B$11,0)-1,MATCH(BB$1,'[1]End - Use Prices'!$C$7:$AL$7,0))</f>
        <v>36.090000000000003</v>
      </c>
      <c r="BC96" s="41">
        <f>INDEX('[1]End - Use Prices'!$C$6:$AL$89,MATCH($C96,'[1]End - Use Prices'!$A$6:$A$89,0)+MATCH($D96,'[1]End - Use Prices'!$B$9:$B$11,0)-1,MATCH(BC$1,'[1]End - Use Prices'!$C$7:$AL$7,0))</f>
        <v>36.049999999999997</v>
      </c>
      <c r="BD96" s="41">
        <f>INDEX('[1]End - Use Prices'!$C$6:$AL$89,MATCH($C96,'[1]End - Use Prices'!$A$6:$A$89,0)+MATCH($D96,'[1]End - Use Prices'!$B$9:$B$11,0)-1,MATCH(BD$1,'[1]End - Use Prices'!$C$7:$AL$7,0))</f>
        <v>35.99</v>
      </c>
      <c r="BE96" s="41">
        <f>INDEX('[1]End - Use Prices'!$C$6:$AL$89,MATCH($C96,'[1]End - Use Prices'!$A$6:$A$89,0)+MATCH($D96,'[1]End - Use Prices'!$B$9:$B$11,0)-1,MATCH(BE$1,'[1]End - Use Prices'!$C$7:$AL$7,0))</f>
        <v>35.9</v>
      </c>
      <c r="BF96" s="41">
        <f>INDEX('[1]End - Use Prices'!$C$6:$AL$89,MATCH($C96,'[1]End - Use Prices'!$A$6:$A$89,0)+MATCH($D96,'[1]End - Use Prices'!$B$9:$B$11,0)-1,MATCH(BF$1,'[1]End - Use Prices'!$C$7:$AL$7,0))</f>
        <v>35.81</v>
      </c>
      <c r="BG96" s="41">
        <f>INDEX('[1]End - Use Prices'!$C$6:$AL$89,MATCH($C96,'[1]End - Use Prices'!$A$6:$A$89,0)+MATCH($D96,'[1]End - Use Prices'!$B$9:$B$11,0)-1,MATCH(BG$1,'[1]End - Use Prices'!$C$7:$AL$7,0))</f>
        <v>35.71</v>
      </c>
      <c r="BR96" s="39"/>
      <c r="BS96" s="39"/>
      <c r="BT96" s="39"/>
      <c r="BU96" s="39"/>
      <c r="BV96" s="39"/>
      <c r="BW96" s="39"/>
      <c r="BX96" s="39"/>
      <c r="BY96" s="39"/>
      <c r="BZ96" s="39"/>
      <c r="CA96" s="39"/>
    </row>
    <row r="97" spans="1:79" x14ac:dyDescent="0.25">
      <c r="A97" s="5"/>
      <c r="B97" s="3"/>
      <c r="C97" s="25" t="s">
        <v>91</v>
      </c>
      <c r="D97" s="25" t="s">
        <v>280</v>
      </c>
      <c r="E97" s="25" t="s">
        <v>282</v>
      </c>
      <c r="F97" s="67" t="s">
        <v>279</v>
      </c>
      <c r="G97" s="53">
        <f t="shared" si="11"/>
        <v>26.86</v>
      </c>
      <c r="H97" s="34">
        <f t="shared" si="16"/>
        <v>26.86</v>
      </c>
      <c r="I97" s="34">
        <f t="shared" si="16"/>
        <v>28.11</v>
      </c>
      <c r="J97" s="34">
        <f t="shared" si="16"/>
        <v>26.82</v>
      </c>
      <c r="K97" s="34">
        <f t="shared" si="16"/>
        <v>36.65</v>
      </c>
      <c r="L97" s="34">
        <f t="shared" si="16"/>
        <v>30.13</v>
      </c>
      <c r="M97" s="34">
        <f t="shared" si="16"/>
        <v>29.7</v>
      </c>
      <c r="N97" s="34">
        <f t="shared" si="16"/>
        <v>29.69</v>
      </c>
      <c r="O97" s="34">
        <f t="shared" si="16"/>
        <v>29.56</v>
      </c>
      <c r="P97" s="53">
        <f t="shared" si="15"/>
        <v>29.56</v>
      </c>
      <c r="Q97" s="53">
        <f t="shared" si="15"/>
        <v>29.56</v>
      </c>
      <c r="R97" s="38"/>
      <c r="X97" s="41">
        <f>INDEX('[1]End - Use Prices'!$C$6:$AL$89,MATCH($C97,'[1]End - Use Prices'!$A$6:$A$89,0)+MATCH($D97,'[1]End - Use Prices'!$B$9:$B$11,0)-1,MATCH(X$1,'[1]End - Use Prices'!$C$7:$AL$7,0))</f>
        <v>26.86</v>
      </c>
      <c r="Y97" s="41">
        <f>INDEX('[1]End - Use Prices'!$C$6:$AL$89,MATCH($C97,'[1]End - Use Prices'!$A$6:$A$89,0)+MATCH($D97,'[1]End - Use Prices'!$B$9:$B$11,0)-1,MATCH(Y$1,'[1]End - Use Prices'!$C$7:$AL$7,0))</f>
        <v>26.92</v>
      </c>
      <c r="Z97" s="41">
        <f>INDEX('[1]End - Use Prices'!$C$6:$AL$89,MATCH($C97,'[1]End - Use Prices'!$A$6:$A$89,0)+MATCH($D97,'[1]End - Use Prices'!$B$9:$B$11,0)-1,MATCH(Z$1,'[1]End - Use Prices'!$C$7:$AL$7,0))</f>
        <v>28.39</v>
      </c>
      <c r="AA97" s="41">
        <f>INDEX('[1]End - Use Prices'!$C$6:$AL$89,MATCH($C97,'[1]End - Use Prices'!$A$6:$A$89,0)+MATCH($D97,'[1]End - Use Prices'!$B$9:$B$11,0)-1,MATCH(AA$1,'[1]End - Use Prices'!$C$7:$AL$7,0))</f>
        <v>34.549999999999997</v>
      </c>
      <c r="AB97" s="41">
        <f>INDEX('[1]End - Use Prices'!$C$6:$AL$89,MATCH($C97,'[1]End - Use Prices'!$A$6:$A$89,0)+MATCH($D97,'[1]End - Use Prices'!$B$9:$B$11,0)-1,MATCH(AB$1,'[1]End - Use Prices'!$C$7:$AL$7,0))</f>
        <v>25.26</v>
      </c>
      <c r="AC97" s="41">
        <f>INDEX('[1]End - Use Prices'!$C$6:$AL$89,MATCH($C97,'[1]End - Use Prices'!$A$6:$A$89,0)+MATCH($D97,'[1]End - Use Prices'!$B$9:$B$11,0)-1,MATCH(AC$1,'[1]End - Use Prices'!$C$7:$AL$7,0))</f>
        <v>28.11</v>
      </c>
      <c r="AD97" s="41">
        <f>INDEX('[1]End - Use Prices'!$C$6:$AL$89,MATCH($C97,'[1]End - Use Prices'!$A$6:$A$89,0)+MATCH($D97,'[1]End - Use Prices'!$B$9:$B$11,0)-1,MATCH(AD$1,'[1]End - Use Prices'!$C$7:$AL$7,0))</f>
        <v>32.72</v>
      </c>
      <c r="AE97" s="41">
        <f>INDEX('[1]End - Use Prices'!$C$6:$AL$89,MATCH($C97,'[1]End - Use Prices'!$A$6:$A$89,0)+MATCH($D97,'[1]End - Use Prices'!$B$9:$B$11,0)-1,MATCH(AE$1,'[1]End - Use Prices'!$C$7:$AL$7,0))</f>
        <v>32.950000000000003</v>
      </c>
      <c r="AF97" s="41">
        <f>INDEX('[1]End - Use Prices'!$C$6:$AL$89,MATCH($C97,'[1]End - Use Prices'!$A$6:$A$89,0)+MATCH($D97,'[1]End - Use Prices'!$B$9:$B$11,0)-1,MATCH(AF$1,'[1]End - Use Prices'!$C$7:$AL$7,0))</f>
        <v>33.5</v>
      </c>
      <c r="AG97" s="41">
        <f>INDEX('[1]End - Use Prices'!$C$6:$AL$89,MATCH($C97,'[1]End - Use Prices'!$A$6:$A$89,0)+MATCH($D97,'[1]End - Use Prices'!$B$9:$B$11,0)-1,MATCH(AG$1,'[1]End - Use Prices'!$C$7:$AL$7,0))</f>
        <v>34.840000000000003</v>
      </c>
      <c r="AH97" s="41">
        <f>INDEX('[1]End - Use Prices'!$C$6:$AL$89,MATCH($C97,'[1]End - Use Prices'!$A$6:$A$89,0)+MATCH($D97,'[1]End - Use Prices'!$B$9:$B$11,0)-1,MATCH(AH$1,'[1]End - Use Prices'!$C$7:$AL$7,0))</f>
        <v>26.82</v>
      </c>
      <c r="AI97" s="41">
        <f>INDEX('[1]End - Use Prices'!$C$6:$AL$89,MATCH($C97,'[1]End - Use Prices'!$A$6:$A$89,0)+MATCH($D97,'[1]End - Use Prices'!$B$9:$B$11,0)-1,MATCH(AI$1,'[1]End - Use Prices'!$C$7:$AL$7,0))</f>
        <v>24</v>
      </c>
      <c r="AJ97" s="41">
        <f>INDEX('[1]End - Use Prices'!$C$6:$AL$89,MATCH($C97,'[1]End - Use Prices'!$A$6:$A$89,0)+MATCH($D97,'[1]End - Use Prices'!$B$9:$B$11,0)-1,MATCH(AJ$1,'[1]End - Use Prices'!$C$7:$AL$7,0))</f>
        <v>26.23</v>
      </c>
      <c r="AK97" s="41">
        <f>INDEX('[1]End - Use Prices'!$C$6:$AL$89,MATCH($C97,'[1]End - Use Prices'!$A$6:$A$89,0)+MATCH($D97,'[1]End - Use Prices'!$B$9:$B$11,0)-1,MATCH(AK$1,'[1]End - Use Prices'!$C$7:$AL$7,0))</f>
        <v>30.14</v>
      </c>
      <c r="AL97" s="41">
        <f>INDEX('[1]End - Use Prices'!$C$6:$AL$89,MATCH($C97,'[1]End - Use Prices'!$A$6:$A$89,0)+MATCH($D97,'[1]End - Use Prices'!$B$9:$B$11,0)-1,MATCH(AL$1,'[1]End - Use Prices'!$C$7:$AL$7,0))</f>
        <v>33.479999999999997</v>
      </c>
      <c r="AM97" s="41">
        <f>INDEX('[1]End - Use Prices'!$C$6:$AL$89,MATCH($C97,'[1]End - Use Prices'!$A$6:$A$89,0)+MATCH($D97,'[1]End - Use Prices'!$B$9:$B$11,0)-1,MATCH(AM$1,'[1]End - Use Prices'!$C$7:$AL$7,0))</f>
        <v>36.65</v>
      </c>
      <c r="AN97" s="41">
        <f>INDEX('[1]End - Use Prices'!$C$6:$AL$89,MATCH($C97,'[1]End - Use Prices'!$A$6:$A$89,0)+MATCH($D97,'[1]End - Use Prices'!$B$9:$B$11,0)-1,MATCH(AN$1,'[1]End - Use Prices'!$C$7:$AL$7,0))</f>
        <v>33.15</v>
      </c>
      <c r="AO97" s="41">
        <f>INDEX('[1]End - Use Prices'!$C$6:$AL$89,MATCH($C97,'[1]End - Use Prices'!$A$6:$A$89,0)+MATCH($D97,'[1]End - Use Prices'!$B$9:$B$11,0)-1,MATCH(AO$1,'[1]End - Use Prices'!$C$7:$AL$7,0))</f>
        <v>30.77</v>
      </c>
      <c r="AP97" s="41">
        <f>INDEX('[1]End - Use Prices'!$C$6:$AL$89,MATCH($C97,'[1]End - Use Prices'!$A$6:$A$89,0)+MATCH($D97,'[1]End - Use Prices'!$B$9:$B$11,0)-1,MATCH(AP$1,'[1]End - Use Prices'!$C$7:$AL$7,0))</f>
        <v>30.2</v>
      </c>
      <c r="AQ97" s="41">
        <f>INDEX('[1]End - Use Prices'!$C$6:$AL$89,MATCH($C97,'[1]End - Use Prices'!$A$6:$A$89,0)+MATCH($D97,'[1]End - Use Prices'!$B$9:$B$11,0)-1,MATCH(AQ$1,'[1]End - Use Prices'!$C$7:$AL$7,0))</f>
        <v>30.06</v>
      </c>
      <c r="AR97" s="41">
        <f>INDEX('[1]End - Use Prices'!$C$6:$AL$89,MATCH($C97,'[1]End - Use Prices'!$A$6:$A$89,0)+MATCH($D97,'[1]End - Use Prices'!$B$9:$B$11,0)-1,MATCH(AR$1,'[1]End - Use Prices'!$C$7:$AL$7,0))</f>
        <v>30.13</v>
      </c>
      <c r="AS97" s="41">
        <f>INDEX('[1]End - Use Prices'!$C$6:$AL$89,MATCH($C97,'[1]End - Use Prices'!$A$6:$A$89,0)+MATCH($D97,'[1]End - Use Prices'!$B$9:$B$11,0)-1,MATCH(AS$1,'[1]End - Use Prices'!$C$7:$AL$7,0))</f>
        <v>30.14</v>
      </c>
      <c r="AT97" s="41">
        <f>INDEX('[1]End - Use Prices'!$C$6:$AL$89,MATCH($C97,'[1]End - Use Prices'!$A$6:$A$89,0)+MATCH($D97,'[1]End - Use Prices'!$B$9:$B$11,0)-1,MATCH(AT$1,'[1]End - Use Prices'!$C$7:$AL$7,0))</f>
        <v>30.06</v>
      </c>
      <c r="AU97" s="41">
        <f>INDEX('[1]End - Use Prices'!$C$6:$AL$89,MATCH($C97,'[1]End - Use Prices'!$A$6:$A$89,0)+MATCH($D97,'[1]End - Use Prices'!$B$9:$B$11,0)-1,MATCH(AU$1,'[1]End - Use Prices'!$C$7:$AL$7,0))</f>
        <v>29.92</v>
      </c>
      <c r="AV97" s="41">
        <f>INDEX('[1]End - Use Prices'!$C$6:$AL$89,MATCH($C97,'[1]End - Use Prices'!$A$6:$A$89,0)+MATCH($D97,'[1]End - Use Prices'!$B$9:$B$11,0)-1,MATCH(AV$1,'[1]End - Use Prices'!$C$7:$AL$7,0))</f>
        <v>29.81</v>
      </c>
      <c r="AW97" s="41">
        <f>INDEX('[1]End - Use Prices'!$C$6:$AL$89,MATCH($C97,'[1]End - Use Prices'!$A$6:$A$89,0)+MATCH($D97,'[1]End - Use Prices'!$B$9:$B$11,0)-1,MATCH(AW$1,'[1]End - Use Prices'!$C$7:$AL$7,0))</f>
        <v>29.7</v>
      </c>
      <c r="AX97" s="41">
        <f>INDEX('[1]End - Use Prices'!$C$6:$AL$89,MATCH($C97,'[1]End - Use Prices'!$A$6:$A$89,0)+MATCH($D97,'[1]End - Use Prices'!$B$9:$B$11,0)-1,MATCH(AX$1,'[1]End - Use Prices'!$C$7:$AL$7,0))</f>
        <v>29.64</v>
      </c>
      <c r="AY97" s="41">
        <f>INDEX('[1]End - Use Prices'!$C$6:$AL$89,MATCH($C97,'[1]End - Use Prices'!$A$6:$A$89,0)+MATCH($D97,'[1]End - Use Prices'!$B$9:$B$11,0)-1,MATCH(AY$1,'[1]End - Use Prices'!$C$7:$AL$7,0))</f>
        <v>29.62</v>
      </c>
      <c r="AZ97" s="41">
        <f>INDEX('[1]End - Use Prices'!$C$6:$AL$89,MATCH($C97,'[1]End - Use Prices'!$A$6:$A$89,0)+MATCH($D97,'[1]End - Use Prices'!$B$9:$B$11,0)-1,MATCH(AZ$1,'[1]End - Use Prices'!$C$7:$AL$7,0))</f>
        <v>29.64</v>
      </c>
      <c r="BA97" s="41">
        <f>INDEX('[1]End - Use Prices'!$C$6:$AL$89,MATCH($C97,'[1]End - Use Prices'!$A$6:$A$89,0)+MATCH($D97,'[1]End - Use Prices'!$B$9:$B$11,0)-1,MATCH(BA$1,'[1]End - Use Prices'!$C$7:$AL$7,0))</f>
        <v>29.67</v>
      </c>
      <c r="BB97" s="41">
        <f>INDEX('[1]End - Use Prices'!$C$6:$AL$89,MATCH($C97,'[1]End - Use Prices'!$A$6:$A$89,0)+MATCH($D97,'[1]End - Use Prices'!$B$9:$B$11,0)-1,MATCH(BB$1,'[1]End - Use Prices'!$C$7:$AL$7,0))</f>
        <v>29.69</v>
      </c>
      <c r="BC97" s="41">
        <f>INDEX('[1]End - Use Prices'!$C$6:$AL$89,MATCH($C97,'[1]End - Use Prices'!$A$6:$A$89,0)+MATCH($D97,'[1]End - Use Prices'!$B$9:$B$11,0)-1,MATCH(BC$1,'[1]End - Use Prices'!$C$7:$AL$7,0))</f>
        <v>29.7</v>
      </c>
      <c r="BD97" s="41">
        <f>INDEX('[1]End - Use Prices'!$C$6:$AL$89,MATCH($C97,'[1]End - Use Prices'!$A$6:$A$89,0)+MATCH($D97,'[1]End - Use Prices'!$B$9:$B$11,0)-1,MATCH(BD$1,'[1]End - Use Prices'!$C$7:$AL$7,0))</f>
        <v>29.69</v>
      </c>
      <c r="BE97" s="41">
        <f>INDEX('[1]End - Use Prices'!$C$6:$AL$89,MATCH($C97,'[1]End - Use Prices'!$A$6:$A$89,0)+MATCH($D97,'[1]End - Use Prices'!$B$9:$B$11,0)-1,MATCH(BE$1,'[1]End - Use Prices'!$C$7:$AL$7,0))</f>
        <v>29.65</v>
      </c>
      <c r="BF97" s="41">
        <f>INDEX('[1]End - Use Prices'!$C$6:$AL$89,MATCH($C97,'[1]End - Use Prices'!$A$6:$A$89,0)+MATCH($D97,'[1]End - Use Prices'!$B$9:$B$11,0)-1,MATCH(BF$1,'[1]End - Use Prices'!$C$7:$AL$7,0))</f>
        <v>29.61</v>
      </c>
      <c r="BG97" s="41">
        <f>INDEX('[1]End - Use Prices'!$C$6:$AL$89,MATCH($C97,'[1]End - Use Prices'!$A$6:$A$89,0)+MATCH($D97,'[1]End - Use Prices'!$B$9:$B$11,0)-1,MATCH(BG$1,'[1]End - Use Prices'!$C$7:$AL$7,0))</f>
        <v>29.56</v>
      </c>
      <c r="BR97" s="39"/>
      <c r="BS97" s="39"/>
      <c r="BT97" s="39"/>
      <c r="BU97" s="39"/>
      <c r="BV97" s="39"/>
      <c r="BW97" s="39"/>
      <c r="BX97" s="39"/>
      <c r="BY97" s="39"/>
      <c r="BZ97" s="39"/>
      <c r="CA97" s="39"/>
    </row>
    <row r="98" spans="1:79" x14ac:dyDescent="0.25">
      <c r="A98" s="5"/>
      <c r="B98" s="3"/>
      <c r="C98" s="25" t="s">
        <v>92</v>
      </c>
      <c r="D98" s="25" t="s">
        <v>280</v>
      </c>
      <c r="E98" s="25" t="s">
        <v>282</v>
      </c>
      <c r="F98" s="67" t="s">
        <v>279</v>
      </c>
      <c r="G98" s="53">
        <f t="shared" si="11"/>
        <v>26.98</v>
      </c>
      <c r="H98" s="34">
        <f t="shared" si="16"/>
        <v>26.98</v>
      </c>
      <c r="I98" s="34">
        <f t="shared" si="16"/>
        <v>26.99</v>
      </c>
      <c r="J98" s="34">
        <f t="shared" si="16"/>
        <v>26.82</v>
      </c>
      <c r="K98" s="34">
        <f t="shared" si="16"/>
        <v>37.92</v>
      </c>
      <c r="L98" s="34">
        <f t="shared" si="16"/>
        <v>33.53</v>
      </c>
      <c r="M98" s="34">
        <f t="shared" si="16"/>
        <v>32.72</v>
      </c>
      <c r="N98" s="34">
        <f t="shared" si="16"/>
        <v>32.49</v>
      </c>
      <c r="O98" s="34">
        <f t="shared" si="16"/>
        <v>32.130000000000003</v>
      </c>
      <c r="P98" s="53">
        <f t="shared" si="15"/>
        <v>32.130000000000003</v>
      </c>
      <c r="Q98" s="53">
        <f t="shared" si="15"/>
        <v>32.130000000000003</v>
      </c>
      <c r="R98" s="38"/>
      <c r="X98" s="41">
        <f>INDEX('[1]End - Use Prices'!$C$6:$AL$89,MATCH($C98,'[1]End - Use Prices'!$A$6:$A$89,0)+MATCH($D98,'[1]End - Use Prices'!$B$9:$B$11,0)-1,MATCH(X$1,'[1]End - Use Prices'!$C$7:$AL$7,0))</f>
        <v>26.98</v>
      </c>
      <c r="Y98" s="41">
        <f>INDEX('[1]End - Use Prices'!$C$6:$AL$89,MATCH($C98,'[1]End - Use Prices'!$A$6:$A$89,0)+MATCH($D98,'[1]End - Use Prices'!$B$9:$B$11,0)-1,MATCH(Y$1,'[1]End - Use Prices'!$C$7:$AL$7,0))</f>
        <v>26.48</v>
      </c>
      <c r="Z98" s="41">
        <f>INDEX('[1]End - Use Prices'!$C$6:$AL$89,MATCH($C98,'[1]End - Use Prices'!$A$6:$A$89,0)+MATCH($D98,'[1]End - Use Prices'!$B$9:$B$11,0)-1,MATCH(Z$1,'[1]End - Use Prices'!$C$7:$AL$7,0))</f>
        <v>28.47</v>
      </c>
      <c r="AA98" s="41">
        <f>INDEX('[1]End - Use Prices'!$C$6:$AL$89,MATCH($C98,'[1]End - Use Prices'!$A$6:$A$89,0)+MATCH($D98,'[1]End - Use Prices'!$B$9:$B$11,0)-1,MATCH(AA$1,'[1]End - Use Prices'!$C$7:$AL$7,0))</f>
        <v>34.4</v>
      </c>
      <c r="AB98" s="41">
        <f>INDEX('[1]End - Use Prices'!$C$6:$AL$89,MATCH($C98,'[1]End - Use Prices'!$A$6:$A$89,0)+MATCH($D98,'[1]End - Use Prices'!$B$9:$B$11,0)-1,MATCH(AB$1,'[1]End - Use Prices'!$C$7:$AL$7,0))</f>
        <v>24.36</v>
      </c>
      <c r="AC98" s="41">
        <f>INDEX('[1]End - Use Prices'!$C$6:$AL$89,MATCH($C98,'[1]End - Use Prices'!$A$6:$A$89,0)+MATCH($D98,'[1]End - Use Prices'!$B$9:$B$11,0)-1,MATCH(AC$1,'[1]End - Use Prices'!$C$7:$AL$7,0))</f>
        <v>26.99</v>
      </c>
      <c r="AD98" s="41">
        <f>INDEX('[1]End - Use Prices'!$C$6:$AL$89,MATCH($C98,'[1]End - Use Prices'!$A$6:$A$89,0)+MATCH($D98,'[1]End - Use Prices'!$B$9:$B$11,0)-1,MATCH(AD$1,'[1]End - Use Prices'!$C$7:$AL$7,0))</f>
        <v>32.65</v>
      </c>
      <c r="AE98" s="41">
        <f>INDEX('[1]End - Use Prices'!$C$6:$AL$89,MATCH($C98,'[1]End - Use Prices'!$A$6:$A$89,0)+MATCH($D98,'[1]End - Use Prices'!$B$9:$B$11,0)-1,MATCH(AE$1,'[1]End - Use Prices'!$C$7:$AL$7,0))</f>
        <v>31.57</v>
      </c>
      <c r="AF98" s="41">
        <f>INDEX('[1]End - Use Prices'!$C$6:$AL$89,MATCH($C98,'[1]End - Use Prices'!$A$6:$A$89,0)+MATCH($D98,'[1]End - Use Prices'!$B$9:$B$11,0)-1,MATCH(AF$1,'[1]End - Use Prices'!$C$7:$AL$7,0))</f>
        <v>32.36</v>
      </c>
      <c r="AG98" s="41">
        <f>INDEX('[1]End - Use Prices'!$C$6:$AL$89,MATCH($C98,'[1]End - Use Prices'!$A$6:$A$89,0)+MATCH($D98,'[1]End - Use Prices'!$B$9:$B$11,0)-1,MATCH(AG$1,'[1]End - Use Prices'!$C$7:$AL$7,0))</f>
        <v>35.340000000000003</v>
      </c>
      <c r="AH98" s="41">
        <f>INDEX('[1]End - Use Prices'!$C$6:$AL$89,MATCH($C98,'[1]End - Use Prices'!$A$6:$A$89,0)+MATCH($D98,'[1]End - Use Prices'!$B$9:$B$11,0)-1,MATCH(AH$1,'[1]End - Use Prices'!$C$7:$AL$7,0))</f>
        <v>26.82</v>
      </c>
      <c r="AI98" s="41">
        <f>INDEX('[1]End - Use Prices'!$C$6:$AL$89,MATCH($C98,'[1]End - Use Prices'!$A$6:$A$89,0)+MATCH($D98,'[1]End - Use Prices'!$B$9:$B$11,0)-1,MATCH(AI$1,'[1]End - Use Prices'!$C$7:$AL$7,0))</f>
        <v>24.02</v>
      </c>
      <c r="AJ98" s="41">
        <f>INDEX('[1]End - Use Prices'!$C$6:$AL$89,MATCH($C98,'[1]End - Use Prices'!$A$6:$A$89,0)+MATCH($D98,'[1]End - Use Prices'!$B$9:$B$11,0)-1,MATCH(AJ$1,'[1]End - Use Prices'!$C$7:$AL$7,0))</f>
        <v>26.27</v>
      </c>
      <c r="AK98" s="41">
        <f>INDEX('[1]End - Use Prices'!$C$6:$AL$89,MATCH($C98,'[1]End - Use Prices'!$A$6:$A$89,0)+MATCH($D98,'[1]End - Use Prices'!$B$9:$B$11,0)-1,MATCH(AK$1,'[1]End - Use Prices'!$C$7:$AL$7,0))</f>
        <v>29.87</v>
      </c>
      <c r="AL98" s="41">
        <f>INDEX('[1]End - Use Prices'!$C$6:$AL$89,MATCH($C98,'[1]End - Use Prices'!$A$6:$A$89,0)+MATCH($D98,'[1]End - Use Prices'!$B$9:$B$11,0)-1,MATCH(AL$1,'[1]End - Use Prices'!$C$7:$AL$7,0))</f>
        <v>33.14</v>
      </c>
      <c r="AM98" s="41">
        <f>INDEX('[1]End - Use Prices'!$C$6:$AL$89,MATCH($C98,'[1]End - Use Prices'!$A$6:$A$89,0)+MATCH($D98,'[1]End - Use Prices'!$B$9:$B$11,0)-1,MATCH(AM$1,'[1]End - Use Prices'!$C$7:$AL$7,0))</f>
        <v>37.92</v>
      </c>
      <c r="AN98" s="41">
        <f>INDEX('[1]End - Use Prices'!$C$6:$AL$89,MATCH($C98,'[1]End - Use Prices'!$A$6:$A$89,0)+MATCH($D98,'[1]End - Use Prices'!$B$9:$B$11,0)-1,MATCH(AN$1,'[1]End - Use Prices'!$C$7:$AL$7,0))</f>
        <v>35.28</v>
      </c>
      <c r="AO98" s="41">
        <f>INDEX('[1]End - Use Prices'!$C$6:$AL$89,MATCH($C98,'[1]End - Use Prices'!$A$6:$A$89,0)+MATCH($D98,'[1]End - Use Prices'!$B$9:$B$11,0)-1,MATCH(AO$1,'[1]End - Use Prices'!$C$7:$AL$7,0))</f>
        <v>33.700000000000003</v>
      </c>
      <c r="AP98" s="41">
        <f>INDEX('[1]End - Use Prices'!$C$6:$AL$89,MATCH($C98,'[1]End - Use Prices'!$A$6:$A$89,0)+MATCH($D98,'[1]End - Use Prices'!$B$9:$B$11,0)-1,MATCH(AP$1,'[1]End - Use Prices'!$C$7:$AL$7,0))</f>
        <v>33.82</v>
      </c>
      <c r="AQ98" s="41">
        <f>INDEX('[1]End - Use Prices'!$C$6:$AL$89,MATCH($C98,'[1]End - Use Prices'!$A$6:$A$89,0)+MATCH($D98,'[1]End - Use Prices'!$B$9:$B$11,0)-1,MATCH(AQ$1,'[1]End - Use Prices'!$C$7:$AL$7,0))</f>
        <v>33.549999999999997</v>
      </c>
      <c r="AR98" s="41">
        <f>INDEX('[1]End - Use Prices'!$C$6:$AL$89,MATCH($C98,'[1]End - Use Prices'!$A$6:$A$89,0)+MATCH($D98,'[1]End - Use Prices'!$B$9:$B$11,0)-1,MATCH(AR$1,'[1]End - Use Prices'!$C$7:$AL$7,0))</f>
        <v>33.53</v>
      </c>
      <c r="AS98" s="41">
        <f>INDEX('[1]End - Use Prices'!$C$6:$AL$89,MATCH($C98,'[1]End - Use Prices'!$A$6:$A$89,0)+MATCH($D98,'[1]End - Use Prices'!$B$9:$B$11,0)-1,MATCH(AS$1,'[1]End - Use Prices'!$C$7:$AL$7,0))</f>
        <v>33.46</v>
      </c>
      <c r="AT98" s="41">
        <f>INDEX('[1]End - Use Prices'!$C$6:$AL$89,MATCH($C98,'[1]End - Use Prices'!$A$6:$A$89,0)+MATCH($D98,'[1]End - Use Prices'!$B$9:$B$11,0)-1,MATCH(AT$1,'[1]End - Use Prices'!$C$7:$AL$7,0))</f>
        <v>33.29</v>
      </c>
      <c r="AU98" s="41">
        <f>INDEX('[1]End - Use Prices'!$C$6:$AL$89,MATCH($C98,'[1]End - Use Prices'!$A$6:$A$89,0)+MATCH($D98,'[1]End - Use Prices'!$B$9:$B$11,0)-1,MATCH(AU$1,'[1]End - Use Prices'!$C$7:$AL$7,0))</f>
        <v>33.07</v>
      </c>
      <c r="AV98" s="41">
        <f>INDEX('[1]End - Use Prices'!$C$6:$AL$89,MATCH($C98,'[1]End - Use Prices'!$A$6:$A$89,0)+MATCH($D98,'[1]End - Use Prices'!$B$9:$B$11,0)-1,MATCH(AV$1,'[1]End - Use Prices'!$C$7:$AL$7,0))</f>
        <v>32.9</v>
      </c>
      <c r="AW98" s="41">
        <f>INDEX('[1]End - Use Prices'!$C$6:$AL$89,MATCH($C98,'[1]End - Use Prices'!$A$6:$A$89,0)+MATCH($D98,'[1]End - Use Prices'!$B$9:$B$11,0)-1,MATCH(AW$1,'[1]End - Use Prices'!$C$7:$AL$7,0))</f>
        <v>32.72</v>
      </c>
      <c r="AX98" s="41">
        <f>INDEX('[1]End - Use Prices'!$C$6:$AL$89,MATCH($C98,'[1]End - Use Prices'!$A$6:$A$89,0)+MATCH($D98,'[1]End - Use Prices'!$B$9:$B$11,0)-1,MATCH(AX$1,'[1]End - Use Prices'!$C$7:$AL$7,0))</f>
        <v>32.619999999999997</v>
      </c>
      <c r="AY98" s="41">
        <f>INDEX('[1]End - Use Prices'!$C$6:$AL$89,MATCH($C98,'[1]End - Use Prices'!$A$6:$A$89,0)+MATCH($D98,'[1]End - Use Prices'!$B$9:$B$11,0)-1,MATCH(AY$1,'[1]End - Use Prices'!$C$7:$AL$7,0))</f>
        <v>32.549999999999997</v>
      </c>
      <c r="AZ98" s="41">
        <f>INDEX('[1]End - Use Prices'!$C$6:$AL$89,MATCH($C98,'[1]End - Use Prices'!$A$6:$A$89,0)+MATCH($D98,'[1]End - Use Prices'!$B$9:$B$11,0)-1,MATCH(AZ$1,'[1]End - Use Prices'!$C$7:$AL$7,0))</f>
        <v>32.520000000000003</v>
      </c>
      <c r="BA98" s="41">
        <f>INDEX('[1]End - Use Prices'!$C$6:$AL$89,MATCH($C98,'[1]End - Use Prices'!$A$6:$A$89,0)+MATCH($D98,'[1]End - Use Prices'!$B$9:$B$11,0)-1,MATCH(BA$1,'[1]End - Use Prices'!$C$7:$AL$7,0))</f>
        <v>32.51</v>
      </c>
      <c r="BB98" s="41">
        <f>INDEX('[1]End - Use Prices'!$C$6:$AL$89,MATCH($C98,'[1]End - Use Prices'!$A$6:$A$89,0)+MATCH($D98,'[1]End - Use Prices'!$B$9:$B$11,0)-1,MATCH(BB$1,'[1]End - Use Prices'!$C$7:$AL$7,0))</f>
        <v>32.49</v>
      </c>
      <c r="BC98" s="41">
        <f>INDEX('[1]End - Use Prices'!$C$6:$AL$89,MATCH($C98,'[1]End - Use Prices'!$A$6:$A$89,0)+MATCH($D98,'[1]End - Use Prices'!$B$9:$B$11,0)-1,MATCH(BC$1,'[1]End - Use Prices'!$C$7:$AL$7,0))</f>
        <v>32.450000000000003</v>
      </c>
      <c r="BD98" s="41">
        <f>INDEX('[1]End - Use Prices'!$C$6:$AL$89,MATCH($C98,'[1]End - Use Prices'!$A$6:$A$89,0)+MATCH($D98,'[1]End - Use Prices'!$B$9:$B$11,0)-1,MATCH(BD$1,'[1]End - Use Prices'!$C$7:$AL$7,0))</f>
        <v>32.4</v>
      </c>
      <c r="BE98" s="41">
        <f>INDEX('[1]End - Use Prices'!$C$6:$AL$89,MATCH($C98,'[1]End - Use Prices'!$A$6:$A$89,0)+MATCH($D98,'[1]End - Use Prices'!$B$9:$B$11,0)-1,MATCH(BE$1,'[1]End - Use Prices'!$C$7:$AL$7,0))</f>
        <v>32.31</v>
      </c>
      <c r="BF98" s="41">
        <f>INDEX('[1]End - Use Prices'!$C$6:$AL$89,MATCH($C98,'[1]End - Use Prices'!$A$6:$A$89,0)+MATCH($D98,'[1]End - Use Prices'!$B$9:$B$11,0)-1,MATCH(BF$1,'[1]End - Use Prices'!$C$7:$AL$7,0))</f>
        <v>32.229999999999997</v>
      </c>
      <c r="BG98" s="41">
        <f>INDEX('[1]End - Use Prices'!$C$6:$AL$89,MATCH($C98,'[1]End - Use Prices'!$A$6:$A$89,0)+MATCH($D98,'[1]End - Use Prices'!$B$9:$B$11,0)-1,MATCH(BG$1,'[1]End - Use Prices'!$C$7:$AL$7,0))</f>
        <v>32.130000000000003</v>
      </c>
      <c r="BR98" s="39"/>
      <c r="BS98" s="39"/>
      <c r="BT98" s="39"/>
      <c r="BU98" s="39"/>
      <c r="BV98" s="39"/>
      <c r="BW98" s="39"/>
      <c r="BX98" s="39"/>
      <c r="BY98" s="39"/>
      <c r="BZ98" s="39"/>
      <c r="CA98" s="39"/>
    </row>
    <row r="99" spans="1:79" x14ac:dyDescent="0.25">
      <c r="A99" s="5"/>
      <c r="B99" s="3"/>
      <c r="C99" s="25" t="s">
        <v>5</v>
      </c>
      <c r="D99" s="25" t="s">
        <v>280</v>
      </c>
      <c r="E99" s="25" t="s">
        <v>282</v>
      </c>
      <c r="F99" s="67" t="s">
        <v>279</v>
      </c>
      <c r="G99" s="53">
        <f t="shared" si="11"/>
        <v>24.45</v>
      </c>
      <c r="H99" s="34">
        <f t="shared" si="16"/>
        <v>24.45</v>
      </c>
      <c r="I99" s="34">
        <f t="shared" si="16"/>
        <v>26.03</v>
      </c>
      <c r="J99" s="34">
        <f t="shared" si="16"/>
        <v>24.73</v>
      </c>
      <c r="K99" s="34">
        <f t="shared" si="16"/>
        <v>37.21</v>
      </c>
      <c r="L99" s="34">
        <f t="shared" si="16"/>
        <v>32.299999999999997</v>
      </c>
      <c r="M99" s="34">
        <f t="shared" si="16"/>
        <v>31.49</v>
      </c>
      <c r="N99" s="34">
        <f t="shared" si="16"/>
        <v>31.25</v>
      </c>
      <c r="O99" s="34">
        <f t="shared" si="16"/>
        <v>30.88</v>
      </c>
      <c r="P99" s="53">
        <f t="shared" si="15"/>
        <v>30.88</v>
      </c>
      <c r="Q99" s="53">
        <f t="shared" si="15"/>
        <v>30.88</v>
      </c>
      <c r="R99" s="38"/>
      <c r="X99" s="41">
        <f>INDEX('[1]End - Use Prices'!$C$6:$AL$89,MATCH($C99,'[1]End - Use Prices'!$A$6:$A$89,0)+MATCH($D99,'[1]End - Use Prices'!$B$9:$B$11,0)-1,MATCH(X$1,'[1]End - Use Prices'!$C$7:$AL$7,0))</f>
        <v>24.45</v>
      </c>
      <c r="Y99" s="41">
        <f>INDEX('[1]End - Use Prices'!$C$6:$AL$89,MATCH($C99,'[1]End - Use Prices'!$A$6:$A$89,0)+MATCH($D99,'[1]End - Use Prices'!$B$9:$B$11,0)-1,MATCH(Y$1,'[1]End - Use Prices'!$C$7:$AL$7,0))</f>
        <v>25.51</v>
      </c>
      <c r="Z99" s="41">
        <f>INDEX('[1]End - Use Prices'!$C$6:$AL$89,MATCH($C99,'[1]End - Use Prices'!$A$6:$A$89,0)+MATCH($D99,'[1]End - Use Prices'!$B$9:$B$11,0)-1,MATCH(Z$1,'[1]End - Use Prices'!$C$7:$AL$7,0))</f>
        <v>26.83</v>
      </c>
      <c r="AA99" s="41">
        <f>INDEX('[1]End - Use Prices'!$C$6:$AL$89,MATCH($C99,'[1]End - Use Prices'!$A$6:$A$89,0)+MATCH($D99,'[1]End - Use Prices'!$B$9:$B$11,0)-1,MATCH(AA$1,'[1]End - Use Prices'!$C$7:$AL$7,0))</f>
        <v>31.95</v>
      </c>
      <c r="AB99" s="41">
        <f>INDEX('[1]End - Use Prices'!$C$6:$AL$89,MATCH($C99,'[1]End - Use Prices'!$A$6:$A$89,0)+MATCH($D99,'[1]End - Use Prices'!$B$9:$B$11,0)-1,MATCH(AB$1,'[1]End - Use Prices'!$C$7:$AL$7,0))</f>
        <v>23.37</v>
      </c>
      <c r="AC99" s="41">
        <f>INDEX('[1]End - Use Prices'!$C$6:$AL$89,MATCH($C99,'[1]End - Use Prices'!$A$6:$A$89,0)+MATCH($D99,'[1]End - Use Prices'!$B$9:$B$11,0)-1,MATCH(AC$1,'[1]End - Use Prices'!$C$7:$AL$7,0))</f>
        <v>26.03</v>
      </c>
      <c r="AD99" s="41">
        <f>INDEX('[1]End - Use Prices'!$C$6:$AL$89,MATCH($C99,'[1]End - Use Prices'!$A$6:$A$89,0)+MATCH($D99,'[1]End - Use Prices'!$B$9:$B$11,0)-1,MATCH(AD$1,'[1]End - Use Prices'!$C$7:$AL$7,0))</f>
        <v>27.78</v>
      </c>
      <c r="AE99" s="41">
        <f>INDEX('[1]End - Use Prices'!$C$6:$AL$89,MATCH($C99,'[1]End - Use Prices'!$A$6:$A$89,0)+MATCH($D99,'[1]End - Use Prices'!$B$9:$B$11,0)-1,MATCH(AE$1,'[1]End - Use Prices'!$C$7:$AL$7,0))</f>
        <v>29.65</v>
      </c>
      <c r="AF99" s="41">
        <f>INDEX('[1]End - Use Prices'!$C$6:$AL$89,MATCH($C99,'[1]End - Use Prices'!$A$6:$A$89,0)+MATCH($D99,'[1]End - Use Prices'!$B$9:$B$11,0)-1,MATCH(AF$1,'[1]End - Use Prices'!$C$7:$AL$7,0))</f>
        <v>27.25</v>
      </c>
      <c r="AG99" s="41">
        <f>INDEX('[1]End - Use Prices'!$C$6:$AL$89,MATCH($C99,'[1]End - Use Prices'!$A$6:$A$89,0)+MATCH($D99,'[1]End - Use Prices'!$B$9:$B$11,0)-1,MATCH(AG$1,'[1]End - Use Prices'!$C$7:$AL$7,0))</f>
        <v>32.840000000000003</v>
      </c>
      <c r="AH99" s="41">
        <f>INDEX('[1]End - Use Prices'!$C$6:$AL$89,MATCH($C99,'[1]End - Use Prices'!$A$6:$A$89,0)+MATCH($D99,'[1]End - Use Prices'!$B$9:$B$11,0)-1,MATCH(AH$1,'[1]End - Use Prices'!$C$7:$AL$7,0))</f>
        <v>24.73</v>
      </c>
      <c r="AI99" s="41">
        <f>INDEX('[1]End - Use Prices'!$C$6:$AL$89,MATCH($C99,'[1]End - Use Prices'!$A$6:$A$89,0)+MATCH($D99,'[1]End - Use Prices'!$B$9:$B$11,0)-1,MATCH(AI$1,'[1]End - Use Prices'!$C$7:$AL$7,0))</f>
        <v>22.55</v>
      </c>
      <c r="AJ99" s="41">
        <f>INDEX('[1]End - Use Prices'!$C$6:$AL$89,MATCH($C99,'[1]End - Use Prices'!$A$6:$A$89,0)+MATCH($D99,'[1]End - Use Prices'!$B$9:$B$11,0)-1,MATCH(AJ$1,'[1]End - Use Prices'!$C$7:$AL$7,0))</f>
        <v>24.52</v>
      </c>
      <c r="AK99" s="41">
        <f>INDEX('[1]End - Use Prices'!$C$6:$AL$89,MATCH($C99,'[1]End - Use Prices'!$A$6:$A$89,0)+MATCH($D99,'[1]End - Use Prices'!$B$9:$B$11,0)-1,MATCH(AK$1,'[1]End - Use Prices'!$C$7:$AL$7,0))</f>
        <v>30.35</v>
      </c>
      <c r="AL99" s="41">
        <f>INDEX('[1]End - Use Prices'!$C$6:$AL$89,MATCH($C99,'[1]End - Use Prices'!$A$6:$A$89,0)+MATCH($D99,'[1]End - Use Prices'!$B$9:$B$11,0)-1,MATCH(AL$1,'[1]End - Use Prices'!$C$7:$AL$7,0))</f>
        <v>34.29</v>
      </c>
      <c r="AM99" s="41">
        <f>INDEX('[1]End - Use Prices'!$C$6:$AL$89,MATCH($C99,'[1]End - Use Prices'!$A$6:$A$89,0)+MATCH($D99,'[1]End - Use Prices'!$B$9:$B$11,0)-1,MATCH(AM$1,'[1]End - Use Prices'!$C$7:$AL$7,0))</f>
        <v>37.21</v>
      </c>
      <c r="AN99" s="41">
        <f>INDEX('[1]End - Use Prices'!$C$6:$AL$89,MATCH($C99,'[1]End - Use Prices'!$A$6:$A$89,0)+MATCH($D99,'[1]End - Use Prices'!$B$9:$B$11,0)-1,MATCH(AN$1,'[1]End - Use Prices'!$C$7:$AL$7,0))</f>
        <v>33.880000000000003</v>
      </c>
      <c r="AO99" s="41">
        <f>INDEX('[1]End - Use Prices'!$C$6:$AL$89,MATCH($C99,'[1]End - Use Prices'!$A$6:$A$89,0)+MATCH($D99,'[1]End - Use Prices'!$B$9:$B$11,0)-1,MATCH(AO$1,'[1]End - Use Prices'!$C$7:$AL$7,0))</f>
        <v>32.43</v>
      </c>
      <c r="AP99" s="41">
        <f>INDEX('[1]End - Use Prices'!$C$6:$AL$89,MATCH($C99,'[1]End - Use Prices'!$A$6:$A$89,0)+MATCH($D99,'[1]End - Use Prices'!$B$9:$B$11,0)-1,MATCH(AP$1,'[1]End - Use Prices'!$C$7:$AL$7,0))</f>
        <v>32.590000000000003</v>
      </c>
      <c r="AQ99" s="41">
        <f>INDEX('[1]End - Use Prices'!$C$6:$AL$89,MATCH($C99,'[1]End - Use Prices'!$A$6:$A$89,0)+MATCH($D99,'[1]End - Use Prices'!$B$9:$B$11,0)-1,MATCH(AQ$1,'[1]End - Use Prices'!$C$7:$AL$7,0))</f>
        <v>32.33</v>
      </c>
      <c r="AR99" s="41">
        <f>INDEX('[1]End - Use Prices'!$C$6:$AL$89,MATCH($C99,'[1]End - Use Prices'!$A$6:$A$89,0)+MATCH($D99,'[1]End - Use Prices'!$B$9:$B$11,0)-1,MATCH(AR$1,'[1]End - Use Prices'!$C$7:$AL$7,0))</f>
        <v>32.299999999999997</v>
      </c>
      <c r="AS99" s="41">
        <f>INDEX('[1]End - Use Prices'!$C$6:$AL$89,MATCH($C99,'[1]End - Use Prices'!$A$6:$A$89,0)+MATCH($D99,'[1]End - Use Prices'!$B$9:$B$11,0)-1,MATCH(AS$1,'[1]End - Use Prices'!$C$7:$AL$7,0))</f>
        <v>32.22</v>
      </c>
      <c r="AT99" s="41">
        <f>INDEX('[1]End - Use Prices'!$C$6:$AL$89,MATCH($C99,'[1]End - Use Prices'!$A$6:$A$89,0)+MATCH($D99,'[1]End - Use Prices'!$B$9:$B$11,0)-1,MATCH(AT$1,'[1]End - Use Prices'!$C$7:$AL$7,0))</f>
        <v>32.049999999999997</v>
      </c>
      <c r="AU99" s="41">
        <f>INDEX('[1]End - Use Prices'!$C$6:$AL$89,MATCH($C99,'[1]End - Use Prices'!$A$6:$A$89,0)+MATCH($D99,'[1]End - Use Prices'!$B$9:$B$11,0)-1,MATCH(AU$1,'[1]End - Use Prices'!$C$7:$AL$7,0))</f>
        <v>31.84</v>
      </c>
      <c r="AV99" s="41">
        <f>INDEX('[1]End - Use Prices'!$C$6:$AL$89,MATCH($C99,'[1]End - Use Prices'!$A$6:$A$89,0)+MATCH($D99,'[1]End - Use Prices'!$B$9:$B$11,0)-1,MATCH(AV$1,'[1]End - Use Prices'!$C$7:$AL$7,0))</f>
        <v>31.67</v>
      </c>
      <c r="AW99" s="41">
        <f>INDEX('[1]End - Use Prices'!$C$6:$AL$89,MATCH($C99,'[1]End - Use Prices'!$A$6:$A$89,0)+MATCH($D99,'[1]End - Use Prices'!$B$9:$B$11,0)-1,MATCH(AW$1,'[1]End - Use Prices'!$C$7:$AL$7,0))</f>
        <v>31.49</v>
      </c>
      <c r="AX99" s="41">
        <f>INDEX('[1]End - Use Prices'!$C$6:$AL$89,MATCH($C99,'[1]End - Use Prices'!$A$6:$A$89,0)+MATCH($D99,'[1]End - Use Prices'!$B$9:$B$11,0)-1,MATCH(AX$1,'[1]End - Use Prices'!$C$7:$AL$7,0))</f>
        <v>31.39</v>
      </c>
      <c r="AY99" s="41">
        <f>INDEX('[1]End - Use Prices'!$C$6:$AL$89,MATCH($C99,'[1]End - Use Prices'!$A$6:$A$89,0)+MATCH($D99,'[1]End - Use Prices'!$B$9:$B$11,0)-1,MATCH(AY$1,'[1]End - Use Prices'!$C$7:$AL$7,0))</f>
        <v>31.32</v>
      </c>
      <c r="AZ99" s="41">
        <f>INDEX('[1]End - Use Prices'!$C$6:$AL$89,MATCH($C99,'[1]End - Use Prices'!$A$6:$A$89,0)+MATCH($D99,'[1]End - Use Prices'!$B$9:$B$11,0)-1,MATCH(AZ$1,'[1]End - Use Prices'!$C$7:$AL$7,0))</f>
        <v>31.28</v>
      </c>
      <c r="BA99" s="41">
        <f>INDEX('[1]End - Use Prices'!$C$6:$AL$89,MATCH($C99,'[1]End - Use Prices'!$A$6:$A$89,0)+MATCH($D99,'[1]End - Use Prices'!$B$9:$B$11,0)-1,MATCH(BA$1,'[1]End - Use Prices'!$C$7:$AL$7,0))</f>
        <v>31.27</v>
      </c>
      <c r="BB99" s="41">
        <f>INDEX('[1]End - Use Prices'!$C$6:$AL$89,MATCH($C99,'[1]End - Use Prices'!$A$6:$A$89,0)+MATCH($D99,'[1]End - Use Prices'!$B$9:$B$11,0)-1,MATCH(BB$1,'[1]End - Use Prices'!$C$7:$AL$7,0))</f>
        <v>31.25</v>
      </c>
      <c r="BC99" s="41">
        <f>INDEX('[1]End - Use Prices'!$C$6:$AL$89,MATCH($C99,'[1]End - Use Prices'!$A$6:$A$89,0)+MATCH($D99,'[1]End - Use Prices'!$B$9:$B$11,0)-1,MATCH(BC$1,'[1]End - Use Prices'!$C$7:$AL$7,0))</f>
        <v>31.21</v>
      </c>
      <c r="BD99" s="41">
        <f>INDEX('[1]End - Use Prices'!$C$6:$AL$89,MATCH($C99,'[1]End - Use Prices'!$A$6:$A$89,0)+MATCH($D99,'[1]End - Use Prices'!$B$9:$B$11,0)-1,MATCH(BD$1,'[1]End - Use Prices'!$C$7:$AL$7,0))</f>
        <v>31.15</v>
      </c>
      <c r="BE99" s="41">
        <f>INDEX('[1]End - Use Prices'!$C$6:$AL$89,MATCH($C99,'[1]End - Use Prices'!$A$6:$A$89,0)+MATCH($D99,'[1]End - Use Prices'!$B$9:$B$11,0)-1,MATCH(BE$1,'[1]End - Use Prices'!$C$7:$AL$7,0))</f>
        <v>31.06</v>
      </c>
      <c r="BF99" s="41">
        <f>INDEX('[1]End - Use Prices'!$C$6:$AL$89,MATCH($C99,'[1]End - Use Prices'!$A$6:$A$89,0)+MATCH($D99,'[1]End - Use Prices'!$B$9:$B$11,0)-1,MATCH(BF$1,'[1]End - Use Prices'!$C$7:$AL$7,0))</f>
        <v>30.98</v>
      </c>
      <c r="BG99" s="41">
        <f>INDEX('[1]End - Use Prices'!$C$6:$AL$89,MATCH($C99,'[1]End - Use Prices'!$A$6:$A$89,0)+MATCH($D99,'[1]End - Use Prices'!$B$9:$B$11,0)-1,MATCH(BG$1,'[1]End - Use Prices'!$C$7:$AL$7,0))</f>
        <v>30.88</v>
      </c>
      <c r="BR99" s="39"/>
      <c r="BS99" s="39"/>
      <c r="BT99" s="39"/>
      <c r="BU99" s="39"/>
      <c r="BV99" s="39"/>
      <c r="BW99" s="39"/>
      <c r="BX99" s="39"/>
      <c r="BY99" s="39"/>
      <c r="BZ99" s="39"/>
      <c r="CA99" s="39"/>
    </row>
    <row r="100" spans="1:79" x14ac:dyDescent="0.25">
      <c r="A100" s="5"/>
      <c r="B100" s="3"/>
      <c r="C100" s="25" t="s">
        <v>61</v>
      </c>
      <c r="D100" s="25" t="s">
        <v>280</v>
      </c>
      <c r="E100" s="25" t="s">
        <v>282</v>
      </c>
      <c r="F100" s="67" t="s">
        <v>279</v>
      </c>
      <c r="G100" s="53">
        <f t="shared" si="11"/>
        <v>28.98</v>
      </c>
      <c r="H100" s="34">
        <f t="shared" si="16"/>
        <v>28.98</v>
      </c>
      <c r="I100" s="34">
        <f t="shared" si="16"/>
        <v>29.71</v>
      </c>
      <c r="J100" s="34">
        <f t="shared" si="16"/>
        <v>29.49</v>
      </c>
      <c r="K100" s="34">
        <f t="shared" si="16"/>
        <v>41.92</v>
      </c>
      <c r="L100" s="34">
        <f t="shared" si="16"/>
        <v>36</v>
      </c>
      <c r="M100" s="34">
        <f t="shared" si="16"/>
        <v>35.03</v>
      </c>
      <c r="N100" s="34">
        <f t="shared" si="16"/>
        <v>34.64</v>
      </c>
      <c r="O100" s="34">
        <f t="shared" si="16"/>
        <v>34.14</v>
      </c>
      <c r="P100" s="53">
        <f t="shared" si="15"/>
        <v>34.14</v>
      </c>
      <c r="Q100" s="53">
        <f t="shared" si="15"/>
        <v>34.14</v>
      </c>
      <c r="R100" s="38"/>
      <c r="X100" s="41">
        <f>INDEX('[1]End - Use Prices'!$C$6:$AL$89,MATCH($C100,'[1]End - Use Prices'!$A$6:$A$89,0)+MATCH($D100,'[1]End - Use Prices'!$B$9:$B$11,0)-1,MATCH(X$1,'[1]End - Use Prices'!$C$7:$AL$7,0))</f>
        <v>28.98</v>
      </c>
      <c r="Y100" s="41">
        <f>INDEX('[1]End - Use Prices'!$C$6:$AL$89,MATCH($C100,'[1]End - Use Prices'!$A$6:$A$89,0)+MATCH($D100,'[1]End - Use Prices'!$B$9:$B$11,0)-1,MATCH(Y$1,'[1]End - Use Prices'!$C$7:$AL$7,0))</f>
        <v>28.54</v>
      </c>
      <c r="Z100" s="41">
        <f>INDEX('[1]End - Use Prices'!$C$6:$AL$89,MATCH($C100,'[1]End - Use Prices'!$A$6:$A$89,0)+MATCH($D100,'[1]End - Use Prices'!$B$9:$B$11,0)-1,MATCH(Z$1,'[1]End - Use Prices'!$C$7:$AL$7,0))</f>
        <v>29.02</v>
      </c>
      <c r="AA100" s="41">
        <f>INDEX('[1]End - Use Prices'!$C$6:$AL$89,MATCH($C100,'[1]End - Use Prices'!$A$6:$A$89,0)+MATCH($D100,'[1]End - Use Prices'!$B$9:$B$11,0)-1,MATCH(AA$1,'[1]End - Use Prices'!$C$7:$AL$7,0))</f>
        <v>34.479999999999997</v>
      </c>
      <c r="AB100" s="41">
        <f>INDEX('[1]End - Use Prices'!$C$6:$AL$89,MATCH($C100,'[1]End - Use Prices'!$A$6:$A$89,0)+MATCH($D100,'[1]End - Use Prices'!$B$9:$B$11,0)-1,MATCH(AB$1,'[1]End - Use Prices'!$C$7:$AL$7,0))</f>
        <v>25.41</v>
      </c>
      <c r="AC100" s="41">
        <f>INDEX('[1]End - Use Prices'!$C$6:$AL$89,MATCH($C100,'[1]End - Use Prices'!$A$6:$A$89,0)+MATCH($D100,'[1]End - Use Prices'!$B$9:$B$11,0)-1,MATCH(AC$1,'[1]End - Use Prices'!$C$7:$AL$7,0))</f>
        <v>29.71</v>
      </c>
      <c r="AD100" s="41">
        <f>INDEX('[1]End - Use Prices'!$C$6:$AL$89,MATCH($C100,'[1]End - Use Prices'!$A$6:$A$89,0)+MATCH($D100,'[1]End - Use Prices'!$B$9:$B$11,0)-1,MATCH(AD$1,'[1]End - Use Prices'!$C$7:$AL$7,0))</f>
        <v>34.4</v>
      </c>
      <c r="AE100" s="41">
        <f>INDEX('[1]End - Use Prices'!$C$6:$AL$89,MATCH($C100,'[1]End - Use Prices'!$A$6:$A$89,0)+MATCH($D100,'[1]End - Use Prices'!$B$9:$B$11,0)-1,MATCH(AE$1,'[1]End - Use Prices'!$C$7:$AL$7,0))</f>
        <v>35.71</v>
      </c>
      <c r="AF100" s="41">
        <f>INDEX('[1]End - Use Prices'!$C$6:$AL$89,MATCH($C100,'[1]End - Use Prices'!$A$6:$A$89,0)+MATCH($D100,'[1]End - Use Prices'!$B$9:$B$11,0)-1,MATCH(AF$1,'[1]End - Use Prices'!$C$7:$AL$7,0))</f>
        <v>35.47</v>
      </c>
      <c r="AG100" s="41">
        <f>INDEX('[1]End - Use Prices'!$C$6:$AL$89,MATCH($C100,'[1]End - Use Prices'!$A$6:$A$89,0)+MATCH($D100,'[1]End - Use Prices'!$B$9:$B$11,0)-1,MATCH(AG$1,'[1]End - Use Prices'!$C$7:$AL$7,0))</f>
        <v>35.78</v>
      </c>
      <c r="AH100" s="41">
        <f>INDEX('[1]End - Use Prices'!$C$6:$AL$89,MATCH($C100,'[1]End - Use Prices'!$A$6:$A$89,0)+MATCH($D100,'[1]End - Use Prices'!$B$9:$B$11,0)-1,MATCH(AH$1,'[1]End - Use Prices'!$C$7:$AL$7,0))</f>
        <v>29.49</v>
      </c>
      <c r="AI100" s="41">
        <f>INDEX('[1]End - Use Prices'!$C$6:$AL$89,MATCH($C100,'[1]End - Use Prices'!$A$6:$A$89,0)+MATCH($D100,'[1]End - Use Prices'!$B$9:$B$11,0)-1,MATCH(AI$1,'[1]End - Use Prices'!$C$7:$AL$7,0))</f>
        <v>26.92</v>
      </c>
      <c r="AJ100" s="41">
        <f>INDEX('[1]End - Use Prices'!$C$6:$AL$89,MATCH($C100,'[1]End - Use Prices'!$A$6:$A$89,0)+MATCH($D100,'[1]End - Use Prices'!$B$9:$B$11,0)-1,MATCH(AJ$1,'[1]End - Use Prices'!$C$7:$AL$7,0))</f>
        <v>29.45</v>
      </c>
      <c r="AK100" s="41">
        <f>INDEX('[1]End - Use Prices'!$C$6:$AL$89,MATCH($C100,'[1]End - Use Prices'!$A$6:$A$89,0)+MATCH($D100,'[1]End - Use Prices'!$B$9:$B$11,0)-1,MATCH(AK$1,'[1]End - Use Prices'!$C$7:$AL$7,0))</f>
        <v>33.119999999999997</v>
      </c>
      <c r="AL100" s="41">
        <f>INDEX('[1]End - Use Prices'!$C$6:$AL$89,MATCH($C100,'[1]End - Use Prices'!$A$6:$A$89,0)+MATCH($D100,'[1]End - Use Prices'!$B$9:$B$11,0)-1,MATCH(AL$1,'[1]End - Use Prices'!$C$7:$AL$7,0))</f>
        <v>38.61</v>
      </c>
      <c r="AM100" s="41">
        <f>INDEX('[1]End - Use Prices'!$C$6:$AL$89,MATCH($C100,'[1]End - Use Prices'!$A$6:$A$89,0)+MATCH($D100,'[1]End - Use Prices'!$B$9:$B$11,0)-1,MATCH(AM$1,'[1]End - Use Prices'!$C$7:$AL$7,0))</f>
        <v>41.92</v>
      </c>
      <c r="AN100" s="41">
        <f>INDEX('[1]End - Use Prices'!$C$6:$AL$89,MATCH($C100,'[1]End - Use Prices'!$A$6:$A$89,0)+MATCH($D100,'[1]End - Use Prices'!$B$9:$B$11,0)-1,MATCH(AN$1,'[1]End - Use Prices'!$C$7:$AL$7,0))</f>
        <v>38.94</v>
      </c>
      <c r="AO100" s="41">
        <f>INDEX('[1]End - Use Prices'!$C$6:$AL$89,MATCH($C100,'[1]End - Use Prices'!$A$6:$A$89,0)+MATCH($D100,'[1]End - Use Prices'!$B$9:$B$11,0)-1,MATCH(AO$1,'[1]End - Use Prices'!$C$7:$AL$7,0))</f>
        <v>36.979999999999997</v>
      </c>
      <c r="AP100" s="41">
        <f>INDEX('[1]End - Use Prices'!$C$6:$AL$89,MATCH($C100,'[1]End - Use Prices'!$A$6:$A$89,0)+MATCH($D100,'[1]End - Use Prices'!$B$9:$B$11,0)-1,MATCH(AP$1,'[1]End - Use Prices'!$C$7:$AL$7,0))</f>
        <v>36.39</v>
      </c>
      <c r="AQ100" s="41">
        <f>INDEX('[1]End - Use Prices'!$C$6:$AL$89,MATCH($C100,'[1]End - Use Prices'!$A$6:$A$89,0)+MATCH($D100,'[1]End - Use Prices'!$B$9:$B$11,0)-1,MATCH(AQ$1,'[1]End - Use Prices'!$C$7:$AL$7,0))</f>
        <v>36.08</v>
      </c>
      <c r="AR100" s="41">
        <f>INDEX('[1]End - Use Prices'!$C$6:$AL$89,MATCH($C100,'[1]End - Use Prices'!$A$6:$A$89,0)+MATCH($D100,'[1]End - Use Prices'!$B$9:$B$11,0)-1,MATCH(AR$1,'[1]End - Use Prices'!$C$7:$AL$7,0))</f>
        <v>36</v>
      </c>
      <c r="AS100" s="41">
        <f>INDEX('[1]End - Use Prices'!$C$6:$AL$89,MATCH($C100,'[1]End - Use Prices'!$A$6:$A$89,0)+MATCH($D100,'[1]End - Use Prices'!$B$9:$B$11,0)-1,MATCH(AS$1,'[1]End - Use Prices'!$C$7:$AL$7,0))</f>
        <v>35.89</v>
      </c>
      <c r="AT100" s="41">
        <f>INDEX('[1]End - Use Prices'!$C$6:$AL$89,MATCH($C100,'[1]End - Use Prices'!$A$6:$A$89,0)+MATCH($D100,'[1]End - Use Prices'!$B$9:$B$11,0)-1,MATCH(AT$1,'[1]End - Use Prices'!$C$7:$AL$7,0))</f>
        <v>35.68</v>
      </c>
      <c r="AU100" s="41">
        <f>INDEX('[1]End - Use Prices'!$C$6:$AL$89,MATCH($C100,'[1]End - Use Prices'!$A$6:$A$89,0)+MATCH($D100,'[1]End - Use Prices'!$B$9:$B$11,0)-1,MATCH(AU$1,'[1]End - Use Prices'!$C$7:$AL$7,0))</f>
        <v>35.44</v>
      </c>
      <c r="AV100" s="41">
        <f>INDEX('[1]End - Use Prices'!$C$6:$AL$89,MATCH($C100,'[1]End - Use Prices'!$A$6:$A$89,0)+MATCH($D100,'[1]End - Use Prices'!$B$9:$B$11,0)-1,MATCH(AV$1,'[1]End - Use Prices'!$C$7:$AL$7,0))</f>
        <v>35.229999999999997</v>
      </c>
      <c r="AW100" s="41">
        <f>INDEX('[1]End - Use Prices'!$C$6:$AL$89,MATCH($C100,'[1]End - Use Prices'!$A$6:$A$89,0)+MATCH($D100,'[1]End - Use Prices'!$B$9:$B$11,0)-1,MATCH(AW$1,'[1]End - Use Prices'!$C$7:$AL$7,0))</f>
        <v>35.03</v>
      </c>
      <c r="AX100" s="41">
        <f>INDEX('[1]End - Use Prices'!$C$6:$AL$89,MATCH($C100,'[1]End - Use Prices'!$A$6:$A$89,0)+MATCH($D100,'[1]End - Use Prices'!$B$9:$B$11,0)-1,MATCH(AX$1,'[1]End - Use Prices'!$C$7:$AL$7,0))</f>
        <v>34.89</v>
      </c>
      <c r="AY100" s="41">
        <f>INDEX('[1]End - Use Prices'!$C$6:$AL$89,MATCH($C100,'[1]End - Use Prices'!$A$6:$A$89,0)+MATCH($D100,'[1]End - Use Prices'!$B$9:$B$11,0)-1,MATCH(AY$1,'[1]End - Use Prices'!$C$7:$AL$7,0))</f>
        <v>34.79</v>
      </c>
      <c r="AZ100" s="41">
        <f>INDEX('[1]End - Use Prices'!$C$6:$AL$89,MATCH($C100,'[1]End - Use Prices'!$A$6:$A$89,0)+MATCH($D100,'[1]End - Use Prices'!$B$9:$B$11,0)-1,MATCH(AZ$1,'[1]End - Use Prices'!$C$7:$AL$7,0))</f>
        <v>34.729999999999997</v>
      </c>
      <c r="BA100" s="41">
        <f>INDEX('[1]End - Use Prices'!$C$6:$AL$89,MATCH($C100,'[1]End - Use Prices'!$A$6:$A$89,0)+MATCH($D100,'[1]End - Use Prices'!$B$9:$B$11,0)-1,MATCH(BA$1,'[1]End - Use Prices'!$C$7:$AL$7,0))</f>
        <v>34.69</v>
      </c>
      <c r="BB100" s="41">
        <f>INDEX('[1]End - Use Prices'!$C$6:$AL$89,MATCH($C100,'[1]End - Use Prices'!$A$6:$A$89,0)+MATCH($D100,'[1]End - Use Prices'!$B$9:$B$11,0)-1,MATCH(BB$1,'[1]End - Use Prices'!$C$7:$AL$7,0))</f>
        <v>34.64</v>
      </c>
      <c r="BC100" s="41">
        <f>INDEX('[1]End - Use Prices'!$C$6:$AL$89,MATCH($C100,'[1]End - Use Prices'!$A$6:$A$89,0)+MATCH($D100,'[1]End - Use Prices'!$B$9:$B$11,0)-1,MATCH(BC$1,'[1]End - Use Prices'!$C$7:$AL$7,0))</f>
        <v>34.58</v>
      </c>
      <c r="BD100" s="41">
        <f>INDEX('[1]End - Use Prices'!$C$6:$AL$89,MATCH($C100,'[1]End - Use Prices'!$A$6:$A$89,0)+MATCH($D100,'[1]End - Use Prices'!$B$9:$B$11,0)-1,MATCH(BD$1,'[1]End - Use Prices'!$C$7:$AL$7,0))</f>
        <v>34.49</v>
      </c>
      <c r="BE100" s="41">
        <f>INDEX('[1]End - Use Prices'!$C$6:$AL$89,MATCH($C100,'[1]End - Use Prices'!$A$6:$A$89,0)+MATCH($D100,'[1]End - Use Prices'!$B$9:$B$11,0)-1,MATCH(BE$1,'[1]End - Use Prices'!$C$7:$AL$7,0))</f>
        <v>34.380000000000003</v>
      </c>
      <c r="BF100" s="41">
        <f>INDEX('[1]End - Use Prices'!$C$6:$AL$89,MATCH($C100,'[1]End - Use Prices'!$A$6:$A$89,0)+MATCH($D100,'[1]End - Use Prices'!$B$9:$B$11,0)-1,MATCH(BF$1,'[1]End - Use Prices'!$C$7:$AL$7,0))</f>
        <v>34.270000000000003</v>
      </c>
      <c r="BG100" s="41">
        <f>INDEX('[1]End - Use Prices'!$C$6:$AL$89,MATCH($C100,'[1]End - Use Prices'!$A$6:$A$89,0)+MATCH($D100,'[1]End - Use Prices'!$B$9:$B$11,0)-1,MATCH(BG$1,'[1]End - Use Prices'!$C$7:$AL$7,0))</f>
        <v>34.14</v>
      </c>
      <c r="BR100" s="39"/>
      <c r="BS100" s="39"/>
      <c r="BT100" s="39"/>
      <c r="BU100" s="39"/>
      <c r="BV100" s="39"/>
      <c r="BW100" s="39"/>
      <c r="BX100" s="39"/>
      <c r="BY100" s="39"/>
      <c r="BZ100" s="39"/>
      <c r="CA100" s="39"/>
    </row>
    <row r="101" spans="1:79" x14ac:dyDescent="0.25">
      <c r="A101" s="5"/>
      <c r="B101" s="3"/>
      <c r="C101" s="25" t="s">
        <v>93</v>
      </c>
      <c r="D101" s="25" t="s">
        <v>280</v>
      </c>
      <c r="E101" s="25" t="s">
        <v>282</v>
      </c>
      <c r="F101" s="67" t="s">
        <v>279</v>
      </c>
      <c r="G101" s="53">
        <f t="shared" si="11"/>
        <v>29.08</v>
      </c>
      <c r="H101" s="34">
        <f t="shared" si="16"/>
        <v>29.08</v>
      </c>
      <c r="I101" s="34">
        <f t="shared" si="16"/>
        <v>31.56</v>
      </c>
      <c r="J101" s="34">
        <f t="shared" si="16"/>
        <v>29.89</v>
      </c>
      <c r="K101" s="34">
        <f t="shared" si="16"/>
        <v>37.340000000000003</v>
      </c>
      <c r="L101" s="34">
        <f t="shared" si="16"/>
        <v>32.57</v>
      </c>
      <c r="M101" s="34">
        <f t="shared" si="16"/>
        <v>32.04</v>
      </c>
      <c r="N101" s="34">
        <f t="shared" si="16"/>
        <v>32.03</v>
      </c>
      <c r="O101" s="34">
        <f t="shared" si="16"/>
        <v>31.87</v>
      </c>
      <c r="P101" s="53">
        <f t="shared" si="15"/>
        <v>31.87</v>
      </c>
      <c r="Q101" s="53">
        <f t="shared" si="15"/>
        <v>31.87</v>
      </c>
      <c r="R101" s="38"/>
      <c r="X101" s="41">
        <f>INDEX('[1]End - Use Prices'!$C$6:$AL$89,MATCH($C101,'[1]End - Use Prices'!$A$6:$A$89,0)+MATCH($D101,'[1]End - Use Prices'!$B$9:$B$11,0)-1,MATCH(X$1,'[1]End - Use Prices'!$C$7:$AL$7,0))</f>
        <v>29.08</v>
      </c>
      <c r="Y101" s="41">
        <f>INDEX('[1]End - Use Prices'!$C$6:$AL$89,MATCH($C101,'[1]End - Use Prices'!$A$6:$A$89,0)+MATCH($D101,'[1]End - Use Prices'!$B$9:$B$11,0)-1,MATCH(Y$1,'[1]End - Use Prices'!$C$7:$AL$7,0))</f>
        <v>30.15</v>
      </c>
      <c r="Z101" s="41">
        <f>INDEX('[1]End - Use Prices'!$C$6:$AL$89,MATCH($C101,'[1]End - Use Prices'!$A$6:$A$89,0)+MATCH($D101,'[1]End - Use Prices'!$B$9:$B$11,0)-1,MATCH(Z$1,'[1]End - Use Prices'!$C$7:$AL$7,0))</f>
        <v>31.73</v>
      </c>
      <c r="AA101" s="41">
        <f>INDEX('[1]End - Use Prices'!$C$6:$AL$89,MATCH($C101,'[1]End - Use Prices'!$A$6:$A$89,0)+MATCH($D101,'[1]End - Use Prices'!$B$9:$B$11,0)-1,MATCH(AA$1,'[1]End - Use Prices'!$C$7:$AL$7,0))</f>
        <v>37.46</v>
      </c>
      <c r="AB101" s="41">
        <f>INDEX('[1]End - Use Prices'!$C$6:$AL$89,MATCH($C101,'[1]End - Use Prices'!$A$6:$A$89,0)+MATCH($D101,'[1]End - Use Prices'!$B$9:$B$11,0)-1,MATCH(AB$1,'[1]End - Use Prices'!$C$7:$AL$7,0))</f>
        <v>28.89</v>
      </c>
      <c r="AC101" s="41">
        <f>INDEX('[1]End - Use Prices'!$C$6:$AL$89,MATCH($C101,'[1]End - Use Prices'!$A$6:$A$89,0)+MATCH($D101,'[1]End - Use Prices'!$B$9:$B$11,0)-1,MATCH(AC$1,'[1]End - Use Prices'!$C$7:$AL$7,0))</f>
        <v>31.56</v>
      </c>
      <c r="AD101" s="41">
        <f>INDEX('[1]End - Use Prices'!$C$6:$AL$89,MATCH($C101,'[1]End - Use Prices'!$A$6:$A$89,0)+MATCH($D101,'[1]End - Use Prices'!$B$9:$B$11,0)-1,MATCH(AD$1,'[1]End - Use Prices'!$C$7:$AL$7,0))</f>
        <v>36.9</v>
      </c>
      <c r="AE101" s="41">
        <f>INDEX('[1]End - Use Prices'!$C$6:$AL$89,MATCH($C101,'[1]End - Use Prices'!$A$6:$A$89,0)+MATCH($D101,'[1]End - Use Prices'!$B$9:$B$11,0)-1,MATCH(AE$1,'[1]End - Use Prices'!$C$7:$AL$7,0))</f>
        <v>38.08</v>
      </c>
      <c r="AF101" s="41">
        <f>INDEX('[1]End - Use Prices'!$C$6:$AL$89,MATCH($C101,'[1]End - Use Prices'!$A$6:$A$89,0)+MATCH($D101,'[1]End - Use Prices'!$B$9:$B$11,0)-1,MATCH(AF$1,'[1]End - Use Prices'!$C$7:$AL$7,0))</f>
        <v>36.86</v>
      </c>
      <c r="AG101" s="41">
        <f>INDEX('[1]End - Use Prices'!$C$6:$AL$89,MATCH($C101,'[1]End - Use Prices'!$A$6:$A$89,0)+MATCH($D101,'[1]End - Use Prices'!$B$9:$B$11,0)-1,MATCH(AG$1,'[1]End - Use Prices'!$C$7:$AL$7,0))</f>
        <v>37.01</v>
      </c>
      <c r="AH101" s="41">
        <f>INDEX('[1]End - Use Prices'!$C$6:$AL$89,MATCH($C101,'[1]End - Use Prices'!$A$6:$A$89,0)+MATCH($D101,'[1]End - Use Prices'!$B$9:$B$11,0)-1,MATCH(AH$1,'[1]End - Use Prices'!$C$7:$AL$7,0))</f>
        <v>29.89</v>
      </c>
      <c r="AI101" s="41">
        <f>INDEX('[1]End - Use Prices'!$C$6:$AL$89,MATCH($C101,'[1]End - Use Prices'!$A$6:$A$89,0)+MATCH($D101,'[1]End - Use Prices'!$B$9:$B$11,0)-1,MATCH(AI$1,'[1]End - Use Prices'!$C$7:$AL$7,0))</f>
        <v>25.86</v>
      </c>
      <c r="AJ101" s="41">
        <f>INDEX('[1]End - Use Prices'!$C$6:$AL$89,MATCH($C101,'[1]End - Use Prices'!$A$6:$A$89,0)+MATCH($D101,'[1]End - Use Prices'!$B$9:$B$11,0)-1,MATCH(AJ$1,'[1]End - Use Prices'!$C$7:$AL$7,0))</f>
        <v>27.9</v>
      </c>
      <c r="AK101" s="41">
        <f>INDEX('[1]End - Use Prices'!$C$6:$AL$89,MATCH($C101,'[1]End - Use Prices'!$A$6:$A$89,0)+MATCH($D101,'[1]End - Use Prices'!$B$9:$B$11,0)-1,MATCH(AK$1,'[1]End - Use Prices'!$C$7:$AL$7,0))</f>
        <v>31.56</v>
      </c>
      <c r="AL101" s="41">
        <f>INDEX('[1]End - Use Prices'!$C$6:$AL$89,MATCH($C101,'[1]End - Use Prices'!$A$6:$A$89,0)+MATCH($D101,'[1]End - Use Prices'!$B$9:$B$11,0)-1,MATCH(AL$1,'[1]End - Use Prices'!$C$7:$AL$7,0))</f>
        <v>33.29</v>
      </c>
      <c r="AM101" s="41">
        <f>INDEX('[1]End - Use Prices'!$C$6:$AL$89,MATCH($C101,'[1]End - Use Prices'!$A$6:$A$89,0)+MATCH($D101,'[1]End - Use Prices'!$B$9:$B$11,0)-1,MATCH(AM$1,'[1]End - Use Prices'!$C$7:$AL$7,0))</f>
        <v>37.340000000000003</v>
      </c>
      <c r="AN101" s="41">
        <f>INDEX('[1]End - Use Prices'!$C$6:$AL$89,MATCH($C101,'[1]End - Use Prices'!$A$6:$A$89,0)+MATCH($D101,'[1]End - Use Prices'!$B$9:$B$11,0)-1,MATCH(AN$1,'[1]End - Use Prices'!$C$7:$AL$7,0))</f>
        <v>34.270000000000003</v>
      </c>
      <c r="AO101" s="41">
        <f>INDEX('[1]End - Use Prices'!$C$6:$AL$89,MATCH($C101,'[1]End - Use Prices'!$A$6:$A$89,0)+MATCH($D101,'[1]End - Use Prices'!$B$9:$B$11,0)-1,MATCH(AO$1,'[1]End - Use Prices'!$C$7:$AL$7,0))</f>
        <v>32.229999999999997</v>
      </c>
      <c r="AP101" s="41">
        <f>INDEX('[1]End - Use Prices'!$C$6:$AL$89,MATCH($C101,'[1]End - Use Prices'!$A$6:$A$89,0)+MATCH($D101,'[1]End - Use Prices'!$B$9:$B$11,0)-1,MATCH(AP$1,'[1]End - Use Prices'!$C$7:$AL$7,0))</f>
        <v>32.729999999999997</v>
      </c>
      <c r="AQ101" s="41">
        <f>INDEX('[1]End - Use Prices'!$C$6:$AL$89,MATCH($C101,'[1]End - Use Prices'!$A$6:$A$89,0)+MATCH($D101,'[1]End - Use Prices'!$B$9:$B$11,0)-1,MATCH(AQ$1,'[1]End - Use Prices'!$C$7:$AL$7,0))</f>
        <v>32.54</v>
      </c>
      <c r="AR101" s="41">
        <f>INDEX('[1]End - Use Prices'!$C$6:$AL$89,MATCH($C101,'[1]End - Use Prices'!$A$6:$A$89,0)+MATCH($D101,'[1]End - Use Prices'!$B$9:$B$11,0)-1,MATCH(AR$1,'[1]End - Use Prices'!$C$7:$AL$7,0))</f>
        <v>32.57</v>
      </c>
      <c r="AS101" s="41">
        <f>INDEX('[1]End - Use Prices'!$C$6:$AL$89,MATCH($C101,'[1]End - Use Prices'!$A$6:$A$89,0)+MATCH($D101,'[1]End - Use Prices'!$B$9:$B$11,0)-1,MATCH(AS$1,'[1]End - Use Prices'!$C$7:$AL$7,0))</f>
        <v>32.56</v>
      </c>
      <c r="AT101" s="41">
        <f>INDEX('[1]End - Use Prices'!$C$6:$AL$89,MATCH($C101,'[1]End - Use Prices'!$A$6:$A$89,0)+MATCH($D101,'[1]End - Use Prices'!$B$9:$B$11,0)-1,MATCH(AT$1,'[1]End - Use Prices'!$C$7:$AL$7,0))</f>
        <v>32.44</v>
      </c>
      <c r="AU101" s="41">
        <f>INDEX('[1]End - Use Prices'!$C$6:$AL$89,MATCH($C101,'[1]End - Use Prices'!$A$6:$A$89,0)+MATCH($D101,'[1]End - Use Prices'!$B$9:$B$11,0)-1,MATCH(AU$1,'[1]End - Use Prices'!$C$7:$AL$7,0))</f>
        <v>32.29</v>
      </c>
      <c r="AV101" s="41">
        <f>INDEX('[1]End - Use Prices'!$C$6:$AL$89,MATCH($C101,'[1]End - Use Prices'!$A$6:$A$89,0)+MATCH($D101,'[1]End - Use Prices'!$B$9:$B$11,0)-1,MATCH(AV$1,'[1]End - Use Prices'!$C$7:$AL$7,0))</f>
        <v>32.17</v>
      </c>
      <c r="AW101" s="41">
        <f>INDEX('[1]End - Use Prices'!$C$6:$AL$89,MATCH($C101,'[1]End - Use Prices'!$A$6:$A$89,0)+MATCH($D101,'[1]End - Use Prices'!$B$9:$B$11,0)-1,MATCH(AW$1,'[1]End - Use Prices'!$C$7:$AL$7,0))</f>
        <v>32.04</v>
      </c>
      <c r="AX101" s="41">
        <f>INDEX('[1]End - Use Prices'!$C$6:$AL$89,MATCH($C101,'[1]End - Use Prices'!$A$6:$A$89,0)+MATCH($D101,'[1]End - Use Prices'!$B$9:$B$11,0)-1,MATCH(AX$1,'[1]End - Use Prices'!$C$7:$AL$7,0))</f>
        <v>31.98</v>
      </c>
      <c r="AY101" s="41">
        <f>INDEX('[1]End - Use Prices'!$C$6:$AL$89,MATCH($C101,'[1]End - Use Prices'!$A$6:$A$89,0)+MATCH($D101,'[1]End - Use Prices'!$B$9:$B$11,0)-1,MATCH(AY$1,'[1]End - Use Prices'!$C$7:$AL$7,0))</f>
        <v>31.96</v>
      </c>
      <c r="AZ101" s="41">
        <f>INDEX('[1]End - Use Prices'!$C$6:$AL$89,MATCH($C101,'[1]End - Use Prices'!$A$6:$A$89,0)+MATCH($D101,'[1]End - Use Prices'!$B$9:$B$11,0)-1,MATCH(AZ$1,'[1]End - Use Prices'!$C$7:$AL$7,0))</f>
        <v>31.97</v>
      </c>
      <c r="BA101" s="41">
        <f>INDEX('[1]End - Use Prices'!$C$6:$AL$89,MATCH($C101,'[1]End - Use Prices'!$A$6:$A$89,0)+MATCH($D101,'[1]End - Use Prices'!$B$9:$B$11,0)-1,MATCH(BA$1,'[1]End - Use Prices'!$C$7:$AL$7,0))</f>
        <v>32.01</v>
      </c>
      <c r="BB101" s="41">
        <f>INDEX('[1]End - Use Prices'!$C$6:$AL$89,MATCH($C101,'[1]End - Use Prices'!$A$6:$A$89,0)+MATCH($D101,'[1]End - Use Prices'!$B$9:$B$11,0)-1,MATCH(BB$1,'[1]End - Use Prices'!$C$7:$AL$7,0))</f>
        <v>32.03</v>
      </c>
      <c r="BC101" s="41">
        <f>INDEX('[1]End - Use Prices'!$C$6:$AL$89,MATCH($C101,'[1]End - Use Prices'!$A$6:$A$89,0)+MATCH($D101,'[1]End - Use Prices'!$B$9:$B$11,0)-1,MATCH(BC$1,'[1]End - Use Prices'!$C$7:$AL$7,0))</f>
        <v>32.03</v>
      </c>
      <c r="BD101" s="41">
        <f>INDEX('[1]End - Use Prices'!$C$6:$AL$89,MATCH($C101,'[1]End - Use Prices'!$A$6:$A$89,0)+MATCH($D101,'[1]End - Use Prices'!$B$9:$B$11,0)-1,MATCH(BD$1,'[1]End - Use Prices'!$C$7:$AL$7,0))</f>
        <v>32.020000000000003</v>
      </c>
      <c r="BE101" s="41">
        <f>INDEX('[1]End - Use Prices'!$C$6:$AL$89,MATCH($C101,'[1]End - Use Prices'!$A$6:$A$89,0)+MATCH($D101,'[1]End - Use Prices'!$B$9:$B$11,0)-1,MATCH(BE$1,'[1]End - Use Prices'!$C$7:$AL$7,0))</f>
        <v>31.97</v>
      </c>
      <c r="BF101" s="41">
        <f>INDEX('[1]End - Use Prices'!$C$6:$AL$89,MATCH($C101,'[1]End - Use Prices'!$A$6:$A$89,0)+MATCH($D101,'[1]End - Use Prices'!$B$9:$B$11,0)-1,MATCH(BF$1,'[1]End - Use Prices'!$C$7:$AL$7,0))</f>
        <v>31.93</v>
      </c>
      <c r="BG101" s="41">
        <f>INDEX('[1]End - Use Prices'!$C$6:$AL$89,MATCH($C101,'[1]End - Use Prices'!$A$6:$A$89,0)+MATCH($D101,'[1]End - Use Prices'!$B$9:$B$11,0)-1,MATCH(BG$1,'[1]End - Use Prices'!$C$7:$AL$7,0))</f>
        <v>31.87</v>
      </c>
      <c r="BR101" s="39"/>
      <c r="BS101" s="39"/>
      <c r="BT101" s="39"/>
      <c r="BU101" s="39"/>
      <c r="BV101" s="39"/>
      <c r="BW101" s="39"/>
      <c r="BX101" s="39"/>
      <c r="BY101" s="39"/>
      <c r="BZ101" s="39"/>
      <c r="CA101" s="39"/>
    </row>
    <row r="102" spans="1:79" x14ac:dyDescent="0.25">
      <c r="A102" s="5"/>
      <c r="B102" s="3"/>
      <c r="C102" s="25" t="s">
        <v>95</v>
      </c>
      <c r="D102" s="25" t="s">
        <v>280</v>
      </c>
      <c r="E102" s="25" t="s">
        <v>282</v>
      </c>
      <c r="F102" s="67" t="s">
        <v>279</v>
      </c>
      <c r="G102" s="53">
        <f t="shared" si="11"/>
        <v>26.74</v>
      </c>
      <c r="H102" s="34">
        <f t="shared" si="16"/>
        <v>26.74</v>
      </c>
      <c r="I102" s="34">
        <f t="shared" si="16"/>
        <v>28.81</v>
      </c>
      <c r="J102" s="34">
        <f t="shared" si="16"/>
        <v>28.29</v>
      </c>
      <c r="K102" s="34">
        <f t="shared" si="16"/>
        <v>36.4</v>
      </c>
      <c r="L102" s="34">
        <f t="shared" si="16"/>
        <v>31.63</v>
      </c>
      <c r="M102" s="34">
        <f t="shared" si="16"/>
        <v>31.1</v>
      </c>
      <c r="N102" s="34">
        <f t="shared" si="16"/>
        <v>31.09</v>
      </c>
      <c r="O102" s="34">
        <f t="shared" si="16"/>
        <v>30.93</v>
      </c>
      <c r="P102" s="53">
        <f t="shared" ref="P102:Q103" si="17">O102</f>
        <v>30.93</v>
      </c>
      <c r="Q102" s="53">
        <f t="shared" si="17"/>
        <v>30.93</v>
      </c>
      <c r="R102" s="38"/>
      <c r="X102" s="41">
        <f>INDEX('[1]End - Use Prices'!$C$6:$AL$89,MATCH($C102,'[1]End - Use Prices'!$A$6:$A$89,0)+MATCH($D102,'[1]End - Use Prices'!$B$9:$B$11,0)-1,MATCH(X$1,'[1]End - Use Prices'!$C$7:$AL$7,0))</f>
        <v>26.74</v>
      </c>
      <c r="Y102" s="41">
        <f>INDEX('[1]End - Use Prices'!$C$6:$AL$89,MATCH($C102,'[1]End - Use Prices'!$A$6:$A$89,0)+MATCH($D102,'[1]End - Use Prices'!$B$9:$B$11,0)-1,MATCH(Y$1,'[1]End - Use Prices'!$C$7:$AL$7,0))</f>
        <v>27.19</v>
      </c>
      <c r="Z102" s="41">
        <f>INDEX('[1]End - Use Prices'!$C$6:$AL$89,MATCH($C102,'[1]End - Use Prices'!$A$6:$A$89,0)+MATCH($D102,'[1]End - Use Prices'!$B$9:$B$11,0)-1,MATCH(Z$1,'[1]End - Use Prices'!$C$7:$AL$7,0))</f>
        <v>29.89</v>
      </c>
      <c r="AA102" s="41">
        <f>INDEX('[1]End - Use Prices'!$C$6:$AL$89,MATCH($C102,'[1]End - Use Prices'!$A$6:$A$89,0)+MATCH($D102,'[1]End - Use Prices'!$B$9:$B$11,0)-1,MATCH(AA$1,'[1]End - Use Prices'!$C$7:$AL$7,0))</f>
        <v>36.56</v>
      </c>
      <c r="AB102" s="41">
        <f>INDEX('[1]End - Use Prices'!$C$6:$AL$89,MATCH($C102,'[1]End - Use Prices'!$A$6:$A$89,0)+MATCH($D102,'[1]End - Use Prices'!$B$9:$B$11,0)-1,MATCH(AB$1,'[1]End - Use Prices'!$C$7:$AL$7,0))</f>
        <v>26.59</v>
      </c>
      <c r="AC102" s="41">
        <f>INDEX('[1]End - Use Prices'!$C$6:$AL$89,MATCH($C102,'[1]End - Use Prices'!$A$6:$A$89,0)+MATCH($D102,'[1]End - Use Prices'!$B$9:$B$11,0)-1,MATCH(AC$1,'[1]End - Use Prices'!$C$7:$AL$7,0))</f>
        <v>28.81</v>
      </c>
      <c r="AD102" s="41">
        <f>INDEX('[1]End - Use Prices'!$C$6:$AL$89,MATCH($C102,'[1]End - Use Prices'!$A$6:$A$89,0)+MATCH($D102,'[1]End - Use Prices'!$B$9:$B$11,0)-1,MATCH(AD$1,'[1]End - Use Prices'!$C$7:$AL$7,0))</f>
        <v>34.630000000000003</v>
      </c>
      <c r="AE102" s="41">
        <f>INDEX('[1]End - Use Prices'!$C$6:$AL$89,MATCH($C102,'[1]End - Use Prices'!$A$6:$A$89,0)+MATCH($D102,'[1]End - Use Prices'!$B$9:$B$11,0)-1,MATCH(AE$1,'[1]End - Use Prices'!$C$7:$AL$7,0))</f>
        <v>34.79</v>
      </c>
      <c r="AF102" s="41">
        <f>INDEX('[1]End - Use Prices'!$C$6:$AL$89,MATCH($C102,'[1]End - Use Prices'!$A$6:$A$89,0)+MATCH($D102,'[1]End - Use Prices'!$B$9:$B$11,0)-1,MATCH(AF$1,'[1]End - Use Prices'!$C$7:$AL$7,0))</f>
        <v>33.89</v>
      </c>
      <c r="AG102" s="41">
        <f>INDEX('[1]End - Use Prices'!$C$6:$AL$89,MATCH($C102,'[1]End - Use Prices'!$A$6:$A$89,0)+MATCH($D102,'[1]End - Use Prices'!$B$9:$B$11,0)-1,MATCH(AG$1,'[1]End - Use Prices'!$C$7:$AL$7,0))</f>
        <v>36.409999999999997</v>
      </c>
      <c r="AH102" s="41">
        <f>INDEX('[1]End - Use Prices'!$C$6:$AL$89,MATCH($C102,'[1]End - Use Prices'!$A$6:$A$89,0)+MATCH($D102,'[1]End - Use Prices'!$B$9:$B$11,0)-1,MATCH(AH$1,'[1]End - Use Prices'!$C$7:$AL$7,0))</f>
        <v>28.29</v>
      </c>
      <c r="AI102" s="41">
        <f>INDEX('[1]End - Use Prices'!$C$6:$AL$89,MATCH($C102,'[1]End - Use Prices'!$A$6:$A$89,0)+MATCH($D102,'[1]End - Use Prices'!$B$9:$B$11,0)-1,MATCH(AI$1,'[1]End - Use Prices'!$C$7:$AL$7,0))</f>
        <v>24.92</v>
      </c>
      <c r="AJ102" s="41">
        <f>INDEX('[1]End - Use Prices'!$C$6:$AL$89,MATCH($C102,'[1]End - Use Prices'!$A$6:$A$89,0)+MATCH($D102,'[1]End - Use Prices'!$B$9:$B$11,0)-1,MATCH(AJ$1,'[1]End - Use Prices'!$C$7:$AL$7,0))</f>
        <v>27.54</v>
      </c>
      <c r="AK102" s="41">
        <f>INDEX('[1]End - Use Prices'!$C$6:$AL$89,MATCH($C102,'[1]End - Use Prices'!$A$6:$A$89,0)+MATCH($D102,'[1]End - Use Prices'!$B$9:$B$11,0)-1,MATCH(AK$1,'[1]End - Use Prices'!$C$7:$AL$7,0))</f>
        <v>30.62</v>
      </c>
      <c r="AL102" s="41">
        <f>INDEX('[1]End - Use Prices'!$C$6:$AL$89,MATCH($C102,'[1]End - Use Prices'!$A$6:$A$89,0)+MATCH($D102,'[1]End - Use Prices'!$B$9:$B$11,0)-1,MATCH(AL$1,'[1]End - Use Prices'!$C$7:$AL$7,0))</f>
        <v>32.35</v>
      </c>
      <c r="AM102" s="41">
        <f>INDEX('[1]End - Use Prices'!$C$6:$AL$89,MATCH($C102,'[1]End - Use Prices'!$A$6:$A$89,0)+MATCH($D102,'[1]End - Use Prices'!$B$9:$B$11,0)-1,MATCH(AM$1,'[1]End - Use Prices'!$C$7:$AL$7,0))</f>
        <v>36.4</v>
      </c>
      <c r="AN102" s="41">
        <f>INDEX('[1]End - Use Prices'!$C$6:$AL$89,MATCH($C102,'[1]End - Use Prices'!$A$6:$A$89,0)+MATCH($D102,'[1]End - Use Prices'!$B$9:$B$11,0)-1,MATCH(AN$1,'[1]End - Use Prices'!$C$7:$AL$7,0))</f>
        <v>33.33</v>
      </c>
      <c r="AO102" s="41">
        <f>INDEX('[1]End - Use Prices'!$C$6:$AL$89,MATCH($C102,'[1]End - Use Prices'!$A$6:$A$89,0)+MATCH($D102,'[1]End - Use Prices'!$B$9:$B$11,0)-1,MATCH(AO$1,'[1]End - Use Prices'!$C$7:$AL$7,0))</f>
        <v>31.29</v>
      </c>
      <c r="AP102" s="41">
        <f>INDEX('[1]End - Use Prices'!$C$6:$AL$89,MATCH($C102,'[1]End - Use Prices'!$A$6:$A$89,0)+MATCH($D102,'[1]End - Use Prices'!$B$9:$B$11,0)-1,MATCH(AP$1,'[1]End - Use Prices'!$C$7:$AL$7,0))</f>
        <v>31.79</v>
      </c>
      <c r="AQ102" s="41">
        <f>INDEX('[1]End - Use Prices'!$C$6:$AL$89,MATCH($C102,'[1]End - Use Prices'!$A$6:$A$89,0)+MATCH($D102,'[1]End - Use Prices'!$B$9:$B$11,0)-1,MATCH(AQ$1,'[1]End - Use Prices'!$C$7:$AL$7,0))</f>
        <v>31.61</v>
      </c>
      <c r="AR102" s="41">
        <f>INDEX('[1]End - Use Prices'!$C$6:$AL$89,MATCH($C102,'[1]End - Use Prices'!$A$6:$A$89,0)+MATCH($D102,'[1]End - Use Prices'!$B$9:$B$11,0)-1,MATCH(AR$1,'[1]End - Use Prices'!$C$7:$AL$7,0))</f>
        <v>31.63</v>
      </c>
      <c r="AS102" s="41">
        <f>INDEX('[1]End - Use Prices'!$C$6:$AL$89,MATCH($C102,'[1]End - Use Prices'!$A$6:$A$89,0)+MATCH($D102,'[1]End - Use Prices'!$B$9:$B$11,0)-1,MATCH(AS$1,'[1]End - Use Prices'!$C$7:$AL$7,0))</f>
        <v>31.62</v>
      </c>
      <c r="AT102" s="41">
        <f>INDEX('[1]End - Use Prices'!$C$6:$AL$89,MATCH($C102,'[1]End - Use Prices'!$A$6:$A$89,0)+MATCH($D102,'[1]End - Use Prices'!$B$9:$B$11,0)-1,MATCH(AT$1,'[1]End - Use Prices'!$C$7:$AL$7,0))</f>
        <v>31.5</v>
      </c>
      <c r="AU102" s="41">
        <f>INDEX('[1]End - Use Prices'!$C$6:$AL$89,MATCH($C102,'[1]End - Use Prices'!$A$6:$A$89,0)+MATCH($D102,'[1]End - Use Prices'!$B$9:$B$11,0)-1,MATCH(AU$1,'[1]End - Use Prices'!$C$7:$AL$7,0))</f>
        <v>31.35</v>
      </c>
      <c r="AV102" s="41">
        <f>INDEX('[1]End - Use Prices'!$C$6:$AL$89,MATCH($C102,'[1]End - Use Prices'!$A$6:$A$89,0)+MATCH($D102,'[1]End - Use Prices'!$B$9:$B$11,0)-1,MATCH(AV$1,'[1]End - Use Prices'!$C$7:$AL$7,0))</f>
        <v>31.23</v>
      </c>
      <c r="AW102" s="41">
        <f>INDEX('[1]End - Use Prices'!$C$6:$AL$89,MATCH($C102,'[1]End - Use Prices'!$A$6:$A$89,0)+MATCH($D102,'[1]End - Use Prices'!$B$9:$B$11,0)-1,MATCH(AW$1,'[1]End - Use Prices'!$C$7:$AL$7,0))</f>
        <v>31.1</v>
      </c>
      <c r="AX102" s="41">
        <f>INDEX('[1]End - Use Prices'!$C$6:$AL$89,MATCH($C102,'[1]End - Use Prices'!$A$6:$A$89,0)+MATCH($D102,'[1]End - Use Prices'!$B$9:$B$11,0)-1,MATCH(AX$1,'[1]End - Use Prices'!$C$7:$AL$7,0))</f>
        <v>31.05</v>
      </c>
      <c r="AY102" s="41">
        <f>INDEX('[1]End - Use Prices'!$C$6:$AL$89,MATCH($C102,'[1]End - Use Prices'!$A$6:$A$89,0)+MATCH($D102,'[1]End - Use Prices'!$B$9:$B$11,0)-1,MATCH(AY$1,'[1]End - Use Prices'!$C$7:$AL$7,0))</f>
        <v>31.02</v>
      </c>
      <c r="AZ102" s="41">
        <f>INDEX('[1]End - Use Prices'!$C$6:$AL$89,MATCH($C102,'[1]End - Use Prices'!$A$6:$A$89,0)+MATCH($D102,'[1]End - Use Prices'!$B$9:$B$11,0)-1,MATCH(AZ$1,'[1]End - Use Prices'!$C$7:$AL$7,0))</f>
        <v>31.03</v>
      </c>
      <c r="BA102" s="41">
        <f>INDEX('[1]End - Use Prices'!$C$6:$AL$89,MATCH($C102,'[1]End - Use Prices'!$A$6:$A$89,0)+MATCH($D102,'[1]End - Use Prices'!$B$9:$B$11,0)-1,MATCH(BA$1,'[1]End - Use Prices'!$C$7:$AL$7,0))</f>
        <v>31.07</v>
      </c>
      <c r="BB102" s="41">
        <f>INDEX('[1]End - Use Prices'!$C$6:$AL$89,MATCH($C102,'[1]End - Use Prices'!$A$6:$A$89,0)+MATCH($D102,'[1]End - Use Prices'!$B$9:$B$11,0)-1,MATCH(BB$1,'[1]End - Use Prices'!$C$7:$AL$7,0))</f>
        <v>31.09</v>
      </c>
      <c r="BC102" s="41">
        <f>INDEX('[1]End - Use Prices'!$C$6:$AL$89,MATCH($C102,'[1]End - Use Prices'!$A$6:$A$89,0)+MATCH($D102,'[1]End - Use Prices'!$B$9:$B$11,0)-1,MATCH(BC$1,'[1]End - Use Prices'!$C$7:$AL$7,0))</f>
        <v>31.09</v>
      </c>
      <c r="BD102" s="41">
        <f>INDEX('[1]End - Use Prices'!$C$6:$AL$89,MATCH($C102,'[1]End - Use Prices'!$A$6:$A$89,0)+MATCH($D102,'[1]End - Use Prices'!$B$9:$B$11,0)-1,MATCH(BD$1,'[1]End - Use Prices'!$C$7:$AL$7,0))</f>
        <v>31.08</v>
      </c>
      <c r="BE102" s="41">
        <f>INDEX('[1]End - Use Prices'!$C$6:$AL$89,MATCH($C102,'[1]End - Use Prices'!$A$6:$A$89,0)+MATCH($D102,'[1]End - Use Prices'!$B$9:$B$11,0)-1,MATCH(BE$1,'[1]End - Use Prices'!$C$7:$AL$7,0))</f>
        <v>31.03</v>
      </c>
      <c r="BF102" s="41">
        <f>INDEX('[1]End - Use Prices'!$C$6:$AL$89,MATCH($C102,'[1]End - Use Prices'!$A$6:$A$89,0)+MATCH($D102,'[1]End - Use Prices'!$B$9:$B$11,0)-1,MATCH(BF$1,'[1]End - Use Prices'!$C$7:$AL$7,0))</f>
        <v>30.99</v>
      </c>
      <c r="BG102" s="41">
        <f>INDEX('[1]End - Use Prices'!$C$6:$AL$89,MATCH($C102,'[1]End - Use Prices'!$A$6:$A$89,0)+MATCH($D102,'[1]End - Use Prices'!$B$9:$B$11,0)-1,MATCH(BG$1,'[1]End - Use Prices'!$C$7:$AL$7,0))</f>
        <v>30.93</v>
      </c>
      <c r="BR102" s="39"/>
      <c r="BS102" s="39"/>
      <c r="BT102" s="39"/>
      <c r="BU102" s="39"/>
      <c r="BV102" s="39"/>
      <c r="BW102" s="39"/>
      <c r="BX102" s="39"/>
      <c r="BY102" s="39"/>
      <c r="BZ102" s="39"/>
      <c r="CA102" s="39"/>
    </row>
    <row r="103" spans="1:79" x14ac:dyDescent="0.25">
      <c r="A103" s="5"/>
      <c r="B103" s="3"/>
      <c r="C103" s="25" t="s">
        <v>94</v>
      </c>
      <c r="D103" s="25" t="s">
        <v>280</v>
      </c>
      <c r="E103" s="25" t="s">
        <v>282</v>
      </c>
      <c r="F103" s="67" t="s">
        <v>279</v>
      </c>
      <c r="G103" s="53">
        <f t="shared" si="11"/>
        <v>26.74</v>
      </c>
      <c r="H103" s="34">
        <f t="shared" si="16"/>
        <v>26.74</v>
      </c>
      <c r="I103" s="34">
        <f t="shared" si="16"/>
        <v>28.81</v>
      </c>
      <c r="J103" s="34">
        <f t="shared" si="16"/>
        <v>28.29</v>
      </c>
      <c r="K103" s="34">
        <f t="shared" si="16"/>
        <v>36.33</v>
      </c>
      <c r="L103" s="34">
        <f t="shared" si="16"/>
        <v>31.48</v>
      </c>
      <c r="M103" s="34">
        <f t="shared" si="16"/>
        <v>30.97</v>
      </c>
      <c r="N103" s="34">
        <f t="shared" si="16"/>
        <v>30.96</v>
      </c>
      <c r="O103" s="34">
        <f t="shared" si="16"/>
        <v>30.82</v>
      </c>
      <c r="P103" s="53">
        <f t="shared" si="17"/>
        <v>30.82</v>
      </c>
      <c r="Q103" s="53">
        <f t="shared" si="17"/>
        <v>30.82</v>
      </c>
      <c r="R103" s="38"/>
      <c r="X103" s="41">
        <f>INDEX('[1]End - Use Prices'!$C$6:$AL$89,MATCH($C103,'[1]End - Use Prices'!$A$6:$A$89,0)+MATCH($D103,'[1]End - Use Prices'!$B$9:$B$11,0)-1,MATCH(X$1,'[1]End - Use Prices'!$C$7:$AL$7,0))</f>
        <v>26.74</v>
      </c>
      <c r="Y103" s="41">
        <f>INDEX('[1]End - Use Prices'!$C$6:$AL$89,MATCH($C103,'[1]End - Use Prices'!$A$6:$A$89,0)+MATCH($D103,'[1]End - Use Prices'!$B$9:$B$11,0)-1,MATCH(Y$1,'[1]End - Use Prices'!$C$7:$AL$7,0))</f>
        <v>27.19</v>
      </c>
      <c r="Z103" s="41">
        <f>INDEX('[1]End - Use Prices'!$C$6:$AL$89,MATCH($C103,'[1]End - Use Prices'!$A$6:$A$89,0)+MATCH($D103,'[1]End - Use Prices'!$B$9:$B$11,0)-1,MATCH(Z$1,'[1]End - Use Prices'!$C$7:$AL$7,0))</f>
        <v>29.89</v>
      </c>
      <c r="AA103" s="41">
        <f>INDEX('[1]End - Use Prices'!$C$6:$AL$89,MATCH($C103,'[1]End - Use Prices'!$A$6:$A$89,0)+MATCH($D103,'[1]End - Use Prices'!$B$9:$B$11,0)-1,MATCH(AA$1,'[1]End - Use Prices'!$C$7:$AL$7,0))</f>
        <v>36.56</v>
      </c>
      <c r="AB103" s="41">
        <f>INDEX('[1]End - Use Prices'!$C$6:$AL$89,MATCH($C103,'[1]End - Use Prices'!$A$6:$A$89,0)+MATCH($D103,'[1]End - Use Prices'!$B$9:$B$11,0)-1,MATCH(AB$1,'[1]End - Use Prices'!$C$7:$AL$7,0))</f>
        <v>26.59</v>
      </c>
      <c r="AC103" s="41">
        <f>INDEX('[1]End - Use Prices'!$C$6:$AL$89,MATCH($C103,'[1]End - Use Prices'!$A$6:$A$89,0)+MATCH($D103,'[1]End - Use Prices'!$B$9:$B$11,0)-1,MATCH(AC$1,'[1]End - Use Prices'!$C$7:$AL$7,0))</f>
        <v>28.81</v>
      </c>
      <c r="AD103" s="41">
        <f>INDEX('[1]End - Use Prices'!$C$6:$AL$89,MATCH($C103,'[1]End - Use Prices'!$A$6:$A$89,0)+MATCH($D103,'[1]End - Use Prices'!$B$9:$B$11,0)-1,MATCH(AD$1,'[1]End - Use Prices'!$C$7:$AL$7,0))</f>
        <v>34.630000000000003</v>
      </c>
      <c r="AE103" s="41">
        <f>INDEX('[1]End - Use Prices'!$C$6:$AL$89,MATCH($C103,'[1]End - Use Prices'!$A$6:$A$89,0)+MATCH($D103,'[1]End - Use Prices'!$B$9:$B$11,0)-1,MATCH(AE$1,'[1]End - Use Prices'!$C$7:$AL$7,0))</f>
        <v>34.79</v>
      </c>
      <c r="AF103" s="41">
        <f>INDEX('[1]End - Use Prices'!$C$6:$AL$89,MATCH($C103,'[1]End - Use Prices'!$A$6:$A$89,0)+MATCH($D103,'[1]End - Use Prices'!$B$9:$B$11,0)-1,MATCH(AF$1,'[1]End - Use Prices'!$C$7:$AL$7,0))</f>
        <v>33.89</v>
      </c>
      <c r="AG103" s="41">
        <f>INDEX('[1]End - Use Prices'!$C$6:$AL$89,MATCH($C103,'[1]End - Use Prices'!$A$6:$A$89,0)+MATCH($D103,'[1]End - Use Prices'!$B$9:$B$11,0)-1,MATCH(AG$1,'[1]End - Use Prices'!$C$7:$AL$7,0))</f>
        <v>36.409999999999997</v>
      </c>
      <c r="AH103" s="41">
        <f>INDEX('[1]End - Use Prices'!$C$6:$AL$89,MATCH($C103,'[1]End - Use Prices'!$A$6:$A$89,0)+MATCH($D103,'[1]End - Use Prices'!$B$9:$B$11,0)-1,MATCH(AH$1,'[1]End - Use Prices'!$C$7:$AL$7,0))</f>
        <v>28.29</v>
      </c>
      <c r="AI103" s="41">
        <f>INDEX('[1]End - Use Prices'!$C$6:$AL$89,MATCH($C103,'[1]End - Use Prices'!$A$6:$A$89,0)+MATCH($D103,'[1]End - Use Prices'!$B$9:$B$11,0)-1,MATCH(AI$1,'[1]End - Use Prices'!$C$7:$AL$7,0))</f>
        <v>24.92</v>
      </c>
      <c r="AJ103" s="41">
        <f>INDEX('[1]End - Use Prices'!$C$6:$AL$89,MATCH($C103,'[1]End - Use Prices'!$A$6:$A$89,0)+MATCH($D103,'[1]End - Use Prices'!$B$9:$B$11,0)-1,MATCH(AJ$1,'[1]End - Use Prices'!$C$7:$AL$7,0))</f>
        <v>27.54</v>
      </c>
      <c r="AK103" s="41">
        <f>INDEX('[1]End - Use Prices'!$C$6:$AL$89,MATCH($C103,'[1]End - Use Prices'!$A$6:$A$89,0)+MATCH($D103,'[1]End - Use Prices'!$B$9:$B$11,0)-1,MATCH(AK$1,'[1]End - Use Prices'!$C$7:$AL$7,0))</f>
        <v>30.62</v>
      </c>
      <c r="AL103" s="41">
        <f>INDEX('[1]End - Use Prices'!$C$6:$AL$89,MATCH($C103,'[1]End - Use Prices'!$A$6:$A$89,0)+MATCH($D103,'[1]End - Use Prices'!$B$9:$B$11,0)-1,MATCH(AL$1,'[1]End - Use Prices'!$C$7:$AL$7,0))</f>
        <v>32.35</v>
      </c>
      <c r="AM103" s="41">
        <f>INDEX('[1]End - Use Prices'!$C$6:$AL$89,MATCH($C103,'[1]End - Use Prices'!$A$6:$A$89,0)+MATCH($D103,'[1]End - Use Prices'!$B$9:$B$11,0)-1,MATCH(AM$1,'[1]End - Use Prices'!$C$7:$AL$7,0))</f>
        <v>36.33</v>
      </c>
      <c r="AN103" s="41">
        <f>INDEX('[1]End - Use Prices'!$C$6:$AL$89,MATCH($C103,'[1]End - Use Prices'!$A$6:$A$89,0)+MATCH($D103,'[1]End - Use Prices'!$B$9:$B$11,0)-1,MATCH(AN$1,'[1]End - Use Prices'!$C$7:$AL$7,0))</f>
        <v>33.229999999999997</v>
      </c>
      <c r="AO103" s="41">
        <f>INDEX('[1]End - Use Prices'!$C$6:$AL$89,MATCH($C103,'[1]End - Use Prices'!$A$6:$A$89,0)+MATCH($D103,'[1]End - Use Prices'!$B$9:$B$11,0)-1,MATCH(AO$1,'[1]End - Use Prices'!$C$7:$AL$7,0))</f>
        <v>31.15</v>
      </c>
      <c r="AP103" s="41">
        <f>INDEX('[1]End - Use Prices'!$C$6:$AL$89,MATCH($C103,'[1]End - Use Prices'!$A$6:$A$89,0)+MATCH($D103,'[1]End - Use Prices'!$B$9:$B$11,0)-1,MATCH(AP$1,'[1]End - Use Prices'!$C$7:$AL$7,0))</f>
        <v>31.62</v>
      </c>
      <c r="AQ103" s="41">
        <f>INDEX('[1]End - Use Prices'!$C$6:$AL$89,MATCH($C103,'[1]End - Use Prices'!$A$6:$A$89,0)+MATCH($D103,'[1]End - Use Prices'!$B$9:$B$11,0)-1,MATCH(AQ$1,'[1]End - Use Prices'!$C$7:$AL$7,0))</f>
        <v>31.44</v>
      </c>
      <c r="AR103" s="41">
        <f>INDEX('[1]End - Use Prices'!$C$6:$AL$89,MATCH($C103,'[1]End - Use Prices'!$A$6:$A$89,0)+MATCH($D103,'[1]End - Use Prices'!$B$9:$B$11,0)-1,MATCH(AR$1,'[1]End - Use Prices'!$C$7:$AL$7,0))</f>
        <v>31.48</v>
      </c>
      <c r="AS103" s="41">
        <f>INDEX('[1]End - Use Prices'!$C$6:$AL$89,MATCH($C103,'[1]End - Use Prices'!$A$6:$A$89,0)+MATCH($D103,'[1]End - Use Prices'!$B$9:$B$11,0)-1,MATCH(AS$1,'[1]End - Use Prices'!$C$7:$AL$7,0))</f>
        <v>31.46</v>
      </c>
      <c r="AT103" s="41">
        <f>INDEX('[1]End - Use Prices'!$C$6:$AL$89,MATCH($C103,'[1]End - Use Prices'!$A$6:$A$89,0)+MATCH($D103,'[1]End - Use Prices'!$B$9:$B$11,0)-1,MATCH(AT$1,'[1]End - Use Prices'!$C$7:$AL$7,0))</f>
        <v>31.36</v>
      </c>
      <c r="AU103" s="41">
        <f>INDEX('[1]End - Use Prices'!$C$6:$AL$89,MATCH($C103,'[1]End - Use Prices'!$A$6:$A$89,0)+MATCH($D103,'[1]End - Use Prices'!$B$9:$B$11,0)-1,MATCH(AU$1,'[1]End - Use Prices'!$C$7:$AL$7,0))</f>
        <v>31.2</v>
      </c>
      <c r="AV103" s="41">
        <f>INDEX('[1]End - Use Prices'!$C$6:$AL$89,MATCH($C103,'[1]End - Use Prices'!$A$6:$A$89,0)+MATCH($D103,'[1]End - Use Prices'!$B$9:$B$11,0)-1,MATCH(AV$1,'[1]End - Use Prices'!$C$7:$AL$7,0))</f>
        <v>31.09</v>
      </c>
      <c r="AW103" s="41">
        <f>INDEX('[1]End - Use Prices'!$C$6:$AL$89,MATCH($C103,'[1]End - Use Prices'!$A$6:$A$89,0)+MATCH($D103,'[1]End - Use Prices'!$B$9:$B$11,0)-1,MATCH(AW$1,'[1]End - Use Prices'!$C$7:$AL$7,0))</f>
        <v>30.97</v>
      </c>
      <c r="AX103" s="41">
        <f>INDEX('[1]End - Use Prices'!$C$6:$AL$89,MATCH($C103,'[1]End - Use Prices'!$A$6:$A$89,0)+MATCH($D103,'[1]End - Use Prices'!$B$9:$B$11,0)-1,MATCH(AX$1,'[1]End - Use Prices'!$C$7:$AL$7,0))</f>
        <v>30.91</v>
      </c>
      <c r="AY103" s="41">
        <f>INDEX('[1]End - Use Prices'!$C$6:$AL$89,MATCH($C103,'[1]End - Use Prices'!$A$6:$A$89,0)+MATCH($D103,'[1]End - Use Prices'!$B$9:$B$11,0)-1,MATCH(AY$1,'[1]End - Use Prices'!$C$7:$AL$7,0))</f>
        <v>30.89</v>
      </c>
      <c r="AZ103" s="41">
        <f>INDEX('[1]End - Use Prices'!$C$6:$AL$89,MATCH($C103,'[1]End - Use Prices'!$A$6:$A$89,0)+MATCH($D103,'[1]End - Use Prices'!$B$9:$B$11,0)-1,MATCH(AZ$1,'[1]End - Use Prices'!$C$7:$AL$7,0))</f>
        <v>30.9</v>
      </c>
      <c r="BA103" s="41">
        <f>INDEX('[1]End - Use Prices'!$C$6:$AL$89,MATCH($C103,'[1]End - Use Prices'!$A$6:$A$89,0)+MATCH($D103,'[1]End - Use Prices'!$B$9:$B$11,0)-1,MATCH(BA$1,'[1]End - Use Prices'!$C$7:$AL$7,0))</f>
        <v>30.94</v>
      </c>
      <c r="BB103" s="41">
        <f>INDEX('[1]End - Use Prices'!$C$6:$AL$89,MATCH($C103,'[1]End - Use Prices'!$A$6:$A$89,0)+MATCH($D103,'[1]End - Use Prices'!$B$9:$B$11,0)-1,MATCH(BB$1,'[1]End - Use Prices'!$C$7:$AL$7,0))</f>
        <v>30.96</v>
      </c>
      <c r="BC103" s="41">
        <f>INDEX('[1]End - Use Prices'!$C$6:$AL$89,MATCH($C103,'[1]End - Use Prices'!$A$6:$A$89,0)+MATCH($D103,'[1]End - Use Prices'!$B$9:$B$11,0)-1,MATCH(BC$1,'[1]End - Use Prices'!$C$7:$AL$7,0))</f>
        <v>30.97</v>
      </c>
      <c r="BD103" s="41">
        <f>INDEX('[1]End - Use Prices'!$C$6:$AL$89,MATCH($C103,'[1]End - Use Prices'!$A$6:$A$89,0)+MATCH($D103,'[1]End - Use Prices'!$B$9:$B$11,0)-1,MATCH(BD$1,'[1]End - Use Prices'!$C$7:$AL$7,0))</f>
        <v>30.96</v>
      </c>
      <c r="BE103" s="41">
        <f>INDEX('[1]End - Use Prices'!$C$6:$AL$89,MATCH($C103,'[1]End - Use Prices'!$A$6:$A$89,0)+MATCH($D103,'[1]End - Use Prices'!$B$9:$B$11,0)-1,MATCH(BE$1,'[1]End - Use Prices'!$C$7:$AL$7,0))</f>
        <v>30.91</v>
      </c>
      <c r="BF103" s="41">
        <f>INDEX('[1]End - Use Prices'!$C$6:$AL$89,MATCH($C103,'[1]End - Use Prices'!$A$6:$A$89,0)+MATCH($D103,'[1]End - Use Prices'!$B$9:$B$11,0)-1,MATCH(BF$1,'[1]End - Use Prices'!$C$7:$AL$7,0))</f>
        <v>30.87</v>
      </c>
      <c r="BG103" s="41">
        <f>INDEX('[1]End - Use Prices'!$C$6:$AL$89,MATCH($C103,'[1]End - Use Prices'!$A$6:$A$89,0)+MATCH($D103,'[1]End - Use Prices'!$B$9:$B$11,0)-1,MATCH(BG$1,'[1]End - Use Prices'!$C$7:$AL$7,0))</f>
        <v>30.82</v>
      </c>
      <c r="BR103" s="39"/>
      <c r="BS103" s="39"/>
      <c r="BT103" s="39"/>
      <c r="BU103" s="39"/>
      <c r="BV103" s="39"/>
      <c r="BW103" s="39"/>
      <c r="BX103" s="39"/>
      <c r="BY103" s="39"/>
      <c r="BZ103" s="39"/>
      <c r="CA103" s="39"/>
    </row>
    <row r="104" spans="1:79" s="39" customFormat="1" x14ac:dyDescent="0.25">
      <c r="A104" s="5"/>
      <c r="B104" s="3"/>
      <c r="C104" s="3"/>
      <c r="D104" s="3"/>
      <c r="E104" s="3"/>
      <c r="F104" s="14"/>
      <c r="G104" s="3"/>
      <c r="H104" s="3"/>
      <c r="I104" s="3"/>
      <c r="J104" s="3"/>
      <c r="K104" s="34"/>
      <c r="L104" s="34"/>
      <c r="M104" s="34"/>
      <c r="N104" s="34"/>
      <c r="O104" s="34"/>
      <c r="P104" s="34"/>
      <c r="Q104" s="34"/>
      <c r="R104" s="38"/>
      <c r="BR104"/>
      <c r="BS104"/>
      <c r="BT104"/>
      <c r="BU104"/>
      <c r="BV104"/>
      <c r="BW104"/>
      <c r="BX104"/>
      <c r="BY104"/>
      <c r="BZ104"/>
      <c r="CA104"/>
    </row>
    <row r="105" spans="1:79" s="39" customFormat="1" x14ac:dyDescent="0.25">
      <c r="A105" s="5"/>
      <c r="B105" s="3"/>
      <c r="C105" s="3"/>
      <c r="D105" s="3"/>
      <c r="E105" s="3"/>
      <c r="F105" s="14"/>
      <c r="G105" s="3"/>
      <c r="H105" s="3"/>
      <c r="I105" s="3"/>
      <c r="J105" s="3"/>
      <c r="K105" s="34"/>
      <c r="L105" s="34"/>
      <c r="M105" s="34"/>
      <c r="N105" s="34"/>
      <c r="O105" s="34"/>
      <c r="P105" s="34"/>
      <c r="Q105" s="34"/>
      <c r="R105" s="38"/>
      <c r="BR105"/>
      <c r="BS105"/>
      <c r="BT105"/>
      <c r="BU105"/>
      <c r="BV105"/>
      <c r="BW105"/>
      <c r="BX105"/>
      <c r="BY105"/>
      <c r="BZ105"/>
      <c r="CA105"/>
    </row>
    <row r="106" spans="1:79" x14ac:dyDescent="0.25">
      <c r="A106" s="5"/>
      <c r="B106" s="64" t="s">
        <v>303</v>
      </c>
      <c r="C106" s="25" t="s">
        <v>48</v>
      </c>
      <c r="D106" s="25" t="s">
        <v>2</v>
      </c>
      <c r="E106" s="25" t="s">
        <v>282</v>
      </c>
      <c r="F106" s="67" t="s">
        <v>279</v>
      </c>
      <c r="G106" s="53">
        <f t="shared" ref="G106:G147" si="18">H106</f>
        <v>28.95</v>
      </c>
      <c r="H106" s="34">
        <f t="shared" ref="H106:O121" si="19">INDEX($S106:$CA106,MATCH(H$1,$S$1:$CA$1,0))</f>
        <v>28.95</v>
      </c>
      <c r="I106" s="34">
        <f t="shared" si="19"/>
        <v>31.32</v>
      </c>
      <c r="J106" s="34">
        <f t="shared" si="19"/>
        <v>34.979999999999997</v>
      </c>
      <c r="K106" s="34">
        <f t="shared" si="19"/>
        <v>38.72</v>
      </c>
      <c r="L106" s="34">
        <f t="shared" si="19"/>
        <v>40.39</v>
      </c>
      <c r="M106" s="34">
        <f t="shared" si="19"/>
        <v>42.26</v>
      </c>
      <c r="N106" s="34">
        <f t="shared" si="19"/>
        <v>43.98</v>
      </c>
      <c r="O106" s="34">
        <f t="shared" si="19"/>
        <v>45.58</v>
      </c>
      <c r="P106" s="53">
        <f t="shared" ref="P106:Q125" si="20">O106</f>
        <v>45.58</v>
      </c>
      <c r="Q106" s="53">
        <f t="shared" si="20"/>
        <v>45.58</v>
      </c>
      <c r="R106" s="38"/>
      <c r="X106" s="41">
        <f>INDEX('[1]End - Use Prices'!$C$6:$AL$89,MATCH($C106,'[1]End - Use Prices'!$A$6:$A$89,0)+MATCH($D106,'[1]End - Use Prices'!$B$9:$B$11,0)-1,MATCH(X$1,'[1]End - Use Prices'!$C$7:$AL$7,0))</f>
        <v>28.95</v>
      </c>
      <c r="Y106" s="41">
        <f>INDEX('[1]End - Use Prices'!$C$6:$AL$89,MATCH($C106,'[1]End - Use Prices'!$A$6:$A$89,0)+MATCH($D106,'[1]End - Use Prices'!$B$9:$B$11,0)-1,MATCH(Y$1,'[1]End - Use Prices'!$C$7:$AL$7,0))</f>
        <v>32.35</v>
      </c>
      <c r="Z106" s="41">
        <f>INDEX('[1]End - Use Prices'!$C$6:$AL$89,MATCH($C106,'[1]End - Use Prices'!$A$6:$A$89,0)+MATCH($D106,'[1]End - Use Prices'!$B$9:$B$11,0)-1,MATCH(Z$1,'[1]End - Use Prices'!$C$7:$AL$7,0))</f>
        <v>31.56</v>
      </c>
      <c r="AA106" s="41">
        <f>INDEX('[1]End - Use Prices'!$C$6:$AL$89,MATCH($C106,'[1]End - Use Prices'!$A$6:$A$89,0)+MATCH($D106,'[1]End - Use Prices'!$B$9:$B$11,0)-1,MATCH(AA$1,'[1]End - Use Prices'!$C$7:$AL$7,0))</f>
        <v>30.57</v>
      </c>
      <c r="AB106" s="41">
        <f>INDEX('[1]End - Use Prices'!$C$6:$AL$89,MATCH($C106,'[1]End - Use Prices'!$A$6:$A$89,0)+MATCH($D106,'[1]End - Use Prices'!$B$9:$B$11,0)-1,MATCH(AB$1,'[1]End - Use Prices'!$C$7:$AL$7,0))</f>
        <v>31.64</v>
      </c>
      <c r="AC106" s="41">
        <f>INDEX('[1]End - Use Prices'!$C$6:$AL$89,MATCH($C106,'[1]End - Use Prices'!$A$6:$A$89,0)+MATCH($D106,'[1]End - Use Prices'!$B$9:$B$11,0)-1,MATCH(AC$1,'[1]End - Use Prices'!$C$7:$AL$7,0))</f>
        <v>31.32</v>
      </c>
      <c r="AD106" s="41">
        <f>INDEX('[1]End - Use Prices'!$C$6:$AL$89,MATCH($C106,'[1]End - Use Prices'!$A$6:$A$89,0)+MATCH($D106,'[1]End - Use Prices'!$B$9:$B$11,0)-1,MATCH(AD$1,'[1]End - Use Prices'!$C$7:$AL$7,0))</f>
        <v>32.659999999999997</v>
      </c>
      <c r="AE106" s="41">
        <f>INDEX('[1]End - Use Prices'!$C$6:$AL$89,MATCH($C106,'[1]End - Use Prices'!$A$6:$A$89,0)+MATCH($D106,'[1]End - Use Prices'!$B$9:$B$11,0)-1,MATCH(AE$1,'[1]End - Use Prices'!$C$7:$AL$7,0))</f>
        <v>32.83</v>
      </c>
      <c r="AF106" s="41">
        <f>INDEX('[1]End - Use Prices'!$C$6:$AL$89,MATCH($C106,'[1]End - Use Prices'!$A$6:$A$89,0)+MATCH($D106,'[1]End - Use Prices'!$B$9:$B$11,0)-1,MATCH(AF$1,'[1]End - Use Prices'!$C$7:$AL$7,0))</f>
        <v>32.92</v>
      </c>
      <c r="AG106" s="41">
        <f>INDEX('[1]End - Use Prices'!$C$6:$AL$89,MATCH($C106,'[1]End - Use Prices'!$A$6:$A$89,0)+MATCH($D106,'[1]End - Use Prices'!$B$9:$B$11,0)-1,MATCH(AG$1,'[1]End - Use Prices'!$C$7:$AL$7,0))</f>
        <v>33.6</v>
      </c>
      <c r="AH106" s="41">
        <f>INDEX('[1]End - Use Prices'!$C$6:$AL$89,MATCH($C106,'[1]End - Use Prices'!$A$6:$A$89,0)+MATCH($D106,'[1]End - Use Prices'!$B$9:$B$11,0)-1,MATCH(AH$1,'[1]End - Use Prices'!$C$7:$AL$7,0))</f>
        <v>34.979999999999997</v>
      </c>
      <c r="AI106" s="41">
        <f>INDEX('[1]End - Use Prices'!$C$6:$AL$89,MATCH($C106,'[1]End - Use Prices'!$A$6:$A$89,0)+MATCH($D106,'[1]End - Use Prices'!$B$9:$B$11,0)-1,MATCH(AI$1,'[1]End - Use Prices'!$C$7:$AL$7,0))</f>
        <v>37.61</v>
      </c>
      <c r="AJ106" s="41">
        <f>INDEX('[1]End - Use Prices'!$C$6:$AL$89,MATCH($C106,'[1]End - Use Prices'!$A$6:$A$89,0)+MATCH($D106,'[1]End - Use Prices'!$B$9:$B$11,0)-1,MATCH(AJ$1,'[1]End - Use Prices'!$C$7:$AL$7,0))</f>
        <v>37.65</v>
      </c>
      <c r="AK106" s="41">
        <f>INDEX('[1]End - Use Prices'!$C$6:$AL$89,MATCH($C106,'[1]End - Use Prices'!$A$6:$A$89,0)+MATCH($D106,'[1]End - Use Prices'!$B$9:$B$11,0)-1,MATCH(AK$1,'[1]End - Use Prices'!$C$7:$AL$7,0))</f>
        <v>38.03</v>
      </c>
      <c r="AL106" s="41">
        <f>INDEX('[1]End - Use Prices'!$C$6:$AL$89,MATCH($C106,'[1]End - Use Prices'!$A$6:$A$89,0)+MATCH($D106,'[1]End - Use Prices'!$B$9:$B$11,0)-1,MATCH(AL$1,'[1]End - Use Prices'!$C$7:$AL$7,0))</f>
        <v>38.380000000000003</v>
      </c>
      <c r="AM106" s="41">
        <f>INDEX('[1]End - Use Prices'!$C$6:$AL$89,MATCH($C106,'[1]End - Use Prices'!$A$6:$A$89,0)+MATCH($D106,'[1]End - Use Prices'!$B$9:$B$11,0)-1,MATCH(AM$1,'[1]End - Use Prices'!$C$7:$AL$7,0))</f>
        <v>38.72</v>
      </c>
      <c r="AN106" s="41">
        <f>INDEX('[1]End - Use Prices'!$C$6:$AL$89,MATCH($C106,'[1]End - Use Prices'!$A$6:$A$89,0)+MATCH($D106,'[1]End - Use Prices'!$B$9:$B$11,0)-1,MATCH(AN$1,'[1]End - Use Prices'!$C$7:$AL$7,0))</f>
        <v>39.04</v>
      </c>
      <c r="AO106" s="41">
        <f>INDEX('[1]End - Use Prices'!$C$6:$AL$89,MATCH($C106,'[1]End - Use Prices'!$A$6:$A$89,0)+MATCH($D106,'[1]End - Use Prices'!$B$9:$B$11,0)-1,MATCH(AO$1,'[1]End - Use Prices'!$C$7:$AL$7,0))</f>
        <v>39.36</v>
      </c>
      <c r="AP106" s="41">
        <f>INDEX('[1]End - Use Prices'!$C$6:$AL$89,MATCH($C106,'[1]End - Use Prices'!$A$6:$A$89,0)+MATCH($D106,'[1]End - Use Prices'!$B$9:$B$11,0)-1,MATCH(AP$1,'[1]End - Use Prices'!$C$7:$AL$7,0))</f>
        <v>39.69</v>
      </c>
      <c r="AQ106" s="41">
        <f>INDEX('[1]End - Use Prices'!$C$6:$AL$89,MATCH($C106,'[1]End - Use Prices'!$A$6:$A$89,0)+MATCH($D106,'[1]End - Use Prices'!$B$9:$B$11,0)-1,MATCH(AQ$1,'[1]End - Use Prices'!$C$7:$AL$7,0))</f>
        <v>40.020000000000003</v>
      </c>
      <c r="AR106" s="41">
        <f>INDEX('[1]End - Use Prices'!$C$6:$AL$89,MATCH($C106,'[1]End - Use Prices'!$A$6:$A$89,0)+MATCH($D106,'[1]End - Use Prices'!$B$9:$B$11,0)-1,MATCH(AR$1,'[1]End - Use Prices'!$C$7:$AL$7,0))</f>
        <v>40.39</v>
      </c>
      <c r="AS106" s="41">
        <f>INDEX('[1]End - Use Prices'!$C$6:$AL$89,MATCH($C106,'[1]End - Use Prices'!$A$6:$A$89,0)+MATCH($D106,'[1]End - Use Prices'!$B$9:$B$11,0)-1,MATCH(AS$1,'[1]End - Use Prices'!$C$7:$AL$7,0))</f>
        <v>40.74</v>
      </c>
      <c r="AT106" s="41">
        <f>INDEX('[1]End - Use Prices'!$C$6:$AL$89,MATCH($C106,'[1]End - Use Prices'!$A$6:$A$89,0)+MATCH($D106,'[1]End - Use Prices'!$B$9:$B$11,0)-1,MATCH(AT$1,'[1]End - Use Prices'!$C$7:$AL$7,0))</f>
        <v>41.1</v>
      </c>
      <c r="AU106" s="41">
        <f>INDEX('[1]End - Use Prices'!$C$6:$AL$89,MATCH($C106,'[1]End - Use Prices'!$A$6:$A$89,0)+MATCH($D106,'[1]End - Use Prices'!$B$9:$B$11,0)-1,MATCH(AU$1,'[1]End - Use Prices'!$C$7:$AL$7,0))</f>
        <v>41.49</v>
      </c>
      <c r="AV106" s="41">
        <f>INDEX('[1]End - Use Prices'!$C$6:$AL$89,MATCH($C106,'[1]End - Use Prices'!$A$6:$A$89,0)+MATCH($D106,'[1]End - Use Prices'!$B$9:$B$11,0)-1,MATCH(AV$1,'[1]End - Use Prices'!$C$7:$AL$7,0))</f>
        <v>41.88</v>
      </c>
      <c r="AW106" s="41">
        <f>INDEX('[1]End - Use Prices'!$C$6:$AL$89,MATCH($C106,'[1]End - Use Prices'!$A$6:$A$89,0)+MATCH($D106,'[1]End - Use Prices'!$B$9:$B$11,0)-1,MATCH(AW$1,'[1]End - Use Prices'!$C$7:$AL$7,0))</f>
        <v>42.26</v>
      </c>
      <c r="AX106" s="41">
        <f>INDEX('[1]End - Use Prices'!$C$6:$AL$89,MATCH($C106,'[1]End - Use Prices'!$A$6:$A$89,0)+MATCH($D106,'[1]End - Use Prices'!$B$9:$B$11,0)-1,MATCH(AX$1,'[1]End - Use Prices'!$C$7:$AL$7,0))</f>
        <v>42.62</v>
      </c>
      <c r="AY106" s="41">
        <f>INDEX('[1]End - Use Prices'!$C$6:$AL$89,MATCH($C106,'[1]End - Use Prices'!$A$6:$A$89,0)+MATCH($D106,'[1]End - Use Prices'!$B$9:$B$11,0)-1,MATCH(AY$1,'[1]End - Use Prices'!$C$7:$AL$7,0))</f>
        <v>42.97</v>
      </c>
      <c r="AZ106" s="41">
        <f>INDEX('[1]End - Use Prices'!$C$6:$AL$89,MATCH($C106,'[1]End - Use Prices'!$A$6:$A$89,0)+MATCH($D106,'[1]End - Use Prices'!$B$9:$B$11,0)-1,MATCH(AZ$1,'[1]End - Use Prices'!$C$7:$AL$7,0))</f>
        <v>43.31</v>
      </c>
      <c r="BA106" s="41">
        <f>INDEX('[1]End - Use Prices'!$C$6:$AL$89,MATCH($C106,'[1]End - Use Prices'!$A$6:$A$89,0)+MATCH($D106,'[1]End - Use Prices'!$B$9:$B$11,0)-1,MATCH(BA$1,'[1]End - Use Prices'!$C$7:$AL$7,0))</f>
        <v>43.65</v>
      </c>
      <c r="BB106" s="41">
        <f>INDEX('[1]End - Use Prices'!$C$6:$AL$89,MATCH($C106,'[1]End - Use Prices'!$A$6:$A$89,0)+MATCH($D106,'[1]End - Use Prices'!$B$9:$B$11,0)-1,MATCH(BB$1,'[1]End - Use Prices'!$C$7:$AL$7,0))</f>
        <v>43.98</v>
      </c>
      <c r="BC106" s="41">
        <f>INDEX('[1]End - Use Prices'!$C$6:$AL$89,MATCH($C106,'[1]End - Use Prices'!$A$6:$A$89,0)+MATCH($D106,'[1]End - Use Prices'!$B$9:$B$11,0)-1,MATCH(BC$1,'[1]End - Use Prices'!$C$7:$AL$7,0))</f>
        <v>44.31</v>
      </c>
      <c r="BD106" s="41">
        <f>INDEX('[1]End - Use Prices'!$C$6:$AL$89,MATCH($C106,'[1]End - Use Prices'!$A$6:$A$89,0)+MATCH($D106,'[1]End - Use Prices'!$B$9:$B$11,0)-1,MATCH(BD$1,'[1]End - Use Prices'!$C$7:$AL$7,0))</f>
        <v>44.63</v>
      </c>
      <c r="BE106" s="41">
        <f>INDEX('[1]End - Use Prices'!$C$6:$AL$89,MATCH($C106,'[1]End - Use Prices'!$A$6:$A$89,0)+MATCH($D106,'[1]End - Use Prices'!$B$9:$B$11,0)-1,MATCH(BE$1,'[1]End - Use Prices'!$C$7:$AL$7,0))</f>
        <v>44.95</v>
      </c>
      <c r="BF106" s="41">
        <f>INDEX('[1]End - Use Prices'!$C$6:$AL$89,MATCH($C106,'[1]End - Use Prices'!$A$6:$A$89,0)+MATCH($D106,'[1]End - Use Prices'!$B$9:$B$11,0)-1,MATCH(BF$1,'[1]End - Use Prices'!$C$7:$AL$7,0))</f>
        <v>45.27</v>
      </c>
      <c r="BG106" s="41">
        <f>INDEX('[1]End - Use Prices'!$C$6:$AL$89,MATCH($C106,'[1]End - Use Prices'!$A$6:$A$89,0)+MATCH($D106,'[1]End - Use Prices'!$B$9:$B$11,0)-1,MATCH(BG$1,'[1]End - Use Prices'!$C$7:$AL$7,0))</f>
        <v>45.58</v>
      </c>
      <c r="BR106" s="39"/>
      <c r="BS106" s="39"/>
      <c r="BT106" s="39"/>
      <c r="BU106" s="39"/>
      <c r="BV106" s="39"/>
      <c r="BW106" s="39"/>
      <c r="BX106" s="39"/>
      <c r="BY106" s="39"/>
      <c r="BZ106" s="39"/>
      <c r="CA106" s="39"/>
    </row>
    <row r="107" spans="1:79" x14ac:dyDescent="0.25">
      <c r="A107" s="5"/>
      <c r="B107" s="3"/>
      <c r="C107" s="25" t="s">
        <v>85</v>
      </c>
      <c r="D107" s="25" t="s">
        <v>2</v>
      </c>
      <c r="E107" s="25" t="s">
        <v>282</v>
      </c>
      <c r="F107" s="67" t="s">
        <v>279</v>
      </c>
      <c r="G107" s="53">
        <f t="shared" si="18"/>
        <v>34.03</v>
      </c>
      <c r="H107" s="34">
        <f t="shared" si="19"/>
        <v>34.03</v>
      </c>
      <c r="I107" s="34">
        <f t="shared" si="19"/>
        <v>38.9</v>
      </c>
      <c r="J107" s="34">
        <f t="shared" si="19"/>
        <v>39.4</v>
      </c>
      <c r="K107" s="34">
        <f t="shared" si="19"/>
        <v>45.24</v>
      </c>
      <c r="L107" s="34">
        <f t="shared" si="19"/>
        <v>48</v>
      </c>
      <c r="M107" s="34">
        <f t="shared" si="19"/>
        <v>50.03</v>
      </c>
      <c r="N107" s="34">
        <f t="shared" si="19"/>
        <v>52.14</v>
      </c>
      <c r="O107" s="34">
        <f t="shared" si="19"/>
        <v>55.17</v>
      </c>
      <c r="P107" s="53">
        <f t="shared" si="20"/>
        <v>55.17</v>
      </c>
      <c r="Q107" s="53">
        <f t="shared" si="20"/>
        <v>55.17</v>
      </c>
      <c r="R107" s="38"/>
      <c r="X107" s="41">
        <f>INDEX('[1]End - Use Prices'!$C$6:$AL$89,MATCH($C107,'[1]End - Use Prices'!$A$6:$A$89,0)+MATCH($D107,'[1]End - Use Prices'!$B$9:$B$11,0)-1,MATCH(X$1,'[1]End - Use Prices'!$C$7:$AL$7,0))</f>
        <v>34.03</v>
      </c>
      <c r="Y107" s="41">
        <f>INDEX('[1]End - Use Prices'!$C$6:$AL$89,MATCH($C107,'[1]End - Use Prices'!$A$6:$A$89,0)+MATCH($D107,'[1]End - Use Prices'!$B$9:$B$11,0)-1,MATCH(Y$1,'[1]End - Use Prices'!$C$7:$AL$7,0))</f>
        <v>39.85</v>
      </c>
      <c r="Z107" s="41">
        <f>INDEX('[1]End - Use Prices'!$C$6:$AL$89,MATCH($C107,'[1]End - Use Prices'!$A$6:$A$89,0)+MATCH($D107,'[1]End - Use Prices'!$B$9:$B$11,0)-1,MATCH(Z$1,'[1]End - Use Prices'!$C$7:$AL$7,0))</f>
        <v>39.83</v>
      </c>
      <c r="AA107" s="41">
        <f>INDEX('[1]End - Use Prices'!$C$6:$AL$89,MATCH($C107,'[1]End - Use Prices'!$A$6:$A$89,0)+MATCH($D107,'[1]End - Use Prices'!$B$9:$B$11,0)-1,MATCH(AA$1,'[1]End - Use Prices'!$C$7:$AL$7,0))</f>
        <v>37.99</v>
      </c>
      <c r="AB107" s="41">
        <f>INDEX('[1]End - Use Prices'!$C$6:$AL$89,MATCH($C107,'[1]End - Use Prices'!$A$6:$A$89,0)+MATCH($D107,'[1]End - Use Prices'!$B$9:$B$11,0)-1,MATCH(AB$1,'[1]End - Use Prices'!$C$7:$AL$7,0))</f>
        <v>41.07</v>
      </c>
      <c r="AC107" s="41">
        <f>INDEX('[1]End - Use Prices'!$C$6:$AL$89,MATCH($C107,'[1]End - Use Prices'!$A$6:$A$89,0)+MATCH($D107,'[1]End - Use Prices'!$B$9:$B$11,0)-1,MATCH(AC$1,'[1]End - Use Prices'!$C$7:$AL$7,0))</f>
        <v>38.9</v>
      </c>
      <c r="AD107" s="41">
        <f>INDEX('[1]End - Use Prices'!$C$6:$AL$89,MATCH($C107,'[1]End - Use Prices'!$A$6:$A$89,0)+MATCH($D107,'[1]End - Use Prices'!$B$9:$B$11,0)-1,MATCH(AD$1,'[1]End - Use Prices'!$C$7:$AL$7,0))</f>
        <v>38.54</v>
      </c>
      <c r="AE107" s="41">
        <f>INDEX('[1]End - Use Prices'!$C$6:$AL$89,MATCH($C107,'[1]End - Use Prices'!$A$6:$A$89,0)+MATCH($D107,'[1]End - Use Prices'!$B$9:$B$11,0)-1,MATCH(AE$1,'[1]End - Use Prices'!$C$7:$AL$7,0))</f>
        <v>40.909999999999997</v>
      </c>
      <c r="AF107" s="41">
        <f>INDEX('[1]End - Use Prices'!$C$6:$AL$89,MATCH($C107,'[1]End - Use Prices'!$A$6:$A$89,0)+MATCH($D107,'[1]End - Use Prices'!$B$9:$B$11,0)-1,MATCH(AF$1,'[1]End - Use Prices'!$C$7:$AL$7,0))</f>
        <v>39.76</v>
      </c>
      <c r="AG107" s="41">
        <f>INDEX('[1]End - Use Prices'!$C$6:$AL$89,MATCH($C107,'[1]End - Use Prices'!$A$6:$A$89,0)+MATCH($D107,'[1]End - Use Prices'!$B$9:$B$11,0)-1,MATCH(AG$1,'[1]End - Use Prices'!$C$7:$AL$7,0))</f>
        <v>38.340000000000003</v>
      </c>
      <c r="AH107" s="41">
        <f>INDEX('[1]End - Use Prices'!$C$6:$AL$89,MATCH($C107,'[1]End - Use Prices'!$A$6:$A$89,0)+MATCH($D107,'[1]End - Use Prices'!$B$9:$B$11,0)-1,MATCH(AH$1,'[1]End - Use Prices'!$C$7:$AL$7,0))</f>
        <v>39.4</v>
      </c>
      <c r="AI107" s="41">
        <f>INDEX('[1]End - Use Prices'!$C$6:$AL$89,MATCH($C107,'[1]End - Use Prices'!$A$6:$A$89,0)+MATCH($D107,'[1]End - Use Prices'!$B$9:$B$11,0)-1,MATCH(AI$1,'[1]End - Use Prices'!$C$7:$AL$7,0))</f>
        <v>40.49</v>
      </c>
      <c r="AJ107" s="41">
        <f>INDEX('[1]End - Use Prices'!$C$6:$AL$89,MATCH($C107,'[1]End - Use Prices'!$A$6:$A$89,0)+MATCH($D107,'[1]End - Use Prices'!$B$9:$B$11,0)-1,MATCH(AJ$1,'[1]End - Use Prices'!$C$7:$AL$7,0))</f>
        <v>42.88</v>
      </c>
      <c r="AK107" s="41">
        <f>INDEX('[1]End - Use Prices'!$C$6:$AL$89,MATCH($C107,'[1]End - Use Prices'!$A$6:$A$89,0)+MATCH($D107,'[1]End - Use Prices'!$B$9:$B$11,0)-1,MATCH(AK$1,'[1]End - Use Prices'!$C$7:$AL$7,0))</f>
        <v>43.74</v>
      </c>
      <c r="AL107" s="41">
        <f>INDEX('[1]End - Use Prices'!$C$6:$AL$89,MATCH($C107,'[1]End - Use Prices'!$A$6:$A$89,0)+MATCH($D107,'[1]End - Use Prices'!$B$9:$B$11,0)-1,MATCH(AL$1,'[1]End - Use Prices'!$C$7:$AL$7,0))</f>
        <v>44.52</v>
      </c>
      <c r="AM107" s="41">
        <f>INDEX('[1]End - Use Prices'!$C$6:$AL$89,MATCH($C107,'[1]End - Use Prices'!$A$6:$A$89,0)+MATCH($D107,'[1]End - Use Prices'!$B$9:$B$11,0)-1,MATCH(AM$1,'[1]End - Use Prices'!$C$7:$AL$7,0))</f>
        <v>45.24</v>
      </c>
      <c r="AN107" s="41">
        <f>INDEX('[1]End - Use Prices'!$C$6:$AL$89,MATCH($C107,'[1]End - Use Prices'!$A$6:$A$89,0)+MATCH($D107,'[1]End - Use Prices'!$B$9:$B$11,0)-1,MATCH(AN$1,'[1]End - Use Prices'!$C$7:$AL$7,0))</f>
        <v>45.89</v>
      </c>
      <c r="AO107" s="41">
        <f>INDEX('[1]End - Use Prices'!$C$6:$AL$89,MATCH($C107,'[1]End - Use Prices'!$A$6:$A$89,0)+MATCH($D107,'[1]End - Use Prices'!$B$9:$B$11,0)-1,MATCH(AO$1,'[1]End - Use Prices'!$C$7:$AL$7,0))</f>
        <v>46.48</v>
      </c>
      <c r="AP107" s="41">
        <f>INDEX('[1]End - Use Prices'!$C$6:$AL$89,MATCH($C107,'[1]End - Use Prices'!$A$6:$A$89,0)+MATCH($D107,'[1]End - Use Prices'!$B$9:$B$11,0)-1,MATCH(AP$1,'[1]End - Use Prices'!$C$7:$AL$7,0))</f>
        <v>47.03</v>
      </c>
      <c r="AQ107" s="41">
        <f>INDEX('[1]End - Use Prices'!$C$6:$AL$89,MATCH($C107,'[1]End - Use Prices'!$A$6:$A$89,0)+MATCH($D107,'[1]End - Use Prices'!$B$9:$B$11,0)-1,MATCH(AQ$1,'[1]End - Use Prices'!$C$7:$AL$7,0))</f>
        <v>47.53</v>
      </c>
      <c r="AR107" s="41">
        <f>INDEX('[1]End - Use Prices'!$C$6:$AL$89,MATCH($C107,'[1]End - Use Prices'!$A$6:$A$89,0)+MATCH($D107,'[1]End - Use Prices'!$B$9:$B$11,0)-1,MATCH(AR$1,'[1]End - Use Prices'!$C$7:$AL$7,0))</f>
        <v>48</v>
      </c>
      <c r="AS107" s="41">
        <f>INDEX('[1]End - Use Prices'!$C$6:$AL$89,MATCH($C107,'[1]End - Use Prices'!$A$6:$A$89,0)+MATCH($D107,'[1]End - Use Prices'!$B$9:$B$11,0)-1,MATCH(AS$1,'[1]End - Use Prices'!$C$7:$AL$7,0))</f>
        <v>48.44</v>
      </c>
      <c r="AT107" s="41">
        <f>INDEX('[1]End - Use Prices'!$C$6:$AL$89,MATCH($C107,'[1]End - Use Prices'!$A$6:$A$89,0)+MATCH($D107,'[1]End - Use Prices'!$B$9:$B$11,0)-1,MATCH(AT$1,'[1]End - Use Prices'!$C$7:$AL$7,0))</f>
        <v>48.85</v>
      </c>
      <c r="AU107" s="41">
        <f>INDEX('[1]End - Use Prices'!$C$6:$AL$89,MATCH($C107,'[1]End - Use Prices'!$A$6:$A$89,0)+MATCH($D107,'[1]End - Use Prices'!$B$9:$B$11,0)-1,MATCH(AU$1,'[1]End - Use Prices'!$C$7:$AL$7,0))</f>
        <v>49.25</v>
      </c>
      <c r="AV107" s="41">
        <f>INDEX('[1]End - Use Prices'!$C$6:$AL$89,MATCH($C107,'[1]End - Use Prices'!$A$6:$A$89,0)+MATCH($D107,'[1]End - Use Prices'!$B$9:$B$11,0)-1,MATCH(AV$1,'[1]End - Use Prices'!$C$7:$AL$7,0))</f>
        <v>49.64</v>
      </c>
      <c r="AW107" s="41">
        <f>INDEX('[1]End - Use Prices'!$C$6:$AL$89,MATCH($C107,'[1]End - Use Prices'!$A$6:$A$89,0)+MATCH($D107,'[1]End - Use Prices'!$B$9:$B$11,0)-1,MATCH(AW$1,'[1]End - Use Prices'!$C$7:$AL$7,0))</f>
        <v>50.03</v>
      </c>
      <c r="AX107" s="41">
        <f>INDEX('[1]End - Use Prices'!$C$6:$AL$89,MATCH($C107,'[1]End - Use Prices'!$A$6:$A$89,0)+MATCH($D107,'[1]End - Use Prices'!$B$9:$B$11,0)-1,MATCH(AX$1,'[1]End - Use Prices'!$C$7:$AL$7,0))</f>
        <v>50.42</v>
      </c>
      <c r="AY107" s="41">
        <f>INDEX('[1]End - Use Prices'!$C$6:$AL$89,MATCH($C107,'[1]End - Use Prices'!$A$6:$A$89,0)+MATCH($D107,'[1]End - Use Prices'!$B$9:$B$11,0)-1,MATCH(AY$1,'[1]End - Use Prices'!$C$7:$AL$7,0))</f>
        <v>50.82</v>
      </c>
      <c r="AZ107" s="41">
        <f>INDEX('[1]End - Use Prices'!$C$6:$AL$89,MATCH($C107,'[1]End - Use Prices'!$A$6:$A$89,0)+MATCH($D107,'[1]End - Use Prices'!$B$9:$B$11,0)-1,MATCH(AZ$1,'[1]End - Use Prices'!$C$7:$AL$7,0))</f>
        <v>51.23</v>
      </c>
      <c r="BA107" s="41">
        <f>INDEX('[1]End - Use Prices'!$C$6:$AL$89,MATCH($C107,'[1]End - Use Prices'!$A$6:$A$89,0)+MATCH($D107,'[1]End - Use Prices'!$B$9:$B$11,0)-1,MATCH(BA$1,'[1]End - Use Prices'!$C$7:$AL$7,0))</f>
        <v>51.67</v>
      </c>
      <c r="BB107" s="41">
        <f>INDEX('[1]End - Use Prices'!$C$6:$AL$89,MATCH($C107,'[1]End - Use Prices'!$A$6:$A$89,0)+MATCH($D107,'[1]End - Use Prices'!$B$9:$B$11,0)-1,MATCH(BB$1,'[1]End - Use Prices'!$C$7:$AL$7,0))</f>
        <v>52.14</v>
      </c>
      <c r="BC107" s="41">
        <f>INDEX('[1]End - Use Prices'!$C$6:$AL$89,MATCH($C107,'[1]End - Use Prices'!$A$6:$A$89,0)+MATCH($D107,'[1]End - Use Prices'!$B$9:$B$11,0)-1,MATCH(BC$1,'[1]End - Use Prices'!$C$7:$AL$7,0))</f>
        <v>52.65</v>
      </c>
      <c r="BD107" s="41">
        <f>INDEX('[1]End - Use Prices'!$C$6:$AL$89,MATCH($C107,'[1]End - Use Prices'!$A$6:$A$89,0)+MATCH($D107,'[1]End - Use Prices'!$B$9:$B$11,0)-1,MATCH(BD$1,'[1]End - Use Prices'!$C$7:$AL$7,0))</f>
        <v>53.2</v>
      </c>
      <c r="BE107" s="41">
        <f>INDEX('[1]End - Use Prices'!$C$6:$AL$89,MATCH($C107,'[1]End - Use Prices'!$A$6:$A$89,0)+MATCH($D107,'[1]End - Use Prices'!$B$9:$B$11,0)-1,MATCH(BE$1,'[1]End - Use Prices'!$C$7:$AL$7,0))</f>
        <v>53.8</v>
      </c>
      <c r="BF107" s="41">
        <f>INDEX('[1]End - Use Prices'!$C$6:$AL$89,MATCH($C107,'[1]End - Use Prices'!$A$6:$A$89,0)+MATCH($D107,'[1]End - Use Prices'!$B$9:$B$11,0)-1,MATCH(BF$1,'[1]End - Use Prices'!$C$7:$AL$7,0))</f>
        <v>54.45</v>
      </c>
      <c r="BG107" s="41">
        <f>INDEX('[1]End - Use Prices'!$C$6:$AL$89,MATCH($C107,'[1]End - Use Prices'!$A$6:$A$89,0)+MATCH($D107,'[1]End - Use Prices'!$B$9:$B$11,0)-1,MATCH(BG$1,'[1]End - Use Prices'!$C$7:$AL$7,0))</f>
        <v>55.17</v>
      </c>
      <c r="BR107" s="39"/>
      <c r="BS107" s="39"/>
      <c r="BT107" s="39"/>
      <c r="BU107" s="39"/>
      <c r="BV107" s="39"/>
      <c r="BW107" s="39"/>
      <c r="BX107" s="39"/>
      <c r="BY107" s="39"/>
      <c r="BZ107" s="39"/>
      <c r="CA107" s="39"/>
    </row>
    <row r="108" spans="1:79" x14ac:dyDescent="0.25">
      <c r="A108" s="5"/>
      <c r="B108" s="3"/>
      <c r="C108" s="25" t="s">
        <v>86</v>
      </c>
      <c r="D108" s="25" t="s">
        <v>2</v>
      </c>
      <c r="E108" s="25" t="s">
        <v>282</v>
      </c>
      <c r="F108" s="67" t="s">
        <v>279</v>
      </c>
      <c r="G108" s="53">
        <f t="shared" si="18"/>
        <v>41.51</v>
      </c>
      <c r="H108" s="34">
        <f t="shared" si="19"/>
        <v>41.51</v>
      </c>
      <c r="I108" s="34">
        <f t="shared" si="19"/>
        <v>50.51</v>
      </c>
      <c r="J108" s="34">
        <f t="shared" si="19"/>
        <v>53.64</v>
      </c>
      <c r="K108" s="34">
        <f t="shared" si="19"/>
        <v>55.52</v>
      </c>
      <c r="L108" s="34">
        <f t="shared" si="19"/>
        <v>56.42</v>
      </c>
      <c r="M108" s="34">
        <f t="shared" si="19"/>
        <v>57.35</v>
      </c>
      <c r="N108" s="34">
        <f t="shared" si="19"/>
        <v>58.28</v>
      </c>
      <c r="O108" s="34">
        <f t="shared" si="19"/>
        <v>59.23</v>
      </c>
      <c r="P108" s="53">
        <f t="shared" si="20"/>
        <v>59.23</v>
      </c>
      <c r="Q108" s="53">
        <f t="shared" si="20"/>
        <v>59.23</v>
      </c>
      <c r="R108" s="38"/>
      <c r="X108" s="41">
        <f>INDEX('[1]End - Use Prices'!$C$6:$AL$89,MATCH($C108,'[1]End - Use Prices'!$A$6:$A$89,0)+MATCH($D108,'[1]End - Use Prices'!$B$9:$B$11,0)-1,MATCH(X$1,'[1]End - Use Prices'!$C$7:$AL$7,0))</f>
        <v>41.51</v>
      </c>
      <c r="Y108" s="41">
        <f>INDEX('[1]End - Use Prices'!$C$6:$AL$89,MATCH($C108,'[1]End - Use Prices'!$A$6:$A$89,0)+MATCH($D108,'[1]End - Use Prices'!$B$9:$B$11,0)-1,MATCH(Y$1,'[1]End - Use Prices'!$C$7:$AL$7,0))</f>
        <v>42.42</v>
      </c>
      <c r="Z108" s="41">
        <f>INDEX('[1]End - Use Prices'!$C$6:$AL$89,MATCH($C108,'[1]End - Use Prices'!$A$6:$A$89,0)+MATCH($D108,'[1]End - Use Prices'!$B$9:$B$11,0)-1,MATCH(Z$1,'[1]End - Use Prices'!$C$7:$AL$7,0))</f>
        <v>44.58</v>
      </c>
      <c r="AA108" s="41">
        <f>INDEX('[1]End - Use Prices'!$C$6:$AL$89,MATCH($C108,'[1]End - Use Prices'!$A$6:$A$89,0)+MATCH($D108,'[1]End - Use Prices'!$B$9:$B$11,0)-1,MATCH(AA$1,'[1]End - Use Prices'!$C$7:$AL$7,0))</f>
        <v>46.56</v>
      </c>
      <c r="AB108" s="41">
        <f>INDEX('[1]End - Use Prices'!$C$6:$AL$89,MATCH($C108,'[1]End - Use Prices'!$A$6:$A$89,0)+MATCH($D108,'[1]End - Use Prices'!$B$9:$B$11,0)-1,MATCH(AB$1,'[1]End - Use Prices'!$C$7:$AL$7,0))</f>
        <v>55.63</v>
      </c>
      <c r="AC108" s="41">
        <f>INDEX('[1]End - Use Prices'!$C$6:$AL$89,MATCH($C108,'[1]End - Use Prices'!$A$6:$A$89,0)+MATCH($D108,'[1]End - Use Prices'!$B$9:$B$11,0)-1,MATCH(AC$1,'[1]End - Use Prices'!$C$7:$AL$7,0))</f>
        <v>50.51</v>
      </c>
      <c r="AD108" s="41">
        <f>INDEX('[1]End - Use Prices'!$C$6:$AL$89,MATCH($C108,'[1]End - Use Prices'!$A$6:$A$89,0)+MATCH($D108,'[1]End - Use Prices'!$B$9:$B$11,0)-1,MATCH(AD$1,'[1]End - Use Prices'!$C$7:$AL$7,0))</f>
        <v>43.95</v>
      </c>
      <c r="AE108" s="41">
        <f>INDEX('[1]End - Use Prices'!$C$6:$AL$89,MATCH($C108,'[1]End - Use Prices'!$A$6:$A$89,0)+MATCH($D108,'[1]End - Use Prices'!$B$9:$B$11,0)-1,MATCH(AE$1,'[1]End - Use Prices'!$C$7:$AL$7,0))</f>
        <v>43.43</v>
      </c>
      <c r="AF108" s="41">
        <f>INDEX('[1]End - Use Prices'!$C$6:$AL$89,MATCH($C108,'[1]End - Use Prices'!$A$6:$A$89,0)+MATCH($D108,'[1]End - Use Prices'!$B$9:$B$11,0)-1,MATCH(AF$1,'[1]End - Use Prices'!$C$7:$AL$7,0))</f>
        <v>50.61</v>
      </c>
      <c r="AG108" s="41">
        <f>INDEX('[1]End - Use Prices'!$C$6:$AL$89,MATCH($C108,'[1]End - Use Prices'!$A$6:$A$89,0)+MATCH($D108,'[1]End - Use Prices'!$B$9:$B$11,0)-1,MATCH(AG$1,'[1]End - Use Prices'!$C$7:$AL$7,0))</f>
        <v>51.93</v>
      </c>
      <c r="AH108" s="41">
        <f>INDEX('[1]End - Use Prices'!$C$6:$AL$89,MATCH($C108,'[1]End - Use Prices'!$A$6:$A$89,0)+MATCH($D108,'[1]End - Use Prices'!$B$9:$B$11,0)-1,MATCH(AH$1,'[1]End - Use Prices'!$C$7:$AL$7,0))</f>
        <v>53.64</v>
      </c>
      <c r="AI108" s="41">
        <f>INDEX('[1]End - Use Prices'!$C$6:$AL$89,MATCH($C108,'[1]End - Use Prices'!$A$6:$A$89,0)+MATCH($D108,'[1]End - Use Prices'!$B$9:$B$11,0)-1,MATCH(AI$1,'[1]End - Use Prices'!$C$7:$AL$7,0))</f>
        <v>54.8</v>
      </c>
      <c r="AJ108" s="41">
        <f>INDEX('[1]End - Use Prices'!$C$6:$AL$89,MATCH($C108,'[1]End - Use Prices'!$A$6:$A$89,0)+MATCH($D108,'[1]End - Use Prices'!$B$9:$B$11,0)-1,MATCH(AJ$1,'[1]End - Use Prices'!$C$7:$AL$7,0))</f>
        <v>54.98</v>
      </c>
      <c r="AK108" s="41">
        <f>INDEX('[1]End - Use Prices'!$C$6:$AL$89,MATCH($C108,'[1]End - Use Prices'!$A$6:$A$89,0)+MATCH($D108,'[1]End - Use Prices'!$B$9:$B$11,0)-1,MATCH(AK$1,'[1]End - Use Prices'!$C$7:$AL$7,0))</f>
        <v>55.16</v>
      </c>
      <c r="AL108" s="41">
        <f>INDEX('[1]End - Use Prices'!$C$6:$AL$89,MATCH($C108,'[1]End - Use Prices'!$A$6:$A$89,0)+MATCH($D108,'[1]End - Use Prices'!$B$9:$B$11,0)-1,MATCH(AL$1,'[1]End - Use Prices'!$C$7:$AL$7,0))</f>
        <v>55.34</v>
      </c>
      <c r="AM108" s="41">
        <f>INDEX('[1]End - Use Prices'!$C$6:$AL$89,MATCH($C108,'[1]End - Use Prices'!$A$6:$A$89,0)+MATCH($D108,'[1]End - Use Prices'!$B$9:$B$11,0)-1,MATCH(AM$1,'[1]End - Use Prices'!$C$7:$AL$7,0))</f>
        <v>55.52</v>
      </c>
      <c r="AN108" s="41">
        <f>INDEX('[1]End - Use Prices'!$C$6:$AL$89,MATCH($C108,'[1]End - Use Prices'!$A$6:$A$89,0)+MATCH($D108,'[1]End - Use Prices'!$B$9:$B$11,0)-1,MATCH(AN$1,'[1]End - Use Prices'!$C$7:$AL$7,0))</f>
        <v>55.7</v>
      </c>
      <c r="AO108" s="41">
        <f>INDEX('[1]End - Use Prices'!$C$6:$AL$89,MATCH($C108,'[1]End - Use Prices'!$A$6:$A$89,0)+MATCH($D108,'[1]End - Use Prices'!$B$9:$B$11,0)-1,MATCH(AO$1,'[1]End - Use Prices'!$C$7:$AL$7,0))</f>
        <v>55.88</v>
      </c>
      <c r="AP108" s="41">
        <f>INDEX('[1]End - Use Prices'!$C$6:$AL$89,MATCH($C108,'[1]End - Use Prices'!$A$6:$A$89,0)+MATCH($D108,'[1]End - Use Prices'!$B$9:$B$11,0)-1,MATCH(AP$1,'[1]End - Use Prices'!$C$7:$AL$7,0))</f>
        <v>56.06</v>
      </c>
      <c r="AQ108" s="41">
        <f>INDEX('[1]End - Use Prices'!$C$6:$AL$89,MATCH($C108,'[1]End - Use Prices'!$A$6:$A$89,0)+MATCH($D108,'[1]End - Use Prices'!$B$9:$B$11,0)-1,MATCH(AQ$1,'[1]End - Use Prices'!$C$7:$AL$7,0))</f>
        <v>56.24</v>
      </c>
      <c r="AR108" s="41">
        <f>INDEX('[1]End - Use Prices'!$C$6:$AL$89,MATCH($C108,'[1]End - Use Prices'!$A$6:$A$89,0)+MATCH($D108,'[1]End - Use Prices'!$B$9:$B$11,0)-1,MATCH(AR$1,'[1]End - Use Prices'!$C$7:$AL$7,0))</f>
        <v>56.42</v>
      </c>
      <c r="AS108" s="41">
        <f>INDEX('[1]End - Use Prices'!$C$6:$AL$89,MATCH($C108,'[1]End - Use Prices'!$A$6:$A$89,0)+MATCH($D108,'[1]End - Use Prices'!$B$9:$B$11,0)-1,MATCH(AS$1,'[1]End - Use Prices'!$C$7:$AL$7,0))</f>
        <v>56.61</v>
      </c>
      <c r="AT108" s="41">
        <f>INDEX('[1]End - Use Prices'!$C$6:$AL$89,MATCH($C108,'[1]End - Use Prices'!$A$6:$A$89,0)+MATCH($D108,'[1]End - Use Prices'!$B$9:$B$11,0)-1,MATCH(AT$1,'[1]End - Use Prices'!$C$7:$AL$7,0))</f>
        <v>56.79</v>
      </c>
      <c r="AU108" s="41">
        <f>INDEX('[1]End - Use Prices'!$C$6:$AL$89,MATCH($C108,'[1]End - Use Prices'!$A$6:$A$89,0)+MATCH($D108,'[1]End - Use Prices'!$B$9:$B$11,0)-1,MATCH(AU$1,'[1]End - Use Prices'!$C$7:$AL$7,0))</f>
        <v>56.97</v>
      </c>
      <c r="AV108" s="41">
        <f>INDEX('[1]End - Use Prices'!$C$6:$AL$89,MATCH($C108,'[1]End - Use Prices'!$A$6:$A$89,0)+MATCH($D108,'[1]End - Use Prices'!$B$9:$B$11,0)-1,MATCH(AV$1,'[1]End - Use Prices'!$C$7:$AL$7,0))</f>
        <v>57.16</v>
      </c>
      <c r="AW108" s="41">
        <f>INDEX('[1]End - Use Prices'!$C$6:$AL$89,MATCH($C108,'[1]End - Use Prices'!$A$6:$A$89,0)+MATCH($D108,'[1]End - Use Prices'!$B$9:$B$11,0)-1,MATCH(AW$1,'[1]End - Use Prices'!$C$7:$AL$7,0))</f>
        <v>57.35</v>
      </c>
      <c r="AX108" s="41">
        <f>INDEX('[1]End - Use Prices'!$C$6:$AL$89,MATCH($C108,'[1]End - Use Prices'!$A$6:$A$89,0)+MATCH($D108,'[1]End - Use Prices'!$B$9:$B$11,0)-1,MATCH(AX$1,'[1]End - Use Prices'!$C$7:$AL$7,0))</f>
        <v>57.53</v>
      </c>
      <c r="AY108" s="41">
        <f>INDEX('[1]End - Use Prices'!$C$6:$AL$89,MATCH($C108,'[1]End - Use Prices'!$A$6:$A$89,0)+MATCH($D108,'[1]End - Use Prices'!$B$9:$B$11,0)-1,MATCH(AY$1,'[1]End - Use Prices'!$C$7:$AL$7,0))</f>
        <v>57.72</v>
      </c>
      <c r="AZ108" s="41">
        <f>INDEX('[1]End - Use Prices'!$C$6:$AL$89,MATCH($C108,'[1]End - Use Prices'!$A$6:$A$89,0)+MATCH($D108,'[1]End - Use Prices'!$B$9:$B$11,0)-1,MATCH(AZ$1,'[1]End - Use Prices'!$C$7:$AL$7,0))</f>
        <v>57.91</v>
      </c>
      <c r="BA108" s="41">
        <f>INDEX('[1]End - Use Prices'!$C$6:$AL$89,MATCH($C108,'[1]End - Use Prices'!$A$6:$A$89,0)+MATCH($D108,'[1]End - Use Prices'!$B$9:$B$11,0)-1,MATCH(BA$1,'[1]End - Use Prices'!$C$7:$AL$7,0))</f>
        <v>58.09</v>
      </c>
      <c r="BB108" s="41">
        <f>INDEX('[1]End - Use Prices'!$C$6:$AL$89,MATCH($C108,'[1]End - Use Prices'!$A$6:$A$89,0)+MATCH($D108,'[1]End - Use Prices'!$B$9:$B$11,0)-1,MATCH(BB$1,'[1]End - Use Prices'!$C$7:$AL$7,0))</f>
        <v>58.28</v>
      </c>
      <c r="BC108" s="41">
        <f>INDEX('[1]End - Use Prices'!$C$6:$AL$89,MATCH($C108,'[1]End - Use Prices'!$A$6:$A$89,0)+MATCH($D108,'[1]End - Use Prices'!$B$9:$B$11,0)-1,MATCH(BC$1,'[1]End - Use Prices'!$C$7:$AL$7,0))</f>
        <v>58.47</v>
      </c>
      <c r="BD108" s="41">
        <f>INDEX('[1]End - Use Prices'!$C$6:$AL$89,MATCH($C108,'[1]End - Use Prices'!$A$6:$A$89,0)+MATCH($D108,'[1]End - Use Prices'!$B$9:$B$11,0)-1,MATCH(BD$1,'[1]End - Use Prices'!$C$7:$AL$7,0))</f>
        <v>58.66</v>
      </c>
      <c r="BE108" s="41">
        <f>INDEX('[1]End - Use Prices'!$C$6:$AL$89,MATCH($C108,'[1]End - Use Prices'!$A$6:$A$89,0)+MATCH($D108,'[1]End - Use Prices'!$B$9:$B$11,0)-1,MATCH(BE$1,'[1]End - Use Prices'!$C$7:$AL$7,0))</f>
        <v>58.85</v>
      </c>
      <c r="BF108" s="41">
        <f>INDEX('[1]End - Use Prices'!$C$6:$AL$89,MATCH($C108,'[1]End - Use Prices'!$A$6:$A$89,0)+MATCH($D108,'[1]End - Use Prices'!$B$9:$B$11,0)-1,MATCH(BF$1,'[1]End - Use Prices'!$C$7:$AL$7,0))</f>
        <v>59.04</v>
      </c>
      <c r="BG108" s="41">
        <f>INDEX('[1]End - Use Prices'!$C$6:$AL$89,MATCH($C108,'[1]End - Use Prices'!$A$6:$A$89,0)+MATCH($D108,'[1]End - Use Prices'!$B$9:$B$11,0)-1,MATCH(BG$1,'[1]End - Use Prices'!$C$7:$AL$7,0))</f>
        <v>59.23</v>
      </c>
      <c r="BR108" s="39"/>
      <c r="BS108" s="39"/>
      <c r="BT108" s="39"/>
      <c r="BU108" s="39"/>
      <c r="BV108" s="39"/>
      <c r="BW108" s="39"/>
      <c r="BX108" s="39"/>
      <c r="BY108" s="39"/>
      <c r="BZ108" s="39"/>
      <c r="CA108" s="39"/>
    </row>
    <row r="109" spans="1:79" x14ac:dyDescent="0.25">
      <c r="A109" s="5"/>
      <c r="B109" s="3"/>
      <c r="C109" s="25" t="s">
        <v>87</v>
      </c>
      <c r="D109" s="25" t="s">
        <v>2</v>
      </c>
      <c r="E109" s="25" t="s">
        <v>282</v>
      </c>
      <c r="F109" s="67" t="s">
        <v>279</v>
      </c>
      <c r="G109" s="53">
        <f t="shared" si="18"/>
        <v>37.270000000000003</v>
      </c>
      <c r="H109" s="34">
        <f t="shared" si="19"/>
        <v>37.270000000000003</v>
      </c>
      <c r="I109" s="34">
        <f t="shared" si="19"/>
        <v>40.32</v>
      </c>
      <c r="J109" s="34">
        <f t="shared" si="19"/>
        <v>46.71</v>
      </c>
      <c r="K109" s="34">
        <f t="shared" si="19"/>
        <v>49.31</v>
      </c>
      <c r="L109" s="34">
        <f t="shared" si="19"/>
        <v>53.15</v>
      </c>
      <c r="M109" s="34">
        <f t="shared" si="19"/>
        <v>56.07</v>
      </c>
      <c r="N109" s="34">
        <f t="shared" si="19"/>
        <v>57.94</v>
      </c>
      <c r="O109" s="34">
        <f t="shared" si="19"/>
        <v>58.62</v>
      </c>
      <c r="P109" s="53">
        <f t="shared" si="20"/>
        <v>58.62</v>
      </c>
      <c r="Q109" s="53">
        <f t="shared" si="20"/>
        <v>58.62</v>
      </c>
      <c r="R109" s="38"/>
      <c r="X109" s="41">
        <f>INDEX('[1]End - Use Prices'!$C$6:$AL$89,MATCH($C109,'[1]End - Use Prices'!$A$6:$A$89,0)+MATCH($D109,'[1]End - Use Prices'!$B$9:$B$11,0)-1,MATCH(X$1,'[1]End - Use Prices'!$C$7:$AL$7,0))</f>
        <v>37.270000000000003</v>
      </c>
      <c r="Y109" s="41">
        <f>INDEX('[1]End - Use Prices'!$C$6:$AL$89,MATCH($C109,'[1]End - Use Prices'!$A$6:$A$89,0)+MATCH($D109,'[1]End - Use Prices'!$B$9:$B$11,0)-1,MATCH(Y$1,'[1]End - Use Prices'!$C$7:$AL$7,0))</f>
        <v>41.5</v>
      </c>
      <c r="Z109" s="41">
        <f>INDEX('[1]End - Use Prices'!$C$6:$AL$89,MATCH($C109,'[1]End - Use Prices'!$A$6:$A$89,0)+MATCH($D109,'[1]End - Use Prices'!$B$9:$B$11,0)-1,MATCH(Z$1,'[1]End - Use Prices'!$C$7:$AL$7,0))</f>
        <v>38.799999999999997</v>
      </c>
      <c r="AA109" s="41">
        <f>INDEX('[1]End - Use Prices'!$C$6:$AL$89,MATCH($C109,'[1]End - Use Prices'!$A$6:$A$89,0)+MATCH($D109,'[1]End - Use Prices'!$B$9:$B$11,0)-1,MATCH(AA$1,'[1]End - Use Prices'!$C$7:$AL$7,0))</f>
        <v>36.950000000000003</v>
      </c>
      <c r="AB109" s="41">
        <f>INDEX('[1]End - Use Prices'!$C$6:$AL$89,MATCH($C109,'[1]End - Use Prices'!$A$6:$A$89,0)+MATCH($D109,'[1]End - Use Prices'!$B$9:$B$11,0)-1,MATCH(AB$1,'[1]End - Use Prices'!$C$7:$AL$7,0))</f>
        <v>44.6</v>
      </c>
      <c r="AC109" s="41">
        <f>INDEX('[1]End - Use Prices'!$C$6:$AL$89,MATCH($C109,'[1]End - Use Prices'!$A$6:$A$89,0)+MATCH($D109,'[1]End - Use Prices'!$B$9:$B$11,0)-1,MATCH(AC$1,'[1]End - Use Prices'!$C$7:$AL$7,0))</f>
        <v>40.32</v>
      </c>
      <c r="AD109" s="41">
        <f>INDEX('[1]End - Use Prices'!$C$6:$AL$89,MATCH($C109,'[1]End - Use Prices'!$A$6:$A$89,0)+MATCH($D109,'[1]End - Use Prices'!$B$9:$B$11,0)-1,MATCH(AD$1,'[1]End - Use Prices'!$C$7:$AL$7,0))</f>
        <v>41.27</v>
      </c>
      <c r="AE109" s="41">
        <f>INDEX('[1]End - Use Prices'!$C$6:$AL$89,MATCH($C109,'[1]End - Use Prices'!$A$6:$A$89,0)+MATCH($D109,'[1]End - Use Prices'!$B$9:$B$11,0)-1,MATCH(AE$1,'[1]End - Use Prices'!$C$7:$AL$7,0))</f>
        <v>44.94</v>
      </c>
      <c r="AF109" s="41">
        <f>INDEX('[1]End - Use Prices'!$C$6:$AL$89,MATCH($C109,'[1]End - Use Prices'!$A$6:$A$89,0)+MATCH($D109,'[1]End - Use Prices'!$B$9:$B$11,0)-1,MATCH(AF$1,'[1]End - Use Prices'!$C$7:$AL$7,0))</f>
        <v>45.5</v>
      </c>
      <c r="AG109" s="41">
        <f>INDEX('[1]End - Use Prices'!$C$6:$AL$89,MATCH($C109,'[1]End - Use Prices'!$A$6:$A$89,0)+MATCH($D109,'[1]End - Use Prices'!$B$9:$B$11,0)-1,MATCH(AG$1,'[1]End - Use Prices'!$C$7:$AL$7,0))</f>
        <v>46.34</v>
      </c>
      <c r="AH109" s="41">
        <f>INDEX('[1]End - Use Prices'!$C$6:$AL$89,MATCH($C109,'[1]End - Use Prices'!$A$6:$A$89,0)+MATCH($D109,'[1]End - Use Prices'!$B$9:$B$11,0)-1,MATCH(AH$1,'[1]End - Use Prices'!$C$7:$AL$7,0))</f>
        <v>46.71</v>
      </c>
      <c r="AI109" s="41">
        <f>INDEX('[1]End - Use Prices'!$C$6:$AL$89,MATCH($C109,'[1]End - Use Prices'!$A$6:$A$89,0)+MATCH($D109,'[1]End - Use Prices'!$B$9:$B$11,0)-1,MATCH(AI$1,'[1]End - Use Prices'!$C$7:$AL$7,0))</f>
        <v>46.01</v>
      </c>
      <c r="AJ109" s="41">
        <f>INDEX('[1]End - Use Prices'!$C$6:$AL$89,MATCH($C109,'[1]End - Use Prices'!$A$6:$A$89,0)+MATCH($D109,'[1]End - Use Prices'!$B$9:$B$11,0)-1,MATCH(AJ$1,'[1]End - Use Prices'!$C$7:$AL$7,0))</f>
        <v>46.61</v>
      </c>
      <c r="AK109" s="41">
        <f>INDEX('[1]End - Use Prices'!$C$6:$AL$89,MATCH($C109,'[1]End - Use Prices'!$A$6:$A$89,0)+MATCH($D109,'[1]End - Use Prices'!$B$9:$B$11,0)-1,MATCH(AK$1,'[1]End - Use Prices'!$C$7:$AL$7,0))</f>
        <v>47.54</v>
      </c>
      <c r="AL109" s="41">
        <f>INDEX('[1]End - Use Prices'!$C$6:$AL$89,MATCH($C109,'[1]End - Use Prices'!$A$6:$A$89,0)+MATCH($D109,'[1]End - Use Prices'!$B$9:$B$11,0)-1,MATCH(AL$1,'[1]End - Use Prices'!$C$7:$AL$7,0))</f>
        <v>48.44</v>
      </c>
      <c r="AM109" s="41">
        <f>INDEX('[1]End - Use Prices'!$C$6:$AL$89,MATCH($C109,'[1]End - Use Prices'!$A$6:$A$89,0)+MATCH($D109,'[1]End - Use Prices'!$B$9:$B$11,0)-1,MATCH(AM$1,'[1]End - Use Prices'!$C$7:$AL$7,0))</f>
        <v>49.31</v>
      </c>
      <c r="AN109" s="41">
        <f>INDEX('[1]End - Use Prices'!$C$6:$AL$89,MATCH($C109,'[1]End - Use Prices'!$A$6:$A$89,0)+MATCH($D109,'[1]End - Use Prices'!$B$9:$B$11,0)-1,MATCH(AN$1,'[1]End - Use Prices'!$C$7:$AL$7,0))</f>
        <v>50.14</v>
      </c>
      <c r="AO109" s="41">
        <f>INDEX('[1]End - Use Prices'!$C$6:$AL$89,MATCH($C109,'[1]End - Use Prices'!$A$6:$A$89,0)+MATCH($D109,'[1]End - Use Prices'!$B$9:$B$11,0)-1,MATCH(AO$1,'[1]End - Use Prices'!$C$7:$AL$7,0))</f>
        <v>50.94</v>
      </c>
      <c r="AP109" s="41">
        <f>INDEX('[1]End - Use Prices'!$C$6:$AL$89,MATCH($C109,'[1]End - Use Prices'!$A$6:$A$89,0)+MATCH($D109,'[1]End - Use Prices'!$B$9:$B$11,0)-1,MATCH(AP$1,'[1]End - Use Prices'!$C$7:$AL$7,0))</f>
        <v>51.71</v>
      </c>
      <c r="AQ109" s="41">
        <f>INDEX('[1]End - Use Prices'!$C$6:$AL$89,MATCH($C109,'[1]End - Use Prices'!$A$6:$A$89,0)+MATCH($D109,'[1]End - Use Prices'!$B$9:$B$11,0)-1,MATCH(AQ$1,'[1]End - Use Prices'!$C$7:$AL$7,0))</f>
        <v>52.45</v>
      </c>
      <c r="AR109" s="41">
        <f>INDEX('[1]End - Use Prices'!$C$6:$AL$89,MATCH($C109,'[1]End - Use Prices'!$A$6:$A$89,0)+MATCH($D109,'[1]End - Use Prices'!$B$9:$B$11,0)-1,MATCH(AR$1,'[1]End - Use Prices'!$C$7:$AL$7,0))</f>
        <v>53.15</v>
      </c>
      <c r="AS109" s="41">
        <f>INDEX('[1]End - Use Prices'!$C$6:$AL$89,MATCH($C109,'[1]End - Use Prices'!$A$6:$A$89,0)+MATCH($D109,'[1]End - Use Prices'!$B$9:$B$11,0)-1,MATCH(AS$1,'[1]End - Use Prices'!$C$7:$AL$7,0))</f>
        <v>53.81</v>
      </c>
      <c r="AT109" s="41">
        <f>INDEX('[1]End - Use Prices'!$C$6:$AL$89,MATCH($C109,'[1]End - Use Prices'!$A$6:$A$89,0)+MATCH($D109,'[1]End - Use Prices'!$B$9:$B$11,0)-1,MATCH(AT$1,'[1]End - Use Prices'!$C$7:$AL$7,0))</f>
        <v>54.43</v>
      </c>
      <c r="AU109" s="41">
        <f>INDEX('[1]End - Use Prices'!$C$6:$AL$89,MATCH($C109,'[1]End - Use Prices'!$A$6:$A$89,0)+MATCH($D109,'[1]End - Use Prices'!$B$9:$B$11,0)-1,MATCH(AU$1,'[1]End - Use Prices'!$C$7:$AL$7,0))</f>
        <v>55.02</v>
      </c>
      <c r="AV109" s="41">
        <f>INDEX('[1]End - Use Prices'!$C$6:$AL$89,MATCH($C109,'[1]End - Use Prices'!$A$6:$A$89,0)+MATCH($D109,'[1]End - Use Prices'!$B$9:$B$11,0)-1,MATCH(AV$1,'[1]End - Use Prices'!$C$7:$AL$7,0))</f>
        <v>55.56</v>
      </c>
      <c r="AW109" s="41">
        <f>INDEX('[1]End - Use Prices'!$C$6:$AL$89,MATCH($C109,'[1]End - Use Prices'!$A$6:$A$89,0)+MATCH($D109,'[1]End - Use Prices'!$B$9:$B$11,0)-1,MATCH(AW$1,'[1]End - Use Prices'!$C$7:$AL$7,0))</f>
        <v>56.07</v>
      </c>
      <c r="AX109" s="41">
        <f>INDEX('[1]End - Use Prices'!$C$6:$AL$89,MATCH($C109,'[1]End - Use Prices'!$A$6:$A$89,0)+MATCH($D109,'[1]End - Use Prices'!$B$9:$B$11,0)-1,MATCH(AX$1,'[1]End - Use Prices'!$C$7:$AL$7,0))</f>
        <v>56.53</v>
      </c>
      <c r="AY109" s="41">
        <f>INDEX('[1]End - Use Prices'!$C$6:$AL$89,MATCH($C109,'[1]End - Use Prices'!$A$6:$A$89,0)+MATCH($D109,'[1]End - Use Prices'!$B$9:$B$11,0)-1,MATCH(AY$1,'[1]End - Use Prices'!$C$7:$AL$7,0))</f>
        <v>56.95</v>
      </c>
      <c r="AZ109" s="41">
        <f>INDEX('[1]End - Use Prices'!$C$6:$AL$89,MATCH($C109,'[1]End - Use Prices'!$A$6:$A$89,0)+MATCH($D109,'[1]End - Use Prices'!$B$9:$B$11,0)-1,MATCH(AZ$1,'[1]End - Use Prices'!$C$7:$AL$7,0))</f>
        <v>57.32</v>
      </c>
      <c r="BA109" s="41">
        <f>INDEX('[1]End - Use Prices'!$C$6:$AL$89,MATCH($C109,'[1]End - Use Prices'!$A$6:$A$89,0)+MATCH($D109,'[1]End - Use Prices'!$B$9:$B$11,0)-1,MATCH(BA$1,'[1]End - Use Prices'!$C$7:$AL$7,0))</f>
        <v>57.65</v>
      </c>
      <c r="BB109" s="41">
        <f>INDEX('[1]End - Use Prices'!$C$6:$AL$89,MATCH($C109,'[1]End - Use Prices'!$A$6:$A$89,0)+MATCH($D109,'[1]End - Use Prices'!$B$9:$B$11,0)-1,MATCH(BB$1,'[1]End - Use Prices'!$C$7:$AL$7,0))</f>
        <v>57.94</v>
      </c>
      <c r="BC109" s="41">
        <f>INDEX('[1]End - Use Prices'!$C$6:$AL$89,MATCH($C109,'[1]End - Use Prices'!$A$6:$A$89,0)+MATCH($D109,'[1]End - Use Prices'!$B$9:$B$11,0)-1,MATCH(BC$1,'[1]End - Use Prices'!$C$7:$AL$7,0))</f>
        <v>58.17</v>
      </c>
      <c r="BD109" s="41">
        <f>INDEX('[1]End - Use Prices'!$C$6:$AL$89,MATCH($C109,'[1]End - Use Prices'!$A$6:$A$89,0)+MATCH($D109,'[1]End - Use Prices'!$B$9:$B$11,0)-1,MATCH(BD$1,'[1]End - Use Prices'!$C$7:$AL$7,0))</f>
        <v>58.36</v>
      </c>
      <c r="BE109" s="41">
        <f>INDEX('[1]End - Use Prices'!$C$6:$AL$89,MATCH($C109,'[1]End - Use Prices'!$A$6:$A$89,0)+MATCH($D109,'[1]End - Use Prices'!$B$9:$B$11,0)-1,MATCH(BE$1,'[1]End - Use Prices'!$C$7:$AL$7,0))</f>
        <v>58.5</v>
      </c>
      <c r="BF109" s="41">
        <f>INDEX('[1]End - Use Prices'!$C$6:$AL$89,MATCH($C109,'[1]End - Use Prices'!$A$6:$A$89,0)+MATCH($D109,'[1]End - Use Prices'!$B$9:$B$11,0)-1,MATCH(BF$1,'[1]End - Use Prices'!$C$7:$AL$7,0))</f>
        <v>58.59</v>
      </c>
      <c r="BG109" s="41">
        <f>INDEX('[1]End - Use Prices'!$C$6:$AL$89,MATCH($C109,'[1]End - Use Prices'!$A$6:$A$89,0)+MATCH($D109,'[1]End - Use Prices'!$B$9:$B$11,0)-1,MATCH(BG$1,'[1]End - Use Prices'!$C$7:$AL$7,0))</f>
        <v>58.62</v>
      </c>
      <c r="BR109" s="39"/>
      <c r="BS109" s="39"/>
      <c r="BT109" s="39"/>
      <c r="BU109" s="39"/>
      <c r="BV109" s="39"/>
      <c r="BW109" s="39"/>
      <c r="BX109" s="39"/>
      <c r="BY109" s="39"/>
      <c r="BZ109" s="39"/>
      <c r="CA109" s="39"/>
    </row>
    <row r="110" spans="1:79" x14ac:dyDescent="0.25">
      <c r="A110" s="5"/>
      <c r="B110" s="3"/>
      <c r="C110" s="25" t="s">
        <v>88</v>
      </c>
      <c r="D110" s="25" t="s">
        <v>2</v>
      </c>
      <c r="E110" s="25" t="s">
        <v>282</v>
      </c>
      <c r="F110" s="67" t="s">
        <v>279</v>
      </c>
      <c r="G110" s="53">
        <f t="shared" si="18"/>
        <v>35.630000000000003</v>
      </c>
      <c r="H110" s="34">
        <f t="shared" si="19"/>
        <v>35.630000000000003</v>
      </c>
      <c r="I110" s="34">
        <f t="shared" si="19"/>
        <v>42.27</v>
      </c>
      <c r="J110" s="34">
        <f t="shared" si="19"/>
        <v>41.52</v>
      </c>
      <c r="K110" s="34">
        <f t="shared" si="19"/>
        <v>44.47</v>
      </c>
      <c r="L110" s="34">
        <f t="shared" si="19"/>
        <v>47.37</v>
      </c>
      <c r="M110" s="34">
        <f t="shared" si="19"/>
        <v>50.45</v>
      </c>
      <c r="N110" s="34">
        <f t="shared" si="19"/>
        <v>53.74</v>
      </c>
      <c r="O110" s="34">
        <f t="shared" si="19"/>
        <v>57.24</v>
      </c>
      <c r="P110" s="53">
        <f t="shared" si="20"/>
        <v>57.24</v>
      </c>
      <c r="Q110" s="53">
        <f t="shared" si="20"/>
        <v>57.24</v>
      </c>
      <c r="R110" s="38"/>
      <c r="X110" s="41">
        <f>INDEX('[1]End - Use Prices'!$C$6:$AL$89,MATCH($C110,'[1]End - Use Prices'!$A$6:$A$89,0)+MATCH($D110,'[1]End - Use Prices'!$B$9:$B$11,0)-1,MATCH(X$1,'[1]End - Use Prices'!$C$7:$AL$7,0))</f>
        <v>35.630000000000003</v>
      </c>
      <c r="Y110" s="41">
        <f>INDEX('[1]End - Use Prices'!$C$6:$AL$89,MATCH($C110,'[1]End - Use Prices'!$A$6:$A$89,0)+MATCH($D110,'[1]End - Use Prices'!$B$9:$B$11,0)-1,MATCH(Y$1,'[1]End - Use Prices'!$C$7:$AL$7,0))</f>
        <v>40.94</v>
      </c>
      <c r="Z110" s="41">
        <f>INDEX('[1]End - Use Prices'!$C$6:$AL$89,MATCH($C110,'[1]End - Use Prices'!$A$6:$A$89,0)+MATCH($D110,'[1]End - Use Prices'!$B$9:$B$11,0)-1,MATCH(Z$1,'[1]End - Use Prices'!$C$7:$AL$7,0))</f>
        <v>42.23</v>
      </c>
      <c r="AA110" s="41">
        <f>INDEX('[1]End - Use Prices'!$C$6:$AL$89,MATCH($C110,'[1]End - Use Prices'!$A$6:$A$89,0)+MATCH($D110,'[1]End - Use Prices'!$B$9:$B$11,0)-1,MATCH(AA$1,'[1]End - Use Prices'!$C$7:$AL$7,0))</f>
        <v>41.92</v>
      </c>
      <c r="AB110" s="41">
        <f>INDEX('[1]End - Use Prices'!$C$6:$AL$89,MATCH($C110,'[1]End - Use Prices'!$A$6:$A$89,0)+MATCH($D110,'[1]End - Use Prices'!$B$9:$B$11,0)-1,MATCH(AB$1,'[1]End - Use Prices'!$C$7:$AL$7,0))</f>
        <v>43.47</v>
      </c>
      <c r="AC110" s="41">
        <f>INDEX('[1]End - Use Prices'!$C$6:$AL$89,MATCH($C110,'[1]End - Use Prices'!$A$6:$A$89,0)+MATCH($D110,'[1]End - Use Prices'!$B$9:$B$11,0)-1,MATCH(AC$1,'[1]End - Use Prices'!$C$7:$AL$7,0))</f>
        <v>42.27</v>
      </c>
      <c r="AD110" s="41">
        <f>INDEX('[1]End - Use Prices'!$C$6:$AL$89,MATCH($C110,'[1]End - Use Prices'!$A$6:$A$89,0)+MATCH($D110,'[1]End - Use Prices'!$B$9:$B$11,0)-1,MATCH(AD$1,'[1]End - Use Prices'!$C$7:$AL$7,0))</f>
        <v>41.5</v>
      </c>
      <c r="AE110" s="41">
        <f>INDEX('[1]End - Use Prices'!$C$6:$AL$89,MATCH($C110,'[1]End - Use Prices'!$A$6:$A$89,0)+MATCH($D110,'[1]End - Use Prices'!$B$9:$B$11,0)-1,MATCH(AE$1,'[1]End - Use Prices'!$C$7:$AL$7,0))</f>
        <v>41</v>
      </c>
      <c r="AF110" s="41">
        <f>INDEX('[1]End - Use Prices'!$C$6:$AL$89,MATCH($C110,'[1]End - Use Prices'!$A$6:$A$89,0)+MATCH($D110,'[1]End - Use Prices'!$B$9:$B$11,0)-1,MATCH(AF$1,'[1]End - Use Prices'!$C$7:$AL$7,0))</f>
        <v>40.340000000000003</v>
      </c>
      <c r="AG110" s="41">
        <f>INDEX('[1]End - Use Prices'!$C$6:$AL$89,MATCH($C110,'[1]End - Use Prices'!$A$6:$A$89,0)+MATCH($D110,'[1]End - Use Prices'!$B$9:$B$11,0)-1,MATCH(AG$1,'[1]End - Use Prices'!$C$7:$AL$7,0))</f>
        <v>40.39</v>
      </c>
      <c r="AH110" s="41">
        <f>INDEX('[1]End - Use Prices'!$C$6:$AL$89,MATCH($C110,'[1]End - Use Prices'!$A$6:$A$89,0)+MATCH($D110,'[1]End - Use Prices'!$B$9:$B$11,0)-1,MATCH(AH$1,'[1]End - Use Prices'!$C$7:$AL$7,0))</f>
        <v>41.52</v>
      </c>
      <c r="AI110" s="41">
        <f>INDEX('[1]End - Use Prices'!$C$6:$AL$89,MATCH($C110,'[1]End - Use Prices'!$A$6:$A$89,0)+MATCH($D110,'[1]End - Use Prices'!$B$9:$B$11,0)-1,MATCH(AI$1,'[1]End - Use Prices'!$C$7:$AL$7,0))</f>
        <v>42.28</v>
      </c>
      <c r="AJ110" s="41">
        <f>INDEX('[1]End - Use Prices'!$C$6:$AL$89,MATCH($C110,'[1]End - Use Prices'!$A$6:$A$89,0)+MATCH($D110,'[1]End - Use Prices'!$B$9:$B$11,0)-1,MATCH(AJ$1,'[1]End - Use Prices'!$C$7:$AL$7,0))</f>
        <v>42.82</v>
      </c>
      <c r="AK110" s="41">
        <f>INDEX('[1]End - Use Prices'!$C$6:$AL$89,MATCH($C110,'[1]End - Use Prices'!$A$6:$A$89,0)+MATCH($D110,'[1]End - Use Prices'!$B$9:$B$11,0)-1,MATCH(AK$1,'[1]End - Use Prices'!$C$7:$AL$7,0))</f>
        <v>43.37</v>
      </c>
      <c r="AL110" s="41">
        <f>INDEX('[1]End - Use Prices'!$C$6:$AL$89,MATCH($C110,'[1]End - Use Prices'!$A$6:$A$89,0)+MATCH($D110,'[1]End - Use Prices'!$B$9:$B$11,0)-1,MATCH(AL$1,'[1]End - Use Prices'!$C$7:$AL$7,0))</f>
        <v>43.92</v>
      </c>
      <c r="AM110" s="41">
        <f>INDEX('[1]End - Use Prices'!$C$6:$AL$89,MATCH($C110,'[1]End - Use Prices'!$A$6:$A$89,0)+MATCH($D110,'[1]End - Use Prices'!$B$9:$B$11,0)-1,MATCH(AM$1,'[1]End - Use Prices'!$C$7:$AL$7,0))</f>
        <v>44.47</v>
      </c>
      <c r="AN110" s="41">
        <f>INDEX('[1]End - Use Prices'!$C$6:$AL$89,MATCH($C110,'[1]End - Use Prices'!$A$6:$A$89,0)+MATCH($D110,'[1]End - Use Prices'!$B$9:$B$11,0)-1,MATCH(AN$1,'[1]End - Use Prices'!$C$7:$AL$7,0))</f>
        <v>45.04</v>
      </c>
      <c r="AO110" s="41">
        <f>INDEX('[1]End - Use Prices'!$C$6:$AL$89,MATCH($C110,'[1]End - Use Prices'!$A$6:$A$89,0)+MATCH($D110,'[1]End - Use Prices'!$B$9:$B$11,0)-1,MATCH(AO$1,'[1]End - Use Prices'!$C$7:$AL$7,0))</f>
        <v>45.61</v>
      </c>
      <c r="AP110" s="41">
        <f>INDEX('[1]End - Use Prices'!$C$6:$AL$89,MATCH($C110,'[1]End - Use Prices'!$A$6:$A$89,0)+MATCH($D110,'[1]End - Use Prices'!$B$9:$B$11,0)-1,MATCH(AP$1,'[1]End - Use Prices'!$C$7:$AL$7,0))</f>
        <v>46.19</v>
      </c>
      <c r="AQ110" s="41">
        <f>INDEX('[1]End - Use Prices'!$C$6:$AL$89,MATCH($C110,'[1]End - Use Prices'!$A$6:$A$89,0)+MATCH($D110,'[1]End - Use Prices'!$B$9:$B$11,0)-1,MATCH(AQ$1,'[1]End - Use Prices'!$C$7:$AL$7,0))</f>
        <v>46.78</v>
      </c>
      <c r="AR110" s="41">
        <f>INDEX('[1]End - Use Prices'!$C$6:$AL$89,MATCH($C110,'[1]End - Use Prices'!$A$6:$A$89,0)+MATCH($D110,'[1]End - Use Prices'!$B$9:$B$11,0)-1,MATCH(AR$1,'[1]End - Use Prices'!$C$7:$AL$7,0))</f>
        <v>47.37</v>
      </c>
      <c r="AS110" s="41">
        <f>INDEX('[1]End - Use Prices'!$C$6:$AL$89,MATCH($C110,'[1]End - Use Prices'!$A$6:$A$89,0)+MATCH($D110,'[1]End - Use Prices'!$B$9:$B$11,0)-1,MATCH(AS$1,'[1]End - Use Prices'!$C$7:$AL$7,0))</f>
        <v>47.97</v>
      </c>
      <c r="AT110" s="41">
        <f>INDEX('[1]End - Use Prices'!$C$6:$AL$89,MATCH($C110,'[1]End - Use Prices'!$A$6:$A$89,0)+MATCH($D110,'[1]End - Use Prices'!$B$9:$B$11,0)-1,MATCH(AT$1,'[1]End - Use Prices'!$C$7:$AL$7,0))</f>
        <v>48.58</v>
      </c>
      <c r="AU110" s="41">
        <f>INDEX('[1]End - Use Prices'!$C$6:$AL$89,MATCH($C110,'[1]End - Use Prices'!$A$6:$A$89,0)+MATCH($D110,'[1]End - Use Prices'!$B$9:$B$11,0)-1,MATCH(AU$1,'[1]End - Use Prices'!$C$7:$AL$7,0))</f>
        <v>49.2</v>
      </c>
      <c r="AV110" s="41">
        <f>INDEX('[1]End - Use Prices'!$C$6:$AL$89,MATCH($C110,'[1]End - Use Prices'!$A$6:$A$89,0)+MATCH($D110,'[1]End - Use Prices'!$B$9:$B$11,0)-1,MATCH(AV$1,'[1]End - Use Prices'!$C$7:$AL$7,0))</f>
        <v>49.82</v>
      </c>
      <c r="AW110" s="41">
        <f>INDEX('[1]End - Use Prices'!$C$6:$AL$89,MATCH($C110,'[1]End - Use Prices'!$A$6:$A$89,0)+MATCH($D110,'[1]End - Use Prices'!$B$9:$B$11,0)-1,MATCH(AW$1,'[1]End - Use Prices'!$C$7:$AL$7,0))</f>
        <v>50.45</v>
      </c>
      <c r="AX110" s="41">
        <f>INDEX('[1]End - Use Prices'!$C$6:$AL$89,MATCH($C110,'[1]End - Use Prices'!$A$6:$A$89,0)+MATCH($D110,'[1]End - Use Prices'!$B$9:$B$11,0)-1,MATCH(AX$1,'[1]End - Use Prices'!$C$7:$AL$7,0))</f>
        <v>51.09</v>
      </c>
      <c r="AY110" s="41">
        <f>INDEX('[1]End - Use Prices'!$C$6:$AL$89,MATCH($C110,'[1]End - Use Prices'!$A$6:$A$89,0)+MATCH($D110,'[1]End - Use Prices'!$B$9:$B$11,0)-1,MATCH(AY$1,'[1]End - Use Prices'!$C$7:$AL$7,0))</f>
        <v>51.74</v>
      </c>
      <c r="AZ110" s="41">
        <f>INDEX('[1]End - Use Prices'!$C$6:$AL$89,MATCH($C110,'[1]End - Use Prices'!$A$6:$A$89,0)+MATCH($D110,'[1]End - Use Prices'!$B$9:$B$11,0)-1,MATCH(AZ$1,'[1]End - Use Prices'!$C$7:$AL$7,0))</f>
        <v>52.4</v>
      </c>
      <c r="BA110" s="41">
        <f>INDEX('[1]End - Use Prices'!$C$6:$AL$89,MATCH($C110,'[1]End - Use Prices'!$A$6:$A$89,0)+MATCH($D110,'[1]End - Use Prices'!$B$9:$B$11,0)-1,MATCH(BA$1,'[1]End - Use Prices'!$C$7:$AL$7,0))</f>
        <v>53.07</v>
      </c>
      <c r="BB110" s="41">
        <f>INDEX('[1]End - Use Prices'!$C$6:$AL$89,MATCH($C110,'[1]End - Use Prices'!$A$6:$A$89,0)+MATCH($D110,'[1]End - Use Prices'!$B$9:$B$11,0)-1,MATCH(BB$1,'[1]End - Use Prices'!$C$7:$AL$7,0))</f>
        <v>53.74</v>
      </c>
      <c r="BC110" s="41">
        <f>INDEX('[1]End - Use Prices'!$C$6:$AL$89,MATCH($C110,'[1]End - Use Prices'!$A$6:$A$89,0)+MATCH($D110,'[1]End - Use Prices'!$B$9:$B$11,0)-1,MATCH(BC$1,'[1]End - Use Prices'!$C$7:$AL$7,0))</f>
        <v>54.42</v>
      </c>
      <c r="BD110" s="41">
        <f>INDEX('[1]End - Use Prices'!$C$6:$AL$89,MATCH($C110,'[1]End - Use Prices'!$A$6:$A$89,0)+MATCH($D110,'[1]End - Use Prices'!$B$9:$B$11,0)-1,MATCH(BD$1,'[1]End - Use Prices'!$C$7:$AL$7,0))</f>
        <v>55.11</v>
      </c>
      <c r="BE110" s="41">
        <f>INDEX('[1]End - Use Prices'!$C$6:$AL$89,MATCH($C110,'[1]End - Use Prices'!$A$6:$A$89,0)+MATCH($D110,'[1]End - Use Prices'!$B$9:$B$11,0)-1,MATCH(BE$1,'[1]End - Use Prices'!$C$7:$AL$7,0))</f>
        <v>55.81</v>
      </c>
      <c r="BF110" s="41">
        <f>INDEX('[1]End - Use Prices'!$C$6:$AL$89,MATCH($C110,'[1]End - Use Prices'!$A$6:$A$89,0)+MATCH($D110,'[1]End - Use Prices'!$B$9:$B$11,0)-1,MATCH(BF$1,'[1]End - Use Prices'!$C$7:$AL$7,0))</f>
        <v>56.52</v>
      </c>
      <c r="BG110" s="41">
        <f>INDEX('[1]End - Use Prices'!$C$6:$AL$89,MATCH($C110,'[1]End - Use Prices'!$A$6:$A$89,0)+MATCH($D110,'[1]End - Use Prices'!$B$9:$B$11,0)-1,MATCH(BG$1,'[1]End - Use Prices'!$C$7:$AL$7,0))</f>
        <v>57.24</v>
      </c>
      <c r="BR110" s="39"/>
      <c r="BS110" s="39"/>
      <c r="BT110" s="39"/>
      <c r="BU110" s="39"/>
      <c r="BV110" s="39"/>
      <c r="BW110" s="39"/>
      <c r="BX110" s="39"/>
      <c r="BY110" s="39"/>
      <c r="BZ110" s="39"/>
      <c r="CA110" s="39"/>
    </row>
    <row r="111" spans="1:79" x14ac:dyDescent="0.25">
      <c r="A111" s="5"/>
      <c r="B111" s="3"/>
      <c r="C111" s="25" t="s">
        <v>89</v>
      </c>
      <c r="D111" s="25" t="s">
        <v>2</v>
      </c>
      <c r="E111" s="25" t="s">
        <v>282</v>
      </c>
      <c r="F111" s="67" t="s">
        <v>279</v>
      </c>
      <c r="G111" s="53">
        <f t="shared" si="18"/>
        <v>23.05</v>
      </c>
      <c r="H111" s="34">
        <f t="shared" si="19"/>
        <v>23.05</v>
      </c>
      <c r="I111" s="34">
        <f t="shared" si="19"/>
        <v>24.86</v>
      </c>
      <c r="J111" s="34">
        <f t="shared" si="19"/>
        <v>25.13</v>
      </c>
      <c r="K111" s="34">
        <f t="shared" si="19"/>
        <v>26.11</v>
      </c>
      <c r="L111" s="34">
        <f t="shared" si="19"/>
        <v>27.44</v>
      </c>
      <c r="M111" s="34">
        <f t="shared" si="19"/>
        <v>28.84</v>
      </c>
      <c r="N111" s="34">
        <f t="shared" si="19"/>
        <v>30.3</v>
      </c>
      <c r="O111" s="34">
        <f t="shared" si="19"/>
        <v>31.84</v>
      </c>
      <c r="P111" s="53">
        <f t="shared" si="20"/>
        <v>31.84</v>
      </c>
      <c r="Q111" s="53">
        <f t="shared" si="20"/>
        <v>31.84</v>
      </c>
      <c r="R111" s="38"/>
      <c r="X111" s="41">
        <f>INDEX('[1]End - Use Prices'!$C$6:$AL$89,MATCH($C111,'[1]End - Use Prices'!$A$6:$A$89,0)+MATCH($D111,'[1]End - Use Prices'!$B$9:$B$11,0)-1,MATCH(X$1,'[1]End - Use Prices'!$C$7:$AL$7,0))</f>
        <v>23.05</v>
      </c>
      <c r="Y111" s="41">
        <f>INDEX('[1]End - Use Prices'!$C$6:$AL$89,MATCH($C111,'[1]End - Use Prices'!$A$6:$A$89,0)+MATCH($D111,'[1]End - Use Prices'!$B$9:$B$11,0)-1,MATCH(Y$1,'[1]End - Use Prices'!$C$7:$AL$7,0))</f>
        <v>26.62</v>
      </c>
      <c r="Z111" s="41">
        <f>INDEX('[1]End - Use Prices'!$C$6:$AL$89,MATCH($C111,'[1]End - Use Prices'!$A$6:$A$89,0)+MATCH($D111,'[1]End - Use Prices'!$B$9:$B$11,0)-1,MATCH(Z$1,'[1]End - Use Prices'!$C$7:$AL$7,0))</f>
        <v>25.75</v>
      </c>
      <c r="AA111" s="41">
        <f>INDEX('[1]End - Use Prices'!$C$6:$AL$89,MATCH($C111,'[1]End - Use Prices'!$A$6:$A$89,0)+MATCH($D111,'[1]End - Use Prices'!$B$9:$B$11,0)-1,MATCH(AA$1,'[1]End - Use Prices'!$C$7:$AL$7,0))</f>
        <v>24.75</v>
      </c>
      <c r="AB111" s="41">
        <f>INDEX('[1]End - Use Prices'!$C$6:$AL$89,MATCH($C111,'[1]End - Use Prices'!$A$6:$A$89,0)+MATCH($D111,'[1]End - Use Prices'!$B$9:$B$11,0)-1,MATCH(AB$1,'[1]End - Use Prices'!$C$7:$AL$7,0))</f>
        <v>25.57</v>
      </c>
      <c r="AC111" s="41">
        <f>INDEX('[1]End - Use Prices'!$C$6:$AL$89,MATCH($C111,'[1]End - Use Prices'!$A$6:$A$89,0)+MATCH($D111,'[1]End - Use Prices'!$B$9:$B$11,0)-1,MATCH(AC$1,'[1]End - Use Prices'!$C$7:$AL$7,0))</f>
        <v>24.86</v>
      </c>
      <c r="AD111" s="41">
        <f>INDEX('[1]End - Use Prices'!$C$6:$AL$89,MATCH($C111,'[1]End - Use Prices'!$A$6:$A$89,0)+MATCH($D111,'[1]End - Use Prices'!$B$9:$B$11,0)-1,MATCH(AD$1,'[1]End - Use Prices'!$C$7:$AL$7,0))</f>
        <v>24.33</v>
      </c>
      <c r="AE111" s="41">
        <f>INDEX('[1]End - Use Prices'!$C$6:$AL$89,MATCH($C111,'[1]End - Use Prices'!$A$6:$A$89,0)+MATCH($D111,'[1]End - Use Prices'!$B$9:$B$11,0)-1,MATCH(AE$1,'[1]End - Use Prices'!$C$7:$AL$7,0))</f>
        <v>24.26</v>
      </c>
      <c r="AF111" s="41">
        <f>INDEX('[1]End - Use Prices'!$C$6:$AL$89,MATCH($C111,'[1]End - Use Prices'!$A$6:$A$89,0)+MATCH($D111,'[1]End - Use Prices'!$B$9:$B$11,0)-1,MATCH(AF$1,'[1]End - Use Prices'!$C$7:$AL$7,0))</f>
        <v>24.24</v>
      </c>
      <c r="AG111" s="41">
        <f>INDEX('[1]End - Use Prices'!$C$6:$AL$89,MATCH($C111,'[1]End - Use Prices'!$A$6:$A$89,0)+MATCH($D111,'[1]End - Use Prices'!$B$9:$B$11,0)-1,MATCH(AG$1,'[1]End - Use Prices'!$C$7:$AL$7,0))</f>
        <v>24.48</v>
      </c>
      <c r="AH111" s="41">
        <f>INDEX('[1]End - Use Prices'!$C$6:$AL$89,MATCH($C111,'[1]End - Use Prices'!$A$6:$A$89,0)+MATCH($D111,'[1]End - Use Prices'!$B$9:$B$11,0)-1,MATCH(AH$1,'[1]End - Use Prices'!$C$7:$AL$7,0))</f>
        <v>25.13</v>
      </c>
      <c r="AI111" s="41">
        <f>INDEX('[1]End - Use Prices'!$C$6:$AL$89,MATCH($C111,'[1]End - Use Prices'!$A$6:$A$89,0)+MATCH($D111,'[1]End - Use Prices'!$B$9:$B$11,0)-1,MATCH(AI$1,'[1]End - Use Prices'!$C$7:$AL$7,0))</f>
        <v>25.1</v>
      </c>
      <c r="AJ111" s="41">
        <f>INDEX('[1]End - Use Prices'!$C$6:$AL$89,MATCH($C111,'[1]End - Use Prices'!$A$6:$A$89,0)+MATCH($D111,'[1]End - Use Prices'!$B$9:$B$11,0)-1,MATCH(AJ$1,'[1]End - Use Prices'!$C$7:$AL$7,0))</f>
        <v>25.35</v>
      </c>
      <c r="AK111" s="41">
        <f>INDEX('[1]End - Use Prices'!$C$6:$AL$89,MATCH($C111,'[1]End - Use Prices'!$A$6:$A$89,0)+MATCH($D111,'[1]End - Use Prices'!$B$9:$B$11,0)-1,MATCH(AK$1,'[1]End - Use Prices'!$C$7:$AL$7,0))</f>
        <v>25.6</v>
      </c>
      <c r="AL111" s="41">
        <f>INDEX('[1]End - Use Prices'!$C$6:$AL$89,MATCH($C111,'[1]End - Use Prices'!$A$6:$A$89,0)+MATCH($D111,'[1]End - Use Prices'!$B$9:$B$11,0)-1,MATCH(AL$1,'[1]End - Use Prices'!$C$7:$AL$7,0))</f>
        <v>25.86</v>
      </c>
      <c r="AM111" s="41">
        <f>INDEX('[1]End - Use Prices'!$C$6:$AL$89,MATCH($C111,'[1]End - Use Prices'!$A$6:$A$89,0)+MATCH($D111,'[1]End - Use Prices'!$B$9:$B$11,0)-1,MATCH(AM$1,'[1]End - Use Prices'!$C$7:$AL$7,0))</f>
        <v>26.11</v>
      </c>
      <c r="AN111" s="41">
        <f>INDEX('[1]End - Use Prices'!$C$6:$AL$89,MATCH($C111,'[1]End - Use Prices'!$A$6:$A$89,0)+MATCH($D111,'[1]End - Use Prices'!$B$9:$B$11,0)-1,MATCH(AN$1,'[1]End - Use Prices'!$C$7:$AL$7,0))</f>
        <v>26.37</v>
      </c>
      <c r="AO111" s="41">
        <f>INDEX('[1]End - Use Prices'!$C$6:$AL$89,MATCH($C111,'[1]End - Use Prices'!$A$6:$A$89,0)+MATCH($D111,'[1]End - Use Prices'!$B$9:$B$11,0)-1,MATCH(AO$1,'[1]End - Use Prices'!$C$7:$AL$7,0))</f>
        <v>26.64</v>
      </c>
      <c r="AP111" s="41">
        <f>INDEX('[1]End - Use Prices'!$C$6:$AL$89,MATCH($C111,'[1]End - Use Prices'!$A$6:$A$89,0)+MATCH($D111,'[1]End - Use Prices'!$B$9:$B$11,0)-1,MATCH(AP$1,'[1]End - Use Prices'!$C$7:$AL$7,0))</f>
        <v>26.9</v>
      </c>
      <c r="AQ111" s="41">
        <f>INDEX('[1]End - Use Prices'!$C$6:$AL$89,MATCH($C111,'[1]End - Use Prices'!$A$6:$A$89,0)+MATCH($D111,'[1]End - Use Prices'!$B$9:$B$11,0)-1,MATCH(AQ$1,'[1]End - Use Prices'!$C$7:$AL$7,0))</f>
        <v>27.17</v>
      </c>
      <c r="AR111" s="41">
        <f>INDEX('[1]End - Use Prices'!$C$6:$AL$89,MATCH($C111,'[1]End - Use Prices'!$A$6:$A$89,0)+MATCH($D111,'[1]End - Use Prices'!$B$9:$B$11,0)-1,MATCH(AR$1,'[1]End - Use Prices'!$C$7:$AL$7,0))</f>
        <v>27.44</v>
      </c>
      <c r="AS111" s="41">
        <f>INDEX('[1]End - Use Prices'!$C$6:$AL$89,MATCH($C111,'[1]End - Use Prices'!$A$6:$A$89,0)+MATCH($D111,'[1]End - Use Prices'!$B$9:$B$11,0)-1,MATCH(AS$1,'[1]End - Use Prices'!$C$7:$AL$7,0))</f>
        <v>27.72</v>
      </c>
      <c r="AT111" s="41">
        <f>INDEX('[1]End - Use Prices'!$C$6:$AL$89,MATCH($C111,'[1]End - Use Prices'!$A$6:$A$89,0)+MATCH($D111,'[1]End - Use Prices'!$B$9:$B$11,0)-1,MATCH(AT$1,'[1]End - Use Prices'!$C$7:$AL$7,0))</f>
        <v>27.99</v>
      </c>
      <c r="AU111" s="41">
        <f>INDEX('[1]End - Use Prices'!$C$6:$AL$89,MATCH($C111,'[1]End - Use Prices'!$A$6:$A$89,0)+MATCH($D111,'[1]End - Use Prices'!$B$9:$B$11,0)-1,MATCH(AU$1,'[1]End - Use Prices'!$C$7:$AL$7,0))</f>
        <v>28.27</v>
      </c>
      <c r="AV111" s="41">
        <f>INDEX('[1]End - Use Prices'!$C$6:$AL$89,MATCH($C111,'[1]End - Use Prices'!$A$6:$A$89,0)+MATCH($D111,'[1]End - Use Prices'!$B$9:$B$11,0)-1,MATCH(AV$1,'[1]End - Use Prices'!$C$7:$AL$7,0))</f>
        <v>28.55</v>
      </c>
      <c r="AW111" s="41">
        <f>INDEX('[1]End - Use Prices'!$C$6:$AL$89,MATCH($C111,'[1]End - Use Prices'!$A$6:$A$89,0)+MATCH($D111,'[1]End - Use Prices'!$B$9:$B$11,0)-1,MATCH(AW$1,'[1]End - Use Prices'!$C$7:$AL$7,0))</f>
        <v>28.84</v>
      </c>
      <c r="AX111" s="41">
        <f>INDEX('[1]End - Use Prices'!$C$6:$AL$89,MATCH($C111,'[1]End - Use Prices'!$A$6:$A$89,0)+MATCH($D111,'[1]End - Use Prices'!$B$9:$B$11,0)-1,MATCH(AX$1,'[1]End - Use Prices'!$C$7:$AL$7,0))</f>
        <v>29.12</v>
      </c>
      <c r="AY111" s="41">
        <f>INDEX('[1]End - Use Prices'!$C$6:$AL$89,MATCH($C111,'[1]End - Use Prices'!$A$6:$A$89,0)+MATCH($D111,'[1]End - Use Prices'!$B$9:$B$11,0)-1,MATCH(AY$1,'[1]End - Use Prices'!$C$7:$AL$7,0))</f>
        <v>29.41</v>
      </c>
      <c r="AZ111" s="41">
        <f>INDEX('[1]End - Use Prices'!$C$6:$AL$89,MATCH($C111,'[1]End - Use Prices'!$A$6:$A$89,0)+MATCH($D111,'[1]End - Use Prices'!$B$9:$B$11,0)-1,MATCH(AZ$1,'[1]End - Use Prices'!$C$7:$AL$7,0))</f>
        <v>29.71</v>
      </c>
      <c r="BA111" s="41">
        <f>INDEX('[1]End - Use Prices'!$C$6:$AL$89,MATCH($C111,'[1]End - Use Prices'!$A$6:$A$89,0)+MATCH($D111,'[1]End - Use Prices'!$B$9:$B$11,0)-1,MATCH(BA$1,'[1]End - Use Prices'!$C$7:$AL$7,0))</f>
        <v>30</v>
      </c>
      <c r="BB111" s="41">
        <f>INDEX('[1]End - Use Prices'!$C$6:$AL$89,MATCH($C111,'[1]End - Use Prices'!$A$6:$A$89,0)+MATCH($D111,'[1]End - Use Prices'!$B$9:$B$11,0)-1,MATCH(BB$1,'[1]End - Use Prices'!$C$7:$AL$7,0))</f>
        <v>30.3</v>
      </c>
      <c r="BC111" s="41">
        <f>INDEX('[1]End - Use Prices'!$C$6:$AL$89,MATCH($C111,'[1]End - Use Prices'!$A$6:$A$89,0)+MATCH($D111,'[1]End - Use Prices'!$B$9:$B$11,0)-1,MATCH(BC$1,'[1]End - Use Prices'!$C$7:$AL$7,0))</f>
        <v>30.6</v>
      </c>
      <c r="BD111" s="41">
        <f>INDEX('[1]End - Use Prices'!$C$6:$AL$89,MATCH($C111,'[1]End - Use Prices'!$A$6:$A$89,0)+MATCH($D111,'[1]End - Use Prices'!$B$9:$B$11,0)-1,MATCH(BD$1,'[1]End - Use Prices'!$C$7:$AL$7,0))</f>
        <v>30.91</v>
      </c>
      <c r="BE111" s="41">
        <f>INDEX('[1]End - Use Prices'!$C$6:$AL$89,MATCH($C111,'[1]End - Use Prices'!$A$6:$A$89,0)+MATCH($D111,'[1]End - Use Prices'!$B$9:$B$11,0)-1,MATCH(BE$1,'[1]End - Use Prices'!$C$7:$AL$7,0))</f>
        <v>31.22</v>
      </c>
      <c r="BF111" s="41">
        <f>INDEX('[1]End - Use Prices'!$C$6:$AL$89,MATCH($C111,'[1]End - Use Prices'!$A$6:$A$89,0)+MATCH($D111,'[1]End - Use Prices'!$B$9:$B$11,0)-1,MATCH(BF$1,'[1]End - Use Prices'!$C$7:$AL$7,0))</f>
        <v>31.53</v>
      </c>
      <c r="BG111" s="41">
        <f>INDEX('[1]End - Use Prices'!$C$6:$AL$89,MATCH($C111,'[1]End - Use Prices'!$A$6:$A$89,0)+MATCH($D111,'[1]End - Use Prices'!$B$9:$B$11,0)-1,MATCH(BG$1,'[1]End - Use Prices'!$C$7:$AL$7,0))</f>
        <v>31.84</v>
      </c>
      <c r="BR111" s="39"/>
      <c r="BS111" s="39"/>
      <c r="BT111" s="39"/>
      <c r="BU111" s="39"/>
      <c r="BV111" s="39"/>
      <c r="BW111" s="39"/>
      <c r="BX111" s="39"/>
      <c r="BY111" s="39"/>
      <c r="BZ111" s="39"/>
      <c r="CA111" s="39"/>
    </row>
    <row r="112" spans="1:79" x14ac:dyDescent="0.25">
      <c r="A112" s="5"/>
      <c r="B112" s="3"/>
      <c r="C112" s="25" t="s">
        <v>90</v>
      </c>
      <c r="D112" s="25" t="s">
        <v>2</v>
      </c>
      <c r="E112" s="25" t="s">
        <v>282</v>
      </c>
      <c r="F112" s="67" t="s">
        <v>279</v>
      </c>
      <c r="G112" s="53">
        <f t="shared" si="18"/>
        <v>36.92</v>
      </c>
      <c r="H112" s="34">
        <f t="shared" si="19"/>
        <v>36.92</v>
      </c>
      <c r="I112" s="34">
        <f t="shared" si="19"/>
        <v>39.14</v>
      </c>
      <c r="J112" s="34">
        <f t="shared" si="19"/>
        <v>48.73</v>
      </c>
      <c r="K112" s="34">
        <f t="shared" si="19"/>
        <v>60.89</v>
      </c>
      <c r="L112" s="34">
        <f t="shared" si="19"/>
        <v>63.81</v>
      </c>
      <c r="M112" s="34">
        <f t="shared" si="19"/>
        <v>66.47</v>
      </c>
      <c r="N112" s="34">
        <f t="shared" si="19"/>
        <v>69.05</v>
      </c>
      <c r="O112" s="34">
        <f t="shared" si="19"/>
        <v>71.69</v>
      </c>
      <c r="P112" s="53">
        <f t="shared" si="20"/>
        <v>71.69</v>
      </c>
      <c r="Q112" s="53">
        <f t="shared" si="20"/>
        <v>71.69</v>
      </c>
      <c r="R112" s="38"/>
      <c r="X112" s="41">
        <f>INDEX('[1]End - Use Prices'!$C$6:$AL$89,MATCH($C112,'[1]End - Use Prices'!$A$6:$A$89,0)+MATCH($D112,'[1]End - Use Prices'!$B$9:$B$11,0)-1,MATCH(X$1,'[1]End - Use Prices'!$C$7:$AL$7,0))</f>
        <v>36.92</v>
      </c>
      <c r="Y112" s="41">
        <f>INDEX('[1]End - Use Prices'!$C$6:$AL$89,MATCH($C112,'[1]End - Use Prices'!$A$6:$A$89,0)+MATCH($D112,'[1]End - Use Prices'!$B$9:$B$11,0)-1,MATCH(Y$1,'[1]End - Use Prices'!$C$7:$AL$7,0))</f>
        <v>40.86</v>
      </c>
      <c r="Z112" s="41">
        <f>INDEX('[1]End - Use Prices'!$C$6:$AL$89,MATCH($C112,'[1]End - Use Prices'!$A$6:$A$89,0)+MATCH($D112,'[1]End - Use Prices'!$B$9:$B$11,0)-1,MATCH(Z$1,'[1]End - Use Prices'!$C$7:$AL$7,0))</f>
        <v>40.64</v>
      </c>
      <c r="AA112" s="41">
        <f>INDEX('[1]End - Use Prices'!$C$6:$AL$89,MATCH($C112,'[1]End - Use Prices'!$A$6:$A$89,0)+MATCH($D112,'[1]End - Use Prices'!$B$9:$B$11,0)-1,MATCH(AA$1,'[1]End - Use Prices'!$C$7:$AL$7,0))</f>
        <v>37.31</v>
      </c>
      <c r="AB112" s="41">
        <f>INDEX('[1]End - Use Prices'!$C$6:$AL$89,MATCH($C112,'[1]End - Use Prices'!$A$6:$A$89,0)+MATCH($D112,'[1]End - Use Prices'!$B$9:$B$11,0)-1,MATCH(AB$1,'[1]End - Use Prices'!$C$7:$AL$7,0))</f>
        <v>39.53</v>
      </c>
      <c r="AC112" s="41">
        <f>INDEX('[1]End - Use Prices'!$C$6:$AL$89,MATCH($C112,'[1]End - Use Prices'!$A$6:$A$89,0)+MATCH($D112,'[1]End - Use Prices'!$B$9:$B$11,0)-1,MATCH(AC$1,'[1]End - Use Prices'!$C$7:$AL$7,0))</f>
        <v>39.14</v>
      </c>
      <c r="AD112" s="41">
        <f>INDEX('[1]End - Use Prices'!$C$6:$AL$89,MATCH($C112,'[1]End - Use Prices'!$A$6:$A$89,0)+MATCH($D112,'[1]End - Use Prices'!$B$9:$B$11,0)-1,MATCH(AD$1,'[1]End - Use Prices'!$C$7:$AL$7,0))</f>
        <v>40.4</v>
      </c>
      <c r="AE112" s="41">
        <f>INDEX('[1]End - Use Prices'!$C$6:$AL$89,MATCH($C112,'[1]End - Use Prices'!$A$6:$A$89,0)+MATCH($D112,'[1]End - Use Prices'!$B$9:$B$11,0)-1,MATCH(AE$1,'[1]End - Use Prices'!$C$7:$AL$7,0))</f>
        <v>42.06</v>
      </c>
      <c r="AF112" s="41">
        <f>INDEX('[1]End - Use Prices'!$C$6:$AL$89,MATCH($C112,'[1]End - Use Prices'!$A$6:$A$89,0)+MATCH($D112,'[1]End - Use Prices'!$B$9:$B$11,0)-1,MATCH(AF$1,'[1]End - Use Prices'!$C$7:$AL$7,0))</f>
        <v>42.96</v>
      </c>
      <c r="AG112" s="41">
        <f>INDEX('[1]End - Use Prices'!$C$6:$AL$89,MATCH($C112,'[1]End - Use Prices'!$A$6:$A$89,0)+MATCH($D112,'[1]End - Use Prices'!$B$9:$B$11,0)-1,MATCH(AG$1,'[1]End - Use Prices'!$C$7:$AL$7,0))</f>
        <v>46.39</v>
      </c>
      <c r="AH112" s="41">
        <f>INDEX('[1]End - Use Prices'!$C$6:$AL$89,MATCH($C112,'[1]End - Use Prices'!$A$6:$A$89,0)+MATCH($D112,'[1]End - Use Prices'!$B$9:$B$11,0)-1,MATCH(AH$1,'[1]End - Use Prices'!$C$7:$AL$7,0))</f>
        <v>48.73</v>
      </c>
      <c r="AI112" s="41">
        <f>INDEX('[1]End - Use Prices'!$C$6:$AL$89,MATCH($C112,'[1]End - Use Prices'!$A$6:$A$89,0)+MATCH($D112,'[1]End - Use Prices'!$B$9:$B$11,0)-1,MATCH(AI$1,'[1]End - Use Prices'!$C$7:$AL$7,0))</f>
        <v>58.38</v>
      </c>
      <c r="AJ112" s="41">
        <f>INDEX('[1]End - Use Prices'!$C$6:$AL$89,MATCH($C112,'[1]End - Use Prices'!$A$6:$A$89,0)+MATCH($D112,'[1]End - Use Prices'!$B$9:$B$11,0)-1,MATCH(AJ$1,'[1]End - Use Prices'!$C$7:$AL$7,0))</f>
        <v>58.96</v>
      </c>
      <c r="AK112" s="41">
        <f>INDEX('[1]End - Use Prices'!$C$6:$AL$89,MATCH($C112,'[1]End - Use Prices'!$A$6:$A$89,0)+MATCH($D112,'[1]End - Use Prices'!$B$9:$B$11,0)-1,MATCH(AK$1,'[1]End - Use Prices'!$C$7:$AL$7,0))</f>
        <v>59.62</v>
      </c>
      <c r="AL112" s="41">
        <f>INDEX('[1]End - Use Prices'!$C$6:$AL$89,MATCH($C112,'[1]End - Use Prices'!$A$6:$A$89,0)+MATCH($D112,'[1]End - Use Prices'!$B$9:$B$11,0)-1,MATCH(AL$1,'[1]End - Use Prices'!$C$7:$AL$7,0))</f>
        <v>60.27</v>
      </c>
      <c r="AM112" s="41">
        <f>INDEX('[1]End - Use Prices'!$C$6:$AL$89,MATCH($C112,'[1]End - Use Prices'!$A$6:$A$89,0)+MATCH($D112,'[1]End - Use Prices'!$B$9:$B$11,0)-1,MATCH(AM$1,'[1]End - Use Prices'!$C$7:$AL$7,0))</f>
        <v>60.89</v>
      </c>
      <c r="AN112" s="41">
        <f>INDEX('[1]End - Use Prices'!$C$6:$AL$89,MATCH($C112,'[1]End - Use Prices'!$A$6:$A$89,0)+MATCH($D112,'[1]End - Use Prices'!$B$9:$B$11,0)-1,MATCH(AN$1,'[1]End - Use Prices'!$C$7:$AL$7,0))</f>
        <v>61.51</v>
      </c>
      <c r="AO112" s="41">
        <f>INDEX('[1]End - Use Prices'!$C$6:$AL$89,MATCH($C112,'[1]End - Use Prices'!$A$6:$A$89,0)+MATCH($D112,'[1]End - Use Prices'!$B$9:$B$11,0)-1,MATCH(AO$1,'[1]End - Use Prices'!$C$7:$AL$7,0))</f>
        <v>62.1</v>
      </c>
      <c r="AP112" s="41">
        <f>INDEX('[1]End - Use Prices'!$C$6:$AL$89,MATCH($C112,'[1]End - Use Prices'!$A$6:$A$89,0)+MATCH($D112,'[1]End - Use Prices'!$B$9:$B$11,0)-1,MATCH(AP$1,'[1]End - Use Prices'!$C$7:$AL$7,0))</f>
        <v>62.68</v>
      </c>
      <c r="AQ112" s="41">
        <f>INDEX('[1]End - Use Prices'!$C$6:$AL$89,MATCH($C112,'[1]End - Use Prices'!$A$6:$A$89,0)+MATCH($D112,'[1]End - Use Prices'!$B$9:$B$11,0)-1,MATCH(AQ$1,'[1]End - Use Prices'!$C$7:$AL$7,0))</f>
        <v>63.25</v>
      </c>
      <c r="AR112" s="41">
        <f>INDEX('[1]End - Use Prices'!$C$6:$AL$89,MATCH($C112,'[1]End - Use Prices'!$A$6:$A$89,0)+MATCH($D112,'[1]End - Use Prices'!$B$9:$B$11,0)-1,MATCH(AR$1,'[1]End - Use Prices'!$C$7:$AL$7,0))</f>
        <v>63.81</v>
      </c>
      <c r="AS112" s="41">
        <f>INDEX('[1]End - Use Prices'!$C$6:$AL$89,MATCH($C112,'[1]End - Use Prices'!$A$6:$A$89,0)+MATCH($D112,'[1]End - Use Prices'!$B$9:$B$11,0)-1,MATCH(AS$1,'[1]End - Use Prices'!$C$7:$AL$7,0))</f>
        <v>64.36</v>
      </c>
      <c r="AT112" s="41">
        <f>INDEX('[1]End - Use Prices'!$C$6:$AL$89,MATCH($C112,'[1]End - Use Prices'!$A$6:$A$89,0)+MATCH($D112,'[1]End - Use Prices'!$B$9:$B$11,0)-1,MATCH(AT$1,'[1]End - Use Prices'!$C$7:$AL$7,0))</f>
        <v>64.900000000000006</v>
      </c>
      <c r="AU112" s="41">
        <f>INDEX('[1]End - Use Prices'!$C$6:$AL$89,MATCH($C112,'[1]End - Use Prices'!$A$6:$A$89,0)+MATCH($D112,'[1]End - Use Prices'!$B$9:$B$11,0)-1,MATCH(AU$1,'[1]End - Use Prices'!$C$7:$AL$7,0))</f>
        <v>65.430000000000007</v>
      </c>
      <c r="AV112" s="41">
        <f>INDEX('[1]End - Use Prices'!$C$6:$AL$89,MATCH($C112,'[1]End - Use Prices'!$A$6:$A$89,0)+MATCH($D112,'[1]End - Use Prices'!$B$9:$B$11,0)-1,MATCH(AV$1,'[1]End - Use Prices'!$C$7:$AL$7,0))</f>
        <v>65.95</v>
      </c>
      <c r="AW112" s="41">
        <f>INDEX('[1]End - Use Prices'!$C$6:$AL$89,MATCH($C112,'[1]End - Use Prices'!$A$6:$A$89,0)+MATCH($D112,'[1]End - Use Prices'!$B$9:$B$11,0)-1,MATCH(AW$1,'[1]End - Use Prices'!$C$7:$AL$7,0))</f>
        <v>66.47</v>
      </c>
      <c r="AX112" s="41">
        <f>INDEX('[1]End - Use Prices'!$C$6:$AL$89,MATCH($C112,'[1]End - Use Prices'!$A$6:$A$89,0)+MATCH($D112,'[1]End - Use Prices'!$B$9:$B$11,0)-1,MATCH(AX$1,'[1]End - Use Prices'!$C$7:$AL$7,0))</f>
        <v>66.989999999999995</v>
      </c>
      <c r="AY112" s="41">
        <f>INDEX('[1]End - Use Prices'!$C$6:$AL$89,MATCH($C112,'[1]End - Use Prices'!$A$6:$A$89,0)+MATCH($D112,'[1]End - Use Prices'!$B$9:$B$11,0)-1,MATCH(AY$1,'[1]End - Use Prices'!$C$7:$AL$7,0))</f>
        <v>67.510000000000005</v>
      </c>
      <c r="AZ112" s="41">
        <f>INDEX('[1]End - Use Prices'!$C$6:$AL$89,MATCH($C112,'[1]End - Use Prices'!$A$6:$A$89,0)+MATCH($D112,'[1]End - Use Prices'!$B$9:$B$11,0)-1,MATCH(AZ$1,'[1]End - Use Prices'!$C$7:$AL$7,0))</f>
        <v>68.02</v>
      </c>
      <c r="BA112" s="41">
        <f>INDEX('[1]End - Use Prices'!$C$6:$AL$89,MATCH($C112,'[1]End - Use Prices'!$A$6:$A$89,0)+MATCH($D112,'[1]End - Use Prices'!$B$9:$B$11,0)-1,MATCH(BA$1,'[1]End - Use Prices'!$C$7:$AL$7,0))</f>
        <v>68.53</v>
      </c>
      <c r="BB112" s="41">
        <f>INDEX('[1]End - Use Prices'!$C$6:$AL$89,MATCH($C112,'[1]End - Use Prices'!$A$6:$A$89,0)+MATCH($D112,'[1]End - Use Prices'!$B$9:$B$11,0)-1,MATCH(BB$1,'[1]End - Use Prices'!$C$7:$AL$7,0))</f>
        <v>69.05</v>
      </c>
      <c r="BC112" s="41">
        <f>INDEX('[1]End - Use Prices'!$C$6:$AL$89,MATCH($C112,'[1]End - Use Prices'!$A$6:$A$89,0)+MATCH($D112,'[1]End - Use Prices'!$B$9:$B$11,0)-1,MATCH(BC$1,'[1]End - Use Prices'!$C$7:$AL$7,0))</f>
        <v>69.569999999999993</v>
      </c>
      <c r="BD112" s="41">
        <f>INDEX('[1]End - Use Prices'!$C$6:$AL$89,MATCH($C112,'[1]End - Use Prices'!$A$6:$A$89,0)+MATCH($D112,'[1]End - Use Prices'!$B$9:$B$11,0)-1,MATCH(BD$1,'[1]End - Use Prices'!$C$7:$AL$7,0))</f>
        <v>70.09</v>
      </c>
      <c r="BE112" s="41">
        <f>INDEX('[1]End - Use Prices'!$C$6:$AL$89,MATCH($C112,'[1]End - Use Prices'!$A$6:$A$89,0)+MATCH($D112,'[1]End - Use Prices'!$B$9:$B$11,0)-1,MATCH(BE$1,'[1]End - Use Prices'!$C$7:$AL$7,0))</f>
        <v>70.62</v>
      </c>
      <c r="BF112" s="41">
        <f>INDEX('[1]End - Use Prices'!$C$6:$AL$89,MATCH($C112,'[1]End - Use Prices'!$A$6:$A$89,0)+MATCH($D112,'[1]End - Use Prices'!$B$9:$B$11,0)-1,MATCH(BF$1,'[1]End - Use Prices'!$C$7:$AL$7,0))</f>
        <v>71.150000000000006</v>
      </c>
      <c r="BG112" s="41">
        <f>INDEX('[1]End - Use Prices'!$C$6:$AL$89,MATCH($C112,'[1]End - Use Prices'!$A$6:$A$89,0)+MATCH($D112,'[1]End - Use Prices'!$B$9:$B$11,0)-1,MATCH(BG$1,'[1]End - Use Prices'!$C$7:$AL$7,0))</f>
        <v>71.69</v>
      </c>
      <c r="BR112" s="39"/>
      <c r="BS112" s="39"/>
      <c r="BT112" s="39"/>
      <c r="BU112" s="39"/>
      <c r="BV112" s="39"/>
      <c r="BW112" s="39"/>
      <c r="BX112" s="39"/>
      <c r="BY112" s="39"/>
      <c r="BZ112" s="39"/>
      <c r="CA112" s="39"/>
    </row>
    <row r="113" spans="1:79" x14ac:dyDescent="0.25">
      <c r="A113" s="5"/>
      <c r="B113" s="3"/>
      <c r="C113" s="25" t="s">
        <v>91</v>
      </c>
      <c r="D113" s="25" t="s">
        <v>2</v>
      </c>
      <c r="E113" s="25" t="s">
        <v>282</v>
      </c>
      <c r="F113" s="67" t="s">
        <v>279</v>
      </c>
      <c r="G113" s="53">
        <f t="shared" si="18"/>
        <v>23.08</v>
      </c>
      <c r="H113" s="34">
        <f t="shared" si="19"/>
        <v>23.08</v>
      </c>
      <c r="I113" s="34">
        <f t="shared" si="19"/>
        <v>24.17</v>
      </c>
      <c r="J113" s="34">
        <f t="shared" si="19"/>
        <v>26.03</v>
      </c>
      <c r="K113" s="34">
        <f t="shared" si="19"/>
        <v>28.24</v>
      </c>
      <c r="L113" s="34">
        <f t="shared" si="19"/>
        <v>29.99</v>
      </c>
      <c r="M113" s="34">
        <f t="shared" si="19"/>
        <v>31.58</v>
      </c>
      <c r="N113" s="34">
        <f t="shared" si="19"/>
        <v>32.82</v>
      </c>
      <c r="O113" s="34">
        <f t="shared" si="19"/>
        <v>33.51</v>
      </c>
      <c r="P113" s="53">
        <f t="shared" si="20"/>
        <v>33.51</v>
      </c>
      <c r="Q113" s="53">
        <f t="shared" si="20"/>
        <v>33.51</v>
      </c>
      <c r="R113" s="38"/>
      <c r="X113" s="41">
        <f>INDEX('[1]End - Use Prices'!$C$6:$AL$89,MATCH($C113,'[1]End - Use Prices'!$A$6:$A$89,0)+MATCH($D113,'[1]End - Use Prices'!$B$9:$B$11,0)-1,MATCH(X$1,'[1]End - Use Prices'!$C$7:$AL$7,0))</f>
        <v>23.08</v>
      </c>
      <c r="Y113" s="41">
        <f>INDEX('[1]End - Use Prices'!$C$6:$AL$89,MATCH($C113,'[1]End - Use Prices'!$A$6:$A$89,0)+MATCH($D113,'[1]End - Use Prices'!$B$9:$B$11,0)-1,MATCH(Y$1,'[1]End - Use Prices'!$C$7:$AL$7,0))</f>
        <v>23.95</v>
      </c>
      <c r="Z113" s="41">
        <f>INDEX('[1]End - Use Prices'!$C$6:$AL$89,MATCH($C113,'[1]End - Use Prices'!$A$6:$A$89,0)+MATCH($D113,'[1]End - Use Prices'!$B$9:$B$11,0)-1,MATCH(Z$1,'[1]End - Use Prices'!$C$7:$AL$7,0))</f>
        <v>23.39</v>
      </c>
      <c r="AA113" s="41">
        <f>INDEX('[1]End - Use Prices'!$C$6:$AL$89,MATCH($C113,'[1]End - Use Prices'!$A$6:$A$89,0)+MATCH($D113,'[1]End - Use Prices'!$B$9:$B$11,0)-1,MATCH(AA$1,'[1]End - Use Prices'!$C$7:$AL$7,0))</f>
        <v>22.1</v>
      </c>
      <c r="AB113" s="41">
        <f>INDEX('[1]End - Use Prices'!$C$6:$AL$89,MATCH($C113,'[1]End - Use Prices'!$A$6:$A$89,0)+MATCH($D113,'[1]End - Use Prices'!$B$9:$B$11,0)-1,MATCH(AB$1,'[1]End - Use Prices'!$C$7:$AL$7,0))</f>
        <v>24.37</v>
      </c>
      <c r="AC113" s="41">
        <f>INDEX('[1]End - Use Prices'!$C$6:$AL$89,MATCH($C113,'[1]End - Use Prices'!$A$6:$A$89,0)+MATCH($D113,'[1]End - Use Prices'!$B$9:$B$11,0)-1,MATCH(AC$1,'[1]End - Use Prices'!$C$7:$AL$7,0))</f>
        <v>24.17</v>
      </c>
      <c r="AD113" s="41">
        <f>INDEX('[1]End - Use Prices'!$C$6:$AL$89,MATCH($C113,'[1]End - Use Prices'!$A$6:$A$89,0)+MATCH($D113,'[1]End - Use Prices'!$B$9:$B$11,0)-1,MATCH(AD$1,'[1]End - Use Prices'!$C$7:$AL$7,0))</f>
        <v>24.13</v>
      </c>
      <c r="AE113" s="41">
        <f>INDEX('[1]End - Use Prices'!$C$6:$AL$89,MATCH($C113,'[1]End - Use Prices'!$A$6:$A$89,0)+MATCH($D113,'[1]End - Use Prices'!$B$9:$B$11,0)-1,MATCH(AE$1,'[1]End - Use Prices'!$C$7:$AL$7,0))</f>
        <v>24.35</v>
      </c>
      <c r="AF113" s="41">
        <f>INDEX('[1]End - Use Prices'!$C$6:$AL$89,MATCH($C113,'[1]End - Use Prices'!$A$6:$A$89,0)+MATCH($D113,'[1]End - Use Prices'!$B$9:$B$11,0)-1,MATCH(AF$1,'[1]End - Use Prices'!$C$7:$AL$7,0))</f>
        <v>24.49</v>
      </c>
      <c r="AG113" s="41">
        <f>INDEX('[1]End - Use Prices'!$C$6:$AL$89,MATCH($C113,'[1]End - Use Prices'!$A$6:$A$89,0)+MATCH($D113,'[1]End - Use Prices'!$B$9:$B$11,0)-1,MATCH(AG$1,'[1]End - Use Prices'!$C$7:$AL$7,0))</f>
        <v>25.11</v>
      </c>
      <c r="AH113" s="41">
        <f>INDEX('[1]End - Use Prices'!$C$6:$AL$89,MATCH($C113,'[1]End - Use Prices'!$A$6:$A$89,0)+MATCH($D113,'[1]End - Use Prices'!$B$9:$B$11,0)-1,MATCH(AH$1,'[1]End - Use Prices'!$C$7:$AL$7,0))</f>
        <v>26.03</v>
      </c>
      <c r="AI113" s="41">
        <f>INDEX('[1]End - Use Prices'!$C$6:$AL$89,MATCH($C113,'[1]End - Use Prices'!$A$6:$A$89,0)+MATCH($D113,'[1]End - Use Prices'!$B$9:$B$11,0)-1,MATCH(AI$1,'[1]End - Use Prices'!$C$7:$AL$7,0))</f>
        <v>26.89</v>
      </c>
      <c r="AJ113" s="41">
        <f>INDEX('[1]End - Use Prices'!$C$6:$AL$89,MATCH($C113,'[1]End - Use Prices'!$A$6:$A$89,0)+MATCH($D113,'[1]End - Use Prices'!$B$9:$B$11,0)-1,MATCH(AJ$1,'[1]End - Use Prices'!$C$7:$AL$7,0))</f>
        <v>27.19</v>
      </c>
      <c r="AK113" s="41">
        <f>INDEX('[1]End - Use Prices'!$C$6:$AL$89,MATCH($C113,'[1]End - Use Prices'!$A$6:$A$89,0)+MATCH($D113,'[1]End - Use Prices'!$B$9:$B$11,0)-1,MATCH(AK$1,'[1]End - Use Prices'!$C$7:$AL$7,0))</f>
        <v>27.53</v>
      </c>
      <c r="AL113" s="41">
        <f>INDEX('[1]End - Use Prices'!$C$6:$AL$89,MATCH($C113,'[1]End - Use Prices'!$A$6:$A$89,0)+MATCH($D113,'[1]End - Use Prices'!$B$9:$B$11,0)-1,MATCH(AL$1,'[1]End - Use Prices'!$C$7:$AL$7,0))</f>
        <v>27.88</v>
      </c>
      <c r="AM113" s="41">
        <f>INDEX('[1]End - Use Prices'!$C$6:$AL$89,MATCH($C113,'[1]End - Use Prices'!$A$6:$A$89,0)+MATCH($D113,'[1]End - Use Prices'!$B$9:$B$11,0)-1,MATCH(AM$1,'[1]End - Use Prices'!$C$7:$AL$7,0))</f>
        <v>28.24</v>
      </c>
      <c r="AN113" s="41">
        <f>INDEX('[1]End - Use Prices'!$C$6:$AL$89,MATCH($C113,'[1]End - Use Prices'!$A$6:$A$89,0)+MATCH($D113,'[1]End - Use Prices'!$B$9:$B$11,0)-1,MATCH(AN$1,'[1]End - Use Prices'!$C$7:$AL$7,0))</f>
        <v>28.59</v>
      </c>
      <c r="AO113" s="41">
        <f>INDEX('[1]End - Use Prices'!$C$6:$AL$89,MATCH($C113,'[1]End - Use Prices'!$A$6:$A$89,0)+MATCH($D113,'[1]End - Use Prices'!$B$9:$B$11,0)-1,MATCH(AO$1,'[1]End - Use Prices'!$C$7:$AL$7,0))</f>
        <v>28.94</v>
      </c>
      <c r="AP113" s="41">
        <f>INDEX('[1]End - Use Prices'!$C$6:$AL$89,MATCH($C113,'[1]End - Use Prices'!$A$6:$A$89,0)+MATCH($D113,'[1]End - Use Prices'!$B$9:$B$11,0)-1,MATCH(AP$1,'[1]End - Use Prices'!$C$7:$AL$7,0))</f>
        <v>29.29</v>
      </c>
      <c r="AQ113" s="41">
        <f>INDEX('[1]End - Use Prices'!$C$6:$AL$89,MATCH($C113,'[1]End - Use Prices'!$A$6:$A$89,0)+MATCH($D113,'[1]End - Use Prices'!$B$9:$B$11,0)-1,MATCH(AQ$1,'[1]End - Use Prices'!$C$7:$AL$7,0))</f>
        <v>29.64</v>
      </c>
      <c r="AR113" s="41">
        <f>INDEX('[1]End - Use Prices'!$C$6:$AL$89,MATCH($C113,'[1]End - Use Prices'!$A$6:$A$89,0)+MATCH($D113,'[1]End - Use Prices'!$B$9:$B$11,0)-1,MATCH(AR$1,'[1]End - Use Prices'!$C$7:$AL$7,0))</f>
        <v>29.99</v>
      </c>
      <c r="AS113" s="41">
        <f>INDEX('[1]End - Use Prices'!$C$6:$AL$89,MATCH($C113,'[1]End - Use Prices'!$A$6:$A$89,0)+MATCH($D113,'[1]End - Use Prices'!$B$9:$B$11,0)-1,MATCH(AS$1,'[1]End - Use Prices'!$C$7:$AL$7,0))</f>
        <v>30.32</v>
      </c>
      <c r="AT113" s="41">
        <f>INDEX('[1]End - Use Prices'!$C$6:$AL$89,MATCH($C113,'[1]End - Use Prices'!$A$6:$A$89,0)+MATCH($D113,'[1]End - Use Prices'!$B$9:$B$11,0)-1,MATCH(AT$1,'[1]End - Use Prices'!$C$7:$AL$7,0))</f>
        <v>30.65</v>
      </c>
      <c r="AU113" s="41">
        <f>INDEX('[1]End - Use Prices'!$C$6:$AL$89,MATCH($C113,'[1]End - Use Prices'!$A$6:$A$89,0)+MATCH($D113,'[1]End - Use Prices'!$B$9:$B$11,0)-1,MATCH(AU$1,'[1]End - Use Prices'!$C$7:$AL$7,0))</f>
        <v>30.97</v>
      </c>
      <c r="AV113" s="41">
        <f>INDEX('[1]End - Use Prices'!$C$6:$AL$89,MATCH($C113,'[1]End - Use Prices'!$A$6:$A$89,0)+MATCH($D113,'[1]End - Use Prices'!$B$9:$B$11,0)-1,MATCH(AV$1,'[1]End - Use Prices'!$C$7:$AL$7,0))</f>
        <v>31.28</v>
      </c>
      <c r="AW113" s="41">
        <f>INDEX('[1]End - Use Prices'!$C$6:$AL$89,MATCH($C113,'[1]End - Use Prices'!$A$6:$A$89,0)+MATCH($D113,'[1]End - Use Prices'!$B$9:$B$11,0)-1,MATCH(AW$1,'[1]End - Use Prices'!$C$7:$AL$7,0))</f>
        <v>31.58</v>
      </c>
      <c r="AX113" s="41">
        <f>INDEX('[1]End - Use Prices'!$C$6:$AL$89,MATCH($C113,'[1]End - Use Prices'!$A$6:$A$89,0)+MATCH($D113,'[1]End - Use Prices'!$B$9:$B$11,0)-1,MATCH(AX$1,'[1]End - Use Prices'!$C$7:$AL$7,0))</f>
        <v>31.86</v>
      </c>
      <c r="AY113" s="41">
        <f>INDEX('[1]End - Use Prices'!$C$6:$AL$89,MATCH($C113,'[1]End - Use Prices'!$A$6:$A$89,0)+MATCH($D113,'[1]End - Use Prices'!$B$9:$B$11,0)-1,MATCH(AY$1,'[1]End - Use Prices'!$C$7:$AL$7,0))</f>
        <v>32.130000000000003</v>
      </c>
      <c r="AZ113" s="41">
        <f>INDEX('[1]End - Use Prices'!$C$6:$AL$89,MATCH($C113,'[1]End - Use Prices'!$A$6:$A$89,0)+MATCH($D113,'[1]End - Use Prices'!$B$9:$B$11,0)-1,MATCH(AZ$1,'[1]End - Use Prices'!$C$7:$AL$7,0))</f>
        <v>32.380000000000003</v>
      </c>
      <c r="BA113" s="41">
        <f>INDEX('[1]End - Use Prices'!$C$6:$AL$89,MATCH($C113,'[1]End - Use Prices'!$A$6:$A$89,0)+MATCH($D113,'[1]End - Use Prices'!$B$9:$B$11,0)-1,MATCH(BA$1,'[1]End - Use Prices'!$C$7:$AL$7,0))</f>
        <v>32.61</v>
      </c>
      <c r="BB113" s="41">
        <f>INDEX('[1]End - Use Prices'!$C$6:$AL$89,MATCH($C113,'[1]End - Use Prices'!$A$6:$A$89,0)+MATCH($D113,'[1]End - Use Prices'!$B$9:$B$11,0)-1,MATCH(BB$1,'[1]End - Use Prices'!$C$7:$AL$7,0))</f>
        <v>32.82</v>
      </c>
      <c r="BC113" s="41">
        <f>INDEX('[1]End - Use Prices'!$C$6:$AL$89,MATCH($C113,'[1]End - Use Prices'!$A$6:$A$89,0)+MATCH($D113,'[1]End - Use Prices'!$B$9:$B$11,0)-1,MATCH(BC$1,'[1]End - Use Prices'!$C$7:$AL$7,0))</f>
        <v>33.01</v>
      </c>
      <c r="BD113" s="41">
        <f>INDEX('[1]End - Use Prices'!$C$6:$AL$89,MATCH($C113,'[1]End - Use Prices'!$A$6:$A$89,0)+MATCH($D113,'[1]End - Use Prices'!$B$9:$B$11,0)-1,MATCH(BD$1,'[1]End - Use Prices'!$C$7:$AL$7,0))</f>
        <v>33.17</v>
      </c>
      <c r="BE113" s="41">
        <f>INDEX('[1]End - Use Prices'!$C$6:$AL$89,MATCH($C113,'[1]End - Use Prices'!$A$6:$A$89,0)+MATCH($D113,'[1]End - Use Prices'!$B$9:$B$11,0)-1,MATCH(BE$1,'[1]End - Use Prices'!$C$7:$AL$7,0))</f>
        <v>33.31</v>
      </c>
      <c r="BF113" s="41">
        <f>INDEX('[1]End - Use Prices'!$C$6:$AL$89,MATCH($C113,'[1]End - Use Prices'!$A$6:$A$89,0)+MATCH($D113,'[1]End - Use Prices'!$B$9:$B$11,0)-1,MATCH(BF$1,'[1]End - Use Prices'!$C$7:$AL$7,0))</f>
        <v>33.43</v>
      </c>
      <c r="BG113" s="41">
        <f>INDEX('[1]End - Use Prices'!$C$6:$AL$89,MATCH($C113,'[1]End - Use Prices'!$A$6:$A$89,0)+MATCH($D113,'[1]End - Use Prices'!$B$9:$B$11,0)-1,MATCH(BG$1,'[1]End - Use Prices'!$C$7:$AL$7,0))</f>
        <v>33.51</v>
      </c>
      <c r="BR113" s="39"/>
      <c r="BS113" s="39"/>
      <c r="BT113" s="39"/>
      <c r="BU113" s="39"/>
      <c r="BV113" s="39"/>
      <c r="BW113" s="39"/>
      <c r="BX113" s="39"/>
      <c r="BY113" s="39"/>
      <c r="BZ113" s="39"/>
      <c r="CA113" s="39"/>
    </row>
    <row r="114" spans="1:79" x14ac:dyDescent="0.25">
      <c r="A114" s="5"/>
      <c r="B114" s="3"/>
      <c r="C114" s="25" t="s">
        <v>92</v>
      </c>
      <c r="D114" s="25" t="s">
        <v>2</v>
      </c>
      <c r="E114" s="25" t="s">
        <v>282</v>
      </c>
      <c r="F114" s="67" t="s">
        <v>279</v>
      </c>
      <c r="G114" s="53">
        <f t="shared" si="18"/>
        <v>36.07</v>
      </c>
      <c r="H114" s="34">
        <f t="shared" si="19"/>
        <v>36.07</v>
      </c>
      <c r="I114" s="34">
        <f t="shared" si="19"/>
        <v>42.93</v>
      </c>
      <c r="J114" s="34">
        <f t="shared" si="19"/>
        <v>48.06</v>
      </c>
      <c r="K114" s="34">
        <f t="shared" si="19"/>
        <v>51.84</v>
      </c>
      <c r="L114" s="34">
        <f t="shared" si="19"/>
        <v>54.59</v>
      </c>
      <c r="M114" s="34">
        <f t="shared" si="19"/>
        <v>56.35</v>
      </c>
      <c r="N114" s="34">
        <f t="shared" si="19"/>
        <v>57.81</v>
      </c>
      <c r="O114" s="34">
        <f t="shared" si="19"/>
        <v>59.66</v>
      </c>
      <c r="P114" s="53">
        <f t="shared" si="20"/>
        <v>59.66</v>
      </c>
      <c r="Q114" s="53">
        <f t="shared" si="20"/>
        <v>59.66</v>
      </c>
      <c r="R114" s="38"/>
      <c r="X114" s="41">
        <f>INDEX('[1]End - Use Prices'!$C$6:$AL$89,MATCH($C114,'[1]End - Use Prices'!$A$6:$A$89,0)+MATCH($D114,'[1]End - Use Prices'!$B$9:$B$11,0)-1,MATCH(X$1,'[1]End - Use Prices'!$C$7:$AL$7,0))</f>
        <v>36.07</v>
      </c>
      <c r="Y114" s="41">
        <f>INDEX('[1]End - Use Prices'!$C$6:$AL$89,MATCH($C114,'[1]End - Use Prices'!$A$6:$A$89,0)+MATCH($D114,'[1]End - Use Prices'!$B$9:$B$11,0)-1,MATCH(Y$1,'[1]End - Use Prices'!$C$7:$AL$7,0))</f>
        <v>42.3</v>
      </c>
      <c r="Z114" s="41">
        <f>INDEX('[1]End - Use Prices'!$C$6:$AL$89,MATCH($C114,'[1]End - Use Prices'!$A$6:$A$89,0)+MATCH($D114,'[1]End - Use Prices'!$B$9:$B$11,0)-1,MATCH(Z$1,'[1]End - Use Prices'!$C$7:$AL$7,0))</f>
        <v>41.68</v>
      </c>
      <c r="AA114" s="41">
        <f>INDEX('[1]End - Use Prices'!$C$6:$AL$89,MATCH($C114,'[1]End - Use Prices'!$A$6:$A$89,0)+MATCH($D114,'[1]End - Use Prices'!$B$9:$B$11,0)-1,MATCH(AA$1,'[1]End - Use Prices'!$C$7:$AL$7,0))</f>
        <v>39.369999999999997</v>
      </c>
      <c r="AB114" s="41">
        <f>INDEX('[1]End - Use Prices'!$C$6:$AL$89,MATCH($C114,'[1]End - Use Prices'!$A$6:$A$89,0)+MATCH($D114,'[1]End - Use Prices'!$B$9:$B$11,0)-1,MATCH(AB$1,'[1]End - Use Prices'!$C$7:$AL$7,0))</f>
        <v>40.299999999999997</v>
      </c>
      <c r="AC114" s="41">
        <f>INDEX('[1]End - Use Prices'!$C$6:$AL$89,MATCH($C114,'[1]End - Use Prices'!$A$6:$A$89,0)+MATCH($D114,'[1]End - Use Prices'!$B$9:$B$11,0)-1,MATCH(AC$1,'[1]End - Use Prices'!$C$7:$AL$7,0))</f>
        <v>42.93</v>
      </c>
      <c r="AD114" s="41">
        <f>INDEX('[1]End - Use Prices'!$C$6:$AL$89,MATCH($C114,'[1]End - Use Prices'!$A$6:$A$89,0)+MATCH($D114,'[1]End - Use Prices'!$B$9:$B$11,0)-1,MATCH(AD$1,'[1]End - Use Prices'!$C$7:$AL$7,0))</f>
        <v>43.6</v>
      </c>
      <c r="AE114" s="41">
        <f>INDEX('[1]End - Use Prices'!$C$6:$AL$89,MATCH($C114,'[1]End - Use Prices'!$A$6:$A$89,0)+MATCH($D114,'[1]End - Use Prices'!$B$9:$B$11,0)-1,MATCH(AE$1,'[1]End - Use Prices'!$C$7:$AL$7,0))</f>
        <v>43.08</v>
      </c>
      <c r="AF114" s="41">
        <f>INDEX('[1]End - Use Prices'!$C$6:$AL$89,MATCH($C114,'[1]End - Use Prices'!$A$6:$A$89,0)+MATCH($D114,'[1]End - Use Prices'!$B$9:$B$11,0)-1,MATCH(AF$1,'[1]End - Use Prices'!$C$7:$AL$7,0))</f>
        <v>44.44</v>
      </c>
      <c r="AG114" s="41">
        <f>INDEX('[1]End - Use Prices'!$C$6:$AL$89,MATCH($C114,'[1]End - Use Prices'!$A$6:$A$89,0)+MATCH($D114,'[1]End - Use Prices'!$B$9:$B$11,0)-1,MATCH(AG$1,'[1]End - Use Prices'!$C$7:$AL$7,0))</f>
        <v>46.3</v>
      </c>
      <c r="AH114" s="41">
        <f>INDEX('[1]End - Use Prices'!$C$6:$AL$89,MATCH($C114,'[1]End - Use Prices'!$A$6:$A$89,0)+MATCH($D114,'[1]End - Use Prices'!$B$9:$B$11,0)-1,MATCH(AH$1,'[1]End - Use Prices'!$C$7:$AL$7,0))</f>
        <v>48.06</v>
      </c>
      <c r="AI114" s="41">
        <f>INDEX('[1]End - Use Prices'!$C$6:$AL$89,MATCH($C114,'[1]End - Use Prices'!$A$6:$A$89,0)+MATCH($D114,'[1]End - Use Prices'!$B$9:$B$11,0)-1,MATCH(AI$1,'[1]End - Use Prices'!$C$7:$AL$7,0))</f>
        <v>48.66</v>
      </c>
      <c r="AJ114" s="41">
        <f>INDEX('[1]End - Use Prices'!$C$6:$AL$89,MATCH($C114,'[1]End - Use Prices'!$A$6:$A$89,0)+MATCH($D114,'[1]End - Use Prices'!$B$9:$B$11,0)-1,MATCH(AJ$1,'[1]End - Use Prices'!$C$7:$AL$7,0))</f>
        <v>49.42</v>
      </c>
      <c r="AK114" s="41">
        <f>INDEX('[1]End - Use Prices'!$C$6:$AL$89,MATCH($C114,'[1]End - Use Prices'!$A$6:$A$89,0)+MATCH($D114,'[1]End - Use Prices'!$B$9:$B$11,0)-1,MATCH(AK$1,'[1]End - Use Prices'!$C$7:$AL$7,0))</f>
        <v>50.31</v>
      </c>
      <c r="AL114" s="41">
        <f>INDEX('[1]End - Use Prices'!$C$6:$AL$89,MATCH($C114,'[1]End - Use Prices'!$A$6:$A$89,0)+MATCH($D114,'[1]End - Use Prices'!$B$9:$B$11,0)-1,MATCH(AL$1,'[1]End - Use Prices'!$C$7:$AL$7,0))</f>
        <v>51.11</v>
      </c>
      <c r="AM114" s="41">
        <f>INDEX('[1]End - Use Prices'!$C$6:$AL$89,MATCH($C114,'[1]End - Use Prices'!$A$6:$A$89,0)+MATCH($D114,'[1]End - Use Prices'!$B$9:$B$11,0)-1,MATCH(AM$1,'[1]End - Use Prices'!$C$7:$AL$7,0))</f>
        <v>51.84</v>
      </c>
      <c r="AN114" s="41">
        <f>INDEX('[1]End - Use Prices'!$C$6:$AL$89,MATCH($C114,'[1]End - Use Prices'!$A$6:$A$89,0)+MATCH($D114,'[1]End - Use Prices'!$B$9:$B$11,0)-1,MATCH(AN$1,'[1]End - Use Prices'!$C$7:$AL$7,0))</f>
        <v>52.5</v>
      </c>
      <c r="AO114" s="41">
        <f>INDEX('[1]End - Use Prices'!$C$6:$AL$89,MATCH($C114,'[1]End - Use Prices'!$A$6:$A$89,0)+MATCH($D114,'[1]End - Use Prices'!$B$9:$B$11,0)-1,MATCH(AO$1,'[1]End - Use Prices'!$C$7:$AL$7,0))</f>
        <v>53.11</v>
      </c>
      <c r="AP114" s="41">
        <f>INDEX('[1]End - Use Prices'!$C$6:$AL$89,MATCH($C114,'[1]End - Use Prices'!$A$6:$A$89,0)+MATCH($D114,'[1]End - Use Prices'!$B$9:$B$11,0)-1,MATCH(AP$1,'[1]End - Use Prices'!$C$7:$AL$7,0))</f>
        <v>53.65</v>
      </c>
      <c r="AQ114" s="41">
        <f>INDEX('[1]End - Use Prices'!$C$6:$AL$89,MATCH($C114,'[1]End - Use Prices'!$A$6:$A$89,0)+MATCH($D114,'[1]End - Use Prices'!$B$9:$B$11,0)-1,MATCH(AQ$1,'[1]End - Use Prices'!$C$7:$AL$7,0))</f>
        <v>54.15</v>
      </c>
      <c r="AR114" s="41">
        <f>INDEX('[1]End - Use Prices'!$C$6:$AL$89,MATCH($C114,'[1]End - Use Prices'!$A$6:$A$89,0)+MATCH($D114,'[1]End - Use Prices'!$B$9:$B$11,0)-1,MATCH(AR$1,'[1]End - Use Prices'!$C$7:$AL$7,0))</f>
        <v>54.59</v>
      </c>
      <c r="AS114" s="41">
        <f>INDEX('[1]End - Use Prices'!$C$6:$AL$89,MATCH($C114,'[1]End - Use Prices'!$A$6:$A$89,0)+MATCH($D114,'[1]End - Use Prices'!$B$9:$B$11,0)-1,MATCH(AS$1,'[1]End - Use Prices'!$C$7:$AL$7,0))</f>
        <v>55</v>
      </c>
      <c r="AT114" s="41">
        <f>INDEX('[1]End - Use Prices'!$C$6:$AL$89,MATCH($C114,'[1]End - Use Prices'!$A$6:$A$89,0)+MATCH($D114,'[1]End - Use Prices'!$B$9:$B$11,0)-1,MATCH(AT$1,'[1]End - Use Prices'!$C$7:$AL$7,0))</f>
        <v>55.38</v>
      </c>
      <c r="AU114" s="41">
        <f>INDEX('[1]End - Use Prices'!$C$6:$AL$89,MATCH($C114,'[1]End - Use Prices'!$A$6:$A$89,0)+MATCH($D114,'[1]End - Use Prices'!$B$9:$B$11,0)-1,MATCH(AU$1,'[1]End - Use Prices'!$C$7:$AL$7,0))</f>
        <v>55.73</v>
      </c>
      <c r="AV114" s="41">
        <f>INDEX('[1]End - Use Prices'!$C$6:$AL$89,MATCH($C114,'[1]End - Use Prices'!$A$6:$A$89,0)+MATCH($D114,'[1]End - Use Prices'!$B$9:$B$11,0)-1,MATCH(AV$1,'[1]End - Use Prices'!$C$7:$AL$7,0))</f>
        <v>56.05</v>
      </c>
      <c r="AW114" s="41">
        <f>INDEX('[1]End - Use Prices'!$C$6:$AL$89,MATCH($C114,'[1]End - Use Prices'!$A$6:$A$89,0)+MATCH($D114,'[1]End - Use Prices'!$B$9:$B$11,0)-1,MATCH(AW$1,'[1]End - Use Prices'!$C$7:$AL$7,0))</f>
        <v>56.35</v>
      </c>
      <c r="AX114" s="41">
        <f>INDEX('[1]End - Use Prices'!$C$6:$AL$89,MATCH($C114,'[1]End - Use Prices'!$A$6:$A$89,0)+MATCH($D114,'[1]End - Use Prices'!$B$9:$B$11,0)-1,MATCH(AX$1,'[1]End - Use Prices'!$C$7:$AL$7,0))</f>
        <v>56.65</v>
      </c>
      <c r="AY114" s="41">
        <f>INDEX('[1]End - Use Prices'!$C$6:$AL$89,MATCH($C114,'[1]End - Use Prices'!$A$6:$A$89,0)+MATCH($D114,'[1]End - Use Prices'!$B$9:$B$11,0)-1,MATCH(AY$1,'[1]End - Use Prices'!$C$7:$AL$7,0))</f>
        <v>56.93</v>
      </c>
      <c r="AZ114" s="41">
        <f>INDEX('[1]End - Use Prices'!$C$6:$AL$89,MATCH($C114,'[1]End - Use Prices'!$A$6:$A$89,0)+MATCH($D114,'[1]End - Use Prices'!$B$9:$B$11,0)-1,MATCH(AZ$1,'[1]End - Use Prices'!$C$7:$AL$7,0))</f>
        <v>57.22</v>
      </c>
      <c r="BA114" s="41">
        <f>INDEX('[1]End - Use Prices'!$C$6:$AL$89,MATCH($C114,'[1]End - Use Prices'!$A$6:$A$89,0)+MATCH($D114,'[1]End - Use Prices'!$B$9:$B$11,0)-1,MATCH(BA$1,'[1]End - Use Prices'!$C$7:$AL$7,0))</f>
        <v>57.51</v>
      </c>
      <c r="BB114" s="41">
        <f>INDEX('[1]End - Use Prices'!$C$6:$AL$89,MATCH($C114,'[1]End - Use Prices'!$A$6:$A$89,0)+MATCH($D114,'[1]End - Use Prices'!$B$9:$B$11,0)-1,MATCH(BB$1,'[1]End - Use Prices'!$C$7:$AL$7,0))</f>
        <v>57.81</v>
      </c>
      <c r="BC114" s="41">
        <f>INDEX('[1]End - Use Prices'!$C$6:$AL$89,MATCH($C114,'[1]End - Use Prices'!$A$6:$A$89,0)+MATCH($D114,'[1]End - Use Prices'!$B$9:$B$11,0)-1,MATCH(BC$1,'[1]End - Use Prices'!$C$7:$AL$7,0))</f>
        <v>58.13</v>
      </c>
      <c r="BD114" s="41">
        <f>INDEX('[1]End - Use Prices'!$C$6:$AL$89,MATCH($C114,'[1]End - Use Prices'!$A$6:$A$89,0)+MATCH($D114,'[1]End - Use Prices'!$B$9:$B$11,0)-1,MATCH(BD$1,'[1]End - Use Prices'!$C$7:$AL$7,0))</f>
        <v>58.47</v>
      </c>
      <c r="BE114" s="41">
        <f>INDEX('[1]End - Use Prices'!$C$6:$AL$89,MATCH($C114,'[1]End - Use Prices'!$A$6:$A$89,0)+MATCH($D114,'[1]End - Use Prices'!$B$9:$B$11,0)-1,MATCH(BE$1,'[1]End - Use Prices'!$C$7:$AL$7,0))</f>
        <v>58.83</v>
      </c>
      <c r="BF114" s="41">
        <f>INDEX('[1]End - Use Prices'!$C$6:$AL$89,MATCH($C114,'[1]End - Use Prices'!$A$6:$A$89,0)+MATCH($D114,'[1]End - Use Prices'!$B$9:$B$11,0)-1,MATCH(BF$1,'[1]End - Use Prices'!$C$7:$AL$7,0))</f>
        <v>59.23</v>
      </c>
      <c r="BG114" s="41">
        <f>INDEX('[1]End - Use Prices'!$C$6:$AL$89,MATCH($C114,'[1]End - Use Prices'!$A$6:$A$89,0)+MATCH($D114,'[1]End - Use Prices'!$B$9:$B$11,0)-1,MATCH(BG$1,'[1]End - Use Prices'!$C$7:$AL$7,0))</f>
        <v>59.66</v>
      </c>
      <c r="BR114" s="39"/>
      <c r="BS114" s="39"/>
      <c r="BT114" s="39"/>
      <c r="BU114" s="39"/>
      <c r="BV114" s="39"/>
      <c r="BW114" s="39"/>
      <c r="BX114" s="39"/>
      <c r="BY114" s="39"/>
      <c r="BZ114" s="39"/>
      <c r="CA114" s="39"/>
    </row>
    <row r="115" spans="1:79" x14ac:dyDescent="0.25">
      <c r="A115" s="5"/>
      <c r="B115" s="3"/>
      <c r="C115" s="25" t="s">
        <v>5</v>
      </c>
      <c r="D115" s="25" t="s">
        <v>2</v>
      </c>
      <c r="E115" s="25" t="s">
        <v>282</v>
      </c>
      <c r="F115" s="67" t="s">
        <v>279</v>
      </c>
      <c r="G115" s="53">
        <f t="shared" si="18"/>
        <v>30.07</v>
      </c>
      <c r="H115" s="34">
        <f t="shared" si="19"/>
        <v>30.07</v>
      </c>
      <c r="I115" s="34">
        <f t="shared" si="19"/>
        <v>31.25</v>
      </c>
      <c r="J115" s="34">
        <f t="shared" si="19"/>
        <v>33.81</v>
      </c>
      <c r="K115" s="34">
        <f t="shared" si="19"/>
        <v>32.520000000000003</v>
      </c>
      <c r="L115" s="34">
        <f t="shared" si="19"/>
        <v>35.47</v>
      </c>
      <c r="M115" s="34">
        <f t="shared" si="19"/>
        <v>37.57</v>
      </c>
      <c r="N115" s="34">
        <f t="shared" si="19"/>
        <v>38.39</v>
      </c>
      <c r="O115" s="34">
        <f t="shared" si="19"/>
        <v>37.54</v>
      </c>
      <c r="P115" s="53">
        <f t="shared" si="20"/>
        <v>37.54</v>
      </c>
      <c r="Q115" s="53">
        <f t="shared" si="20"/>
        <v>37.54</v>
      </c>
      <c r="R115" s="38"/>
      <c r="X115" s="41">
        <f>INDEX('[1]End - Use Prices'!$C$6:$AL$89,MATCH($C115,'[1]End - Use Prices'!$A$6:$A$89,0)+MATCH($D115,'[1]End - Use Prices'!$B$9:$B$11,0)-1,MATCH(X$1,'[1]End - Use Prices'!$C$7:$AL$7,0))</f>
        <v>30.07</v>
      </c>
      <c r="Y115" s="41">
        <f>INDEX('[1]End - Use Prices'!$C$6:$AL$89,MATCH($C115,'[1]End - Use Prices'!$A$6:$A$89,0)+MATCH($D115,'[1]End - Use Prices'!$B$9:$B$11,0)-1,MATCH(Y$1,'[1]End - Use Prices'!$C$7:$AL$7,0))</f>
        <v>35.659999999999997</v>
      </c>
      <c r="Z115" s="41">
        <f>INDEX('[1]End - Use Prices'!$C$6:$AL$89,MATCH($C115,'[1]End - Use Prices'!$A$6:$A$89,0)+MATCH($D115,'[1]End - Use Prices'!$B$9:$B$11,0)-1,MATCH(Z$1,'[1]End - Use Prices'!$C$7:$AL$7,0))</f>
        <v>38.57</v>
      </c>
      <c r="AA115" s="41">
        <f>INDEX('[1]End - Use Prices'!$C$6:$AL$89,MATCH($C115,'[1]End - Use Prices'!$A$6:$A$89,0)+MATCH($D115,'[1]End - Use Prices'!$B$9:$B$11,0)-1,MATCH(AA$1,'[1]End - Use Prices'!$C$7:$AL$7,0))</f>
        <v>42.28</v>
      </c>
      <c r="AB115" s="41">
        <f>INDEX('[1]End - Use Prices'!$C$6:$AL$89,MATCH($C115,'[1]End - Use Prices'!$A$6:$A$89,0)+MATCH($D115,'[1]End - Use Prices'!$B$9:$B$11,0)-1,MATCH(AB$1,'[1]End - Use Prices'!$C$7:$AL$7,0))</f>
        <v>36.1</v>
      </c>
      <c r="AC115" s="41">
        <f>INDEX('[1]End - Use Prices'!$C$6:$AL$89,MATCH($C115,'[1]End - Use Prices'!$A$6:$A$89,0)+MATCH($D115,'[1]End - Use Prices'!$B$9:$B$11,0)-1,MATCH(AC$1,'[1]End - Use Prices'!$C$7:$AL$7,0))</f>
        <v>31.25</v>
      </c>
      <c r="AD115" s="41">
        <f>INDEX('[1]End - Use Prices'!$C$6:$AL$89,MATCH($C115,'[1]End - Use Prices'!$A$6:$A$89,0)+MATCH($D115,'[1]End - Use Prices'!$B$9:$B$11,0)-1,MATCH(AD$1,'[1]End - Use Prices'!$C$7:$AL$7,0))</f>
        <v>51.38</v>
      </c>
      <c r="AE115" s="41">
        <f>INDEX('[1]End - Use Prices'!$C$6:$AL$89,MATCH($C115,'[1]End - Use Prices'!$A$6:$A$89,0)+MATCH($D115,'[1]End - Use Prices'!$B$9:$B$11,0)-1,MATCH(AE$1,'[1]End - Use Prices'!$C$7:$AL$7,0))</f>
        <v>40.17</v>
      </c>
      <c r="AF115" s="41">
        <f>INDEX('[1]End - Use Prices'!$C$6:$AL$89,MATCH($C115,'[1]End - Use Prices'!$A$6:$A$89,0)+MATCH($D115,'[1]End - Use Prices'!$B$9:$B$11,0)-1,MATCH(AF$1,'[1]End - Use Prices'!$C$7:$AL$7,0))</f>
        <v>42.35</v>
      </c>
      <c r="AG115" s="41">
        <f>INDEX('[1]End - Use Prices'!$C$6:$AL$89,MATCH($C115,'[1]End - Use Prices'!$A$6:$A$89,0)+MATCH($D115,'[1]End - Use Prices'!$B$9:$B$11,0)-1,MATCH(AG$1,'[1]End - Use Prices'!$C$7:$AL$7,0))</f>
        <v>36.65</v>
      </c>
      <c r="AH115" s="41">
        <f>INDEX('[1]End - Use Prices'!$C$6:$AL$89,MATCH($C115,'[1]End - Use Prices'!$A$6:$A$89,0)+MATCH($D115,'[1]End - Use Prices'!$B$9:$B$11,0)-1,MATCH(AH$1,'[1]End - Use Prices'!$C$7:$AL$7,0))</f>
        <v>33.81</v>
      </c>
      <c r="AI115" s="41">
        <f>INDEX('[1]End - Use Prices'!$C$6:$AL$89,MATCH($C115,'[1]End - Use Prices'!$A$6:$A$89,0)+MATCH($D115,'[1]End - Use Prices'!$B$9:$B$11,0)-1,MATCH(AI$1,'[1]End - Use Prices'!$C$7:$AL$7,0))</f>
        <v>30.08</v>
      </c>
      <c r="AJ115" s="41">
        <f>INDEX('[1]End - Use Prices'!$C$6:$AL$89,MATCH($C115,'[1]End - Use Prices'!$A$6:$A$89,0)+MATCH($D115,'[1]End - Use Prices'!$B$9:$B$11,0)-1,MATCH(AJ$1,'[1]End - Use Prices'!$C$7:$AL$7,0))</f>
        <v>30.5</v>
      </c>
      <c r="AK115" s="41">
        <f>INDEX('[1]End - Use Prices'!$C$6:$AL$89,MATCH($C115,'[1]End - Use Prices'!$A$6:$A$89,0)+MATCH($D115,'[1]End - Use Prices'!$B$9:$B$11,0)-1,MATCH(AK$1,'[1]End - Use Prices'!$C$7:$AL$7,0))</f>
        <v>31.18</v>
      </c>
      <c r="AL115" s="41">
        <f>INDEX('[1]End - Use Prices'!$C$6:$AL$89,MATCH($C115,'[1]End - Use Prices'!$A$6:$A$89,0)+MATCH($D115,'[1]End - Use Prices'!$B$9:$B$11,0)-1,MATCH(AL$1,'[1]End - Use Prices'!$C$7:$AL$7,0))</f>
        <v>31.86</v>
      </c>
      <c r="AM115" s="41">
        <f>INDEX('[1]End - Use Prices'!$C$6:$AL$89,MATCH($C115,'[1]End - Use Prices'!$A$6:$A$89,0)+MATCH($D115,'[1]End - Use Prices'!$B$9:$B$11,0)-1,MATCH(AM$1,'[1]End - Use Prices'!$C$7:$AL$7,0))</f>
        <v>32.520000000000003</v>
      </c>
      <c r="AN115" s="41">
        <f>INDEX('[1]End - Use Prices'!$C$6:$AL$89,MATCH($C115,'[1]End - Use Prices'!$A$6:$A$89,0)+MATCH($D115,'[1]End - Use Prices'!$B$9:$B$11,0)-1,MATCH(AN$1,'[1]End - Use Prices'!$C$7:$AL$7,0))</f>
        <v>33.159999999999997</v>
      </c>
      <c r="AO115" s="41">
        <f>INDEX('[1]End - Use Prices'!$C$6:$AL$89,MATCH($C115,'[1]End - Use Prices'!$A$6:$A$89,0)+MATCH($D115,'[1]End - Use Prices'!$B$9:$B$11,0)-1,MATCH(AO$1,'[1]End - Use Prices'!$C$7:$AL$7,0))</f>
        <v>33.78</v>
      </c>
      <c r="AP115" s="41">
        <f>INDEX('[1]End - Use Prices'!$C$6:$AL$89,MATCH($C115,'[1]End - Use Prices'!$A$6:$A$89,0)+MATCH($D115,'[1]End - Use Prices'!$B$9:$B$11,0)-1,MATCH(AP$1,'[1]End - Use Prices'!$C$7:$AL$7,0))</f>
        <v>34.369999999999997</v>
      </c>
      <c r="AQ115" s="41">
        <f>INDEX('[1]End - Use Prices'!$C$6:$AL$89,MATCH($C115,'[1]End - Use Prices'!$A$6:$A$89,0)+MATCH($D115,'[1]End - Use Prices'!$B$9:$B$11,0)-1,MATCH(AQ$1,'[1]End - Use Prices'!$C$7:$AL$7,0))</f>
        <v>34.94</v>
      </c>
      <c r="AR115" s="41">
        <f>INDEX('[1]End - Use Prices'!$C$6:$AL$89,MATCH($C115,'[1]End - Use Prices'!$A$6:$A$89,0)+MATCH($D115,'[1]End - Use Prices'!$B$9:$B$11,0)-1,MATCH(AR$1,'[1]End - Use Prices'!$C$7:$AL$7,0))</f>
        <v>35.47</v>
      </c>
      <c r="AS115" s="41">
        <f>INDEX('[1]End - Use Prices'!$C$6:$AL$89,MATCH($C115,'[1]End - Use Prices'!$A$6:$A$89,0)+MATCH($D115,'[1]End - Use Prices'!$B$9:$B$11,0)-1,MATCH(AS$1,'[1]End - Use Prices'!$C$7:$AL$7,0))</f>
        <v>35.97</v>
      </c>
      <c r="AT115" s="41">
        <f>INDEX('[1]End - Use Prices'!$C$6:$AL$89,MATCH($C115,'[1]End - Use Prices'!$A$6:$A$89,0)+MATCH($D115,'[1]End - Use Prices'!$B$9:$B$11,0)-1,MATCH(AT$1,'[1]End - Use Prices'!$C$7:$AL$7,0))</f>
        <v>36.44</v>
      </c>
      <c r="AU115" s="41">
        <f>INDEX('[1]End - Use Prices'!$C$6:$AL$89,MATCH($C115,'[1]End - Use Prices'!$A$6:$A$89,0)+MATCH($D115,'[1]End - Use Prices'!$B$9:$B$11,0)-1,MATCH(AU$1,'[1]End - Use Prices'!$C$7:$AL$7,0))</f>
        <v>36.86</v>
      </c>
      <c r="AV115" s="41">
        <f>INDEX('[1]End - Use Prices'!$C$6:$AL$89,MATCH($C115,'[1]End - Use Prices'!$A$6:$A$89,0)+MATCH($D115,'[1]End - Use Prices'!$B$9:$B$11,0)-1,MATCH(AV$1,'[1]End - Use Prices'!$C$7:$AL$7,0))</f>
        <v>37.24</v>
      </c>
      <c r="AW115" s="41">
        <f>INDEX('[1]End - Use Prices'!$C$6:$AL$89,MATCH($C115,'[1]End - Use Prices'!$A$6:$A$89,0)+MATCH($D115,'[1]End - Use Prices'!$B$9:$B$11,0)-1,MATCH(AW$1,'[1]End - Use Prices'!$C$7:$AL$7,0))</f>
        <v>37.57</v>
      </c>
      <c r="AX115" s="41">
        <f>INDEX('[1]End - Use Prices'!$C$6:$AL$89,MATCH($C115,'[1]End - Use Prices'!$A$6:$A$89,0)+MATCH($D115,'[1]End - Use Prices'!$B$9:$B$11,0)-1,MATCH(AX$1,'[1]End - Use Prices'!$C$7:$AL$7,0))</f>
        <v>37.85</v>
      </c>
      <c r="AY115" s="41">
        <f>INDEX('[1]End - Use Prices'!$C$6:$AL$89,MATCH($C115,'[1]End - Use Prices'!$A$6:$A$89,0)+MATCH($D115,'[1]End - Use Prices'!$B$9:$B$11,0)-1,MATCH(AY$1,'[1]End - Use Prices'!$C$7:$AL$7,0))</f>
        <v>38.07</v>
      </c>
      <c r="AZ115" s="41">
        <f>INDEX('[1]End - Use Prices'!$C$6:$AL$89,MATCH($C115,'[1]End - Use Prices'!$A$6:$A$89,0)+MATCH($D115,'[1]End - Use Prices'!$B$9:$B$11,0)-1,MATCH(AZ$1,'[1]End - Use Prices'!$C$7:$AL$7,0))</f>
        <v>38.24</v>
      </c>
      <c r="BA115" s="41">
        <f>INDEX('[1]End - Use Prices'!$C$6:$AL$89,MATCH($C115,'[1]End - Use Prices'!$A$6:$A$89,0)+MATCH($D115,'[1]End - Use Prices'!$B$9:$B$11,0)-1,MATCH(BA$1,'[1]End - Use Prices'!$C$7:$AL$7,0))</f>
        <v>38.35</v>
      </c>
      <c r="BB115" s="41">
        <f>INDEX('[1]End - Use Prices'!$C$6:$AL$89,MATCH($C115,'[1]End - Use Prices'!$A$6:$A$89,0)+MATCH($D115,'[1]End - Use Prices'!$B$9:$B$11,0)-1,MATCH(BB$1,'[1]End - Use Prices'!$C$7:$AL$7,0))</f>
        <v>38.39</v>
      </c>
      <c r="BC115" s="41">
        <f>INDEX('[1]End - Use Prices'!$C$6:$AL$89,MATCH($C115,'[1]End - Use Prices'!$A$6:$A$89,0)+MATCH($D115,'[1]End - Use Prices'!$B$9:$B$11,0)-1,MATCH(BC$1,'[1]End - Use Prices'!$C$7:$AL$7,0))</f>
        <v>38.369999999999997</v>
      </c>
      <c r="BD115" s="41">
        <f>INDEX('[1]End - Use Prices'!$C$6:$AL$89,MATCH($C115,'[1]End - Use Prices'!$A$6:$A$89,0)+MATCH($D115,'[1]End - Use Prices'!$B$9:$B$11,0)-1,MATCH(BD$1,'[1]End - Use Prices'!$C$7:$AL$7,0))</f>
        <v>38.270000000000003</v>
      </c>
      <c r="BE115" s="41">
        <f>INDEX('[1]End - Use Prices'!$C$6:$AL$89,MATCH($C115,'[1]End - Use Prices'!$A$6:$A$89,0)+MATCH($D115,'[1]End - Use Prices'!$B$9:$B$11,0)-1,MATCH(BE$1,'[1]End - Use Prices'!$C$7:$AL$7,0))</f>
        <v>38.11</v>
      </c>
      <c r="BF115" s="41">
        <f>INDEX('[1]End - Use Prices'!$C$6:$AL$89,MATCH($C115,'[1]End - Use Prices'!$A$6:$A$89,0)+MATCH($D115,'[1]End - Use Prices'!$B$9:$B$11,0)-1,MATCH(BF$1,'[1]End - Use Prices'!$C$7:$AL$7,0))</f>
        <v>37.86</v>
      </c>
      <c r="BG115" s="41">
        <f>INDEX('[1]End - Use Prices'!$C$6:$AL$89,MATCH($C115,'[1]End - Use Prices'!$A$6:$A$89,0)+MATCH($D115,'[1]End - Use Prices'!$B$9:$B$11,0)-1,MATCH(BG$1,'[1]End - Use Prices'!$C$7:$AL$7,0))</f>
        <v>37.54</v>
      </c>
      <c r="BR115" s="39"/>
      <c r="BS115" s="39"/>
      <c r="BT115" s="39"/>
      <c r="BU115" s="39"/>
      <c r="BV115" s="39"/>
      <c r="BW115" s="39"/>
      <c r="BX115" s="39"/>
      <c r="BY115" s="39"/>
      <c r="BZ115" s="39"/>
      <c r="CA115" s="39"/>
    </row>
    <row r="116" spans="1:79" x14ac:dyDescent="0.25">
      <c r="A116" s="5"/>
      <c r="B116" s="3"/>
      <c r="C116" s="25" t="s">
        <v>61</v>
      </c>
      <c r="D116" s="25" t="s">
        <v>2</v>
      </c>
      <c r="E116" s="25" t="s">
        <v>282</v>
      </c>
      <c r="F116" s="67" t="s">
        <v>279</v>
      </c>
      <c r="G116" s="53">
        <f t="shared" si="18"/>
        <v>22.24</v>
      </c>
      <c r="H116" s="34">
        <f t="shared" si="19"/>
        <v>22.24</v>
      </c>
      <c r="I116" s="34">
        <f t="shared" si="19"/>
        <v>25.9</v>
      </c>
      <c r="J116" s="34">
        <f t="shared" si="19"/>
        <v>30.53</v>
      </c>
      <c r="K116" s="34">
        <f t="shared" si="19"/>
        <v>31.99</v>
      </c>
      <c r="L116" s="34">
        <f t="shared" si="19"/>
        <v>32.61</v>
      </c>
      <c r="M116" s="34">
        <f t="shared" si="19"/>
        <v>33.25</v>
      </c>
      <c r="N116" s="34">
        <f t="shared" si="19"/>
        <v>33.76</v>
      </c>
      <c r="O116" s="34">
        <f t="shared" si="19"/>
        <v>34</v>
      </c>
      <c r="P116" s="53">
        <f t="shared" si="20"/>
        <v>34</v>
      </c>
      <c r="Q116" s="53">
        <f t="shared" si="20"/>
        <v>34</v>
      </c>
      <c r="R116" s="38"/>
      <c r="X116" s="41">
        <f>INDEX('[1]End - Use Prices'!$C$6:$AL$89,MATCH($C116,'[1]End - Use Prices'!$A$6:$A$89,0)+MATCH($D116,'[1]End - Use Prices'!$B$9:$B$11,0)-1,MATCH(X$1,'[1]End - Use Prices'!$C$7:$AL$7,0))</f>
        <v>22.24</v>
      </c>
      <c r="Y116" s="41">
        <f>INDEX('[1]End - Use Prices'!$C$6:$AL$89,MATCH($C116,'[1]End - Use Prices'!$A$6:$A$89,0)+MATCH($D116,'[1]End - Use Prices'!$B$9:$B$11,0)-1,MATCH(Y$1,'[1]End - Use Prices'!$C$7:$AL$7,0))</f>
        <v>23.07</v>
      </c>
      <c r="Z116" s="41">
        <f>INDEX('[1]End - Use Prices'!$C$6:$AL$89,MATCH($C116,'[1]End - Use Prices'!$A$6:$A$89,0)+MATCH($D116,'[1]End - Use Prices'!$B$9:$B$11,0)-1,MATCH(Z$1,'[1]End - Use Prices'!$C$7:$AL$7,0))</f>
        <v>22.79</v>
      </c>
      <c r="AA116" s="41">
        <f>INDEX('[1]End - Use Prices'!$C$6:$AL$89,MATCH($C116,'[1]End - Use Prices'!$A$6:$A$89,0)+MATCH($D116,'[1]End - Use Prices'!$B$9:$B$11,0)-1,MATCH(AA$1,'[1]End - Use Prices'!$C$7:$AL$7,0))</f>
        <v>22.61</v>
      </c>
      <c r="AB116" s="41">
        <f>INDEX('[1]End - Use Prices'!$C$6:$AL$89,MATCH($C116,'[1]End - Use Prices'!$A$6:$A$89,0)+MATCH($D116,'[1]End - Use Prices'!$B$9:$B$11,0)-1,MATCH(AB$1,'[1]End - Use Prices'!$C$7:$AL$7,0))</f>
        <v>23.66</v>
      </c>
      <c r="AC116" s="41">
        <f>INDEX('[1]End - Use Prices'!$C$6:$AL$89,MATCH($C116,'[1]End - Use Prices'!$A$6:$A$89,0)+MATCH($D116,'[1]End - Use Prices'!$B$9:$B$11,0)-1,MATCH(AC$1,'[1]End - Use Prices'!$C$7:$AL$7,0))</f>
        <v>25.9</v>
      </c>
      <c r="AD116" s="41">
        <f>INDEX('[1]End - Use Prices'!$C$6:$AL$89,MATCH($C116,'[1]End - Use Prices'!$A$6:$A$89,0)+MATCH($D116,'[1]End - Use Prices'!$B$9:$B$11,0)-1,MATCH(AD$1,'[1]End - Use Prices'!$C$7:$AL$7,0))</f>
        <v>25.46</v>
      </c>
      <c r="AE116" s="41">
        <f>INDEX('[1]End - Use Prices'!$C$6:$AL$89,MATCH($C116,'[1]End - Use Prices'!$A$6:$A$89,0)+MATCH($D116,'[1]End - Use Prices'!$B$9:$B$11,0)-1,MATCH(AE$1,'[1]End - Use Prices'!$C$7:$AL$7,0))</f>
        <v>28.65</v>
      </c>
      <c r="AF116" s="41">
        <f>INDEX('[1]End - Use Prices'!$C$6:$AL$89,MATCH($C116,'[1]End - Use Prices'!$A$6:$A$89,0)+MATCH($D116,'[1]End - Use Prices'!$B$9:$B$11,0)-1,MATCH(AF$1,'[1]End - Use Prices'!$C$7:$AL$7,0))</f>
        <v>27.24</v>
      </c>
      <c r="AG116" s="41">
        <f>INDEX('[1]End - Use Prices'!$C$6:$AL$89,MATCH($C116,'[1]End - Use Prices'!$A$6:$A$89,0)+MATCH($D116,'[1]End - Use Prices'!$B$9:$B$11,0)-1,MATCH(AG$1,'[1]End - Use Prices'!$C$7:$AL$7,0))</f>
        <v>28.61</v>
      </c>
      <c r="AH116" s="41">
        <f>INDEX('[1]End - Use Prices'!$C$6:$AL$89,MATCH($C116,'[1]End - Use Prices'!$A$6:$A$89,0)+MATCH($D116,'[1]End - Use Prices'!$B$9:$B$11,0)-1,MATCH(AH$1,'[1]End - Use Prices'!$C$7:$AL$7,0))</f>
        <v>30.53</v>
      </c>
      <c r="AI116" s="41">
        <f>INDEX('[1]End - Use Prices'!$C$6:$AL$89,MATCH($C116,'[1]End - Use Prices'!$A$6:$A$89,0)+MATCH($D116,'[1]End - Use Prices'!$B$9:$B$11,0)-1,MATCH(AI$1,'[1]End - Use Prices'!$C$7:$AL$7,0))</f>
        <v>31.55</v>
      </c>
      <c r="AJ116" s="41">
        <f>INDEX('[1]End - Use Prices'!$C$6:$AL$89,MATCH($C116,'[1]End - Use Prices'!$A$6:$A$89,0)+MATCH($D116,'[1]End - Use Prices'!$B$9:$B$11,0)-1,MATCH(AJ$1,'[1]End - Use Prices'!$C$7:$AL$7,0))</f>
        <v>31.68</v>
      </c>
      <c r="AK116" s="41">
        <f>INDEX('[1]End - Use Prices'!$C$6:$AL$89,MATCH($C116,'[1]End - Use Prices'!$A$6:$A$89,0)+MATCH($D116,'[1]End - Use Prices'!$B$9:$B$11,0)-1,MATCH(AK$1,'[1]End - Use Prices'!$C$7:$AL$7,0))</f>
        <v>31.78</v>
      </c>
      <c r="AL116" s="41">
        <f>INDEX('[1]End - Use Prices'!$C$6:$AL$89,MATCH($C116,'[1]End - Use Prices'!$A$6:$A$89,0)+MATCH($D116,'[1]End - Use Prices'!$B$9:$B$11,0)-1,MATCH(AL$1,'[1]End - Use Prices'!$C$7:$AL$7,0))</f>
        <v>31.88</v>
      </c>
      <c r="AM116" s="41">
        <f>INDEX('[1]End - Use Prices'!$C$6:$AL$89,MATCH($C116,'[1]End - Use Prices'!$A$6:$A$89,0)+MATCH($D116,'[1]End - Use Prices'!$B$9:$B$11,0)-1,MATCH(AM$1,'[1]End - Use Prices'!$C$7:$AL$7,0))</f>
        <v>31.99</v>
      </c>
      <c r="AN116" s="41">
        <f>INDEX('[1]End - Use Prices'!$C$6:$AL$89,MATCH($C116,'[1]End - Use Prices'!$A$6:$A$89,0)+MATCH($D116,'[1]End - Use Prices'!$B$9:$B$11,0)-1,MATCH(AN$1,'[1]End - Use Prices'!$C$7:$AL$7,0))</f>
        <v>32.1</v>
      </c>
      <c r="AO116" s="41">
        <f>INDEX('[1]End - Use Prices'!$C$6:$AL$89,MATCH($C116,'[1]End - Use Prices'!$A$6:$A$89,0)+MATCH($D116,'[1]End - Use Prices'!$B$9:$B$11,0)-1,MATCH(AO$1,'[1]End - Use Prices'!$C$7:$AL$7,0))</f>
        <v>32.229999999999997</v>
      </c>
      <c r="AP116" s="41">
        <f>INDEX('[1]End - Use Prices'!$C$6:$AL$89,MATCH($C116,'[1]End - Use Prices'!$A$6:$A$89,0)+MATCH($D116,'[1]End - Use Prices'!$B$9:$B$11,0)-1,MATCH(AP$1,'[1]End - Use Prices'!$C$7:$AL$7,0))</f>
        <v>32.35</v>
      </c>
      <c r="AQ116" s="41">
        <f>INDEX('[1]End - Use Prices'!$C$6:$AL$89,MATCH($C116,'[1]End - Use Prices'!$A$6:$A$89,0)+MATCH($D116,'[1]End - Use Prices'!$B$9:$B$11,0)-1,MATCH(AQ$1,'[1]End - Use Prices'!$C$7:$AL$7,0))</f>
        <v>32.479999999999997</v>
      </c>
      <c r="AR116" s="41">
        <f>INDEX('[1]End - Use Prices'!$C$6:$AL$89,MATCH($C116,'[1]End - Use Prices'!$A$6:$A$89,0)+MATCH($D116,'[1]End - Use Prices'!$B$9:$B$11,0)-1,MATCH(AR$1,'[1]End - Use Prices'!$C$7:$AL$7,0))</f>
        <v>32.61</v>
      </c>
      <c r="AS116" s="41">
        <f>INDEX('[1]End - Use Prices'!$C$6:$AL$89,MATCH($C116,'[1]End - Use Prices'!$A$6:$A$89,0)+MATCH($D116,'[1]End - Use Prices'!$B$9:$B$11,0)-1,MATCH(AS$1,'[1]End - Use Prices'!$C$7:$AL$7,0))</f>
        <v>32.74</v>
      </c>
      <c r="AT116" s="41">
        <f>INDEX('[1]End - Use Prices'!$C$6:$AL$89,MATCH($C116,'[1]End - Use Prices'!$A$6:$A$89,0)+MATCH($D116,'[1]End - Use Prices'!$B$9:$B$11,0)-1,MATCH(AT$1,'[1]End - Use Prices'!$C$7:$AL$7,0))</f>
        <v>32.869999999999997</v>
      </c>
      <c r="AU116" s="41">
        <f>INDEX('[1]End - Use Prices'!$C$6:$AL$89,MATCH($C116,'[1]End - Use Prices'!$A$6:$A$89,0)+MATCH($D116,'[1]End - Use Prices'!$B$9:$B$11,0)-1,MATCH(AU$1,'[1]End - Use Prices'!$C$7:$AL$7,0))</f>
        <v>33</v>
      </c>
      <c r="AV116" s="41">
        <f>INDEX('[1]End - Use Prices'!$C$6:$AL$89,MATCH($C116,'[1]End - Use Prices'!$A$6:$A$89,0)+MATCH($D116,'[1]End - Use Prices'!$B$9:$B$11,0)-1,MATCH(AV$1,'[1]End - Use Prices'!$C$7:$AL$7,0))</f>
        <v>33.130000000000003</v>
      </c>
      <c r="AW116" s="41">
        <f>INDEX('[1]End - Use Prices'!$C$6:$AL$89,MATCH($C116,'[1]End - Use Prices'!$A$6:$A$89,0)+MATCH($D116,'[1]End - Use Prices'!$B$9:$B$11,0)-1,MATCH(AW$1,'[1]End - Use Prices'!$C$7:$AL$7,0))</f>
        <v>33.25</v>
      </c>
      <c r="AX116" s="41">
        <f>INDEX('[1]End - Use Prices'!$C$6:$AL$89,MATCH($C116,'[1]End - Use Prices'!$A$6:$A$89,0)+MATCH($D116,'[1]End - Use Prices'!$B$9:$B$11,0)-1,MATCH(AX$1,'[1]End - Use Prices'!$C$7:$AL$7,0))</f>
        <v>33.369999999999997</v>
      </c>
      <c r="AY116" s="41">
        <f>INDEX('[1]End - Use Prices'!$C$6:$AL$89,MATCH($C116,'[1]End - Use Prices'!$A$6:$A$89,0)+MATCH($D116,'[1]End - Use Prices'!$B$9:$B$11,0)-1,MATCH(AY$1,'[1]End - Use Prices'!$C$7:$AL$7,0))</f>
        <v>33.479999999999997</v>
      </c>
      <c r="AZ116" s="41">
        <f>INDEX('[1]End - Use Prices'!$C$6:$AL$89,MATCH($C116,'[1]End - Use Prices'!$A$6:$A$89,0)+MATCH($D116,'[1]End - Use Prices'!$B$9:$B$11,0)-1,MATCH(AZ$1,'[1]End - Use Prices'!$C$7:$AL$7,0))</f>
        <v>33.58</v>
      </c>
      <c r="BA116" s="41">
        <f>INDEX('[1]End - Use Prices'!$C$6:$AL$89,MATCH($C116,'[1]End - Use Prices'!$A$6:$A$89,0)+MATCH($D116,'[1]End - Use Prices'!$B$9:$B$11,0)-1,MATCH(BA$1,'[1]End - Use Prices'!$C$7:$AL$7,0))</f>
        <v>33.68</v>
      </c>
      <c r="BB116" s="41">
        <f>INDEX('[1]End - Use Prices'!$C$6:$AL$89,MATCH($C116,'[1]End - Use Prices'!$A$6:$A$89,0)+MATCH($D116,'[1]End - Use Prices'!$B$9:$B$11,0)-1,MATCH(BB$1,'[1]End - Use Prices'!$C$7:$AL$7,0))</f>
        <v>33.76</v>
      </c>
      <c r="BC116" s="41">
        <f>INDEX('[1]End - Use Prices'!$C$6:$AL$89,MATCH($C116,'[1]End - Use Prices'!$A$6:$A$89,0)+MATCH($D116,'[1]End - Use Prices'!$B$9:$B$11,0)-1,MATCH(BC$1,'[1]End - Use Prices'!$C$7:$AL$7,0))</f>
        <v>33.840000000000003</v>
      </c>
      <c r="BD116" s="41">
        <f>INDEX('[1]End - Use Prices'!$C$6:$AL$89,MATCH($C116,'[1]End - Use Prices'!$A$6:$A$89,0)+MATCH($D116,'[1]End - Use Prices'!$B$9:$B$11,0)-1,MATCH(BD$1,'[1]End - Use Prices'!$C$7:$AL$7,0))</f>
        <v>33.9</v>
      </c>
      <c r="BE116" s="41">
        <f>INDEX('[1]End - Use Prices'!$C$6:$AL$89,MATCH($C116,'[1]End - Use Prices'!$A$6:$A$89,0)+MATCH($D116,'[1]End - Use Prices'!$B$9:$B$11,0)-1,MATCH(BE$1,'[1]End - Use Prices'!$C$7:$AL$7,0))</f>
        <v>33.950000000000003</v>
      </c>
      <c r="BF116" s="41">
        <f>INDEX('[1]End - Use Prices'!$C$6:$AL$89,MATCH($C116,'[1]End - Use Prices'!$A$6:$A$89,0)+MATCH($D116,'[1]End - Use Prices'!$B$9:$B$11,0)-1,MATCH(BF$1,'[1]End - Use Prices'!$C$7:$AL$7,0))</f>
        <v>33.979999999999997</v>
      </c>
      <c r="BG116" s="41">
        <f>INDEX('[1]End - Use Prices'!$C$6:$AL$89,MATCH($C116,'[1]End - Use Prices'!$A$6:$A$89,0)+MATCH($D116,'[1]End - Use Prices'!$B$9:$B$11,0)-1,MATCH(BG$1,'[1]End - Use Prices'!$C$7:$AL$7,0))</f>
        <v>34</v>
      </c>
      <c r="BR116" s="39"/>
      <c r="BS116" s="39"/>
      <c r="BT116" s="39"/>
      <c r="BU116" s="39"/>
      <c r="BV116" s="39"/>
      <c r="BW116" s="39"/>
      <c r="BX116" s="39"/>
      <c r="BY116" s="39"/>
      <c r="BZ116" s="39"/>
      <c r="CA116" s="39"/>
    </row>
    <row r="117" spans="1:79" x14ac:dyDescent="0.25">
      <c r="A117" s="5"/>
      <c r="B117" s="3"/>
      <c r="C117" s="25" t="s">
        <v>93</v>
      </c>
      <c r="D117" s="25" t="s">
        <v>2</v>
      </c>
      <c r="E117" s="25" t="s">
        <v>282</v>
      </c>
      <c r="F117" s="67" t="s">
        <v>279</v>
      </c>
      <c r="G117" s="53">
        <f t="shared" si="18"/>
        <v>33.479999999999997</v>
      </c>
      <c r="H117" s="34">
        <f t="shared" si="19"/>
        <v>33.479999999999997</v>
      </c>
      <c r="I117" s="34">
        <f t="shared" si="19"/>
        <v>37.69</v>
      </c>
      <c r="J117" s="34">
        <f t="shared" si="19"/>
        <v>47.73</v>
      </c>
      <c r="K117" s="34">
        <f t="shared" si="19"/>
        <v>48.18</v>
      </c>
      <c r="L117" s="34">
        <f t="shared" si="19"/>
        <v>49.04</v>
      </c>
      <c r="M117" s="34">
        <f t="shared" si="19"/>
        <v>49.97</v>
      </c>
      <c r="N117" s="34">
        <f t="shared" si="19"/>
        <v>50.92</v>
      </c>
      <c r="O117" s="34">
        <f t="shared" si="19"/>
        <v>51.85</v>
      </c>
      <c r="P117" s="53">
        <f t="shared" si="20"/>
        <v>51.85</v>
      </c>
      <c r="Q117" s="53">
        <f t="shared" si="20"/>
        <v>51.85</v>
      </c>
      <c r="R117" s="38"/>
      <c r="X117" s="41">
        <f>INDEX('[1]End - Use Prices'!$C$6:$AL$89,MATCH($C117,'[1]End - Use Prices'!$A$6:$A$89,0)+MATCH($D117,'[1]End - Use Prices'!$B$9:$B$11,0)-1,MATCH(X$1,'[1]End - Use Prices'!$C$7:$AL$7,0))</f>
        <v>33.479999999999997</v>
      </c>
      <c r="Y117" s="41">
        <f>INDEX('[1]End - Use Prices'!$C$6:$AL$89,MATCH($C117,'[1]End - Use Prices'!$A$6:$A$89,0)+MATCH($D117,'[1]End - Use Prices'!$B$9:$B$11,0)-1,MATCH(Y$1,'[1]End - Use Prices'!$C$7:$AL$7,0))</f>
        <v>34.72</v>
      </c>
      <c r="Z117" s="41">
        <f>INDEX('[1]End - Use Prices'!$C$6:$AL$89,MATCH($C117,'[1]End - Use Prices'!$A$6:$A$89,0)+MATCH($D117,'[1]End - Use Prices'!$B$9:$B$11,0)-1,MATCH(Z$1,'[1]End - Use Prices'!$C$7:$AL$7,0))</f>
        <v>34.299999999999997</v>
      </c>
      <c r="AA117" s="41">
        <f>INDEX('[1]End - Use Prices'!$C$6:$AL$89,MATCH($C117,'[1]End - Use Prices'!$A$6:$A$89,0)+MATCH($D117,'[1]End - Use Prices'!$B$9:$B$11,0)-1,MATCH(AA$1,'[1]End - Use Prices'!$C$7:$AL$7,0))</f>
        <v>34</v>
      </c>
      <c r="AB117" s="41">
        <f>INDEX('[1]End - Use Prices'!$C$6:$AL$89,MATCH($C117,'[1]End - Use Prices'!$A$6:$A$89,0)+MATCH($D117,'[1]End - Use Prices'!$B$9:$B$11,0)-1,MATCH(AB$1,'[1]End - Use Prices'!$C$7:$AL$7,0))</f>
        <v>35.590000000000003</v>
      </c>
      <c r="AC117" s="41">
        <f>INDEX('[1]End - Use Prices'!$C$6:$AL$89,MATCH($C117,'[1]End - Use Prices'!$A$6:$A$89,0)+MATCH($D117,'[1]End - Use Prices'!$B$9:$B$11,0)-1,MATCH(AC$1,'[1]End - Use Prices'!$C$7:$AL$7,0))</f>
        <v>37.69</v>
      </c>
      <c r="AD117" s="41">
        <f>INDEX('[1]End - Use Prices'!$C$6:$AL$89,MATCH($C117,'[1]End - Use Prices'!$A$6:$A$89,0)+MATCH($D117,'[1]End - Use Prices'!$B$9:$B$11,0)-1,MATCH(AD$1,'[1]End - Use Prices'!$C$7:$AL$7,0))</f>
        <v>35.89</v>
      </c>
      <c r="AE117" s="41">
        <f>INDEX('[1]End - Use Prices'!$C$6:$AL$89,MATCH($C117,'[1]End - Use Prices'!$A$6:$A$89,0)+MATCH($D117,'[1]End - Use Prices'!$B$9:$B$11,0)-1,MATCH(AE$1,'[1]End - Use Prices'!$C$7:$AL$7,0))</f>
        <v>40.39</v>
      </c>
      <c r="AF117" s="41">
        <f>INDEX('[1]End - Use Prices'!$C$6:$AL$89,MATCH($C117,'[1]End - Use Prices'!$A$6:$A$89,0)+MATCH($D117,'[1]End - Use Prices'!$B$9:$B$11,0)-1,MATCH(AF$1,'[1]End - Use Prices'!$C$7:$AL$7,0))</f>
        <v>40.28</v>
      </c>
      <c r="AG117" s="41">
        <f>INDEX('[1]End - Use Prices'!$C$6:$AL$89,MATCH($C117,'[1]End - Use Prices'!$A$6:$A$89,0)+MATCH($D117,'[1]End - Use Prices'!$B$9:$B$11,0)-1,MATCH(AG$1,'[1]End - Use Prices'!$C$7:$AL$7,0))</f>
        <v>47.35</v>
      </c>
      <c r="AH117" s="41">
        <f>INDEX('[1]End - Use Prices'!$C$6:$AL$89,MATCH($C117,'[1]End - Use Prices'!$A$6:$A$89,0)+MATCH($D117,'[1]End - Use Prices'!$B$9:$B$11,0)-1,MATCH(AH$1,'[1]End - Use Prices'!$C$7:$AL$7,0))</f>
        <v>47.73</v>
      </c>
      <c r="AI117" s="41">
        <f>INDEX('[1]End - Use Prices'!$C$6:$AL$89,MATCH($C117,'[1]End - Use Prices'!$A$6:$A$89,0)+MATCH($D117,'[1]End - Use Prices'!$B$9:$B$11,0)-1,MATCH(AI$1,'[1]End - Use Prices'!$C$7:$AL$7,0))</f>
        <v>47.43</v>
      </c>
      <c r="AJ117" s="41">
        <f>INDEX('[1]End - Use Prices'!$C$6:$AL$89,MATCH($C117,'[1]End - Use Prices'!$A$6:$A$89,0)+MATCH($D117,'[1]End - Use Prices'!$B$9:$B$11,0)-1,MATCH(AJ$1,'[1]End - Use Prices'!$C$7:$AL$7,0))</f>
        <v>47.71</v>
      </c>
      <c r="AK117" s="41">
        <f>INDEX('[1]End - Use Prices'!$C$6:$AL$89,MATCH($C117,'[1]End - Use Prices'!$A$6:$A$89,0)+MATCH($D117,'[1]End - Use Prices'!$B$9:$B$11,0)-1,MATCH(AK$1,'[1]End - Use Prices'!$C$7:$AL$7,0))</f>
        <v>47.86</v>
      </c>
      <c r="AL117" s="41">
        <f>INDEX('[1]End - Use Prices'!$C$6:$AL$89,MATCH($C117,'[1]End - Use Prices'!$A$6:$A$89,0)+MATCH($D117,'[1]End - Use Prices'!$B$9:$B$11,0)-1,MATCH(AL$1,'[1]End - Use Prices'!$C$7:$AL$7,0))</f>
        <v>48.02</v>
      </c>
      <c r="AM117" s="41">
        <f>INDEX('[1]End - Use Prices'!$C$6:$AL$89,MATCH($C117,'[1]End - Use Prices'!$A$6:$A$89,0)+MATCH($D117,'[1]End - Use Prices'!$B$9:$B$11,0)-1,MATCH(AM$1,'[1]End - Use Prices'!$C$7:$AL$7,0))</f>
        <v>48.18</v>
      </c>
      <c r="AN117" s="41">
        <f>INDEX('[1]End - Use Prices'!$C$6:$AL$89,MATCH($C117,'[1]End - Use Prices'!$A$6:$A$89,0)+MATCH($D117,'[1]End - Use Prices'!$B$9:$B$11,0)-1,MATCH(AN$1,'[1]End - Use Prices'!$C$7:$AL$7,0))</f>
        <v>48.35</v>
      </c>
      <c r="AO117" s="41">
        <f>INDEX('[1]End - Use Prices'!$C$6:$AL$89,MATCH($C117,'[1]End - Use Prices'!$A$6:$A$89,0)+MATCH($D117,'[1]End - Use Prices'!$B$9:$B$11,0)-1,MATCH(AO$1,'[1]End - Use Prices'!$C$7:$AL$7,0))</f>
        <v>48.52</v>
      </c>
      <c r="AP117" s="41">
        <f>INDEX('[1]End - Use Prices'!$C$6:$AL$89,MATCH($C117,'[1]End - Use Prices'!$A$6:$A$89,0)+MATCH($D117,'[1]End - Use Prices'!$B$9:$B$11,0)-1,MATCH(AP$1,'[1]End - Use Prices'!$C$7:$AL$7,0))</f>
        <v>48.69</v>
      </c>
      <c r="AQ117" s="41">
        <f>INDEX('[1]End - Use Prices'!$C$6:$AL$89,MATCH($C117,'[1]End - Use Prices'!$A$6:$A$89,0)+MATCH($D117,'[1]End - Use Prices'!$B$9:$B$11,0)-1,MATCH(AQ$1,'[1]End - Use Prices'!$C$7:$AL$7,0))</f>
        <v>48.86</v>
      </c>
      <c r="AR117" s="41">
        <f>INDEX('[1]End - Use Prices'!$C$6:$AL$89,MATCH($C117,'[1]End - Use Prices'!$A$6:$A$89,0)+MATCH($D117,'[1]End - Use Prices'!$B$9:$B$11,0)-1,MATCH(AR$1,'[1]End - Use Prices'!$C$7:$AL$7,0))</f>
        <v>49.04</v>
      </c>
      <c r="AS117" s="41">
        <f>INDEX('[1]End - Use Prices'!$C$6:$AL$89,MATCH($C117,'[1]End - Use Prices'!$A$6:$A$89,0)+MATCH($D117,'[1]End - Use Prices'!$B$9:$B$11,0)-1,MATCH(AS$1,'[1]End - Use Prices'!$C$7:$AL$7,0))</f>
        <v>49.22</v>
      </c>
      <c r="AT117" s="41">
        <f>INDEX('[1]End - Use Prices'!$C$6:$AL$89,MATCH($C117,'[1]End - Use Prices'!$A$6:$A$89,0)+MATCH($D117,'[1]End - Use Prices'!$B$9:$B$11,0)-1,MATCH(AT$1,'[1]End - Use Prices'!$C$7:$AL$7,0))</f>
        <v>49.41</v>
      </c>
      <c r="AU117" s="41">
        <f>INDEX('[1]End - Use Prices'!$C$6:$AL$89,MATCH($C117,'[1]End - Use Prices'!$A$6:$A$89,0)+MATCH($D117,'[1]End - Use Prices'!$B$9:$B$11,0)-1,MATCH(AU$1,'[1]End - Use Prices'!$C$7:$AL$7,0))</f>
        <v>49.59</v>
      </c>
      <c r="AV117" s="41">
        <f>INDEX('[1]End - Use Prices'!$C$6:$AL$89,MATCH($C117,'[1]End - Use Prices'!$A$6:$A$89,0)+MATCH($D117,'[1]End - Use Prices'!$B$9:$B$11,0)-1,MATCH(AV$1,'[1]End - Use Prices'!$C$7:$AL$7,0))</f>
        <v>49.78</v>
      </c>
      <c r="AW117" s="41">
        <f>INDEX('[1]End - Use Prices'!$C$6:$AL$89,MATCH($C117,'[1]End - Use Prices'!$A$6:$A$89,0)+MATCH($D117,'[1]End - Use Prices'!$B$9:$B$11,0)-1,MATCH(AW$1,'[1]End - Use Prices'!$C$7:$AL$7,0))</f>
        <v>49.97</v>
      </c>
      <c r="AX117" s="41">
        <f>INDEX('[1]End - Use Prices'!$C$6:$AL$89,MATCH($C117,'[1]End - Use Prices'!$A$6:$A$89,0)+MATCH($D117,'[1]End - Use Prices'!$B$9:$B$11,0)-1,MATCH(AX$1,'[1]End - Use Prices'!$C$7:$AL$7,0))</f>
        <v>50.16</v>
      </c>
      <c r="AY117" s="41">
        <f>INDEX('[1]End - Use Prices'!$C$6:$AL$89,MATCH($C117,'[1]End - Use Prices'!$A$6:$A$89,0)+MATCH($D117,'[1]End - Use Prices'!$B$9:$B$11,0)-1,MATCH(AY$1,'[1]End - Use Prices'!$C$7:$AL$7,0))</f>
        <v>50.35</v>
      </c>
      <c r="AZ117" s="41">
        <f>INDEX('[1]End - Use Prices'!$C$6:$AL$89,MATCH($C117,'[1]End - Use Prices'!$A$6:$A$89,0)+MATCH($D117,'[1]End - Use Prices'!$B$9:$B$11,0)-1,MATCH(AZ$1,'[1]End - Use Prices'!$C$7:$AL$7,0))</f>
        <v>50.54</v>
      </c>
      <c r="BA117" s="41">
        <f>INDEX('[1]End - Use Prices'!$C$6:$AL$89,MATCH($C117,'[1]End - Use Prices'!$A$6:$A$89,0)+MATCH($D117,'[1]End - Use Prices'!$B$9:$B$11,0)-1,MATCH(BA$1,'[1]End - Use Prices'!$C$7:$AL$7,0))</f>
        <v>50.73</v>
      </c>
      <c r="BB117" s="41">
        <f>INDEX('[1]End - Use Prices'!$C$6:$AL$89,MATCH($C117,'[1]End - Use Prices'!$A$6:$A$89,0)+MATCH($D117,'[1]End - Use Prices'!$B$9:$B$11,0)-1,MATCH(BB$1,'[1]End - Use Prices'!$C$7:$AL$7,0))</f>
        <v>50.92</v>
      </c>
      <c r="BC117" s="41">
        <f>INDEX('[1]End - Use Prices'!$C$6:$AL$89,MATCH($C117,'[1]End - Use Prices'!$A$6:$A$89,0)+MATCH($D117,'[1]End - Use Prices'!$B$9:$B$11,0)-1,MATCH(BC$1,'[1]End - Use Prices'!$C$7:$AL$7,0))</f>
        <v>51.11</v>
      </c>
      <c r="BD117" s="41">
        <f>INDEX('[1]End - Use Prices'!$C$6:$AL$89,MATCH($C117,'[1]End - Use Prices'!$A$6:$A$89,0)+MATCH($D117,'[1]End - Use Prices'!$B$9:$B$11,0)-1,MATCH(BD$1,'[1]End - Use Prices'!$C$7:$AL$7,0))</f>
        <v>51.3</v>
      </c>
      <c r="BE117" s="41">
        <f>INDEX('[1]End - Use Prices'!$C$6:$AL$89,MATCH($C117,'[1]End - Use Prices'!$A$6:$A$89,0)+MATCH($D117,'[1]End - Use Prices'!$B$9:$B$11,0)-1,MATCH(BE$1,'[1]End - Use Prices'!$C$7:$AL$7,0))</f>
        <v>51.48</v>
      </c>
      <c r="BF117" s="41">
        <f>INDEX('[1]End - Use Prices'!$C$6:$AL$89,MATCH($C117,'[1]End - Use Prices'!$A$6:$A$89,0)+MATCH($D117,'[1]End - Use Prices'!$B$9:$B$11,0)-1,MATCH(BF$1,'[1]End - Use Prices'!$C$7:$AL$7,0))</f>
        <v>51.67</v>
      </c>
      <c r="BG117" s="41">
        <f>INDEX('[1]End - Use Prices'!$C$6:$AL$89,MATCH($C117,'[1]End - Use Prices'!$A$6:$A$89,0)+MATCH($D117,'[1]End - Use Prices'!$B$9:$B$11,0)-1,MATCH(BG$1,'[1]End - Use Prices'!$C$7:$AL$7,0))</f>
        <v>51.85</v>
      </c>
      <c r="BR117" s="39"/>
      <c r="BS117" s="39"/>
      <c r="BT117" s="39"/>
      <c r="BU117" s="39"/>
      <c r="BV117" s="39"/>
      <c r="BW117" s="39"/>
      <c r="BX117" s="39"/>
      <c r="BY117" s="39"/>
      <c r="BZ117" s="39"/>
      <c r="CA117" s="39"/>
    </row>
    <row r="118" spans="1:79" x14ac:dyDescent="0.25">
      <c r="A118" s="5"/>
      <c r="B118" s="3"/>
      <c r="C118" s="25" t="s">
        <v>95</v>
      </c>
      <c r="D118" s="25" t="s">
        <v>2</v>
      </c>
      <c r="E118" s="25" t="s">
        <v>282</v>
      </c>
      <c r="F118" s="67" t="s">
        <v>279</v>
      </c>
      <c r="G118" s="53">
        <f t="shared" si="18"/>
        <v>80.930000000000007</v>
      </c>
      <c r="H118" s="34">
        <f t="shared" si="19"/>
        <v>80.930000000000007</v>
      </c>
      <c r="I118" s="34">
        <f t="shared" si="19"/>
        <v>89.34</v>
      </c>
      <c r="J118" s="34">
        <f t="shared" si="19"/>
        <v>95.28</v>
      </c>
      <c r="K118" s="34">
        <f t="shared" si="19"/>
        <v>96.87</v>
      </c>
      <c r="L118" s="34">
        <f t="shared" si="19"/>
        <v>98.86</v>
      </c>
      <c r="M118" s="34">
        <f t="shared" si="19"/>
        <v>100.71</v>
      </c>
      <c r="N118" s="34">
        <f t="shared" si="19"/>
        <v>102.6</v>
      </c>
      <c r="O118" s="34">
        <f t="shared" si="19"/>
        <v>104.69</v>
      </c>
      <c r="P118" s="53">
        <f t="shared" si="20"/>
        <v>104.69</v>
      </c>
      <c r="Q118" s="53">
        <f t="shared" si="20"/>
        <v>104.69</v>
      </c>
      <c r="R118" s="38"/>
      <c r="X118" s="41">
        <f>INDEX('[1]End - Use Prices'!$C$6:$AL$89,MATCH($C118,'[1]End - Use Prices'!$A$6:$A$89,0)+MATCH($D118,'[1]End - Use Prices'!$B$9:$B$11,0)-1,MATCH(X$1,'[1]End - Use Prices'!$C$7:$AL$7,0))</f>
        <v>80.930000000000007</v>
      </c>
      <c r="Y118" s="41">
        <f>INDEX('[1]End - Use Prices'!$C$6:$AL$89,MATCH($C118,'[1]End - Use Prices'!$A$6:$A$89,0)+MATCH($D118,'[1]End - Use Prices'!$B$9:$B$11,0)-1,MATCH(Y$1,'[1]End - Use Prices'!$C$7:$AL$7,0))</f>
        <v>83.41</v>
      </c>
      <c r="Z118" s="41">
        <f>INDEX('[1]End - Use Prices'!$C$6:$AL$89,MATCH($C118,'[1]End - Use Prices'!$A$6:$A$89,0)+MATCH($D118,'[1]End - Use Prices'!$B$9:$B$11,0)-1,MATCH(Z$1,'[1]End - Use Prices'!$C$7:$AL$7,0))</f>
        <v>82.56</v>
      </c>
      <c r="AA118" s="41">
        <f>INDEX('[1]End - Use Prices'!$C$6:$AL$89,MATCH($C118,'[1]End - Use Prices'!$A$6:$A$89,0)+MATCH($D118,'[1]End - Use Prices'!$B$9:$B$11,0)-1,MATCH(AA$1,'[1]End - Use Prices'!$C$7:$AL$7,0))</f>
        <v>81.98</v>
      </c>
      <c r="AB118" s="41">
        <f>INDEX('[1]End - Use Prices'!$C$6:$AL$89,MATCH($C118,'[1]End - Use Prices'!$A$6:$A$89,0)+MATCH($D118,'[1]End - Use Prices'!$B$9:$B$11,0)-1,MATCH(AB$1,'[1]End - Use Prices'!$C$7:$AL$7,0))</f>
        <v>85.14</v>
      </c>
      <c r="AC118" s="41">
        <f>INDEX('[1]End - Use Prices'!$C$6:$AL$89,MATCH($C118,'[1]End - Use Prices'!$A$6:$A$89,0)+MATCH($D118,'[1]End - Use Prices'!$B$9:$B$11,0)-1,MATCH(AC$1,'[1]End - Use Prices'!$C$7:$AL$7,0))</f>
        <v>89.34</v>
      </c>
      <c r="AD118" s="41">
        <f>INDEX('[1]End - Use Prices'!$C$6:$AL$89,MATCH($C118,'[1]End - Use Prices'!$A$6:$A$89,0)+MATCH($D118,'[1]End - Use Prices'!$B$9:$B$11,0)-1,MATCH(AD$1,'[1]End - Use Prices'!$C$7:$AL$7,0))</f>
        <v>85.75</v>
      </c>
      <c r="AE118" s="41">
        <f>INDEX('[1]End - Use Prices'!$C$6:$AL$89,MATCH($C118,'[1]End - Use Prices'!$A$6:$A$89,0)+MATCH($D118,'[1]End - Use Prices'!$B$9:$B$11,0)-1,MATCH(AE$1,'[1]End - Use Prices'!$C$7:$AL$7,0))</f>
        <v>94.73</v>
      </c>
      <c r="AF118" s="41">
        <f>INDEX('[1]End - Use Prices'!$C$6:$AL$89,MATCH($C118,'[1]End - Use Prices'!$A$6:$A$89,0)+MATCH($D118,'[1]End - Use Prices'!$B$9:$B$11,0)-1,MATCH(AF$1,'[1]End - Use Prices'!$C$7:$AL$7,0))</f>
        <v>94.52</v>
      </c>
      <c r="AG118" s="41">
        <f>INDEX('[1]End - Use Prices'!$C$6:$AL$89,MATCH($C118,'[1]End - Use Prices'!$A$6:$A$89,0)+MATCH($D118,'[1]End - Use Prices'!$B$9:$B$11,0)-1,MATCH(AG$1,'[1]End - Use Prices'!$C$7:$AL$7,0))</f>
        <v>94.52</v>
      </c>
      <c r="AH118" s="41">
        <f>INDEX('[1]End - Use Prices'!$C$6:$AL$89,MATCH($C118,'[1]End - Use Prices'!$A$6:$A$89,0)+MATCH($D118,'[1]End - Use Prices'!$B$9:$B$11,0)-1,MATCH(AH$1,'[1]End - Use Prices'!$C$7:$AL$7,0))</f>
        <v>95.28</v>
      </c>
      <c r="AI118" s="41">
        <f>INDEX('[1]End - Use Prices'!$C$6:$AL$89,MATCH($C118,'[1]End - Use Prices'!$A$6:$A$89,0)+MATCH($D118,'[1]End - Use Prices'!$B$9:$B$11,0)-1,MATCH(AI$1,'[1]End - Use Prices'!$C$7:$AL$7,0))</f>
        <v>94.69</v>
      </c>
      <c r="AJ118" s="41">
        <f>INDEX('[1]End - Use Prices'!$C$6:$AL$89,MATCH($C118,'[1]End - Use Prices'!$A$6:$A$89,0)+MATCH($D118,'[1]End - Use Prices'!$B$9:$B$11,0)-1,MATCH(AJ$1,'[1]End - Use Prices'!$C$7:$AL$7,0))</f>
        <v>95.56</v>
      </c>
      <c r="AK118" s="41">
        <f>INDEX('[1]End - Use Prices'!$C$6:$AL$89,MATCH($C118,'[1]End - Use Prices'!$A$6:$A$89,0)+MATCH($D118,'[1]End - Use Prices'!$B$9:$B$11,0)-1,MATCH(AK$1,'[1]End - Use Prices'!$C$7:$AL$7,0))</f>
        <v>96.01</v>
      </c>
      <c r="AL118" s="41">
        <f>INDEX('[1]End - Use Prices'!$C$6:$AL$89,MATCH($C118,'[1]End - Use Prices'!$A$6:$A$89,0)+MATCH($D118,'[1]End - Use Prices'!$B$9:$B$11,0)-1,MATCH(AL$1,'[1]End - Use Prices'!$C$7:$AL$7,0))</f>
        <v>96.45</v>
      </c>
      <c r="AM118" s="41">
        <f>INDEX('[1]End - Use Prices'!$C$6:$AL$89,MATCH($C118,'[1]End - Use Prices'!$A$6:$A$89,0)+MATCH($D118,'[1]End - Use Prices'!$B$9:$B$11,0)-1,MATCH(AM$1,'[1]End - Use Prices'!$C$7:$AL$7,0))</f>
        <v>96.87</v>
      </c>
      <c r="AN118" s="41">
        <f>INDEX('[1]End - Use Prices'!$C$6:$AL$89,MATCH($C118,'[1]End - Use Prices'!$A$6:$A$89,0)+MATCH($D118,'[1]End - Use Prices'!$B$9:$B$11,0)-1,MATCH(AN$1,'[1]End - Use Prices'!$C$7:$AL$7,0))</f>
        <v>97.29</v>
      </c>
      <c r="AO118" s="41">
        <f>INDEX('[1]End - Use Prices'!$C$6:$AL$89,MATCH($C118,'[1]End - Use Prices'!$A$6:$A$89,0)+MATCH($D118,'[1]End - Use Prices'!$B$9:$B$11,0)-1,MATCH(AO$1,'[1]End - Use Prices'!$C$7:$AL$7,0))</f>
        <v>97.69</v>
      </c>
      <c r="AP118" s="41">
        <f>INDEX('[1]End - Use Prices'!$C$6:$AL$89,MATCH($C118,'[1]End - Use Prices'!$A$6:$A$89,0)+MATCH($D118,'[1]End - Use Prices'!$B$9:$B$11,0)-1,MATCH(AP$1,'[1]End - Use Prices'!$C$7:$AL$7,0))</f>
        <v>98.09</v>
      </c>
      <c r="AQ118" s="41">
        <f>INDEX('[1]End - Use Prices'!$C$6:$AL$89,MATCH($C118,'[1]End - Use Prices'!$A$6:$A$89,0)+MATCH($D118,'[1]End - Use Prices'!$B$9:$B$11,0)-1,MATCH(AQ$1,'[1]End - Use Prices'!$C$7:$AL$7,0))</f>
        <v>98.48</v>
      </c>
      <c r="AR118" s="41">
        <f>INDEX('[1]End - Use Prices'!$C$6:$AL$89,MATCH($C118,'[1]End - Use Prices'!$A$6:$A$89,0)+MATCH($D118,'[1]End - Use Prices'!$B$9:$B$11,0)-1,MATCH(AR$1,'[1]End - Use Prices'!$C$7:$AL$7,0))</f>
        <v>98.86</v>
      </c>
      <c r="AS118" s="41">
        <f>INDEX('[1]End - Use Prices'!$C$6:$AL$89,MATCH($C118,'[1]End - Use Prices'!$A$6:$A$89,0)+MATCH($D118,'[1]End - Use Prices'!$B$9:$B$11,0)-1,MATCH(AS$1,'[1]End - Use Prices'!$C$7:$AL$7,0))</f>
        <v>99.23</v>
      </c>
      <c r="AT118" s="41">
        <f>INDEX('[1]End - Use Prices'!$C$6:$AL$89,MATCH($C118,'[1]End - Use Prices'!$A$6:$A$89,0)+MATCH($D118,'[1]End - Use Prices'!$B$9:$B$11,0)-1,MATCH(AT$1,'[1]End - Use Prices'!$C$7:$AL$7,0))</f>
        <v>99.6</v>
      </c>
      <c r="AU118" s="41">
        <f>INDEX('[1]End - Use Prices'!$C$6:$AL$89,MATCH($C118,'[1]End - Use Prices'!$A$6:$A$89,0)+MATCH($D118,'[1]End - Use Prices'!$B$9:$B$11,0)-1,MATCH(AU$1,'[1]End - Use Prices'!$C$7:$AL$7,0))</f>
        <v>99.97</v>
      </c>
      <c r="AV118" s="41">
        <f>INDEX('[1]End - Use Prices'!$C$6:$AL$89,MATCH($C118,'[1]End - Use Prices'!$A$6:$A$89,0)+MATCH($D118,'[1]End - Use Prices'!$B$9:$B$11,0)-1,MATCH(AV$1,'[1]End - Use Prices'!$C$7:$AL$7,0))</f>
        <v>100.34</v>
      </c>
      <c r="AW118" s="41">
        <f>INDEX('[1]End - Use Prices'!$C$6:$AL$89,MATCH($C118,'[1]End - Use Prices'!$A$6:$A$89,0)+MATCH($D118,'[1]End - Use Prices'!$B$9:$B$11,0)-1,MATCH(AW$1,'[1]End - Use Prices'!$C$7:$AL$7,0))</f>
        <v>100.71</v>
      </c>
      <c r="AX118" s="41">
        <f>INDEX('[1]End - Use Prices'!$C$6:$AL$89,MATCH($C118,'[1]End - Use Prices'!$A$6:$A$89,0)+MATCH($D118,'[1]End - Use Prices'!$B$9:$B$11,0)-1,MATCH(AX$1,'[1]End - Use Prices'!$C$7:$AL$7,0))</f>
        <v>101.08</v>
      </c>
      <c r="AY118" s="41">
        <f>INDEX('[1]End - Use Prices'!$C$6:$AL$89,MATCH($C118,'[1]End - Use Prices'!$A$6:$A$89,0)+MATCH($D118,'[1]End - Use Prices'!$B$9:$B$11,0)-1,MATCH(AY$1,'[1]End - Use Prices'!$C$7:$AL$7,0))</f>
        <v>101.45</v>
      </c>
      <c r="AZ118" s="41">
        <f>INDEX('[1]End - Use Prices'!$C$6:$AL$89,MATCH($C118,'[1]End - Use Prices'!$A$6:$A$89,0)+MATCH($D118,'[1]End - Use Prices'!$B$9:$B$11,0)-1,MATCH(AZ$1,'[1]End - Use Prices'!$C$7:$AL$7,0))</f>
        <v>101.83</v>
      </c>
      <c r="BA118" s="41">
        <f>INDEX('[1]End - Use Prices'!$C$6:$AL$89,MATCH($C118,'[1]End - Use Prices'!$A$6:$A$89,0)+MATCH($D118,'[1]End - Use Prices'!$B$9:$B$11,0)-1,MATCH(BA$1,'[1]End - Use Prices'!$C$7:$AL$7,0))</f>
        <v>102.21</v>
      </c>
      <c r="BB118" s="41">
        <f>INDEX('[1]End - Use Prices'!$C$6:$AL$89,MATCH($C118,'[1]End - Use Prices'!$A$6:$A$89,0)+MATCH($D118,'[1]End - Use Prices'!$B$9:$B$11,0)-1,MATCH(BB$1,'[1]End - Use Prices'!$C$7:$AL$7,0))</f>
        <v>102.6</v>
      </c>
      <c r="BC118" s="41">
        <f>INDEX('[1]End - Use Prices'!$C$6:$AL$89,MATCH($C118,'[1]End - Use Prices'!$A$6:$A$89,0)+MATCH($D118,'[1]End - Use Prices'!$B$9:$B$11,0)-1,MATCH(BC$1,'[1]End - Use Prices'!$C$7:$AL$7,0))</f>
        <v>103</v>
      </c>
      <c r="BD118" s="41">
        <f>INDEX('[1]End - Use Prices'!$C$6:$AL$89,MATCH($C118,'[1]End - Use Prices'!$A$6:$A$89,0)+MATCH($D118,'[1]End - Use Prices'!$B$9:$B$11,0)-1,MATCH(BD$1,'[1]End - Use Prices'!$C$7:$AL$7,0))</f>
        <v>103.4</v>
      </c>
      <c r="BE118" s="41">
        <f>INDEX('[1]End - Use Prices'!$C$6:$AL$89,MATCH($C118,'[1]End - Use Prices'!$A$6:$A$89,0)+MATCH($D118,'[1]End - Use Prices'!$B$9:$B$11,0)-1,MATCH(BE$1,'[1]End - Use Prices'!$C$7:$AL$7,0))</f>
        <v>103.82</v>
      </c>
      <c r="BF118" s="41">
        <f>INDEX('[1]End - Use Prices'!$C$6:$AL$89,MATCH($C118,'[1]End - Use Prices'!$A$6:$A$89,0)+MATCH($D118,'[1]End - Use Prices'!$B$9:$B$11,0)-1,MATCH(BF$1,'[1]End - Use Prices'!$C$7:$AL$7,0))</f>
        <v>104.25</v>
      </c>
      <c r="BG118" s="41">
        <f>INDEX('[1]End - Use Prices'!$C$6:$AL$89,MATCH($C118,'[1]End - Use Prices'!$A$6:$A$89,0)+MATCH($D118,'[1]End - Use Prices'!$B$9:$B$11,0)-1,MATCH(BG$1,'[1]End - Use Prices'!$C$7:$AL$7,0))</f>
        <v>104.69</v>
      </c>
      <c r="BR118" s="39"/>
      <c r="BS118" s="39"/>
      <c r="BT118" s="39"/>
      <c r="BU118" s="39"/>
      <c r="BV118" s="39"/>
      <c r="BW118" s="39"/>
      <c r="BX118" s="39"/>
      <c r="BY118" s="39"/>
      <c r="BZ118" s="39"/>
      <c r="CA118" s="39"/>
    </row>
    <row r="119" spans="1:79" x14ac:dyDescent="0.25">
      <c r="A119" s="5"/>
      <c r="B119" s="3"/>
      <c r="C119" s="25" t="s">
        <v>94</v>
      </c>
      <c r="D119" s="25" t="s">
        <v>2</v>
      </c>
      <c r="E119" s="25" t="s">
        <v>282</v>
      </c>
      <c r="F119" s="67" t="s">
        <v>279</v>
      </c>
      <c r="G119" s="53">
        <f t="shared" si="18"/>
        <v>83.79</v>
      </c>
      <c r="H119" s="34">
        <f t="shared" si="19"/>
        <v>83.79</v>
      </c>
      <c r="I119" s="34">
        <f t="shared" si="19"/>
        <v>92.5</v>
      </c>
      <c r="J119" s="34">
        <f t="shared" si="19"/>
        <v>98.65</v>
      </c>
      <c r="K119" s="34">
        <f t="shared" si="19"/>
        <v>99.14</v>
      </c>
      <c r="L119" s="34">
        <f t="shared" si="19"/>
        <v>99.31</v>
      </c>
      <c r="M119" s="34">
        <f t="shared" si="19"/>
        <v>99.23</v>
      </c>
      <c r="N119" s="34">
        <f t="shared" si="19"/>
        <v>99.15</v>
      </c>
      <c r="O119" s="34">
        <f t="shared" si="19"/>
        <v>99.32</v>
      </c>
      <c r="P119" s="53">
        <f t="shared" si="20"/>
        <v>99.32</v>
      </c>
      <c r="Q119" s="53">
        <f t="shared" si="20"/>
        <v>99.32</v>
      </c>
      <c r="R119" s="38"/>
      <c r="X119" s="41">
        <f>INDEX('[1]End - Use Prices'!$C$6:$AL$89,MATCH($C119,'[1]End - Use Prices'!$A$6:$A$89,0)+MATCH($D119,'[1]End - Use Prices'!$B$9:$B$11,0)-1,MATCH(X$1,'[1]End - Use Prices'!$C$7:$AL$7,0))</f>
        <v>83.79</v>
      </c>
      <c r="Y119" s="41">
        <f>INDEX('[1]End - Use Prices'!$C$6:$AL$89,MATCH($C119,'[1]End - Use Prices'!$A$6:$A$89,0)+MATCH($D119,'[1]End - Use Prices'!$B$9:$B$11,0)-1,MATCH(Y$1,'[1]End - Use Prices'!$C$7:$AL$7,0))</f>
        <v>86.36</v>
      </c>
      <c r="Z119" s="41">
        <f>INDEX('[1]End - Use Prices'!$C$6:$AL$89,MATCH($C119,'[1]End - Use Prices'!$A$6:$A$89,0)+MATCH($D119,'[1]End - Use Prices'!$B$9:$B$11,0)-1,MATCH(Z$1,'[1]End - Use Prices'!$C$7:$AL$7,0))</f>
        <v>85.49</v>
      </c>
      <c r="AA119" s="41">
        <f>INDEX('[1]End - Use Prices'!$C$6:$AL$89,MATCH($C119,'[1]End - Use Prices'!$A$6:$A$89,0)+MATCH($D119,'[1]End - Use Prices'!$B$9:$B$11,0)-1,MATCH(AA$1,'[1]End - Use Prices'!$C$7:$AL$7,0))</f>
        <v>84.88</v>
      </c>
      <c r="AB119" s="41">
        <f>INDEX('[1]End - Use Prices'!$C$6:$AL$89,MATCH($C119,'[1]End - Use Prices'!$A$6:$A$89,0)+MATCH($D119,'[1]End - Use Prices'!$B$9:$B$11,0)-1,MATCH(AB$1,'[1]End - Use Prices'!$C$7:$AL$7,0))</f>
        <v>88.16</v>
      </c>
      <c r="AC119" s="41">
        <f>INDEX('[1]End - Use Prices'!$C$6:$AL$89,MATCH($C119,'[1]End - Use Prices'!$A$6:$A$89,0)+MATCH($D119,'[1]End - Use Prices'!$B$9:$B$11,0)-1,MATCH(AC$1,'[1]End - Use Prices'!$C$7:$AL$7,0))</f>
        <v>92.5</v>
      </c>
      <c r="AD119" s="41">
        <f>INDEX('[1]End - Use Prices'!$C$6:$AL$89,MATCH($C119,'[1]End - Use Prices'!$A$6:$A$89,0)+MATCH($D119,'[1]End - Use Prices'!$B$9:$B$11,0)-1,MATCH(AD$1,'[1]End - Use Prices'!$C$7:$AL$7,0))</f>
        <v>88.79</v>
      </c>
      <c r="AE119" s="41">
        <f>INDEX('[1]End - Use Prices'!$C$6:$AL$89,MATCH($C119,'[1]End - Use Prices'!$A$6:$A$89,0)+MATCH($D119,'[1]End - Use Prices'!$B$9:$B$11,0)-1,MATCH(AE$1,'[1]End - Use Prices'!$C$7:$AL$7,0))</f>
        <v>98.09</v>
      </c>
      <c r="AF119" s="41">
        <f>INDEX('[1]End - Use Prices'!$C$6:$AL$89,MATCH($C119,'[1]End - Use Prices'!$A$6:$A$89,0)+MATCH($D119,'[1]End - Use Prices'!$B$9:$B$11,0)-1,MATCH(AF$1,'[1]End - Use Prices'!$C$7:$AL$7,0))</f>
        <v>97.87</v>
      </c>
      <c r="AG119" s="41">
        <f>INDEX('[1]End - Use Prices'!$C$6:$AL$89,MATCH($C119,'[1]End - Use Prices'!$A$6:$A$89,0)+MATCH($D119,'[1]End - Use Prices'!$B$9:$B$11,0)-1,MATCH(AG$1,'[1]End - Use Prices'!$C$7:$AL$7,0))</f>
        <v>97.87</v>
      </c>
      <c r="AH119" s="41">
        <f>INDEX('[1]End - Use Prices'!$C$6:$AL$89,MATCH($C119,'[1]End - Use Prices'!$A$6:$A$89,0)+MATCH($D119,'[1]End - Use Prices'!$B$9:$B$11,0)-1,MATCH(AH$1,'[1]End - Use Prices'!$C$7:$AL$7,0))</f>
        <v>98.65</v>
      </c>
      <c r="AI119" s="41">
        <f>INDEX('[1]End - Use Prices'!$C$6:$AL$89,MATCH($C119,'[1]End - Use Prices'!$A$6:$A$89,0)+MATCH($D119,'[1]End - Use Prices'!$B$9:$B$11,0)-1,MATCH(AI$1,'[1]End - Use Prices'!$C$7:$AL$7,0))</f>
        <v>98.04</v>
      </c>
      <c r="AJ119" s="41">
        <f>INDEX('[1]End - Use Prices'!$C$6:$AL$89,MATCH($C119,'[1]End - Use Prices'!$A$6:$A$89,0)+MATCH($D119,'[1]End - Use Prices'!$B$9:$B$11,0)-1,MATCH(AJ$1,'[1]End - Use Prices'!$C$7:$AL$7,0))</f>
        <v>98.81</v>
      </c>
      <c r="AK119" s="41">
        <f>INDEX('[1]End - Use Prices'!$C$6:$AL$89,MATCH($C119,'[1]End - Use Prices'!$A$6:$A$89,0)+MATCH($D119,'[1]End - Use Prices'!$B$9:$B$11,0)-1,MATCH(AK$1,'[1]End - Use Prices'!$C$7:$AL$7,0))</f>
        <v>98.94</v>
      </c>
      <c r="AL119" s="41">
        <f>INDEX('[1]End - Use Prices'!$C$6:$AL$89,MATCH($C119,'[1]End - Use Prices'!$A$6:$A$89,0)+MATCH($D119,'[1]End - Use Prices'!$B$9:$B$11,0)-1,MATCH(AL$1,'[1]End - Use Prices'!$C$7:$AL$7,0))</f>
        <v>99.05</v>
      </c>
      <c r="AM119" s="41">
        <f>INDEX('[1]End - Use Prices'!$C$6:$AL$89,MATCH($C119,'[1]End - Use Prices'!$A$6:$A$89,0)+MATCH($D119,'[1]End - Use Prices'!$B$9:$B$11,0)-1,MATCH(AM$1,'[1]End - Use Prices'!$C$7:$AL$7,0))</f>
        <v>99.14</v>
      </c>
      <c r="AN119" s="41">
        <f>INDEX('[1]End - Use Prices'!$C$6:$AL$89,MATCH($C119,'[1]End - Use Prices'!$A$6:$A$89,0)+MATCH($D119,'[1]End - Use Prices'!$B$9:$B$11,0)-1,MATCH(AN$1,'[1]End - Use Prices'!$C$7:$AL$7,0))</f>
        <v>99.2</v>
      </c>
      <c r="AO119" s="41">
        <f>INDEX('[1]End - Use Prices'!$C$6:$AL$89,MATCH($C119,'[1]End - Use Prices'!$A$6:$A$89,0)+MATCH($D119,'[1]End - Use Prices'!$B$9:$B$11,0)-1,MATCH(AO$1,'[1]End - Use Prices'!$C$7:$AL$7,0))</f>
        <v>99.25</v>
      </c>
      <c r="AP119" s="41">
        <f>INDEX('[1]End - Use Prices'!$C$6:$AL$89,MATCH($C119,'[1]End - Use Prices'!$A$6:$A$89,0)+MATCH($D119,'[1]End - Use Prices'!$B$9:$B$11,0)-1,MATCH(AP$1,'[1]End - Use Prices'!$C$7:$AL$7,0))</f>
        <v>99.28</v>
      </c>
      <c r="AQ119" s="41">
        <f>INDEX('[1]End - Use Prices'!$C$6:$AL$89,MATCH($C119,'[1]End - Use Prices'!$A$6:$A$89,0)+MATCH($D119,'[1]End - Use Prices'!$B$9:$B$11,0)-1,MATCH(AQ$1,'[1]End - Use Prices'!$C$7:$AL$7,0))</f>
        <v>99.3</v>
      </c>
      <c r="AR119" s="41">
        <f>INDEX('[1]End - Use Prices'!$C$6:$AL$89,MATCH($C119,'[1]End - Use Prices'!$A$6:$A$89,0)+MATCH($D119,'[1]End - Use Prices'!$B$9:$B$11,0)-1,MATCH(AR$1,'[1]End - Use Prices'!$C$7:$AL$7,0))</f>
        <v>99.31</v>
      </c>
      <c r="AS119" s="41">
        <f>INDEX('[1]End - Use Prices'!$C$6:$AL$89,MATCH($C119,'[1]End - Use Prices'!$A$6:$A$89,0)+MATCH($D119,'[1]End - Use Prices'!$B$9:$B$11,0)-1,MATCH(AS$1,'[1]End - Use Prices'!$C$7:$AL$7,0))</f>
        <v>99.3</v>
      </c>
      <c r="AT119" s="41">
        <f>INDEX('[1]End - Use Prices'!$C$6:$AL$89,MATCH($C119,'[1]End - Use Prices'!$A$6:$A$89,0)+MATCH($D119,'[1]End - Use Prices'!$B$9:$B$11,0)-1,MATCH(AT$1,'[1]End - Use Prices'!$C$7:$AL$7,0))</f>
        <v>99.29</v>
      </c>
      <c r="AU119" s="41">
        <f>INDEX('[1]End - Use Prices'!$C$6:$AL$89,MATCH($C119,'[1]End - Use Prices'!$A$6:$A$89,0)+MATCH($D119,'[1]End - Use Prices'!$B$9:$B$11,0)-1,MATCH(AU$1,'[1]End - Use Prices'!$C$7:$AL$7,0))</f>
        <v>99.27</v>
      </c>
      <c r="AV119" s="41">
        <f>INDEX('[1]End - Use Prices'!$C$6:$AL$89,MATCH($C119,'[1]End - Use Prices'!$A$6:$A$89,0)+MATCH($D119,'[1]End - Use Prices'!$B$9:$B$11,0)-1,MATCH(AV$1,'[1]End - Use Prices'!$C$7:$AL$7,0))</f>
        <v>99.25</v>
      </c>
      <c r="AW119" s="41">
        <f>INDEX('[1]End - Use Prices'!$C$6:$AL$89,MATCH($C119,'[1]End - Use Prices'!$A$6:$A$89,0)+MATCH($D119,'[1]End - Use Prices'!$B$9:$B$11,0)-1,MATCH(AW$1,'[1]End - Use Prices'!$C$7:$AL$7,0))</f>
        <v>99.23</v>
      </c>
      <c r="AX119" s="41">
        <f>INDEX('[1]End - Use Prices'!$C$6:$AL$89,MATCH($C119,'[1]End - Use Prices'!$A$6:$A$89,0)+MATCH($D119,'[1]End - Use Prices'!$B$9:$B$11,0)-1,MATCH(AX$1,'[1]End - Use Prices'!$C$7:$AL$7,0))</f>
        <v>99.2</v>
      </c>
      <c r="AY119" s="41">
        <f>INDEX('[1]End - Use Prices'!$C$6:$AL$89,MATCH($C119,'[1]End - Use Prices'!$A$6:$A$89,0)+MATCH($D119,'[1]End - Use Prices'!$B$9:$B$11,0)-1,MATCH(AY$1,'[1]End - Use Prices'!$C$7:$AL$7,0))</f>
        <v>99.18</v>
      </c>
      <c r="AZ119" s="41">
        <f>INDEX('[1]End - Use Prices'!$C$6:$AL$89,MATCH($C119,'[1]End - Use Prices'!$A$6:$A$89,0)+MATCH($D119,'[1]End - Use Prices'!$B$9:$B$11,0)-1,MATCH(AZ$1,'[1]End - Use Prices'!$C$7:$AL$7,0))</f>
        <v>99.16</v>
      </c>
      <c r="BA119" s="41">
        <f>INDEX('[1]End - Use Prices'!$C$6:$AL$89,MATCH($C119,'[1]End - Use Prices'!$A$6:$A$89,0)+MATCH($D119,'[1]End - Use Prices'!$B$9:$B$11,0)-1,MATCH(BA$1,'[1]End - Use Prices'!$C$7:$AL$7,0))</f>
        <v>99.15</v>
      </c>
      <c r="BB119" s="41">
        <f>INDEX('[1]End - Use Prices'!$C$6:$AL$89,MATCH($C119,'[1]End - Use Prices'!$A$6:$A$89,0)+MATCH($D119,'[1]End - Use Prices'!$B$9:$B$11,0)-1,MATCH(BB$1,'[1]End - Use Prices'!$C$7:$AL$7,0))</f>
        <v>99.15</v>
      </c>
      <c r="BC119" s="41">
        <f>INDEX('[1]End - Use Prices'!$C$6:$AL$89,MATCH($C119,'[1]End - Use Prices'!$A$6:$A$89,0)+MATCH($D119,'[1]End - Use Prices'!$B$9:$B$11,0)-1,MATCH(BC$1,'[1]End - Use Prices'!$C$7:$AL$7,0))</f>
        <v>99.15</v>
      </c>
      <c r="BD119" s="41">
        <f>INDEX('[1]End - Use Prices'!$C$6:$AL$89,MATCH($C119,'[1]End - Use Prices'!$A$6:$A$89,0)+MATCH($D119,'[1]End - Use Prices'!$B$9:$B$11,0)-1,MATCH(BD$1,'[1]End - Use Prices'!$C$7:$AL$7,0))</f>
        <v>99.17</v>
      </c>
      <c r="BE119" s="41">
        <f>INDEX('[1]End - Use Prices'!$C$6:$AL$89,MATCH($C119,'[1]End - Use Prices'!$A$6:$A$89,0)+MATCH($D119,'[1]End - Use Prices'!$B$9:$B$11,0)-1,MATCH(BE$1,'[1]End - Use Prices'!$C$7:$AL$7,0))</f>
        <v>99.2</v>
      </c>
      <c r="BF119" s="41">
        <f>INDEX('[1]End - Use Prices'!$C$6:$AL$89,MATCH($C119,'[1]End - Use Prices'!$A$6:$A$89,0)+MATCH($D119,'[1]End - Use Prices'!$B$9:$B$11,0)-1,MATCH(BF$1,'[1]End - Use Prices'!$C$7:$AL$7,0))</f>
        <v>99.25</v>
      </c>
      <c r="BG119" s="41">
        <f>INDEX('[1]End - Use Prices'!$C$6:$AL$89,MATCH($C119,'[1]End - Use Prices'!$A$6:$A$89,0)+MATCH($D119,'[1]End - Use Prices'!$B$9:$B$11,0)-1,MATCH(BG$1,'[1]End - Use Prices'!$C$7:$AL$7,0))</f>
        <v>99.32</v>
      </c>
      <c r="BR119" s="39"/>
      <c r="BS119" s="39"/>
      <c r="BT119" s="39"/>
      <c r="BU119" s="39"/>
      <c r="BV119" s="39"/>
      <c r="BW119" s="39"/>
      <c r="BX119" s="39"/>
      <c r="BY119" s="39"/>
      <c r="BZ119" s="39"/>
      <c r="CA119" s="39"/>
    </row>
    <row r="120" spans="1:79" x14ac:dyDescent="0.25">
      <c r="A120" s="5"/>
      <c r="B120" s="3"/>
      <c r="C120" s="25" t="s">
        <v>48</v>
      </c>
      <c r="D120" s="25" t="s">
        <v>14</v>
      </c>
      <c r="E120" s="25" t="s">
        <v>282</v>
      </c>
      <c r="F120" s="67" t="s">
        <v>279</v>
      </c>
      <c r="G120" s="53">
        <f t="shared" si="18"/>
        <v>15.81</v>
      </c>
      <c r="H120" s="34">
        <f t="shared" si="19"/>
        <v>15.81</v>
      </c>
      <c r="I120" s="34">
        <f t="shared" si="19"/>
        <v>12.69</v>
      </c>
      <c r="J120" s="34">
        <f t="shared" si="19"/>
        <v>10.65</v>
      </c>
      <c r="K120" s="34">
        <f t="shared" si="19"/>
        <v>9.67</v>
      </c>
      <c r="L120" s="34">
        <f t="shared" si="19"/>
        <v>10.64</v>
      </c>
      <c r="M120" s="34">
        <f t="shared" si="19"/>
        <v>11.02</v>
      </c>
      <c r="N120" s="34">
        <f t="shared" si="19"/>
        <v>11.37</v>
      </c>
      <c r="O120" s="34">
        <f t="shared" si="19"/>
        <v>11.44</v>
      </c>
      <c r="P120" s="53">
        <f t="shared" si="20"/>
        <v>11.44</v>
      </c>
      <c r="Q120" s="53">
        <f t="shared" si="20"/>
        <v>11.44</v>
      </c>
      <c r="R120" s="38"/>
      <c r="X120" s="41">
        <f>INDEX('[1]End - Use Prices'!$C$6:$AL$89,MATCH($C120,'[1]End - Use Prices'!$A$6:$A$89,0)+MATCH($D120,'[1]End - Use Prices'!$B$9:$B$11,0)-1,MATCH(X$1,'[1]End - Use Prices'!$C$7:$AL$7,0))</f>
        <v>15.81</v>
      </c>
      <c r="Y120" s="41">
        <f>INDEX('[1]End - Use Prices'!$C$6:$AL$89,MATCH($C120,'[1]End - Use Prices'!$A$6:$A$89,0)+MATCH($D120,'[1]End - Use Prices'!$B$9:$B$11,0)-1,MATCH(Y$1,'[1]End - Use Prices'!$C$7:$AL$7,0))</f>
        <v>16.04</v>
      </c>
      <c r="Z120" s="41">
        <f>INDEX('[1]End - Use Prices'!$C$6:$AL$89,MATCH($C120,'[1]End - Use Prices'!$A$6:$A$89,0)+MATCH($D120,'[1]End - Use Prices'!$B$9:$B$11,0)-1,MATCH(Z$1,'[1]End - Use Prices'!$C$7:$AL$7,0))</f>
        <v>14.76</v>
      </c>
      <c r="AA120" s="41">
        <f>INDEX('[1]End - Use Prices'!$C$6:$AL$89,MATCH($C120,'[1]End - Use Prices'!$A$6:$A$89,0)+MATCH($D120,'[1]End - Use Prices'!$B$9:$B$11,0)-1,MATCH(AA$1,'[1]End - Use Prices'!$C$7:$AL$7,0))</f>
        <v>14.82</v>
      </c>
      <c r="AB120" s="41">
        <f>INDEX('[1]End - Use Prices'!$C$6:$AL$89,MATCH($C120,'[1]End - Use Prices'!$A$6:$A$89,0)+MATCH($D120,'[1]End - Use Prices'!$B$9:$B$11,0)-1,MATCH(AB$1,'[1]End - Use Prices'!$C$7:$AL$7,0))</f>
        <v>12.89</v>
      </c>
      <c r="AC120" s="41">
        <f>INDEX('[1]End - Use Prices'!$C$6:$AL$89,MATCH($C120,'[1]End - Use Prices'!$A$6:$A$89,0)+MATCH($D120,'[1]End - Use Prices'!$B$9:$B$11,0)-1,MATCH(AC$1,'[1]End - Use Prices'!$C$7:$AL$7,0))</f>
        <v>12.69</v>
      </c>
      <c r="AD120" s="41">
        <f>INDEX('[1]End - Use Prices'!$C$6:$AL$89,MATCH($C120,'[1]End - Use Prices'!$A$6:$A$89,0)+MATCH($D120,'[1]End - Use Prices'!$B$9:$B$11,0)-1,MATCH(AD$1,'[1]End - Use Prices'!$C$7:$AL$7,0))</f>
        <v>11.75</v>
      </c>
      <c r="AE120" s="41">
        <f>INDEX('[1]End - Use Prices'!$C$6:$AL$89,MATCH($C120,'[1]End - Use Prices'!$A$6:$A$89,0)+MATCH($D120,'[1]End - Use Prices'!$B$9:$B$11,0)-1,MATCH(AE$1,'[1]End - Use Prices'!$C$7:$AL$7,0))</f>
        <v>10.82</v>
      </c>
      <c r="AF120" s="41">
        <f>INDEX('[1]End - Use Prices'!$C$6:$AL$89,MATCH($C120,'[1]End - Use Prices'!$A$6:$A$89,0)+MATCH($D120,'[1]End - Use Prices'!$B$9:$B$11,0)-1,MATCH(AF$1,'[1]End - Use Prices'!$C$7:$AL$7,0))</f>
        <v>10.77</v>
      </c>
      <c r="AG120" s="41">
        <f>INDEX('[1]End - Use Prices'!$C$6:$AL$89,MATCH($C120,'[1]End - Use Prices'!$A$6:$A$89,0)+MATCH($D120,'[1]End - Use Prices'!$B$9:$B$11,0)-1,MATCH(AG$1,'[1]End - Use Prices'!$C$7:$AL$7,0))</f>
        <v>11.71</v>
      </c>
      <c r="AH120" s="41">
        <f>INDEX('[1]End - Use Prices'!$C$6:$AL$89,MATCH($C120,'[1]End - Use Prices'!$A$6:$A$89,0)+MATCH($D120,'[1]End - Use Prices'!$B$9:$B$11,0)-1,MATCH(AH$1,'[1]End - Use Prices'!$C$7:$AL$7,0))</f>
        <v>10.65</v>
      </c>
      <c r="AI120" s="41">
        <f>INDEX('[1]End - Use Prices'!$C$6:$AL$89,MATCH($C120,'[1]End - Use Prices'!$A$6:$A$89,0)+MATCH($D120,'[1]End - Use Prices'!$B$9:$B$11,0)-1,MATCH(AI$1,'[1]End - Use Prices'!$C$7:$AL$7,0))</f>
        <v>8.93</v>
      </c>
      <c r="AJ120" s="41">
        <f>INDEX('[1]End - Use Prices'!$C$6:$AL$89,MATCH($C120,'[1]End - Use Prices'!$A$6:$A$89,0)+MATCH($D120,'[1]End - Use Prices'!$B$9:$B$11,0)-1,MATCH(AJ$1,'[1]End - Use Prices'!$C$7:$AL$7,0))</f>
        <v>10.82</v>
      </c>
      <c r="AK120" s="41">
        <f>INDEX('[1]End - Use Prices'!$C$6:$AL$89,MATCH($C120,'[1]End - Use Prices'!$A$6:$A$89,0)+MATCH($D120,'[1]End - Use Prices'!$B$9:$B$11,0)-1,MATCH(AK$1,'[1]End - Use Prices'!$C$7:$AL$7,0))</f>
        <v>9.86</v>
      </c>
      <c r="AL120" s="41">
        <f>INDEX('[1]End - Use Prices'!$C$6:$AL$89,MATCH($C120,'[1]End - Use Prices'!$A$6:$A$89,0)+MATCH($D120,'[1]End - Use Prices'!$B$9:$B$11,0)-1,MATCH(AL$1,'[1]End - Use Prices'!$C$7:$AL$7,0))</f>
        <v>9.5299999999999994</v>
      </c>
      <c r="AM120" s="41">
        <f>INDEX('[1]End - Use Prices'!$C$6:$AL$89,MATCH($C120,'[1]End - Use Prices'!$A$6:$A$89,0)+MATCH($D120,'[1]End - Use Prices'!$B$9:$B$11,0)-1,MATCH(AM$1,'[1]End - Use Prices'!$C$7:$AL$7,0))</f>
        <v>9.67</v>
      </c>
      <c r="AN120" s="41">
        <f>INDEX('[1]End - Use Prices'!$C$6:$AL$89,MATCH($C120,'[1]End - Use Prices'!$A$6:$A$89,0)+MATCH($D120,'[1]End - Use Prices'!$B$9:$B$11,0)-1,MATCH(AN$1,'[1]End - Use Prices'!$C$7:$AL$7,0))</f>
        <v>9.8699999999999992</v>
      </c>
      <c r="AO120" s="41">
        <f>INDEX('[1]End - Use Prices'!$C$6:$AL$89,MATCH($C120,'[1]End - Use Prices'!$A$6:$A$89,0)+MATCH($D120,'[1]End - Use Prices'!$B$9:$B$11,0)-1,MATCH(AO$1,'[1]End - Use Prices'!$C$7:$AL$7,0))</f>
        <v>10.19</v>
      </c>
      <c r="AP120" s="41">
        <f>INDEX('[1]End - Use Prices'!$C$6:$AL$89,MATCH($C120,'[1]End - Use Prices'!$A$6:$A$89,0)+MATCH($D120,'[1]End - Use Prices'!$B$9:$B$11,0)-1,MATCH(AP$1,'[1]End - Use Prices'!$C$7:$AL$7,0))</f>
        <v>10.44</v>
      </c>
      <c r="AQ120" s="41">
        <f>INDEX('[1]End - Use Prices'!$C$6:$AL$89,MATCH($C120,'[1]End - Use Prices'!$A$6:$A$89,0)+MATCH($D120,'[1]End - Use Prices'!$B$9:$B$11,0)-1,MATCH(AQ$1,'[1]End - Use Prices'!$C$7:$AL$7,0))</f>
        <v>10.53</v>
      </c>
      <c r="AR120" s="41">
        <f>INDEX('[1]End - Use Prices'!$C$6:$AL$89,MATCH($C120,'[1]End - Use Prices'!$A$6:$A$89,0)+MATCH($D120,'[1]End - Use Prices'!$B$9:$B$11,0)-1,MATCH(AR$1,'[1]End - Use Prices'!$C$7:$AL$7,0))</f>
        <v>10.64</v>
      </c>
      <c r="AS120" s="41">
        <f>INDEX('[1]End - Use Prices'!$C$6:$AL$89,MATCH($C120,'[1]End - Use Prices'!$A$6:$A$89,0)+MATCH($D120,'[1]End - Use Prices'!$B$9:$B$11,0)-1,MATCH(AS$1,'[1]End - Use Prices'!$C$7:$AL$7,0))</f>
        <v>10.82</v>
      </c>
      <c r="AT120" s="41">
        <f>INDEX('[1]End - Use Prices'!$C$6:$AL$89,MATCH($C120,'[1]End - Use Prices'!$A$6:$A$89,0)+MATCH($D120,'[1]End - Use Prices'!$B$9:$B$11,0)-1,MATCH(AT$1,'[1]End - Use Prices'!$C$7:$AL$7,0))</f>
        <v>10.85</v>
      </c>
      <c r="AU120" s="41">
        <f>INDEX('[1]End - Use Prices'!$C$6:$AL$89,MATCH($C120,'[1]End - Use Prices'!$A$6:$A$89,0)+MATCH($D120,'[1]End - Use Prices'!$B$9:$B$11,0)-1,MATCH(AU$1,'[1]End - Use Prices'!$C$7:$AL$7,0))</f>
        <v>10.9</v>
      </c>
      <c r="AV120" s="41">
        <f>INDEX('[1]End - Use Prices'!$C$6:$AL$89,MATCH($C120,'[1]End - Use Prices'!$A$6:$A$89,0)+MATCH($D120,'[1]End - Use Prices'!$B$9:$B$11,0)-1,MATCH(AV$1,'[1]End - Use Prices'!$C$7:$AL$7,0))</f>
        <v>10.96</v>
      </c>
      <c r="AW120" s="41">
        <f>INDEX('[1]End - Use Prices'!$C$6:$AL$89,MATCH($C120,'[1]End - Use Prices'!$A$6:$A$89,0)+MATCH($D120,'[1]End - Use Prices'!$B$9:$B$11,0)-1,MATCH(AW$1,'[1]End - Use Prices'!$C$7:$AL$7,0))</f>
        <v>11.02</v>
      </c>
      <c r="AX120" s="41">
        <f>INDEX('[1]End - Use Prices'!$C$6:$AL$89,MATCH($C120,'[1]End - Use Prices'!$A$6:$A$89,0)+MATCH($D120,'[1]End - Use Prices'!$B$9:$B$11,0)-1,MATCH(AX$1,'[1]End - Use Prices'!$C$7:$AL$7,0))</f>
        <v>11.09</v>
      </c>
      <c r="AY120" s="41">
        <f>INDEX('[1]End - Use Prices'!$C$6:$AL$89,MATCH($C120,'[1]End - Use Prices'!$A$6:$A$89,0)+MATCH($D120,'[1]End - Use Prices'!$B$9:$B$11,0)-1,MATCH(AY$1,'[1]End - Use Prices'!$C$7:$AL$7,0))</f>
        <v>11.18</v>
      </c>
      <c r="AZ120" s="41">
        <f>INDEX('[1]End - Use Prices'!$C$6:$AL$89,MATCH($C120,'[1]End - Use Prices'!$A$6:$A$89,0)+MATCH($D120,'[1]End - Use Prices'!$B$9:$B$11,0)-1,MATCH(AZ$1,'[1]End - Use Prices'!$C$7:$AL$7,0))</f>
        <v>11.28</v>
      </c>
      <c r="BA120" s="41">
        <f>INDEX('[1]End - Use Prices'!$C$6:$AL$89,MATCH($C120,'[1]End - Use Prices'!$A$6:$A$89,0)+MATCH($D120,'[1]End - Use Prices'!$B$9:$B$11,0)-1,MATCH(BA$1,'[1]End - Use Prices'!$C$7:$AL$7,0))</f>
        <v>11.33</v>
      </c>
      <c r="BB120" s="41">
        <f>INDEX('[1]End - Use Prices'!$C$6:$AL$89,MATCH($C120,'[1]End - Use Prices'!$A$6:$A$89,0)+MATCH($D120,'[1]End - Use Prices'!$B$9:$B$11,0)-1,MATCH(BB$1,'[1]End - Use Prices'!$C$7:$AL$7,0))</f>
        <v>11.37</v>
      </c>
      <c r="BC120" s="41">
        <f>INDEX('[1]End - Use Prices'!$C$6:$AL$89,MATCH($C120,'[1]End - Use Prices'!$A$6:$A$89,0)+MATCH($D120,'[1]End - Use Prices'!$B$9:$B$11,0)-1,MATCH(BC$1,'[1]End - Use Prices'!$C$7:$AL$7,0))</f>
        <v>11.41</v>
      </c>
      <c r="BD120" s="41">
        <f>INDEX('[1]End - Use Prices'!$C$6:$AL$89,MATCH($C120,'[1]End - Use Prices'!$A$6:$A$89,0)+MATCH($D120,'[1]End - Use Prices'!$B$9:$B$11,0)-1,MATCH(BD$1,'[1]End - Use Prices'!$C$7:$AL$7,0))</f>
        <v>11.43</v>
      </c>
      <c r="BE120" s="41">
        <f>INDEX('[1]End - Use Prices'!$C$6:$AL$89,MATCH($C120,'[1]End - Use Prices'!$A$6:$A$89,0)+MATCH($D120,'[1]End - Use Prices'!$B$9:$B$11,0)-1,MATCH(BE$1,'[1]End - Use Prices'!$C$7:$AL$7,0))</f>
        <v>11.43</v>
      </c>
      <c r="BF120" s="41">
        <f>INDEX('[1]End - Use Prices'!$C$6:$AL$89,MATCH($C120,'[1]End - Use Prices'!$A$6:$A$89,0)+MATCH($D120,'[1]End - Use Prices'!$B$9:$B$11,0)-1,MATCH(BF$1,'[1]End - Use Prices'!$C$7:$AL$7,0))</f>
        <v>11.44</v>
      </c>
      <c r="BG120" s="41">
        <f>INDEX('[1]End - Use Prices'!$C$6:$AL$89,MATCH($C120,'[1]End - Use Prices'!$A$6:$A$89,0)+MATCH($D120,'[1]End - Use Prices'!$B$9:$B$11,0)-1,MATCH(BG$1,'[1]End - Use Prices'!$C$7:$AL$7,0))</f>
        <v>11.44</v>
      </c>
      <c r="BR120" s="39"/>
      <c r="BS120" s="39"/>
      <c r="BT120" s="39"/>
      <c r="BU120" s="39"/>
      <c r="BV120" s="39"/>
      <c r="BW120" s="39"/>
      <c r="BX120" s="39"/>
      <c r="BY120" s="39"/>
      <c r="BZ120" s="39"/>
      <c r="CA120" s="39"/>
    </row>
    <row r="121" spans="1:79" x14ac:dyDescent="0.25">
      <c r="A121" s="5"/>
      <c r="B121" s="3"/>
      <c r="C121" s="25" t="s">
        <v>85</v>
      </c>
      <c r="D121" s="25" t="s">
        <v>14</v>
      </c>
      <c r="E121" s="25" t="s">
        <v>282</v>
      </c>
      <c r="F121" s="67" t="s">
        <v>279</v>
      </c>
      <c r="G121" s="53">
        <f t="shared" si="18"/>
        <v>18.899999999999999</v>
      </c>
      <c r="H121" s="34">
        <f t="shared" si="19"/>
        <v>18.899999999999999</v>
      </c>
      <c r="I121" s="34">
        <f t="shared" si="19"/>
        <v>20.09</v>
      </c>
      <c r="J121" s="34">
        <f t="shared" si="19"/>
        <v>13.86</v>
      </c>
      <c r="K121" s="34">
        <f t="shared" si="19"/>
        <v>10.91</v>
      </c>
      <c r="L121" s="34">
        <f t="shared" si="19"/>
        <v>11.38</v>
      </c>
      <c r="M121" s="34">
        <f t="shared" si="19"/>
        <v>11.9</v>
      </c>
      <c r="N121" s="34">
        <f t="shared" si="19"/>
        <v>12.45</v>
      </c>
      <c r="O121" s="34">
        <f t="shared" si="19"/>
        <v>12.67</v>
      </c>
      <c r="P121" s="53">
        <f t="shared" si="20"/>
        <v>12.67</v>
      </c>
      <c r="Q121" s="53">
        <f t="shared" si="20"/>
        <v>12.67</v>
      </c>
      <c r="R121" s="38"/>
      <c r="X121" s="41">
        <f>INDEX('[1]End - Use Prices'!$C$6:$AL$89,MATCH($C121,'[1]End - Use Prices'!$A$6:$A$89,0)+MATCH($D121,'[1]End - Use Prices'!$B$9:$B$11,0)-1,MATCH(X$1,'[1]End - Use Prices'!$C$7:$AL$7,0))</f>
        <v>18.899999999999999</v>
      </c>
      <c r="Y121" s="41">
        <f>INDEX('[1]End - Use Prices'!$C$6:$AL$89,MATCH($C121,'[1]End - Use Prices'!$A$6:$A$89,0)+MATCH($D121,'[1]End - Use Prices'!$B$9:$B$11,0)-1,MATCH(Y$1,'[1]End - Use Prices'!$C$7:$AL$7,0))</f>
        <v>18.940000000000001</v>
      </c>
      <c r="Z121" s="41">
        <f>INDEX('[1]End - Use Prices'!$C$6:$AL$89,MATCH($C121,'[1]End - Use Prices'!$A$6:$A$89,0)+MATCH($D121,'[1]End - Use Prices'!$B$9:$B$11,0)-1,MATCH(Z$1,'[1]End - Use Prices'!$C$7:$AL$7,0))</f>
        <v>11.86</v>
      </c>
      <c r="AA121" s="41">
        <f>INDEX('[1]End - Use Prices'!$C$6:$AL$89,MATCH($C121,'[1]End - Use Prices'!$A$6:$A$89,0)+MATCH($D121,'[1]End - Use Prices'!$B$9:$B$11,0)-1,MATCH(AA$1,'[1]End - Use Prices'!$C$7:$AL$7,0))</f>
        <v>14.01</v>
      </c>
      <c r="AB121" s="41">
        <f>INDEX('[1]End - Use Prices'!$C$6:$AL$89,MATCH($C121,'[1]End - Use Prices'!$A$6:$A$89,0)+MATCH($D121,'[1]End - Use Prices'!$B$9:$B$11,0)-1,MATCH(AB$1,'[1]End - Use Prices'!$C$7:$AL$7,0))</f>
        <v>14.6</v>
      </c>
      <c r="AC121" s="41">
        <f>INDEX('[1]End - Use Prices'!$C$6:$AL$89,MATCH($C121,'[1]End - Use Prices'!$A$6:$A$89,0)+MATCH($D121,'[1]End - Use Prices'!$B$9:$B$11,0)-1,MATCH(AC$1,'[1]End - Use Prices'!$C$7:$AL$7,0))</f>
        <v>20.09</v>
      </c>
      <c r="AD121" s="41">
        <f>INDEX('[1]End - Use Prices'!$C$6:$AL$89,MATCH($C121,'[1]End - Use Prices'!$A$6:$A$89,0)+MATCH($D121,'[1]End - Use Prices'!$B$9:$B$11,0)-1,MATCH(AD$1,'[1]End - Use Prices'!$C$7:$AL$7,0))</f>
        <v>17.2</v>
      </c>
      <c r="AE121" s="41">
        <f>INDEX('[1]End - Use Prices'!$C$6:$AL$89,MATCH($C121,'[1]End - Use Prices'!$A$6:$A$89,0)+MATCH($D121,'[1]End - Use Prices'!$B$9:$B$11,0)-1,MATCH(AE$1,'[1]End - Use Prices'!$C$7:$AL$7,0))</f>
        <v>17.59</v>
      </c>
      <c r="AF121" s="41">
        <f>INDEX('[1]End - Use Prices'!$C$6:$AL$89,MATCH($C121,'[1]End - Use Prices'!$A$6:$A$89,0)+MATCH($D121,'[1]End - Use Prices'!$B$9:$B$11,0)-1,MATCH(AF$1,'[1]End - Use Prices'!$C$7:$AL$7,0))</f>
        <v>18.75</v>
      </c>
      <c r="AG121" s="41">
        <f>INDEX('[1]End - Use Prices'!$C$6:$AL$89,MATCH($C121,'[1]End - Use Prices'!$A$6:$A$89,0)+MATCH($D121,'[1]End - Use Prices'!$B$9:$B$11,0)-1,MATCH(AG$1,'[1]End - Use Prices'!$C$7:$AL$7,0))</f>
        <v>18.48</v>
      </c>
      <c r="AH121" s="41">
        <f>INDEX('[1]End - Use Prices'!$C$6:$AL$89,MATCH($C121,'[1]End - Use Prices'!$A$6:$A$89,0)+MATCH($D121,'[1]End - Use Prices'!$B$9:$B$11,0)-1,MATCH(AH$1,'[1]End - Use Prices'!$C$7:$AL$7,0))</f>
        <v>13.86</v>
      </c>
      <c r="AI121" s="41">
        <f>INDEX('[1]End - Use Prices'!$C$6:$AL$89,MATCH($C121,'[1]End - Use Prices'!$A$6:$A$89,0)+MATCH($D121,'[1]End - Use Prices'!$B$9:$B$11,0)-1,MATCH(AI$1,'[1]End - Use Prices'!$C$7:$AL$7,0))</f>
        <v>9.4700000000000006</v>
      </c>
      <c r="AJ121" s="41">
        <f>INDEX('[1]End - Use Prices'!$C$6:$AL$89,MATCH($C121,'[1]End - Use Prices'!$A$6:$A$89,0)+MATCH($D121,'[1]End - Use Prices'!$B$9:$B$11,0)-1,MATCH(AJ$1,'[1]End - Use Prices'!$C$7:$AL$7,0))</f>
        <v>10.75</v>
      </c>
      <c r="AK121" s="41">
        <f>INDEX('[1]End - Use Prices'!$C$6:$AL$89,MATCH($C121,'[1]End - Use Prices'!$A$6:$A$89,0)+MATCH($D121,'[1]End - Use Prices'!$B$9:$B$11,0)-1,MATCH(AK$1,'[1]End - Use Prices'!$C$7:$AL$7,0))</f>
        <v>10.63</v>
      </c>
      <c r="AL121" s="41">
        <f>INDEX('[1]End - Use Prices'!$C$6:$AL$89,MATCH($C121,'[1]End - Use Prices'!$A$6:$A$89,0)+MATCH($D121,'[1]End - Use Prices'!$B$9:$B$11,0)-1,MATCH(AL$1,'[1]End - Use Prices'!$C$7:$AL$7,0))</f>
        <v>10.61</v>
      </c>
      <c r="AM121" s="41">
        <f>INDEX('[1]End - Use Prices'!$C$6:$AL$89,MATCH($C121,'[1]End - Use Prices'!$A$6:$A$89,0)+MATCH($D121,'[1]End - Use Prices'!$B$9:$B$11,0)-1,MATCH(AM$1,'[1]End - Use Prices'!$C$7:$AL$7,0))</f>
        <v>10.91</v>
      </c>
      <c r="AN121" s="41">
        <f>INDEX('[1]End - Use Prices'!$C$6:$AL$89,MATCH($C121,'[1]End - Use Prices'!$A$6:$A$89,0)+MATCH($D121,'[1]End - Use Prices'!$B$9:$B$11,0)-1,MATCH(AN$1,'[1]End - Use Prices'!$C$7:$AL$7,0))</f>
        <v>11.07</v>
      </c>
      <c r="AO121" s="41">
        <f>INDEX('[1]End - Use Prices'!$C$6:$AL$89,MATCH($C121,'[1]End - Use Prices'!$A$6:$A$89,0)+MATCH($D121,'[1]End - Use Prices'!$B$9:$B$11,0)-1,MATCH(AO$1,'[1]End - Use Prices'!$C$7:$AL$7,0))</f>
        <v>11.22</v>
      </c>
      <c r="AP121" s="41">
        <f>INDEX('[1]End - Use Prices'!$C$6:$AL$89,MATCH($C121,'[1]End - Use Prices'!$A$6:$A$89,0)+MATCH($D121,'[1]End - Use Prices'!$B$9:$B$11,0)-1,MATCH(AP$1,'[1]End - Use Prices'!$C$7:$AL$7,0))</f>
        <v>11.35</v>
      </c>
      <c r="AQ121" s="41">
        <f>INDEX('[1]End - Use Prices'!$C$6:$AL$89,MATCH($C121,'[1]End - Use Prices'!$A$6:$A$89,0)+MATCH($D121,'[1]End - Use Prices'!$B$9:$B$11,0)-1,MATCH(AQ$1,'[1]End - Use Prices'!$C$7:$AL$7,0))</f>
        <v>11.35</v>
      </c>
      <c r="AR121" s="41">
        <f>INDEX('[1]End - Use Prices'!$C$6:$AL$89,MATCH($C121,'[1]End - Use Prices'!$A$6:$A$89,0)+MATCH($D121,'[1]End - Use Prices'!$B$9:$B$11,0)-1,MATCH(AR$1,'[1]End - Use Prices'!$C$7:$AL$7,0))</f>
        <v>11.38</v>
      </c>
      <c r="AS121" s="41">
        <f>INDEX('[1]End - Use Prices'!$C$6:$AL$89,MATCH($C121,'[1]End - Use Prices'!$A$6:$A$89,0)+MATCH($D121,'[1]End - Use Prices'!$B$9:$B$11,0)-1,MATCH(AS$1,'[1]End - Use Prices'!$C$7:$AL$7,0))</f>
        <v>11.48</v>
      </c>
      <c r="AT121" s="41">
        <f>INDEX('[1]End - Use Prices'!$C$6:$AL$89,MATCH($C121,'[1]End - Use Prices'!$A$6:$A$89,0)+MATCH($D121,'[1]End - Use Prices'!$B$9:$B$11,0)-1,MATCH(AT$1,'[1]End - Use Prices'!$C$7:$AL$7,0))</f>
        <v>11.57</v>
      </c>
      <c r="AU121" s="41">
        <f>INDEX('[1]End - Use Prices'!$C$6:$AL$89,MATCH($C121,'[1]End - Use Prices'!$A$6:$A$89,0)+MATCH($D121,'[1]End - Use Prices'!$B$9:$B$11,0)-1,MATCH(AU$1,'[1]End - Use Prices'!$C$7:$AL$7,0))</f>
        <v>11.67</v>
      </c>
      <c r="AV121" s="41">
        <f>INDEX('[1]End - Use Prices'!$C$6:$AL$89,MATCH($C121,'[1]End - Use Prices'!$A$6:$A$89,0)+MATCH($D121,'[1]End - Use Prices'!$B$9:$B$11,0)-1,MATCH(AV$1,'[1]End - Use Prices'!$C$7:$AL$7,0))</f>
        <v>11.79</v>
      </c>
      <c r="AW121" s="41">
        <f>INDEX('[1]End - Use Prices'!$C$6:$AL$89,MATCH($C121,'[1]End - Use Prices'!$A$6:$A$89,0)+MATCH($D121,'[1]End - Use Prices'!$B$9:$B$11,0)-1,MATCH(AW$1,'[1]End - Use Prices'!$C$7:$AL$7,0))</f>
        <v>11.9</v>
      </c>
      <c r="AX121" s="41">
        <f>INDEX('[1]End - Use Prices'!$C$6:$AL$89,MATCH($C121,'[1]End - Use Prices'!$A$6:$A$89,0)+MATCH($D121,'[1]End - Use Prices'!$B$9:$B$11,0)-1,MATCH(AX$1,'[1]End - Use Prices'!$C$7:$AL$7,0))</f>
        <v>12.02</v>
      </c>
      <c r="AY121" s="41">
        <f>INDEX('[1]End - Use Prices'!$C$6:$AL$89,MATCH($C121,'[1]End - Use Prices'!$A$6:$A$89,0)+MATCH($D121,'[1]End - Use Prices'!$B$9:$B$11,0)-1,MATCH(AY$1,'[1]End - Use Prices'!$C$7:$AL$7,0))</f>
        <v>12.15</v>
      </c>
      <c r="AZ121" s="41">
        <f>INDEX('[1]End - Use Prices'!$C$6:$AL$89,MATCH($C121,'[1]End - Use Prices'!$A$6:$A$89,0)+MATCH($D121,'[1]End - Use Prices'!$B$9:$B$11,0)-1,MATCH(AZ$1,'[1]End - Use Prices'!$C$7:$AL$7,0))</f>
        <v>12.3</v>
      </c>
      <c r="BA121" s="41">
        <f>INDEX('[1]End - Use Prices'!$C$6:$AL$89,MATCH($C121,'[1]End - Use Prices'!$A$6:$A$89,0)+MATCH($D121,'[1]End - Use Prices'!$B$9:$B$11,0)-1,MATCH(BA$1,'[1]End - Use Prices'!$C$7:$AL$7,0))</f>
        <v>12.38</v>
      </c>
      <c r="BB121" s="41">
        <f>INDEX('[1]End - Use Prices'!$C$6:$AL$89,MATCH($C121,'[1]End - Use Prices'!$A$6:$A$89,0)+MATCH($D121,'[1]End - Use Prices'!$B$9:$B$11,0)-1,MATCH(BB$1,'[1]End - Use Prices'!$C$7:$AL$7,0))</f>
        <v>12.45</v>
      </c>
      <c r="BC121" s="41">
        <f>INDEX('[1]End - Use Prices'!$C$6:$AL$89,MATCH($C121,'[1]End - Use Prices'!$A$6:$A$89,0)+MATCH($D121,'[1]End - Use Prices'!$B$9:$B$11,0)-1,MATCH(BC$1,'[1]End - Use Prices'!$C$7:$AL$7,0))</f>
        <v>12.52</v>
      </c>
      <c r="BD121" s="41">
        <f>INDEX('[1]End - Use Prices'!$C$6:$AL$89,MATCH($C121,'[1]End - Use Prices'!$A$6:$A$89,0)+MATCH($D121,'[1]End - Use Prices'!$B$9:$B$11,0)-1,MATCH(BD$1,'[1]End - Use Prices'!$C$7:$AL$7,0))</f>
        <v>12.57</v>
      </c>
      <c r="BE121" s="41">
        <f>INDEX('[1]End - Use Prices'!$C$6:$AL$89,MATCH($C121,'[1]End - Use Prices'!$A$6:$A$89,0)+MATCH($D121,'[1]End - Use Prices'!$B$9:$B$11,0)-1,MATCH(BE$1,'[1]End - Use Prices'!$C$7:$AL$7,0))</f>
        <v>12.6</v>
      </c>
      <c r="BF121" s="41">
        <f>INDEX('[1]End - Use Prices'!$C$6:$AL$89,MATCH($C121,'[1]End - Use Prices'!$A$6:$A$89,0)+MATCH($D121,'[1]End - Use Prices'!$B$9:$B$11,0)-1,MATCH(BF$1,'[1]End - Use Prices'!$C$7:$AL$7,0))</f>
        <v>12.64</v>
      </c>
      <c r="BG121" s="41">
        <f>INDEX('[1]End - Use Prices'!$C$6:$AL$89,MATCH($C121,'[1]End - Use Prices'!$A$6:$A$89,0)+MATCH($D121,'[1]End - Use Prices'!$B$9:$B$11,0)-1,MATCH(BG$1,'[1]End - Use Prices'!$C$7:$AL$7,0))</f>
        <v>12.67</v>
      </c>
      <c r="BR121" s="39"/>
      <c r="BS121" s="39"/>
      <c r="BT121" s="39"/>
      <c r="BU121" s="39"/>
      <c r="BV121" s="39"/>
      <c r="BW121" s="39"/>
      <c r="BX121" s="39"/>
      <c r="BY121" s="39"/>
      <c r="BZ121" s="39"/>
      <c r="CA121" s="39"/>
    </row>
    <row r="122" spans="1:79" x14ac:dyDescent="0.25">
      <c r="A122" s="5"/>
      <c r="B122" s="3"/>
      <c r="C122" s="25" t="s">
        <v>86</v>
      </c>
      <c r="D122" s="25" t="s">
        <v>14</v>
      </c>
      <c r="E122" s="25" t="s">
        <v>282</v>
      </c>
      <c r="F122" s="67" t="s">
        <v>279</v>
      </c>
      <c r="G122" s="53">
        <f t="shared" si="18"/>
        <v>18.899999999999999</v>
      </c>
      <c r="H122" s="34">
        <f t="shared" ref="H122:O137" si="21">INDEX($S122:$CA122,MATCH(H$1,$S$1:$CA$1,0))</f>
        <v>18.899999999999999</v>
      </c>
      <c r="I122" s="34">
        <f t="shared" si="21"/>
        <v>20.09</v>
      </c>
      <c r="J122" s="34">
        <f t="shared" si="21"/>
        <v>10.53</v>
      </c>
      <c r="K122" s="34">
        <f t="shared" si="21"/>
        <v>10.91</v>
      </c>
      <c r="L122" s="34">
        <f t="shared" si="21"/>
        <v>11.38</v>
      </c>
      <c r="M122" s="34">
        <f t="shared" si="21"/>
        <v>11.9</v>
      </c>
      <c r="N122" s="34">
        <f t="shared" si="21"/>
        <v>12.45</v>
      </c>
      <c r="O122" s="34">
        <f t="shared" si="21"/>
        <v>12.67</v>
      </c>
      <c r="P122" s="53">
        <f t="shared" si="20"/>
        <v>12.67</v>
      </c>
      <c r="Q122" s="53">
        <f t="shared" si="20"/>
        <v>12.67</v>
      </c>
      <c r="R122" s="38"/>
      <c r="X122" s="41">
        <f>INDEX('[1]End - Use Prices'!$C$6:$AL$89,MATCH($C122,'[1]End - Use Prices'!$A$6:$A$89,0)+MATCH($D122,'[1]End - Use Prices'!$B$9:$B$11,0)-1,MATCH(X$1,'[1]End - Use Prices'!$C$7:$AL$7,0))</f>
        <v>18.899999999999999</v>
      </c>
      <c r="Y122" s="41">
        <f>INDEX('[1]End - Use Prices'!$C$6:$AL$89,MATCH($C122,'[1]End - Use Prices'!$A$6:$A$89,0)+MATCH($D122,'[1]End - Use Prices'!$B$9:$B$11,0)-1,MATCH(Y$1,'[1]End - Use Prices'!$C$7:$AL$7,0))</f>
        <v>18.940000000000001</v>
      </c>
      <c r="Z122" s="41">
        <f>INDEX('[1]End - Use Prices'!$C$6:$AL$89,MATCH($C122,'[1]End - Use Prices'!$A$6:$A$89,0)+MATCH($D122,'[1]End - Use Prices'!$B$9:$B$11,0)-1,MATCH(Z$1,'[1]End - Use Prices'!$C$7:$AL$7,0))</f>
        <v>11.86</v>
      </c>
      <c r="AA122" s="41">
        <f>INDEX('[1]End - Use Prices'!$C$6:$AL$89,MATCH($C122,'[1]End - Use Prices'!$A$6:$A$89,0)+MATCH($D122,'[1]End - Use Prices'!$B$9:$B$11,0)-1,MATCH(AA$1,'[1]End - Use Prices'!$C$7:$AL$7,0))</f>
        <v>14.01</v>
      </c>
      <c r="AB122" s="41">
        <f>INDEX('[1]End - Use Prices'!$C$6:$AL$89,MATCH($C122,'[1]End - Use Prices'!$A$6:$A$89,0)+MATCH($D122,'[1]End - Use Prices'!$B$9:$B$11,0)-1,MATCH(AB$1,'[1]End - Use Prices'!$C$7:$AL$7,0))</f>
        <v>14.6</v>
      </c>
      <c r="AC122" s="41">
        <f>INDEX('[1]End - Use Prices'!$C$6:$AL$89,MATCH($C122,'[1]End - Use Prices'!$A$6:$A$89,0)+MATCH($D122,'[1]End - Use Prices'!$B$9:$B$11,0)-1,MATCH(AC$1,'[1]End - Use Prices'!$C$7:$AL$7,0))</f>
        <v>20.09</v>
      </c>
      <c r="AD122" s="41">
        <f>INDEX('[1]End - Use Prices'!$C$6:$AL$89,MATCH($C122,'[1]End - Use Prices'!$A$6:$A$89,0)+MATCH($D122,'[1]End - Use Prices'!$B$9:$B$11,0)-1,MATCH(AD$1,'[1]End - Use Prices'!$C$7:$AL$7,0))</f>
        <v>17.2</v>
      </c>
      <c r="AE122" s="41">
        <f>INDEX('[1]End - Use Prices'!$C$6:$AL$89,MATCH($C122,'[1]End - Use Prices'!$A$6:$A$89,0)+MATCH($D122,'[1]End - Use Prices'!$B$9:$B$11,0)-1,MATCH(AE$1,'[1]End - Use Prices'!$C$7:$AL$7,0))</f>
        <v>17.59</v>
      </c>
      <c r="AF122" s="41">
        <f>INDEX('[1]End - Use Prices'!$C$6:$AL$89,MATCH($C122,'[1]End - Use Prices'!$A$6:$A$89,0)+MATCH($D122,'[1]End - Use Prices'!$B$9:$B$11,0)-1,MATCH(AF$1,'[1]End - Use Prices'!$C$7:$AL$7,0))</f>
        <v>18.38</v>
      </c>
      <c r="AG122" s="41">
        <f>INDEX('[1]End - Use Prices'!$C$6:$AL$89,MATCH($C122,'[1]End - Use Prices'!$A$6:$A$89,0)+MATCH($D122,'[1]End - Use Prices'!$B$9:$B$11,0)-1,MATCH(AG$1,'[1]End - Use Prices'!$C$7:$AL$7,0))</f>
        <v>18.48</v>
      </c>
      <c r="AH122" s="41">
        <f>INDEX('[1]End - Use Prices'!$C$6:$AL$89,MATCH($C122,'[1]End - Use Prices'!$A$6:$A$89,0)+MATCH($D122,'[1]End - Use Prices'!$B$9:$B$11,0)-1,MATCH(AH$1,'[1]End - Use Prices'!$C$7:$AL$7,0))</f>
        <v>10.53</v>
      </c>
      <c r="AI122" s="41">
        <f>INDEX('[1]End - Use Prices'!$C$6:$AL$89,MATCH($C122,'[1]End - Use Prices'!$A$6:$A$89,0)+MATCH($D122,'[1]End - Use Prices'!$B$9:$B$11,0)-1,MATCH(AI$1,'[1]End - Use Prices'!$C$7:$AL$7,0))</f>
        <v>9.49</v>
      </c>
      <c r="AJ122" s="41">
        <f>INDEX('[1]End - Use Prices'!$C$6:$AL$89,MATCH($C122,'[1]End - Use Prices'!$A$6:$A$89,0)+MATCH($D122,'[1]End - Use Prices'!$B$9:$B$11,0)-1,MATCH(AJ$1,'[1]End - Use Prices'!$C$7:$AL$7,0))</f>
        <v>10.75</v>
      </c>
      <c r="AK122" s="41">
        <f>INDEX('[1]End - Use Prices'!$C$6:$AL$89,MATCH($C122,'[1]End - Use Prices'!$A$6:$A$89,0)+MATCH($D122,'[1]End - Use Prices'!$B$9:$B$11,0)-1,MATCH(AK$1,'[1]End - Use Prices'!$C$7:$AL$7,0))</f>
        <v>10.63</v>
      </c>
      <c r="AL122" s="41">
        <f>INDEX('[1]End - Use Prices'!$C$6:$AL$89,MATCH($C122,'[1]End - Use Prices'!$A$6:$A$89,0)+MATCH($D122,'[1]End - Use Prices'!$B$9:$B$11,0)-1,MATCH(AL$1,'[1]End - Use Prices'!$C$7:$AL$7,0))</f>
        <v>10.61</v>
      </c>
      <c r="AM122" s="41">
        <f>INDEX('[1]End - Use Prices'!$C$6:$AL$89,MATCH($C122,'[1]End - Use Prices'!$A$6:$A$89,0)+MATCH($D122,'[1]End - Use Prices'!$B$9:$B$11,0)-1,MATCH(AM$1,'[1]End - Use Prices'!$C$7:$AL$7,0))</f>
        <v>10.91</v>
      </c>
      <c r="AN122" s="41">
        <f>INDEX('[1]End - Use Prices'!$C$6:$AL$89,MATCH($C122,'[1]End - Use Prices'!$A$6:$A$89,0)+MATCH($D122,'[1]End - Use Prices'!$B$9:$B$11,0)-1,MATCH(AN$1,'[1]End - Use Prices'!$C$7:$AL$7,0))</f>
        <v>11.07</v>
      </c>
      <c r="AO122" s="41">
        <f>INDEX('[1]End - Use Prices'!$C$6:$AL$89,MATCH($C122,'[1]End - Use Prices'!$A$6:$A$89,0)+MATCH($D122,'[1]End - Use Prices'!$B$9:$B$11,0)-1,MATCH(AO$1,'[1]End - Use Prices'!$C$7:$AL$7,0))</f>
        <v>11.22</v>
      </c>
      <c r="AP122" s="41">
        <f>INDEX('[1]End - Use Prices'!$C$6:$AL$89,MATCH($C122,'[1]End - Use Prices'!$A$6:$A$89,0)+MATCH($D122,'[1]End - Use Prices'!$B$9:$B$11,0)-1,MATCH(AP$1,'[1]End - Use Prices'!$C$7:$AL$7,0))</f>
        <v>11.35</v>
      </c>
      <c r="AQ122" s="41">
        <f>INDEX('[1]End - Use Prices'!$C$6:$AL$89,MATCH($C122,'[1]End - Use Prices'!$A$6:$A$89,0)+MATCH($D122,'[1]End - Use Prices'!$B$9:$B$11,0)-1,MATCH(AQ$1,'[1]End - Use Prices'!$C$7:$AL$7,0))</f>
        <v>11.35</v>
      </c>
      <c r="AR122" s="41">
        <f>INDEX('[1]End - Use Prices'!$C$6:$AL$89,MATCH($C122,'[1]End - Use Prices'!$A$6:$A$89,0)+MATCH($D122,'[1]End - Use Prices'!$B$9:$B$11,0)-1,MATCH(AR$1,'[1]End - Use Prices'!$C$7:$AL$7,0))</f>
        <v>11.38</v>
      </c>
      <c r="AS122" s="41">
        <f>INDEX('[1]End - Use Prices'!$C$6:$AL$89,MATCH($C122,'[1]End - Use Prices'!$A$6:$A$89,0)+MATCH($D122,'[1]End - Use Prices'!$B$9:$B$11,0)-1,MATCH(AS$1,'[1]End - Use Prices'!$C$7:$AL$7,0))</f>
        <v>11.48</v>
      </c>
      <c r="AT122" s="41">
        <f>INDEX('[1]End - Use Prices'!$C$6:$AL$89,MATCH($C122,'[1]End - Use Prices'!$A$6:$A$89,0)+MATCH($D122,'[1]End - Use Prices'!$B$9:$B$11,0)-1,MATCH(AT$1,'[1]End - Use Prices'!$C$7:$AL$7,0))</f>
        <v>11.57</v>
      </c>
      <c r="AU122" s="41">
        <f>INDEX('[1]End - Use Prices'!$C$6:$AL$89,MATCH($C122,'[1]End - Use Prices'!$A$6:$A$89,0)+MATCH($D122,'[1]End - Use Prices'!$B$9:$B$11,0)-1,MATCH(AU$1,'[1]End - Use Prices'!$C$7:$AL$7,0))</f>
        <v>11.67</v>
      </c>
      <c r="AV122" s="41">
        <f>INDEX('[1]End - Use Prices'!$C$6:$AL$89,MATCH($C122,'[1]End - Use Prices'!$A$6:$A$89,0)+MATCH($D122,'[1]End - Use Prices'!$B$9:$B$11,0)-1,MATCH(AV$1,'[1]End - Use Prices'!$C$7:$AL$7,0))</f>
        <v>11.79</v>
      </c>
      <c r="AW122" s="41">
        <f>INDEX('[1]End - Use Prices'!$C$6:$AL$89,MATCH($C122,'[1]End - Use Prices'!$A$6:$A$89,0)+MATCH($D122,'[1]End - Use Prices'!$B$9:$B$11,0)-1,MATCH(AW$1,'[1]End - Use Prices'!$C$7:$AL$7,0))</f>
        <v>11.9</v>
      </c>
      <c r="AX122" s="41">
        <f>INDEX('[1]End - Use Prices'!$C$6:$AL$89,MATCH($C122,'[1]End - Use Prices'!$A$6:$A$89,0)+MATCH($D122,'[1]End - Use Prices'!$B$9:$B$11,0)-1,MATCH(AX$1,'[1]End - Use Prices'!$C$7:$AL$7,0))</f>
        <v>12.02</v>
      </c>
      <c r="AY122" s="41">
        <f>INDEX('[1]End - Use Prices'!$C$6:$AL$89,MATCH($C122,'[1]End - Use Prices'!$A$6:$A$89,0)+MATCH($D122,'[1]End - Use Prices'!$B$9:$B$11,0)-1,MATCH(AY$1,'[1]End - Use Prices'!$C$7:$AL$7,0))</f>
        <v>12.15</v>
      </c>
      <c r="AZ122" s="41">
        <f>INDEX('[1]End - Use Prices'!$C$6:$AL$89,MATCH($C122,'[1]End - Use Prices'!$A$6:$A$89,0)+MATCH($D122,'[1]End - Use Prices'!$B$9:$B$11,0)-1,MATCH(AZ$1,'[1]End - Use Prices'!$C$7:$AL$7,0))</f>
        <v>12.3</v>
      </c>
      <c r="BA122" s="41">
        <f>INDEX('[1]End - Use Prices'!$C$6:$AL$89,MATCH($C122,'[1]End - Use Prices'!$A$6:$A$89,0)+MATCH($D122,'[1]End - Use Prices'!$B$9:$B$11,0)-1,MATCH(BA$1,'[1]End - Use Prices'!$C$7:$AL$7,0))</f>
        <v>12.38</v>
      </c>
      <c r="BB122" s="41">
        <f>INDEX('[1]End - Use Prices'!$C$6:$AL$89,MATCH($C122,'[1]End - Use Prices'!$A$6:$A$89,0)+MATCH($D122,'[1]End - Use Prices'!$B$9:$B$11,0)-1,MATCH(BB$1,'[1]End - Use Prices'!$C$7:$AL$7,0))</f>
        <v>12.45</v>
      </c>
      <c r="BC122" s="41">
        <f>INDEX('[1]End - Use Prices'!$C$6:$AL$89,MATCH($C122,'[1]End - Use Prices'!$A$6:$A$89,0)+MATCH($D122,'[1]End - Use Prices'!$B$9:$B$11,0)-1,MATCH(BC$1,'[1]End - Use Prices'!$C$7:$AL$7,0))</f>
        <v>12.52</v>
      </c>
      <c r="BD122" s="41">
        <f>INDEX('[1]End - Use Prices'!$C$6:$AL$89,MATCH($C122,'[1]End - Use Prices'!$A$6:$A$89,0)+MATCH($D122,'[1]End - Use Prices'!$B$9:$B$11,0)-1,MATCH(BD$1,'[1]End - Use Prices'!$C$7:$AL$7,0))</f>
        <v>12.57</v>
      </c>
      <c r="BE122" s="41">
        <f>INDEX('[1]End - Use Prices'!$C$6:$AL$89,MATCH($C122,'[1]End - Use Prices'!$A$6:$A$89,0)+MATCH($D122,'[1]End - Use Prices'!$B$9:$B$11,0)-1,MATCH(BE$1,'[1]End - Use Prices'!$C$7:$AL$7,0))</f>
        <v>12.6</v>
      </c>
      <c r="BF122" s="41">
        <f>INDEX('[1]End - Use Prices'!$C$6:$AL$89,MATCH($C122,'[1]End - Use Prices'!$A$6:$A$89,0)+MATCH($D122,'[1]End - Use Prices'!$B$9:$B$11,0)-1,MATCH(BF$1,'[1]End - Use Prices'!$C$7:$AL$7,0))</f>
        <v>12.64</v>
      </c>
      <c r="BG122" s="41">
        <f>INDEX('[1]End - Use Prices'!$C$6:$AL$89,MATCH($C122,'[1]End - Use Prices'!$A$6:$A$89,0)+MATCH($D122,'[1]End - Use Prices'!$B$9:$B$11,0)-1,MATCH(BG$1,'[1]End - Use Prices'!$C$7:$AL$7,0))</f>
        <v>12.67</v>
      </c>
      <c r="BR122" s="39"/>
      <c r="BS122" s="39"/>
      <c r="BT122" s="39"/>
      <c r="BU122" s="39"/>
      <c r="BV122" s="39"/>
      <c r="BW122" s="39"/>
      <c r="BX122" s="39"/>
      <c r="BY122" s="39"/>
      <c r="BZ122" s="39"/>
      <c r="CA122" s="39"/>
    </row>
    <row r="123" spans="1:79" x14ac:dyDescent="0.25">
      <c r="A123" s="5"/>
      <c r="B123" s="3"/>
      <c r="C123" s="25" t="s">
        <v>87</v>
      </c>
      <c r="D123" s="25" t="s">
        <v>14</v>
      </c>
      <c r="E123" s="25" t="s">
        <v>282</v>
      </c>
      <c r="F123" s="67" t="s">
        <v>279</v>
      </c>
      <c r="G123" s="53">
        <f t="shared" si="18"/>
        <v>48.47</v>
      </c>
      <c r="H123" s="34">
        <f t="shared" si="21"/>
        <v>48.47</v>
      </c>
      <c r="I123" s="34">
        <f t="shared" si="21"/>
        <v>36.06</v>
      </c>
      <c r="J123" s="34">
        <f t="shared" si="21"/>
        <v>30.99</v>
      </c>
      <c r="K123" s="34">
        <f t="shared" si="21"/>
        <v>25.99</v>
      </c>
      <c r="L123" s="34">
        <f t="shared" si="21"/>
        <v>26.97</v>
      </c>
      <c r="M123" s="34">
        <f t="shared" si="21"/>
        <v>27.22</v>
      </c>
      <c r="N123" s="34">
        <f t="shared" si="21"/>
        <v>27.55</v>
      </c>
      <c r="O123" s="34">
        <f t="shared" si="21"/>
        <v>27.62</v>
      </c>
      <c r="P123" s="53">
        <f t="shared" si="20"/>
        <v>27.62</v>
      </c>
      <c r="Q123" s="53">
        <f t="shared" si="20"/>
        <v>27.62</v>
      </c>
      <c r="R123" s="38"/>
      <c r="X123" s="41">
        <f>INDEX('[1]End - Use Prices'!$C$6:$AL$89,MATCH($C123,'[1]End - Use Prices'!$A$6:$A$89,0)+MATCH($D123,'[1]End - Use Prices'!$B$9:$B$11,0)-1,MATCH(X$1,'[1]End - Use Prices'!$C$7:$AL$7,0))</f>
        <v>48.47</v>
      </c>
      <c r="Y123" s="41">
        <f>INDEX('[1]End - Use Prices'!$C$6:$AL$89,MATCH($C123,'[1]End - Use Prices'!$A$6:$A$89,0)+MATCH($D123,'[1]End - Use Prices'!$B$9:$B$11,0)-1,MATCH(Y$1,'[1]End - Use Prices'!$C$7:$AL$7,0))</f>
        <v>44.05</v>
      </c>
      <c r="Z123" s="41">
        <f>INDEX('[1]End - Use Prices'!$C$6:$AL$89,MATCH($C123,'[1]End - Use Prices'!$A$6:$A$89,0)+MATCH($D123,'[1]End - Use Prices'!$B$9:$B$11,0)-1,MATCH(Z$1,'[1]End - Use Prices'!$C$7:$AL$7,0))</f>
        <v>40.97</v>
      </c>
      <c r="AA123" s="41">
        <f>INDEX('[1]End - Use Prices'!$C$6:$AL$89,MATCH($C123,'[1]End - Use Prices'!$A$6:$A$89,0)+MATCH($D123,'[1]End - Use Prices'!$B$9:$B$11,0)-1,MATCH(AA$1,'[1]End - Use Prices'!$C$7:$AL$7,0))</f>
        <v>39.74</v>
      </c>
      <c r="AB123" s="41">
        <f>INDEX('[1]End - Use Prices'!$C$6:$AL$89,MATCH($C123,'[1]End - Use Prices'!$A$6:$A$89,0)+MATCH($D123,'[1]End - Use Prices'!$B$9:$B$11,0)-1,MATCH(AB$1,'[1]End - Use Prices'!$C$7:$AL$7,0))</f>
        <v>38.31</v>
      </c>
      <c r="AC123" s="41">
        <f>INDEX('[1]End - Use Prices'!$C$6:$AL$89,MATCH($C123,'[1]End - Use Prices'!$A$6:$A$89,0)+MATCH($D123,'[1]End - Use Prices'!$B$9:$B$11,0)-1,MATCH(AC$1,'[1]End - Use Prices'!$C$7:$AL$7,0))</f>
        <v>36.06</v>
      </c>
      <c r="AD123" s="41">
        <f>INDEX('[1]End - Use Prices'!$C$6:$AL$89,MATCH($C123,'[1]End - Use Prices'!$A$6:$A$89,0)+MATCH($D123,'[1]End - Use Prices'!$B$9:$B$11,0)-1,MATCH(AD$1,'[1]End - Use Prices'!$C$7:$AL$7,0))</f>
        <v>33.869999999999997</v>
      </c>
      <c r="AE123" s="41">
        <f>INDEX('[1]End - Use Prices'!$C$6:$AL$89,MATCH($C123,'[1]End - Use Prices'!$A$6:$A$89,0)+MATCH($D123,'[1]End - Use Prices'!$B$9:$B$11,0)-1,MATCH(AE$1,'[1]End - Use Prices'!$C$7:$AL$7,0))</f>
        <v>32.549999999999997</v>
      </c>
      <c r="AF123" s="41">
        <f>INDEX('[1]End - Use Prices'!$C$6:$AL$89,MATCH($C123,'[1]End - Use Prices'!$A$6:$A$89,0)+MATCH($D123,'[1]End - Use Prices'!$B$9:$B$11,0)-1,MATCH(AF$1,'[1]End - Use Prices'!$C$7:$AL$7,0))</f>
        <v>25.3</v>
      </c>
      <c r="AG123" s="41">
        <f>INDEX('[1]End - Use Prices'!$C$6:$AL$89,MATCH($C123,'[1]End - Use Prices'!$A$6:$A$89,0)+MATCH($D123,'[1]End - Use Prices'!$B$9:$B$11,0)-1,MATCH(AG$1,'[1]End - Use Prices'!$C$7:$AL$7,0))</f>
        <v>26.06</v>
      </c>
      <c r="AH123" s="41">
        <f>INDEX('[1]End - Use Prices'!$C$6:$AL$89,MATCH($C123,'[1]End - Use Prices'!$A$6:$A$89,0)+MATCH($D123,'[1]End - Use Prices'!$B$9:$B$11,0)-1,MATCH(AH$1,'[1]End - Use Prices'!$C$7:$AL$7,0))</f>
        <v>30.99</v>
      </c>
      <c r="AI123" s="41">
        <f>INDEX('[1]End - Use Prices'!$C$6:$AL$89,MATCH($C123,'[1]End - Use Prices'!$A$6:$A$89,0)+MATCH($D123,'[1]End - Use Prices'!$B$9:$B$11,0)-1,MATCH(AI$1,'[1]End - Use Prices'!$C$7:$AL$7,0))</f>
        <v>27.98</v>
      </c>
      <c r="AJ123" s="41">
        <f>INDEX('[1]End - Use Prices'!$C$6:$AL$89,MATCH($C123,'[1]End - Use Prices'!$A$6:$A$89,0)+MATCH($D123,'[1]End - Use Prices'!$B$9:$B$11,0)-1,MATCH(AJ$1,'[1]End - Use Prices'!$C$7:$AL$7,0))</f>
        <v>25.3</v>
      </c>
      <c r="AK123" s="41">
        <f>INDEX('[1]End - Use Prices'!$C$6:$AL$89,MATCH($C123,'[1]End - Use Prices'!$A$6:$A$89,0)+MATCH($D123,'[1]End - Use Prices'!$B$9:$B$11,0)-1,MATCH(AK$1,'[1]End - Use Prices'!$C$7:$AL$7,0))</f>
        <v>25.21</v>
      </c>
      <c r="AL123" s="41">
        <f>INDEX('[1]End - Use Prices'!$C$6:$AL$89,MATCH($C123,'[1]End - Use Prices'!$A$6:$A$89,0)+MATCH($D123,'[1]End - Use Prices'!$B$9:$B$11,0)-1,MATCH(AL$1,'[1]End - Use Prices'!$C$7:$AL$7,0))</f>
        <v>25.2</v>
      </c>
      <c r="AM123" s="41">
        <f>INDEX('[1]End - Use Prices'!$C$6:$AL$89,MATCH($C123,'[1]End - Use Prices'!$A$6:$A$89,0)+MATCH($D123,'[1]End - Use Prices'!$B$9:$B$11,0)-1,MATCH(AM$1,'[1]End - Use Prices'!$C$7:$AL$7,0))</f>
        <v>25.99</v>
      </c>
      <c r="AN123" s="41">
        <f>INDEX('[1]End - Use Prices'!$C$6:$AL$89,MATCH($C123,'[1]End - Use Prices'!$A$6:$A$89,0)+MATCH($D123,'[1]End - Use Prices'!$B$9:$B$11,0)-1,MATCH(AN$1,'[1]End - Use Prices'!$C$7:$AL$7,0))</f>
        <v>26.36</v>
      </c>
      <c r="AO123" s="41">
        <f>INDEX('[1]End - Use Prices'!$C$6:$AL$89,MATCH($C123,'[1]End - Use Prices'!$A$6:$A$89,0)+MATCH($D123,'[1]End - Use Prices'!$B$9:$B$11,0)-1,MATCH(AO$1,'[1]End - Use Prices'!$C$7:$AL$7,0))</f>
        <v>26.71</v>
      </c>
      <c r="AP123" s="41">
        <f>INDEX('[1]End - Use Prices'!$C$6:$AL$89,MATCH($C123,'[1]End - Use Prices'!$A$6:$A$89,0)+MATCH($D123,'[1]End - Use Prices'!$B$9:$B$11,0)-1,MATCH(AP$1,'[1]End - Use Prices'!$C$7:$AL$7,0))</f>
        <v>27.03</v>
      </c>
      <c r="AQ123" s="41">
        <f>INDEX('[1]End - Use Prices'!$C$6:$AL$89,MATCH($C123,'[1]End - Use Prices'!$A$6:$A$89,0)+MATCH($D123,'[1]End - Use Prices'!$B$9:$B$11,0)-1,MATCH(AQ$1,'[1]End - Use Prices'!$C$7:$AL$7,0))</f>
        <v>26.98</v>
      </c>
      <c r="AR123" s="41">
        <f>INDEX('[1]End - Use Prices'!$C$6:$AL$89,MATCH($C123,'[1]End - Use Prices'!$A$6:$A$89,0)+MATCH($D123,'[1]End - Use Prices'!$B$9:$B$11,0)-1,MATCH(AR$1,'[1]End - Use Prices'!$C$7:$AL$7,0))</f>
        <v>26.97</v>
      </c>
      <c r="AS123" s="41">
        <f>INDEX('[1]End - Use Prices'!$C$6:$AL$89,MATCH($C123,'[1]End - Use Prices'!$A$6:$A$89,0)+MATCH($D123,'[1]End - Use Prices'!$B$9:$B$11,0)-1,MATCH(AS$1,'[1]End - Use Prices'!$C$7:$AL$7,0))</f>
        <v>27.01</v>
      </c>
      <c r="AT123" s="41">
        <f>INDEX('[1]End - Use Prices'!$C$6:$AL$89,MATCH($C123,'[1]End - Use Prices'!$A$6:$A$89,0)+MATCH($D123,'[1]End - Use Prices'!$B$9:$B$11,0)-1,MATCH(AT$1,'[1]End - Use Prices'!$C$7:$AL$7,0))</f>
        <v>27.04</v>
      </c>
      <c r="AU123" s="41">
        <f>INDEX('[1]End - Use Prices'!$C$6:$AL$89,MATCH($C123,'[1]End - Use Prices'!$A$6:$A$89,0)+MATCH($D123,'[1]End - Use Prices'!$B$9:$B$11,0)-1,MATCH(AU$1,'[1]End - Use Prices'!$C$7:$AL$7,0))</f>
        <v>27.1</v>
      </c>
      <c r="AV123" s="41">
        <f>INDEX('[1]End - Use Prices'!$C$6:$AL$89,MATCH($C123,'[1]End - Use Prices'!$A$6:$A$89,0)+MATCH($D123,'[1]End - Use Prices'!$B$9:$B$11,0)-1,MATCH(AV$1,'[1]End - Use Prices'!$C$7:$AL$7,0))</f>
        <v>27.16</v>
      </c>
      <c r="AW123" s="41">
        <f>INDEX('[1]End - Use Prices'!$C$6:$AL$89,MATCH($C123,'[1]End - Use Prices'!$A$6:$A$89,0)+MATCH($D123,'[1]End - Use Prices'!$B$9:$B$11,0)-1,MATCH(AW$1,'[1]End - Use Prices'!$C$7:$AL$7,0))</f>
        <v>27.22</v>
      </c>
      <c r="AX123" s="41">
        <f>INDEX('[1]End - Use Prices'!$C$6:$AL$89,MATCH($C123,'[1]End - Use Prices'!$A$6:$A$89,0)+MATCH($D123,'[1]End - Use Prices'!$B$9:$B$11,0)-1,MATCH(AX$1,'[1]End - Use Prices'!$C$7:$AL$7,0))</f>
        <v>27.29</v>
      </c>
      <c r="AY123" s="41">
        <f>INDEX('[1]End - Use Prices'!$C$6:$AL$89,MATCH($C123,'[1]End - Use Prices'!$A$6:$A$89,0)+MATCH($D123,'[1]End - Use Prices'!$B$9:$B$11,0)-1,MATCH(AY$1,'[1]End - Use Prices'!$C$7:$AL$7,0))</f>
        <v>27.37</v>
      </c>
      <c r="AZ123" s="41">
        <f>INDEX('[1]End - Use Prices'!$C$6:$AL$89,MATCH($C123,'[1]End - Use Prices'!$A$6:$A$89,0)+MATCH($D123,'[1]End - Use Prices'!$B$9:$B$11,0)-1,MATCH(AZ$1,'[1]End - Use Prices'!$C$7:$AL$7,0))</f>
        <v>27.46</v>
      </c>
      <c r="BA123" s="41">
        <f>INDEX('[1]End - Use Prices'!$C$6:$AL$89,MATCH($C123,'[1]End - Use Prices'!$A$6:$A$89,0)+MATCH($D123,'[1]End - Use Prices'!$B$9:$B$11,0)-1,MATCH(BA$1,'[1]End - Use Prices'!$C$7:$AL$7,0))</f>
        <v>27.51</v>
      </c>
      <c r="BB123" s="41">
        <f>INDEX('[1]End - Use Prices'!$C$6:$AL$89,MATCH($C123,'[1]End - Use Prices'!$A$6:$A$89,0)+MATCH($D123,'[1]End - Use Prices'!$B$9:$B$11,0)-1,MATCH(BB$1,'[1]End - Use Prices'!$C$7:$AL$7,0))</f>
        <v>27.55</v>
      </c>
      <c r="BC123" s="41">
        <f>INDEX('[1]End - Use Prices'!$C$6:$AL$89,MATCH($C123,'[1]End - Use Prices'!$A$6:$A$89,0)+MATCH($D123,'[1]End - Use Prices'!$B$9:$B$11,0)-1,MATCH(BC$1,'[1]End - Use Prices'!$C$7:$AL$7,0))</f>
        <v>27.58</v>
      </c>
      <c r="BD123" s="41">
        <f>INDEX('[1]End - Use Prices'!$C$6:$AL$89,MATCH($C123,'[1]End - Use Prices'!$A$6:$A$89,0)+MATCH($D123,'[1]End - Use Prices'!$B$9:$B$11,0)-1,MATCH(BD$1,'[1]End - Use Prices'!$C$7:$AL$7,0))</f>
        <v>27.6</v>
      </c>
      <c r="BE123" s="41">
        <f>INDEX('[1]End - Use Prices'!$C$6:$AL$89,MATCH($C123,'[1]End - Use Prices'!$A$6:$A$89,0)+MATCH($D123,'[1]End - Use Prices'!$B$9:$B$11,0)-1,MATCH(BE$1,'[1]End - Use Prices'!$C$7:$AL$7,0))</f>
        <v>27.61</v>
      </c>
      <c r="BF123" s="41">
        <f>INDEX('[1]End - Use Prices'!$C$6:$AL$89,MATCH($C123,'[1]End - Use Prices'!$A$6:$A$89,0)+MATCH($D123,'[1]End - Use Prices'!$B$9:$B$11,0)-1,MATCH(BF$1,'[1]End - Use Prices'!$C$7:$AL$7,0))</f>
        <v>27.62</v>
      </c>
      <c r="BG123" s="41">
        <f>INDEX('[1]End - Use Prices'!$C$6:$AL$89,MATCH($C123,'[1]End - Use Prices'!$A$6:$A$89,0)+MATCH($D123,'[1]End - Use Prices'!$B$9:$B$11,0)-1,MATCH(BG$1,'[1]End - Use Prices'!$C$7:$AL$7,0))</f>
        <v>27.62</v>
      </c>
      <c r="BR123" s="39"/>
      <c r="BS123" s="39"/>
      <c r="BT123" s="39"/>
      <c r="BU123" s="39"/>
      <c r="BV123" s="39"/>
      <c r="BW123" s="39"/>
      <c r="BX123" s="39"/>
      <c r="BY123" s="39"/>
      <c r="BZ123" s="39"/>
      <c r="CA123" s="39"/>
    </row>
    <row r="124" spans="1:79" x14ac:dyDescent="0.25">
      <c r="A124" s="5"/>
      <c r="B124" s="3"/>
      <c r="C124" s="25" t="s">
        <v>88</v>
      </c>
      <c r="D124" s="25" t="s">
        <v>14</v>
      </c>
      <c r="E124" s="25" t="s">
        <v>282</v>
      </c>
      <c r="F124" s="67" t="s">
        <v>279</v>
      </c>
      <c r="G124" s="53">
        <f t="shared" si="18"/>
        <v>18.899999999999999</v>
      </c>
      <c r="H124" s="34">
        <f t="shared" si="21"/>
        <v>18.899999999999999</v>
      </c>
      <c r="I124" s="34">
        <f t="shared" si="21"/>
        <v>20.09</v>
      </c>
      <c r="J124" s="34">
        <f t="shared" si="21"/>
        <v>13.86</v>
      </c>
      <c r="K124" s="34">
        <f t="shared" si="21"/>
        <v>11.56</v>
      </c>
      <c r="L124" s="34">
        <f t="shared" si="21"/>
        <v>12.76</v>
      </c>
      <c r="M124" s="34">
        <f t="shared" si="21"/>
        <v>13.11</v>
      </c>
      <c r="N124" s="34">
        <f t="shared" si="21"/>
        <v>13.55</v>
      </c>
      <c r="O124" s="34">
        <f t="shared" si="21"/>
        <v>13.67</v>
      </c>
      <c r="P124" s="53">
        <f t="shared" si="20"/>
        <v>13.67</v>
      </c>
      <c r="Q124" s="53">
        <f t="shared" si="20"/>
        <v>13.67</v>
      </c>
      <c r="R124" s="38"/>
      <c r="X124" s="41">
        <f>INDEX('[1]End - Use Prices'!$C$6:$AL$89,MATCH($C124,'[1]End - Use Prices'!$A$6:$A$89,0)+MATCH($D124,'[1]End - Use Prices'!$B$9:$B$11,0)-1,MATCH(X$1,'[1]End - Use Prices'!$C$7:$AL$7,0))</f>
        <v>18.899999999999999</v>
      </c>
      <c r="Y124" s="41">
        <f>INDEX('[1]End - Use Prices'!$C$6:$AL$89,MATCH($C124,'[1]End - Use Prices'!$A$6:$A$89,0)+MATCH($D124,'[1]End - Use Prices'!$B$9:$B$11,0)-1,MATCH(Y$1,'[1]End - Use Prices'!$C$7:$AL$7,0))</f>
        <v>18.940000000000001</v>
      </c>
      <c r="Z124" s="41">
        <f>INDEX('[1]End - Use Prices'!$C$6:$AL$89,MATCH($C124,'[1]End - Use Prices'!$A$6:$A$89,0)+MATCH($D124,'[1]End - Use Prices'!$B$9:$B$11,0)-1,MATCH(Z$1,'[1]End - Use Prices'!$C$7:$AL$7,0))</f>
        <v>11.86</v>
      </c>
      <c r="AA124" s="41">
        <f>INDEX('[1]End - Use Prices'!$C$6:$AL$89,MATCH($C124,'[1]End - Use Prices'!$A$6:$A$89,0)+MATCH($D124,'[1]End - Use Prices'!$B$9:$B$11,0)-1,MATCH(AA$1,'[1]End - Use Prices'!$C$7:$AL$7,0))</f>
        <v>14.01</v>
      </c>
      <c r="AB124" s="41">
        <f>INDEX('[1]End - Use Prices'!$C$6:$AL$89,MATCH($C124,'[1]End - Use Prices'!$A$6:$A$89,0)+MATCH($D124,'[1]End - Use Prices'!$B$9:$B$11,0)-1,MATCH(AB$1,'[1]End - Use Prices'!$C$7:$AL$7,0))</f>
        <v>14.6</v>
      </c>
      <c r="AC124" s="41">
        <f>INDEX('[1]End - Use Prices'!$C$6:$AL$89,MATCH($C124,'[1]End - Use Prices'!$A$6:$A$89,0)+MATCH($D124,'[1]End - Use Prices'!$B$9:$B$11,0)-1,MATCH(AC$1,'[1]End - Use Prices'!$C$7:$AL$7,0))</f>
        <v>20.09</v>
      </c>
      <c r="AD124" s="41">
        <f>INDEX('[1]End - Use Prices'!$C$6:$AL$89,MATCH($C124,'[1]End - Use Prices'!$A$6:$A$89,0)+MATCH($D124,'[1]End - Use Prices'!$B$9:$B$11,0)-1,MATCH(AD$1,'[1]End - Use Prices'!$C$7:$AL$7,0))</f>
        <v>17.2</v>
      </c>
      <c r="AE124" s="41">
        <f>INDEX('[1]End - Use Prices'!$C$6:$AL$89,MATCH($C124,'[1]End - Use Prices'!$A$6:$A$89,0)+MATCH($D124,'[1]End - Use Prices'!$B$9:$B$11,0)-1,MATCH(AE$1,'[1]End - Use Prices'!$C$7:$AL$7,0))</f>
        <v>17.59</v>
      </c>
      <c r="AF124" s="41">
        <f>INDEX('[1]End - Use Prices'!$C$6:$AL$89,MATCH($C124,'[1]End - Use Prices'!$A$6:$A$89,0)+MATCH($D124,'[1]End - Use Prices'!$B$9:$B$11,0)-1,MATCH(AF$1,'[1]End - Use Prices'!$C$7:$AL$7,0))</f>
        <v>18.75</v>
      </c>
      <c r="AG124" s="41">
        <f>INDEX('[1]End - Use Prices'!$C$6:$AL$89,MATCH($C124,'[1]End - Use Prices'!$A$6:$A$89,0)+MATCH($D124,'[1]End - Use Prices'!$B$9:$B$11,0)-1,MATCH(AG$1,'[1]End - Use Prices'!$C$7:$AL$7,0))</f>
        <v>18.48</v>
      </c>
      <c r="AH124" s="41">
        <f>INDEX('[1]End - Use Prices'!$C$6:$AL$89,MATCH($C124,'[1]End - Use Prices'!$A$6:$A$89,0)+MATCH($D124,'[1]End - Use Prices'!$B$9:$B$11,0)-1,MATCH(AH$1,'[1]End - Use Prices'!$C$7:$AL$7,0))</f>
        <v>13.86</v>
      </c>
      <c r="AI124" s="41">
        <f>INDEX('[1]End - Use Prices'!$C$6:$AL$89,MATCH($C124,'[1]End - Use Prices'!$A$6:$A$89,0)+MATCH($D124,'[1]End - Use Prices'!$B$9:$B$11,0)-1,MATCH(AI$1,'[1]End - Use Prices'!$C$7:$AL$7,0))</f>
        <v>9.4700000000000006</v>
      </c>
      <c r="AJ124" s="41">
        <f>INDEX('[1]End - Use Prices'!$C$6:$AL$89,MATCH($C124,'[1]End - Use Prices'!$A$6:$A$89,0)+MATCH($D124,'[1]End - Use Prices'!$B$9:$B$11,0)-1,MATCH(AJ$1,'[1]End - Use Prices'!$C$7:$AL$7,0))</f>
        <v>10.75</v>
      </c>
      <c r="AK124" s="41">
        <f>INDEX('[1]End - Use Prices'!$C$6:$AL$89,MATCH($C124,'[1]End - Use Prices'!$A$6:$A$89,0)+MATCH($D124,'[1]End - Use Prices'!$B$9:$B$11,0)-1,MATCH(AK$1,'[1]End - Use Prices'!$C$7:$AL$7,0))</f>
        <v>10.63</v>
      </c>
      <c r="AL124" s="41">
        <f>INDEX('[1]End - Use Prices'!$C$6:$AL$89,MATCH($C124,'[1]End - Use Prices'!$A$6:$A$89,0)+MATCH($D124,'[1]End - Use Prices'!$B$9:$B$11,0)-1,MATCH(AL$1,'[1]End - Use Prices'!$C$7:$AL$7,0))</f>
        <v>10.61</v>
      </c>
      <c r="AM124" s="41">
        <f>INDEX('[1]End - Use Prices'!$C$6:$AL$89,MATCH($C124,'[1]End - Use Prices'!$A$6:$A$89,0)+MATCH($D124,'[1]End - Use Prices'!$B$9:$B$11,0)-1,MATCH(AM$1,'[1]End - Use Prices'!$C$7:$AL$7,0))</f>
        <v>11.56</v>
      </c>
      <c r="AN124" s="41">
        <f>INDEX('[1]End - Use Prices'!$C$6:$AL$89,MATCH($C124,'[1]End - Use Prices'!$A$6:$A$89,0)+MATCH($D124,'[1]End - Use Prices'!$B$9:$B$11,0)-1,MATCH(AN$1,'[1]End - Use Prices'!$C$7:$AL$7,0))</f>
        <v>12.01</v>
      </c>
      <c r="AO124" s="41">
        <f>INDEX('[1]End - Use Prices'!$C$6:$AL$89,MATCH($C124,'[1]End - Use Prices'!$A$6:$A$89,0)+MATCH($D124,'[1]End - Use Prices'!$B$9:$B$11,0)-1,MATCH(AO$1,'[1]End - Use Prices'!$C$7:$AL$7,0))</f>
        <v>12.44</v>
      </c>
      <c r="AP124" s="41">
        <f>INDEX('[1]End - Use Prices'!$C$6:$AL$89,MATCH($C124,'[1]End - Use Prices'!$A$6:$A$89,0)+MATCH($D124,'[1]End - Use Prices'!$B$9:$B$11,0)-1,MATCH(AP$1,'[1]End - Use Prices'!$C$7:$AL$7,0))</f>
        <v>12.83</v>
      </c>
      <c r="AQ124" s="41">
        <f>INDEX('[1]End - Use Prices'!$C$6:$AL$89,MATCH($C124,'[1]End - Use Prices'!$A$6:$A$89,0)+MATCH($D124,'[1]End - Use Prices'!$B$9:$B$11,0)-1,MATCH(AQ$1,'[1]End - Use Prices'!$C$7:$AL$7,0))</f>
        <v>12.77</v>
      </c>
      <c r="AR124" s="41">
        <f>INDEX('[1]End - Use Prices'!$C$6:$AL$89,MATCH($C124,'[1]End - Use Prices'!$A$6:$A$89,0)+MATCH($D124,'[1]End - Use Prices'!$B$9:$B$11,0)-1,MATCH(AR$1,'[1]End - Use Prices'!$C$7:$AL$7,0))</f>
        <v>12.76</v>
      </c>
      <c r="AS124" s="41">
        <f>INDEX('[1]End - Use Prices'!$C$6:$AL$89,MATCH($C124,'[1]End - Use Prices'!$A$6:$A$89,0)+MATCH($D124,'[1]End - Use Prices'!$B$9:$B$11,0)-1,MATCH(AS$1,'[1]End - Use Prices'!$C$7:$AL$7,0))</f>
        <v>12.82</v>
      </c>
      <c r="AT124" s="41">
        <f>INDEX('[1]End - Use Prices'!$C$6:$AL$89,MATCH($C124,'[1]End - Use Prices'!$A$6:$A$89,0)+MATCH($D124,'[1]End - Use Prices'!$B$9:$B$11,0)-1,MATCH(AT$1,'[1]End - Use Prices'!$C$7:$AL$7,0))</f>
        <v>12.87</v>
      </c>
      <c r="AU124" s="41">
        <f>INDEX('[1]End - Use Prices'!$C$6:$AL$89,MATCH($C124,'[1]End - Use Prices'!$A$6:$A$89,0)+MATCH($D124,'[1]End - Use Prices'!$B$9:$B$11,0)-1,MATCH(AU$1,'[1]End - Use Prices'!$C$7:$AL$7,0))</f>
        <v>12.94</v>
      </c>
      <c r="AV124" s="41">
        <f>INDEX('[1]End - Use Prices'!$C$6:$AL$89,MATCH($C124,'[1]End - Use Prices'!$A$6:$A$89,0)+MATCH($D124,'[1]End - Use Prices'!$B$9:$B$11,0)-1,MATCH(AV$1,'[1]End - Use Prices'!$C$7:$AL$7,0))</f>
        <v>13.03</v>
      </c>
      <c r="AW124" s="41">
        <f>INDEX('[1]End - Use Prices'!$C$6:$AL$89,MATCH($C124,'[1]End - Use Prices'!$A$6:$A$89,0)+MATCH($D124,'[1]End - Use Prices'!$B$9:$B$11,0)-1,MATCH(AW$1,'[1]End - Use Prices'!$C$7:$AL$7,0))</f>
        <v>13.11</v>
      </c>
      <c r="AX124" s="41">
        <f>INDEX('[1]End - Use Prices'!$C$6:$AL$89,MATCH($C124,'[1]End - Use Prices'!$A$6:$A$89,0)+MATCH($D124,'[1]End - Use Prices'!$B$9:$B$11,0)-1,MATCH(AX$1,'[1]End - Use Prices'!$C$7:$AL$7,0))</f>
        <v>13.21</v>
      </c>
      <c r="AY124" s="41">
        <f>INDEX('[1]End - Use Prices'!$C$6:$AL$89,MATCH($C124,'[1]End - Use Prices'!$A$6:$A$89,0)+MATCH($D124,'[1]End - Use Prices'!$B$9:$B$11,0)-1,MATCH(AY$1,'[1]End - Use Prices'!$C$7:$AL$7,0))</f>
        <v>13.32</v>
      </c>
      <c r="AZ124" s="41">
        <f>INDEX('[1]End - Use Prices'!$C$6:$AL$89,MATCH($C124,'[1]End - Use Prices'!$A$6:$A$89,0)+MATCH($D124,'[1]End - Use Prices'!$B$9:$B$11,0)-1,MATCH(AZ$1,'[1]End - Use Prices'!$C$7:$AL$7,0))</f>
        <v>13.44</v>
      </c>
      <c r="BA124" s="41">
        <f>INDEX('[1]End - Use Prices'!$C$6:$AL$89,MATCH($C124,'[1]End - Use Prices'!$A$6:$A$89,0)+MATCH($D124,'[1]End - Use Prices'!$B$9:$B$11,0)-1,MATCH(BA$1,'[1]End - Use Prices'!$C$7:$AL$7,0))</f>
        <v>13.5</v>
      </c>
      <c r="BB124" s="41">
        <f>INDEX('[1]End - Use Prices'!$C$6:$AL$89,MATCH($C124,'[1]End - Use Prices'!$A$6:$A$89,0)+MATCH($D124,'[1]End - Use Prices'!$B$9:$B$11,0)-1,MATCH(BB$1,'[1]End - Use Prices'!$C$7:$AL$7,0))</f>
        <v>13.55</v>
      </c>
      <c r="BC124" s="41">
        <f>INDEX('[1]End - Use Prices'!$C$6:$AL$89,MATCH($C124,'[1]End - Use Prices'!$A$6:$A$89,0)+MATCH($D124,'[1]End - Use Prices'!$B$9:$B$11,0)-1,MATCH(BC$1,'[1]End - Use Prices'!$C$7:$AL$7,0))</f>
        <v>13.6</v>
      </c>
      <c r="BD124" s="41">
        <f>INDEX('[1]End - Use Prices'!$C$6:$AL$89,MATCH($C124,'[1]End - Use Prices'!$A$6:$A$89,0)+MATCH($D124,'[1]End - Use Prices'!$B$9:$B$11,0)-1,MATCH(BD$1,'[1]End - Use Prices'!$C$7:$AL$7,0))</f>
        <v>13.63</v>
      </c>
      <c r="BE124" s="41">
        <f>INDEX('[1]End - Use Prices'!$C$6:$AL$89,MATCH($C124,'[1]End - Use Prices'!$A$6:$A$89,0)+MATCH($D124,'[1]End - Use Prices'!$B$9:$B$11,0)-1,MATCH(BE$1,'[1]End - Use Prices'!$C$7:$AL$7,0))</f>
        <v>13.64</v>
      </c>
      <c r="BF124" s="41">
        <f>INDEX('[1]End - Use Prices'!$C$6:$AL$89,MATCH($C124,'[1]End - Use Prices'!$A$6:$A$89,0)+MATCH($D124,'[1]End - Use Prices'!$B$9:$B$11,0)-1,MATCH(BF$1,'[1]End - Use Prices'!$C$7:$AL$7,0))</f>
        <v>13.66</v>
      </c>
      <c r="BG124" s="41">
        <f>INDEX('[1]End - Use Prices'!$C$6:$AL$89,MATCH($C124,'[1]End - Use Prices'!$A$6:$A$89,0)+MATCH($D124,'[1]End - Use Prices'!$B$9:$B$11,0)-1,MATCH(BG$1,'[1]End - Use Prices'!$C$7:$AL$7,0))</f>
        <v>13.67</v>
      </c>
      <c r="BR124" s="39"/>
      <c r="BS124" s="39"/>
      <c r="BT124" s="39"/>
      <c r="BU124" s="39"/>
      <c r="BV124" s="39"/>
      <c r="BW124" s="39"/>
      <c r="BX124" s="39"/>
      <c r="BY124" s="39"/>
      <c r="BZ124" s="39"/>
      <c r="CA124" s="39"/>
    </row>
    <row r="125" spans="1:79" x14ac:dyDescent="0.25">
      <c r="A125" s="5"/>
      <c r="B125" s="3"/>
      <c r="C125" s="25" t="s">
        <v>89</v>
      </c>
      <c r="D125" s="25" t="s">
        <v>14</v>
      </c>
      <c r="E125" s="25" t="s">
        <v>282</v>
      </c>
      <c r="F125" s="67" t="s">
        <v>279</v>
      </c>
      <c r="G125" s="53">
        <f t="shared" si="18"/>
        <v>20.32</v>
      </c>
      <c r="H125" s="34">
        <f t="shared" si="21"/>
        <v>20.32</v>
      </c>
      <c r="I125" s="34">
        <f t="shared" si="21"/>
        <v>18.399999999999999</v>
      </c>
      <c r="J125" s="34">
        <f t="shared" si="21"/>
        <v>15.95</v>
      </c>
      <c r="K125" s="34">
        <f t="shared" si="21"/>
        <v>15</v>
      </c>
      <c r="L125" s="34">
        <f t="shared" si="21"/>
        <v>16.07</v>
      </c>
      <c r="M125" s="34">
        <f t="shared" si="21"/>
        <v>16.5</v>
      </c>
      <c r="N125" s="34">
        <f t="shared" si="21"/>
        <v>16.809999999999999</v>
      </c>
      <c r="O125" s="34">
        <f t="shared" si="21"/>
        <v>16.809999999999999</v>
      </c>
      <c r="P125" s="53">
        <f t="shared" si="20"/>
        <v>16.809999999999999</v>
      </c>
      <c r="Q125" s="53">
        <f t="shared" si="20"/>
        <v>16.809999999999999</v>
      </c>
      <c r="R125" s="38"/>
      <c r="X125" s="41">
        <f>INDEX('[1]End - Use Prices'!$C$6:$AL$89,MATCH($C125,'[1]End - Use Prices'!$A$6:$A$89,0)+MATCH($D125,'[1]End - Use Prices'!$B$9:$B$11,0)-1,MATCH(X$1,'[1]End - Use Prices'!$C$7:$AL$7,0))</f>
        <v>20.32</v>
      </c>
      <c r="Y125" s="41">
        <f>INDEX('[1]End - Use Prices'!$C$6:$AL$89,MATCH($C125,'[1]End - Use Prices'!$A$6:$A$89,0)+MATCH($D125,'[1]End - Use Prices'!$B$9:$B$11,0)-1,MATCH(Y$1,'[1]End - Use Prices'!$C$7:$AL$7,0))</f>
        <v>20.36</v>
      </c>
      <c r="Z125" s="41">
        <f>INDEX('[1]End - Use Prices'!$C$6:$AL$89,MATCH($C125,'[1]End - Use Prices'!$A$6:$A$89,0)+MATCH($D125,'[1]End - Use Prices'!$B$9:$B$11,0)-1,MATCH(Z$1,'[1]End - Use Prices'!$C$7:$AL$7,0))</f>
        <v>19</v>
      </c>
      <c r="AA125" s="41">
        <f>INDEX('[1]End - Use Prices'!$C$6:$AL$89,MATCH($C125,'[1]End - Use Prices'!$A$6:$A$89,0)+MATCH($D125,'[1]End - Use Prices'!$B$9:$B$11,0)-1,MATCH(AA$1,'[1]End - Use Prices'!$C$7:$AL$7,0))</f>
        <v>19.5</v>
      </c>
      <c r="AB125" s="41">
        <f>INDEX('[1]End - Use Prices'!$C$6:$AL$89,MATCH($C125,'[1]End - Use Prices'!$A$6:$A$89,0)+MATCH($D125,'[1]End - Use Prices'!$B$9:$B$11,0)-1,MATCH(AB$1,'[1]End - Use Prices'!$C$7:$AL$7,0))</f>
        <v>18.579999999999998</v>
      </c>
      <c r="AC125" s="41">
        <f>INDEX('[1]End - Use Prices'!$C$6:$AL$89,MATCH($C125,'[1]End - Use Prices'!$A$6:$A$89,0)+MATCH($D125,'[1]End - Use Prices'!$B$9:$B$11,0)-1,MATCH(AC$1,'[1]End - Use Prices'!$C$7:$AL$7,0))</f>
        <v>18.399999999999999</v>
      </c>
      <c r="AD125" s="41">
        <f>INDEX('[1]End - Use Prices'!$C$6:$AL$89,MATCH($C125,'[1]End - Use Prices'!$A$6:$A$89,0)+MATCH($D125,'[1]End - Use Prices'!$B$9:$B$11,0)-1,MATCH(AD$1,'[1]End - Use Prices'!$C$7:$AL$7,0))</f>
        <v>17.54</v>
      </c>
      <c r="AE125" s="41">
        <f>INDEX('[1]End - Use Prices'!$C$6:$AL$89,MATCH($C125,'[1]End - Use Prices'!$A$6:$A$89,0)+MATCH($D125,'[1]End - Use Prices'!$B$9:$B$11,0)-1,MATCH(AE$1,'[1]End - Use Prices'!$C$7:$AL$7,0))</f>
        <v>17.05</v>
      </c>
      <c r="AF125" s="41">
        <f>INDEX('[1]End - Use Prices'!$C$6:$AL$89,MATCH($C125,'[1]End - Use Prices'!$A$6:$A$89,0)+MATCH($D125,'[1]End - Use Prices'!$B$9:$B$11,0)-1,MATCH(AF$1,'[1]End - Use Prices'!$C$7:$AL$7,0))</f>
        <v>15.49</v>
      </c>
      <c r="AG125" s="41">
        <f>INDEX('[1]End - Use Prices'!$C$6:$AL$89,MATCH($C125,'[1]End - Use Prices'!$A$6:$A$89,0)+MATCH($D125,'[1]End - Use Prices'!$B$9:$B$11,0)-1,MATCH(AG$1,'[1]End - Use Prices'!$C$7:$AL$7,0))</f>
        <v>16.84</v>
      </c>
      <c r="AH125" s="41">
        <f>INDEX('[1]End - Use Prices'!$C$6:$AL$89,MATCH($C125,'[1]End - Use Prices'!$A$6:$A$89,0)+MATCH($D125,'[1]End - Use Prices'!$B$9:$B$11,0)-1,MATCH(AH$1,'[1]End - Use Prices'!$C$7:$AL$7,0))</f>
        <v>15.95</v>
      </c>
      <c r="AI125" s="41">
        <f>INDEX('[1]End - Use Prices'!$C$6:$AL$89,MATCH($C125,'[1]End - Use Prices'!$A$6:$A$89,0)+MATCH($D125,'[1]End - Use Prices'!$B$9:$B$11,0)-1,MATCH(AI$1,'[1]End - Use Prices'!$C$7:$AL$7,0))</f>
        <v>14.86</v>
      </c>
      <c r="AJ125" s="41">
        <f>INDEX('[1]End - Use Prices'!$C$6:$AL$89,MATCH($C125,'[1]End - Use Prices'!$A$6:$A$89,0)+MATCH($D125,'[1]End - Use Prices'!$B$9:$B$11,0)-1,MATCH(AJ$1,'[1]End - Use Prices'!$C$7:$AL$7,0))</f>
        <v>15.15</v>
      </c>
      <c r="AK125" s="41">
        <f>INDEX('[1]End - Use Prices'!$C$6:$AL$89,MATCH($C125,'[1]End - Use Prices'!$A$6:$A$89,0)+MATCH($D125,'[1]End - Use Prices'!$B$9:$B$11,0)-1,MATCH(AK$1,'[1]End - Use Prices'!$C$7:$AL$7,0))</f>
        <v>15</v>
      </c>
      <c r="AL125" s="41">
        <f>INDEX('[1]End - Use Prices'!$C$6:$AL$89,MATCH($C125,'[1]End - Use Prices'!$A$6:$A$89,0)+MATCH($D125,'[1]End - Use Prices'!$B$9:$B$11,0)-1,MATCH(AL$1,'[1]End - Use Prices'!$C$7:$AL$7,0))</f>
        <v>14.94</v>
      </c>
      <c r="AM125" s="41">
        <f>INDEX('[1]End - Use Prices'!$C$6:$AL$89,MATCH($C125,'[1]End - Use Prices'!$A$6:$A$89,0)+MATCH($D125,'[1]End - Use Prices'!$B$9:$B$11,0)-1,MATCH(AM$1,'[1]End - Use Prices'!$C$7:$AL$7,0))</f>
        <v>15</v>
      </c>
      <c r="AN125" s="41">
        <f>INDEX('[1]End - Use Prices'!$C$6:$AL$89,MATCH($C125,'[1]End - Use Prices'!$A$6:$A$89,0)+MATCH($D125,'[1]End - Use Prices'!$B$9:$B$11,0)-1,MATCH(AN$1,'[1]End - Use Prices'!$C$7:$AL$7,0))</f>
        <v>15.24</v>
      </c>
      <c r="AO125" s="41">
        <f>INDEX('[1]End - Use Prices'!$C$6:$AL$89,MATCH($C125,'[1]End - Use Prices'!$A$6:$A$89,0)+MATCH($D125,'[1]End - Use Prices'!$B$9:$B$11,0)-1,MATCH(AO$1,'[1]End - Use Prices'!$C$7:$AL$7,0))</f>
        <v>15.47</v>
      </c>
      <c r="AP125" s="41">
        <f>INDEX('[1]End - Use Prices'!$C$6:$AL$89,MATCH($C125,'[1]End - Use Prices'!$A$6:$A$89,0)+MATCH($D125,'[1]End - Use Prices'!$B$9:$B$11,0)-1,MATCH(AP$1,'[1]End - Use Prices'!$C$7:$AL$7,0))</f>
        <v>15.66</v>
      </c>
      <c r="AQ125" s="41">
        <f>INDEX('[1]End - Use Prices'!$C$6:$AL$89,MATCH($C125,'[1]End - Use Prices'!$A$6:$A$89,0)+MATCH($D125,'[1]End - Use Prices'!$B$9:$B$11,0)-1,MATCH(AQ$1,'[1]End - Use Prices'!$C$7:$AL$7,0))</f>
        <v>15.86</v>
      </c>
      <c r="AR125" s="41">
        <f>INDEX('[1]End - Use Prices'!$C$6:$AL$89,MATCH($C125,'[1]End - Use Prices'!$A$6:$A$89,0)+MATCH($D125,'[1]End - Use Prices'!$B$9:$B$11,0)-1,MATCH(AR$1,'[1]End - Use Prices'!$C$7:$AL$7,0))</f>
        <v>16.07</v>
      </c>
      <c r="AS125" s="41">
        <f>INDEX('[1]End - Use Prices'!$C$6:$AL$89,MATCH($C125,'[1]End - Use Prices'!$A$6:$A$89,0)+MATCH($D125,'[1]End - Use Prices'!$B$9:$B$11,0)-1,MATCH(AS$1,'[1]End - Use Prices'!$C$7:$AL$7,0))</f>
        <v>16.350000000000001</v>
      </c>
      <c r="AT125" s="41">
        <f>INDEX('[1]End - Use Prices'!$C$6:$AL$89,MATCH($C125,'[1]End - Use Prices'!$A$6:$A$89,0)+MATCH($D125,'[1]End - Use Prices'!$B$9:$B$11,0)-1,MATCH(AT$1,'[1]End - Use Prices'!$C$7:$AL$7,0))</f>
        <v>16.36</v>
      </c>
      <c r="AU125" s="41">
        <f>INDEX('[1]End - Use Prices'!$C$6:$AL$89,MATCH($C125,'[1]End - Use Prices'!$A$6:$A$89,0)+MATCH($D125,'[1]End - Use Prices'!$B$9:$B$11,0)-1,MATCH(AU$1,'[1]End - Use Prices'!$C$7:$AL$7,0))</f>
        <v>16.399999999999999</v>
      </c>
      <c r="AV125" s="41">
        <f>INDEX('[1]End - Use Prices'!$C$6:$AL$89,MATCH($C125,'[1]End - Use Prices'!$A$6:$A$89,0)+MATCH($D125,'[1]End - Use Prices'!$B$9:$B$11,0)-1,MATCH(AV$1,'[1]End - Use Prices'!$C$7:$AL$7,0))</f>
        <v>16.45</v>
      </c>
      <c r="AW125" s="41">
        <f>INDEX('[1]End - Use Prices'!$C$6:$AL$89,MATCH($C125,'[1]End - Use Prices'!$A$6:$A$89,0)+MATCH($D125,'[1]End - Use Prices'!$B$9:$B$11,0)-1,MATCH(AW$1,'[1]End - Use Prices'!$C$7:$AL$7,0))</f>
        <v>16.5</v>
      </c>
      <c r="AX125" s="41">
        <f>INDEX('[1]End - Use Prices'!$C$6:$AL$89,MATCH($C125,'[1]End - Use Prices'!$A$6:$A$89,0)+MATCH($D125,'[1]End - Use Prices'!$B$9:$B$11,0)-1,MATCH(AX$1,'[1]End - Use Prices'!$C$7:$AL$7,0))</f>
        <v>16.57</v>
      </c>
      <c r="AY125" s="41">
        <f>INDEX('[1]End - Use Prices'!$C$6:$AL$89,MATCH($C125,'[1]End - Use Prices'!$A$6:$A$89,0)+MATCH($D125,'[1]End - Use Prices'!$B$9:$B$11,0)-1,MATCH(AY$1,'[1]End - Use Prices'!$C$7:$AL$7,0))</f>
        <v>16.649999999999999</v>
      </c>
      <c r="AZ125" s="41">
        <f>INDEX('[1]End - Use Prices'!$C$6:$AL$89,MATCH($C125,'[1]End - Use Prices'!$A$6:$A$89,0)+MATCH($D125,'[1]End - Use Prices'!$B$9:$B$11,0)-1,MATCH(AZ$1,'[1]End - Use Prices'!$C$7:$AL$7,0))</f>
        <v>16.739999999999998</v>
      </c>
      <c r="BA125" s="41">
        <f>INDEX('[1]End - Use Prices'!$C$6:$AL$89,MATCH($C125,'[1]End - Use Prices'!$A$6:$A$89,0)+MATCH($D125,'[1]End - Use Prices'!$B$9:$B$11,0)-1,MATCH(BA$1,'[1]End - Use Prices'!$C$7:$AL$7,0))</f>
        <v>16.77</v>
      </c>
      <c r="BB125" s="41">
        <f>INDEX('[1]End - Use Prices'!$C$6:$AL$89,MATCH($C125,'[1]End - Use Prices'!$A$6:$A$89,0)+MATCH($D125,'[1]End - Use Prices'!$B$9:$B$11,0)-1,MATCH(BB$1,'[1]End - Use Prices'!$C$7:$AL$7,0))</f>
        <v>16.809999999999999</v>
      </c>
      <c r="BC125" s="41">
        <f>INDEX('[1]End - Use Prices'!$C$6:$AL$89,MATCH($C125,'[1]End - Use Prices'!$A$6:$A$89,0)+MATCH($D125,'[1]End - Use Prices'!$B$9:$B$11,0)-1,MATCH(BC$1,'[1]End - Use Prices'!$C$7:$AL$7,0))</f>
        <v>16.829999999999998</v>
      </c>
      <c r="BD125" s="41">
        <f>INDEX('[1]End - Use Prices'!$C$6:$AL$89,MATCH($C125,'[1]End - Use Prices'!$A$6:$A$89,0)+MATCH($D125,'[1]End - Use Prices'!$B$9:$B$11,0)-1,MATCH(BD$1,'[1]End - Use Prices'!$C$7:$AL$7,0))</f>
        <v>16.829999999999998</v>
      </c>
      <c r="BE125" s="41">
        <f>INDEX('[1]End - Use Prices'!$C$6:$AL$89,MATCH($C125,'[1]End - Use Prices'!$A$6:$A$89,0)+MATCH($D125,'[1]End - Use Prices'!$B$9:$B$11,0)-1,MATCH(BE$1,'[1]End - Use Prices'!$C$7:$AL$7,0))</f>
        <v>16.829999999999998</v>
      </c>
      <c r="BF125" s="41">
        <f>INDEX('[1]End - Use Prices'!$C$6:$AL$89,MATCH($C125,'[1]End - Use Prices'!$A$6:$A$89,0)+MATCH($D125,'[1]End - Use Prices'!$B$9:$B$11,0)-1,MATCH(BF$1,'[1]End - Use Prices'!$C$7:$AL$7,0))</f>
        <v>16.82</v>
      </c>
      <c r="BG125" s="41">
        <f>INDEX('[1]End - Use Prices'!$C$6:$AL$89,MATCH($C125,'[1]End - Use Prices'!$A$6:$A$89,0)+MATCH($D125,'[1]End - Use Prices'!$B$9:$B$11,0)-1,MATCH(BG$1,'[1]End - Use Prices'!$C$7:$AL$7,0))</f>
        <v>16.809999999999999</v>
      </c>
      <c r="BR125" s="39"/>
      <c r="BS125" s="39"/>
      <c r="BT125" s="39"/>
      <c r="BU125" s="39"/>
      <c r="BV125" s="39"/>
      <c r="BW125" s="39"/>
      <c r="BX125" s="39"/>
      <c r="BY125" s="39"/>
      <c r="BZ125" s="39"/>
      <c r="CA125" s="39"/>
    </row>
    <row r="126" spans="1:79" x14ac:dyDescent="0.25">
      <c r="A126" s="5"/>
      <c r="B126" s="3"/>
      <c r="C126" s="25" t="s">
        <v>90</v>
      </c>
      <c r="D126" s="25" t="s">
        <v>14</v>
      </c>
      <c r="E126" s="25" t="s">
        <v>282</v>
      </c>
      <c r="F126" s="67" t="s">
        <v>279</v>
      </c>
      <c r="G126" s="53">
        <f t="shared" si="18"/>
        <v>16.739999999999998</v>
      </c>
      <c r="H126" s="34">
        <f t="shared" si="21"/>
        <v>16.739999999999998</v>
      </c>
      <c r="I126" s="34">
        <f t="shared" si="21"/>
        <v>13.57</v>
      </c>
      <c r="J126" s="34">
        <f t="shared" si="21"/>
        <v>12.15</v>
      </c>
      <c r="K126" s="34">
        <f t="shared" si="21"/>
        <v>10.119999999999999</v>
      </c>
      <c r="L126" s="34">
        <f t="shared" si="21"/>
        <v>11.4</v>
      </c>
      <c r="M126" s="34">
        <f t="shared" si="21"/>
        <v>11.98</v>
      </c>
      <c r="N126" s="34">
        <f t="shared" si="21"/>
        <v>12.4</v>
      </c>
      <c r="O126" s="34">
        <f t="shared" si="21"/>
        <v>12.52</v>
      </c>
      <c r="P126" s="53">
        <f t="shared" ref="P126:Q145" si="22">O126</f>
        <v>12.52</v>
      </c>
      <c r="Q126" s="53">
        <f t="shared" si="22"/>
        <v>12.52</v>
      </c>
      <c r="R126" s="38"/>
      <c r="X126" s="41">
        <f>INDEX('[1]End - Use Prices'!$C$6:$AL$89,MATCH($C126,'[1]End - Use Prices'!$A$6:$A$89,0)+MATCH($D126,'[1]End - Use Prices'!$B$9:$B$11,0)-1,MATCH(X$1,'[1]End - Use Prices'!$C$7:$AL$7,0))</f>
        <v>16.739999999999998</v>
      </c>
      <c r="Y126" s="41">
        <f>INDEX('[1]End - Use Prices'!$C$6:$AL$89,MATCH($C126,'[1]End - Use Prices'!$A$6:$A$89,0)+MATCH($D126,'[1]End - Use Prices'!$B$9:$B$11,0)-1,MATCH(Y$1,'[1]End - Use Prices'!$C$7:$AL$7,0))</f>
        <v>17.82</v>
      </c>
      <c r="Z126" s="41">
        <f>INDEX('[1]End - Use Prices'!$C$6:$AL$89,MATCH($C126,'[1]End - Use Prices'!$A$6:$A$89,0)+MATCH($D126,'[1]End - Use Prices'!$B$9:$B$11,0)-1,MATCH(Z$1,'[1]End - Use Prices'!$C$7:$AL$7,0))</f>
        <v>16.100000000000001</v>
      </c>
      <c r="AA126" s="41">
        <f>INDEX('[1]End - Use Prices'!$C$6:$AL$89,MATCH($C126,'[1]End - Use Prices'!$A$6:$A$89,0)+MATCH($D126,'[1]End - Use Prices'!$B$9:$B$11,0)-1,MATCH(AA$1,'[1]End - Use Prices'!$C$7:$AL$7,0))</f>
        <v>16.25</v>
      </c>
      <c r="AB126" s="41">
        <f>INDEX('[1]End - Use Prices'!$C$6:$AL$89,MATCH($C126,'[1]End - Use Prices'!$A$6:$A$89,0)+MATCH($D126,'[1]End - Use Prices'!$B$9:$B$11,0)-1,MATCH(AB$1,'[1]End - Use Prices'!$C$7:$AL$7,0))</f>
        <v>13.76</v>
      </c>
      <c r="AC126" s="41">
        <f>INDEX('[1]End - Use Prices'!$C$6:$AL$89,MATCH($C126,'[1]End - Use Prices'!$A$6:$A$89,0)+MATCH($D126,'[1]End - Use Prices'!$B$9:$B$11,0)-1,MATCH(AC$1,'[1]End - Use Prices'!$C$7:$AL$7,0))</f>
        <v>13.57</v>
      </c>
      <c r="AD126" s="41">
        <f>INDEX('[1]End - Use Prices'!$C$6:$AL$89,MATCH($C126,'[1]End - Use Prices'!$A$6:$A$89,0)+MATCH($D126,'[1]End - Use Prices'!$B$9:$B$11,0)-1,MATCH(AD$1,'[1]End - Use Prices'!$C$7:$AL$7,0))</f>
        <v>11.83</v>
      </c>
      <c r="AE126" s="41">
        <f>INDEX('[1]End - Use Prices'!$C$6:$AL$89,MATCH($C126,'[1]End - Use Prices'!$A$6:$A$89,0)+MATCH($D126,'[1]End - Use Prices'!$B$9:$B$11,0)-1,MATCH(AE$1,'[1]End - Use Prices'!$C$7:$AL$7,0))</f>
        <v>11.22</v>
      </c>
      <c r="AF126" s="41">
        <f>INDEX('[1]End - Use Prices'!$C$6:$AL$89,MATCH($C126,'[1]End - Use Prices'!$A$6:$A$89,0)+MATCH($D126,'[1]End - Use Prices'!$B$9:$B$11,0)-1,MATCH(AF$1,'[1]End - Use Prices'!$C$7:$AL$7,0))</f>
        <v>11.17</v>
      </c>
      <c r="AG126" s="41">
        <f>INDEX('[1]End - Use Prices'!$C$6:$AL$89,MATCH($C126,'[1]End - Use Prices'!$A$6:$A$89,0)+MATCH($D126,'[1]End - Use Prices'!$B$9:$B$11,0)-1,MATCH(AG$1,'[1]End - Use Prices'!$C$7:$AL$7,0))</f>
        <v>12.03</v>
      </c>
      <c r="AH126" s="41">
        <f>INDEX('[1]End - Use Prices'!$C$6:$AL$89,MATCH($C126,'[1]End - Use Prices'!$A$6:$A$89,0)+MATCH($D126,'[1]End - Use Prices'!$B$9:$B$11,0)-1,MATCH(AH$1,'[1]End - Use Prices'!$C$7:$AL$7,0))</f>
        <v>12.15</v>
      </c>
      <c r="AI126" s="41">
        <f>INDEX('[1]End - Use Prices'!$C$6:$AL$89,MATCH($C126,'[1]End - Use Prices'!$A$6:$A$89,0)+MATCH($D126,'[1]End - Use Prices'!$B$9:$B$11,0)-1,MATCH(AI$1,'[1]End - Use Prices'!$C$7:$AL$7,0))</f>
        <v>9.42</v>
      </c>
      <c r="AJ126" s="41">
        <f>INDEX('[1]End - Use Prices'!$C$6:$AL$89,MATCH($C126,'[1]End - Use Prices'!$A$6:$A$89,0)+MATCH($D126,'[1]End - Use Prices'!$B$9:$B$11,0)-1,MATCH(AJ$1,'[1]End - Use Prices'!$C$7:$AL$7,0))</f>
        <v>13.49</v>
      </c>
      <c r="AK126" s="41">
        <f>INDEX('[1]End - Use Prices'!$C$6:$AL$89,MATCH($C126,'[1]End - Use Prices'!$A$6:$A$89,0)+MATCH($D126,'[1]End - Use Prices'!$B$9:$B$11,0)-1,MATCH(AK$1,'[1]End - Use Prices'!$C$7:$AL$7,0))</f>
        <v>10.95</v>
      </c>
      <c r="AL126" s="41">
        <f>INDEX('[1]End - Use Prices'!$C$6:$AL$89,MATCH($C126,'[1]End - Use Prices'!$A$6:$A$89,0)+MATCH($D126,'[1]End - Use Prices'!$B$9:$B$11,0)-1,MATCH(AL$1,'[1]End - Use Prices'!$C$7:$AL$7,0))</f>
        <v>10.029999999999999</v>
      </c>
      <c r="AM126" s="41">
        <f>INDEX('[1]End - Use Prices'!$C$6:$AL$89,MATCH($C126,'[1]End - Use Prices'!$A$6:$A$89,0)+MATCH($D126,'[1]End - Use Prices'!$B$9:$B$11,0)-1,MATCH(AM$1,'[1]End - Use Prices'!$C$7:$AL$7,0))</f>
        <v>10.119999999999999</v>
      </c>
      <c r="AN126" s="41">
        <f>INDEX('[1]End - Use Prices'!$C$6:$AL$89,MATCH($C126,'[1]End - Use Prices'!$A$6:$A$89,0)+MATCH($D126,'[1]End - Use Prices'!$B$9:$B$11,0)-1,MATCH(AN$1,'[1]End - Use Prices'!$C$7:$AL$7,0))</f>
        <v>10.4</v>
      </c>
      <c r="AO126" s="41">
        <f>INDEX('[1]End - Use Prices'!$C$6:$AL$89,MATCH($C126,'[1]End - Use Prices'!$A$6:$A$89,0)+MATCH($D126,'[1]End - Use Prices'!$B$9:$B$11,0)-1,MATCH(AO$1,'[1]End - Use Prices'!$C$7:$AL$7,0))</f>
        <v>10.68</v>
      </c>
      <c r="AP126" s="41">
        <f>INDEX('[1]End - Use Prices'!$C$6:$AL$89,MATCH($C126,'[1]End - Use Prices'!$A$6:$A$89,0)+MATCH($D126,'[1]End - Use Prices'!$B$9:$B$11,0)-1,MATCH(AP$1,'[1]End - Use Prices'!$C$7:$AL$7,0))</f>
        <v>10.91</v>
      </c>
      <c r="AQ126" s="41">
        <f>INDEX('[1]End - Use Prices'!$C$6:$AL$89,MATCH($C126,'[1]End - Use Prices'!$A$6:$A$89,0)+MATCH($D126,'[1]End - Use Prices'!$B$9:$B$11,0)-1,MATCH(AQ$1,'[1]End - Use Prices'!$C$7:$AL$7,0))</f>
        <v>11.15</v>
      </c>
      <c r="AR126" s="41">
        <f>INDEX('[1]End - Use Prices'!$C$6:$AL$89,MATCH($C126,'[1]End - Use Prices'!$A$6:$A$89,0)+MATCH($D126,'[1]End - Use Prices'!$B$9:$B$11,0)-1,MATCH(AR$1,'[1]End - Use Prices'!$C$7:$AL$7,0))</f>
        <v>11.4</v>
      </c>
      <c r="AS126" s="41">
        <f>INDEX('[1]End - Use Prices'!$C$6:$AL$89,MATCH($C126,'[1]End - Use Prices'!$A$6:$A$89,0)+MATCH($D126,'[1]End - Use Prices'!$B$9:$B$11,0)-1,MATCH(AS$1,'[1]End - Use Prices'!$C$7:$AL$7,0))</f>
        <v>11.72</v>
      </c>
      <c r="AT126" s="41">
        <f>INDEX('[1]End - Use Prices'!$C$6:$AL$89,MATCH($C126,'[1]End - Use Prices'!$A$6:$A$89,0)+MATCH($D126,'[1]End - Use Prices'!$B$9:$B$11,0)-1,MATCH(AT$1,'[1]End - Use Prices'!$C$7:$AL$7,0))</f>
        <v>11.76</v>
      </c>
      <c r="AU126" s="41">
        <f>INDEX('[1]End - Use Prices'!$C$6:$AL$89,MATCH($C126,'[1]End - Use Prices'!$A$6:$A$89,0)+MATCH($D126,'[1]End - Use Prices'!$B$9:$B$11,0)-1,MATCH(AU$1,'[1]End - Use Prices'!$C$7:$AL$7,0))</f>
        <v>11.83</v>
      </c>
      <c r="AV126" s="41">
        <f>INDEX('[1]End - Use Prices'!$C$6:$AL$89,MATCH($C126,'[1]End - Use Prices'!$A$6:$A$89,0)+MATCH($D126,'[1]End - Use Prices'!$B$9:$B$11,0)-1,MATCH(AV$1,'[1]End - Use Prices'!$C$7:$AL$7,0))</f>
        <v>11.91</v>
      </c>
      <c r="AW126" s="41">
        <f>INDEX('[1]End - Use Prices'!$C$6:$AL$89,MATCH($C126,'[1]End - Use Prices'!$A$6:$A$89,0)+MATCH($D126,'[1]End - Use Prices'!$B$9:$B$11,0)-1,MATCH(AW$1,'[1]End - Use Prices'!$C$7:$AL$7,0))</f>
        <v>11.98</v>
      </c>
      <c r="AX126" s="41">
        <f>INDEX('[1]End - Use Prices'!$C$6:$AL$89,MATCH($C126,'[1]End - Use Prices'!$A$6:$A$89,0)+MATCH($D126,'[1]End - Use Prices'!$B$9:$B$11,0)-1,MATCH(AX$1,'[1]End - Use Prices'!$C$7:$AL$7,0))</f>
        <v>12.07</v>
      </c>
      <c r="AY126" s="41">
        <f>INDEX('[1]End - Use Prices'!$C$6:$AL$89,MATCH($C126,'[1]End - Use Prices'!$A$6:$A$89,0)+MATCH($D126,'[1]End - Use Prices'!$B$9:$B$11,0)-1,MATCH(AY$1,'[1]End - Use Prices'!$C$7:$AL$7,0))</f>
        <v>12.18</v>
      </c>
      <c r="AZ126" s="41">
        <f>INDEX('[1]End - Use Prices'!$C$6:$AL$89,MATCH($C126,'[1]End - Use Prices'!$A$6:$A$89,0)+MATCH($D126,'[1]End - Use Prices'!$B$9:$B$11,0)-1,MATCH(AZ$1,'[1]End - Use Prices'!$C$7:$AL$7,0))</f>
        <v>12.29</v>
      </c>
      <c r="BA126" s="41">
        <f>INDEX('[1]End - Use Prices'!$C$6:$AL$89,MATCH($C126,'[1]End - Use Prices'!$A$6:$A$89,0)+MATCH($D126,'[1]End - Use Prices'!$B$9:$B$11,0)-1,MATCH(BA$1,'[1]End - Use Prices'!$C$7:$AL$7,0))</f>
        <v>12.35</v>
      </c>
      <c r="BB126" s="41">
        <f>INDEX('[1]End - Use Prices'!$C$6:$AL$89,MATCH($C126,'[1]End - Use Prices'!$A$6:$A$89,0)+MATCH($D126,'[1]End - Use Prices'!$B$9:$B$11,0)-1,MATCH(BB$1,'[1]End - Use Prices'!$C$7:$AL$7,0))</f>
        <v>12.4</v>
      </c>
      <c r="BC126" s="41">
        <f>INDEX('[1]End - Use Prices'!$C$6:$AL$89,MATCH($C126,'[1]End - Use Prices'!$A$6:$A$89,0)+MATCH($D126,'[1]End - Use Prices'!$B$9:$B$11,0)-1,MATCH(BC$1,'[1]End - Use Prices'!$C$7:$AL$7,0))</f>
        <v>12.45</v>
      </c>
      <c r="BD126" s="41">
        <f>INDEX('[1]End - Use Prices'!$C$6:$AL$89,MATCH($C126,'[1]End - Use Prices'!$A$6:$A$89,0)+MATCH($D126,'[1]End - Use Prices'!$B$9:$B$11,0)-1,MATCH(BD$1,'[1]End - Use Prices'!$C$7:$AL$7,0))</f>
        <v>12.48</v>
      </c>
      <c r="BE126" s="41">
        <f>INDEX('[1]End - Use Prices'!$C$6:$AL$89,MATCH($C126,'[1]End - Use Prices'!$A$6:$A$89,0)+MATCH($D126,'[1]End - Use Prices'!$B$9:$B$11,0)-1,MATCH(BE$1,'[1]End - Use Prices'!$C$7:$AL$7,0))</f>
        <v>12.49</v>
      </c>
      <c r="BF126" s="41">
        <f>INDEX('[1]End - Use Prices'!$C$6:$AL$89,MATCH($C126,'[1]End - Use Prices'!$A$6:$A$89,0)+MATCH($D126,'[1]End - Use Prices'!$B$9:$B$11,0)-1,MATCH(BF$1,'[1]End - Use Prices'!$C$7:$AL$7,0))</f>
        <v>12.51</v>
      </c>
      <c r="BG126" s="41">
        <f>INDEX('[1]End - Use Prices'!$C$6:$AL$89,MATCH($C126,'[1]End - Use Prices'!$A$6:$A$89,0)+MATCH($D126,'[1]End - Use Prices'!$B$9:$B$11,0)-1,MATCH(BG$1,'[1]End - Use Prices'!$C$7:$AL$7,0))</f>
        <v>12.52</v>
      </c>
      <c r="BR126" s="39"/>
      <c r="BS126" s="39"/>
      <c r="BT126" s="39"/>
      <c r="BU126" s="39"/>
      <c r="BV126" s="39"/>
      <c r="BW126" s="39"/>
      <c r="BX126" s="39"/>
      <c r="BY126" s="39"/>
      <c r="BZ126" s="39"/>
      <c r="CA126" s="39"/>
    </row>
    <row r="127" spans="1:79" x14ac:dyDescent="0.25">
      <c r="A127" s="5"/>
      <c r="B127" s="3"/>
      <c r="C127" s="25" t="s">
        <v>91</v>
      </c>
      <c r="D127" s="25" t="s">
        <v>14</v>
      </c>
      <c r="E127" s="25" t="s">
        <v>282</v>
      </c>
      <c r="F127" s="67" t="s">
        <v>279</v>
      </c>
      <c r="G127" s="53">
        <f t="shared" si="18"/>
        <v>16.21</v>
      </c>
      <c r="H127" s="34">
        <f t="shared" si="21"/>
        <v>16.21</v>
      </c>
      <c r="I127" s="34">
        <f t="shared" si="21"/>
        <v>11.7</v>
      </c>
      <c r="J127" s="34">
        <f t="shared" si="21"/>
        <v>11.47</v>
      </c>
      <c r="K127" s="34">
        <f t="shared" si="21"/>
        <v>10.53</v>
      </c>
      <c r="L127" s="34">
        <f t="shared" si="21"/>
        <v>11.81</v>
      </c>
      <c r="M127" s="34">
        <f t="shared" si="21"/>
        <v>12.43</v>
      </c>
      <c r="N127" s="34">
        <f t="shared" si="21"/>
        <v>13.03</v>
      </c>
      <c r="O127" s="34">
        <f t="shared" si="21"/>
        <v>13.31</v>
      </c>
      <c r="P127" s="53">
        <f t="shared" si="22"/>
        <v>13.31</v>
      </c>
      <c r="Q127" s="53">
        <f t="shared" si="22"/>
        <v>13.31</v>
      </c>
      <c r="R127" s="38"/>
      <c r="X127" s="41">
        <f>INDEX('[1]End - Use Prices'!$C$6:$AL$89,MATCH($C127,'[1]End - Use Prices'!$A$6:$A$89,0)+MATCH($D127,'[1]End - Use Prices'!$B$9:$B$11,0)-1,MATCH(X$1,'[1]End - Use Prices'!$C$7:$AL$7,0))</f>
        <v>16.21</v>
      </c>
      <c r="Y127" s="41">
        <f>INDEX('[1]End - Use Prices'!$C$6:$AL$89,MATCH($C127,'[1]End - Use Prices'!$A$6:$A$89,0)+MATCH($D127,'[1]End - Use Prices'!$B$9:$B$11,0)-1,MATCH(Y$1,'[1]End - Use Prices'!$C$7:$AL$7,0))</f>
        <v>15.41</v>
      </c>
      <c r="Z127" s="41">
        <f>INDEX('[1]End - Use Prices'!$C$6:$AL$89,MATCH($C127,'[1]End - Use Prices'!$A$6:$A$89,0)+MATCH($D127,'[1]End - Use Prices'!$B$9:$B$11,0)-1,MATCH(Z$1,'[1]End - Use Prices'!$C$7:$AL$7,0))</f>
        <v>14.81</v>
      </c>
      <c r="AA127" s="41">
        <f>INDEX('[1]End - Use Prices'!$C$6:$AL$89,MATCH($C127,'[1]End - Use Prices'!$A$6:$A$89,0)+MATCH($D127,'[1]End - Use Prices'!$B$9:$B$11,0)-1,MATCH(AA$1,'[1]End - Use Prices'!$C$7:$AL$7,0))</f>
        <v>14.53</v>
      </c>
      <c r="AB127" s="41">
        <f>INDEX('[1]End - Use Prices'!$C$6:$AL$89,MATCH($C127,'[1]End - Use Prices'!$A$6:$A$89,0)+MATCH($D127,'[1]End - Use Prices'!$B$9:$B$11,0)-1,MATCH(AB$1,'[1]End - Use Prices'!$C$7:$AL$7,0))</f>
        <v>14.23</v>
      </c>
      <c r="AC127" s="41">
        <f>INDEX('[1]End - Use Prices'!$C$6:$AL$89,MATCH($C127,'[1]End - Use Prices'!$A$6:$A$89,0)+MATCH($D127,'[1]End - Use Prices'!$B$9:$B$11,0)-1,MATCH(AC$1,'[1]End - Use Prices'!$C$7:$AL$7,0))</f>
        <v>11.7</v>
      </c>
      <c r="AD127" s="41">
        <f>INDEX('[1]End - Use Prices'!$C$6:$AL$89,MATCH($C127,'[1]End - Use Prices'!$A$6:$A$89,0)+MATCH($D127,'[1]End - Use Prices'!$B$9:$B$11,0)-1,MATCH(AD$1,'[1]End - Use Prices'!$C$7:$AL$7,0))</f>
        <v>11.6</v>
      </c>
      <c r="AE127" s="41">
        <f>INDEX('[1]End - Use Prices'!$C$6:$AL$89,MATCH($C127,'[1]End - Use Prices'!$A$6:$A$89,0)+MATCH($D127,'[1]End - Use Prices'!$B$9:$B$11,0)-1,MATCH(AE$1,'[1]End - Use Prices'!$C$7:$AL$7,0))</f>
        <v>10.07</v>
      </c>
      <c r="AF127" s="41">
        <f>INDEX('[1]End - Use Prices'!$C$6:$AL$89,MATCH($C127,'[1]End - Use Prices'!$A$6:$A$89,0)+MATCH($D127,'[1]End - Use Prices'!$B$9:$B$11,0)-1,MATCH(AF$1,'[1]End - Use Prices'!$C$7:$AL$7,0))</f>
        <v>10.41</v>
      </c>
      <c r="AG127" s="41">
        <f>INDEX('[1]End - Use Prices'!$C$6:$AL$89,MATCH($C127,'[1]End - Use Prices'!$A$6:$A$89,0)+MATCH($D127,'[1]End - Use Prices'!$B$9:$B$11,0)-1,MATCH(AG$1,'[1]End - Use Prices'!$C$7:$AL$7,0))</f>
        <v>10.98</v>
      </c>
      <c r="AH127" s="41">
        <f>INDEX('[1]End - Use Prices'!$C$6:$AL$89,MATCH($C127,'[1]End - Use Prices'!$A$6:$A$89,0)+MATCH($D127,'[1]End - Use Prices'!$B$9:$B$11,0)-1,MATCH(AH$1,'[1]End - Use Prices'!$C$7:$AL$7,0))</f>
        <v>11.47</v>
      </c>
      <c r="AI127" s="41">
        <f>INDEX('[1]End - Use Prices'!$C$6:$AL$89,MATCH($C127,'[1]End - Use Prices'!$A$6:$A$89,0)+MATCH($D127,'[1]End - Use Prices'!$B$9:$B$11,0)-1,MATCH(AI$1,'[1]End - Use Prices'!$C$7:$AL$7,0))</f>
        <v>9.65</v>
      </c>
      <c r="AJ127" s="41">
        <f>INDEX('[1]End - Use Prices'!$C$6:$AL$89,MATCH($C127,'[1]End - Use Prices'!$A$6:$A$89,0)+MATCH($D127,'[1]End - Use Prices'!$B$9:$B$11,0)-1,MATCH(AJ$1,'[1]End - Use Prices'!$C$7:$AL$7,0))</f>
        <v>9.7100000000000009</v>
      </c>
      <c r="AK127" s="41">
        <f>INDEX('[1]End - Use Prices'!$C$6:$AL$89,MATCH($C127,'[1]End - Use Prices'!$A$6:$A$89,0)+MATCH($D127,'[1]End - Use Prices'!$B$9:$B$11,0)-1,MATCH(AK$1,'[1]End - Use Prices'!$C$7:$AL$7,0))</f>
        <v>9.6300000000000008</v>
      </c>
      <c r="AL127" s="41">
        <f>INDEX('[1]End - Use Prices'!$C$6:$AL$89,MATCH($C127,'[1]End - Use Prices'!$A$6:$A$89,0)+MATCH($D127,'[1]End - Use Prices'!$B$9:$B$11,0)-1,MATCH(AL$1,'[1]End - Use Prices'!$C$7:$AL$7,0))</f>
        <v>9.6199999999999992</v>
      </c>
      <c r="AM127" s="41">
        <f>INDEX('[1]End - Use Prices'!$C$6:$AL$89,MATCH($C127,'[1]End - Use Prices'!$A$6:$A$89,0)+MATCH($D127,'[1]End - Use Prices'!$B$9:$B$11,0)-1,MATCH(AM$1,'[1]End - Use Prices'!$C$7:$AL$7,0))</f>
        <v>10.53</v>
      </c>
      <c r="AN127" s="41">
        <f>INDEX('[1]End - Use Prices'!$C$6:$AL$89,MATCH($C127,'[1]End - Use Prices'!$A$6:$A$89,0)+MATCH($D127,'[1]End - Use Prices'!$B$9:$B$11,0)-1,MATCH(AN$1,'[1]End - Use Prices'!$C$7:$AL$7,0))</f>
        <v>10.96</v>
      </c>
      <c r="AO127" s="41">
        <f>INDEX('[1]End - Use Prices'!$C$6:$AL$89,MATCH($C127,'[1]End - Use Prices'!$A$6:$A$89,0)+MATCH($D127,'[1]End - Use Prices'!$B$9:$B$11,0)-1,MATCH(AO$1,'[1]End - Use Prices'!$C$7:$AL$7,0))</f>
        <v>11.37</v>
      </c>
      <c r="AP127" s="41">
        <f>INDEX('[1]End - Use Prices'!$C$6:$AL$89,MATCH($C127,'[1]End - Use Prices'!$A$6:$A$89,0)+MATCH($D127,'[1]End - Use Prices'!$B$9:$B$11,0)-1,MATCH(AP$1,'[1]End - Use Prices'!$C$7:$AL$7,0))</f>
        <v>11.74</v>
      </c>
      <c r="AQ127" s="41">
        <f>INDEX('[1]End - Use Prices'!$C$6:$AL$89,MATCH($C127,'[1]End - Use Prices'!$A$6:$A$89,0)+MATCH($D127,'[1]End - Use Prices'!$B$9:$B$11,0)-1,MATCH(AQ$1,'[1]End - Use Prices'!$C$7:$AL$7,0))</f>
        <v>11.76</v>
      </c>
      <c r="AR127" s="41">
        <f>INDEX('[1]End - Use Prices'!$C$6:$AL$89,MATCH($C127,'[1]End - Use Prices'!$A$6:$A$89,0)+MATCH($D127,'[1]End - Use Prices'!$B$9:$B$11,0)-1,MATCH(AR$1,'[1]End - Use Prices'!$C$7:$AL$7,0))</f>
        <v>11.81</v>
      </c>
      <c r="AS127" s="41">
        <f>INDEX('[1]End - Use Prices'!$C$6:$AL$89,MATCH($C127,'[1]End - Use Prices'!$A$6:$A$89,0)+MATCH($D127,'[1]End - Use Prices'!$B$9:$B$11,0)-1,MATCH(AS$1,'[1]End - Use Prices'!$C$7:$AL$7,0))</f>
        <v>11.93</v>
      </c>
      <c r="AT127" s="41">
        <f>INDEX('[1]End - Use Prices'!$C$6:$AL$89,MATCH($C127,'[1]End - Use Prices'!$A$6:$A$89,0)+MATCH($D127,'[1]End - Use Prices'!$B$9:$B$11,0)-1,MATCH(AT$1,'[1]End - Use Prices'!$C$7:$AL$7,0))</f>
        <v>12.04</v>
      </c>
      <c r="AU127" s="41">
        <f>INDEX('[1]End - Use Prices'!$C$6:$AL$89,MATCH($C127,'[1]End - Use Prices'!$A$6:$A$89,0)+MATCH($D127,'[1]End - Use Prices'!$B$9:$B$11,0)-1,MATCH(AU$1,'[1]End - Use Prices'!$C$7:$AL$7,0))</f>
        <v>12.16</v>
      </c>
      <c r="AV127" s="41">
        <f>INDEX('[1]End - Use Prices'!$C$6:$AL$89,MATCH($C127,'[1]End - Use Prices'!$A$6:$A$89,0)+MATCH($D127,'[1]End - Use Prices'!$B$9:$B$11,0)-1,MATCH(AV$1,'[1]End - Use Prices'!$C$7:$AL$7,0))</f>
        <v>12.3</v>
      </c>
      <c r="AW127" s="41">
        <f>INDEX('[1]End - Use Prices'!$C$6:$AL$89,MATCH($C127,'[1]End - Use Prices'!$A$6:$A$89,0)+MATCH($D127,'[1]End - Use Prices'!$B$9:$B$11,0)-1,MATCH(AW$1,'[1]End - Use Prices'!$C$7:$AL$7,0))</f>
        <v>12.43</v>
      </c>
      <c r="AX127" s="41">
        <f>INDEX('[1]End - Use Prices'!$C$6:$AL$89,MATCH($C127,'[1]End - Use Prices'!$A$6:$A$89,0)+MATCH($D127,'[1]End - Use Prices'!$B$9:$B$11,0)-1,MATCH(AX$1,'[1]End - Use Prices'!$C$7:$AL$7,0))</f>
        <v>12.56</v>
      </c>
      <c r="AY127" s="41">
        <f>INDEX('[1]End - Use Prices'!$C$6:$AL$89,MATCH($C127,'[1]End - Use Prices'!$A$6:$A$89,0)+MATCH($D127,'[1]End - Use Prices'!$B$9:$B$11,0)-1,MATCH(AY$1,'[1]End - Use Prices'!$C$7:$AL$7,0))</f>
        <v>12.7</v>
      </c>
      <c r="AZ127" s="41">
        <f>INDEX('[1]End - Use Prices'!$C$6:$AL$89,MATCH($C127,'[1]End - Use Prices'!$A$6:$A$89,0)+MATCH($D127,'[1]End - Use Prices'!$B$9:$B$11,0)-1,MATCH(AZ$1,'[1]End - Use Prices'!$C$7:$AL$7,0))</f>
        <v>12.86</v>
      </c>
      <c r="BA127" s="41">
        <f>INDEX('[1]End - Use Prices'!$C$6:$AL$89,MATCH($C127,'[1]End - Use Prices'!$A$6:$A$89,0)+MATCH($D127,'[1]End - Use Prices'!$B$9:$B$11,0)-1,MATCH(BA$1,'[1]End - Use Prices'!$C$7:$AL$7,0))</f>
        <v>12.95</v>
      </c>
      <c r="BB127" s="41">
        <f>INDEX('[1]End - Use Prices'!$C$6:$AL$89,MATCH($C127,'[1]End - Use Prices'!$A$6:$A$89,0)+MATCH($D127,'[1]End - Use Prices'!$B$9:$B$11,0)-1,MATCH(BB$1,'[1]End - Use Prices'!$C$7:$AL$7,0))</f>
        <v>13.03</v>
      </c>
      <c r="BC127" s="41">
        <f>INDEX('[1]End - Use Prices'!$C$6:$AL$89,MATCH($C127,'[1]End - Use Prices'!$A$6:$A$89,0)+MATCH($D127,'[1]End - Use Prices'!$B$9:$B$11,0)-1,MATCH(BC$1,'[1]End - Use Prices'!$C$7:$AL$7,0))</f>
        <v>13.11</v>
      </c>
      <c r="BD127" s="41">
        <f>INDEX('[1]End - Use Prices'!$C$6:$AL$89,MATCH($C127,'[1]End - Use Prices'!$A$6:$A$89,0)+MATCH($D127,'[1]End - Use Prices'!$B$9:$B$11,0)-1,MATCH(BD$1,'[1]End - Use Prices'!$C$7:$AL$7,0))</f>
        <v>13.17</v>
      </c>
      <c r="BE127" s="41">
        <f>INDEX('[1]End - Use Prices'!$C$6:$AL$89,MATCH($C127,'[1]End - Use Prices'!$A$6:$A$89,0)+MATCH($D127,'[1]End - Use Prices'!$B$9:$B$11,0)-1,MATCH(BE$1,'[1]End - Use Prices'!$C$7:$AL$7,0))</f>
        <v>13.22</v>
      </c>
      <c r="BF127" s="41">
        <f>INDEX('[1]End - Use Prices'!$C$6:$AL$89,MATCH($C127,'[1]End - Use Prices'!$A$6:$A$89,0)+MATCH($D127,'[1]End - Use Prices'!$B$9:$B$11,0)-1,MATCH(BF$1,'[1]End - Use Prices'!$C$7:$AL$7,0))</f>
        <v>13.27</v>
      </c>
      <c r="BG127" s="41">
        <f>INDEX('[1]End - Use Prices'!$C$6:$AL$89,MATCH($C127,'[1]End - Use Prices'!$A$6:$A$89,0)+MATCH($D127,'[1]End - Use Prices'!$B$9:$B$11,0)-1,MATCH(BG$1,'[1]End - Use Prices'!$C$7:$AL$7,0))</f>
        <v>13.31</v>
      </c>
      <c r="BR127" s="39"/>
      <c r="BS127" s="39"/>
      <c r="BT127" s="39"/>
      <c r="BU127" s="39"/>
      <c r="BV127" s="39"/>
      <c r="BW127" s="39"/>
      <c r="BX127" s="39"/>
      <c r="BY127" s="39"/>
      <c r="BZ127" s="39"/>
      <c r="CA127" s="39"/>
    </row>
    <row r="128" spans="1:79" x14ac:dyDescent="0.25">
      <c r="A128" s="5"/>
      <c r="B128" s="3"/>
      <c r="C128" s="25" t="s">
        <v>92</v>
      </c>
      <c r="D128" s="25" t="s">
        <v>14</v>
      </c>
      <c r="E128" s="25" t="s">
        <v>282</v>
      </c>
      <c r="F128" s="67" t="s">
        <v>279</v>
      </c>
      <c r="G128" s="53">
        <f t="shared" si="18"/>
        <v>14.11</v>
      </c>
      <c r="H128" s="34">
        <f t="shared" si="21"/>
        <v>14.11</v>
      </c>
      <c r="I128" s="34">
        <f t="shared" si="21"/>
        <v>12.28</v>
      </c>
      <c r="J128" s="34">
        <f t="shared" si="21"/>
        <v>11.81</v>
      </c>
      <c r="K128" s="34">
        <f t="shared" si="21"/>
        <v>8.3000000000000007</v>
      </c>
      <c r="L128" s="34">
        <f t="shared" si="21"/>
        <v>9.42</v>
      </c>
      <c r="M128" s="34">
        <f t="shared" si="21"/>
        <v>9.6199999999999992</v>
      </c>
      <c r="N128" s="34">
        <f t="shared" si="21"/>
        <v>9.9</v>
      </c>
      <c r="O128" s="34">
        <f t="shared" si="21"/>
        <v>9.9499999999999993</v>
      </c>
      <c r="P128" s="53">
        <f t="shared" si="22"/>
        <v>9.9499999999999993</v>
      </c>
      <c r="Q128" s="53">
        <f t="shared" si="22"/>
        <v>9.9499999999999993</v>
      </c>
      <c r="R128" s="38"/>
      <c r="X128" s="41">
        <f>INDEX('[1]End - Use Prices'!$C$6:$AL$89,MATCH($C128,'[1]End - Use Prices'!$A$6:$A$89,0)+MATCH($D128,'[1]End - Use Prices'!$B$9:$B$11,0)-1,MATCH(X$1,'[1]End - Use Prices'!$C$7:$AL$7,0))</f>
        <v>14.11</v>
      </c>
      <c r="Y128" s="41">
        <f>INDEX('[1]End - Use Prices'!$C$6:$AL$89,MATCH($C128,'[1]End - Use Prices'!$A$6:$A$89,0)+MATCH($D128,'[1]End - Use Prices'!$B$9:$B$11,0)-1,MATCH(Y$1,'[1]End - Use Prices'!$C$7:$AL$7,0))</f>
        <v>13.96</v>
      </c>
      <c r="Z128" s="41">
        <f>INDEX('[1]End - Use Prices'!$C$6:$AL$89,MATCH($C128,'[1]End - Use Prices'!$A$6:$A$89,0)+MATCH($D128,'[1]End - Use Prices'!$B$9:$B$11,0)-1,MATCH(Z$1,'[1]End - Use Prices'!$C$7:$AL$7,0))</f>
        <v>13.58</v>
      </c>
      <c r="AA128" s="41">
        <f>INDEX('[1]End - Use Prices'!$C$6:$AL$89,MATCH($C128,'[1]End - Use Prices'!$A$6:$A$89,0)+MATCH($D128,'[1]End - Use Prices'!$B$9:$B$11,0)-1,MATCH(AA$1,'[1]End - Use Prices'!$C$7:$AL$7,0))</f>
        <v>12.3</v>
      </c>
      <c r="AB128" s="41">
        <f>INDEX('[1]End - Use Prices'!$C$6:$AL$89,MATCH($C128,'[1]End - Use Prices'!$A$6:$A$89,0)+MATCH($D128,'[1]End - Use Prices'!$B$9:$B$11,0)-1,MATCH(AB$1,'[1]End - Use Prices'!$C$7:$AL$7,0))</f>
        <v>14.1</v>
      </c>
      <c r="AC128" s="41">
        <f>INDEX('[1]End - Use Prices'!$C$6:$AL$89,MATCH($C128,'[1]End - Use Prices'!$A$6:$A$89,0)+MATCH($D128,'[1]End - Use Prices'!$B$9:$B$11,0)-1,MATCH(AC$1,'[1]End - Use Prices'!$C$7:$AL$7,0))</f>
        <v>12.28</v>
      </c>
      <c r="AD128" s="41">
        <f>INDEX('[1]End - Use Prices'!$C$6:$AL$89,MATCH($C128,'[1]End - Use Prices'!$A$6:$A$89,0)+MATCH($D128,'[1]End - Use Prices'!$B$9:$B$11,0)-1,MATCH(AD$1,'[1]End - Use Prices'!$C$7:$AL$7,0))</f>
        <v>11.25</v>
      </c>
      <c r="AE128" s="41">
        <f>INDEX('[1]End - Use Prices'!$C$6:$AL$89,MATCH($C128,'[1]End - Use Prices'!$A$6:$A$89,0)+MATCH($D128,'[1]End - Use Prices'!$B$9:$B$11,0)-1,MATCH(AE$1,'[1]End - Use Prices'!$C$7:$AL$7,0))</f>
        <v>10.93</v>
      </c>
      <c r="AF128" s="41">
        <f>INDEX('[1]End - Use Prices'!$C$6:$AL$89,MATCH($C128,'[1]End - Use Prices'!$A$6:$A$89,0)+MATCH($D128,'[1]End - Use Prices'!$B$9:$B$11,0)-1,MATCH(AF$1,'[1]End - Use Prices'!$C$7:$AL$7,0))</f>
        <v>10.61</v>
      </c>
      <c r="AG128" s="41">
        <f>INDEX('[1]End - Use Prices'!$C$6:$AL$89,MATCH($C128,'[1]End - Use Prices'!$A$6:$A$89,0)+MATCH($D128,'[1]End - Use Prices'!$B$9:$B$11,0)-1,MATCH(AG$1,'[1]End - Use Prices'!$C$7:$AL$7,0))</f>
        <v>9.19</v>
      </c>
      <c r="AH128" s="41">
        <f>INDEX('[1]End - Use Prices'!$C$6:$AL$89,MATCH($C128,'[1]End - Use Prices'!$A$6:$A$89,0)+MATCH($D128,'[1]End - Use Prices'!$B$9:$B$11,0)-1,MATCH(AH$1,'[1]End - Use Prices'!$C$7:$AL$7,0))</f>
        <v>11.81</v>
      </c>
      <c r="AI128" s="41">
        <f>INDEX('[1]End - Use Prices'!$C$6:$AL$89,MATCH($C128,'[1]End - Use Prices'!$A$6:$A$89,0)+MATCH($D128,'[1]End - Use Prices'!$B$9:$B$11,0)-1,MATCH(AI$1,'[1]End - Use Prices'!$C$7:$AL$7,0))</f>
        <v>8.8000000000000007</v>
      </c>
      <c r="AJ128" s="41">
        <f>INDEX('[1]End - Use Prices'!$C$6:$AL$89,MATCH($C128,'[1]End - Use Prices'!$A$6:$A$89,0)+MATCH($D128,'[1]End - Use Prices'!$B$9:$B$11,0)-1,MATCH(AJ$1,'[1]End - Use Prices'!$C$7:$AL$7,0))</f>
        <v>7.48</v>
      </c>
      <c r="AK128" s="41">
        <f>INDEX('[1]End - Use Prices'!$C$6:$AL$89,MATCH($C128,'[1]End - Use Prices'!$A$6:$A$89,0)+MATCH($D128,'[1]End - Use Prices'!$B$9:$B$11,0)-1,MATCH(AK$1,'[1]End - Use Prices'!$C$7:$AL$7,0))</f>
        <v>7.4</v>
      </c>
      <c r="AL128" s="41">
        <f>INDEX('[1]End - Use Prices'!$C$6:$AL$89,MATCH($C128,'[1]End - Use Prices'!$A$6:$A$89,0)+MATCH($D128,'[1]End - Use Prices'!$B$9:$B$11,0)-1,MATCH(AL$1,'[1]End - Use Prices'!$C$7:$AL$7,0))</f>
        <v>7.39</v>
      </c>
      <c r="AM128" s="41">
        <f>INDEX('[1]End - Use Prices'!$C$6:$AL$89,MATCH($C128,'[1]End - Use Prices'!$A$6:$A$89,0)+MATCH($D128,'[1]End - Use Prices'!$B$9:$B$11,0)-1,MATCH(AM$1,'[1]End - Use Prices'!$C$7:$AL$7,0))</f>
        <v>8.3000000000000007</v>
      </c>
      <c r="AN128" s="41">
        <f>INDEX('[1]End - Use Prices'!$C$6:$AL$89,MATCH($C128,'[1]End - Use Prices'!$A$6:$A$89,0)+MATCH($D128,'[1]End - Use Prices'!$B$9:$B$11,0)-1,MATCH(AN$1,'[1]End - Use Prices'!$C$7:$AL$7,0))</f>
        <v>8.73</v>
      </c>
      <c r="AO128" s="41">
        <f>INDEX('[1]End - Use Prices'!$C$6:$AL$89,MATCH($C128,'[1]End - Use Prices'!$A$6:$A$89,0)+MATCH($D128,'[1]End - Use Prices'!$B$9:$B$11,0)-1,MATCH(AO$1,'[1]End - Use Prices'!$C$7:$AL$7,0))</f>
        <v>9.14</v>
      </c>
      <c r="AP128" s="41">
        <f>INDEX('[1]End - Use Prices'!$C$6:$AL$89,MATCH($C128,'[1]End - Use Prices'!$A$6:$A$89,0)+MATCH($D128,'[1]End - Use Prices'!$B$9:$B$11,0)-1,MATCH(AP$1,'[1]End - Use Prices'!$C$7:$AL$7,0))</f>
        <v>9.51</v>
      </c>
      <c r="AQ128" s="41">
        <f>INDEX('[1]End - Use Prices'!$C$6:$AL$89,MATCH($C128,'[1]End - Use Prices'!$A$6:$A$89,0)+MATCH($D128,'[1]End - Use Prices'!$B$9:$B$11,0)-1,MATCH(AQ$1,'[1]End - Use Prices'!$C$7:$AL$7,0))</f>
        <v>9.4499999999999993</v>
      </c>
      <c r="AR128" s="41">
        <f>INDEX('[1]End - Use Prices'!$C$6:$AL$89,MATCH($C128,'[1]End - Use Prices'!$A$6:$A$89,0)+MATCH($D128,'[1]End - Use Prices'!$B$9:$B$11,0)-1,MATCH(AR$1,'[1]End - Use Prices'!$C$7:$AL$7,0))</f>
        <v>9.42</v>
      </c>
      <c r="AS128" s="41">
        <f>INDEX('[1]End - Use Prices'!$C$6:$AL$89,MATCH($C128,'[1]End - Use Prices'!$A$6:$A$89,0)+MATCH($D128,'[1]End - Use Prices'!$B$9:$B$11,0)-1,MATCH(AS$1,'[1]End - Use Prices'!$C$7:$AL$7,0))</f>
        <v>9.4600000000000009</v>
      </c>
      <c r="AT128" s="41">
        <f>INDEX('[1]End - Use Prices'!$C$6:$AL$89,MATCH($C128,'[1]End - Use Prices'!$A$6:$A$89,0)+MATCH($D128,'[1]End - Use Prices'!$B$9:$B$11,0)-1,MATCH(AT$1,'[1]End - Use Prices'!$C$7:$AL$7,0))</f>
        <v>9.48</v>
      </c>
      <c r="AU128" s="41">
        <f>INDEX('[1]End - Use Prices'!$C$6:$AL$89,MATCH($C128,'[1]End - Use Prices'!$A$6:$A$89,0)+MATCH($D128,'[1]End - Use Prices'!$B$9:$B$11,0)-1,MATCH(AU$1,'[1]End - Use Prices'!$C$7:$AL$7,0))</f>
        <v>9.52</v>
      </c>
      <c r="AV128" s="41">
        <f>INDEX('[1]End - Use Prices'!$C$6:$AL$89,MATCH($C128,'[1]End - Use Prices'!$A$6:$A$89,0)+MATCH($D128,'[1]End - Use Prices'!$B$9:$B$11,0)-1,MATCH(AV$1,'[1]End - Use Prices'!$C$7:$AL$7,0))</f>
        <v>9.57</v>
      </c>
      <c r="AW128" s="41">
        <f>INDEX('[1]End - Use Prices'!$C$6:$AL$89,MATCH($C128,'[1]End - Use Prices'!$A$6:$A$89,0)+MATCH($D128,'[1]End - Use Prices'!$B$9:$B$11,0)-1,MATCH(AW$1,'[1]End - Use Prices'!$C$7:$AL$7,0))</f>
        <v>9.6199999999999992</v>
      </c>
      <c r="AX128" s="41">
        <f>INDEX('[1]End - Use Prices'!$C$6:$AL$89,MATCH($C128,'[1]End - Use Prices'!$A$6:$A$89,0)+MATCH($D128,'[1]End - Use Prices'!$B$9:$B$11,0)-1,MATCH(AX$1,'[1]End - Use Prices'!$C$7:$AL$7,0))</f>
        <v>9.68</v>
      </c>
      <c r="AY128" s="41">
        <f>INDEX('[1]End - Use Prices'!$C$6:$AL$89,MATCH($C128,'[1]End - Use Prices'!$A$6:$A$89,0)+MATCH($D128,'[1]End - Use Prices'!$B$9:$B$11,0)-1,MATCH(AY$1,'[1]End - Use Prices'!$C$7:$AL$7,0))</f>
        <v>9.75</v>
      </c>
      <c r="AZ128" s="41">
        <f>INDEX('[1]End - Use Prices'!$C$6:$AL$89,MATCH($C128,'[1]End - Use Prices'!$A$6:$A$89,0)+MATCH($D128,'[1]End - Use Prices'!$B$9:$B$11,0)-1,MATCH(AZ$1,'[1]End - Use Prices'!$C$7:$AL$7,0))</f>
        <v>9.83</v>
      </c>
      <c r="BA128" s="41">
        <f>INDEX('[1]End - Use Prices'!$C$6:$AL$89,MATCH($C128,'[1]End - Use Prices'!$A$6:$A$89,0)+MATCH($D128,'[1]End - Use Prices'!$B$9:$B$11,0)-1,MATCH(BA$1,'[1]End - Use Prices'!$C$7:$AL$7,0))</f>
        <v>9.8699999999999992</v>
      </c>
      <c r="BB128" s="41">
        <f>INDEX('[1]End - Use Prices'!$C$6:$AL$89,MATCH($C128,'[1]End - Use Prices'!$A$6:$A$89,0)+MATCH($D128,'[1]End - Use Prices'!$B$9:$B$11,0)-1,MATCH(BB$1,'[1]End - Use Prices'!$C$7:$AL$7,0))</f>
        <v>9.9</v>
      </c>
      <c r="BC128" s="41">
        <f>INDEX('[1]End - Use Prices'!$C$6:$AL$89,MATCH($C128,'[1]End - Use Prices'!$A$6:$A$89,0)+MATCH($D128,'[1]End - Use Prices'!$B$9:$B$11,0)-1,MATCH(BC$1,'[1]End - Use Prices'!$C$7:$AL$7,0))</f>
        <v>9.93</v>
      </c>
      <c r="BD128" s="41">
        <f>INDEX('[1]End - Use Prices'!$C$6:$AL$89,MATCH($C128,'[1]End - Use Prices'!$A$6:$A$89,0)+MATCH($D128,'[1]End - Use Prices'!$B$9:$B$11,0)-1,MATCH(BD$1,'[1]End - Use Prices'!$C$7:$AL$7,0))</f>
        <v>9.94</v>
      </c>
      <c r="BE128" s="41">
        <f>INDEX('[1]End - Use Prices'!$C$6:$AL$89,MATCH($C128,'[1]End - Use Prices'!$A$6:$A$89,0)+MATCH($D128,'[1]End - Use Prices'!$B$9:$B$11,0)-1,MATCH(BE$1,'[1]End - Use Prices'!$C$7:$AL$7,0))</f>
        <v>9.94</v>
      </c>
      <c r="BF128" s="41">
        <f>INDEX('[1]End - Use Prices'!$C$6:$AL$89,MATCH($C128,'[1]End - Use Prices'!$A$6:$A$89,0)+MATCH($D128,'[1]End - Use Prices'!$B$9:$B$11,0)-1,MATCH(BF$1,'[1]End - Use Prices'!$C$7:$AL$7,0))</f>
        <v>9.9499999999999993</v>
      </c>
      <c r="BG128" s="41">
        <f>INDEX('[1]End - Use Prices'!$C$6:$AL$89,MATCH($C128,'[1]End - Use Prices'!$A$6:$A$89,0)+MATCH($D128,'[1]End - Use Prices'!$B$9:$B$11,0)-1,MATCH(BG$1,'[1]End - Use Prices'!$C$7:$AL$7,0))</f>
        <v>9.9499999999999993</v>
      </c>
      <c r="BR128" s="39"/>
      <c r="BS128" s="39"/>
      <c r="BT128" s="39"/>
      <c r="BU128" s="39"/>
      <c r="BV128" s="39"/>
      <c r="BW128" s="39"/>
      <c r="BX128" s="39"/>
      <c r="BY128" s="39"/>
      <c r="BZ128" s="39"/>
      <c r="CA128" s="39"/>
    </row>
    <row r="129" spans="1:79" x14ac:dyDescent="0.25">
      <c r="A129" s="5"/>
      <c r="B129" s="3"/>
      <c r="C129" s="25" t="s">
        <v>5</v>
      </c>
      <c r="D129" s="25" t="s">
        <v>14</v>
      </c>
      <c r="E129" s="25" t="s">
        <v>282</v>
      </c>
      <c r="F129" s="67" t="s">
        <v>279</v>
      </c>
      <c r="G129" s="53">
        <f t="shared" si="18"/>
        <v>12.98</v>
      </c>
      <c r="H129" s="34">
        <f t="shared" si="21"/>
        <v>12.98</v>
      </c>
      <c r="I129" s="34">
        <f t="shared" si="21"/>
        <v>7.97</v>
      </c>
      <c r="J129" s="34">
        <f t="shared" si="21"/>
        <v>3.36</v>
      </c>
      <c r="K129" s="34">
        <f t="shared" si="21"/>
        <v>6.42</v>
      </c>
      <c r="L129" s="34">
        <f t="shared" si="21"/>
        <v>7.15</v>
      </c>
      <c r="M129" s="34">
        <f t="shared" si="21"/>
        <v>7.33</v>
      </c>
      <c r="N129" s="34">
        <f t="shared" si="21"/>
        <v>7.6</v>
      </c>
      <c r="O129" s="34">
        <f t="shared" si="21"/>
        <v>7.63</v>
      </c>
      <c r="P129" s="53">
        <f t="shared" si="22"/>
        <v>7.63</v>
      </c>
      <c r="Q129" s="53">
        <f t="shared" si="22"/>
        <v>7.63</v>
      </c>
      <c r="R129" s="38"/>
      <c r="X129" s="41">
        <f>INDEX('[1]End - Use Prices'!$C$6:$AL$89,MATCH($C129,'[1]End - Use Prices'!$A$6:$A$89,0)+MATCH($D129,'[1]End - Use Prices'!$B$9:$B$11,0)-1,MATCH(X$1,'[1]End - Use Prices'!$C$7:$AL$7,0))</f>
        <v>12.98</v>
      </c>
      <c r="Y129" s="41">
        <f>INDEX('[1]End - Use Prices'!$C$6:$AL$89,MATCH($C129,'[1]End - Use Prices'!$A$6:$A$89,0)+MATCH($D129,'[1]End - Use Prices'!$B$9:$B$11,0)-1,MATCH(Y$1,'[1]End - Use Prices'!$C$7:$AL$7,0))</f>
        <v>11.76</v>
      </c>
      <c r="Z129" s="41">
        <f>INDEX('[1]End - Use Prices'!$C$6:$AL$89,MATCH($C129,'[1]End - Use Prices'!$A$6:$A$89,0)+MATCH($D129,'[1]End - Use Prices'!$B$9:$B$11,0)-1,MATCH(Z$1,'[1]End - Use Prices'!$C$7:$AL$7,0))</f>
        <v>10.95</v>
      </c>
      <c r="AA129" s="41">
        <f>INDEX('[1]End - Use Prices'!$C$6:$AL$89,MATCH($C129,'[1]End - Use Prices'!$A$6:$A$89,0)+MATCH($D129,'[1]End - Use Prices'!$B$9:$B$11,0)-1,MATCH(AA$1,'[1]End - Use Prices'!$C$7:$AL$7,0))</f>
        <v>11.03</v>
      </c>
      <c r="AB129" s="41">
        <f>INDEX('[1]End - Use Prices'!$C$6:$AL$89,MATCH($C129,'[1]End - Use Prices'!$A$6:$A$89,0)+MATCH($D129,'[1]End - Use Prices'!$B$9:$B$11,0)-1,MATCH(AB$1,'[1]End - Use Prices'!$C$7:$AL$7,0))</f>
        <v>7.77</v>
      </c>
      <c r="AC129" s="41">
        <f>INDEX('[1]End - Use Prices'!$C$6:$AL$89,MATCH($C129,'[1]End - Use Prices'!$A$6:$A$89,0)+MATCH($D129,'[1]End - Use Prices'!$B$9:$B$11,0)-1,MATCH(AC$1,'[1]End - Use Prices'!$C$7:$AL$7,0))</f>
        <v>7.97</v>
      </c>
      <c r="AD129" s="41">
        <f>INDEX('[1]End - Use Prices'!$C$6:$AL$89,MATCH($C129,'[1]End - Use Prices'!$A$6:$A$89,0)+MATCH($D129,'[1]End - Use Prices'!$B$9:$B$11,0)-1,MATCH(AD$1,'[1]End - Use Prices'!$C$7:$AL$7,0))</f>
        <v>8.15</v>
      </c>
      <c r="AE129" s="41">
        <f>INDEX('[1]End - Use Prices'!$C$6:$AL$89,MATCH($C129,'[1]End - Use Prices'!$A$6:$A$89,0)+MATCH($D129,'[1]End - Use Prices'!$B$9:$B$11,0)-1,MATCH(AE$1,'[1]End - Use Prices'!$C$7:$AL$7,0))</f>
        <v>6.63</v>
      </c>
      <c r="AF129" s="41">
        <f>INDEX('[1]End - Use Prices'!$C$6:$AL$89,MATCH($C129,'[1]End - Use Prices'!$A$6:$A$89,0)+MATCH($D129,'[1]End - Use Prices'!$B$9:$B$11,0)-1,MATCH(AF$1,'[1]End - Use Prices'!$C$7:$AL$7,0))</f>
        <v>6.93</v>
      </c>
      <c r="AG129" s="41">
        <f>INDEX('[1]End - Use Prices'!$C$6:$AL$89,MATCH($C129,'[1]End - Use Prices'!$A$6:$A$89,0)+MATCH($D129,'[1]End - Use Prices'!$B$9:$B$11,0)-1,MATCH(AG$1,'[1]End - Use Prices'!$C$7:$AL$7,0))</f>
        <v>8.5399999999999991</v>
      </c>
      <c r="AH129" s="41">
        <f>INDEX('[1]End - Use Prices'!$C$6:$AL$89,MATCH($C129,'[1]End - Use Prices'!$A$6:$A$89,0)+MATCH($D129,'[1]End - Use Prices'!$B$9:$B$11,0)-1,MATCH(AH$1,'[1]End - Use Prices'!$C$7:$AL$7,0))</f>
        <v>3.36</v>
      </c>
      <c r="AI129" s="41">
        <f>INDEX('[1]End - Use Prices'!$C$6:$AL$89,MATCH($C129,'[1]End - Use Prices'!$A$6:$A$89,0)+MATCH($D129,'[1]End - Use Prices'!$B$9:$B$11,0)-1,MATCH(AI$1,'[1]End - Use Prices'!$C$7:$AL$7,0))</f>
        <v>5.3</v>
      </c>
      <c r="AJ129" s="41">
        <f>INDEX('[1]End - Use Prices'!$C$6:$AL$89,MATCH($C129,'[1]End - Use Prices'!$A$6:$A$89,0)+MATCH($D129,'[1]End - Use Prices'!$B$9:$B$11,0)-1,MATCH(AJ$1,'[1]End - Use Prices'!$C$7:$AL$7,0))</f>
        <v>4.5599999999999996</v>
      </c>
      <c r="AK129" s="41">
        <f>INDEX('[1]End - Use Prices'!$C$6:$AL$89,MATCH($C129,'[1]End - Use Prices'!$A$6:$A$89,0)+MATCH($D129,'[1]End - Use Prices'!$B$9:$B$11,0)-1,MATCH(AK$1,'[1]End - Use Prices'!$C$7:$AL$7,0))</f>
        <v>5.99</v>
      </c>
      <c r="AL129" s="41">
        <f>INDEX('[1]End - Use Prices'!$C$6:$AL$89,MATCH($C129,'[1]End - Use Prices'!$A$6:$A$89,0)+MATCH($D129,'[1]End - Use Prices'!$B$9:$B$11,0)-1,MATCH(AL$1,'[1]End - Use Prices'!$C$7:$AL$7,0))</f>
        <v>6.47</v>
      </c>
      <c r="AM129" s="41">
        <f>INDEX('[1]End - Use Prices'!$C$6:$AL$89,MATCH($C129,'[1]End - Use Prices'!$A$6:$A$89,0)+MATCH($D129,'[1]End - Use Prices'!$B$9:$B$11,0)-1,MATCH(AM$1,'[1]End - Use Prices'!$C$7:$AL$7,0))</f>
        <v>6.42</v>
      </c>
      <c r="AN129" s="41">
        <f>INDEX('[1]End - Use Prices'!$C$6:$AL$89,MATCH($C129,'[1]End - Use Prices'!$A$6:$A$89,0)+MATCH($D129,'[1]End - Use Prices'!$B$9:$B$11,0)-1,MATCH(AN$1,'[1]End - Use Prices'!$C$7:$AL$7,0))</f>
        <v>6.38</v>
      </c>
      <c r="AO129" s="41">
        <f>INDEX('[1]End - Use Prices'!$C$6:$AL$89,MATCH($C129,'[1]End - Use Prices'!$A$6:$A$89,0)+MATCH($D129,'[1]End - Use Prices'!$B$9:$B$11,0)-1,MATCH(AO$1,'[1]End - Use Prices'!$C$7:$AL$7,0))</f>
        <v>6.84</v>
      </c>
      <c r="AP129" s="41">
        <f>INDEX('[1]End - Use Prices'!$C$6:$AL$89,MATCH($C129,'[1]End - Use Prices'!$A$6:$A$89,0)+MATCH($D129,'[1]End - Use Prices'!$B$9:$B$11,0)-1,MATCH(AP$1,'[1]End - Use Prices'!$C$7:$AL$7,0))</f>
        <v>7.25</v>
      </c>
      <c r="AQ129" s="41">
        <f>INDEX('[1]End - Use Prices'!$C$6:$AL$89,MATCH($C129,'[1]End - Use Prices'!$A$6:$A$89,0)+MATCH($D129,'[1]End - Use Prices'!$B$9:$B$11,0)-1,MATCH(AQ$1,'[1]End - Use Prices'!$C$7:$AL$7,0))</f>
        <v>7.19</v>
      </c>
      <c r="AR129" s="41">
        <f>INDEX('[1]End - Use Prices'!$C$6:$AL$89,MATCH($C129,'[1]End - Use Prices'!$A$6:$A$89,0)+MATCH($D129,'[1]End - Use Prices'!$B$9:$B$11,0)-1,MATCH(AR$1,'[1]End - Use Prices'!$C$7:$AL$7,0))</f>
        <v>7.15</v>
      </c>
      <c r="AS129" s="41">
        <f>INDEX('[1]End - Use Prices'!$C$6:$AL$89,MATCH($C129,'[1]End - Use Prices'!$A$6:$A$89,0)+MATCH($D129,'[1]End - Use Prices'!$B$9:$B$11,0)-1,MATCH(AS$1,'[1]End - Use Prices'!$C$7:$AL$7,0))</f>
        <v>7.18</v>
      </c>
      <c r="AT129" s="41">
        <f>INDEX('[1]End - Use Prices'!$C$6:$AL$89,MATCH($C129,'[1]End - Use Prices'!$A$6:$A$89,0)+MATCH($D129,'[1]End - Use Prices'!$B$9:$B$11,0)-1,MATCH(AT$1,'[1]End - Use Prices'!$C$7:$AL$7,0))</f>
        <v>7.2</v>
      </c>
      <c r="AU129" s="41">
        <f>INDEX('[1]End - Use Prices'!$C$6:$AL$89,MATCH($C129,'[1]End - Use Prices'!$A$6:$A$89,0)+MATCH($D129,'[1]End - Use Prices'!$B$9:$B$11,0)-1,MATCH(AU$1,'[1]End - Use Prices'!$C$7:$AL$7,0))</f>
        <v>7.23</v>
      </c>
      <c r="AV129" s="41">
        <f>INDEX('[1]End - Use Prices'!$C$6:$AL$89,MATCH($C129,'[1]End - Use Prices'!$A$6:$A$89,0)+MATCH($D129,'[1]End - Use Prices'!$B$9:$B$11,0)-1,MATCH(AV$1,'[1]End - Use Prices'!$C$7:$AL$7,0))</f>
        <v>7.28</v>
      </c>
      <c r="AW129" s="41">
        <f>INDEX('[1]End - Use Prices'!$C$6:$AL$89,MATCH($C129,'[1]End - Use Prices'!$A$6:$A$89,0)+MATCH($D129,'[1]End - Use Prices'!$B$9:$B$11,0)-1,MATCH(AW$1,'[1]End - Use Prices'!$C$7:$AL$7,0))</f>
        <v>7.33</v>
      </c>
      <c r="AX129" s="41">
        <f>INDEX('[1]End - Use Prices'!$C$6:$AL$89,MATCH($C129,'[1]End - Use Prices'!$A$6:$A$89,0)+MATCH($D129,'[1]End - Use Prices'!$B$9:$B$11,0)-1,MATCH(AX$1,'[1]End - Use Prices'!$C$7:$AL$7,0))</f>
        <v>7.38</v>
      </c>
      <c r="AY129" s="41">
        <f>INDEX('[1]End - Use Prices'!$C$6:$AL$89,MATCH($C129,'[1]End - Use Prices'!$A$6:$A$89,0)+MATCH($D129,'[1]End - Use Prices'!$B$9:$B$11,0)-1,MATCH(AY$1,'[1]End - Use Prices'!$C$7:$AL$7,0))</f>
        <v>7.45</v>
      </c>
      <c r="AZ129" s="41">
        <f>INDEX('[1]End - Use Prices'!$C$6:$AL$89,MATCH($C129,'[1]End - Use Prices'!$A$6:$A$89,0)+MATCH($D129,'[1]End - Use Prices'!$B$9:$B$11,0)-1,MATCH(AZ$1,'[1]End - Use Prices'!$C$7:$AL$7,0))</f>
        <v>7.53</v>
      </c>
      <c r="BA129" s="41">
        <f>INDEX('[1]End - Use Prices'!$C$6:$AL$89,MATCH($C129,'[1]End - Use Prices'!$A$6:$A$89,0)+MATCH($D129,'[1]End - Use Prices'!$B$9:$B$11,0)-1,MATCH(BA$1,'[1]End - Use Prices'!$C$7:$AL$7,0))</f>
        <v>7.57</v>
      </c>
      <c r="BB129" s="41">
        <f>INDEX('[1]End - Use Prices'!$C$6:$AL$89,MATCH($C129,'[1]End - Use Prices'!$A$6:$A$89,0)+MATCH($D129,'[1]End - Use Prices'!$B$9:$B$11,0)-1,MATCH(BB$1,'[1]End - Use Prices'!$C$7:$AL$7,0))</f>
        <v>7.6</v>
      </c>
      <c r="BC129" s="41">
        <f>INDEX('[1]End - Use Prices'!$C$6:$AL$89,MATCH($C129,'[1]End - Use Prices'!$A$6:$A$89,0)+MATCH($D129,'[1]End - Use Prices'!$B$9:$B$11,0)-1,MATCH(BC$1,'[1]End - Use Prices'!$C$7:$AL$7,0))</f>
        <v>7.62</v>
      </c>
      <c r="BD129" s="41">
        <f>INDEX('[1]End - Use Prices'!$C$6:$AL$89,MATCH($C129,'[1]End - Use Prices'!$A$6:$A$89,0)+MATCH($D129,'[1]End - Use Prices'!$B$9:$B$11,0)-1,MATCH(BD$1,'[1]End - Use Prices'!$C$7:$AL$7,0))</f>
        <v>7.63</v>
      </c>
      <c r="BE129" s="41">
        <f>INDEX('[1]End - Use Prices'!$C$6:$AL$89,MATCH($C129,'[1]End - Use Prices'!$A$6:$A$89,0)+MATCH($D129,'[1]End - Use Prices'!$B$9:$B$11,0)-1,MATCH(BE$1,'[1]End - Use Prices'!$C$7:$AL$7,0))</f>
        <v>7.63</v>
      </c>
      <c r="BF129" s="41">
        <f>INDEX('[1]End - Use Prices'!$C$6:$AL$89,MATCH($C129,'[1]End - Use Prices'!$A$6:$A$89,0)+MATCH($D129,'[1]End - Use Prices'!$B$9:$B$11,0)-1,MATCH(BF$1,'[1]End - Use Prices'!$C$7:$AL$7,0))</f>
        <v>7.63</v>
      </c>
      <c r="BG129" s="41">
        <f>INDEX('[1]End - Use Prices'!$C$6:$AL$89,MATCH($C129,'[1]End - Use Prices'!$A$6:$A$89,0)+MATCH($D129,'[1]End - Use Prices'!$B$9:$B$11,0)-1,MATCH(BG$1,'[1]End - Use Prices'!$C$7:$AL$7,0))</f>
        <v>7.63</v>
      </c>
      <c r="BR129" s="39"/>
      <c r="BS129" s="39"/>
      <c r="BT129" s="39"/>
      <c r="BU129" s="39"/>
      <c r="BV129" s="39"/>
      <c r="BW129" s="39"/>
      <c r="BX129" s="39"/>
      <c r="BY129" s="39"/>
      <c r="BZ129" s="39"/>
      <c r="CA129" s="39"/>
    </row>
    <row r="130" spans="1:79" x14ac:dyDescent="0.25">
      <c r="A130" s="5"/>
      <c r="B130" s="3"/>
      <c r="C130" s="25" t="s">
        <v>61</v>
      </c>
      <c r="D130" s="25" t="s">
        <v>14</v>
      </c>
      <c r="E130" s="25" t="s">
        <v>282</v>
      </c>
      <c r="F130" s="67" t="s">
        <v>279</v>
      </c>
      <c r="G130" s="53">
        <f t="shared" si="18"/>
        <v>15.71</v>
      </c>
      <c r="H130" s="34">
        <f t="shared" si="21"/>
        <v>15.71</v>
      </c>
      <c r="I130" s="34">
        <f t="shared" si="21"/>
        <v>17.63</v>
      </c>
      <c r="J130" s="34">
        <f t="shared" si="21"/>
        <v>15.79</v>
      </c>
      <c r="K130" s="34">
        <f t="shared" si="21"/>
        <v>13.09</v>
      </c>
      <c r="L130" s="34">
        <f t="shared" si="21"/>
        <v>13.24</v>
      </c>
      <c r="M130" s="34">
        <f t="shared" si="21"/>
        <v>13.33</v>
      </c>
      <c r="N130" s="34">
        <f t="shared" si="21"/>
        <v>13.56</v>
      </c>
      <c r="O130" s="34">
        <f t="shared" si="21"/>
        <v>13.49</v>
      </c>
      <c r="P130" s="53">
        <f t="shared" si="22"/>
        <v>13.49</v>
      </c>
      <c r="Q130" s="53">
        <f t="shared" si="22"/>
        <v>13.49</v>
      </c>
      <c r="R130" s="38"/>
      <c r="X130" s="41">
        <f>INDEX('[1]End - Use Prices'!$C$6:$AL$89,MATCH($C130,'[1]End - Use Prices'!$A$6:$A$89,0)+MATCH($D130,'[1]End - Use Prices'!$B$9:$B$11,0)-1,MATCH(X$1,'[1]End - Use Prices'!$C$7:$AL$7,0))</f>
        <v>15.71</v>
      </c>
      <c r="Y130" s="41">
        <f>INDEX('[1]End - Use Prices'!$C$6:$AL$89,MATCH($C130,'[1]End - Use Prices'!$A$6:$A$89,0)+MATCH($D130,'[1]End - Use Prices'!$B$9:$B$11,0)-1,MATCH(Y$1,'[1]End - Use Prices'!$C$7:$AL$7,0))</f>
        <v>16.100000000000001</v>
      </c>
      <c r="Z130" s="41">
        <f>INDEX('[1]End - Use Prices'!$C$6:$AL$89,MATCH($C130,'[1]End - Use Prices'!$A$6:$A$89,0)+MATCH($D130,'[1]End - Use Prices'!$B$9:$B$11,0)-1,MATCH(Z$1,'[1]End - Use Prices'!$C$7:$AL$7,0))</f>
        <v>15.95</v>
      </c>
      <c r="AA130" s="41">
        <f>INDEX('[1]End - Use Prices'!$C$6:$AL$89,MATCH($C130,'[1]End - Use Prices'!$A$6:$A$89,0)+MATCH($D130,'[1]End - Use Prices'!$B$9:$B$11,0)-1,MATCH(AA$1,'[1]End - Use Prices'!$C$7:$AL$7,0))</f>
        <v>15.79</v>
      </c>
      <c r="AB130" s="41">
        <f>INDEX('[1]End - Use Prices'!$C$6:$AL$89,MATCH($C130,'[1]End - Use Prices'!$A$6:$A$89,0)+MATCH($D130,'[1]End - Use Prices'!$B$9:$B$11,0)-1,MATCH(AB$1,'[1]End - Use Prices'!$C$7:$AL$7,0))</f>
        <v>16.8</v>
      </c>
      <c r="AC130" s="41">
        <f>INDEX('[1]End - Use Prices'!$C$6:$AL$89,MATCH($C130,'[1]End - Use Prices'!$A$6:$A$89,0)+MATCH($D130,'[1]End - Use Prices'!$B$9:$B$11,0)-1,MATCH(AC$1,'[1]End - Use Prices'!$C$7:$AL$7,0))</f>
        <v>17.63</v>
      </c>
      <c r="AD130" s="41">
        <f>INDEX('[1]End - Use Prices'!$C$6:$AL$89,MATCH($C130,'[1]End - Use Prices'!$A$6:$A$89,0)+MATCH($D130,'[1]End - Use Prices'!$B$9:$B$11,0)-1,MATCH(AD$1,'[1]End - Use Prices'!$C$7:$AL$7,0))</f>
        <v>17.100000000000001</v>
      </c>
      <c r="AE130" s="41">
        <f>INDEX('[1]End - Use Prices'!$C$6:$AL$89,MATCH($C130,'[1]End - Use Prices'!$A$6:$A$89,0)+MATCH($D130,'[1]End - Use Prices'!$B$9:$B$11,0)-1,MATCH(AE$1,'[1]End - Use Prices'!$C$7:$AL$7,0))</f>
        <v>16.28</v>
      </c>
      <c r="AF130" s="41">
        <f>INDEX('[1]End - Use Prices'!$C$6:$AL$89,MATCH($C130,'[1]End - Use Prices'!$A$6:$A$89,0)+MATCH($D130,'[1]End - Use Prices'!$B$9:$B$11,0)-1,MATCH(AF$1,'[1]End - Use Prices'!$C$7:$AL$7,0))</f>
        <v>15.65</v>
      </c>
      <c r="AG130" s="41">
        <f>INDEX('[1]End - Use Prices'!$C$6:$AL$89,MATCH($C130,'[1]End - Use Prices'!$A$6:$A$89,0)+MATCH($D130,'[1]End - Use Prices'!$B$9:$B$11,0)-1,MATCH(AG$1,'[1]End - Use Prices'!$C$7:$AL$7,0))</f>
        <v>16.579999999999998</v>
      </c>
      <c r="AH130" s="41">
        <f>INDEX('[1]End - Use Prices'!$C$6:$AL$89,MATCH($C130,'[1]End - Use Prices'!$A$6:$A$89,0)+MATCH($D130,'[1]End - Use Prices'!$B$9:$B$11,0)-1,MATCH(AH$1,'[1]End - Use Prices'!$C$7:$AL$7,0))</f>
        <v>15.79</v>
      </c>
      <c r="AI130" s="41">
        <f>INDEX('[1]End - Use Prices'!$C$6:$AL$89,MATCH($C130,'[1]End - Use Prices'!$A$6:$A$89,0)+MATCH($D130,'[1]End - Use Prices'!$B$9:$B$11,0)-1,MATCH(AI$1,'[1]End - Use Prices'!$C$7:$AL$7,0))</f>
        <v>12.09</v>
      </c>
      <c r="AJ130" s="41">
        <f>INDEX('[1]End - Use Prices'!$C$6:$AL$89,MATCH($C130,'[1]End - Use Prices'!$A$6:$A$89,0)+MATCH($D130,'[1]End - Use Prices'!$B$9:$B$11,0)-1,MATCH(AJ$1,'[1]End - Use Prices'!$C$7:$AL$7,0))</f>
        <v>12.97</v>
      </c>
      <c r="AK130" s="41">
        <f>INDEX('[1]End - Use Prices'!$C$6:$AL$89,MATCH($C130,'[1]End - Use Prices'!$A$6:$A$89,0)+MATCH($D130,'[1]End - Use Prices'!$B$9:$B$11,0)-1,MATCH(AK$1,'[1]End - Use Prices'!$C$7:$AL$7,0))</f>
        <v>12.73</v>
      </c>
      <c r="AL130" s="41">
        <f>INDEX('[1]End - Use Prices'!$C$6:$AL$89,MATCH($C130,'[1]End - Use Prices'!$A$6:$A$89,0)+MATCH($D130,'[1]End - Use Prices'!$B$9:$B$11,0)-1,MATCH(AL$1,'[1]End - Use Prices'!$C$7:$AL$7,0))</f>
        <v>12.86</v>
      </c>
      <c r="AM130" s="41">
        <f>INDEX('[1]End - Use Prices'!$C$6:$AL$89,MATCH($C130,'[1]End - Use Prices'!$A$6:$A$89,0)+MATCH($D130,'[1]End - Use Prices'!$B$9:$B$11,0)-1,MATCH(AM$1,'[1]End - Use Prices'!$C$7:$AL$7,0))</f>
        <v>13.09</v>
      </c>
      <c r="AN130" s="41">
        <f>INDEX('[1]End - Use Prices'!$C$6:$AL$89,MATCH($C130,'[1]End - Use Prices'!$A$6:$A$89,0)+MATCH($D130,'[1]End - Use Prices'!$B$9:$B$11,0)-1,MATCH(AN$1,'[1]End - Use Prices'!$C$7:$AL$7,0))</f>
        <v>13.29</v>
      </c>
      <c r="AO130" s="41">
        <f>INDEX('[1]End - Use Prices'!$C$6:$AL$89,MATCH($C130,'[1]End - Use Prices'!$A$6:$A$89,0)+MATCH($D130,'[1]End - Use Prices'!$B$9:$B$11,0)-1,MATCH(AO$1,'[1]End - Use Prices'!$C$7:$AL$7,0))</f>
        <v>13.49</v>
      </c>
      <c r="AP130" s="41">
        <f>INDEX('[1]End - Use Prices'!$C$6:$AL$89,MATCH($C130,'[1]End - Use Prices'!$A$6:$A$89,0)+MATCH($D130,'[1]End - Use Prices'!$B$9:$B$11,0)-1,MATCH(AP$1,'[1]End - Use Prices'!$C$7:$AL$7,0))</f>
        <v>13.43</v>
      </c>
      <c r="AQ130" s="41">
        <f>INDEX('[1]End - Use Prices'!$C$6:$AL$89,MATCH($C130,'[1]End - Use Prices'!$A$6:$A$89,0)+MATCH($D130,'[1]End - Use Prices'!$B$9:$B$11,0)-1,MATCH(AQ$1,'[1]End - Use Prices'!$C$7:$AL$7,0))</f>
        <v>13.32</v>
      </c>
      <c r="AR130" s="41">
        <f>INDEX('[1]End - Use Prices'!$C$6:$AL$89,MATCH($C130,'[1]End - Use Prices'!$A$6:$A$89,0)+MATCH($D130,'[1]End - Use Prices'!$B$9:$B$11,0)-1,MATCH(AR$1,'[1]End - Use Prices'!$C$7:$AL$7,0))</f>
        <v>13.24</v>
      </c>
      <c r="AS130" s="41">
        <f>INDEX('[1]End - Use Prices'!$C$6:$AL$89,MATCH($C130,'[1]End - Use Prices'!$A$6:$A$89,0)+MATCH($D130,'[1]End - Use Prices'!$B$9:$B$11,0)-1,MATCH(AS$1,'[1]End - Use Prices'!$C$7:$AL$7,0))</f>
        <v>13.25</v>
      </c>
      <c r="AT130" s="41">
        <f>INDEX('[1]End - Use Prices'!$C$6:$AL$89,MATCH($C130,'[1]End - Use Prices'!$A$6:$A$89,0)+MATCH($D130,'[1]End - Use Prices'!$B$9:$B$11,0)-1,MATCH(AT$1,'[1]End - Use Prices'!$C$7:$AL$7,0))</f>
        <v>13.24</v>
      </c>
      <c r="AU130" s="41">
        <f>INDEX('[1]End - Use Prices'!$C$6:$AL$89,MATCH($C130,'[1]End - Use Prices'!$A$6:$A$89,0)+MATCH($D130,'[1]End - Use Prices'!$B$9:$B$11,0)-1,MATCH(AU$1,'[1]End - Use Prices'!$C$7:$AL$7,0))</f>
        <v>13.26</v>
      </c>
      <c r="AV130" s="41">
        <f>INDEX('[1]End - Use Prices'!$C$6:$AL$89,MATCH($C130,'[1]End - Use Prices'!$A$6:$A$89,0)+MATCH($D130,'[1]End - Use Prices'!$B$9:$B$11,0)-1,MATCH(AV$1,'[1]End - Use Prices'!$C$7:$AL$7,0))</f>
        <v>13.3</v>
      </c>
      <c r="AW130" s="41">
        <f>INDEX('[1]End - Use Prices'!$C$6:$AL$89,MATCH($C130,'[1]End - Use Prices'!$A$6:$A$89,0)+MATCH($D130,'[1]End - Use Prices'!$B$9:$B$11,0)-1,MATCH(AW$1,'[1]End - Use Prices'!$C$7:$AL$7,0))</f>
        <v>13.33</v>
      </c>
      <c r="AX130" s="41">
        <f>INDEX('[1]End - Use Prices'!$C$6:$AL$89,MATCH($C130,'[1]End - Use Prices'!$A$6:$A$89,0)+MATCH($D130,'[1]End - Use Prices'!$B$9:$B$11,0)-1,MATCH(AX$1,'[1]End - Use Prices'!$C$7:$AL$7,0))</f>
        <v>13.38</v>
      </c>
      <c r="AY130" s="41">
        <f>INDEX('[1]End - Use Prices'!$C$6:$AL$89,MATCH($C130,'[1]End - Use Prices'!$A$6:$A$89,0)+MATCH($D130,'[1]End - Use Prices'!$B$9:$B$11,0)-1,MATCH(AY$1,'[1]End - Use Prices'!$C$7:$AL$7,0))</f>
        <v>13.44</v>
      </c>
      <c r="AZ130" s="41">
        <f>INDEX('[1]End - Use Prices'!$C$6:$AL$89,MATCH($C130,'[1]End - Use Prices'!$A$6:$A$89,0)+MATCH($D130,'[1]End - Use Prices'!$B$9:$B$11,0)-1,MATCH(AZ$1,'[1]End - Use Prices'!$C$7:$AL$7,0))</f>
        <v>13.51</v>
      </c>
      <c r="BA130" s="41">
        <f>INDEX('[1]End - Use Prices'!$C$6:$AL$89,MATCH($C130,'[1]End - Use Prices'!$A$6:$A$89,0)+MATCH($D130,'[1]End - Use Prices'!$B$9:$B$11,0)-1,MATCH(BA$1,'[1]End - Use Prices'!$C$7:$AL$7,0))</f>
        <v>13.54</v>
      </c>
      <c r="BB130" s="41">
        <f>INDEX('[1]End - Use Prices'!$C$6:$AL$89,MATCH($C130,'[1]End - Use Prices'!$A$6:$A$89,0)+MATCH($D130,'[1]End - Use Prices'!$B$9:$B$11,0)-1,MATCH(BB$1,'[1]End - Use Prices'!$C$7:$AL$7,0))</f>
        <v>13.56</v>
      </c>
      <c r="BC130" s="41">
        <f>INDEX('[1]End - Use Prices'!$C$6:$AL$89,MATCH($C130,'[1]End - Use Prices'!$A$6:$A$89,0)+MATCH($D130,'[1]End - Use Prices'!$B$9:$B$11,0)-1,MATCH(BC$1,'[1]End - Use Prices'!$C$7:$AL$7,0))</f>
        <v>13.57</v>
      </c>
      <c r="BD130" s="41">
        <f>INDEX('[1]End - Use Prices'!$C$6:$AL$89,MATCH($C130,'[1]End - Use Prices'!$A$6:$A$89,0)+MATCH($D130,'[1]End - Use Prices'!$B$9:$B$11,0)-1,MATCH(BD$1,'[1]End - Use Prices'!$C$7:$AL$7,0))</f>
        <v>13.56</v>
      </c>
      <c r="BE130" s="41">
        <f>INDEX('[1]End - Use Prices'!$C$6:$AL$89,MATCH($C130,'[1]End - Use Prices'!$A$6:$A$89,0)+MATCH($D130,'[1]End - Use Prices'!$B$9:$B$11,0)-1,MATCH(BE$1,'[1]End - Use Prices'!$C$7:$AL$7,0))</f>
        <v>13.54</v>
      </c>
      <c r="BF130" s="41">
        <f>INDEX('[1]End - Use Prices'!$C$6:$AL$89,MATCH($C130,'[1]End - Use Prices'!$A$6:$A$89,0)+MATCH($D130,'[1]End - Use Prices'!$B$9:$B$11,0)-1,MATCH(BF$1,'[1]End - Use Prices'!$C$7:$AL$7,0))</f>
        <v>13.52</v>
      </c>
      <c r="BG130" s="41">
        <f>INDEX('[1]End - Use Prices'!$C$6:$AL$89,MATCH($C130,'[1]End - Use Prices'!$A$6:$A$89,0)+MATCH($D130,'[1]End - Use Prices'!$B$9:$B$11,0)-1,MATCH(BG$1,'[1]End - Use Prices'!$C$7:$AL$7,0))</f>
        <v>13.49</v>
      </c>
      <c r="BR130" s="39"/>
      <c r="BS130" s="39"/>
      <c r="BT130" s="39"/>
      <c r="BU130" s="39"/>
      <c r="BV130" s="39"/>
      <c r="BW130" s="39"/>
      <c r="BX130" s="39"/>
      <c r="BY130" s="39"/>
      <c r="BZ130" s="39"/>
      <c r="CA130" s="39"/>
    </row>
    <row r="131" spans="1:79" x14ac:dyDescent="0.25">
      <c r="A131" s="5"/>
      <c r="B131" s="3"/>
      <c r="C131" s="25" t="s">
        <v>93</v>
      </c>
      <c r="D131" s="25" t="s">
        <v>14</v>
      </c>
      <c r="E131" s="25" t="s">
        <v>282</v>
      </c>
      <c r="F131" s="67" t="s">
        <v>279</v>
      </c>
      <c r="G131" s="53">
        <f t="shared" si="18"/>
        <v>15.71</v>
      </c>
      <c r="H131" s="34">
        <f t="shared" si="21"/>
        <v>15.71</v>
      </c>
      <c r="I131" s="34">
        <f t="shared" si="21"/>
        <v>14.92</v>
      </c>
      <c r="J131" s="34">
        <f t="shared" si="21"/>
        <v>12.25</v>
      </c>
      <c r="K131" s="34">
        <f t="shared" si="21"/>
        <v>9.07</v>
      </c>
      <c r="L131" s="34">
        <f t="shared" si="21"/>
        <v>9.5</v>
      </c>
      <c r="M131" s="34">
        <f t="shared" si="21"/>
        <v>9.94</v>
      </c>
      <c r="N131" s="34">
        <f t="shared" si="21"/>
        <v>10.41</v>
      </c>
      <c r="O131" s="34">
        <f t="shared" si="21"/>
        <v>10.59</v>
      </c>
      <c r="P131" s="53">
        <f t="shared" si="22"/>
        <v>10.59</v>
      </c>
      <c r="Q131" s="53">
        <f t="shared" si="22"/>
        <v>10.59</v>
      </c>
      <c r="R131" s="38"/>
      <c r="X131" s="41">
        <f>INDEX('[1]End - Use Prices'!$C$6:$AL$89,MATCH($C131,'[1]End - Use Prices'!$A$6:$A$89,0)+MATCH($D131,'[1]End - Use Prices'!$B$9:$B$11,0)-1,MATCH(X$1,'[1]End - Use Prices'!$C$7:$AL$7,0))</f>
        <v>15.71</v>
      </c>
      <c r="Y131" s="41">
        <f>INDEX('[1]End - Use Prices'!$C$6:$AL$89,MATCH($C131,'[1]End - Use Prices'!$A$6:$A$89,0)+MATCH($D131,'[1]End - Use Prices'!$B$9:$B$11,0)-1,MATCH(Y$1,'[1]End - Use Prices'!$C$7:$AL$7,0))</f>
        <v>16.100000000000001</v>
      </c>
      <c r="Z131" s="41">
        <f>INDEX('[1]End - Use Prices'!$C$6:$AL$89,MATCH($C131,'[1]End - Use Prices'!$A$6:$A$89,0)+MATCH($D131,'[1]End - Use Prices'!$B$9:$B$11,0)-1,MATCH(Z$1,'[1]End - Use Prices'!$C$7:$AL$7,0))</f>
        <v>15.74</v>
      </c>
      <c r="AA131" s="41">
        <f>INDEX('[1]End - Use Prices'!$C$6:$AL$89,MATCH($C131,'[1]End - Use Prices'!$A$6:$A$89,0)+MATCH($D131,'[1]End - Use Prices'!$B$9:$B$11,0)-1,MATCH(AA$1,'[1]End - Use Prices'!$C$7:$AL$7,0))</f>
        <v>15.46</v>
      </c>
      <c r="AB131" s="41">
        <f>INDEX('[1]End - Use Prices'!$C$6:$AL$89,MATCH($C131,'[1]End - Use Prices'!$A$6:$A$89,0)+MATCH($D131,'[1]End - Use Prices'!$B$9:$B$11,0)-1,MATCH(AB$1,'[1]End - Use Prices'!$C$7:$AL$7,0))</f>
        <v>15.41</v>
      </c>
      <c r="AC131" s="41">
        <f>INDEX('[1]End - Use Prices'!$C$6:$AL$89,MATCH($C131,'[1]End - Use Prices'!$A$6:$A$89,0)+MATCH($D131,'[1]End - Use Prices'!$B$9:$B$11,0)-1,MATCH(AC$1,'[1]End - Use Prices'!$C$7:$AL$7,0))</f>
        <v>14.92</v>
      </c>
      <c r="AD131" s="41">
        <f>INDEX('[1]End - Use Prices'!$C$6:$AL$89,MATCH($C131,'[1]End - Use Prices'!$A$6:$A$89,0)+MATCH($D131,'[1]End - Use Prices'!$B$9:$B$11,0)-1,MATCH(AD$1,'[1]End - Use Prices'!$C$7:$AL$7,0))</f>
        <v>13.77</v>
      </c>
      <c r="AE131" s="41">
        <f>INDEX('[1]End - Use Prices'!$C$6:$AL$89,MATCH($C131,'[1]End - Use Prices'!$A$6:$A$89,0)+MATCH($D131,'[1]End - Use Prices'!$B$9:$B$11,0)-1,MATCH(AE$1,'[1]End - Use Prices'!$C$7:$AL$7,0))</f>
        <v>12.54</v>
      </c>
      <c r="AF131" s="41">
        <f>INDEX('[1]End - Use Prices'!$C$6:$AL$89,MATCH($C131,'[1]End - Use Prices'!$A$6:$A$89,0)+MATCH($D131,'[1]End - Use Prices'!$B$9:$B$11,0)-1,MATCH(AF$1,'[1]End - Use Prices'!$C$7:$AL$7,0))</f>
        <v>12.18</v>
      </c>
      <c r="AG131" s="41">
        <f>INDEX('[1]End - Use Prices'!$C$6:$AL$89,MATCH($C131,'[1]End - Use Prices'!$A$6:$A$89,0)+MATCH($D131,'[1]End - Use Prices'!$B$9:$B$11,0)-1,MATCH(AG$1,'[1]End - Use Prices'!$C$7:$AL$7,0))</f>
        <v>13.28</v>
      </c>
      <c r="AH131" s="41">
        <f>INDEX('[1]End - Use Prices'!$C$6:$AL$89,MATCH($C131,'[1]End - Use Prices'!$A$6:$A$89,0)+MATCH($D131,'[1]End - Use Prices'!$B$9:$B$11,0)-1,MATCH(AH$1,'[1]End - Use Prices'!$C$7:$AL$7,0))</f>
        <v>12.25</v>
      </c>
      <c r="AI131" s="41">
        <f>INDEX('[1]End - Use Prices'!$C$6:$AL$89,MATCH($C131,'[1]End - Use Prices'!$A$6:$A$89,0)+MATCH($D131,'[1]End - Use Prices'!$B$9:$B$11,0)-1,MATCH(AI$1,'[1]End - Use Prices'!$C$7:$AL$7,0))</f>
        <v>8.43</v>
      </c>
      <c r="AJ131" s="41">
        <f>INDEX('[1]End - Use Prices'!$C$6:$AL$89,MATCH($C131,'[1]End - Use Prices'!$A$6:$A$89,0)+MATCH($D131,'[1]End - Use Prices'!$B$9:$B$11,0)-1,MATCH(AJ$1,'[1]End - Use Prices'!$C$7:$AL$7,0))</f>
        <v>8.91</v>
      </c>
      <c r="AK131" s="41">
        <f>INDEX('[1]End - Use Prices'!$C$6:$AL$89,MATCH($C131,'[1]End - Use Prices'!$A$6:$A$89,0)+MATCH($D131,'[1]End - Use Prices'!$B$9:$B$11,0)-1,MATCH(AK$1,'[1]End - Use Prices'!$C$7:$AL$7,0))</f>
        <v>8.81</v>
      </c>
      <c r="AL131" s="41">
        <f>INDEX('[1]End - Use Prices'!$C$6:$AL$89,MATCH($C131,'[1]End - Use Prices'!$A$6:$A$89,0)+MATCH($D131,'[1]End - Use Prices'!$B$9:$B$11,0)-1,MATCH(AL$1,'[1]End - Use Prices'!$C$7:$AL$7,0))</f>
        <v>8.7899999999999991</v>
      </c>
      <c r="AM131" s="41">
        <f>INDEX('[1]End - Use Prices'!$C$6:$AL$89,MATCH($C131,'[1]End - Use Prices'!$A$6:$A$89,0)+MATCH($D131,'[1]End - Use Prices'!$B$9:$B$11,0)-1,MATCH(AM$1,'[1]End - Use Prices'!$C$7:$AL$7,0))</f>
        <v>9.07</v>
      </c>
      <c r="AN131" s="41">
        <f>INDEX('[1]End - Use Prices'!$C$6:$AL$89,MATCH($C131,'[1]End - Use Prices'!$A$6:$A$89,0)+MATCH($D131,'[1]End - Use Prices'!$B$9:$B$11,0)-1,MATCH(AN$1,'[1]End - Use Prices'!$C$7:$AL$7,0))</f>
        <v>9.2200000000000006</v>
      </c>
      <c r="AO131" s="41">
        <f>INDEX('[1]End - Use Prices'!$C$6:$AL$89,MATCH($C131,'[1]End - Use Prices'!$A$6:$A$89,0)+MATCH($D131,'[1]End - Use Prices'!$B$9:$B$11,0)-1,MATCH(AO$1,'[1]End - Use Prices'!$C$7:$AL$7,0))</f>
        <v>9.36</v>
      </c>
      <c r="AP131" s="41">
        <f>INDEX('[1]End - Use Prices'!$C$6:$AL$89,MATCH($C131,'[1]End - Use Prices'!$A$6:$A$89,0)+MATCH($D131,'[1]End - Use Prices'!$B$9:$B$11,0)-1,MATCH(AP$1,'[1]End - Use Prices'!$C$7:$AL$7,0))</f>
        <v>9.48</v>
      </c>
      <c r="AQ131" s="41">
        <f>INDEX('[1]End - Use Prices'!$C$6:$AL$89,MATCH($C131,'[1]End - Use Prices'!$A$6:$A$89,0)+MATCH($D131,'[1]End - Use Prices'!$B$9:$B$11,0)-1,MATCH(AQ$1,'[1]End - Use Prices'!$C$7:$AL$7,0))</f>
        <v>9.48</v>
      </c>
      <c r="AR131" s="41">
        <f>INDEX('[1]End - Use Prices'!$C$6:$AL$89,MATCH($C131,'[1]End - Use Prices'!$A$6:$A$89,0)+MATCH($D131,'[1]End - Use Prices'!$B$9:$B$11,0)-1,MATCH(AR$1,'[1]End - Use Prices'!$C$7:$AL$7,0))</f>
        <v>9.5</v>
      </c>
      <c r="AS131" s="41">
        <f>INDEX('[1]End - Use Prices'!$C$6:$AL$89,MATCH($C131,'[1]End - Use Prices'!$A$6:$A$89,0)+MATCH($D131,'[1]End - Use Prices'!$B$9:$B$11,0)-1,MATCH(AS$1,'[1]End - Use Prices'!$C$7:$AL$7,0))</f>
        <v>9.58</v>
      </c>
      <c r="AT131" s="41">
        <f>INDEX('[1]End - Use Prices'!$C$6:$AL$89,MATCH($C131,'[1]End - Use Prices'!$A$6:$A$89,0)+MATCH($D131,'[1]End - Use Prices'!$B$9:$B$11,0)-1,MATCH(AT$1,'[1]End - Use Prices'!$C$7:$AL$7,0))</f>
        <v>9.66</v>
      </c>
      <c r="AU131" s="41">
        <f>INDEX('[1]End - Use Prices'!$C$6:$AL$89,MATCH($C131,'[1]End - Use Prices'!$A$6:$A$89,0)+MATCH($D131,'[1]End - Use Prices'!$B$9:$B$11,0)-1,MATCH(AU$1,'[1]End - Use Prices'!$C$7:$AL$7,0))</f>
        <v>9.75</v>
      </c>
      <c r="AV131" s="41">
        <f>INDEX('[1]End - Use Prices'!$C$6:$AL$89,MATCH($C131,'[1]End - Use Prices'!$A$6:$A$89,0)+MATCH($D131,'[1]End - Use Prices'!$B$9:$B$11,0)-1,MATCH(AV$1,'[1]End - Use Prices'!$C$7:$AL$7,0))</f>
        <v>9.85</v>
      </c>
      <c r="AW131" s="41">
        <f>INDEX('[1]End - Use Prices'!$C$6:$AL$89,MATCH($C131,'[1]End - Use Prices'!$A$6:$A$89,0)+MATCH($D131,'[1]End - Use Prices'!$B$9:$B$11,0)-1,MATCH(AW$1,'[1]End - Use Prices'!$C$7:$AL$7,0))</f>
        <v>9.94</v>
      </c>
      <c r="AX131" s="41">
        <f>INDEX('[1]End - Use Prices'!$C$6:$AL$89,MATCH($C131,'[1]End - Use Prices'!$A$6:$A$89,0)+MATCH($D131,'[1]End - Use Prices'!$B$9:$B$11,0)-1,MATCH(AX$1,'[1]End - Use Prices'!$C$7:$AL$7,0))</f>
        <v>10.039999999999999</v>
      </c>
      <c r="AY131" s="41">
        <f>INDEX('[1]End - Use Prices'!$C$6:$AL$89,MATCH($C131,'[1]End - Use Prices'!$A$6:$A$89,0)+MATCH($D131,'[1]End - Use Prices'!$B$9:$B$11,0)-1,MATCH(AY$1,'[1]End - Use Prices'!$C$7:$AL$7,0))</f>
        <v>10.16</v>
      </c>
      <c r="AZ131" s="41">
        <f>INDEX('[1]End - Use Prices'!$C$6:$AL$89,MATCH($C131,'[1]End - Use Prices'!$A$6:$A$89,0)+MATCH($D131,'[1]End - Use Prices'!$B$9:$B$11,0)-1,MATCH(AZ$1,'[1]End - Use Prices'!$C$7:$AL$7,0))</f>
        <v>10.28</v>
      </c>
      <c r="BA131" s="41">
        <f>INDEX('[1]End - Use Prices'!$C$6:$AL$89,MATCH($C131,'[1]End - Use Prices'!$A$6:$A$89,0)+MATCH($D131,'[1]End - Use Prices'!$B$9:$B$11,0)-1,MATCH(BA$1,'[1]End - Use Prices'!$C$7:$AL$7,0))</f>
        <v>10.34</v>
      </c>
      <c r="BB131" s="41">
        <f>INDEX('[1]End - Use Prices'!$C$6:$AL$89,MATCH($C131,'[1]End - Use Prices'!$A$6:$A$89,0)+MATCH($D131,'[1]End - Use Prices'!$B$9:$B$11,0)-1,MATCH(BB$1,'[1]End - Use Prices'!$C$7:$AL$7,0))</f>
        <v>10.41</v>
      </c>
      <c r="BC131" s="41">
        <f>INDEX('[1]End - Use Prices'!$C$6:$AL$89,MATCH($C131,'[1]End - Use Prices'!$A$6:$A$89,0)+MATCH($D131,'[1]End - Use Prices'!$B$9:$B$11,0)-1,MATCH(BC$1,'[1]End - Use Prices'!$C$7:$AL$7,0))</f>
        <v>10.46</v>
      </c>
      <c r="BD131" s="41">
        <f>INDEX('[1]End - Use Prices'!$C$6:$AL$89,MATCH($C131,'[1]End - Use Prices'!$A$6:$A$89,0)+MATCH($D131,'[1]End - Use Prices'!$B$9:$B$11,0)-1,MATCH(BD$1,'[1]End - Use Prices'!$C$7:$AL$7,0))</f>
        <v>10.5</v>
      </c>
      <c r="BE131" s="41">
        <f>INDEX('[1]End - Use Prices'!$C$6:$AL$89,MATCH($C131,'[1]End - Use Prices'!$A$6:$A$89,0)+MATCH($D131,'[1]End - Use Prices'!$B$9:$B$11,0)-1,MATCH(BE$1,'[1]End - Use Prices'!$C$7:$AL$7,0))</f>
        <v>10.54</v>
      </c>
      <c r="BF131" s="41">
        <f>INDEX('[1]End - Use Prices'!$C$6:$AL$89,MATCH($C131,'[1]End - Use Prices'!$A$6:$A$89,0)+MATCH($D131,'[1]End - Use Prices'!$B$9:$B$11,0)-1,MATCH(BF$1,'[1]End - Use Prices'!$C$7:$AL$7,0))</f>
        <v>10.57</v>
      </c>
      <c r="BG131" s="41">
        <f>INDEX('[1]End - Use Prices'!$C$6:$AL$89,MATCH($C131,'[1]End - Use Prices'!$A$6:$A$89,0)+MATCH($D131,'[1]End - Use Prices'!$B$9:$B$11,0)-1,MATCH(BG$1,'[1]End - Use Prices'!$C$7:$AL$7,0))</f>
        <v>10.59</v>
      </c>
      <c r="BR131" s="39"/>
      <c r="BS131" s="39"/>
      <c r="BT131" s="39"/>
      <c r="BU131" s="39"/>
      <c r="BV131" s="39"/>
      <c r="BW131" s="39"/>
      <c r="BX131" s="39"/>
      <c r="BY131" s="39"/>
      <c r="BZ131" s="39"/>
      <c r="CA131" s="39"/>
    </row>
    <row r="132" spans="1:79" x14ac:dyDescent="0.25">
      <c r="A132" s="5"/>
      <c r="B132" s="3"/>
      <c r="C132" s="25" t="s">
        <v>95</v>
      </c>
      <c r="D132" s="25" t="s">
        <v>14</v>
      </c>
      <c r="E132" s="25" t="s">
        <v>282</v>
      </c>
      <c r="F132" s="67" t="s">
        <v>279</v>
      </c>
      <c r="G132" s="53">
        <f t="shared" si="18"/>
        <v>32.04</v>
      </c>
      <c r="H132" s="34">
        <f t="shared" si="21"/>
        <v>32.04</v>
      </c>
      <c r="I132" s="34">
        <f t="shared" si="21"/>
        <v>30.65</v>
      </c>
      <c r="J132" s="34">
        <f t="shared" si="21"/>
        <v>39.43</v>
      </c>
      <c r="K132" s="34">
        <f t="shared" si="21"/>
        <v>41.09</v>
      </c>
      <c r="L132" s="34">
        <f t="shared" si="21"/>
        <v>42.93</v>
      </c>
      <c r="M132" s="34">
        <f t="shared" si="21"/>
        <v>43.05</v>
      </c>
      <c r="N132" s="34">
        <f t="shared" si="21"/>
        <v>43.31</v>
      </c>
      <c r="O132" s="34">
        <f t="shared" si="21"/>
        <v>43.29</v>
      </c>
      <c r="P132" s="53">
        <f t="shared" si="22"/>
        <v>43.29</v>
      </c>
      <c r="Q132" s="53">
        <f t="shared" si="22"/>
        <v>43.29</v>
      </c>
      <c r="R132" s="38"/>
      <c r="X132" s="41">
        <f>INDEX('[1]End - Use Prices'!$C$6:$AL$89,MATCH($C132,'[1]End - Use Prices'!$A$6:$A$89,0)+MATCH($D132,'[1]End - Use Prices'!$B$9:$B$11,0)-1,MATCH(X$1,'[1]End - Use Prices'!$C$7:$AL$7,0))</f>
        <v>32.04</v>
      </c>
      <c r="Y132" s="41">
        <f>INDEX('[1]End - Use Prices'!$C$6:$AL$89,MATCH($C132,'[1]End - Use Prices'!$A$6:$A$89,0)+MATCH($D132,'[1]End - Use Prices'!$B$9:$B$11,0)-1,MATCH(Y$1,'[1]End - Use Prices'!$C$7:$AL$7,0))</f>
        <v>31.25</v>
      </c>
      <c r="Z132" s="41">
        <f>INDEX('[1]End - Use Prices'!$C$6:$AL$89,MATCH($C132,'[1]End - Use Prices'!$A$6:$A$89,0)+MATCH($D132,'[1]End - Use Prices'!$B$9:$B$11,0)-1,MATCH(Z$1,'[1]End - Use Prices'!$C$7:$AL$7,0))</f>
        <v>32.020000000000003</v>
      </c>
      <c r="AA132" s="41">
        <f>INDEX('[1]End - Use Prices'!$C$6:$AL$89,MATCH($C132,'[1]End - Use Prices'!$A$6:$A$89,0)+MATCH($D132,'[1]End - Use Prices'!$B$9:$B$11,0)-1,MATCH(AA$1,'[1]End - Use Prices'!$C$7:$AL$7,0))</f>
        <v>31.29</v>
      </c>
      <c r="AB132" s="41">
        <f>INDEX('[1]End - Use Prices'!$C$6:$AL$89,MATCH($C132,'[1]End - Use Prices'!$A$6:$A$89,0)+MATCH($D132,'[1]End - Use Prices'!$B$9:$B$11,0)-1,MATCH(AB$1,'[1]End - Use Prices'!$C$7:$AL$7,0))</f>
        <v>30.74</v>
      </c>
      <c r="AC132" s="41">
        <f>INDEX('[1]End - Use Prices'!$C$6:$AL$89,MATCH($C132,'[1]End - Use Prices'!$A$6:$A$89,0)+MATCH($D132,'[1]End - Use Prices'!$B$9:$B$11,0)-1,MATCH(AC$1,'[1]End - Use Prices'!$C$7:$AL$7,0))</f>
        <v>30.65</v>
      </c>
      <c r="AD132" s="41">
        <f>INDEX('[1]End - Use Prices'!$C$6:$AL$89,MATCH($C132,'[1]End - Use Prices'!$A$6:$A$89,0)+MATCH($D132,'[1]End - Use Prices'!$B$9:$B$11,0)-1,MATCH(AD$1,'[1]End - Use Prices'!$C$7:$AL$7,0))</f>
        <v>29.66</v>
      </c>
      <c r="AE132" s="41">
        <f>INDEX('[1]End - Use Prices'!$C$6:$AL$89,MATCH($C132,'[1]End - Use Prices'!$A$6:$A$89,0)+MATCH($D132,'[1]End - Use Prices'!$B$9:$B$11,0)-1,MATCH(AE$1,'[1]End - Use Prices'!$C$7:$AL$7,0))</f>
        <v>33.369999999999997</v>
      </c>
      <c r="AF132" s="41">
        <f>INDEX('[1]End - Use Prices'!$C$6:$AL$89,MATCH($C132,'[1]End - Use Prices'!$A$6:$A$89,0)+MATCH($D132,'[1]End - Use Prices'!$B$9:$B$11,0)-1,MATCH(AF$1,'[1]End - Use Prices'!$C$7:$AL$7,0))</f>
        <v>33.28</v>
      </c>
      <c r="AG132" s="41">
        <f>INDEX('[1]End - Use Prices'!$C$6:$AL$89,MATCH($C132,'[1]End - Use Prices'!$A$6:$A$89,0)+MATCH($D132,'[1]End - Use Prices'!$B$9:$B$11,0)-1,MATCH(AG$1,'[1]End - Use Prices'!$C$7:$AL$7,0))</f>
        <v>39.119999999999997</v>
      </c>
      <c r="AH132" s="41">
        <f>INDEX('[1]End - Use Prices'!$C$6:$AL$89,MATCH($C132,'[1]End - Use Prices'!$A$6:$A$89,0)+MATCH($D132,'[1]End - Use Prices'!$B$9:$B$11,0)-1,MATCH(AH$1,'[1]End - Use Prices'!$C$7:$AL$7,0))</f>
        <v>39.43</v>
      </c>
      <c r="AI132" s="41">
        <f>INDEX('[1]End - Use Prices'!$C$6:$AL$89,MATCH($C132,'[1]End - Use Prices'!$A$6:$A$89,0)+MATCH($D132,'[1]End - Use Prices'!$B$9:$B$11,0)-1,MATCH(AI$1,'[1]End - Use Prices'!$C$7:$AL$7,0))</f>
        <v>39.19</v>
      </c>
      <c r="AJ132" s="41">
        <f>INDEX('[1]End - Use Prices'!$C$6:$AL$89,MATCH($C132,'[1]End - Use Prices'!$A$6:$A$89,0)+MATCH($D132,'[1]End - Use Prices'!$B$9:$B$11,0)-1,MATCH(AJ$1,'[1]End - Use Prices'!$C$7:$AL$7,0))</f>
        <v>39.659999999999997</v>
      </c>
      <c r="AK132" s="41">
        <f>INDEX('[1]End - Use Prices'!$C$6:$AL$89,MATCH($C132,'[1]End - Use Prices'!$A$6:$A$89,0)+MATCH($D132,'[1]End - Use Prices'!$B$9:$B$11,0)-1,MATCH(AK$1,'[1]End - Use Prices'!$C$7:$AL$7,0))</f>
        <v>39.57</v>
      </c>
      <c r="AL132" s="41">
        <f>INDEX('[1]End - Use Prices'!$C$6:$AL$89,MATCH($C132,'[1]End - Use Prices'!$A$6:$A$89,0)+MATCH($D132,'[1]End - Use Prices'!$B$9:$B$11,0)-1,MATCH(AL$1,'[1]End - Use Prices'!$C$7:$AL$7,0))</f>
        <v>39.549999999999997</v>
      </c>
      <c r="AM132" s="41">
        <f>INDEX('[1]End - Use Prices'!$C$6:$AL$89,MATCH($C132,'[1]End - Use Prices'!$A$6:$A$89,0)+MATCH($D132,'[1]End - Use Prices'!$B$9:$B$11,0)-1,MATCH(AM$1,'[1]End - Use Prices'!$C$7:$AL$7,0))</f>
        <v>41.09</v>
      </c>
      <c r="AN132" s="41">
        <f>INDEX('[1]End - Use Prices'!$C$6:$AL$89,MATCH($C132,'[1]End - Use Prices'!$A$6:$A$89,0)+MATCH($D132,'[1]End - Use Prices'!$B$9:$B$11,0)-1,MATCH(AN$1,'[1]End - Use Prices'!$C$7:$AL$7,0))</f>
        <v>41.81</v>
      </c>
      <c r="AO132" s="41">
        <f>INDEX('[1]End - Use Prices'!$C$6:$AL$89,MATCH($C132,'[1]End - Use Prices'!$A$6:$A$89,0)+MATCH($D132,'[1]End - Use Prices'!$B$9:$B$11,0)-1,MATCH(AO$1,'[1]End - Use Prices'!$C$7:$AL$7,0))</f>
        <v>42.49</v>
      </c>
      <c r="AP132" s="41">
        <f>INDEX('[1]End - Use Prices'!$C$6:$AL$89,MATCH($C132,'[1]End - Use Prices'!$A$6:$A$89,0)+MATCH($D132,'[1]End - Use Prices'!$B$9:$B$11,0)-1,MATCH(AP$1,'[1]End - Use Prices'!$C$7:$AL$7,0))</f>
        <v>43.1</v>
      </c>
      <c r="AQ132" s="41">
        <f>INDEX('[1]End - Use Prices'!$C$6:$AL$89,MATCH($C132,'[1]End - Use Prices'!$A$6:$A$89,0)+MATCH($D132,'[1]End - Use Prices'!$B$9:$B$11,0)-1,MATCH(AQ$1,'[1]End - Use Prices'!$C$7:$AL$7,0))</f>
        <v>43</v>
      </c>
      <c r="AR132" s="41">
        <f>INDEX('[1]End - Use Prices'!$C$6:$AL$89,MATCH($C132,'[1]End - Use Prices'!$A$6:$A$89,0)+MATCH($D132,'[1]End - Use Prices'!$B$9:$B$11,0)-1,MATCH(AR$1,'[1]End - Use Prices'!$C$7:$AL$7,0))</f>
        <v>42.93</v>
      </c>
      <c r="AS132" s="41">
        <f>INDEX('[1]End - Use Prices'!$C$6:$AL$89,MATCH($C132,'[1]End - Use Prices'!$A$6:$A$89,0)+MATCH($D132,'[1]End - Use Prices'!$B$9:$B$11,0)-1,MATCH(AS$1,'[1]End - Use Prices'!$C$7:$AL$7,0))</f>
        <v>42.95</v>
      </c>
      <c r="AT132" s="41">
        <f>INDEX('[1]End - Use Prices'!$C$6:$AL$89,MATCH($C132,'[1]End - Use Prices'!$A$6:$A$89,0)+MATCH($D132,'[1]End - Use Prices'!$B$9:$B$11,0)-1,MATCH(AT$1,'[1]End - Use Prices'!$C$7:$AL$7,0))</f>
        <v>42.95</v>
      </c>
      <c r="AU132" s="41">
        <f>INDEX('[1]End - Use Prices'!$C$6:$AL$89,MATCH($C132,'[1]End - Use Prices'!$A$6:$A$89,0)+MATCH($D132,'[1]End - Use Prices'!$B$9:$B$11,0)-1,MATCH(AU$1,'[1]End - Use Prices'!$C$7:$AL$7,0))</f>
        <v>42.97</v>
      </c>
      <c r="AV132" s="41">
        <f>INDEX('[1]End - Use Prices'!$C$6:$AL$89,MATCH($C132,'[1]End - Use Prices'!$A$6:$A$89,0)+MATCH($D132,'[1]End - Use Prices'!$B$9:$B$11,0)-1,MATCH(AV$1,'[1]End - Use Prices'!$C$7:$AL$7,0))</f>
        <v>43.01</v>
      </c>
      <c r="AW132" s="41">
        <f>INDEX('[1]End - Use Prices'!$C$6:$AL$89,MATCH($C132,'[1]End - Use Prices'!$A$6:$A$89,0)+MATCH($D132,'[1]End - Use Prices'!$B$9:$B$11,0)-1,MATCH(AW$1,'[1]End - Use Prices'!$C$7:$AL$7,0))</f>
        <v>43.05</v>
      </c>
      <c r="AX132" s="41">
        <f>INDEX('[1]End - Use Prices'!$C$6:$AL$89,MATCH($C132,'[1]End - Use Prices'!$A$6:$A$89,0)+MATCH($D132,'[1]End - Use Prices'!$B$9:$B$11,0)-1,MATCH(AX$1,'[1]End - Use Prices'!$C$7:$AL$7,0))</f>
        <v>43.1</v>
      </c>
      <c r="AY132" s="41">
        <f>INDEX('[1]End - Use Prices'!$C$6:$AL$89,MATCH($C132,'[1]End - Use Prices'!$A$6:$A$89,0)+MATCH($D132,'[1]End - Use Prices'!$B$9:$B$11,0)-1,MATCH(AY$1,'[1]End - Use Prices'!$C$7:$AL$7,0))</f>
        <v>43.17</v>
      </c>
      <c r="AZ132" s="41">
        <f>INDEX('[1]End - Use Prices'!$C$6:$AL$89,MATCH($C132,'[1]End - Use Prices'!$A$6:$A$89,0)+MATCH($D132,'[1]End - Use Prices'!$B$9:$B$11,0)-1,MATCH(AZ$1,'[1]End - Use Prices'!$C$7:$AL$7,0))</f>
        <v>43.25</v>
      </c>
      <c r="BA132" s="41">
        <f>INDEX('[1]End - Use Prices'!$C$6:$AL$89,MATCH($C132,'[1]End - Use Prices'!$A$6:$A$89,0)+MATCH($D132,'[1]End - Use Prices'!$B$9:$B$11,0)-1,MATCH(BA$1,'[1]End - Use Prices'!$C$7:$AL$7,0))</f>
        <v>43.28</v>
      </c>
      <c r="BB132" s="41">
        <f>INDEX('[1]End - Use Prices'!$C$6:$AL$89,MATCH($C132,'[1]End - Use Prices'!$A$6:$A$89,0)+MATCH($D132,'[1]End - Use Prices'!$B$9:$B$11,0)-1,MATCH(BB$1,'[1]End - Use Prices'!$C$7:$AL$7,0))</f>
        <v>43.31</v>
      </c>
      <c r="BC132" s="41">
        <f>INDEX('[1]End - Use Prices'!$C$6:$AL$89,MATCH($C132,'[1]End - Use Prices'!$A$6:$A$89,0)+MATCH($D132,'[1]End - Use Prices'!$B$9:$B$11,0)-1,MATCH(BC$1,'[1]End - Use Prices'!$C$7:$AL$7,0))</f>
        <v>43.33</v>
      </c>
      <c r="BD132" s="41">
        <f>INDEX('[1]End - Use Prices'!$C$6:$AL$89,MATCH($C132,'[1]End - Use Prices'!$A$6:$A$89,0)+MATCH($D132,'[1]End - Use Prices'!$B$9:$B$11,0)-1,MATCH(BD$1,'[1]End - Use Prices'!$C$7:$AL$7,0))</f>
        <v>43.33</v>
      </c>
      <c r="BE132" s="41">
        <f>INDEX('[1]End - Use Prices'!$C$6:$AL$89,MATCH($C132,'[1]End - Use Prices'!$A$6:$A$89,0)+MATCH($D132,'[1]End - Use Prices'!$B$9:$B$11,0)-1,MATCH(BE$1,'[1]End - Use Prices'!$C$7:$AL$7,0))</f>
        <v>43.31</v>
      </c>
      <c r="BF132" s="41">
        <f>INDEX('[1]End - Use Prices'!$C$6:$AL$89,MATCH($C132,'[1]End - Use Prices'!$A$6:$A$89,0)+MATCH($D132,'[1]End - Use Prices'!$B$9:$B$11,0)-1,MATCH(BF$1,'[1]End - Use Prices'!$C$7:$AL$7,0))</f>
        <v>43.3</v>
      </c>
      <c r="BG132" s="41">
        <f>INDEX('[1]End - Use Prices'!$C$6:$AL$89,MATCH($C132,'[1]End - Use Prices'!$A$6:$A$89,0)+MATCH($D132,'[1]End - Use Prices'!$B$9:$B$11,0)-1,MATCH(BG$1,'[1]End - Use Prices'!$C$7:$AL$7,0))</f>
        <v>43.29</v>
      </c>
      <c r="BR132" s="39"/>
      <c r="BS132" s="39"/>
      <c r="BT132" s="39"/>
      <c r="BU132" s="39"/>
      <c r="BV132" s="39"/>
      <c r="BW132" s="39"/>
      <c r="BX132" s="39"/>
      <c r="BY132" s="39"/>
      <c r="BZ132" s="39"/>
      <c r="CA132" s="39"/>
    </row>
    <row r="133" spans="1:79" x14ac:dyDescent="0.25">
      <c r="A133" s="5"/>
      <c r="B133" s="3"/>
      <c r="C133" s="25" t="s">
        <v>94</v>
      </c>
      <c r="D133" s="25" t="s">
        <v>14</v>
      </c>
      <c r="E133" s="25" t="s">
        <v>282</v>
      </c>
      <c r="F133" s="67" t="s">
        <v>279</v>
      </c>
      <c r="G133" s="53">
        <f t="shared" si="18"/>
        <v>15.71</v>
      </c>
      <c r="H133" s="34">
        <f t="shared" si="21"/>
        <v>15.71</v>
      </c>
      <c r="I133" s="34">
        <f t="shared" si="21"/>
        <v>14.92</v>
      </c>
      <c r="J133" s="34">
        <f t="shared" si="21"/>
        <v>12.25</v>
      </c>
      <c r="K133" s="34">
        <f t="shared" si="21"/>
        <v>9.07</v>
      </c>
      <c r="L133" s="34">
        <f t="shared" si="21"/>
        <v>9.5</v>
      </c>
      <c r="M133" s="34">
        <f t="shared" si="21"/>
        <v>9.94</v>
      </c>
      <c r="N133" s="34">
        <f t="shared" si="21"/>
        <v>10.41</v>
      </c>
      <c r="O133" s="34">
        <f t="shared" si="21"/>
        <v>10.59</v>
      </c>
      <c r="P133" s="53">
        <f t="shared" si="22"/>
        <v>10.59</v>
      </c>
      <c r="Q133" s="53">
        <f t="shared" si="22"/>
        <v>10.59</v>
      </c>
      <c r="R133" s="38"/>
      <c r="X133" s="41">
        <f>INDEX('[1]End - Use Prices'!$C$6:$AL$89,MATCH($C133,'[1]End - Use Prices'!$A$6:$A$89,0)+MATCH($D133,'[1]End - Use Prices'!$B$9:$B$11,0)-1,MATCH(X$1,'[1]End - Use Prices'!$C$7:$AL$7,0))</f>
        <v>15.71</v>
      </c>
      <c r="Y133" s="41">
        <f>INDEX('[1]End - Use Prices'!$C$6:$AL$89,MATCH($C133,'[1]End - Use Prices'!$A$6:$A$89,0)+MATCH($D133,'[1]End - Use Prices'!$B$9:$B$11,0)-1,MATCH(Y$1,'[1]End - Use Prices'!$C$7:$AL$7,0))</f>
        <v>16.100000000000001</v>
      </c>
      <c r="Z133" s="41">
        <f>INDEX('[1]End - Use Prices'!$C$6:$AL$89,MATCH($C133,'[1]End - Use Prices'!$A$6:$A$89,0)+MATCH($D133,'[1]End - Use Prices'!$B$9:$B$11,0)-1,MATCH(Z$1,'[1]End - Use Prices'!$C$7:$AL$7,0))</f>
        <v>15.74</v>
      </c>
      <c r="AA133" s="41">
        <f>INDEX('[1]End - Use Prices'!$C$6:$AL$89,MATCH($C133,'[1]End - Use Prices'!$A$6:$A$89,0)+MATCH($D133,'[1]End - Use Prices'!$B$9:$B$11,0)-1,MATCH(AA$1,'[1]End - Use Prices'!$C$7:$AL$7,0))</f>
        <v>15.46</v>
      </c>
      <c r="AB133" s="41">
        <f>INDEX('[1]End - Use Prices'!$C$6:$AL$89,MATCH($C133,'[1]End - Use Prices'!$A$6:$A$89,0)+MATCH($D133,'[1]End - Use Prices'!$B$9:$B$11,0)-1,MATCH(AB$1,'[1]End - Use Prices'!$C$7:$AL$7,0))</f>
        <v>15.41</v>
      </c>
      <c r="AC133" s="41">
        <f>INDEX('[1]End - Use Prices'!$C$6:$AL$89,MATCH($C133,'[1]End - Use Prices'!$A$6:$A$89,0)+MATCH($D133,'[1]End - Use Prices'!$B$9:$B$11,0)-1,MATCH(AC$1,'[1]End - Use Prices'!$C$7:$AL$7,0))</f>
        <v>14.92</v>
      </c>
      <c r="AD133" s="41">
        <f>INDEX('[1]End - Use Prices'!$C$6:$AL$89,MATCH($C133,'[1]End - Use Prices'!$A$6:$A$89,0)+MATCH($D133,'[1]End - Use Prices'!$B$9:$B$11,0)-1,MATCH(AD$1,'[1]End - Use Prices'!$C$7:$AL$7,0))</f>
        <v>13.77</v>
      </c>
      <c r="AE133" s="41">
        <f>INDEX('[1]End - Use Prices'!$C$6:$AL$89,MATCH($C133,'[1]End - Use Prices'!$A$6:$A$89,0)+MATCH($D133,'[1]End - Use Prices'!$B$9:$B$11,0)-1,MATCH(AE$1,'[1]End - Use Prices'!$C$7:$AL$7,0))</f>
        <v>12.54</v>
      </c>
      <c r="AF133" s="41">
        <f>INDEX('[1]End - Use Prices'!$C$6:$AL$89,MATCH($C133,'[1]End - Use Prices'!$A$6:$A$89,0)+MATCH($D133,'[1]End - Use Prices'!$B$9:$B$11,0)-1,MATCH(AF$1,'[1]End - Use Prices'!$C$7:$AL$7,0))</f>
        <v>12.18</v>
      </c>
      <c r="AG133" s="41">
        <f>INDEX('[1]End - Use Prices'!$C$6:$AL$89,MATCH($C133,'[1]End - Use Prices'!$A$6:$A$89,0)+MATCH($D133,'[1]End - Use Prices'!$B$9:$B$11,0)-1,MATCH(AG$1,'[1]End - Use Prices'!$C$7:$AL$7,0))</f>
        <v>13.28</v>
      </c>
      <c r="AH133" s="41">
        <f>INDEX('[1]End - Use Prices'!$C$6:$AL$89,MATCH($C133,'[1]End - Use Prices'!$A$6:$A$89,0)+MATCH($D133,'[1]End - Use Prices'!$B$9:$B$11,0)-1,MATCH(AH$1,'[1]End - Use Prices'!$C$7:$AL$7,0))</f>
        <v>12.25</v>
      </c>
      <c r="AI133" s="41">
        <f>INDEX('[1]End - Use Prices'!$C$6:$AL$89,MATCH($C133,'[1]End - Use Prices'!$A$6:$A$89,0)+MATCH($D133,'[1]End - Use Prices'!$B$9:$B$11,0)-1,MATCH(AI$1,'[1]End - Use Prices'!$C$7:$AL$7,0))</f>
        <v>8.43</v>
      </c>
      <c r="AJ133" s="41">
        <f>INDEX('[1]End - Use Prices'!$C$6:$AL$89,MATCH($C133,'[1]End - Use Prices'!$A$6:$A$89,0)+MATCH($D133,'[1]End - Use Prices'!$B$9:$B$11,0)-1,MATCH(AJ$1,'[1]End - Use Prices'!$C$7:$AL$7,0))</f>
        <v>8.91</v>
      </c>
      <c r="AK133" s="41">
        <f>INDEX('[1]End - Use Prices'!$C$6:$AL$89,MATCH($C133,'[1]End - Use Prices'!$A$6:$A$89,0)+MATCH($D133,'[1]End - Use Prices'!$B$9:$B$11,0)-1,MATCH(AK$1,'[1]End - Use Prices'!$C$7:$AL$7,0))</f>
        <v>8.81</v>
      </c>
      <c r="AL133" s="41">
        <f>INDEX('[1]End - Use Prices'!$C$6:$AL$89,MATCH($C133,'[1]End - Use Prices'!$A$6:$A$89,0)+MATCH($D133,'[1]End - Use Prices'!$B$9:$B$11,0)-1,MATCH(AL$1,'[1]End - Use Prices'!$C$7:$AL$7,0))</f>
        <v>8.7899999999999991</v>
      </c>
      <c r="AM133" s="41">
        <f>INDEX('[1]End - Use Prices'!$C$6:$AL$89,MATCH($C133,'[1]End - Use Prices'!$A$6:$A$89,0)+MATCH($D133,'[1]End - Use Prices'!$B$9:$B$11,0)-1,MATCH(AM$1,'[1]End - Use Prices'!$C$7:$AL$7,0))</f>
        <v>9.07</v>
      </c>
      <c r="AN133" s="41">
        <f>INDEX('[1]End - Use Prices'!$C$6:$AL$89,MATCH($C133,'[1]End - Use Prices'!$A$6:$A$89,0)+MATCH($D133,'[1]End - Use Prices'!$B$9:$B$11,0)-1,MATCH(AN$1,'[1]End - Use Prices'!$C$7:$AL$7,0))</f>
        <v>9.2200000000000006</v>
      </c>
      <c r="AO133" s="41">
        <f>INDEX('[1]End - Use Prices'!$C$6:$AL$89,MATCH($C133,'[1]End - Use Prices'!$A$6:$A$89,0)+MATCH($D133,'[1]End - Use Prices'!$B$9:$B$11,0)-1,MATCH(AO$1,'[1]End - Use Prices'!$C$7:$AL$7,0))</f>
        <v>9.36</v>
      </c>
      <c r="AP133" s="41">
        <f>INDEX('[1]End - Use Prices'!$C$6:$AL$89,MATCH($C133,'[1]End - Use Prices'!$A$6:$A$89,0)+MATCH($D133,'[1]End - Use Prices'!$B$9:$B$11,0)-1,MATCH(AP$1,'[1]End - Use Prices'!$C$7:$AL$7,0))</f>
        <v>9.48</v>
      </c>
      <c r="AQ133" s="41">
        <f>INDEX('[1]End - Use Prices'!$C$6:$AL$89,MATCH($C133,'[1]End - Use Prices'!$A$6:$A$89,0)+MATCH($D133,'[1]End - Use Prices'!$B$9:$B$11,0)-1,MATCH(AQ$1,'[1]End - Use Prices'!$C$7:$AL$7,0))</f>
        <v>9.48</v>
      </c>
      <c r="AR133" s="41">
        <f>INDEX('[1]End - Use Prices'!$C$6:$AL$89,MATCH($C133,'[1]End - Use Prices'!$A$6:$A$89,0)+MATCH($D133,'[1]End - Use Prices'!$B$9:$B$11,0)-1,MATCH(AR$1,'[1]End - Use Prices'!$C$7:$AL$7,0))</f>
        <v>9.5</v>
      </c>
      <c r="AS133" s="41">
        <f>INDEX('[1]End - Use Prices'!$C$6:$AL$89,MATCH($C133,'[1]End - Use Prices'!$A$6:$A$89,0)+MATCH($D133,'[1]End - Use Prices'!$B$9:$B$11,0)-1,MATCH(AS$1,'[1]End - Use Prices'!$C$7:$AL$7,0))</f>
        <v>9.58</v>
      </c>
      <c r="AT133" s="41">
        <f>INDEX('[1]End - Use Prices'!$C$6:$AL$89,MATCH($C133,'[1]End - Use Prices'!$A$6:$A$89,0)+MATCH($D133,'[1]End - Use Prices'!$B$9:$B$11,0)-1,MATCH(AT$1,'[1]End - Use Prices'!$C$7:$AL$7,0))</f>
        <v>9.66</v>
      </c>
      <c r="AU133" s="41">
        <f>INDEX('[1]End - Use Prices'!$C$6:$AL$89,MATCH($C133,'[1]End - Use Prices'!$A$6:$A$89,0)+MATCH($D133,'[1]End - Use Prices'!$B$9:$B$11,0)-1,MATCH(AU$1,'[1]End - Use Prices'!$C$7:$AL$7,0))</f>
        <v>9.75</v>
      </c>
      <c r="AV133" s="41">
        <f>INDEX('[1]End - Use Prices'!$C$6:$AL$89,MATCH($C133,'[1]End - Use Prices'!$A$6:$A$89,0)+MATCH($D133,'[1]End - Use Prices'!$B$9:$B$11,0)-1,MATCH(AV$1,'[1]End - Use Prices'!$C$7:$AL$7,0))</f>
        <v>9.85</v>
      </c>
      <c r="AW133" s="41">
        <f>INDEX('[1]End - Use Prices'!$C$6:$AL$89,MATCH($C133,'[1]End - Use Prices'!$A$6:$A$89,0)+MATCH($D133,'[1]End - Use Prices'!$B$9:$B$11,0)-1,MATCH(AW$1,'[1]End - Use Prices'!$C$7:$AL$7,0))</f>
        <v>9.94</v>
      </c>
      <c r="AX133" s="41">
        <f>INDEX('[1]End - Use Prices'!$C$6:$AL$89,MATCH($C133,'[1]End - Use Prices'!$A$6:$A$89,0)+MATCH($D133,'[1]End - Use Prices'!$B$9:$B$11,0)-1,MATCH(AX$1,'[1]End - Use Prices'!$C$7:$AL$7,0))</f>
        <v>10.039999999999999</v>
      </c>
      <c r="AY133" s="41">
        <f>INDEX('[1]End - Use Prices'!$C$6:$AL$89,MATCH($C133,'[1]End - Use Prices'!$A$6:$A$89,0)+MATCH($D133,'[1]End - Use Prices'!$B$9:$B$11,0)-1,MATCH(AY$1,'[1]End - Use Prices'!$C$7:$AL$7,0))</f>
        <v>10.16</v>
      </c>
      <c r="AZ133" s="41">
        <f>INDEX('[1]End - Use Prices'!$C$6:$AL$89,MATCH($C133,'[1]End - Use Prices'!$A$6:$A$89,0)+MATCH($D133,'[1]End - Use Prices'!$B$9:$B$11,0)-1,MATCH(AZ$1,'[1]End - Use Prices'!$C$7:$AL$7,0))</f>
        <v>10.28</v>
      </c>
      <c r="BA133" s="41">
        <f>INDEX('[1]End - Use Prices'!$C$6:$AL$89,MATCH($C133,'[1]End - Use Prices'!$A$6:$A$89,0)+MATCH($D133,'[1]End - Use Prices'!$B$9:$B$11,0)-1,MATCH(BA$1,'[1]End - Use Prices'!$C$7:$AL$7,0))</f>
        <v>10.34</v>
      </c>
      <c r="BB133" s="41">
        <f>INDEX('[1]End - Use Prices'!$C$6:$AL$89,MATCH($C133,'[1]End - Use Prices'!$A$6:$A$89,0)+MATCH($D133,'[1]End - Use Prices'!$B$9:$B$11,0)-1,MATCH(BB$1,'[1]End - Use Prices'!$C$7:$AL$7,0))</f>
        <v>10.41</v>
      </c>
      <c r="BC133" s="41">
        <f>INDEX('[1]End - Use Prices'!$C$6:$AL$89,MATCH($C133,'[1]End - Use Prices'!$A$6:$A$89,0)+MATCH($D133,'[1]End - Use Prices'!$B$9:$B$11,0)-1,MATCH(BC$1,'[1]End - Use Prices'!$C$7:$AL$7,0))</f>
        <v>10.46</v>
      </c>
      <c r="BD133" s="41">
        <f>INDEX('[1]End - Use Prices'!$C$6:$AL$89,MATCH($C133,'[1]End - Use Prices'!$A$6:$A$89,0)+MATCH($D133,'[1]End - Use Prices'!$B$9:$B$11,0)-1,MATCH(BD$1,'[1]End - Use Prices'!$C$7:$AL$7,0))</f>
        <v>10.5</v>
      </c>
      <c r="BE133" s="41">
        <f>INDEX('[1]End - Use Prices'!$C$6:$AL$89,MATCH($C133,'[1]End - Use Prices'!$A$6:$A$89,0)+MATCH($D133,'[1]End - Use Prices'!$B$9:$B$11,0)-1,MATCH(BE$1,'[1]End - Use Prices'!$C$7:$AL$7,0))</f>
        <v>10.54</v>
      </c>
      <c r="BF133" s="41">
        <f>INDEX('[1]End - Use Prices'!$C$6:$AL$89,MATCH($C133,'[1]End - Use Prices'!$A$6:$A$89,0)+MATCH($D133,'[1]End - Use Prices'!$B$9:$B$11,0)-1,MATCH(BF$1,'[1]End - Use Prices'!$C$7:$AL$7,0))</f>
        <v>10.57</v>
      </c>
      <c r="BG133" s="41">
        <f>INDEX('[1]End - Use Prices'!$C$6:$AL$89,MATCH($C133,'[1]End - Use Prices'!$A$6:$A$89,0)+MATCH($D133,'[1]End - Use Prices'!$B$9:$B$11,0)-1,MATCH(BG$1,'[1]End - Use Prices'!$C$7:$AL$7,0))</f>
        <v>10.59</v>
      </c>
      <c r="BR133" s="39"/>
      <c r="BS133" s="39"/>
      <c r="BT133" s="39"/>
      <c r="BU133" s="39"/>
      <c r="BV133" s="39"/>
      <c r="BW133" s="39"/>
      <c r="BX133" s="39"/>
      <c r="BY133" s="39"/>
      <c r="BZ133" s="39"/>
      <c r="CA133" s="39"/>
    </row>
    <row r="134" spans="1:79" x14ac:dyDescent="0.25">
      <c r="A134" s="5"/>
      <c r="B134" s="3"/>
      <c r="C134" s="25" t="s">
        <v>48</v>
      </c>
      <c r="D134" s="25" t="s">
        <v>280</v>
      </c>
      <c r="E134" s="25" t="s">
        <v>282</v>
      </c>
      <c r="F134" s="67" t="s">
        <v>279</v>
      </c>
      <c r="G134" s="53">
        <f t="shared" si="18"/>
        <v>25.71</v>
      </c>
      <c r="H134" s="34">
        <f t="shared" si="21"/>
        <v>25.71</v>
      </c>
      <c r="I134" s="34">
        <f t="shared" si="21"/>
        <v>26.91</v>
      </c>
      <c r="J134" s="34">
        <f t="shared" si="21"/>
        <v>28.23</v>
      </c>
      <c r="K134" s="34">
        <f t="shared" si="21"/>
        <v>38.950000000000003</v>
      </c>
      <c r="L134" s="34">
        <f t="shared" si="21"/>
        <v>34.25</v>
      </c>
      <c r="M134" s="34">
        <f t="shared" si="21"/>
        <v>33.67</v>
      </c>
      <c r="N134" s="34">
        <f t="shared" si="21"/>
        <v>33.49</v>
      </c>
      <c r="O134" s="34">
        <f t="shared" si="21"/>
        <v>33.18</v>
      </c>
      <c r="P134" s="53">
        <f t="shared" si="22"/>
        <v>33.18</v>
      </c>
      <c r="Q134" s="53">
        <f t="shared" si="22"/>
        <v>33.18</v>
      </c>
      <c r="R134" s="38"/>
      <c r="X134" s="41">
        <f>INDEX('[1]End - Use Prices'!$C$6:$AL$89,MATCH($C134,'[1]End - Use Prices'!$A$6:$A$89,0)+MATCH($D134,'[1]End - Use Prices'!$B$9:$B$11,0)-1,MATCH(X$1,'[1]End - Use Prices'!$C$7:$AL$7,0))</f>
        <v>25.71</v>
      </c>
      <c r="Y134" s="41">
        <f>INDEX('[1]End - Use Prices'!$C$6:$AL$89,MATCH($C134,'[1]End - Use Prices'!$A$6:$A$89,0)+MATCH($D134,'[1]End - Use Prices'!$B$9:$B$11,0)-1,MATCH(Y$1,'[1]End - Use Prices'!$C$7:$AL$7,0))</f>
        <v>26.31</v>
      </c>
      <c r="Z134" s="41">
        <f>INDEX('[1]End - Use Prices'!$C$6:$AL$89,MATCH($C134,'[1]End - Use Prices'!$A$6:$A$89,0)+MATCH($D134,'[1]End - Use Prices'!$B$9:$B$11,0)-1,MATCH(Z$1,'[1]End - Use Prices'!$C$7:$AL$7,0))</f>
        <v>26.43</v>
      </c>
      <c r="AA134" s="41">
        <f>INDEX('[1]End - Use Prices'!$C$6:$AL$89,MATCH($C134,'[1]End - Use Prices'!$A$6:$A$89,0)+MATCH($D134,'[1]End - Use Prices'!$B$9:$B$11,0)-1,MATCH(AA$1,'[1]End - Use Prices'!$C$7:$AL$7,0))</f>
        <v>33.200000000000003</v>
      </c>
      <c r="AB134" s="41">
        <f>INDEX('[1]End - Use Prices'!$C$6:$AL$89,MATCH($C134,'[1]End - Use Prices'!$A$6:$A$89,0)+MATCH($D134,'[1]End - Use Prices'!$B$9:$B$11,0)-1,MATCH(AB$1,'[1]End - Use Prices'!$C$7:$AL$7,0))</f>
        <v>23.79</v>
      </c>
      <c r="AC134" s="41">
        <f>INDEX('[1]End - Use Prices'!$C$6:$AL$89,MATCH($C134,'[1]End - Use Prices'!$A$6:$A$89,0)+MATCH($D134,'[1]End - Use Prices'!$B$9:$B$11,0)-1,MATCH(AC$1,'[1]End - Use Prices'!$C$7:$AL$7,0))</f>
        <v>26.91</v>
      </c>
      <c r="AD134" s="41">
        <f>INDEX('[1]End - Use Prices'!$C$6:$AL$89,MATCH($C134,'[1]End - Use Prices'!$A$6:$A$89,0)+MATCH($D134,'[1]End - Use Prices'!$B$9:$B$11,0)-1,MATCH(AD$1,'[1]End - Use Prices'!$C$7:$AL$7,0))</f>
        <v>32.58</v>
      </c>
      <c r="AE134" s="41">
        <f>INDEX('[1]End - Use Prices'!$C$6:$AL$89,MATCH($C134,'[1]End - Use Prices'!$A$6:$A$89,0)+MATCH($D134,'[1]End - Use Prices'!$B$9:$B$11,0)-1,MATCH(AE$1,'[1]End - Use Prices'!$C$7:$AL$7,0))</f>
        <v>33.74</v>
      </c>
      <c r="AF134" s="41">
        <f>INDEX('[1]End - Use Prices'!$C$6:$AL$89,MATCH($C134,'[1]End - Use Prices'!$A$6:$A$89,0)+MATCH($D134,'[1]End - Use Prices'!$B$9:$B$11,0)-1,MATCH(AF$1,'[1]End - Use Prices'!$C$7:$AL$7,0))</f>
        <v>33.31</v>
      </c>
      <c r="AG134" s="41">
        <f>INDEX('[1]End - Use Prices'!$C$6:$AL$89,MATCH($C134,'[1]End - Use Prices'!$A$6:$A$89,0)+MATCH($D134,'[1]End - Use Prices'!$B$9:$B$11,0)-1,MATCH(AG$1,'[1]End - Use Prices'!$C$7:$AL$7,0))</f>
        <v>34.46</v>
      </c>
      <c r="AH134" s="41">
        <f>INDEX('[1]End - Use Prices'!$C$6:$AL$89,MATCH($C134,'[1]End - Use Prices'!$A$6:$A$89,0)+MATCH($D134,'[1]End - Use Prices'!$B$9:$B$11,0)-1,MATCH(AH$1,'[1]End - Use Prices'!$C$7:$AL$7,0))</f>
        <v>28.23</v>
      </c>
      <c r="AI134" s="41">
        <f>INDEX('[1]End - Use Prices'!$C$6:$AL$89,MATCH($C134,'[1]End - Use Prices'!$A$6:$A$89,0)+MATCH($D134,'[1]End - Use Prices'!$B$9:$B$11,0)-1,MATCH(AI$1,'[1]End - Use Prices'!$C$7:$AL$7,0))</f>
        <v>24.61</v>
      </c>
      <c r="AJ134" s="41">
        <f>INDEX('[1]End - Use Prices'!$C$6:$AL$89,MATCH($C134,'[1]End - Use Prices'!$A$6:$A$89,0)+MATCH($D134,'[1]End - Use Prices'!$B$9:$B$11,0)-1,MATCH(AJ$1,'[1]End - Use Prices'!$C$7:$AL$7,0))</f>
        <v>27.26</v>
      </c>
      <c r="AK134" s="41">
        <f>INDEX('[1]End - Use Prices'!$C$6:$AL$89,MATCH($C134,'[1]End - Use Prices'!$A$6:$A$89,0)+MATCH($D134,'[1]End - Use Prices'!$B$9:$B$11,0)-1,MATCH(AK$1,'[1]End - Use Prices'!$C$7:$AL$7,0))</f>
        <v>31.59</v>
      </c>
      <c r="AL134" s="41">
        <f>INDEX('[1]End - Use Prices'!$C$6:$AL$89,MATCH($C134,'[1]End - Use Prices'!$A$6:$A$89,0)+MATCH($D134,'[1]End - Use Prices'!$B$9:$B$11,0)-1,MATCH(AL$1,'[1]End - Use Prices'!$C$7:$AL$7,0))</f>
        <v>35.08</v>
      </c>
      <c r="AM134" s="41">
        <f>INDEX('[1]End - Use Prices'!$C$6:$AL$89,MATCH($C134,'[1]End - Use Prices'!$A$6:$A$89,0)+MATCH($D134,'[1]End - Use Prices'!$B$9:$B$11,0)-1,MATCH(AM$1,'[1]End - Use Prices'!$C$7:$AL$7,0))</f>
        <v>38.950000000000003</v>
      </c>
      <c r="AN134" s="41">
        <f>INDEX('[1]End - Use Prices'!$C$6:$AL$89,MATCH($C134,'[1]End - Use Prices'!$A$6:$A$89,0)+MATCH($D134,'[1]End - Use Prices'!$B$9:$B$11,0)-1,MATCH(AN$1,'[1]End - Use Prices'!$C$7:$AL$7,0))</f>
        <v>36.01</v>
      </c>
      <c r="AO134" s="41">
        <f>INDEX('[1]End - Use Prices'!$C$6:$AL$89,MATCH($C134,'[1]End - Use Prices'!$A$6:$A$89,0)+MATCH($D134,'[1]End - Use Prices'!$B$9:$B$11,0)-1,MATCH(AO$1,'[1]End - Use Prices'!$C$7:$AL$7,0))</f>
        <v>34.17</v>
      </c>
      <c r="AP134" s="41">
        <f>INDEX('[1]End - Use Prices'!$C$6:$AL$89,MATCH($C134,'[1]End - Use Prices'!$A$6:$A$89,0)+MATCH($D134,'[1]End - Use Prices'!$B$9:$B$11,0)-1,MATCH(AP$1,'[1]End - Use Prices'!$C$7:$AL$7,0))</f>
        <v>34.06</v>
      </c>
      <c r="AQ134" s="41">
        <f>INDEX('[1]End - Use Prices'!$C$6:$AL$89,MATCH($C134,'[1]End - Use Prices'!$A$6:$A$89,0)+MATCH($D134,'[1]End - Use Prices'!$B$9:$B$11,0)-1,MATCH(AQ$1,'[1]End - Use Prices'!$C$7:$AL$7,0))</f>
        <v>34.04</v>
      </c>
      <c r="AR134" s="41">
        <f>INDEX('[1]End - Use Prices'!$C$6:$AL$89,MATCH($C134,'[1]End - Use Prices'!$A$6:$A$89,0)+MATCH($D134,'[1]End - Use Prices'!$B$9:$B$11,0)-1,MATCH(AR$1,'[1]End - Use Prices'!$C$7:$AL$7,0))</f>
        <v>34.25</v>
      </c>
      <c r="AS134" s="41">
        <f>INDEX('[1]End - Use Prices'!$C$6:$AL$89,MATCH($C134,'[1]End - Use Prices'!$A$6:$A$89,0)+MATCH($D134,'[1]End - Use Prices'!$B$9:$B$11,0)-1,MATCH(AS$1,'[1]End - Use Prices'!$C$7:$AL$7,0))</f>
        <v>34.39</v>
      </c>
      <c r="AT134" s="41">
        <f>INDEX('[1]End - Use Prices'!$C$6:$AL$89,MATCH($C134,'[1]End - Use Prices'!$A$6:$A$89,0)+MATCH($D134,'[1]End - Use Prices'!$B$9:$B$11,0)-1,MATCH(AT$1,'[1]End - Use Prices'!$C$7:$AL$7,0))</f>
        <v>34.22</v>
      </c>
      <c r="AU134" s="41">
        <f>INDEX('[1]End - Use Prices'!$C$6:$AL$89,MATCH($C134,'[1]End - Use Prices'!$A$6:$A$89,0)+MATCH($D134,'[1]End - Use Prices'!$B$9:$B$11,0)-1,MATCH(AU$1,'[1]End - Use Prices'!$C$7:$AL$7,0))</f>
        <v>34.020000000000003</v>
      </c>
      <c r="AV134" s="41">
        <f>INDEX('[1]End - Use Prices'!$C$6:$AL$89,MATCH($C134,'[1]End - Use Prices'!$A$6:$A$89,0)+MATCH($D134,'[1]End - Use Prices'!$B$9:$B$11,0)-1,MATCH(AV$1,'[1]End - Use Prices'!$C$7:$AL$7,0))</f>
        <v>33.840000000000003</v>
      </c>
      <c r="AW134" s="41">
        <f>INDEX('[1]End - Use Prices'!$C$6:$AL$89,MATCH($C134,'[1]End - Use Prices'!$A$6:$A$89,0)+MATCH($D134,'[1]End - Use Prices'!$B$9:$B$11,0)-1,MATCH(AW$1,'[1]End - Use Prices'!$C$7:$AL$7,0))</f>
        <v>33.67</v>
      </c>
      <c r="AX134" s="41">
        <f>INDEX('[1]End - Use Prices'!$C$6:$AL$89,MATCH($C134,'[1]End - Use Prices'!$A$6:$A$89,0)+MATCH($D134,'[1]End - Use Prices'!$B$9:$B$11,0)-1,MATCH(AX$1,'[1]End - Use Prices'!$C$7:$AL$7,0))</f>
        <v>33.58</v>
      </c>
      <c r="AY134" s="41">
        <f>INDEX('[1]End - Use Prices'!$C$6:$AL$89,MATCH($C134,'[1]End - Use Prices'!$A$6:$A$89,0)+MATCH($D134,'[1]End - Use Prices'!$B$9:$B$11,0)-1,MATCH(AY$1,'[1]End - Use Prices'!$C$7:$AL$7,0))</f>
        <v>33.51</v>
      </c>
      <c r="AZ134" s="41">
        <f>INDEX('[1]End - Use Prices'!$C$6:$AL$89,MATCH($C134,'[1]End - Use Prices'!$A$6:$A$89,0)+MATCH($D134,'[1]End - Use Prices'!$B$9:$B$11,0)-1,MATCH(AZ$1,'[1]End - Use Prices'!$C$7:$AL$7,0))</f>
        <v>33.49</v>
      </c>
      <c r="BA134" s="41">
        <f>INDEX('[1]End - Use Prices'!$C$6:$AL$89,MATCH($C134,'[1]End - Use Prices'!$A$6:$A$89,0)+MATCH($D134,'[1]End - Use Prices'!$B$9:$B$11,0)-1,MATCH(BA$1,'[1]End - Use Prices'!$C$7:$AL$7,0))</f>
        <v>33.5</v>
      </c>
      <c r="BB134" s="41">
        <f>INDEX('[1]End - Use Prices'!$C$6:$AL$89,MATCH($C134,'[1]End - Use Prices'!$A$6:$A$89,0)+MATCH($D134,'[1]End - Use Prices'!$B$9:$B$11,0)-1,MATCH(BB$1,'[1]End - Use Prices'!$C$7:$AL$7,0))</f>
        <v>33.49</v>
      </c>
      <c r="BC134" s="41">
        <f>INDEX('[1]End - Use Prices'!$C$6:$AL$89,MATCH($C134,'[1]End - Use Prices'!$A$6:$A$89,0)+MATCH($D134,'[1]End - Use Prices'!$B$9:$B$11,0)-1,MATCH(BC$1,'[1]End - Use Prices'!$C$7:$AL$7,0))</f>
        <v>33.46</v>
      </c>
      <c r="BD134" s="41">
        <f>INDEX('[1]End - Use Prices'!$C$6:$AL$89,MATCH($C134,'[1]End - Use Prices'!$A$6:$A$89,0)+MATCH($D134,'[1]End - Use Prices'!$B$9:$B$11,0)-1,MATCH(BD$1,'[1]End - Use Prices'!$C$7:$AL$7,0))</f>
        <v>33.42</v>
      </c>
      <c r="BE134" s="41">
        <f>INDEX('[1]End - Use Prices'!$C$6:$AL$89,MATCH($C134,'[1]End - Use Prices'!$A$6:$A$89,0)+MATCH($D134,'[1]End - Use Prices'!$B$9:$B$11,0)-1,MATCH(BE$1,'[1]End - Use Prices'!$C$7:$AL$7,0))</f>
        <v>33.340000000000003</v>
      </c>
      <c r="BF134" s="41">
        <f>INDEX('[1]End - Use Prices'!$C$6:$AL$89,MATCH($C134,'[1]End - Use Prices'!$A$6:$A$89,0)+MATCH($D134,'[1]End - Use Prices'!$B$9:$B$11,0)-1,MATCH(BF$1,'[1]End - Use Prices'!$C$7:$AL$7,0))</f>
        <v>33.270000000000003</v>
      </c>
      <c r="BG134" s="41">
        <f>INDEX('[1]End - Use Prices'!$C$6:$AL$89,MATCH($C134,'[1]End - Use Prices'!$A$6:$A$89,0)+MATCH($D134,'[1]End - Use Prices'!$B$9:$B$11,0)-1,MATCH(BG$1,'[1]End - Use Prices'!$C$7:$AL$7,0))</f>
        <v>33.18</v>
      </c>
      <c r="BR134" s="39"/>
      <c r="BS134" s="39"/>
      <c r="BT134" s="39"/>
      <c r="BU134" s="39"/>
      <c r="BV134" s="39"/>
      <c r="BW134" s="39"/>
      <c r="BX134" s="39"/>
      <c r="BY134" s="39"/>
      <c r="BZ134" s="39"/>
      <c r="CA134" s="39"/>
    </row>
    <row r="135" spans="1:79" x14ac:dyDescent="0.25">
      <c r="A135" s="5"/>
      <c r="B135" s="3"/>
      <c r="C135" s="25" t="s">
        <v>85</v>
      </c>
      <c r="D135" s="25" t="s">
        <v>280</v>
      </c>
      <c r="E135" s="25" t="s">
        <v>282</v>
      </c>
      <c r="F135" s="67" t="s">
        <v>279</v>
      </c>
      <c r="G135" s="53">
        <f t="shared" si="18"/>
        <v>25.86</v>
      </c>
      <c r="H135" s="34">
        <f t="shared" si="21"/>
        <v>25.86</v>
      </c>
      <c r="I135" s="34">
        <f t="shared" si="21"/>
        <v>26.25</v>
      </c>
      <c r="J135" s="34">
        <f t="shared" si="21"/>
        <v>22.78</v>
      </c>
      <c r="K135" s="34">
        <f t="shared" si="21"/>
        <v>35.65</v>
      </c>
      <c r="L135" s="34">
        <f t="shared" si="21"/>
        <v>31.1</v>
      </c>
      <c r="M135" s="34">
        <f t="shared" si="21"/>
        <v>30.26</v>
      </c>
      <c r="N135" s="34">
        <f t="shared" si="21"/>
        <v>30.03</v>
      </c>
      <c r="O135" s="34">
        <f t="shared" si="21"/>
        <v>29.65</v>
      </c>
      <c r="P135" s="53">
        <f t="shared" si="22"/>
        <v>29.65</v>
      </c>
      <c r="Q135" s="53">
        <f t="shared" si="22"/>
        <v>29.65</v>
      </c>
      <c r="R135" s="38"/>
      <c r="X135" s="41">
        <f>INDEX('[1]End - Use Prices'!$C$6:$AL$89,MATCH($C135,'[1]End - Use Prices'!$A$6:$A$89,0)+MATCH($D135,'[1]End - Use Prices'!$B$9:$B$11,0)-1,MATCH(X$1,'[1]End - Use Prices'!$C$7:$AL$7,0))</f>
        <v>25.86</v>
      </c>
      <c r="Y135" s="41">
        <f>INDEX('[1]End - Use Prices'!$C$6:$AL$89,MATCH($C135,'[1]End - Use Prices'!$A$6:$A$89,0)+MATCH($D135,'[1]End - Use Prices'!$B$9:$B$11,0)-1,MATCH(Y$1,'[1]End - Use Prices'!$C$7:$AL$7,0))</f>
        <v>27.18</v>
      </c>
      <c r="Z135" s="41">
        <f>INDEX('[1]End - Use Prices'!$C$6:$AL$89,MATCH($C135,'[1]End - Use Prices'!$A$6:$A$89,0)+MATCH($D135,'[1]End - Use Prices'!$B$9:$B$11,0)-1,MATCH(Z$1,'[1]End - Use Prices'!$C$7:$AL$7,0))</f>
        <v>27.19</v>
      </c>
      <c r="AA135" s="41">
        <f>INDEX('[1]End - Use Prices'!$C$6:$AL$89,MATCH($C135,'[1]End - Use Prices'!$A$6:$A$89,0)+MATCH($D135,'[1]End - Use Prices'!$B$9:$B$11,0)-1,MATCH(AA$1,'[1]End - Use Prices'!$C$7:$AL$7,0))</f>
        <v>32.65</v>
      </c>
      <c r="AB135" s="41">
        <f>INDEX('[1]End - Use Prices'!$C$6:$AL$89,MATCH($C135,'[1]End - Use Prices'!$A$6:$A$89,0)+MATCH($D135,'[1]End - Use Prices'!$B$9:$B$11,0)-1,MATCH(AB$1,'[1]End - Use Prices'!$C$7:$AL$7,0))</f>
        <v>22.7</v>
      </c>
      <c r="AC135" s="41">
        <f>INDEX('[1]End - Use Prices'!$C$6:$AL$89,MATCH($C135,'[1]End - Use Prices'!$A$6:$A$89,0)+MATCH($D135,'[1]End - Use Prices'!$B$9:$B$11,0)-1,MATCH(AC$1,'[1]End - Use Prices'!$C$7:$AL$7,0))</f>
        <v>26.25</v>
      </c>
      <c r="AD135" s="41">
        <f>INDEX('[1]End - Use Prices'!$C$6:$AL$89,MATCH($C135,'[1]End - Use Prices'!$A$6:$A$89,0)+MATCH($D135,'[1]End - Use Prices'!$B$9:$B$11,0)-1,MATCH(AD$1,'[1]End - Use Prices'!$C$7:$AL$7,0))</f>
        <v>31.74</v>
      </c>
      <c r="AE135" s="41">
        <f>INDEX('[1]End - Use Prices'!$C$6:$AL$89,MATCH($C135,'[1]End - Use Prices'!$A$6:$A$89,0)+MATCH($D135,'[1]End - Use Prices'!$B$9:$B$11,0)-1,MATCH(AE$1,'[1]End - Use Prices'!$C$7:$AL$7,0))</f>
        <v>32.58</v>
      </c>
      <c r="AF135" s="41">
        <f>INDEX('[1]End - Use Prices'!$C$6:$AL$89,MATCH($C135,'[1]End - Use Prices'!$A$6:$A$89,0)+MATCH($D135,'[1]End - Use Prices'!$B$9:$B$11,0)-1,MATCH(AF$1,'[1]End - Use Prices'!$C$7:$AL$7,0))</f>
        <v>29.61</v>
      </c>
      <c r="AG135" s="41">
        <f>INDEX('[1]End - Use Prices'!$C$6:$AL$89,MATCH($C135,'[1]End - Use Prices'!$A$6:$A$89,0)+MATCH($D135,'[1]End - Use Prices'!$B$9:$B$11,0)-1,MATCH(AG$1,'[1]End - Use Prices'!$C$7:$AL$7,0))</f>
        <v>29.41</v>
      </c>
      <c r="AH135" s="41">
        <f>INDEX('[1]End - Use Prices'!$C$6:$AL$89,MATCH($C135,'[1]End - Use Prices'!$A$6:$A$89,0)+MATCH($D135,'[1]End - Use Prices'!$B$9:$B$11,0)-1,MATCH(AH$1,'[1]End - Use Prices'!$C$7:$AL$7,0))</f>
        <v>22.78</v>
      </c>
      <c r="AI135" s="41">
        <f>INDEX('[1]End - Use Prices'!$C$6:$AL$89,MATCH($C135,'[1]End - Use Prices'!$A$6:$A$89,0)+MATCH($D135,'[1]End - Use Prices'!$B$9:$B$11,0)-1,MATCH(AI$1,'[1]End - Use Prices'!$C$7:$AL$7,0))</f>
        <v>21.05</v>
      </c>
      <c r="AJ135" s="41">
        <f>INDEX('[1]End - Use Prices'!$C$6:$AL$89,MATCH($C135,'[1]End - Use Prices'!$A$6:$A$89,0)+MATCH($D135,'[1]End - Use Prices'!$B$9:$B$11,0)-1,MATCH(AJ$1,'[1]End - Use Prices'!$C$7:$AL$7,0))</f>
        <v>24</v>
      </c>
      <c r="AK135" s="41">
        <f>INDEX('[1]End - Use Prices'!$C$6:$AL$89,MATCH($C135,'[1]End - Use Prices'!$A$6:$A$89,0)+MATCH($D135,'[1]End - Use Prices'!$B$9:$B$11,0)-1,MATCH(AK$1,'[1]End - Use Prices'!$C$7:$AL$7,0))</f>
        <v>27.31</v>
      </c>
      <c r="AL135" s="41">
        <f>INDEX('[1]End - Use Prices'!$C$6:$AL$89,MATCH($C135,'[1]End - Use Prices'!$A$6:$A$89,0)+MATCH($D135,'[1]End - Use Prices'!$B$9:$B$11,0)-1,MATCH(AL$1,'[1]End - Use Prices'!$C$7:$AL$7,0))</f>
        <v>30.69</v>
      </c>
      <c r="AM135" s="41">
        <f>INDEX('[1]End - Use Prices'!$C$6:$AL$89,MATCH($C135,'[1]End - Use Prices'!$A$6:$A$89,0)+MATCH($D135,'[1]End - Use Prices'!$B$9:$B$11,0)-1,MATCH(AM$1,'[1]End - Use Prices'!$C$7:$AL$7,0))</f>
        <v>35.65</v>
      </c>
      <c r="AN135" s="41">
        <f>INDEX('[1]End - Use Prices'!$C$6:$AL$89,MATCH($C135,'[1]End - Use Prices'!$A$6:$A$89,0)+MATCH($D135,'[1]End - Use Prices'!$B$9:$B$11,0)-1,MATCH(AN$1,'[1]End - Use Prices'!$C$7:$AL$7,0))</f>
        <v>32.92</v>
      </c>
      <c r="AO135" s="41">
        <f>INDEX('[1]End - Use Prices'!$C$6:$AL$89,MATCH($C135,'[1]End - Use Prices'!$A$6:$A$89,0)+MATCH($D135,'[1]End - Use Prices'!$B$9:$B$11,0)-1,MATCH(AO$1,'[1]End - Use Prices'!$C$7:$AL$7,0))</f>
        <v>31.27</v>
      </c>
      <c r="AP135" s="41">
        <f>INDEX('[1]End - Use Prices'!$C$6:$AL$89,MATCH($C135,'[1]End - Use Prices'!$A$6:$A$89,0)+MATCH($D135,'[1]End - Use Prices'!$B$9:$B$11,0)-1,MATCH(AP$1,'[1]End - Use Prices'!$C$7:$AL$7,0))</f>
        <v>31.4</v>
      </c>
      <c r="AQ135" s="41">
        <f>INDEX('[1]End - Use Prices'!$C$6:$AL$89,MATCH($C135,'[1]End - Use Prices'!$A$6:$A$89,0)+MATCH($D135,'[1]End - Use Prices'!$B$9:$B$11,0)-1,MATCH(AQ$1,'[1]End - Use Prices'!$C$7:$AL$7,0))</f>
        <v>31.13</v>
      </c>
      <c r="AR135" s="41">
        <f>INDEX('[1]End - Use Prices'!$C$6:$AL$89,MATCH($C135,'[1]End - Use Prices'!$A$6:$A$89,0)+MATCH($D135,'[1]End - Use Prices'!$B$9:$B$11,0)-1,MATCH(AR$1,'[1]End - Use Prices'!$C$7:$AL$7,0))</f>
        <v>31.1</v>
      </c>
      <c r="AS135" s="41">
        <f>INDEX('[1]End - Use Prices'!$C$6:$AL$89,MATCH($C135,'[1]End - Use Prices'!$A$6:$A$89,0)+MATCH($D135,'[1]End - Use Prices'!$B$9:$B$11,0)-1,MATCH(AS$1,'[1]End - Use Prices'!$C$7:$AL$7,0))</f>
        <v>31.02</v>
      </c>
      <c r="AT135" s="41">
        <f>INDEX('[1]End - Use Prices'!$C$6:$AL$89,MATCH($C135,'[1]End - Use Prices'!$A$6:$A$89,0)+MATCH($D135,'[1]End - Use Prices'!$B$9:$B$11,0)-1,MATCH(AT$1,'[1]End - Use Prices'!$C$7:$AL$7,0))</f>
        <v>30.85</v>
      </c>
      <c r="AU135" s="41">
        <f>INDEX('[1]End - Use Prices'!$C$6:$AL$89,MATCH($C135,'[1]End - Use Prices'!$A$6:$A$89,0)+MATCH($D135,'[1]End - Use Prices'!$B$9:$B$11,0)-1,MATCH(AU$1,'[1]End - Use Prices'!$C$7:$AL$7,0))</f>
        <v>30.63</v>
      </c>
      <c r="AV135" s="41">
        <f>INDEX('[1]End - Use Prices'!$C$6:$AL$89,MATCH($C135,'[1]End - Use Prices'!$A$6:$A$89,0)+MATCH($D135,'[1]End - Use Prices'!$B$9:$B$11,0)-1,MATCH(AV$1,'[1]End - Use Prices'!$C$7:$AL$7,0))</f>
        <v>30.45</v>
      </c>
      <c r="AW135" s="41">
        <f>INDEX('[1]End - Use Prices'!$C$6:$AL$89,MATCH($C135,'[1]End - Use Prices'!$A$6:$A$89,0)+MATCH($D135,'[1]End - Use Prices'!$B$9:$B$11,0)-1,MATCH(AW$1,'[1]End - Use Prices'!$C$7:$AL$7,0))</f>
        <v>30.26</v>
      </c>
      <c r="AX135" s="41">
        <f>INDEX('[1]End - Use Prices'!$C$6:$AL$89,MATCH($C135,'[1]End - Use Prices'!$A$6:$A$89,0)+MATCH($D135,'[1]End - Use Prices'!$B$9:$B$11,0)-1,MATCH(AX$1,'[1]End - Use Prices'!$C$7:$AL$7,0))</f>
        <v>30.15</v>
      </c>
      <c r="AY135" s="41">
        <f>INDEX('[1]End - Use Prices'!$C$6:$AL$89,MATCH($C135,'[1]End - Use Prices'!$A$6:$A$89,0)+MATCH($D135,'[1]End - Use Prices'!$B$9:$B$11,0)-1,MATCH(AY$1,'[1]End - Use Prices'!$C$7:$AL$7,0))</f>
        <v>30.08</v>
      </c>
      <c r="AZ135" s="41">
        <f>INDEX('[1]End - Use Prices'!$C$6:$AL$89,MATCH($C135,'[1]End - Use Prices'!$A$6:$A$89,0)+MATCH($D135,'[1]End - Use Prices'!$B$9:$B$11,0)-1,MATCH(AZ$1,'[1]End - Use Prices'!$C$7:$AL$7,0))</f>
        <v>30.05</v>
      </c>
      <c r="BA135" s="41">
        <f>INDEX('[1]End - Use Prices'!$C$6:$AL$89,MATCH($C135,'[1]End - Use Prices'!$A$6:$A$89,0)+MATCH($D135,'[1]End - Use Prices'!$B$9:$B$11,0)-1,MATCH(BA$1,'[1]End - Use Prices'!$C$7:$AL$7,0))</f>
        <v>30.05</v>
      </c>
      <c r="BB135" s="41">
        <f>INDEX('[1]End - Use Prices'!$C$6:$AL$89,MATCH($C135,'[1]End - Use Prices'!$A$6:$A$89,0)+MATCH($D135,'[1]End - Use Prices'!$B$9:$B$11,0)-1,MATCH(BB$1,'[1]End - Use Prices'!$C$7:$AL$7,0))</f>
        <v>30.03</v>
      </c>
      <c r="BC135" s="41">
        <f>INDEX('[1]End - Use Prices'!$C$6:$AL$89,MATCH($C135,'[1]End - Use Prices'!$A$6:$A$89,0)+MATCH($D135,'[1]End - Use Prices'!$B$9:$B$11,0)-1,MATCH(BC$1,'[1]End - Use Prices'!$C$7:$AL$7,0))</f>
        <v>29.99</v>
      </c>
      <c r="BD135" s="41">
        <f>INDEX('[1]End - Use Prices'!$C$6:$AL$89,MATCH($C135,'[1]End - Use Prices'!$A$6:$A$89,0)+MATCH($D135,'[1]End - Use Prices'!$B$9:$B$11,0)-1,MATCH(BD$1,'[1]End - Use Prices'!$C$7:$AL$7,0))</f>
        <v>29.93</v>
      </c>
      <c r="BE135" s="41">
        <f>INDEX('[1]End - Use Prices'!$C$6:$AL$89,MATCH($C135,'[1]End - Use Prices'!$A$6:$A$89,0)+MATCH($D135,'[1]End - Use Prices'!$B$9:$B$11,0)-1,MATCH(BE$1,'[1]End - Use Prices'!$C$7:$AL$7,0))</f>
        <v>29.84</v>
      </c>
      <c r="BF135" s="41">
        <f>INDEX('[1]End - Use Prices'!$C$6:$AL$89,MATCH($C135,'[1]End - Use Prices'!$A$6:$A$89,0)+MATCH($D135,'[1]End - Use Prices'!$B$9:$B$11,0)-1,MATCH(BF$1,'[1]End - Use Prices'!$C$7:$AL$7,0))</f>
        <v>29.75</v>
      </c>
      <c r="BG135" s="41">
        <f>INDEX('[1]End - Use Prices'!$C$6:$AL$89,MATCH($C135,'[1]End - Use Prices'!$A$6:$A$89,0)+MATCH($D135,'[1]End - Use Prices'!$B$9:$B$11,0)-1,MATCH(BG$1,'[1]End - Use Prices'!$C$7:$AL$7,0))</f>
        <v>29.65</v>
      </c>
      <c r="BR135" s="39"/>
      <c r="BS135" s="39"/>
      <c r="BT135" s="39"/>
      <c r="BU135" s="39"/>
      <c r="BV135" s="39"/>
      <c r="BW135" s="39"/>
      <c r="BX135" s="39"/>
      <c r="BY135" s="39"/>
      <c r="BZ135" s="39"/>
      <c r="CA135" s="39"/>
    </row>
    <row r="136" spans="1:79" x14ac:dyDescent="0.25">
      <c r="A136" s="5"/>
      <c r="B136" s="3"/>
      <c r="C136" s="25" t="s">
        <v>86</v>
      </c>
      <c r="D136" s="25" t="s">
        <v>280</v>
      </c>
      <c r="E136" s="25" t="s">
        <v>282</v>
      </c>
      <c r="F136" s="67" t="s">
        <v>279</v>
      </c>
      <c r="G136" s="53">
        <f t="shared" si="18"/>
        <v>24.29</v>
      </c>
      <c r="H136" s="34">
        <f t="shared" si="21"/>
        <v>24.29</v>
      </c>
      <c r="I136" s="34">
        <f t="shared" si="21"/>
        <v>24.71</v>
      </c>
      <c r="J136" s="34">
        <f t="shared" si="21"/>
        <v>24.09</v>
      </c>
      <c r="K136" s="34">
        <f t="shared" si="21"/>
        <v>34.39</v>
      </c>
      <c r="L136" s="34">
        <f t="shared" si="21"/>
        <v>30.37</v>
      </c>
      <c r="M136" s="34">
        <f t="shared" si="21"/>
        <v>29.56</v>
      </c>
      <c r="N136" s="34">
        <f t="shared" si="21"/>
        <v>29.32</v>
      </c>
      <c r="O136" s="34">
        <f t="shared" si="21"/>
        <v>28.95</v>
      </c>
      <c r="P136" s="53">
        <f t="shared" si="22"/>
        <v>28.95</v>
      </c>
      <c r="Q136" s="53">
        <f t="shared" si="22"/>
        <v>28.95</v>
      </c>
      <c r="R136" s="38"/>
      <c r="X136" s="41">
        <f>INDEX('[1]End - Use Prices'!$C$6:$AL$89,MATCH($C136,'[1]End - Use Prices'!$A$6:$A$89,0)+MATCH($D136,'[1]End - Use Prices'!$B$9:$B$11,0)-1,MATCH(X$1,'[1]End - Use Prices'!$C$7:$AL$7,0))</f>
        <v>24.29</v>
      </c>
      <c r="Y136" s="41">
        <f>INDEX('[1]End - Use Prices'!$C$6:$AL$89,MATCH($C136,'[1]End - Use Prices'!$A$6:$A$89,0)+MATCH($D136,'[1]End - Use Prices'!$B$9:$B$11,0)-1,MATCH(Y$1,'[1]End - Use Prices'!$C$7:$AL$7,0))</f>
        <v>24.86</v>
      </c>
      <c r="Z136" s="41">
        <f>INDEX('[1]End - Use Prices'!$C$6:$AL$89,MATCH($C136,'[1]End - Use Prices'!$A$6:$A$89,0)+MATCH($D136,'[1]End - Use Prices'!$B$9:$B$11,0)-1,MATCH(Z$1,'[1]End - Use Prices'!$C$7:$AL$7,0))</f>
        <v>24.61</v>
      </c>
      <c r="AA136" s="41">
        <f>INDEX('[1]End - Use Prices'!$C$6:$AL$89,MATCH($C136,'[1]End - Use Prices'!$A$6:$A$89,0)+MATCH($D136,'[1]End - Use Prices'!$B$9:$B$11,0)-1,MATCH(AA$1,'[1]End - Use Prices'!$C$7:$AL$7,0))</f>
        <v>30.51</v>
      </c>
      <c r="AB136" s="41">
        <f>INDEX('[1]End - Use Prices'!$C$6:$AL$89,MATCH($C136,'[1]End - Use Prices'!$A$6:$A$89,0)+MATCH($D136,'[1]End - Use Prices'!$B$9:$B$11,0)-1,MATCH(AB$1,'[1]End - Use Prices'!$C$7:$AL$7,0))</f>
        <v>21.93</v>
      </c>
      <c r="AC136" s="41">
        <f>INDEX('[1]End - Use Prices'!$C$6:$AL$89,MATCH($C136,'[1]End - Use Prices'!$A$6:$A$89,0)+MATCH($D136,'[1]End - Use Prices'!$B$9:$B$11,0)-1,MATCH(AC$1,'[1]End - Use Prices'!$C$7:$AL$7,0))</f>
        <v>24.71</v>
      </c>
      <c r="AD136" s="41">
        <f>INDEX('[1]End - Use Prices'!$C$6:$AL$89,MATCH($C136,'[1]End - Use Prices'!$A$6:$A$89,0)+MATCH($D136,'[1]End - Use Prices'!$B$9:$B$11,0)-1,MATCH(AD$1,'[1]End - Use Prices'!$C$7:$AL$7,0))</f>
        <v>30.18</v>
      </c>
      <c r="AE136" s="41">
        <f>INDEX('[1]End - Use Prices'!$C$6:$AL$89,MATCH($C136,'[1]End - Use Prices'!$A$6:$A$89,0)+MATCH($D136,'[1]End - Use Prices'!$B$9:$B$11,0)-1,MATCH(AE$1,'[1]End - Use Prices'!$C$7:$AL$7,0))</f>
        <v>31.33</v>
      </c>
      <c r="AF136" s="41">
        <f>INDEX('[1]End - Use Prices'!$C$6:$AL$89,MATCH($C136,'[1]End - Use Prices'!$A$6:$A$89,0)+MATCH($D136,'[1]End - Use Prices'!$B$9:$B$11,0)-1,MATCH(AF$1,'[1]End - Use Prices'!$C$7:$AL$7,0))</f>
        <v>30.91</v>
      </c>
      <c r="AG136" s="41">
        <f>INDEX('[1]End - Use Prices'!$C$6:$AL$89,MATCH($C136,'[1]End - Use Prices'!$A$6:$A$89,0)+MATCH($D136,'[1]End - Use Prices'!$B$9:$B$11,0)-1,MATCH(AG$1,'[1]End - Use Prices'!$C$7:$AL$7,0))</f>
        <v>31</v>
      </c>
      <c r="AH136" s="41">
        <f>INDEX('[1]End - Use Prices'!$C$6:$AL$89,MATCH($C136,'[1]End - Use Prices'!$A$6:$A$89,0)+MATCH($D136,'[1]End - Use Prices'!$B$9:$B$11,0)-1,MATCH(AH$1,'[1]End - Use Prices'!$C$7:$AL$7,0))</f>
        <v>24.09</v>
      </c>
      <c r="AI136" s="41">
        <f>INDEX('[1]End - Use Prices'!$C$6:$AL$89,MATCH($C136,'[1]End - Use Prices'!$A$6:$A$89,0)+MATCH($D136,'[1]End - Use Prices'!$B$9:$B$11,0)-1,MATCH(AI$1,'[1]End - Use Prices'!$C$7:$AL$7,0))</f>
        <v>20.85</v>
      </c>
      <c r="AJ136" s="41">
        <f>INDEX('[1]End - Use Prices'!$C$6:$AL$89,MATCH($C136,'[1]End - Use Prices'!$A$6:$A$89,0)+MATCH($D136,'[1]End - Use Prices'!$B$9:$B$11,0)-1,MATCH(AJ$1,'[1]End - Use Prices'!$C$7:$AL$7,0))</f>
        <v>22.06</v>
      </c>
      <c r="AK136" s="41">
        <f>INDEX('[1]End - Use Prices'!$C$6:$AL$89,MATCH($C136,'[1]End - Use Prices'!$A$6:$A$89,0)+MATCH($D136,'[1]End - Use Prices'!$B$9:$B$11,0)-1,MATCH(AK$1,'[1]End - Use Prices'!$C$7:$AL$7,0))</f>
        <v>26.58</v>
      </c>
      <c r="AL136" s="41">
        <f>INDEX('[1]End - Use Prices'!$C$6:$AL$89,MATCH($C136,'[1]End - Use Prices'!$A$6:$A$89,0)+MATCH($D136,'[1]End - Use Prices'!$B$9:$B$11,0)-1,MATCH(AL$1,'[1]End - Use Prices'!$C$7:$AL$7,0))</f>
        <v>29.7</v>
      </c>
      <c r="AM136" s="41">
        <f>INDEX('[1]End - Use Prices'!$C$6:$AL$89,MATCH($C136,'[1]End - Use Prices'!$A$6:$A$89,0)+MATCH($D136,'[1]End - Use Prices'!$B$9:$B$11,0)-1,MATCH(AM$1,'[1]End - Use Prices'!$C$7:$AL$7,0))</f>
        <v>34.39</v>
      </c>
      <c r="AN136" s="41">
        <f>INDEX('[1]End - Use Prices'!$C$6:$AL$89,MATCH($C136,'[1]End - Use Prices'!$A$6:$A$89,0)+MATCH($D136,'[1]End - Use Prices'!$B$9:$B$11,0)-1,MATCH(AN$1,'[1]End - Use Prices'!$C$7:$AL$7,0))</f>
        <v>31.95</v>
      </c>
      <c r="AO136" s="41">
        <f>INDEX('[1]End - Use Prices'!$C$6:$AL$89,MATCH($C136,'[1]End - Use Prices'!$A$6:$A$89,0)+MATCH($D136,'[1]End - Use Prices'!$B$9:$B$11,0)-1,MATCH(AO$1,'[1]End - Use Prices'!$C$7:$AL$7,0))</f>
        <v>30.49</v>
      </c>
      <c r="AP136" s="41">
        <f>INDEX('[1]End - Use Prices'!$C$6:$AL$89,MATCH($C136,'[1]End - Use Prices'!$A$6:$A$89,0)+MATCH($D136,'[1]End - Use Prices'!$B$9:$B$11,0)-1,MATCH(AP$1,'[1]End - Use Prices'!$C$7:$AL$7,0))</f>
        <v>30.66</v>
      </c>
      <c r="AQ136" s="41">
        <f>INDEX('[1]End - Use Prices'!$C$6:$AL$89,MATCH($C136,'[1]End - Use Prices'!$A$6:$A$89,0)+MATCH($D136,'[1]End - Use Prices'!$B$9:$B$11,0)-1,MATCH(AQ$1,'[1]End - Use Prices'!$C$7:$AL$7,0))</f>
        <v>30.4</v>
      </c>
      <c r="AR136" s="41">
        <f>INDEX('[1]End - Use Prices'!$C$6:$AL$89,MATCH($C136,'[1]End - Use Prices'!$A$6:$A$89,0)+MATCH($D136,'[1]End - Use Prices'!$B$9:$B$11,0)-1,MATCH(AR$1,'[1]End - Use Prices'!$C$7:$AL$7,0))</f>
        <v>30.37</v>
      </c>
      <c r="AS136" s="41">
        <f>INDEX('[1]End - Use Prices'!$C$6:$AL$89,MATCH($C136,'[1]End - Use Prices'!$A$6:$A$89,0)+MATCH($D136,'[1]End - Use Prices'!$B$9:$B$11,0)-1,MATCH(AS$1,'[1]End - Use Prices'!$C$7:$AL$7,0))</f>
        <v>30.29</v>
      </c>
      <c r="AT136" s="41">
        <f>INDEX('[1]End - Use Prices'!$C$6:$AL$89,MATCH($C136,'[1]End - Use Prices'!$A$6:$A$89,0)+MATCH($D136,'[1]End - Use Prices'!$B$9:$B$11,0)-1,MATCH(AT$1,'[1]End - Use Prices'!$C$7:$AL$7,0))</f>
        <v>30.12</v>
      </c>
      <c r="AU136" s="41">
        <f>INDEX('[1]End - Use Prices'!$C$6:$AL$89,MATCH($C136,'[1]End - Use Prices'!$A$6:$A$89,0)+MATCH($D136,'[1]End - Use Prices'!$B$9:$B$11,0)-1,MATCH(AU$1,'[1]End - Use Prices'!$C$7:$AL$7,0))</f>
        <v>29.91</v>
      </c>
      <c r="AV136" s="41">
        <f>INDEX('[1]End - Use Prices'!$C$6:$AL$89,MATCH($C136,'[1]End - Use Prices'!$A$6:$A$89,0)+MATCH($D136,'[1]End - Use Prices'!$B$9:$B$11,0)-1,MATCH(AV$1,'[1]End - Use Prices'!$C$7:$AL$7,0))</f>
        <v>29.74</v>
      </c>
      <c r="AW136" s="41">
        <f>INDEX('[1]End - Use Prices'!$C$6:$AL$89,MATCH($C136,'[1]End - Use Prices'!$A$6:$A$89,0)+MATCH($D136,'[1]End - Use Prices'!$B$9:$B$11,0)-1,MATCH(AW$1,'[1]End - Use Prices'!$C$7:$AL$7,0))</f>
        <v>29.56</v>
      </c>
      <c r="AX136" s="41">
        <f>INDEX('[1]End - Use Prices'!$C$6:$AL$89,MATCH($C136,'[1]End - Use Prices'!$A$6:$A$89,0)+MATCH($D136,'[1]End - Use Prices'!$B$9:$B$11,0)-1,MATCH(AX$1,'[1]End - Use Prices'!$C$7:$AL$7,0))</f>
        <v>29.46</v>
      </c>
      <c r="AY136" s="41">
        <f>INDEX('[1]End - Use Prices'!$C$6:$AL$89,MATCH($C136,'[1]End - Use Prices'!$A$6:$A$89,0)+MATCH($D136,'[1]End - Use Prices'!$B$9:$B$11,0)-1,MATCH(AY$1,'[1]End - Use Prices'!$C$7:$AL$7,0))</f>
        <v>29.39</v>
      </c>
      <c r="AZ136" s="41">
        <f>INDEX('[1]End - Use Prices'!$C$6:$AL$89,MATCH($C136,'[1]End - Use Prices'!$A$6:$A$89,0)+MATCH($D136,'[1]End - Use Prices'!$B$9:$B$11,0)-1,MATCH(AZ$1,'[1]End - Use Prices'!$C$7:$AL$7,0))</f>
        <v>29.35</v>
      </c>
      <c r="BA136" s="41">
        <f>INDEX('[1]End - Use Prices'!$C$6:$AL$89,MATCH($C136,'[1]End - Use Prices'!$A$6:$A$89,0)+MATCH($D136,'[1]End - Use Prices'!$B$9:$B$11,0)-1,MATCH(BA$1,'[1]End - Use Prices'!$C$7:$AL$7,0))</f>
        <v>29.35</v>
      </c>
      <c r="BB136" s="41">
        <f>INDEX('[1]End - Use Prices'!$C$6:$AL$89,MATCH($C136,'[1]End - Use Prices'!$A$6:$A$89,0)+MATCH($D136,'[1]End - Use Prices'!$B$9:$B$11,0)-1,MATCH(BB$1,'[1]End - Use Prices'!$C$7:$AL$7,0))</f>
        <v>29.32</v>
      </c>
      <c r="BC136" s="41">
        <f>INDEX('[1]End - Use Prices'!$C$6:$AL$89,MATCH($C136,'[1]End - Use Prices'!$A$6:$A$89,0)+MATCH($D136,'[1]End - Use Prices'!$B$9:$B$11,0)-1,MATCH(BC$1,'[1]End - Use Prices'!$C$7:$AL$7,0))</f>
        <v>29.28</v>
      </c>
      <c r="BD136" s="41">
        <f>INDEX('[1]End - Use Prices'!$C$6:$AL$89,MATCH($C136,'[1]End - Use Prices'!$A$6:$A$89,0)+MATCH($D136,'[1]End - Use Prices'!$B$9:$B$11,0)-1,MATCH(BD$1,'[1]End - Use Prices'!$C$7:$AL$7,0))</f>
        <v>29.23</v>
      </c>
      <c r="BE136" s="41">
        <f>INDEX('[1]End - Use Prices'!$C$6:$AL$89,MATCH($C136,'[1]End - Use Prices'!$A$6:$A$89,0)+MATCH($D136,'[1]End - Use Prices'!$B$9:$B$11,0)-1,MATCH(BE$1,'[1]End - Use Prices'!$C$7:$AL$7,0))</f>
        <v>29.14</v>
      </c>
      <c r="BF136" s="41">
        <f>INDEX('[1]End - Use Prices'!$C$6:$AL$89,MATCH($C136,'[1]End - Use Prices'!$A$6:$A$89,0)+MATCH($D136,'[1]End - Use Prices'!$B$9:$B$11,0)-1,MATCH(BF$1,'[1]End - Use Prices'!$C$7:$AL$7,0))</f>
        <v>29.05</v>
      </c>
      <c r="BG136" s="41">
        <f>INDEX('[1]End - Use Prices'!$C$6:$AL$89,MATCH($C136,'[1]End - Use Prices'!$A$6:$A$89,0)+MATCH($D136,'[1]End - Use Prices'!$B$9:$B$11,0)-1,MATCH(BG$1,'[1]End - Use Prices'!$C$7:$AL$7,0))</f>
        <v>28.95</v>
      </c>
      <c r="BR136" s="39"/>
      <c r="BS136" s="39"/>
      <c r="BT136" s="39"/>
      <c r="BU136" s="39"/>
      <c r="BV136" s="39"/>
      <c r="BW136" s="39"/>
      <c r="BX136" s="39"/>
      <c r="BY136" s="39"/>
      <c r="BZ136" s="39"/>
      <c r="CA136" s="39"/>
    </row>
    <row r="137" spans="1:79" x14ac:dyDescent="0.25">
      <c r="A137" s="5"/>
      <c r="B137" s="3"/>
      <c r="C137" s="25" t="s">
        <v>87</v>
      </c>
      <c r="D137" s="25" t="s">
        <v>280</v>
      </c>
      <c r="E137" s="25" t="s">
        <v>282</v>
      </c>
      <c r="F137" s="67" t="s">
        <v>279</v>
      </c>
      <c r="G137" s="53">
        <f t="shared" si="18"/>
        <v>27.52</v>
      </c>
      <c r="H137" s="34">
        <f t="shared" si="21"/>
        <v>27.52</v>
      </c>
      <c r="I137" s="34">
        <f t="shared" si="21"/>
        <v>25.32</v>
      </c>
      <c r="J137" s="34">
        <f t="shared" si="21"/>
        <v>27.46</v>
      </c>
      <c r="K137" s="34">
        <f t="shared" si="21"/>
        <v>37.450000000000003</v>
      </c>
      <c r="L137" s="34">
        <f t="shared" si="21"/>
        <v>33.42</v>
      </c>
      <c r="M137" s="34">
        <f t="shared" si="21"/>
        <v>32.61</v>
      </c>
      <c r="N137" s="34">
        <f t="shared" si="21"/>
        <v>32.369999999999997</v>
      </c>
      <c r="O137" s="34">
        <f t="shared" si="21"/>
        <v>32</v>
      </c>
      <c r="P137" s="53">
        <f t="shared" si="22"/>
        <v>32</v>
      </c>
      <c r="Q137" s="53">
        <f t="shared" si="22"/>
        <v>32</v>
      </c>
      <c r="R137" s="38"/>
      <c r="X137" s="41">
        <f>INDEX('[1]End - Use Prices'!$C$6:$AL$89,MATCH($C137,'[1]End - Use Prices'!$A$6:$A$89,0)+MATCH($D137,'[1]End - Use Prices'!$B$9:$B$11,0)-1,MATCH(X$1,'[1]End - Use Prices'!$C$7:$AL$7,0))</f>
        <v>27.52</v>
      </c>
      <c r="Y137" s="41">
        <f>INDEX('[1]End - Use Prices'!$C$6:$AL$89,MATCH($C137,'[1]End - Use Prices'!$A$6:$A$89,0)+MATCH($D137,'[1]End - Use Prices'!$B$9:$B$11,0)-1,MATCH(Y$1,'[1]End - Use Prices'!$C$7:$AL$7,0))</f>
        <v>28.18</v>
      </c>
      <c r="Z137" s="41">
        <f>INDEX('[1]End - Use Prices'!$C$6:$AL$89,MATCH($C137,'[1]End - Use Prices'!$A$6:$A$89,0)+MATCH($D137,'[1]End - Use Prices'!$B$9:$B$11,0)-1,MATCH(Z$1,'[1]End - Use Prices'!$C$7:$AL$7,0))</f>
        <v>26.07</v>
      </c>
      <c r="AA137" s="41">
        <f>INDEX('[1]End - Use Prices'!$C$6:$AL$89,MATCH($C137,'[1]End - Use Prices'!$A$6:$A$89,0)+MATCH($D137,'[1]End - Use Prices'!$B$9:$B$11,0)-1,MATCH(AA$1,'[1]End - Use Prices'!$C$7:$AL$7,0))</f>
        <v>31.72</v>
      </c>
      <c r="AB137" s="41">
        <f>INDEX('[1]End - Use Prices'!$C$6:$AL$89,MATCH($C137,'[1]End - Use Prices'!$A$6:$A$89,0)+MATCH($D137,'[1]End - Use Prices'!$B$9:$B$11,0)-1,MATCH(AB$1,'[1]End - Use Prices'!$C$7:$AL$7,0))</f>
        <v>22.7</v>
      </c>
      <c r="AC137" s="41">
        <f>INDEX('[1]End - Use Prices'!$C$6:$AL$89,MATCH($C137,'[1]End - Use Prices'!$A$6:$A$89,0)+MATCH($D137,'[1]End - Use Prices'!$B$9:$B$11,0)-1,MATCH(AC$1,'[1]End - Use Prices'!$C$7:$AL$7,0))</f>
        <v>25.32</v>
      </c>
      <c r="AD137" s="41">
        <f>INDEX('[1]End - Use Prices'!$C$6:$AL$89,MATCH($C137,'[1]End - Use Prices'!$A$6:$A$89,0)+MATCH($D137,'[1]End - Use Prices'!$B$9:$B$11,0)-1,MATCH(AD$1,'[1]End - Use Prices'!$C$7:$AL$7,0))</f>
        <v>30.73</v>
      </c>
      <c r="AE137" s="41">
        <f>INDEX('[1]End - Use Prices'!$C$6:$AL$89,MATCH($C137,'[1]End - Use Prices'!$A$6:$A$89,0)+MATCH($D137,'[1]End - Use Prices'!$B$9:$B$11,0)-1,MATCH(AE$1,'[1]End - Use Prices'!$C$7:$AL$7,0))</f>
        <v>31.88</v>
      </c>
      <c r="AF137" s="41">
        <f>INDEX('[1]End - Use Prices'!$C$6:$AL$89,MATCH($C137,'[1]End - Use Prices'!$A$6:$A$89,0)+MATCH($D137,'[1]End - Use Prices'!$B$9:$B$11,0)-1,MATCH(AF$1,'[1]End - Use Prices'!$C$7:$AL$7,0))</f>
        <v>31.97</v>
      </c>
      <c r="AG137" s="41">
        <f>INDEX('[1]End - Use Prices'!$C$6:$AL$89,MATCH($C137,'[1]End - Use Prices'!$A$6:$A$89,0)+MATCH($D137,'[1]End - Use Prices'!$B$9:$B$11,0)-1,MATCH(AG$1,'[1]End - Use Prices'!$C$7:$AL$7,0))</f>
        <v>34.450000000000003</v>
      </c>
      <c r="AH137" s="41">
        <f>INDEX('[1]End - Use Prices'!$C$6:$AL$89,MATCH($C137,'[1]End - Use Prices'!$A$6:$A$89,0)+MATCH($D137,'[1]End - Use Prices'!$B$9:$B$11,0)-1,MATCH(AH$1,'[1]End - Use Prices'!$C$7:$AL$7,0))</f>
        <v>27.46</v>
      </c>
      <c r="AI137" s="41">
        <f>INDEX('[1]End - Use Prices'!$C$6:$AL$89,MATCH($C137,'[1]End - Use Prices'!$A$6:$A$89,0)+MATCH($D137,'[1]End - Use Prices'!$B$9:$B$11,0)-1,MATCH(AI$1,'[1]End - Use Prices'!$C$7:$AL$7,0))</f>
        <v>23.92</v>
      </c>
      <c r="AJ137" s="41">
        <f>INDEX('[1]End - Use Prices'!$C$6:$AL$89,MATCH($C137,'[1]End - Use Prices'!$A$6:$A$89,0)+MATCH($D137,'[1]End - Use Prices'!$B$9:$B$11,0)-1,MATCH(AJ$1,'[1]End - Use Prices'!$C$7:$AL$7,0))</f>
        <v>25.38</v>
      </c>
      <c r="AK137" s="41">
        <f>INDEX('[1]End - Use Prices'!$C$6:$AL$89,MATCH($C137,'[1]End - Use Prices'!$A$6:$A$89,0)+MATCH($D137,'[1]End - Use Prices'!$B$9:$B$11,0)-1,MATCH(AK$1,'[1]End - Use Prices'!$C$7:$AL$7,0))</f>
        <v>29.63</v>
      </c>
      <c r="AL137" s="41">
        <f>INDEX('[1]End - Use Prices'!$C$6:$AL$89,MATCH($C137,'[1]End - Use Prices'!$A$6:$A$89,0)+MATCH($D137,'[1]End - Use Prices'!$B$9:$B$11,0)-1,MATCH(AL$1,'[1]End - Use Prices'!$C$7:$AL$7,0))</f>
        <v>32.75</v>
      </c>
      <c r="AM137" s="41">
        <f>INDEX('[1]End - Use Prices'!$C$6:$AL$89,MATCH($C137,'[1]End - Use Prices'!$A$6:$A$89,0)+MATCH($D137,'[1]End - Use Prices'!$B$9:$B$11,0)-1,MATCH(AM$1,'[1]End - Use Prices'!$C$7:$AL$7,0))</f>
        <v>37.450000000000003</v>
      </c>
      <c r="AN137" s="41">
        <f>INDEX('[1]End - Use Prices'!$C$6:$AL$89,MATCH($C137,'[1]End - Use Prices'!$A$6:$A$89,0)+MATCH($D137,'[1]End - Use Prices'!$B$9:$B$11,0)-1,MATCH(AN$1,'[1]End - Use Prices'!$C$7:$AL$7,0))</f>
        <v>35</v>
      </c>
      <c r="AO137" s="41">
        <f>INDEX('[1]End - Use Prices'!$C$6:$AL$89,MATCH($C137,'[1]End - Use Prices'!$A$6:$A$89,0)+MATCH($D137,'[1]End - Use Prices'!$B$9:$B$11,0)-1,MATCH(AO$1,'[1]End - Use Prices'!$C$7:$AL$7,0))</f>
        <v>33.549999999999997</v>
      </c>
      <c r="AP137" s="41">
        <f>INDEX('[1]End - Use Prices'!$C$6:$AL$89,MATCH($C137,'[1]End - Use Prices'!$A$6:$A$89,0)+MATCH($D137,'[1]End - Use Prices'!$B$9:$B$11,0)-1,MATCH(AP$1,'[1]End - Use Prices'!$C$7:$AL$7,0))</f>
        <v>33.72</v>
      </c>
      <c r="AQ137" s="41">
        <f>INDEX('[1]End - Use Prices'!$C$6:$AL$89,MATCH($C137,'[1]End - Use Prices'!$A$6:$A$89,0)+MATCH($D137,'[1]End - Use Prices'!$B$9:$B$11,0)-1,MATCH(AQ$1,'[1]End - Use Prices'!$C$7:$AL$7,0))</f>
        <v>33.450000000000003</v>
      </c>
      <c r="AR137" s="41">
        <f>INDEX('[1]End - Use Prices'!$C$6:$AL$89,MATCH($C137,'[1]End - Use Prices'!$A$6:$A$89,0)+MATCH($D137,'[1]End - Use Prices'!$B$9:$B$11,0)-1,MATCH(AR$1,'[1]End - Use Prices'!$C$7:$AL$7,0))</f>
        <v>33.42</v>
      </c>
      <c r="AS137" s="41">
        <f>INDEX('[1]End - Use Prices'!$C$6:$AL$89,MATCH($C137,'[1]End - Use Prices'!$A$6:$A$89,0)+MATCH($D137,'[1]End - Use Prices'!$B$9:$B$11,0)-1,MATCH(AS$1,'[1]End - Use Prices'!$C$7:$AL$7,0))</f>
        <v>33.340000000000003</v>
      </c>
      <c r="AT137" s="41">
        <f>INDEX('[1]End - Use Prices'!$C$6:$AL$89,MATCH($C137,'[1]End - Use Prices'!$A$6:$A$89,0)+MATCH($D137,'[1]End - Use Prices'!$B$9:$B$11,0)-1,MATCH(AT$1,'[1]End - Use Prices'!$C$7:$AL$7,0))</f>
        <v>33.17</v>
      </c>
      <c r="AU137" s="41">
        <f>INDEX('[1]End - Use Prices'!$C$6:$AL$89,MATCH($C137,'[1]End - Use Prices'!$A$6:$A$89,0)+MATCH($D137,'[1]End - Use Prices'!$B$9:$B$11,0)-1,MATCH(AU$1,'[1]End - Use Prices'!$C$7:$AL$7,0))</f>
        <v>32.96</v>
      </c>
      <c r="AV137" s="41">
        <f>INDEX('[1]End - Use Prices'!$C$6:$AL$89,MATCH($C137,'[1]End - Use Prices'!$A$6:$A$89,0)+MATCH($D137,'[1]End - Use Prices'!$B$9:$B$11,0)-1,MATCH(AV$1,'[1]End - Use Prices'!$C$7:$AL$7,0))</f>
        <v>32.79</v>
      </c>
      <c r="AW137" s="41">
        <f>INDEX('[1]End - Use Prices'!$C$6:$AL$89,MATCH($C137,'[1]End - Use Prices'!$A$6:$A$89,0)+MATCH($D137,'[1]End - Use Prices'!$B$9:$B$11,0)-1,MATCH(AW$1,'[1]End - Use Prices'!$C$7:$AL$7,0))</f>
        <v>32.61</v>
      </c>
      <c r="AX137" s="41">
        <f>INDEX('[1]End - Use Prices'!$C$6:$AL$89,MATCH($C137,'[1]End - Use Prices'!$A$6:$A$89,0)+MATCH($D137,'[1]End - Use Prices'!$B$9:$B$11,0)-1,MATCH(AX$1,'[1]End - Use Prices'!$C$7:$AL$7,0))</f>
        <v>32.51</v>
      </c>
      <c r="AY137" s="41">
        <f>INDEX('[1]End - Use Prices'!$C$6:$AL$89,MATCH($C137,'[1]End - Use Prices'!$A$6:$A$89,0)+MATCH($D137,'[1]End - Use Prices'!$B$9:$B$11,0)-1,MATCH(AY$1,'[1]End - Use Prices'!$C$7:$AL$7,0))</f>
        <v>32.44</v>
      </c>
      <c r="AZ137" s="41">
        <f>INDEX('[1]End - Use Prices'!$C$6:$AL$89,MATCH($C137,'[1]End - Use Prices'!$A$6:$A$89,0)+MATCH($D137,'[1]End - Use Prices'!$B$9:$B$11,0)-1,MATCH(AZ$1,'[1]End - Use Prices'!$C$7:$AL$7,0))</f>
        <v>32.4</v>
      </c>
      <c r="BA137" s="41">
        <f>INDEX('[1]End - Use Prices'!$C$6:$AL$89,MATCH($C137,'[1]End - Use Prices'!$A$6:$A$89,0)+MATCH($D137,'[1]End - Use Prices'!$B$9:$B$11,0)-1,MATCH(BA$1,'[1]End - Use Prices'!$C$7:$AL$7,0))</f>
        <v>32.4</v>
      </c>
      <c r="BB137" s="41">
        <f>INDEX('[1]End - Use Prices'!$C$6:$AL$89,MATCH($C137,'[1]End - Use Prices'!$A$6:$A$89,0)+MATCH($D137,'[1]End - Use Prices'!$B$9:$B$11,0)-1,MATCH(BB$1,'[1]End - Use Prices'!$C$7:$AL$7,0))</f>
        <v>32.369999999999997</v>
      </c>
      <c r="BC137" s="41">
        <f>INDEX('[1]End - Use Prices'!$C$6:$AL$89,MATCH($C137,'[1]End - Use Prices'!$A$6:$A$89,0)+MATCH($D137,'[1]End - Use Prices'!$B$9:$B$11,0)-1,MATCH(BC$1,'[1]End - Use Prices'!$C$7:$AL$7,0))</f>
        <v>32.33</v>
      </c>
      <c r="BD137" s="41">
        <f>INDEX('[1]End - Use Prices'!$C$6:$AL$89,MATCH($C137,'[1]End - Use Prices'!$A$6:$A$89,0)+MATCH($D137,'[1]End - Use Prices'!$B$9:$B$11,0)-1,MATCH(BD$1,'[1]End - Use Prices'!$C$7:$AL$7,0))</f>
        <v>32.28</v>
      </c>
      <c r="BE137" s="41">
        <f>INDEX('[1]End - Use Prices'!$C$6:$AL$89,MATCH($C137,'[1]End - Use Prices'!$A$6:$A$89,0)+MATCH($D137,'[1]End - Use Prices'!$B$9:$B$11,0)-1,MATCH(BE$1,'[1]End - Use Prices'!$C$7:$AL$7,0))</f>
        <v>32.19</v>
      </c>
      <c r="BF137" s="41">
        <f>INDEX('[1]End - Use Prices'!$C$6:$AL$89,MATCH($C137,'[1]End - Use Prices'!$A$6:$A$89,0)+MATCH($D137,'[1]End - Use Prices'!$B$9:$B$11,0)-1,MATCH(BF$1,'[1]End - Use Prices'!$C$7:$AL$7,0))</f>
        <v>32.1</v>
      </c>
      <c r="BG137" s="41">
        <f>INDEX('[1]End - Use Prices'!$C$6:$AL$89,MATCH($C137,'[1]End - Use Prices'!$A$6:$A$89,0)+MATCH($D137,'[1]End - Use Prices'!$B$9:$B$11,0)-1,MATCH(BG$1,'[1]End - Use Prices'!$C$7:$AL$7,0))</f>
        <v>32</v>
      </c>
      <c r="BR137" s="39"/>
      <c r="BS137" s="39"/>
      <c r="BT137" s="39"/>
      <c r="BU137" s="39"/>
      <c r="BV137" s="39"/>
      <c r="BW137" s="39"/>
      <c r="BX137" s="39"/>
      <c r="BY137" s="39"/>
      <c r="BZ137" s="39"/>
      <c r="CA137" s="39"/>
    </row>
    <row r="138" spans="1:79" x14ac:dyDescent="0.25">
      <c r="A138" s="5"/>
      <c r="B138" s="3"/>
      <c r="C138" s="25" t="s">
        <v>88</v>
      </c>
      <c r="D138" s="25" t="s">
        <v>280</v>
      </c>
      <c r="E138" s="25" t="s">
        <v>282</v>
      </c>
      <c r="F138" s="67" t="s">
        <v>279</v>
      </c>
      <c r="G138" s="53">
        <f t="shared" si="18"/>
        <v>27.36</v>
      </c>
      <c r="H138" s="34">
        <f t="shared" ref="H138:O147" si="23">INDEX($S138:$CA138,MATCH(H$1,$S$1:$CA$1,0))</f>
        <v>27.36</v>
      </c>
      <c r="I138" s="34">
        <f t="shared" si="23"/>
        <v>27.36</v>
      </c>
      <c r="J138" s="34">
        <f t="shared" si="23"/>
        <v>28.05</v>
      </c>
      <c r="K138" s="34">
        <f t="shared" si="23"/>
        <v>38.97</v>
      </c>
      <c r="L138" s="34">
        <f t="shared" si="23"/>
        <v>34.42</v>
      </c>
      <c r="M138" s="34">
        <f t="shared" si="23"/>
        <v>33.590000000000003</v>
      </c>
      <c r="N138" s="34">
        <f t="shared" si="23"/>
        <v>33.35</v>
      </c>
      <c r="O138" s="34">
        <f t="shared" si="23"/>
        <v>32.97</v>
      </c>
      <c r="P138" s="53">
        <f t="shared" si="22"/>
        <v>32.97</v>
      </c>
      <c r="Q138" s="53">
        <f t="shared" si="22"/>
        <v>32.97</v>
      </c>
      <c r="R138" s="38"/>
      <c r="X138" s="41">
        <f>INDEX('[1]End - Use Prices'!$C$6:$AL$89,MATCH($C138,'[1]End - Use Prices'!$A$6:$A$89,0)+MATCH($D138,'[1]End - Use Prices'!$B$9:$B$11,0)-1,MATCH(X$1,'[1]End - Use Prices'!$C$7:$AL$7,0))</f>
        <v>27.36</v>
      </c>
      <c r="Y138" s="41">
        <f>INDEX('[1]End - Use Prices'!$C$6:$AL$89,MATCH($C138,'[1]End - Use Prices'!$A$6:$A$89,0)+MATCH($D138,'[1]End - Use Prices'!$B$9:$B$11,0)-1,MATCH(Y$1,'[1]End - Use Prices'!$C$7:$AL$7,0))</f>
        <v>27.14</v>
      </c>
      <c r="Z138" s="41">
        <f>INDEX('[1]End - Use Prices'!$C$6:$AL$89,MATCH($C138,'[1]End - Use Prices'!$A$6:$A$89,0)+MATCH($D138,'[1]End - Use Prices'!$B$9:$B$11,0)-1,MATCH(Z$1,'[1]End - Use Prices'!$C$7:$AL$7,0))</f>
        <v>27.83</v>
      </c>
      <c r="AA138" s="41">
        <f>INDEX('[1]End - Use Prices'!$C$6:$AL$89,MATCH($C138,'[1]End - Use Prices'!$A$6:$A$89,0)+MATCH($D138,'[1]End - Use Prices'!$B$9:$B$11,0)-1,MATCH(AA$1,'[1]End - Use Prices'!$C$7:$AL$7,0))</f>
        <v>34.340000000000003</v>
      </c>
      <c r="AB138" s="41">
        <f>INDEX('[1]End - Use Prices'!$C$6:$AL$89,MATCH($C138,'[1]End - Use Prices'!$A$6:$A$89,0)+MATCH($D138,'[1]End - Use Prices'!$B$9:$B$11,0)-1,MATCH(AB$1,'[1]End - Use Prices'!$C$7:$AL$7,0))</f>
        <v>24.16</v>
      </c>
      <c r="AC138" s="41">
        <f>INDEX('[1]End - Use Prices'!$C$6:$AL$89,MATCH($C138,'[1]End - Use Prices'!$A$6:$A$89,0)+MATCH($D138,'[1]End - Use Prices'!$B$9:$B$11,0)-1,MATCH(AC$1,'[1]End - Use Prices'!$C$7:$AL$7,0))</f>
        <v>27.36</v>
      </c>
      <c r="AD138" s="41">
        <f>INDEX('[1]End - Use Prices'!$C$6:$AL$89,MATCH($C138,'[1]End - Use Prices'!$A$6:$A$89,0)+MATCH($D138,'[1]End - Use Prices'!$B$9:$B$11,0)-1,MATCH(AD$1,'[1]End - Use Prices'!$C$7:$AL$7,0))</f>
        <v>32.19</v>
      </c>
      <c r="AE138" s="41">
        <f>INDEX('[1]End - Use Prices'!$C$6:$AL$89,MATCH($C138,'[1]End - Use Prices'!$A$6:$A$89,0)+MATCH($D138,'[1]End - Use Prices'!$B$9:$B$11,0)-1,MATCH(AE$1,'[1]End - Use Prices'!$C$7:$AL$7,0))</f>
        <v>33.76</v>
      </c>
      <c r="AF138" s="41">
        <f>INDEX('[1]End - Use Prices'!$C$6:$AL$89,MATCH($C138,'[1]End - Use Prices'!$A$6:$A$89,0)+MATCH($D138,'[1]End - Use Prices'!$B$9:$B$11,0)-1,MATCH(AF$1,'[1]End - Use Prices'!$C$7:$AL$7,0))</f>
        <v>32.590000000000003</v>
      </c>
      <c r="AG138" s="41">
        <f>INDEX('[1]End - Use Prices'!$C$6:$AL$89,MATCH($C138,'[1]End - Use Prices'!$A$6:$A$89,0)+MATCH($D138,'[1]End - Use Prices'!$B$9:$B$11,0)-1,MATCH(AG$1,'[1]End - Use Prices'!$C$7:$AL$7,0))</f>
        <v>34.17</v>
      </c>
      <c r="AH138" s="41">
        <f>INDEX('[1]End - Use Prices'!$C$6:$AL$89,MATCH($C138,'[1]End - Use Prices'!$A$6:$A$89,0)+MATCH($D138,'[1]End - Use Prices'!$B$9:$B$11,0)-1,MATCH(AH$1,'[1]End - Use Prices'!$C$7:$AL$7,0))</f>
        <v>28.05</v>
      </c>
      <c r="AI138" s="41">
        <f>INDEX('[1]End - Use Prices'!$C$6:$AL$89,MATCH($C138,'[1]End - Use Prices'!$A$6:$A$89,0)+MATCH($D138,'[1]End - Use Prices'!$B$9:$B$11,0)-1,MATCH(AI$1,'[1]End - Use Prices'!$C$7:$AL$7,0))</f>
        <v>24.4</v>
      </c>
      <c r="AJ138" s="41">
        <f>INDEX('[1]End - Use Prices'!$C$6:$AL$89,MATCH($C138,'[1]End - Use Prices'!$A$6:$A$89,0)+MATCH($D138,'[1]End - Use Prices'!$B$9:$B$11,0)-1,MATCH(AJ$1,'[1]End - Use Prices'!$C$7:$AL$7,0))</f>
        <v>26.95</v>
      </c>
      <c r="AK138" s="41">
        <f>INDEX('[1]End - Use Prices'!$C$6:$AL$89,MATCH($C138,'[1]End - Use Prices'!$A$6:$A$89,0)+MATCH($D138,'[1]End - Use Prices'!$B$9:$B$11,0)-1,MATCH(AK$1,'[1]End - Use Prices'!$C$7:$AL$7,0))</f>
        <v>30.62</v>
      </c>
      <c r="AL138" s="41">
        <f>INDEX('[1]End - Use Prices'!$C$6:$AL$89,MATCH($C138,'[1]End - Use Prices'!$A$6:$A$89,0)+MATCH($D138,'[1]End - Use Prices'!$B$9:$B$11,0)-1,MATCH(AL$1,'[1]End - Use Prices'!$C$7:$AL$7,0))</f>
        <v>34.01</v>
      </c>
      <c r="AM138" s="41">
        <f>INDEX('[1]End - Use Prices'!$C$6:$AL$89,MATCH($C138,'[1]End - Use Prices'!$A$6:$A$89,0)+MATCH($D138,'[1]End - Use Prices'!$B$9:$B$11,0)-1,MATCH(AM$1,'[1]End - Use Prices'!$C$7:$AL$7,0))</f>
        <v>38.97</v>
      </c>
      <c r="AN138" s="41">
        <f>INDEX('[1]End - Use Prices'!$C$6:$AL$89,MATCH($C138,'[1]End - Use Prices'!$A$6:$A$89,0)+MATCH($D138,'[1]End - Use Prices'!$B$9:$B$11,0)-1,MATCH(AN$1,'[1]End - Use Prices'!$C$7:$AL$7,0))</f>
        <v>36.24</v>
      </c>
      <c r="AO138" s="41">
        <f>INDEX('[1]End - Use Prices'!$C$6:$AL$89,MATCH($C138,'[1]End - Use Prices'!$A$6:$A$89,0)+MATCH($D138,'[1]End - Use Prices'!$B$9:$B$11,0)-1,MATCH(AO$1,'[1]End - Use Prices'!$C$7:$AL$7,0))</f>
        <v>34.6</v>
      </c>
      <c r="AP138" s="41">
        <f>INDEX('[1]End - Use Prices'!$C$6:$AL$89,MATCH($C138,'[1]End - Use Prices'!$A$6:$A$89,0)+MATCH($D138,'[1]End - Use Prices'!$B$9:$B$11,0)-1,MATCH(AP$1,'[1]End - Use Prices'!$C$7:$AL$7,0))</f>
        <v>34.72</v>
      </c>
      <c r="AQ138" s="41">
        <f>INDEX('[1]End - Use Prices'!$C$6:$AL$89,MATCH($C138,'[1]End - Use Prices'!$A$6:$A$89,0)+MATCH($D138,'[1]End - Use Prices'!$B$9:$B$11,0)-1,MATCH(AQ$1,'[1]End - Use Prices'!$C$7:$AL$7,0))</f>
        <v>34.450000000000003</v>
      </c>
      <c r="AR138" s="41">
        <f>INDEX('[1]End - Use Prices'!$C$6:$AL$89,MATCH($C138,'[1]End - Use Prices'!$A$6:$A$89,0)+MATCH($D138,'[1]End - Use Prices'!$B$9:$B$11,0)-1,MATCH(AR$1,'[1]End - Use Prices'!$C$7:$AL$7,0))</f>
        <v>34.42</v>
      </c>
      <c r="AS138" s="41">
        <f>INDEX('[1]End - Use Prices'!$C$6:$AL$89,MATCH($C138,'[1]End - Use Prices'!$A$6:$A$89,0)+MATCH($D138,'[1]End - Use Prices'!$B$9:$B$11,0)-1,MATCH(AS$1,'[1]End - Use Prices'!$C$7:$AL$7,0))</f>
        <v>34.35</v>
      </c>
      <c r="AT138" s="41">
        <f>INDEX('[1]End - Use Prices'!$C$6:$AL$89,MATCH($C138,'[1]End - Use Prices'!$A$6:$A$89,0)+MATCH($D138,'[1]End - Use Prices'!$B$9:$B$11,0)-1,MATCH(AT$1,'[1]End - Use Prices'!$C$7:$AL$7,0))</f>
        <v>34.17</v>
      </c>
      <c r="AU138" s="41">
        <f>INDEX('[1]End - Use Prices'!$C$6:$AL$89,MATCH($C138,'[1]End - Use Prices'!$A$6:$A$89,0)+MATCH($D138,'[1]End - Use Prices'!$B$9:$B$11,0)-1,MATCH(AU$1,'[1]End - Use Prices'!$C$7:$AL$7,0))</f>
        <v>33.950000000000003</v>
      </c>
      <c r="AV138" s="41">
        <f>INDEX('[1]End - Use Prices'!$C$6:$AL$89,MATCH($C138,'[1]End - Use Prices'!$A$6:$A$89,0)+MATCH($D138,'[1]End - Use Prices'!$B$9:$B$11,0)-1,MATCH(AV$1,'[1]End - Use Prices'!$C$7:$AL$7,0))</f>
        <v>33.770000000000003</v>
      </c>
      <c r="AW138" s="41">
        <f>INDEX('[1]End - Use Prices'!$C$6:$AL$89,MATCH($C138,'[1]End - Use Prices'!$A$6:$A$89,0)+MATCH($D138,'[1]End - Use Prices'!$B$9:$B$11,0)-1,MATCH(AW$1,'[1]End - Use Prices'!$C$7:$AL$7,0))</f>
        <v>33.590000000000003</v>
      </c>
      <c r="AX138" s="41">
        <f>INDEX('[1]End - Use Prices'!$C$6:$AL$89,MATCH($C138,'[1]End - Use Prices'!$A$6:$A$89,0)+MATCH($D138,'[1]End - Use Prices'!$B$9:$B$11,0)-1,MATCH(AX$1,'[1]End - Use Prices'!$C$7:$AL$7,0))</f>
        <v>33.479999999999997</v>
      </c>
      <c r="AY138" s="41">
        <f>INDEX('[1]End - Use Prices'!$C$6:$AL$89,MATCH($C138,'[1]End - Use Prices'!$A$6:$A$89,0)+MATCH($D138,'[1]End - Use Prices'!$B$9:$B$11,0)-1,MATCH(AY$1,'[1]End - Use Prices'!$C$7:$AL$7,0))</f>
        <v>33.409999999999997</v>
      </c>
      <c r="AZ138" s="41">
        <f>INDEX('[1]End - Use Prices'!$C$6:$AL$89,MATCH($C138,'[1]End - Use Prices'!$A$6:$A$89,0)+MATCH($D138,'[1]End - Use Prices'!$B$9:$B$11,0)-1,MATCH(AZ$1,'[1]End - Use Prices'!$C$7:$AL$7,0))</f>
        <v>33.369999999999997</v>
      </c>
      <c r="BA138" s="41">
        <f>INDEX('[1]End - Use Prices'!$C$6:$AL$89,MATCH($C138,'[1]End - Use Prices'!$A$6:$A$89,0)+MATCH($D138,'[1]End - Use Prices'!$B$9:$B$11,0)-1,MATCH(BA$1,'[1]End - Use Prices'!$C$7:$AL$7,0))</f>
        <v>33.369999999999997</v>
      </c>
      <c r="BB138" s="41">
        <f>INDEX('[1]End - Use Prices'!$C$6:$AL$89,MATCH($C138,'[1]End - Use Prices'!$A$6:$A$89,0)+MATCH($D138,'[1]End - Use Prices'!$B$9:$B$11,0)-1,MATCH(BB$1,'[1]End - Use Prices'!$C$7:$AL$7,0))</f>
        <v>33.35</v>
      </c>
      <c r="BC138" s="41">
        <f>INDEX('[1]End - Use Prices'!$C$6:$AL$89,MATCH($C138,'[1]End - Use Prices'!$A$6:$A$89,0)+MATCH($D138,'[1]End - Use Prices'!$B$9:$B$11,0)-1,MATCH(BC$1,'[1]End - Use Prices'!$C$7:$AL$7,0))</f>
        <v>33.31</v>
      </c>
      <c r="BD138" s="41">
        <f>INDEX('[1]End - Use Prices'!$C$6:$AL$89,MATCH($C138,'[1]End - Use Prices'!$A$6:$A$89,0)+MATCH($D138,'[1]End - Use Prices'!$B$9:$B$11,0)-1,MATCH(BD$1,'[1]End - Use Prices'!$C$7:$AL$7,0))</f>
        <v>33.25</v>
      </c>
      <c r="BE138" s="41">
        <f>INDEX('[1]End - Use Prices'!$C$6:$AL$89,MATCH($C138,'[1]End - Use Prices'!$A$6:$A$89,0)+MATCH($D138,'[1]End - Use Prices'!$B$9:$B$11,0)-1,MATCH(BE$1,'[1]End - Use Prices'!$C$7:$AL$7,0))</f>
        <v>33.159999999999997</v>
      </c>
      <c r="BF138" s="41">
        <f>INDEX('[1]End - Use Prices'!$C$6:$AL$89,MATCH($C138,'[1]End - Use Prices'!$A$6:$A$89,0)+MATCH($D138,'[1]End - Use Prices'!$B$9:$B$11,0)-1,MATCH(BF$1,'[1]End - Use Prices'!$C$7:$AL$7,0))</f>
        <v>33.07</v>
      </c>
      <c r="BG138" s="41">
        <f>INDEX('[1]End - Use Prices'!$C$6:$AL$89,MATCH($C138,'[1]End - Use Prices'!$A$6:$A$89,0)+MATCH($D138,'[1]End - Use Prices'!$B$9:$B$11,0)-1,MATCH(BG$1,'[1]End - Use Prices'!$C$7:$AL$7,0))</f>
        <v>32.97</v>
      </c>
      <c r="BR138" s="39"/>
      <c r="BS138" s="39"/>
      <c r="BT138" s="39"/>
      <c r="BU138" s="39"/>
      <c r="BV138" s="39"/>
      <c r="BW138" s="39"/>
      <c r="BX138" s="39"/>
      <c r="BY138" s="39"/>
      <c r="BZ138" s="39"/>
      <c r="CA138" s="39"/>
    </row>
    <row r="139" spans="1:79" x14ac:dyDescent="0.25">
      <c r="A139" s="5"/>
      <c r="B139" s="3"/>
      <c r="C139" s="25" t="s">
        <v>89</v>
      </c>
      <c r="D139" s="25" t="s">
        <v>280</v>
      </c>
      <c r="E139" s="25" t="s">
        <v>282</v>
      </c>
      <c r="F139" s="67" t="s">
        <v>279</v>
      </c>
      <c r="G139" s="53">
        <f t="shared" si="18"/>
        <v>24.67</v>
      </c>
      <c r="H139" s="34">
        <f t="shared" si="23"/>
        <v>24.67</v>
      </c>
      <c r="I139" s="34">
        <f t="shared" si="23"/>
        <v>26.1</v>
      </c>
      <c r="J139" s="34">
        <f t="shared" si="23"/>
        <v>27.54</v>
      </c>
      <c r="K139" s="34">
        <f t="shared" si="23"/>
        <v>38.03</v>
      </c>
      <c r="L139" s="34">
        <f t="shared" si="23"/>
        <v>32.78</v>
      </c>
      <c r="M139" s="34">
        <f t="shared" si="23"/>
        <v>32.11</v>
      </c>
      <c r="N139" s="34">
        <f t="shared" si="23"/>
        <v>31.7</v>
      </c>
      <c r="O139" s="34">
        <f t="shared" si="23"/>
        <v>31.16</v>
      </c>
      <c r="P139" s="53">
        <f t="shared" si="22"/>
        <v>31.16</v>
      </c>
      <c r="Q139" s="53">
        <f t="shared" si="22"/>
        <v>31.16</v>
      </c>
      <c r="R139" s="38"/>
      <c r="X139" s="41">
        <f>INDEX('[1]End - Use Prices'!$C$6:$AL$89,MATCH($C139,'[1]End - Use Prices'!$A$6:$A$89,0)+MATCH($D139,'[1]End - Use Prices'!$B$9:$B$11,0)-1,MATCH(X$1,'[1]End - Use Prices'!$C$7:$AL$7,0))</f>
        <v>24.67</v>
      </c>
      <c r="Y139" s="41">
        <f>INDEX('[1]End - Use Prices'!$C$6:$AL$89,MATCH($C139,'[1]End - Use Prices'!$A$6:$A$89,0)+MATCH($D139,'[1]End - Use Prices'!$B$9:$B$11,0)-1,MATCH(Y$1,'[1]End - Use Prices'!$C$7:$AL$7,0))</f>
        <v>25.2</v>
      </c>
      <c r="Z139" s="41">
        <f>INDEX('[1]End - Use Prices'!$C$6:$AL$89,MATCH($C139,'[1]End - Use Prices'!$A$6:$A$89,0)+MATCH($D139,'[1]End - Use Prices'!$B$9:$B$11,0)-1,MATCH(Z$1,'[1]End - Use Prices'!$C$7:$AL$7,0))</f>
        <v>25.43</v>
      </c>
      <c r="AA139" s="41">
        <f>INDEX('[1]End - Use Prices'!$C$6:$AL$89,MATCH($C139,'[1]End - Use Prices'!$A$6:$A$89,0)+MATCH($D139,'[1]End - Use Prices'!$B$9:$B$11,0)-1,MATCH(AA$1,'[1]End - Use Prices'!$C$7:$AL$7,0))</f>
        <v>33.47</v>
      </c>
      <c r="AB139" s="41">
        <f>INDEX('[1]End - Use Prices'!$C$6:$AL$89,MATCH($C139,'[1]End - Use Prices'!$A$6:$A$89,0)+MATCH($D139,'[1]End - Use Prices'!$B$9:$B$11,0)-1,MATCH(AB$1,'[1]End - Use Prices'!$C$7:$AL$7,0))</f>
        <v>23.22</v>
      </c>
      <c r="AC139" s="41">
        <f>INDEX('[1]End - Use Prices'!$C$6:$AL$89,MATCH($C139,'[1]End - Use Prices'!$A$6:$A$89,0)+MATCH($D139,'[1]End - Use Prices'!$B$9:$B$11,0)-1,MATCH(AC$1,'[1]End - Use Prices'!$C$7:$AL$7,0))</f>
        <v>26.1</v>
      </c>
      <c r="AD139" s="41">
        <f>INDEX('[1]End - Use Prices'!$C$6:$AL$89,MATCH($C139,'[1]End - Use Prices'!$A$6:$A$89,0)+MATCH($D139,'[1]End - Use Prices'!$B$9:$B$11,0)-1,MATCH(AD$1,'[1]End - Use Prices'!$C$7:$AL$7,0))</f>
        <v>32.090000000000003</v>
      </c>
      <c r="AE139" s="41">
        <f>INDEX('[1]End - Use Prices'!$C$6:$AL$89,MATCH($C139,'[1]End - Use Prices'!$A$6:$A$89,0)+MATCH($D139,'[1]End - Use Prices'!$B$9:$B$11,0)-1,MATCH(AE$1,'[1]End - Use Prices'!$C$7:$AL$7,0))</f>
        <v>33.770000000000003</v>
      </c>
      <c r="AF139" s="41">
        <f>INDEX('[1]End - Use Prices'!$C$6:$AL$89,MATCH($C139,'[1]End - Use Prices'!$A$6:$A$89,0)+MATCH($D139,'[1]End - Use Prices'!$B$9:$B$11,0)-1,MATCH(AF$1,'[1]End - Use Prices'!$C$7:$AL$7,0))</f>
        <v>33.130000000000003</v>
      </c>
      <c r="AG139" s="41">
        <f>INDEX('[1]End - Use Prices'!$C$6:$AL$89,MATCH($C139,'[1]End - Use Prices'!$A$6:$A$89,0)+MATCH($D139,'[1]End - Use Prices'!$B$9:$B$11,0)-1,MATCH(AG$1,'[1]End - Use Prices'!$C$7:$AL$7,0))</f>
        <v>33.630000000000003</v>
      </c>
      <c r="AH139" s="41">
        <f>INDEX('[1]End - Use Prices'!$C$6:$AL$89,MATCH($C139,'[1]End - Use Prices'!$A$6:$A$89,0)+MATCH($D139,'[1]End - Use Prices'!$B$9:$B$11,0)-1,MATCH(AH$1,'[1]End - Use Prices'!$C$7:$AL$7,0))</f>
        <v>27.54</v>
      </c>
      <c r="AI139" s="41">
        <f>INDEX('[1]End - Use Prices'!$C$6:$AL$89,MATCH($C139,'[1]End - Use Prices'!$A$6:$A$89,0)+MATCH($D139,'[1]End - Use Prices'!$B$9:$B$11,0)-1,MATCH(AI$1,'[1]End - Use Prices'!$C$7:$AL$7,0))</f>
        <v>23.58</v>
      </c>
      <c r="AJ139" s="41">
        <f>INDEX('[1]End - Use Prices'!$C$6:$AL$89,MATCH($C139,'[1]End - Use Prices'!$A$6:$A$89,0)+MATCH($D139,'[1]End - Use Prices'!$B$9:$B$11,0)-1,MATCH(AJ$1,'[1]End - Use Prices'!$C$7:$AL$7,0))</f>
        <v>25.75</v>
      </c>
      <c r="AK139" s="41">
        <f>INDEX('[1]End - Use Prices'!$C$6:$AL$89,MATCH($C139,'[1]End - Use Prices'!$A$6:$A$89,0)+MATCH($D139,'[1]End - Use Prices'!$B$9:$B$11,0)-1,MATCH(AK$1,'[1]End - Use Prices'!$C$7:$AL$7,0))</f>
        <v>30.37</v>
      </c>
      <c r="AL139" s="41">
        <f>INDEX('[1]End - Use Prices'!$C$6:$AL$89,MATCH($C139,'[1]End - Use Prices'!$A$6:$A$89,0)+MATCH($D139,'[1]End - Use Prices'!$B$9:$B$11,0)-1,MATCH(AL$1,'[1]End - Use Prices'!$C$7:$AL$7,0))</f>
        <v>34.700000000000003</v>
      </c>
      <c r="AM139" s="41">
        <f>INDEX('[1]End - Use Prices'!$C$6:$AL$89,MATCH($C139,'[1]End - Use Prices'!$A$6:$A$89,0)+MATCH($D139,'[1]End - Use Prices'!$B$9:$B$11,0)-1,MATCH(AM$1,'[1]End - Use Prices'!$C$7:$AL$7,0))</f>
        <v>38.03</v>
      </c>
      <c r="AN139" s="41">
        <f>INDEX('[1]End - Use Prices'!$C$6:$AL$89,MATCH($C139,'[1]End - Use Prices'!$A$6:$A$89,0)+MATCH($D139,'[1]End - Use Prices'!$B$9:$B$11,0)-1,MATCH(AN$1,'[1]End - Use Prices'!$C$7:$AL$7,0))</f>
        <v>34.799999999999997</v>
      </c>
      <c r="AO139" s="41">
        <f>INDEX('[1]End - Use Prices'!$C$6:$AL$89,MATCH($C139,'[1]End - Use Prices'!$A$6:$A$89,0)+MATCH($D139,'[1]End - Use Prices'!$B$9:$B$11,0)-1,MATCH(AO$1,'[1]End - Use Prices'!$C$7:$AL$7,0))</f>
        <v>32.68</v>
      </c>
      <c r="AP139" s="41">
        <f>INDEX('[1]End - Use Prices'!$C$6:$AL$89,MATCH($C139,'[1]End - Use Prices'!$A$6:$A$89,0)+MATCH($D139,'[1]End - Use Prices'!$B$9:$B$11,0)-1,MATCH(AP$1,'[1]End - Use Prices'!$C$7:$AL$7,0))</f>
        <v>32.369999999999997</v>
      </c>
      <c r="AQ139" s="41">
        <f>INDEX('[1]End - Use Prices'!$C$6:$AL$89,MATCH($C139,'[1]End - Use Prices'!$A$6:$A$89,0)+MATCH($D139,'[1]End - Use Prices'!$B$9:$B$11,0)-1,MATCH(AQ$1,'[1]End - Use Prices'!$C$7:$AL$7,0))</f>
        <v>32.47</v>
      </c>
      <c r="AR139" s="41">
        <f>INDEX('[1]End - Use Prices'!$C$6:$AL$89,MATCH($C139,'[1]End - Use Prices'!$A$6:$A$89,0)+MATCH($D139,'[1]End - Use Prices'!$B$9:$B$11,0)-1,MATCH(AR$1,'[1]End - Use Prices'!$C$7:$AL$7,0))</f>
        <v>32.78</v>
      </c>
      <c r="AS139" s="41">
        <f>INDEX('[1]End - Use Prices'!$C$6:$AL$89,MATCH($C139,'[1]End - Use Prices'!$A$6:$A$89,0)+MATCH($D139,'[1]End - Use Prices'!$B$9:$B$11,0)-1,MATCH(AS$1,'[1]End - Use Prices'!$C$7:$AL$7,0))</f>
        <v>33.03</v>
      </c>
      <c r="AT139" s="41">
        <f>INDEX('[1]End - Use Prices'!$C$6:$AL$89,MATCH($C139,'[1]End - Use Prices'!$A$6:$A$89,0)+MATCH($D139,'[1]End - Use Prices'!$B$9:$B$11,0)-1,MATCH(AT$1,'[1]End - Use Prices'!$C$7:$AL$7,0))</f>
        <v>32.81</v>
      </c>
      <c r="AU139" s="41">
        <f>INDEX('[1]End - Use Prices'!$C$6:$AL$89,MATCH($C139,'[1]End - Use Prices'!$A$6:$A$89,0)+MATCH($D139,'[1]End - Use Prices'!$B$9:$B$11,0)-1,MATCH(AU$1,'[1]End - Use Prices'!$C$7:$AL$7,0))</f>
        <v>32.549999999999997</v>
      </c>
      <c r="AV139" s="41">
        <f>INDEX('[1]End - Use Prices'!$C$6:$AL$89,MATCH($C139,'[1]End - Use Prices'!$A$6:$A$89,0)+MATCH($D139,'[1]End - Use Prices'!$B$9:$B$11,0)-1,MATCH(AV$1,'[1]End - Use Prices'!$C$7:$AL$7,0))</f>
        <v>32.33</v>
      </c>
      <c r="AW139" s="41">
        <f>INDEX('[1]End - Use Prices'!$C$6:$AL$89,MATCH($C139,'[1]End - Use Prices'!$A$6:$A$89,0)+MATCH($D139,'[1]End - Use Prices'!$B$9:$B$11,0)-1,MATCH(AW$1,'[1]End - Use Prices'!$C$7:$AL$7,0))</f>
        <v>32.11</v>
      </c>
      <c r="AX139" s="41">
        <f>INDEX('[1]End - Use Prices'!$C$6:$AL$89,MATCH($C139,'[1]End - Use Prices'!$A$6:$A$89,0)+MATCH($D139,'[1]End - Use Prices'!$B$9:$B$11,0)-1,MATCH(AX$1,'[1]End - Use Prices'!$C$7:$AL$7,0))</f>
        <v>31.96</v>
      </c>
      <c r="AY139" s="41">
        <f>INDEX('[1]End - Use Prices'!$C$6:$AL$89,MATCH($C139,'[1]End - Use Prices'!$A$6:$A$89,0)+MATCH($D139,'[1]End - Use Prices'!$B$9:$B$11,0)-1,MATCH(AY$1,'[1]End - Use Prices'!$C$7:$AL$7,0))</f>
        <v>31.85</v>
      </c>
      <c r="AZ139" s="41">
        <f>INDEX('[1]End - Use Prices'!$C$6:$AL$89,MATCH($C139,'[1]End - Use Prices'!$A$6:$A$89,0)+MATCH($D139,'[1]End - Use Prices'!$B$9:$B$11,0)-1,MATCH(AZ$1,'[1]End - Use Prices'!$C$7:$AL$7,0))</f>
        <v>31.79</v>
      </c>
      <c r="BA139" s="41">
        <f>INDEX('[1]End - Use Prices'!$C$6:$AL$89,MATCH($C139,'[1]End - Use Prices'!$A$6:$A$89,0)+MATCH($D139,'[1]End - Use Prices'!$B$9:$B$11,0)-1,MATCH(BA$1,'[1]End - Use Prices'!$C$7:$AL$7,0))</f>
        <v>31.75</v>
      </c>
      <c r="BB139" s="41">
        <f>INDEX('[1]End - Use Prices'!$C$6:$AL$89,MATCH($C139,'[1]End - Use Prices'!$A$6:$A$89,0)+MATCH($D139,'[1]End - Use Prices'!$B$9:$B$11,0)-1,MATCH(BB$1,'[1]End - Use Prices'!$C$7:$AL$7,0))</f>
        <v>31.7</v>
      </c>
      <c r="BC139" s="41">
        <f>INDEX('[1]End - Use Prices'!$C$6:$AL$89,MATCH($C139,'[1]End - Use Prices'!$A$6:$A$89,0)+MATCH($D139,'[1]End - Use Prices'!$B$9:$B$11,0)-1,MATCH(BC$1,'[1]End - Use Prices'!$C$7:$AL$7,0))</f>
        <v>31.63</v>
      </c>
      <c r="BD139" s="41">
        <f>INDEX('[1]End - Use Prices'!$C$6:$AL$89,MATCH($C139,'[1]End - Use Prices'!$A$6:$A$89,0)+MATCH($D139,'[1]End - Use Prices'!$B$9:$B$11,0)-1,MATCH(BD$1,'[1]End - Use Prices'!$C$7:$AL$7,0))</f>
        <v>31.54</v>
      </c>
      <c r="BE139" s="41">
        <f>INDEX('[1]End - Use Prices'!$C$6:$AL$89,MATCH($C139,'[1]End - Use Prices'!$A$6:$A$89,0)+MATCH($D139,'[1]End - Use Prices'!$B$9:$B$11,0)-1,MATCH(BE$1,'[1]End - Use Prices'!$C$7:$AL$7,0))</f>
        <v>31.42</v>
      </c>
      <c r="BF139" s="41">
        <f>INDEX('[1]End - Use Prices'!$C$6:$AL$89,MATCH($C139,'[1]End - Use Prices'!$A$6:$A$89,0)+MATCH($D139,'[1]End - Use Prices'!$B$9:$B$11,0)-1,MATCH(BF$1,'[1]End - Use Prices'!$C$7:$AL$7,0))</f>
        <v>31.3</v>
      </c>
      <c r="BG139" s="41">
        <f>INDEX('[1]End - Use Prices'!$C$6:$AL$89,MATCH($C139,'[1]End - Use Prices'!$A$6:$A$89,0)+MATCH($D139,'[1]End - Use Prices'!$B$9:$B$11,0)-1,MATCH(BG$1,'[1]End - Use Prices'!$C$7:$AL$7,0))</f>
        <v>31.16</v>
      </c>
      <c r="BR139" s="39"/>
      <c r="BS139" s="39"/>
      <c r="BT139" s="39"/>
      <c r="BU139" s="39"/>
      <c r="BV139" s="39"/>
      <c r="BW139" s="39"/>
      <c r="BX139" s="39"/>
      <c r="BY139" s="39"/>
      <c r="BZ139" s="39"/>
      <c r="CA139" s="39"/>
    </row>
    <row r="140" spans="1:79" x14ac:dyDescent="0.25">
      <c r="A140" s="5"/>
      <c r="B140" s="3"/>
      <c r="C140" s="25" t="s">
        <v>90</v>
      </c>
      <c r="D140" s="25" t="s">
        <v>280</v>
      </c>
      <c r="E140" s="25" t="s">
        <v>282</v>
      </c>
      <c r="F140" s="67" t="s">
        <v>279</v>
      </c>
      <c r="G140" s="53">
        <f t="shared" si="18"/>
        <v>25.66</v>
      </c>
      <c r="H140" s="34">
        <f t="shared" si="23"/>
        <v>25.66</v>
      </c>
      <c r="I140" s="34">
        <f t="shared" si="23"/>
        <v>28.54</v>
      </c>
      <c r="J140" s="34">
        <f t="shared" si="23"/>
        <v>30.91</v>
      </c>
      <c r="K140" s="34">
        <f t="shared" si="23"/>
        <v>41.65</v>
      </c>
      <c r="L140" s="34">
        <f t="shared" si="23"/>
        <v>36.79</v>
      </c>
      <c r="M140" s="34">
        <f t="shared" si="23"/>
        <v>36.32</v>
      </c>
      <c r="N140" s="34">
        <f t="shared" si="23"/>
        <v>36.090000000000003</v>
      </c>
      <c r="O140" s="34">
        <f t="shared" si="23"/>
        <v>35.71</v>
      </c>
      <c r="P140" s="53">
        <f t="shared" si="22"/>
        <v>35.71</v>
      </c>
      <c r="Q140" s="53">
        <f t="shared" si="22"/>
        <v>35.71</v>
      </c>
      <c r="R140" s="38"/>
      <c r="X140" s="41">
        <f>INDEX('[1]End - Use Prices'!$C$6:$AL$89,MATCH($C140,'[1]End - Use Prices'!$A$6:$A$89,0)+MATCH($D140,'[1]End - Use Prices'!$B$9:$B$11,0)-1,MATCH(X$1,'[1]End - Use Prices'!$C$7:$AL$7,0))</f>
        <v>25.66</v>
      </c>
      <c r="Y140" s="41">
        <f>INDEX('[1]End - Use Prices'!$C$6:$AL$89,MATCH($C140,'[1]End - Use Prices'!$A$6:$A$89,0)+MATCH($D140,'[1]End - Use Prices'!$B$9:$B$11,0)-1,MATCH(Y$1,'[1]End - Use Prices'!$C$7:$AL$7,0))</f>
        <v>26.36</v>
      </c>
      <c r="Z140" s="41">
        <f>INDEX('[1]End - Use Prices'!$C$6:$AL$89,MATCH($C140,'[1]End - Use Prices'!$A$6:$A$89,0)+MATCH($D140,'[1]End - Use Prices'!$B$9:$B$11,0)-1,MATCH(Z$1,'[1]End - Use Prices'!$C$7:$AL$7,0))</f>
        <v>27.18</v>
      </c>
      <c r="AA140" s="41">
        <f>INDEX('[1]End - Use Prices'!$C$6:$AL$89,MATCH($C140,'[1]End - Use Prices'!$A$6:$A$89,0)+MATCH($D140,'[1]End - Use Prices'!$B$9:$B$11,0)-1,MATCH(AA$1,'[1]End - Use Prices'!$C$7:$AL$7,0))</f>
        <v>33.630000000000003</v>
      </c>
      <c r="AB140" s="41">
        <f>INDEX('[1]End - Use Prices'!$C$6:$AL$89,MATCH($C140,'[1]End - Use Prices'!$A$6:$A$89,0)+MATCH($D140,'[1]End - Use Prices'!$B$9:$B$11,0)-1,MATCH(AB$1,'[1]End - Use Prices'!$C$7:$AL$7,0))</f>
        <v>25.05</v>
      </c>
      <c r="AC140" s="41">
        <f>INDEX('[1]End - Use Prices'!$C$6:$AL$89,MATCH($C140,'[1]End - Use Prices'!$A$6:$A$89,0)+MATCH($D140,'[1]End - Use Prices'!$B$9:$B$11,0)-1,MATCH(AC$1,'[1]End - Use Prices'!$C$7:$AL$7,0))</f>
        <v>28.54</v>
      </c>
      <c r="AD140" s="41">
        <f>INDEX('[1]End - Use Prices'!$C$6:$AL$89,MATCH($C140,'[1]End - Use Prices'!$A$6:$A$89,0)+MATCH($D140,'[1]End - Use Prices'!$B$9:$B$11,0)-1,MATCH(AD$1,'[1]End - Use Prices'!$C$7:$AL$7,0))</f>
        <v>35.020000000000003</v>
      </c>
      <c r="AE140" s="41">
        <f>INDEX('[1]End - Use Prices'!$C$6:$AL$89,MATCH($C140,'[1]End - Use Prices'!$A$6:$A$89,0)+MATCH($D140,'[1]End - Use Prices'!$B$9:$B$11,0)-1,MATCH(AE$1,'[1]End - Use Prices'!$C$7:$AL$7,0))</f>
        <v>35.61</v>
      </c>
      <c r="AF140" s="41">
        <f>INDEX('[1]End - Use Prices'!$C$6:$AL$89,MATCH($C140,'[1]End - Use Prices'!$A$6:$A$89,0)+MATCH($D140,'[1]End - Use Prices'!$B$9:$B$11,0)-1,MATCH(AF$1,'[1]End - Use Prices'!$C$7:$AL$7,0))</f>
        <v>35.47</v>
      </c>
      <c r="AG140" s="41">
        <f>INDEX('[1]End - Use Prices'!$C$6:$AL$89,MATCH($C140,'[1]End - Use Prices'!$A$6:$A$89,0)+MATCH($D140,'[1]End - Use Prices'!$B$9:$B$11,0)-1,MATCH(AG$1,'[1]End - Use Prices'!$C$7:$AL$7,0))</f>
        <v>36.5</v>
      </c>
      <c r="AH140" s="41">
        <f>INDEX('[1]End - Use Prices'!$C$6:$AL$89,MATCH($C140,'[1]End - Use Prices'!$A$6:$A$89,0)+MATCH($D140,'[1]End - Use Prices'!$B$9:$B$11,0)-1,MATCH(AH$1,'[1]End - Use Prices'!$C$7:$AL$7,0))</f>
        <v>30.91</v>
      </c>
      <c r="AI140" s="41">
        <f>INDEX('[1]End - Use Prices'!$C$6:$AL$89,MATCH($C140,'[1]End - Use Prices'!$A$6:$A$89,0)+MATCH($D140,'[1]End - Use Prices'!$B$9:$B$11,0)-1,MATCH(AI$1,'[1]End - Use Prices'!$C$7:$AL$7,0))</f>
        <v>27.23</v>
      </c>
      <c r="AJ140" s="41">
        <f>INDEX('[1]End - Use Prices'!$C$6:$AL$89,MATCH($C140,'[1]End - Use Prices'!$A$6:$A$89,0)+MATCH($D140,'[1]End - Use Prices'!$B$9:$B$11,0)-1,MATCH(AJ$1,'[1]End - Use Prices'!$C$7:$AL$7,0))</f>
        <v>31.23</v>
      </c>
      <c r="AK140" s="41">
        <f>INDEX('[1]End - Use Prices'!$C$6:$AL$89,MATCH($C140,'[1]End - Use Prices'!$A$6:$A$89,0)+MATCH($D140,'[1]End - Use Prices'!$B$9:$B$11,0)-1,MATCH(AK$1,'[1]End - Use Prices'!$C$7:$AL$7,0))</f>
        <v>35.57</v>
      </c>
      <c r="AL140" s="41">
        <f>INDEX('[1]End - Use Prices'!$C$6:$AL$89,MATCH($C140,'[1]End - Use Prices'!$A$6:$A$89,0)+MATCH($D140,'[1]End - Use Prices'!$B$9:$B$11,0)-1,MATCH(AL$1,'[1]End - Use Prices'!$C$7:$AL$7,0))</f>
        <v>38.32</v>
      </c>
      <c r="AM140" s="41">
        <f>INDEX('[1]End - Use Prices'!$C$6:$AL$89,MATCH($C140,'[1]End - Use Prices'!$A$6:$A$89,0)+MATCH($D140,'[1]End - Use Prices'!$B$9:$B$11,0)-1,MATCH(AM$1,'[1]End - Use Prices'!$C$7:$AL$7,0))</f>
        <v>41.65</v>
      </c>
      <c r="AN140" s="41">
        <f>INDEX('[1]End - Use Prices'!$C$6:$AL$89,MATCH($C140,'[1]End - Use Prices'!$A$6:$A$89,0)+MATCH($D140,'[1]End - Use Prices'!$B$9:$B$11,0)-1,MATCH(AN$1,'[1]End - Use Prices'!$C$7:$AL$7,0))</f>
        <v>38.53</v>
      </c>
      <c r="AO140" s="41">
        <f>INDEX('[1]End - Use Prices'!$C$6:$AL$89,MATCH($C140,'[1]End - Use Prices'!$A$6:$A$89,0)+MATCH($D140,'[1]End - Use Prices'!$B$9:$B$11,0)-1,MATCH(AO$1,'[1]End - Use Prices'!$C$7:$AL$7,0))</f>
        <v>36.51</v>
      </c>
      <c r="AP140" s="41">
        <f>INDEX('[1]End - Use Prices'!$C$6:$AL$89,MATCH($C140,'[1]End - Use Prices'!$A$6:$A$89,0)+MATCH($D140,'[1]End - Use Prices'!$B$9:$B$11,0)-1,MATCH(AP$1,'[1]End - Use Prices'!$C$7:$AL$7,0))</f>
        <v>36.270000000000003</v>
      </c>
      <c r="AQ140" s="41">
        <f>INDEX('[1]End - Use Prices'!$C$6:$AL$89,MATCH($C140,'[1]End - Use Prices'!$A$6:$A$89,0)+MATCH($D140,'[1]End - Use Prices'!$B$9:$B$11,0)-1,MATCH(AQ$1,'[1]End - Use Prices'!$C$7:$AL$7,0))</f>
        <v>36.42</v>
      </c>
      <c r="AR140" s="41">
        <f>INDEX('[1]End - Use Prices'!$C$6:$AL$89,MATCH($C140,'[1]End - Use Prices'!$A$6:$A$89,0)+MATCH($D140,'[1]End - Use Prices'!$B$9:$B$11,0)-1,MATCH(AR$1,'[1]End - Use Prices'!$C$7:$AL$7,0))</f>
        <v>36.79</v>
      </c>
      <c r="AS140" s="41">
        <f>INDEX('[1]End - Use Prices'!$C$6:$AL$89,MATCH($C140,'[1]End - Use Prices'!$A$6:$A$89,0)+MATCH($D140,'[1]End - Use Prices'!$B$9:$B$11,0)-1,MATCH(AS$1,'[1]End - Use Prices'!$C$7:$AL$7,0))</f>
        <v>37.08</v>
      </c>
      <c r="AT140" s="41">
        <f>INDEX('[1]End - Use Prices'!$C$6:$AL$89,MATCH($C140,'[1]End - Use Prices'!$A$6:$A$89,0)+MATCH($D140,'[1]End - Use Prices'!$B$9:$B$11,0)-1,MATCH(AT$1,'[1]End - Use Prices'!$C$7:$AL$7,0))</f>
        <v>36.909999999999997</v>
      </c>
      <c r="AU140" s="41">
        <f>INDEX('[1]End - Use Prices'!$C$6:$AL$89,MATCH($C140,'[1]End - Use Prices'!$A$6:$A$89,0)+MATCH($D140,'[1]End - Use Prices'!$B$9:$B$11,0)-1,MATCH(AU$1,'[1]End - Use Prices'!$C$7:$AL$7,0))</f>
        <v>36.69</v>
      </c>
      <c r="AV140" s="41">
        <f>INDEX('[1]End - Use Prices'!$C$6:$AL$89,MATCH($C140,'[1]End - Use Prices'!$A$6:$A$89,0)+MATCH($D140,'[1]End - Use Prices'!$B$9:$B$11,0)-1,MATCH(AV$1,'[1]End - Use Prices'!$C$7:$AL$7,0))</f>
        <v>36.51</v>
      </c>
      <c r="AW140" s="41">
        <f>INDEX('[1]End - Use Prices'!$C$6:$AL$89,MATCH($C140,'[1]End - Use Prices'!$A$6:$A$89,0)+MATCH($D140,'[1]End - Use Prices'!$B$9:$B$11,0)-1,MATCH(AW$1,'[1]End - Use Prices'!$C$7:$AL$7,0))</f>
        <v>36.32</v>
      </c>
      <c r="AX140" s="41">
        <f>INDEX('[1]End - Use Prices'!$C$6:$AL$89,MATCH($C140,'[1]End - Use Prices'!$A$6:$A$89,0)+MATCH($D140,'[1]End - Use Prices'!$B$9:$B$11,0)-1,MATCH(AX$1,'[1]End - Use Prices'!$C$7:$AL$7,0))</f>
        <v>36.22</v>
      </c>
      <c r="AY140" s="41">
        <f>INDEX('[1]End - Use Prices'!$C$6:$AL$89,MATCH($C140,'[1]End - Use Prices'!$A$6:$A$89,0)+MATCH($D140,'[1]End - Use Prices'!$B$9:$B$11,0)-1,MATCH(AY$1,'[1]End - Use Prices'!$C$7:$AL$7,0))</f>
        <v>36.14</v>
      </c>
      <c r="AZ140" s="41">
        <f>INDEX('[1]End - Use Prices'!$C$6:$AL$89,MATCH($C140,'[1]End - Use Prices'!$A$6:$A$89,0)+MATCH($D140,'[1]End - Use Prices'!$B$9:$B$11,0)-1,MATCH(AZ$1,'[1]End - Use Prices'!$C$7:$AL$7,0))</f>
        <v>36.11</v>
      </c>
      <c r="BA140" s="41">
        <f>INDEX('[1]End - Use Prices'!$C$6:$AL$89,MATCH($C140,'[1]End - Use Prices'!$A$6:$A$89,0)+MATCH($D140,'[1]End - Use Prices'!$B$9:$B$11,0)-1,MATCH(BA$1,'[1]End - Use Prices'!$C$7:$AL$7,0))</f>
        <v>36.11</v>
      </c>
      <c r="BB140" s="41">
        <f>INDEX('[1]End - Use Prices'!$C$6:$AL$89,MATCH($C140,'[1]End - Use Prices'!$A$6:$A$89,0)+MATCH($D140,'[1]End - Use Prices'!$B$9:$B$11,0)-1,MATCH(BB$1,'[1]End - Use Prices'!$C$7:$AL$7,0))</f>
        <v>36.090000000000003</v>
      </c>
      <c r="BC140" s="41">
        <f>INDEX('[1]End - Use Prices'!$C$6:$AL$89,MATCH($C140,'[1]End - Use Prices'!$A$6:$A$89,0)+MATCH($D140,'[1]End - Use Prices'!$B$9:$B$11,0)-1,MATCH(BC$1,'[1]End - Use Prices'!$C$7:$AL$7,0))</f>
        <v>36.049999999999997</v>
      </c>
      <c r="BD140" s="41">
        <f>INDEX('[1]End - Use Prices'!$C$6:$AL$89,MATCH($C140,'[1]End - Use Prices'!$A$6:$A$89,0)+MATCH($D140,'[1]End - Use Prices'!$B$9:$B$11,0)-1,MATCH(BD$1,'[1]End - Use Prices'!$C$7:$AL$7,0))</f>
        <v>35.99</v>
      </c>
      <c r="BE140" s="41">
        <f>INDEX('[1]End - Use Prices'!$C$6:$AL$89,MATCH($C140,'[1]End - Use Prices'!$A$6:$A$89,0)+MATCH($D140,'[1]End - Use Prices'!$B$9:$B$11,0)-1,MATCH(BE$1,'[1]End - Use Prices'!$C$7:$AL$7,0))</f>
        <v>35.9</v>
      </c>
      <c r="BF140" s="41">
        <f>INDEX('[1]End - Use Prices'!$C$6:$AL$89,MATCH($C140,'[1]End - Use Prices'!$A$6:$A$89,0)+MATCH($D140,'[1]End - Use Prices'!$B$9:$B$11,0)-1,MATCH(BF$1,'[1]End - Use Prices'!$C$7:$AL$7,0))</f>
        <v>35.81</v>
      </c>
      <c r="BG140" s="41">
        <f>INDEX('[1]End - Use Prices'!$C$6:$AL$89,MATCH($C140,'[1]End - Use Prices'!$A$6:$A$89,0)+MATCH($D140,'[1]End - Use Prices'!$B$9:$B$11,0)-1,MATCH(BG$1,'[1]End - Use Prices'!$C$7:$AL$7,0))</f>
        <v>35.71</v>
      </c>
      <c r="BR140" s="39"/>
      <c r="BS140" s="39"/>
      <c r="BT140" s="39"/>
      <c r="BU140" s="39"/>
      <c r="BV140" s="39"/>
      <c r="BW140" s="39"/>
      <c r="BX140" s="39"/>
      <c r="BY140" s="39"/>
      <c r="BZ140" s="39"/>
      <c r="CA140" s="39"/>
    </row>
    <row r="141" spans="1:79" x14ac:dyDescent="0.25">
      <c r="A141" s="5"/>
      <c r="B141" s="3"/>
      <c r="C141" s="25" t="s">
        <v>91</v>
      </c>
      <c r="D141" s="25" t="s">
        <v>280</v>
      </c>
      <c r="E141" s="25" t="s">
        <v>282</v>
      </c>
      <c r="F141" s="67" t="s">
        <v>279</v>
      </c>
      <c r="G141" s="53">
        <f t="shared" si="18"/>
        <v>26.86</v>
      </c>
      <c r="H141" s="34">
        <f t="shared" si="23"/>
        <v>26.86</v>
      </c>
      <c r="I141" s="34">
        <f t="shared" si="23"/>
        <v>28.11</v>
      </c>
      <c r="J141" s="34">
        <f t="shared" si="23"/>
        <v>26.82</v>
      </c>
      <c r="K141" s="34">
        <f t="shared" si="23"/>
        <v>36.65</v>
      </c>
      <c r="L141" s="34">
        <f t="shared" si="23"/>
        <v>30.13</v>
      </c>
      <c r="M141" s="34">
        <f t="shared" si="23"/>
        <v>29.7</v>
      </c>
      <c r="N141" s="34">
        <f t="shared" si="23"/>
        <v>29.69</v>
      </c>
      <c r="O141" s="34">
        <f t="shared" si="23"/>
        <v>29.56</v>
      </c>
      <c r="P141" s="53">
        <f t="shared" si="22"/>
        <v>29.56</v>
      </c>
      <c r="Q141" s="53">
        <f t="shared" si="22"/>
        <v>29.56</v>
      </c>
      <c r="R141" s="38"/>
      <c r="X141" s="41">
        <f>INDEX('[1]End - Use Prices'!$C$6:$AL$89,MATCH($C141,'[1]End - Use Prices'!$A$6:$A$89,0)+MATCH($D141,'[1]End - Use Prices'!$B$9:$B$11,0)-1,MATCH(X$1,'[1]End - Use Prices'!$C$7:$AL$7,0))</f>
        <v>26.86</v>
      </c>
      <c r="Y141" s="41">
        <f>INDEX('[1]End - Use Prices'!$C$6:$AL$89,MATCH($C141,'[1]End - Use Prices'!$A$6:$A$89,0)+MATCH($D141,'[1]End - Use Prices'!$B$9:$B$11,0)-1,MATCH(Y$1,'[1]End - Use Prices'!$C$7:$AL$7,0))</f>
        <v>26.92</v>
      </c>
      <c r="Z141" s="41">
        <f>INDEX('[1]End - Use Prices'!$C$6:$AL$89,MATCH($C141,'[1]End - Use Prices'!$A$6:$A$89,0)+MATCH($D141,'[1]End - Use Prices'!$B$9:$B$11,0)-1,MATCH(Z$1,'[1]End - Use Prices'!$C$7:$AL$7,0))</f>
        <v>28.39</v>
      </c>
      <c r="AA141" s="41">
        <f>INDEX('[1]End - Use Prices'!$C$6:$AL$89,MATCH($C141,'[1]End - Use Prices'!$A$6:$A$89,0)+MATCH($D141,'[1]End - Use Prices'!$B$9:$B$11,0)-1,MATCH(AA$1,'[1]End - Use Prices'!$C$7:$AL$7,0))</f>
        <v>34.549999999999997</v>
      </c>
      <c r="AB141" s="41">
        <f>INDEX('[1]End - Use Prices'!$C$6:$AL$89,MATCH($C141,'[1]End - Use Prices'!$A$6:$A$89,0)+MATCH($D141,'[1]End - Use Prices'!$B$9:$B$11,0)-1,MATCH(AB$1,'[1]End - Use Prices'!$C$7:$AL$7,0))</f>
        <v>25.26</v>
      </c>
      <c r="AC141" s="41">
        <f>INDEX('[1]End - Use Prices'!$C$6:$AL$89,MATCH($C141,'[1]End - Use Prices'!$A$6:$A$89,0)+MATCH($D141,'[1]End - Use Prices'!$B$9:$B$11,0)-1,MATCH(AC$1,'[1]End - Use Prices'!$C$7:$AL$7,0))</f>
        <v>28.11</v>
      </c>
      <c r="AD141" s="41">
        <f>INDEX('[1]End - Use Prices'!$C$6:$AL$89,MATCH($C141,'[1]End - Use Prices'!$A$6:$A$89,0)+MATCH($D141,'[1]End - Use Prices'!$B$9:$B$11,0)-1,MATCH(AD$1,'[1]End - Use Prices'!$C$7:$AL$7,0))</f>
        <v>32.72</v>
      </c>
      <c r="AE141" s="41">
        <f>INDEX('[1]End - Use Prices'!$C$6:$AL$89,MATCH($C141,'[1]End - Use Prices'!$A$6:$A$89,0)+MATCH($D141,'[1]End - Use Prices'!$B$9:$B$11,0)-1,MATCH(AE$1,'[1]End - Use Prices'!$C$7:$AL$7,0))</f>
        <v>32.950000000000003</v>
      </c>
      <c r="AF141" s="41">
        <f>INDEX('[1]End - Use Prices'!$C$6:$AL$89,MATCH($C141,'[1]End - Use Prices'!$A$6:$A$89,0)+MATCH($D141,'[1]End - Use Prices'!$B$9:$B$11,0)-1,MATCH(AF$1,'[1]End - Use Prices'!$C$7:$AL$7,0))</f>
        <v>33.5</v>
      </c>
      <c r="AG141" s="41">
        <f>INDEX('[1]End - Use Prices'!$C$6:$AL$89,MATCH($C141,'[1]End - Use Prices'!$A$6:$A$89,0)+MATCH($D141,'[1]End - Use Prices'!$B$9:$B$11,0)-1,MATCH(AG$1,'[1]End - Use Prices'!$C$7:$AL$7,0))</f>
        <v>34.840000000000003</v>
      </c>
      <c r="AH141" s="41">
        <f>INDEX('[1]End - Use Prices'!$C$6:$AL$89,MATCH($C141,'[1]End - Use Prices'!$A$6:$A$89,0)+MATCH($D141,'[1]End - Use Prices'!$B$9:$B$11,0)-1,MATCH(AH$1,'[1]End - Use Prices'!$C$7:$AL$7,0))</f>
        <v>26.82</v>
      </c>
      <c r="AI141" s="41">
        <f>INDEX('[1]End - Use Prices'!$C$6:$AL$89,MATCH($C141,'[1]End - Use Prices'!$A$6:$A$89,0)+MATCH($D141,'[1]End - Use Prices'!$B$9:$B$11,0)-1,MATCH(AI$1,'[1]End - Use Prices'!$C$7:$AL$7,0))</f>
        <v>24</v>
      </c>
      <c r="AJ141" s="41">
        <f>INDEX('[1]End - Use Prices'!$C$6:$AL$89,MATCH($C141,'[1]End - Use Prices'!$A$6:$A$89,0)+MATCH($D141,'[1]End - Use Prices'!$B$9:$B$11,0)-1,MATCH(AJ$1,'[1]End - Use Prices'!$C$7:$AL$7,0))</f>
        <v>26.23</v>
      </c>
      <c r="AK141" s="41">
        <f>INDEX('[1]End - Use Prices'!$C$6:$AL$89,MATCH($C141,'[1]End - Use Prices'!$A$6:$A$89,0)+MATCH($D141,'[1]End - Use Prices'!$B$9:$B$11,0)-1,MATCH(AK$1,'[1]End - Use Prices'!$C$7:$AL$7,0))</f>
        <v>30.14</v>
      </c>
      <c r="AL141" s="41">
        <f>INDEX('[1]End - Use Prices'!$C$6:$AL$89,MATCH($C141,'[1]End - Use Prices'!$A$6:$A$89,0)+MATCH($D141,'[1]End - Use Prices'!$B$9:$B$11,0)-1,MATCH(AL$1,'[1]End - Use Prices'!$C$7:$AL$7,0))</f>
        <v>33.479999999999997</v>
      </c>
      <c r="AM141" s="41">
        <f>INDEX('[1]End - Use Prices'!$C$6:$AL$89,MATCH($C141,'[1]End - Use Prices'!$A$6:$A$89,0)+MATCH($D141,'[1]End - Use Prices'!$B$9:$B$11,0)-1,MATCH(AM$1,'[1]End - Use Prices'!$C$7:$AL$7,0))</f>
        <v>36.65</v>
      </c>
      <c r="AN141" s="41">
        <f>INDEX('[1]End - Use Prices'!$C$6:$AL$89,MATCH($C141,'[1]End - Use Prices'!$A$6:$A$89,0)+MATCH($D141,'[1]End - Use Prices'!$B$9:$B$11,0)-1,MATCH(AN$1,'[1]End - Use Prices'!$C$7:$AL$7,0))</f>
        <v>33.15</v>
      </c>
      <c r="AO141" s="41">
        <f>INDEX('[1]End - Use Prices'!$C$6:$AL$89,MATCH($C141,'[1]End - Use Prices'!$A$6:$A$89,0)+MATCH($D141,'[1]End - Use Prices'!$B$9:$B$11,0)-1,MATCH(AO$1,'[1]End - Use Prices'!$C$7:$AL$7,0))</f>
        <v>30.77</v>
      </c>
      <c r="AP141" s="41">
        <f>INDEX('[1]End - Use Prices'!$C$6:$AL$89,MATCH($C141,'[1]End - Use Prices'!$A$6:$A$89,0)+MATCH($D141,'[1]End - Use Prices'!$B$9:$B$11,0)-1,MATCH(AP$1,'[1]End - Use Prices'!$C$7:$AL$7,0))</f>
        <v>30.2</v>
      </c>
      <c r="AQ141" s="41">
        <f>INDEX('[1]End - Use Prices'!$C$6:$AL$89,MATCH($C141,'[1]End - Use Prices'!$A$6:$A$89,0)+MATCH($D141,'[1]End - Use Prices'!$B$9:$B$11,0)-1,MATCH(AQ$1,'[1]End - Use Prices'!$C$7:$AL$7,0))</f>
        <v>30.06</v>
      </c>
      <c r="AR141" s="41">
        <f>INDEX('[1]End - Use Prices'!$C$6:$AL$89,MATCH($C141,'[1]End - Use Prices'!$A$6:$A$89,0)+MATCH($D141,'[1]End - Use Prices'!$B$9:$B$11,0)-1,MATCH(AR$1,'[1]End - Use Prices'!$C$7:$AL$7,0))</f>
        <v>30.13</v>
      </c>
      <c r="AS141" s="41">
        <f>INDEX('[1]End - Use Prices'!$C$6:$AL$89,MATCH($C141,'[1]End - Use Prices'!$A$6:$A$89,0)+MATCH($D141,'[1]End - Use Prices'!$B$9:$B$11,0)-1,MATCH(AS$1,'[1]End - Use Prices'!$C$7:$AL$7,0))</f>
        <v>30.14</v>
      </c>
      <c r="AT141" s="41">
        <f>INDEX('[1]End - Use Prices'!$C$6:$AL$89,MATCH($C141,'[1]End - Use Prices'!$A$6:$A$89,0)+MATCH($D141,'[1]End - Use Prices'!$B$9:$B$11,0)-1,MATCH(AT$1,'[1]End - Use Prices'!$C$7:$AL$7,0))</f>
        <v>30.06</v>
      </c>
      <c r="AU141" s="41">
        <f>INDEX('[1]End - Use Prices'!$C$6:$AL$89,MATCH($C141,'[1]End - Use Prices'!$A$6:$A$89,0)+MATCH($D141,'[1]End - Use Prices'!$B$9:$B$11,0)-1,MATCH(AU$1,'[1]End - Use Prices'!$C$7:$AL$7,0))</f>
        <v>29.92</v>
      </c>
      <c r="AV141" s="41">
        <f>INDEX('[1]End - Use Prices'!$C$6:$AL$89,MATCH($C141,'[1]End - Use Prices'!$A$6:$A$89,0)+MATCH($D141,'[1]End - Use Prices'!$B$9:$B$11,0)-1,MATCH(AV$1,'[1]End - Use Prices'!$C$7:$AL$7,0))</f>
        <v>29.81</v>
      </c>
      <c r="AW141" s="41">
        <f>INDEX('[1]End - Use Prices'!$C$6:$AL$89,MATCH($C141,'[1]End - Use Prices'!$A$6:$A$89,0)+MATCH($D141,'[1]End - Use Prices'!$B$9:$B$11,0)-1,MATCH(AW$1,'[1]End - Use Prices'!$C$7:$AL$7,0))</f>
        <v>29.7</v>
      </c>
      <c r="AX141" s="41">
        <f>INDEX('[1]End - Use Prices'!$C$6:$AL$89,MATCH($C141,'[1]End - Use Prices'!$A$6:$A$89,0)+MATCH($D141,'[1]End - Use Prices'!$B$9:$B$11,0)-1,MATCH(AX$1,'[1]End - Use Prices'!$C$7:$AL$7,0))</f>
        <v>29.64</v>
      </c>
      <c r="AY141" s="41">
        <f>INDEX('[1]End - Use Prices'!$C$6:$AL$89,MATCH($C141,'[1]End - Use Prices'!$A$6:$A$89,0)+MATCH($D141,'[1]End - Use Prices'!$B$9:$B$11,0)-1,MATCH(AY$1,'[1]End - Use Prices'!$C$7:$AL$7,0))</f>
        <v>29.62</v>
      </c>
      <c r="AZ141" s="41">
        <f>INDEX('[1]End - Use Prices'!$C$6:$AL$89,MATCH($C141,'[1]End - Use Prices'!$A$6:$A$89,0)+MATCH($D141,'[1]End - Use Prices'!$B$9:$B$11,0)-1,MATCH(AZ$1,'[1]End - Use Prices'!$C$7:$AL$7,0))</f>
        <v>29.64</v>
      </c>
      <c r="BA141" s="41">
        <f>INDEX('[1]End - Use Prices'!$C$6:$AL$89,MATCH($C141,'[1]End - Use Prices'!$A$6:$A$89,0)+MATCH($D141,'[1]End - Use Prices'!$B$9:$B$11,0)-1,MATCH(BA$1,'[1]End - Use Prices'!$C$7:$AL$7,0))</f>
        <v>29.67</v>
      </c>
      <c r="BB141" s="41">
        <f>INDEX('[1]End - Use Prices'!$C$6:$AL$89,MATCH($C141,'[1]End - Use Prices'!$A$6:$A$89,0)+MATCH($D141,'[1]End - Use Prices'!$B$9:$B$11,0)-1,MATCH(BB$1,'[1]End - Use Prices'!$C$7:$AL$7,0))</f>
        <v>29.69</v>
      </c>
      <c r="BC141" s="41">
        <f>INDEX('[1]End - Use Prices'!$C$6:$AL$89,MATCH($C141,'[1]End - Use Prices'!$A$6:$A$89,0)+MATCH($D141,'[1]End - Use Prices'!$B$9:$B$11,0)-1,MATCH(BC$1,'[1]End - Use Prices'!$C$7:$AL$7,0))</f>
        <v>29.7</v>
      </c>
      <c r="BD141" s="41">
        <f>INDEX('[1]End - Use Prices'!$C$6:$AL$89,MATCH($C141,'[1]End - Use Prices'!$A$6:$A$89,0)+MATCH($D141,'[1]End - Use Prices'!$B$9:$B$11,0)-1,MATCH(BD$1,'[1]End - Use Prices'!$C$7:$AL$7,0))</f>
        <v>29.69</v>
      </c>
      <c r="BE141" s="41">
        <f>INDEX('[1]End - Use Prices'!$C$6:$AL$89,MATCH($C141,'[1]End - Use Prices'!$A$6:$A$89,0)+MATCH($D141,'[1]End - Use Prices'!$B$9:$B$11,0)-1,MATCH(BE$1,'[1]End - Use Prices'!$C$7:$AL$7,0))</f>
        <v>29.65</v>
      </c>
      <c r="BF141" s="41">
        <f>INDEX('[1]End - Use Prices'!$C$6:$AL$89,MATCH($C141,'[1]End - Use Prices'!$A$6:$A$89,0)+MATCH($D141,'[1]End - Use Prices'!$B$9:$B$11,0)-1,MATCH(BF$1,'[1]End - Use Prices'!$C$7:$AL$7,0))</f>
        <v>29.61</v>
      </c>
      <c r="BG141" s="41">
        <f>INDEX('[1]End - Use Prices'!$C$6:$AL$89,MATCH($C141,'[1]End - Use Prices'!$A$6:$A$89,0)+MATCH($D141,'[1]End - Use Prices'!$B$9:$B$11,0)-1,MATCH(BG$1,'[1]End - Use Prices'!$C$7:$AL$7,0))</f>
        <v>29.56</v>
      </c>
      <c r="BR141" s="39"/>
      <c r="BS141" s="39"/>
      <c r="BT141" s="39"/>
      <c r="BU141" s="39"/>
      <c r="BV141" s="39"/>
      <c r="BW141" s="39"/>
      <c r="BX141" s="39"/>
      <c r="BY141" s="39"/>
      <c r="BZ141" s="39"/>
      <c r="CA141" s="39"/>
    </row>
    <row r="142" spans="1:79" x14ac:dyDescent="0.25">
      <c r="A142" s="5"/>
      <c r="B142" s="3"/>
      <c r="C142" s="25" t="s">
        <v>92</v>
      </c>
      <c r="D142" s="25" t="s">
        <v>280</v>
      </c>
      <c r="E142" s="25" t="s">
        <v>282</v>
      </c>
      <c r="F142" s="67" t="s">
        <v>279</v>
      </c>
      <c r="G142" s="53">
        <f t="shared" si="18"/>
        <v>26.98</v>
      </c>
      <c r="H142" s="34">
        <f t="shared" si="23"/>
        <v>26.98</v>
      </c>
      <c r="I142" s="34">
        <f t="shared" si="23"/>
        <v>26.99</v>
      </c>
      <c r="J142" s="34">
        <f t="shared" si="23"/>
        <v>26.82</v>
      </c>
      <c r="K142" s="34">
        <f t="shared" si="23"/>
        <v>37.92</v>
      </c>
      <c r="L142" s="34">
        <f t="shared" si="23"/>
        <v>33.53</v>
      </c>
      <c r="M142" s="34">
        <f t="shared" si="23"/>
        <v>32.72</v>
      </c>
      <c r="N142" s="34">
        <f t="shared" si="23"/>
        <v>32.49</v>
      </c>
      <c r="O142" s="34">
        <f t="shared" si="23"/>
        <v>32.130000000000003</v>
      </c>
      <c r="P142" s="53">
        <f t="shared" si="22"/>
        <v>32.130000000000003</v>
      </c>
      <c r="Q142" s="53">
        <f t="shared" si="22"/>
        <v>32.130000000000003</v>
      </c>
      <c r="R142" s="38"/>
      <c r="X142" s="41">
        <f>INDEX('[1]End - Use Prices'!$C$6:$AL$89,MATCH($C142,'[1]End - Use Prices'!$A$6:$A$89,0)+MATCH($D142,'[1]End - Use Prices'!$B$9:$B$11,0)-1,MATCH(X$1,'[1]End - Use Prices'!$C$7:$AL$7,0))</f>
        <v>26.98</v>
      </c>
      <c r="Y142" s="41">
        <f>INDEX('[1]End - Use Prices'!$C$6:$AL$89,MATCH($C142,'[1]End - Use Prices'!$A$6:$A$89,0)+MATCH($D142,'[1]End - Use Prices'!$B$9:$B$11,0)-1,MATCH(Y$1,'[1]End - Use Prices'!$C$7:$AL$7,0))</f>
        <v>26.48</v>
      </c>
      <c r="Z142" s="41">
        <f>INDEX('[1]End - Use Prices'!$C$6:$AL$89,MATCH($C142,'[1]End - Use Prices'!$A$6:$A$89,0)+MATCH($D142,'[1]End - Use Prices'!$B$9:$B$11,0)-1,MATCH(Z$1,'[1]End - Use Prices'!$C$7:$AL$7,0))</f>
        <v>28.47</v>
      </c>
      <c r="AA142" s="41">
        <f>INDEX('[1]End - Use Prices'!$C$6:$AL$89,MATCH($C142,'[1]End - Use Prices'!$A$6:$A$89,0)+MATCH($D142,'[1]End - Use Prices'!$B$9:$B$11,0)-1,MATCH(AA$1,'[1]End - Use Prices'!$C$7:$AL$7,0))</f>
        <v>34.4</v>
      </c>
      <c r="AB142" s="41">
        <f>INDEX('[1]End - Use Prices'!$C$6:$AL$89,MATCH($C142,'[1]End - Use Prices'!$A$6:$A$89,0)+MATCH($D142,'[1]End - Use Prices'!$B$9:$B$11,0)-1,MATCH(AB$1,'[1]End - Use Prices'!$C$7:$AL$7,0))</f>
        <v>24.36</v>
      </c>
      <c r="AC142" s="41">
        <f>INDEX('[1]End - Use Prices'!$C$6:$AL$89,MATCH($C142,'[1]End - Use Prices'!$A$6:$A$89,0)+MATCH($D142,'[1]End - Use Prices'!$B$9:$B$11,0)-1,MATCH(AC$1,'[1]End - Use Prices'!$C$7:$AL$7,0))</f>
        <v>26.99</v>
      </c>
      <c r="AD142" s="41">
        <f>INDEX('[1]End - Use Prices'!$C$6:$AL$89,MATCH($C142,'[1]End - Use Prices'!$A$6:$A$89,0)+MATCH($D142,'[1]End - Use Prices'!$B$9:$B$11,0)-1,MATCH(AD$1,'[1]End - Use Prices'!$C$7:$AL$7,0))</f>
        <v>32.65</v>
      </c>
      <c r="AE142" s="41">
        <f>INDEX('[1]End - Use Prices'!$C$6:$AL$89,MATCH($C142,'[1]End - Use Prices'!$A$6:$A$89,0)+MATCH($D142,'[1]End - Use Prices'!$B$9:$B$11,0)-1,MATCH(AE$1,'[1]End - Use Prices'!$C$7:$AL$7,0))</f>
        <v>31.57</v>
      </c>
      <c r="AF142" s="41">
        <f>INDEX('[1]End - Use Prices'!$C$6:$AL$89,MATCH($C142,'[1]End - Use Prices'!$A$6:$A$89,0)+MATCH($D142,'[1]End - Use Prices'!$B$9:$B$11,0)-1,MATCH(AF$1,'[1]End - Use Prices'!$C$7:$AL$7,0))</f>
        <v>32.36</v>
      </c>
      <c r="AG142" s="41">
        <f>INDEX('[1]End - Use Prices'!$C$6:$AL$89,MATCH($C142,'[1]End - Use Prices'!$A$6:$A$89,0)+MATCH($D142,'[1]End - Use Prices'!$B$9:$B$11,0)-1,MATCH(AG$1,'[1]End - Use Prices'!$C$7:$AL$7,0))</f>
        <v>35.340000000000003</v>
      </c>
      <c r="AH142" s="41">
        <f>INDEX('[1]End - Use Prices'!$C$6:$AL$89,MATCH($C142,'[1]End - Use Prices'!$A$6:$A$89,0)+MATCH($D142,'[1]End - Use Prices'!$B$9:$B$11,0)-1,MATCH(AH$1,'[1]End - Use Prices'!$C$7:$AL$7,0))</f>
        <v>26.82</v>
      </c>
      <c r="AI142" s="41">
        <f>INDEX('[1]End - Use Prices'!$C$6:$AL$89,MATCH($C142,'[1]End - Use Prices'!$A$6:$A$89,0)+MATCH($D142,'[1]End - Use Prices'!$B$9:$B$11,0)-1,MATCH(AI$1,'[1]End - Use Prices'!$C$7:$AL$7,0))</f>
        <v>24.02</v>
      </c>
      <c r="AJ142" s="41">
        <f>INDEX('[1]End - Use Prices'!$C$6:$AL$89,MATCH($C142,'[1]End - Use Prices'!$A$6:$A$89,0)+MATCH($D142,'[1]End - Use Prices'!$B$9:$B$11,0)-1,MATCH(AJ$1,'[1]End - Use Prices'!$C$7:$AL$7,0))</f>
        <v>26.27</v>
      </c>
      <c r="AK142" s="41">
        <f>INDEX('[1]End - Use Prices'!$C$6:$AL$89,MATCH($C142,'[1]End - Use Prices'!$A$6:$A$89,0)+MATCH($D142,'[1]End - Use Prices'!$B$9:$B$11,0)-1,MATCH(AK$1,'[1]End - Use Prices'!$C$7:$AL$7,0))</f>
        <v>29.87</v>
      </c>
      <c r="AL142" s="41">
        <f>INDEX('[1]End - Use Prices'!$C$6:$AL$89,MATCH($C142,'[1]End - Use Prices'!$A$6:$A$89,0)+MATCH($D142,'[1]End - Use Prices'!$B$9:$B$11,0)-1,MATCH(AL$1,'[1]End - Use Prices'!$C$7:$AL$7,0))</f>
        <v>33.14</v>
      </c>
      <c r="AM142" s="41">
        <f>INDEX('[1]End - Use Prices'!$C$6:$AL$89,MATCH($C142,'[1]End - Use Prices'!$A$6:$A$89,0)+MATCH($D142,'[1]End - Use Prices'!$B$9:$B$11,0)-1,MATCH(AM$1,'[1]End - Use Prices'!$C$7:$AL$7,0))</f>
        <v>37.92</v>
      </c>
      <c r="AN142" s="41">
        <f>INDEX('[1]End - Use Prices'!$C$6:$AL$89,MATCH($C142,'[1]End - Use Prices'!$A$6:$A$89,0)+MATCH($D142,'[1]End - Use Prices'!$B$9:$B$11,0)-1,MATCH(AN$1,'[1]End - Use Prices'!$C$7:$AL$7,0))</f>
        <v>35.28</v>
      </c>
      <c r="AO142" s="41">
        <f>INDEX('[1]End - Use Prices'!$C$6:$AL$89,MATCH($C142,'[1]End - Use Prices'!$A$6:$A$89,0)+MATCH($D142,'[1]End - Use Prices'!$B$9:$B$11,0)-1,MATCH(AO$1,'[1]End - Use Prices'!$C$7:$AL$7,0))</f>
        <v>33.700000000000003</v>
      </c>
      <c r="AP142" s="41">
        <f>INDEX('[1]End - Use Prices'!$C$6:$AL$89,MATCH($C142,'[1]End - Use Prices'!$A$6:$A$89,0)+MATCH($D142,'[1]End - Use Prices'!$B$9:$B$11,0)-1,MATCH(AP$1,'[1]End - Use Prices'!$C$7:$AL$7,0))</f>
        <v>33.82</v>
      </c>
      <c r="AQ142" s="41">
        <f>INDEX('[1]End - Use Prices'!$C$6:$AL$89,MATCH($C142,'[1]End - Use Prices'!$A$6:$A$89,0)+MATCH($D142,'[1]End - Use Prices'!$B$9:$B$11,0)-1,MATCH(AQ$1,'[1]End - Use Prices'!$C$7:$AL$7,0))</f>
        <v>33.549999999999997</v>
      </c>
      <c r="AR142" s="41">
        <f>INDEX('[1]End - Use Prices'!$C$6:$AL$89,MATCH($C142,'[1]End - Use Prices'!$A$6:$A$89,0)+MATCH($D142,'[1]End - Use Prices'!$B$9:$B$11,0)-1,MATCH(AR$1,'[1]End - Use Prices'!$C$7:$AL$7,0))</f>
        <v>33.53</v>
      </c>
      <c r="AS142" s="41">
        <f>INDEX('[1]End - Use Prices'!$C$6:$AL$89,MATCH($C142,'[1]End - Use Prices'!$A$6:$A$89,0)+MATCH($D142,'[1]End - Use Prices'!$B$9:$B$11,0)-1,MATCH(AS$1,'[1]End - Use Prices'!$C$7:$AL$7,0))</f>
        <v>33.46</v>
      </c>
      <c r="AT142" s="41">
        <f>INDEX('[1]End - Use Prices'!$C$6:$AL$89,MATCH($C142,'[1]End - Use Prices'!$A$6:$A$89,0)+MATCH($D142,'[1]End - Use Prices'!$B$9:$B$11,0)-1,MATCH(AT$1,'[1]End - Use Prices'!$C$7:$AL$7,0))</f>
        <v>33.29</v>
      </c>
      <c r="AU142" s="41">
        <f>INDEX('[1]End - Use Prices'!$C$6:$AL$89,MATCH($C142,'[1]End - Use Prices'!$A$6:$A$89,0)+MATCH($D142,'[1]End - Use Prices'!$B$9:$B$11,0)-1,MATCH(AU$1,'[1]End - Use Prices'!$C$7:$AL$7,0))</f>
        <v>33.07</v>
      </c>
      <c r="AV142" s="41">
        <f>INDEX('[1]End - Use Prices'!$C$6:$AL$89,MATCH($C142,'[1]End - Use Prices'!$A$6:$A$89,0)+MATCH($D142,'[1]End - Use Prices'!$B$9:$B$11,0)-1,MATCH(AV$1,'[1]End - Use Prices'!$C$7:$AL$7,0))</f>
        <v>32.9</v>
      </c>
      <c r="AW142" s="41">
        <f>INDEX('[1]End - Use Prices'!$C$6:$AL$89,MATCH($C142,'[1]End - Use Prices'!$A$6:$A$89,0)+MATCH($D142,'[1]End - Use Prices'!$B$9:$B$11,0)-1,MATCH(AW$1,'[1]End - Use Prices'!$C$7:$AL$7,0))</f>
        <v>32.72</v>
      </c>
      <c r="AX142" s="41">
        <f>INDEX('[1]End - Use Prices'!$C$6:$AL$89,MATCH($C142,'[1]End - Use Prices'!$A$6:$A$89,0)+MATCH($D142,'[1]End - Use Prices'!$B$9:$B$11,0)-1,MATCH(AX$1,'[1]End - Use Prices'!$C$7:$AL$7,0))</f>
        <v>32.619999999999997</v>
      </c>
      <c r="AY142" s="41">
        <f>INDEX('[1]End - Use Prices'!$C$6:$AL$89,MATCH($C142,'[1]End - Use Prices'!$A$6:$A$89,0)+MATCH($D142,'[1]End - Use Prices'!$B$9:$B$11,0)-1,MATCH(AY$1,'[1]End - Use Prices'!$C$7:$AL$7,0))</f>
        <v>32.549999999999997</v>
      </c>
      <c r="AZ142" s="41">
        <f>INDEX('[1]End - Use Prices'!$C$6:$AL$89,MATCH($C142,'[1]End - Use Prices'!$A$6:$A$89,0)+MATCH($D142,'[1]End - Use Prices'!$B$9:$B$11,0)-1,MATCH(AZ$1,'[1]End - Use Prices'!$C$7:$AL$7,0))</f>
        <v>32.520000000000003</v>
      </c>
      <c r="BA142" s="41">
        <f>INDEX('[1]End - Use Prices'!$C$6:$AL$89,MATCH($C142,'[1]End - Use Prices'!$A$6:$A$89,0)+MATCH($D142,'[1]End - Use Prices'!$B$9:$B$11,0)-1,MATCH(BA$1,'[1]End - Use Prices'!$C$7:$AL$7,0))</f>
        <v>32.51</v>
      </c>
      <c r="BB142" s="41">
        <f>INDEX('[1]End - Use Prices'!$C$6:$AL$89,MATCH($C142,'[1]End - Use Prices'!$A$6:$A$89,0)+MATCH($D142,'[1]End - Use Prices'!$B$9:$B$11,0)-1,MATCH(BB$1,'[1]End - Use Prices'!$C$7:$AL$7,0))</f>
        <v>32.49</v>
      </c>
      <c r="BC142" s="41">
        <f>INDEX('[1]End - Use Prices'!$C$6:$AL$89,MATCH($C142,'[1]End - Use Prices'!$A$6:$A$89,0)+MATCH($D142,'[1]End - Use Prices'!$B$9:$B$11,0)-1,MATCH(BC$1,'[1]End - Use Prices'!$C$7:$AL$7,0))</f>
        <v>32.450000000000003</v>
      </c>
      <c r="BD142" s="41">
        <f>INDEX('[1]End - Use Prices'!$C$6:$AL$89,MATCH($C142,'[1]End - Use Prices'!$A$6:$A$89,0)+MATCH($D142,'[1]End - Use Prices'!$B$9:$B$11,0)-1,MATCH(BD$1,'[1]End - Use Prices'!$C$7:$AL$7,0))</f>
        <v>32.4</v>
      </c>
      <c r="BE142" s="41">
        <f>INDEX('[1]End - Use Prices'!$C$6:$AL$89,MATCH($C142,'[1]End - Use Prices'!$A$6:$A$89,0)+MATCH($D142,'[1]End - Use Prices'!$B$9:$B$11,0)-1,MATCH(BE$1,'[1]End - Use Prices'!$C$7:$AL$7,0))</f>
        <v>32.31</v>
      </c>
      <c r="BF142" s="41">
        <f>INDEX('[1]End - Use Prices'!$C$6:$AL$89,MATCH($C142,'[1]End - Use Prices'!$A$6:$A$89,0)+MATCH($D142,'[1]End - Use Prices'!$B$9:$B$11,0)-1,MATCH(BF$1,'[1]End - Use Prices'!$C$7:$AL$7,0))</f>
        <v>32.229999999999997</v>
      </c>
      <c r="BG142" s="41">
        <f>INDEX('[1]End - Use Prices'!$C$6:$AL$89,MATCH($C142,'[1]End - Use Prices'!$A$6:$A$89,0)+MATCH($D142,'[1]End - Use Prices'!$B$9:$B$11,0)-1,MATCH(BG$1,'[1]End - Use Prices'!$C$7:$AL$7,0))</f>
        <v>32.130000000000003</v>
      </c>
      <c r="BR142" s="39"/>
      <c r="BS142" s="39"/>
      <c r="BT142" s="39"/>
      <c r="BU142" s="39"/>
      <c r="BV142" s="39"/>
      <c r="BW142" s="39"/>
      <c r="BX142" s="39"/>
      <c r="BY142" s="39"/>
      <c r="BZ142" s="39"/>
      <c r="CA142" s="39"/>
    </row>
    <row r="143" spans="1:79" x14ac:dyDescent="0.25">
      <c r="A143" s="5"/>
      <c r="B143" s="3"/>
      <c r="C143" s="25" t="s">
        <v>5</v>
      </c>
      <c r="D143" s="25" t="s">
        <v>280</v>
      </c>
      <c r="E143" s="25" t="s">
        <v>282</v>
      </c>
      <c r="F143" s="67" t="s">
        <v>279</v>
      </c>
      <c r="G143" s="53">
        <f t="shared" si="18"/>
        <v>24.45</v>
      </c>
      <c r="H143" s="34">
        <f t="shared" si="23"/>
        <v>24.45</v>
      </c>
      <c r="I143" s="34">
        <f t="shared" si="23"/>
        <v>26.03</v>
      </c>
      <c r="J143" s="34">
        <f t="shared" si="23"/>
        <v>24.73</v>
      </c>
      <c r="K143" s="34">
        <f t="shared" si="23"/>
        <v>37.21</v>
      </c>
      <c r="L143" s="34">
        <f t="shared" si="23"/>
        <v>32.299999999999997</v>
      </c>
      <c r="M143" s="34">
        <f t="shared" si="23"/>
        <v>31.49</v>
      </c>
      <c r="N143" s="34">
        <f t="shared" si="23"/>
        <v>31.25</v>
      </c>
      <c r="O143" s="34">
        <f t="shared" si="23"/>
        <v>30.88</v>
      </c>
      <c r="P143" s="53">
        <f t="shared" si="22"/>
        <v>30.88</v>
      </c>
      <c r="Q143" s="53">
        <f t="shared" si="22"/>
        <v>30.88</v>
      </c>
      <c r="R143" s="38"/>
      <c r="X143" s="41">
        <f>INDEX('[1]End - Use Prices'!$C$6:$AL$89,MATCH($C143,'[1]End - Use Prices'!$A$6:$A$89,0)+MATCH($D143,'[1]End - Use Prices'!$B$9:$B$11,0)-1,MATCH(X$1,'[1]End - Use Prices'!$C$7:$AL$7,0))</f>
        <v>24.45</v>
      </c>
      <c r="Y143" s="41">
        <f>INDEX('[1]End - Use Prices'!$C$6:$AL$89,MATCH($C143,'[1]End - Use Prices'!$A$6:$A$89,0)+MATCH($D143,'[1]End - Use Prices'!$B$9:$B$11,0)-1,MATCH(Y$1,'[1]End - Use Prices'!$C$7:$AL$7,0))</f>
        <v>25.51</v>
      </c>
      <c r="Z143" s="41">
        <f>INDEX('[1]End - Use Prices'!$C$6:$AL$89,MATCH($C143,'[1]End - Use Prices'!$A$6:$A$89,0)+MATCH($D143,'[1]End - Use Prices'!$B$9:$B$11,0)-1,MATCH(Z$1,'[1]End - Use Prices'!$C$7:$AL$7,0))</f>
        <v>26.83</v>
      </c>
      <c r="AA143" s="41">
        <f>INDEX('[1]End - Use Prices'!$C$6:$AL$89,MATCH($C143,'[1]End - Use Prices'!$A$6:$A$89,0)+MATCH($D143,'[1]End - Use Prices'!$B$9:$B$11,0)-1,MATCH(AA$1,'[1]End - Use Prices'!$C$7:$AL$7,0))</f>
        <v>31.95</v>
      </c>
      <c r="AB143" s="41">
        <f>INDEX('[1]End - Use Prices'!$C$6:$AL$89,MATCH($C143,'[1]End - Use Prices'!$A$6:$A$89,0)+MATCH($D143,'[1]End - Use Prices'!$B$9:$B$11,0)-1,MATCH(AB$1,'[1]End - Use Prices'!$C$7:$AL$7,0))</f>
        <v>23.37</v>
      </c>
      <c r="AC143" s="41">
        <f>INDEX('[1]End - Use Prices'!$C$6:$AL$89,MATCH($C143,'[1]End - Use Prices'!$A$6:$A$89,0)+MATCH($D143,'[1]End - Use Prices'!$B$9:$B$11,0)-1,MATCH(AC$1,'[1]End - Use Prices'!$C$7:$AL$7,0))</f>
        <v>26.03</v>
      </c>
      <c r="AD143" s="41">
        <f>INDEX('[1]End - Use Prices'!$C$6:$AL$89,MATCH($C143,'[1]End - Use Prices'!$A$6:$A$89,0)+MATCH($D143,'[1]End - Use Prices'!$B$9:$B$11,0)-1,MATCH(AD$1,'[1]End - Use Prices'!$C$7:$AL$7,0))</f>
        <v>27.78</v>
      </c>
      <c r="AE143" s="41">
        <f>INDEX('[1]End - Use Prices'!$C$6:$AL$89,MATCH($C143,'[1]End - Use Prices'!$A$6:$A$89,0)+MATCH($D143,'[1]End - Use Prices'!$B$9:$B$11,0)-1,MATCH(AE$1,'[1]End - Use Prices'!$C$7:$AL$7,0))</f>
        <v>29.65</v>
      </c>
      <c r="AF143" s="41">
        <f>INDEX('[1]End - Use Prices'!$C$6:$AL$89,MATCH($C143,'[1]End - Use Prices'!$A$6:$A$89,0)+MATCH($D143,'[1]End - Use Prices'!$B$9:$B$11,0)-1,MATCH(AF$1,'[1]End - Use Prices'!$C$7:$AL$7,0))</f>
        <v>27.25</v>
      </c>
      <c r="AG143" s="41">
        <f>INDEX('[1]End - Use Prices'!$C$6:$AL$89,MATCH($C143,'[1]End - Use Prices'!$A$6:$A$89,0)+MATCH($D143,'[1]End - Use Prices'!$B$9:$B$11,0)-1,MATCH(AG$1,'[1]End - Use Prices'!$C$7:$AL$7,0))</f>
        <v>32.840000000000003</v>
      </c>
      <c r="AH143" s="41">
        <f>INDEX('[1]End - Use Prices'!$C$6:$AL$89,MATCH($C143,'[1]End - Use Prices'!$A$6:$A$89,0)+MATCH($D143,'[1]End - Use Prices'!$B$9:$B$11,0)-1,MATCH(AH$1,'[1]End - Use Prices'!$C$7:$AL$7,0))</f>
        <v>24.73</v>
      </c>
      <c r="AI143" s="41">
        <f>INDEX('[1]End - Use Prices'!$C$6:$AL$89,MATCH($C143,'[1]End - Use Prices'!$A$6:$A$89,0)+MATCH($D143,'[1]End - Use Prices'!$B$9:$B$11,0)-1,MATCH(AI$1,'[1]End - Use Prices'!$C$7:$AL$7,0))</f>
        <v>22.55</v>
      </c>
      <c r="AJ143" s="41">
        <f>INDEX('[1]End - Use Prices'!$C$6:$AL$89,MATCH($C143,'[1]End - Use Prices'!$A$6:$A$89,0)+MATCH($D143,'[1]End - Use Prices'!$B$9:$B$11,0)-1,MATCH(AJ$1,'[1]End - Use Prices'!$C$7:$AL$7,0))</f>
        <v>24.52</v>
      </c>
      <c r="AK143" s="41">
        <f>INDEX('[1]End - Use Prices'!$C$6:$AL$89,MATCH($C143,'[1]End - Use Prices'!$A$6:$A$89,0)+MATCH($D143,'[1]End - Use Prices'!$B$9:$B$11,0)-1,MATCH(AK$1,'[1]End - Use Prices'!$C$7:$AL$7,0))</f>
        <v>30.35</v>
      </c>
      <c r="AL143" s="41">
        <f>INDEX('[1]End - Use Prices'!$C$6:$AL$89,MATCH($C143,'[1]End - Use Prices'!$A$6:$A$89,0)+MATCH($D143,'[1]End - Use Prices'!$B$9:$B$11,0)-1,MATCH(AL$1,'[1]End - Use Prices'!$C$7:$AL$7,0))</f>
        <v>34.29</v>
      </c>
      <c r="AM143" s="41">
        <f>INDEX('[1]End - Use Prices'!$C$6:$AL$89,MATCH($C143,'[1]End - Use Prices'!$A$6:$A$89,0)+MATCH($D143,'[1]End - Use Prices'!$B$9:$B$11,0)-1,MATCH(AM$1,'[1]End - Use Prices'!$C$7:$AL$7,0))</f>
        <v>37.21</v>
      </c>
      <c r="AN143" s="41">
        <f>INDEX('[1]End - Use Prices'!$C$6:$AL$89,MATCH($C143,'[1]End - Use Prices'!$A$6:$A$89,0)+MATCH($D143,'[1]End - Use Prices'!$B$9:$B$11,0)-1,MATCH(AN$1,'[1]End - Use Prices'!$C$7:$AL$7,0))</f>
        <v>33.880000000000003</v>
      </c>
      <c r="AO143" s="41">
        <f>INDEX('[1]End - Use Prices'!$C$6:$AL$89,MATCH($C143,'[1]End - Use Prices'!$A$6:$A$89,0)+MATCH($D143,'[1]End - Use Prices'!$B$9:$B$11,0)-1,MATCH(AO$1,'[1]End - Use Prices'!$C$7:$AL$7,0))</f>
        <v>32.43</v>
      </c>
      <c r="AP143" s="41">
        <f>INDEX('[1]End - Use Prices'!$C$6:$AL$89,MATCH($C143,'[1]End - Use Prices'!$A$6:$A$89,0)+MATCH($D143,'[1]End - Use Prices'!$B$9:$B$11,0)-1,MATCH(AP$1,'[1]End - Use Prices'!$C$7:$AL$7,0))</f>
        <v>32.590000000000003</v>
      </c>
      <c r="AQ143" s="41">
        <f>INDEX('[1]End - Use Prices'!$C$6:$AL$89,MATCH($C143,'[1]End - Use Prices'!$A$6:$A$89,0)+MATCH($D143,'[1]End - Use Prices'!$B$9:$B$11,0)-1,MATCH(AQ$1,'[1]End - Use Prices'!$C$7:$AL$7,0))</f>
        <v>32.33</v>
      </c>
      <c r="AR143" s="41">
        <f>INDEX('[1]End - Use Prices'!$C$6:$AL$89,MATCH($C143,'[1]End - Use Prices'!$A$6:$A$89,0)+MATCH($D143,'[1]End - Use Prices'!$B$9:$B$11,0)-1,MATCH(AR$1,'[1]End - Use Prices'!$C$7:$AL$7,0))</f>
        <v>32.299999999999997</v>
      </c>
      <c r="AS143" s="41">
        <f>INDEX('[1]End - Use Prices'!$C$6:$AL$89,MATCH($C143,'[1]End - Use Prices'!$A$6:$A$89,0)+MATCH($D143,'[1]End - Use Prices'!$B$9:$B$11,0)-1,MATCH(AS$1,'[1]End - Use Prices'!$C$7:$AL$7,0))</f>
        <v>32.22</v>
      </c>
      <c r="AT143" s="41">
        <f>INDEX('[1]End - Use Prices'!$C$6:$AL$89,MATCH($C143,'[1]End - Use Prices'!$A$6:$A$89,0)+MATCH($D143,'[1]End - Use Prices'!$B$9:$B$11,0)-1,MATCH(AT$1,'[1]End - Use Prices'!$C$7:$AL$7,0))</f>
        <v>32.049999999999997</v>
      </c>
      <c r="AU143" s="41">
        <f>INDEX('[1]End - Use Prices'!$C$6:$AL$89,MATCH($C143,'[1]End - Use Prices'!$A$6:$A$89,0)+MATCH($D143,'[1]End - Use Prices'!$B$9:$B$11,0)-1,MATCH(AU$1,'[1]End - Use Prices'!$C$7:$AL$7,0))</f>
        <v>31.84</v>
      </c>
      <c r="AV143" s="41">
        <f>INDEX('[1]End - Use Prices'!$C$6:$AL$89,MATCH($C143,'[1]End - Use Prices'!$A$6:$A$89,0)+MATCH($D143,'[1]End - Use Prices'!$B$9:$B$11,0)-1,MATCH(AV$1,'[1]End - Use Prices'!$C$7:$AL$7,0))</f>
        <v>31.67</v>
      </c>
      <c r="AW143" s="41">
        <f>INDEX('[1]End - Use Prices'!$C$6:$AL$89,MATCH($C143,'[1]End - Use Prices'!$A$6:$A$89,0)+MATCH($D143,'[1]End - Use Prices'!$B$9:$B$11,0)-1,MATCH(AW$1,'[1]End - Use Prices'!$C$7:$AL$7,0))</f>
        <v>31.49</v>
      </c>
      <c r="AX143" s="41">
        <f>INDEX('[1]End - Use Prices'!$C$6:$AL$89,MATCH($C143,'[1]End - Use Prices'!$A$6:$A$89,0)+MATCH($D143,'[1]End - Use Prices'!$B$9:$B$11,0)-1,MATCH(AX$1,'[1]End - Use Prices'!$C$7:$AL$7,0))</f>
        <v>31.39</v>
      </c>
      <c r="AY143" s="41">
        <f>INDEX('[1]End - Use Prices'!$C$6:$AL$89,MATCH($C143,'[1]End - Use Prices'!$A$6:$A$89,0)+MATCH($D143,'[1]End - Use Prices'!$B$9:$B$11,0)-1,MATCH(AY$1,'[1]End - Use Prices'!$C$7:$AL$7,0))</f>
        <v>31.32</v>
      </c>
      <c r="AZ143" s="41">
        <f>INDEX('[1]End - Use Prices'!$C$6:$AL$89,MATCH($C143,'[1]End - Use Prices'!$A$6:$A$89,0)+MATCH($D143,'[1]End - Use Prices'!$B$9:$B$11,0)-1,MATCH(AZ$1,'[1]End - Use Prices'!$C$7:$AL$7,0))</f>
        <v>31.28</v>
      </c>
      <c r="BA143" s="41">
        <f>INDEX('[1]End - Use Prices'!$C$6:$AL$89,MATCH($C143,'[1]End - Use Prices'!$A$6:$A$89,0)+MATCH($D143,'[1]End - Use Prices'!$B$9:$B$11,0)-1,MATCH(BA$1,'[1]End - Use Prices'!$C$7:$AL$7,0))</f>
        <v>31.27</v>
      </c>
      <c r="BB143" s="41">
        <f>INDEX('[1]End - Use Prices'!$C$6:$AL$89,MATCH($C143,'[1]End - Use Prices'!$A$6:$A$89,0)+MATCH($D143,'[1]End - Use Prices'!$B$9:$B$11,0)-1,MATCH(BB$1,'[1]End - Use Prices'!$C$7:$AL$7,0))</f>
        <v>31.25</v>
      </c>
      <c r="BC143" s="41">
        <f>INDEX('[1]End - Use Prices'!$C$6:$AL$89,MATCH($C143,'[1]End - Use Prices'!$A$6:$A$89,0)+MATCH($D143,'[1]End - Use Prices'!$B$9:$B$11,0)-1,MATCH(BC$1,'[1]End - Use Prices'!$C$7:$AL$7,0))</f>
        <v>31.21</v>
      </c>
      <c r="BD143" s="41">
        <f>INDEX('[1]End - Use Prices'!$C$6:$AL$89,MATCH($C143,'[1]End - Use Prices'!$A$6:$A$89,0)+MATCH($D143,'[1]End - Use Prices'!$B$9:$B$11,0)-1,MATCH(BD$1,'[1]End - Use Prices'!$C$7:$AL$7,0))</f>
        <v>31.15</v>
      </c>
      <c r="BE143" s="41">
        <f>INDEX('[1]End - Use Prices'!$C$6:$AL$89,MATCH($C143,'[1]End - Use Prices'!$A$6:$A$89,0)+MATCH($D143,'[1]End - Use Prices'!$B$9:$B$11,0)-1,MATCH(BE$1,'[1]End - Use Prices'!$C$7:$AL$7,0))</f>
        <v>31.06</v>
      </c>
      <c r="BF143" s="41">
        <f>INDEX('[1]End - Use Prices'!$C$6:$AL$89,MATCH($C143,'[1]End - Use Prices'!$A$6:$A$89,0)+MATCH($D143,'[1]End - Use Prices'!$B$9:$B$11,0)-1,MATCH(BF$1,'[1]End - Use Prices'!$C$7:$AL$7,0))</f>
        <v>30.98</v>
      </c>
      <c r="BG143" s="41">
        <f>INDEX('[1]End - Use Prices'!$C$6:$AL$89,MATCH($C143,'[1]End - Use Prices'!$A$6:$A$89,0)+MATCH($D143,'[1]End - Use Prices'!$B$9:$B$11,0)-1,MATCH(BG$1,'[1]End - Use Prices'!$C$7:$AL$7,0))</f>
        <v>30.88</v>
      </c>
      <c r="BR143" s="39"/>
      <c r="BS143" s="39"/>
      <c r="BT143" s="39"/>
      <c r="BU143" s="39"/>
      <c r="BV143" s="39"/>
      <c r="BW143" s="39"/>
      <c r="BX143" s="39"/>
      <c r="BY143" s="39"/>
      <c r="BZ143" s="39"/>
      <c r="CA143" s="39"/>
    </row>
    <row r="144" spans="1:79" x14ac:dyDescent="0.25">
      <c r="A144" s="5"/>
      <c r="B144" s="3"/>
      <c r="C144" s="25" t="s">
        <v>61</v>
      </c>
      <c r="D144" s="25" t="s">
        <v>280</v>
      </c>
      <c r="E144" s="25" t="s">
        <v>282</v>
      </c>
      <c r="F144" s="67" t="s">
        <v>279</v>
      </c>
      <c r="G144" s="53">
        <f t="shared" si="18"/>
        <v>28.98</v>
      </c>
      <c r="H144" s="34">
        <f t="shared" si="23"/>
        <v>28.98</v>
      </c>
      <c r="I144" s="34">
        <f t="shared" si="23"/>
        <v>29.71</v>
      </c>
      <c r="J144" s="34">
        <f t="shared" si="23"/>
        <v>29.49</v>
      </c>
      <c r="K144" s="34">
        <f t="shared" si="23"/>
        <v>41.92</v>
      </c>
      <c r="L144" s="34">
        <f t="shared" si="23"/>
        <v>36</v>
      </c>
      <c r="M144" s="34">
        <f t="shared" si="23"/>
        <v>35.03</v>
      </c>
      <c r="N144" s="34">
        <f t="shared" si="23"/>
        <v>34.64</v>
      </c>
      <c r="O144" s="34">
        <f t="shared" si="23"/>
        <v>34.14</v>
      </c>
      <c r="P144" s="53">
        <f t="shared" si="22"/>
        <v>34.14</v>
      </c>
      <c r="Q144" s="53">
        <f t="shared" si="22"/>
        <v>34.14</v>
      </c>
      <c r="R144" s="38"/>
      <c r="X144" s="41">
        <f>INDEX('[1]End - Use Prices'!$C$6:$AL$89,MATCH($C144,'[1]End - Use Prices'!$A$6:$A$89,0)+MATCH($D144,'[1]End - Use Prices'!$B$9:$B$11,0)-1,MATCH(X$1,'[1]End - Use Prices'!$C$7:$AL$7,0))</f>
        <v>28.98</v>
      </c>
      <c r="Y144" s="41">
        <f>INDEX('[1]End - Use Prices'!$C$6:$AL$89,MATCH($C144,'[1]End - Use Prices'!$A$6:$A$89,0)+MATCH($D144,'[1]End - Use Prices'!$B$9:$B$11,0)-1,MATCH(Y$1,'[1]End - Use Prices'!$C$7:$AL$7,0))</f>
        <v>28.54</v>
      </c>
      <c r="Z144" s="41">
        <f>INDEX('[1]End - Use Prices'!$C$6:$AL$89,MATCH($C144,'[1]End - Use Prices'!$A$6:$A$89,0)+MATCH($D144,'[1]End - Use Prices'!$B$9:$B$11,0)-1,MATCH(Z$1,'[1]End - Use Prices'!$C$7:$AL$7,0))</f>
        <v>29.02</v>
      </c>
      <c r="AA144" s="41">
        <f>INDEX('[1]End - Use Prices'!$C$6:$AL$89,MATCH($C144,'[1]End - Use Prices'!$A$6:$A$89,0)+MATCH($D144,'[1]End - Use Prices'!$B$9:$B$11,0)-1,MATCH(AA$1,'[1]End - Use Prices'!$C$7:$AL$7,0))</f>
        <v>34.479999999999997</v>
      </c>
      <c r="AB144" s="41">
        <f>INDEX('[1]End - Use Prices'!$C$6:$AL$89,MATCH($C144,'[1]End - Use Prices'!$A$6:$A$89,0)+MATCH($D144,'[1]End - Use Prices'!$B$9:$B$11,0)-1,MATCH(AB$1,'[1]End - Use Prices'!$C$7:$AL$7,0))</f>
        <v>25.41</v>
      </c>
      <c r="AC144" s="41">
        <f>INDEX('[1]End - Use Prices'!$C$6:$AL$89,MATCH($C144,'[1]End - Use Prices'!$A$6:$A$89,0)+MATCH($D144,'[1]End - Use Prices'!$B$9:$B$11,0)-1,MATCH(AC$1,'[1]End - Use Prices'!$C$7:$AL$7,0))</f>
        <v>29.71</v>
      </c>
      <c r="AD144" s="41">
        <f>INDEX('[1]End - Use Prices'!$C$6:$AL$89,MATCH($C144,'[1]End - Use Prices'!$A$6:$A$89,0)+MATCH($D144,'[1]End - Use Prices'!$B$9:$B$11,0)-1,MATCH(AD$1,'[1]End - Use Prices'!$C$7:$AL$7,0))</f>
        <v>34.4</v>
      </c>
      <c r="AE144" s="41">
        <f>INDEX('[1]End - Use Prices'!$C$6:$AL$89,MATCH($C144,'[1]End - Use Prices'!$A$6:$A$89,0)+MATCH($D144,'[1]End - Use Prices'!$B$9:$B$11,0)-1,MATCH(AE$1,'[1]End - Use Prices'!$C$7:$AL$7,0))</f>
        <v>35.71</v>
      </c>
      <c r="AF144" s="41">
        <f>INDEX('[1]End - Use Prices'!$C$6:$AL$89,MATCH($C144,'[1]End - Use Prices'!$A$6:$A$89,0)+MATCH($D144,'[1]End - Use Prices'!$B$9:$B$11,0)-1,MATCH(AF$1,'[1]End - Use Prices'!$C$7:$AL$7,0))</f>
        <v>35.47</v>
      </c>
      <c r="AG144" s="41">
        <f>INDEX('[1]End - Use Prices'!$C$6:$AL$89,MATCH($C144,'[1]End - Use Prices'!$A$6:$A$89,0)+MATCH($D144,'[1]End - Use Prices'!$B$9:$B$11,0)-1,MATCH(AG$1,'[1]End - Use Prices'!$C$7:$AL$7,0))</f>
        <v>35.78</v>
      </c>
      <c r="AH144" s="41">
        <f>INDEX('[1]End - Use Prices'!$C$6:$AL$89,MATCH($C144,'[1]End - Use Prices'!$A$6:$A$89,0)+MATCH($D144,'[1]End - Use Prices'!$B$9:$B$11,0)-1,MATCH(AH$1,'[1]End - Use Prices'!$C$7:$AL$7,0))</f>
        <v>29.49</v>
      </c>
      <c r="AI144" s="41">
        <f>INDEX('[1]End - Use Prices'!$C$6:$AL$89,MATCH($C144,'[1]End - Use Prices'!$A$6:$A$89,0)+MATCH($D144,'[1]End - Use Prices'!$B$9:$B$11,0)-1,MATCH(AI$1,'[1]End - Use Prices'!$C$7:$AL$7,0))</f>
        <v>26.92</v>
      </c>
      <c r="AJ144" s="41">
        <f>INDEX('[1]End - Use Prices'!$C$6:$AL$89,MATCH($C144,'[1]End - Use Prices'!$A$6:$A$89,0)+MATCH($D144,'[1]End - Use Prices'!$B$9:$B$11,0)-1,MATCH(AJ$1,'[1]End - Use Prices'!$C$7:$AL$7,0))</f>
        <v>29.45</v>
      </c>
      <c r="AK144" s="41">
        <f>INDEX('[1]End - Use Prices'!$C$6:$AL$89,MATCH($C144,'[1]End - Use Prices'!$A$6:$A$89,0)+MATCH($D144,'[1]End - Use Prices'!$B$9:$B$11,0)-1,MATCH(AK$1,'[1]End - Use Prices'!$C$7:$AL$7,0))</f>
        <v>33.119999999999997</v>
      </c>
      <c r="AL144" s="41">
        <f>INDEX('[1]End - Use Prices'!$C$6:$AL$89,MATCH($C144,'[1]End - Use Prices'!$A$6:$A$89,0)+MATCH($D144,'[1]End - Use Prices'!$B$9:$B$11,0)-1,MATCH(AL$1,'[1]End - Use Prices'!$C$7:$AL$7,0))</f>
        <v>38.61</v>
      </c>
      <c r="AM144" s="41">
        <f>INDEX('[1]End - Use Prices'!$C$6:$AL$89,MATCH($C144,'[1]End - Use Prices'!$A$6:$A$89,0)+MATCH($D144,'[1]End - Use Prices'!$B$9:$B$11,0)-1,MATCH(AM$1,'[1]End - Use Prices'!$C$7:$AL$7,0))</f>
        <v>41.92</v>
      </c>
      <c r="AN144" s="41">
        <f>INDEX('[1]End - Use Prices'!$C$6:$AL$89,MATCH($C144,'[1]End - Use Prices'!$A$6:$A$89,0)+MATCH($D144,'[1]End - Use Prices'!$B$9:$B$11,0)-1,MATCH(AN$1,'[1]End - Use Prices'!$C$7:$AL$7,0))</f>
        <v>38.94</v>
      </c>
      <c r="AO144" s="41">
        <f>INDEX('[1]End - Use Prices'!$C$6:$AL$89,MATCH($C144,'[1]End - Use Prices'!$A$6:$A$89,0)+MATCH($D144,'[1]End - Use Prices'!$B$9:$B$11,0)-1,MATCH(AO$1,'[1]End - Use Prices'!$C$7:$AL$7,0))</f>
        <v>36.979999999999997</v>
      </c>
      <c r="AP144" s="41">
        <f>INDEX('[1]End - Use Prices'!$C$6:$AL$89,MATCH($C144,'[1]End - Use Prices'!$A$6:$A$89,0)+MATCH($D144,'[1]End - Use Prices'!$B$9:$B$11,0)-1,MATCH(AP$1,'[1]End - Use Prices'!$C$7:$AL$7,0))</f>
        <v>36.39</v>
      </c>
      <c r="AQ144" s="41">
        <f>INDEX('[1]End - Use Prices'!$C$6:$AL$89,MATCH($C144,'[1]End - Use Prices'!$A$6:$A$89,0)+MATCH($D144,'[1]End - Use Prices'!$B$9:$B$11,0)-1,MATCH(AQ$1,'[1]End - Use Prices'!$C$7:$AL$7,0))</f>
        <v>36.08</v>
      </c>
      <c r="AR144" s="41">
        <f>INDEX('[1]End - Use Prices'!$C$6:$AL$89,MATCH($C144,'[1]End - Use Prices'!$A$6:$A$89,0)+MATCH($D144,'[1]End - Use Prices'!$B$9:$B$11,0)-1,MATCH(AR$1,'[1]End - Use Prices'!$C$7:$AL$7,0))</f>
        <v>36</v>
      </c>
      <c r="AS144" s="41">
        <f>INDEX('[1]End - Use Prices'!$C$6:$AL$89,MATCH($C144,'[1]End - Use Prices'!$A$6:$A$89,0)+MATCH($D144,'[1]End - Use Prices'!$B$9:$B$11,0)-1,MATCH(AS$1,'[1]End - Use Prices'!$C$7:$AL$7,0))</f>
        <v>35.89</v>
      </c>
      <c r="AT144" s="41">
        <f>INDEX('[1]End - Use Prices'!$C$6:$AL$89,MATCH($C144,'[1]End - Use Prices'!$A$6:$A$89,0)+MATCH($D144,'[1]End - Use Prices'!$B$9:$B$11,0)-1,MATCH(AT$1,'[1]End - Use Prices'!$C$7:$AL$7,0))</f>
        <v>35.68</v>
      </c>
      <c r="AU144" s="41">
        <f>INDEX('[1]End - Use Prices'!$C$6:$AL$89,MATCH($C144,'[1]End - Use Prices'!$A$6:$A$89,0)+MATCH($D144,'[1]End - Use Prices'!$B$9:$B$11,0)-1,MATCH(AU$1,'[1]End - Use Prices'!$C$7:$AL$7,0))</f>
        <v>35.44</v>
      </c>
      <c r="AV144" s="41">
        <f>INDEX('[1]End - Use Prices'!$C$6:$AL$89,MATCH($C144,'[1]End - Use Prices'!$A$6:$A$89,0)+MATCH($D144,'[1]End - Use Prices'!$B$9:$B$11,0)-1,MATCH(AV$1,'[1]End - Use Prices'!$C$7:$AL$7,0))</f>
        <v>35.229999999999997</v>
      </c>
      <c r="AW144" s="41">
        <f>INDEX('[1]End - Use Prices'!$C$6:$AL$89,MATCH($C144,'[1]End - Use Prices'!$A$6:$A$89,0)+MATCH($D144,'[1]End - Use Prices'!$B$9:$B$11,0)-1,MATCH(AW$1,'[1]End - Use Prices'!$C$7:$AL$7,0))</f>
        <v>35.03</v>
      </c>
      <c r="AX144" s="41">
        <f>INDEX('[1]End - Use Prices'!$C$6:$AL$89,MATCH($C144,'[1]End - Use Prices'!$A$6:$A$89,0)+MATCH($D144,'[1]End - Use Prices'!$B$9:$B$11,0)-1,MATCH(AX$1,'[1]End - Use Prices'!$C$7:$AL$7,0))</f>
        <v>34.89</v>
      </c>
      <c r="AY144" s="41">
        <f>INDEX('[1]End - Use Prices'!$C$6:$AL$89,MATCH($C144,'[1]End - Use Prices'!$A$6:$A$89,0)+MATCH($D144,'[1]End - Use Prices'!$B$9:$B$11,0)-1,MATCH(AY$1,'[1]End - Use Prices'!$C$7:$AL$7,0))</f>
        <v>34.79</v>
      </c>
      <c r="AZ144" s="41">
        <f>INDEX('[1]End - Use Prices'!$C$6:$AL$89,MATCH($C144,'[1]End - Use Prices'!$A$6:$A$89,0)+MATCH($D144,'[1]End - Use Prices'!$B$9:$B$11,0)-1,MATCH(AZ$1,'[1]End - Use Prices'!$C$7:$AL$7,0))</f>
        <v>34.729999999999997</v>
      </c>
      <c r="BA144" s="41">
        <f>INDEX('[1]End - Use Prices'!$C$6:$AL$89,MATCH($C144,'[1]End - Use Prices'!$A$6:$A$89,0)+MATCH($D144,'[1]End - Use Prices'!$B$9:$B$11,0)-1,MATCH(BA$1,'[1]End - Use Prices'!$C$7:$AL$7,0))</f>
        <v>34.69</v>
      </c>
      <c r="BB144" s="41">
        <f>INDEX('[1]End - Use Prices'!$C$6:$AL$89,MATCH($C144,'[1]End - Use Prices'!$A$6:$A$89,0)+MATCH($D144,'[1]End - Use Prices'!$B$9:$B$11,0)-1,MATCH(BB$1,'[1]End - Use Prices'!$C$7:$AL$7,0))</f>
        <v>34.64</v>
      </c>
      <c r="BC144" s="41">
        <f>INDEX('[1]End - Use Prices'!$C$6:$AL$89,MATCH($C144,'[1]End - Use Prices'!$A$6:$A$89,0)+MATCH($D144,'[1]End - Use Prices'!$B$9:$B$11,0)-1,MATCH(BC$1,'[1]End - Use Prices'!$C$7:$AL$7,0))</f>
        <v>34.58</v>
      </c>
      <c r="BD144" s="41">
        <f>INDEX('[1]End - Use Prices'!$C$6:$AL$89,MATCH($C144,'[1]End - Use Prices'!$A$6:$A$89,0)+MATCH($D144,'[1]End - Use Prices'!$B$9:$B$11,0)-1,MATCH(BD$1,'[1]End - Use Prices'!$C$7:$AL$7,0))</f>
        <v>34.49</v>
      </c>
      <c r="BE144" s="41">
        <f>INDEX('[1]End - Use Prices'!$C$6:$AL$89,MATCH($C144,'[1]End - Use Prices'!$A$6:$A$89,0)+MATCH($D144,'[1]End - Use Prices'!$B$9:$B$11,0)-1,MATCH(BE$1,'[1]End - Use Prices'!$C$7:$AL$7,0))</f>
        <v>34.380000000000003</v>
      </c>
      <c r="BF144" s="41">
        <f>INDEX('[1]End - Use Prices'!$C$6:$AL$89,MATCH($C144,'[1]End - Use Prices'!$A$6:$A$89,0)+MATCH($D144,'[1]End - Use Prices'!$B$9:$B$11,0)-1,MATCH(BF$1,'[1]End - Use Prices'!$C$7:$AL$7,0))</f>
        <v>34.270000000000003</v>
      </c>
      <c r="BG144" s="41">
        <f>INDEX('[1]End - Use Prices'!$C$6:$AL$89,MATCH($C144,'[1]End - Use Prices'!$A$6:$A$89,0)+MATCH($D144,'[1]End - Use Prices'!$B$9:$B$11,0)-1,MATCH(BG$1,'[1]End - Use Prices'!$C$7:$AL$7,0))</f>
        <v>34.14</v>
      </c>
      <c r="BR144" s="39"/>
      <c r="BS144" s="39"/>
      <c r="BT144" s="39"/>
      <c r="BU144" s="39"/>
      <c r="BV144" s="39"/>
      <c r="BW144" s="39"/>
      <c r="BX144" s="39"/>
      <c r="BY144" s="39"/>
      <c r="BZ144" s="39"/>
      <c r="CA144" s="39"/>
    </row>
    <row r="145" spans="1:79" x14ac:dyDescent="0.25">
      <c r="A145" s="5"/>
      <c r="B145" s="3"/>
      <c r="C145" s="25" t="s">
        <v>93</v>
      </c>
      <c r="D145" s="25" t="s">
        <v>280</v>
      </c>
      <c r="E145" s="25" t="s">
        <v>282</v>
      </c>
      <c r="F145" s="67" t="s">
        <v>279</v>
      </c>
      <c r="G145" s="53">
        <f t="shared" si="18"/>
        <v>29.08</v>
      </c>
      <c r="H145" s="34">
        <f t="shared" si="23"/>
        <v>29.08</v>
      </c>
      <c r="I145" s="34">
        <f t="shared" si="23"/>
        <v>31.56</v>
      </c>
      <c r="J145" s="34">
        <f t="shared" si="23"/>
        <v>29.89</v>
      </c>
      <c r="K145" s="34">
        <f t="shared" si="23"/>
        <v>37.340000000000003</v>
      </c>
      <c r="L145" s="34">
        <f t="shared" si="23"/>
        <v>32.57</v>
      </c>
      <c r="M145" s="34">
        <f t="shared" si="23"/>
        <v>32.04</v>
      </c>
      <c r="N145" s="34">
        <f t="shared" si="23"/>
        <v>32.03</v>
      </c>
      <c r="O145" s="34">
        <f t="shared" si="23"/>
        <v>31.87</v>
      </c>
      <c r="P145" s="53">
        <f t="shared" si="22"/>
        <v>31.87</v>
      </c>
      <c r="Q145" s="53">
        <f t="shared" si="22"/>
        <v>31.87</v>
      </c>
      <c r="R145" s="38"/>
      <c r="X145" s="41">
        <f>INDEX('[1]End - Use Prices'!$C$6:$AL$89,MATCH($C145,'[1]End - Use Prices'!$A$6:$A$89,0)+MATCH($D145,'[1]End - Use Prices'!$B$9:$B$11,0)-1,MATCH(X$1,'[1]End - Use Prices'!$C$7:$AL$7,0))</f>
        <v>29.08</v>
      </c>
      <c r="Y145" s="41">
        <f>INDEX('[1]End - Use Prices'!$C$6:$AL$89,MATCH($C145,'[1]End - Use Prices'!$A$6:$A$89,0)+MATCH($D145,'[1]End - Use Prices'!$B$9:$B$11,0)-1,MATCH(Y$1,'[1]End - Use Prices'!$C$7:$AL$7,0))</f>
        <v>30.15</v>
      </c>
      <c r="Z145" s="41">
        <f>INDEX('[1]End - Use Prices'!$C$6:$AL$89,MATCH($C145,'[1]End - Use Prices'!$A$6:$A$89,0)+MATCH($D145,'[1]End - Use Prices'!$B$9:$B$11,0)-1,MATCH(Z$1,'[1]End - Use Prices'!$C$7:$AL$7,0))</f>
        <v>31.73</v>
      </c>
      <c r="AA145" s="41">
        <f>INDEX('[1]End - Use Prices'!$C$6:$AL$89,MATCH($C145,'[1]End - Use Prices'!$A$6:$A$89,0)+MATCH($D145,'[1]End - Use Prices'!$B$9:$B$11,0)-1,MATCH(AA$1,'[1]End - Use Prices'!$C$7:$AL$7,0))</f>
        <v>37.46</v>
      </c>
      <c r="AB145" s="41">
        <f>INDEX('[1]End - Use Prices'!$C$6:$AL$89,MATCH($C145,'[1]End - Use Prices'!$A$6:$A$89,0)+MATCH($D145,'[1]End - Use Prices'!$B$9:$B$11,0)-1,MATCH(AB$1,'[1]End - Use Prices'!$C$7:$AL$7,0))</f>
        <v>28.89</v>
      </c>
      <c r="AC145" s="41">
        <f>INDEX('[1]End - Use Prices'!$C$6:$AL$89,MATCH($C145,'[1]End - Use Prices'!$A$6:$A$89,0)+MATCH($D145,'[1]End - Use Prices'!$B$9:$B$11,0)-1,MATCH(AC$1,'[1]End - Use Prices'!$C$7:$AL$7,0))</f>
        <v>31.56</v>
      </c>
      <c r="AD145" s="41">
        <f>INDEX('[1]End - Use Prices'!$C$6:$AL$89,MATCH($C145,'[1]End - Use Prices'!$A$6:$A$89,0)+MATCH($D145,'[1]End - Use Prices'!$B$9:$B$11,0)-1,MATCH(AD$1,'[1]End - Use Prices'!$C$7:$AL$7,0))</f>
        <v>36.9</v>
      </c>
      <c r="AE145" s="41">
        <f>INDEX('[1]End - Use Prices'!$C$6:$AL$89,MATCH($C145,'[1]End - Use Prices'!$A$6:$A$89,0)+MATCH($D145,'[1]End - Use Prices'!$B$9:$B$11,0)-1,MATCH(AE$1,'[1]End - Use Prices'!$C$7:$AL$7,0))</f>
        <v>38.08</v>
      </c>
      <c r="AF145" s="41">
        <f>INDEX('[1]End - Use Prices'!$C$6:$AL$89,MATCH($C145,'[1]End - Use Prices'!$A$6:$A$89,0)+MATCH($D145,'[1]End - Use Prices'!$B$9:$B$11,0)-1,MATCH(AF$1,'[1]End - Use Prices'!$C$7:$AL$7,0))</f>
        <v>36.86</v>
      </c>
      <c r="AG145" s="41">
        <f>INDEX('[1]End - Use Prices'!$C$6:$AL$89,MATCH($C145,'[1]End - Use Prices'!$A$6:$A$89,0)+MATCH($D145,'[1]End - Use Prices'!$B$9:$B$11,0)-1,MATCH(AG$1,'[1]End - Use Prices'!$C$7:$AL$7,0))</f>
        <v>37.01</v>
      </c>
      <c r="AH145" s="41">
        <f>INDEX('[1]End - Use Prices'!$C$6:$AL$89,MATCH($C145,'[1]End - Use Prices'!$A$6:$A$89,0)+MATCH($D145,'[1]End - Use Prices'!$B$9:$B$11,0)-1,MATCH(AH$1,'[1]End - Use Prices'!$C$7:$AL$7,0))</f>
        <v>29.89</v>
      </c>
      <c r="AI145" s="41">
        <f>INDEX('[1]End - Use Prices'!$C$6:$AL$89,MATCH($C145,'[1]End - Use Prices'!$A$6:$A$89,0)+MATCH($D145,'[1]End - Use Prices'!$B$9:$B$11,0)-1,MATCH(AI$1,'[1]End - Use Prices'!$C$7:$AL$7,0))</f>
        <v>25.86</v>
      </c>
      <c r="AJ145" s="41">
        <f>INDEX('[1]End - Use Prices'!$C$6:$AL$89,MATCH($C145,'[1]End - Use Prices'!$A$6:$A$89,0)+MATCH($D145,'[1]End - Use Prices'!$B$9:$B$11,0)-1,MATCH(AJ$1,'[1]End - Use Prices'!$C$7:$AL$7,0))</f>
        <v>27.9</v>
      </c>
      <c r="AK145" s="41">
        <f>INDEX('[1]End - Use Prices'!$C$6:$AL$89,MATCH($C145,'[1]End - Use Prices'!$A$6:$A$89,0)+MATCH($D145,'[1]End - Use Prices'!$B$9:$B$11,0)-1,MATCH(AK$1,'[1]End - Use Prices'!$C$7:$AL$7,0))</f>
        <v>31.56</v>
      </c>
      <c r="AL145" s="41">
        <f>INDEX('[1]End - Use Prices'!$C$6:$AL$89,MATCH($C145,'[1]End - Use Prices'!$A$6:$A$89,0)+MATCH($D145,'[1]End - Use Prices'!$B$9:$B$11,0)-1,MATCH(AL$1,'[1]End - Use Prices'!$C$7:$AL$7,0))</f>
        <v>33.29</v>
      </c>
      <c r="AM145" s="41">
        <f>INDEX('[1]End - Use Prices'!$C$6:$AL$89,MATCH($C145,'[1]End - Use Prices'!$A$6:$A$89,0)+MATCH($D145,'[1]End - Use Prices'!$B$9:$B$11,0)-1,MATCH(AM$1,'[1]End - Use Prices'!$C$7:$AL$7,0))</f>
        <v>37.340000000000003</v>
      </c>
      <c r="AN145" s="41">
        <f>INDEX('[1]End - Use Prices'!$C$6:$AL$89,MATCH($C145,'[1]End - Use Prices'!$A$6:$A$89,0)+MATCH($D145,'[1]End - Use Prices'!$B$9:$B$11,0)-1,MATCH(AN$1,'[1]End - Use Prices'!$C$7:$AL$7,0))</f>
        <v>34.270000000000003</v>
      </c>
      <c r="AO145" s="41">
        <f>INDEX('[1]End - Use Prices'!$C$6:$AL$89,MATCH($C145,'[1]End - Use Prices'!$A$6:$A$89,0)+MATCH($D145,'[1]End - Use Prices'!$B$9:$B$11,0)-1,MATCH(AO$1,'[1]End - Use Prices'!$C$7:$AL$7,0))</f>
        <v>32.229999999999997</v>
      </c>
      <c r="AP145" s="41">
        <f>INDEX('[1]End - Use Prices'!$C$6:$AL$89,MATCH($C145,'[1]End - Use Prices'!$A$6:$A$89,0)+MATCH($D145,'[1]End - Use Prices'!$B$9:$B$11,0)-1,MATCH(AP$1,'[1]End - Use Prices'!$C$7:$AL$7,0))</f>
        <v>32.729999999999997</v>
      </c>
      <c r="AQ145" s="41">
        <f>INDEX('[1]End - Use Prices'!$C$6:$AL$89,MATCH($C145,'[1]End - Use Prices'!$A$6:$A$89,0)+MATCH($D145,'[1]End - Use Prices'!$B$9:$B$11,0)-1,MATCH(AQ$1,'[1]End - Use Prices'!$C$7:$AL$7,0))</f>
        <v>32.54</v>
      </c>
      <c r="AR145" s="41">
        <f>INDEX('[1]End - Use Prices'!$C$6:$AL$89,MATCH($C145,'[1]End - Use Prices'!$A$6:$A$89,0)+MATCH($D145,'[1]End - Use Prices'!$B$9:$B$11,0)-1,MATCH(AR$1,'[1]End - Use Prices'!$C$7:$AL$7,0))</f>
        <v>32.57</v>
      </c>
      <c r="AS145" s="41">
        <f>INDEX('[1]End - Use Prices'!$C$6:$AL$89,MATCH($C145,'[1]End - Use Prices'!$A$6:$A$89,0)+MATCH($D145,'[1]End - Use Prices'!$B$9:$B$11,0)-1,MATCH(AS$1,'[1]End - Use Prices'!$C$7:$AL$7,0))</f>
        <v>32.56</v>
      </c>
      <c r="AT145" s="41">
        <f>INDEX('[1]End - Use Prices'!$C$6:$AL$89,MATCH($C145,'[1]End - Use Prices'!$A$6:$A$89,0)+MATCH($D145,'[1]End - Use Prices'!$B$9:$B$11,0)-1,MATCH(AT$1,'[1]End - Use Prices'!$C$7:$AL$7,0))</f>
        <v>32.44</v>
      </c>
      <c r="AU145" s="41">
        <f>INDEX('[1]End - Use Prices'!$C$6:$AL$89,MATCH($C145,'[1]End - Use Prices'!$A$6:$A$89,0)+MATCH($D145,'[1]End - Use Prices'!$B$9:$B$11,0)-1,MATCH(AU$1,'[1]End - Use Prices'!$C$7:$AL$7,0))</f>
        <v>32.29</v>
      </c>
      <c r="AV145" s="41">
        <f>INDEX('[1]End - Use Prices'!$C$6:$AL$89,MATCH($C145,'[1]End - Use Prices'!$A$6:$A$89,0)+MATCH($D145,'[1]End - Use Prices'!$B$9:$B$11,0)-1,MATCH(AV$1,'[1]End - Use Prices'!$C$7:$AL$7,0))</f>
        <v>32.17</v>
      </c>
      <c r="AW145" s="41">
        <f>INDEX('[1]End - Use Prices'!$C$6:$AL$89,MATCH($C145,'[1]End - Use Prices'!$A$6:$A$89,0)+MATCH($D145,'[1]End - Use Prices'!$B$9:$B$11,0)-1,MATCH(AW$1,'[1]End - Use Prices'!$C$7:$AL$7,0))</f>
        <v>32.04</v>
      </c>
      <c r="AX145" s="41">
        <f>INDEX('[1]End - Use Prices'!$C$6:$AL$89,MATCH($C145,'[1]End - Use Prices'!$A$6:$A$89,0)+MATCH($D145,'[1]End - Use Prices'!$B$9:$B$11,0)-1,MATCH(AX$1,'[1]End - Use Prices'!$C$7:$AL$7,0))</f>
        <v>31.98</v>
      </c>
      <c r="AY145" s="41">
        <f>INDEX('[1]End - Use Prices'!$C$6:$AL$89,MATCH($C145,'[1]End - Use Prices'!$A$6:$A$89,0)+MATCH($D145,'[1]End - Use Prices'!$B$9:$B$11,0)-1,MATCH(AY$1,'[1]End - Use Prices'!$C$7:$AL$7,0))</f>
        <v>31.96</v>
      </c>
      <c r="AZ145" s="41">
        <f>INDEX('[1]End - Use Prices'!$C$6:$AL$89,MATCH($C145,'[1]End - Use Prices'!$A$6:$A$89,0)+MATCH($D145,'[1]End - Use Prices'!$B$9:$B$11,0)-1,MATCH(AZ$1,'[1]End - Use Prices'!$C$7:$AL$7,0))</f>
        <v>31.97</v>
      </c>
      <c r="BA145" s="41">
        <f>INDEX('[1]End - Use Prices'!$C$6:$AL$89,MATCH($C145,'[1]End - Use Prices'!$A$6:$A$89,0)+MATCH($D145,'[1]End - Use Prices'!$B$9:$B$11,0)-1,MATCH(BA$1,'[1]End - Use Prices'!$C$7:$AL$7,0))</f>
        <v>32.01</v>
      </c>
      <c r="BB145" s="41">
        <f>INDEX('[1]End - Use Prices'!$C$6:$AL$89,MATCH($C145,'[1]End - Use Prices'!$A$6:$A$89,0)+MATCH($D145,'[1]End - Use Prices'!$B$9:$B$11,0)-1,MATCH(BB$1,'[1]End - Use Prices'!$C$7:$AL$7,0))</f>
        <v>32.03</v>
      </c>
      <c r="BC145" s="41">
        <f>INDEX('[1]End - Use Prices'!$C$6:$AL$89,MATCH($C145,'[1]End - Use Prices'!$A$6:$A$89,0)+MATCH($D145,'[1]End - Use Prices'!$B$9:$B$11,0)-1,MATCH(BC$1,'[1]End - Use Prices'!$C$7:$AL$7,0))</f>
        <v>32.03</v>
      </c>
      <c r="BD145" s="41">
        <f>INDEX('[1]End - Use Prices'!$C$6:$AL$89,MATCH($C145,'[1]End - Use Prices'!$A$6:$A$89,0)+MATCH($D145,'[1]End - Use Prices'!$B$9:$B$11,0)-1,MATCH(BD$1,'[1]End - Use Prices'!$C$7:$AL$7,0))</f>
        <v>32.020000000000003</v>
      </c>
      <c r="BE145" s="41">
        <f>INDEX('[1]End - Use Prices'!$C$6:$AL$89,MATCH($C145,'[1]End - Use Prices'!$A$6:$A$89,0)+MATCH($D145,'[1]End - Use Prices'!$B$9:$B$11,0)-1,MATCH(BE$1,'[1]End - Use Prices'!$C$7:$AL$7,0))</f>
        <v>31.97</v>
      </c>
      <c r="BF145" s="41">
        <f>INDEX('[1]End - Use Prices'!$C$6:$AL$89,MATCH($C145,'[1]End - Use Prices'!$A$6:$A$89,0)+MATCH($D145,'[1]End - Use Prices'!$B$9:$B$11,0)-1,MATCH(BF$1,'[1]End - Use Prices'!$C$7:$AL$7,0))</f>
        <v>31.93</v>
      </c>
      <c r="BG145" s="41">
        <f>INDEX('[1]End - Use Prices'!$C$6:$AL$89,MATCH($C145,'[1]End - Use Prices'!$A$6:$A$89,0)+MATCH($D145,'[1]End - Use Prices'!$B$9:$B$11,0)-1,MATCH(BG$1,'[1]End - Use Prices'!$C$7:$AL$7,0))</f>
        <v>31.87</v>
      </c>
      <c r="BR145" s="39"/>
      <c r="BS145" s="39"/>
      <c r="BT145" s="39"/>
      <c r="BU145" s="39"/>
      <c r="BV145" s="39"/>
      <c r="BW145" s="39"/>
      <c r="BX145" s="39"/>
      <c r="BY145" s="39"/>
      <c r="BZ145" s="39"/>
      <c r="CA145" s="39"/>
    </row>
    <row r="146" spans="1:79" x14ac:dyDescent="0.25">
      <c r="A146" s="5"/>
      <c r="B146" s="3"/>
      <c r="C146" s="25" t="s">
        <v>95</v>
      </c>
      <c r="D146" s="25" t="s">
        <v>280</v>
      </c>
      <c r="E146" s="25" t="s">
        <v>282</v>
      </c>
      <c r="F146" s="67" t="s">
        <v>279</v>
      </c>
      <c r="G146" s="53">
        <f t="shared" si="18"/>
        <v>26.74</v>
      </c>
      <c r="H146" s="34">
        <f t="shared" si="23"/>
        <v>26.74</v>
      </c>
      <c r="I146" s="34">
        <f t="shared" si="23"/>
        <v>28.81</v>
      </c>
      <c r="J146" s="34">
        <f t="shared" si="23"/>
        <v>28.29</v>
      </c>
      <c r="K146" s="34">
        <f t="shared" si="23"/>
        <v>36.4</v>
      </c>
      <c r="L146" s="34">
        <f t="shared" si="23"/>
        <v>31.63</v>
      </c>
      <c r="M146" s="34">
        <f t="shared" si="23"/>
        <v>31.1</v>
      </c>
      <c r="N146" s="34">
        <f t="shared" si="23"/>
        <v>31.09</v>
      </c>
      <c r="O146" s="34">
        <f t="shared" si="23"/>
        <v>30.93</v>
      </c>
      <c r="P146" s="53">
        <f t="shared" ref="P146:Q147" si="24">O146</f>
        <v>30.93</v>
      </c>
      <c r="Q146" s="53">
        <f t="shared" si="24"/>
        <v>30.93</v>
      </c>
      <c r="R146" s="38"/>
      <c r="X146" s="41">
        <f>INDEX('[1]End - Use Prices'!$C$6:$AL$89,MATCH($C146,'[1]End - Use Prices'!$A$6:$A$89,0)+MATCH($D146,'[1]End - Use Prices'!$B$9:$B$11,0)-1,MATCH(X$1,'[1]End - Use Prices'!$C$7:$AL$7,0))</f>
        <v>26.74</v>
      </c>
      <c r="Y146" s="41">
        <f>INDEX('[1]End - Use Prices'!$C$6:$AL$89,MATCH($C146,'[1]End - Use Prices'!$A$6:$A$89,0)+MATCH($D146,'[1]End - Use Prices'!$B$9:$B$11,0)-1,MATCH(Y$1,'[1]End - Use Prices'!$C$7:$AL$7,0))</f>
        <v>27.19</v>
      </c>
      <c r="Z146" s="41">
        <f>INDEX('[1]End - Use Prices'!$C$6:$AL$89,MATCH($C146,'[1]End - Use Prices'!$A$6:$A$89,0)+MATCH($D146,'[1]End - Use Prices'!$B$9:$B$11,0)-1,MATCH(Z$1,'[1]End - Use Prices'!$C$7:$AL$7,0))</f>
        <v>29.89</v>
      </c>
      <c r="AA146" s="41">
        <f>INDEX('[1]End - Use Prices'!$C$6:$AL$89,MATCH($C146,'[1]End - Use Prices'!$A$6:$A$89,0)+MATCH($D146,'[1]End - Use Prices'!$B$9:$B$11,0)-1,MATCH(AA$1,'[1]End - Use Prices'!$C$7:$AL$7,0))</f>
        <v>36.56</v>
      </c>
      <c r="AB146" s="41">
        <f>INDEX('[1]End - Use Prices'!$C$6:$AL$89,MATCH($C146,'[1]End - Use Prices'!$A$6:$A$89,0)+MATCH($D146,'[1]End - Use Prices'!$B$9:$B$11,0)-1,MATCH(AB$1,'[1]End - Use Prices'!$C$7:$AL$7,0))</f>
        <v>26.59</v>
      </c>
      <c r="AC146" s="41">
        <f>INDEX('[1]End - Use Prices'!$C$6:$AL$89,MATCH($C146,'[1]End - Use Prices'!$A$6:$A$89,0)+MATCH($D146,'[1]End - Use Prices'!$B$9:$B$11,0)-1,MATCH(AC$1,'[1]End - Use Prices'!$C$7:$AL$7,0))</f>
        <v>28.81</v>
      </c>
      <c r="AD146" s="41">
        <f>INDEX('[1]End - Use Prices'!$C$6:$AL$89,MATCH($C146,'[1]End - Use Prices'!$A$6:$A$89,0)+MATCH($D146,'[1]End - Use Prices'!$B$9:$B$11,0)-1,MATCH(AD$1,'[1]End - Use Prices'!$C$7:$AL$7,0))</f>
        <v>34.630000000000003</v>
      </c>
      <c r="AE146" s="41">
        <f>INDEX('[1]End - Use Prices'!$C$6:$AL$89,MATCH($C146,'[1]End - Use Prices'!$A$6:$A$89,0)+MATCH($D146,'[1]End - Use Prices'!$B$9:$B$11,0)-1,MATCH(AE$1,'[1]End - Use Prices'!$C$7:$AL$7,0))</f>
        <v>34.79</v>
      </c>
      <c r="AF146" s="41">
        <f>INDEX('[1]End - Use Prices'!$C$6:$AL$89,MATCH($C146,'[1]End - Use Prices'!$A$6:$A$89,0)+MATCH($D146,'[1]End - Use Prices'!$B$9:$B$11,0)-1,MATCH(AF$1,'[1]End - Use Prices'!$C$7:$AL$7,0))</f>
        <v>33.89</v>
      </c>
      <c r="AG146" s="41">
        <f>INDEX('[1]End - Use Prices'!$C$6:$AL$89,MATCH($C146,'[1]End - Use Prices'!$A$6:$A$89,0)+MATCH($D146,'[1]End - Use Prices'!$B$9:$B$11,0)-1,MATCH(AG$1,'[1]End - Use Prices'!$C$7:$AL$7,0))</f>
        <v>36.409999999999997</v>
      </c>
      <c r="AH146" s="41">
        <f>INDEX('[1]End - Use Prices'!$C$6:$AL$89,MATCH($C146,'[1]End - Use Prices'!$A$6:$A$89,0)+MATCH($D146,'[1]End - Use Prices'!$B$9:$B$11,0)-1,MATCH(AH$1,'[1]End - Use Prices'!$C$7:$AL$7,0))</f>
        <v>28.29</v>
      </c>
      <c r="AI146" s="41">
        <f>INDEX('[1]End - Use Prices'!$C$6:$AL$89,MATCH($C146,'[1]End - Use Prices'!$A$6:$A$89,0)+MATCH($D146,'[1]End - Use Prices'!$B$9:$B$11,0)-1,MATCH(AI$1,'[1]End - Use Prices'!$C$7:$AL$7,0))</f>
        <v>24.92</v>
      </c>
      <c r="AJ146" s="41">
        <f>INDEX('[1]End - Use Prices'!$C$6:$AL$89,MATCH($C146,'[1]End - Use Prices'!$A$6:$A$89,0)+MATCH($D146,'[1]End - Use Prices'!$B$9:$B$11,0)-1,MATCH(AJ$1,'[1]End - Use Prices'!$C$7:$AL$7,0))</f>
        <v>27.54</v>
      </c>
      <c r="AK146" s="41">
        <f>INDEX('[1]End - Use Prices'!$C$6:$AL$89,MATCH($C146,'[1]End - Use Prices'!$A$6:$A$89,0)+MATCH($D146,'[1]End - Use Prices'!$B$9:$B$11,0)-1,MATCH(AK$1,'[1]End - Use Prices'!$C$7:$AL$7,0))</f>
        <v>30.62</v>
      </c>
      <c r="AL146" s="41">
        <f>INDEX('[1]End - Use Prices'!$C$6:$AL$89,MATCH($C146,'[1]End - Use Prices'!$A$6:$A$89,0)+MATCH($D146,'[1]End - Use Prices'!$B$9:$B$11,0)-1,MATCH(AL$1,'[1]End - Use Prices'!$C$7:$AL$7,0))</f>
        <v>32.35</v>
      </c>
      <c r="AM146" s="41">
        <f>INDEX('[1]End - Use Prices'!$C$6:$AL$89,MATCH($C146,'[1]End - Use Prices'!$A$6:$A$89,0)+MATCH($D146,'[1]End - Use Prices'!$B$9:$B$11,0)-1,MATCH(AM$1,'[1]End - Use Prices'!$C$7:$AL$7,0))</f>
        <v>36.4</v>
      </c>
      <c r="AN146" s="41">
        <f>INDEX('[1]End - Use Prices'!$C$6:$AL$89,MATCH($C146,'[1]End - Use Prices'!$A$6:$A$89,0)+MATCH($D146,'[1]End - Use Prices'!$B$9:$B$11,0)-1,MATCH(AN$1,'[1]End - Use Prices'!$C$7:$AL$7,0))</f>
        <v>33.33</v>
      </c>
      <c r="AO146" s="41">
        <f>INDEX('[1]End - Use Prices'!$C$6:$AL$89,MATCH($C146,'[1]End - Use Prices'!$A$6:$A$89,0)+MATCH($D146,'[1]End - Use Prices'!$B$9:$B$11,0)-1,MATCH(AO$1,'[1]End - Use Prices'!$C$7:$AL$7,0))</f>
        <v>31.29</v>
      </c>
      <c r="AP146" s="41">
        <f>INDEX('[1]End - Use Prices'!$C$6:$AL$89,MATCH($C146,'[1]End - Use Prices'!$A$6:$A$89,0)+MATCH($D146,'[1]End - Use Prices'!$B$9:$B$11,0)-1,MATCH(AP$1,'[1]End - Use Prices'!$C$7:$AL$7,0))</f>
        <v>31.79</v>
      </c>
      <c r="AQ146" s="41">
        <f>INDEX('[1]End - Use Prices'!$C$6:$AL$89,MATCH($C146,'[1]End - Use Prices'!$A$6:$A$89,0)+MATCH($D146,'[1]End - Use Prices'!$B$9:$B$11,0)-1,MATCH(AQ$1,'[1]End - Use Prices'!$C$7:$AL$7,0))</f>
        <v>31.61</v>
      </c>
      <c r="AR146" s="41">
        <f>INDEX('[1]End - Use Prices'!$C$6:$AL$89,MATCH($C146,'[1]End - Use Prices'!$A$6:$A$89,0)+MATCH($D146,'[1]End - Use Prices'!$B$9:$B$11,0)-1,MATCH(AR$1,'[1]End - Use Prices'!$C$7:$AL$7,0))</f>
        <v>31.63</v>
      </c>
      <c r="AS146" s="41">
        <f>INDEX('[1]End - Use Prices'!$C$6:$AL$89,MATCH($C146,'[1]End - Use Prices'!$A$6:$A$89,0)+MATCH($D146,'[1]End - Use Prices'!$B$9:$B$11,0)-1,MATCH(AS$1,'[1]End - Use Prices'!$C$7:$AL$7,0))</f>
        <v>31.62</v>
      </c>
      <c r="AT146" s="41">
        <f>INDEX('[1]End - Use Prices'!$C$6:$AL$89,MATCH($C146,'[1]End - Use Prices'!$A$6:$A$89,0)+MATCH($D146,'[1]End - Use Prices'!$B$9:$B$11,0)-1,MATCH(AT$1,'[1]End - Use Prices'!$C$7:$AL$7,0))</f>
        <v>31.5</v>
      </c>
      <c r="AU146" s="41">
        <f>INDEX('[1]End - Use Prices'!$C$6:$AL$89,MATCH($C146,'[1]End - Use Prices'!$A$6:$A$89,0)+MATCH($D146,'[1]End - Use Prices'!$B$9:$B$11,0)-1,MATCH(AU$1,'[1]End - Use Prices'!$C$7:$AL$7,0))</f>
        <v>31.35</v>
      </c>
      <c r="AV146" s="41">
        <f>INDEX('[1]End - Use Prices'!$C$6:$AL$89,MATCH($C146,'[1]End - Use Prices'!$A$6:$A$89,0)+MATCH($D146,'[1]End - Use Prices'!$B$9:$B$11,0)-1,MATCH(AV$1,'[1]End - Use Prices'!$C$7:$AL$7,0))</f>
        <v>31.23</v>
      </c>
      <c r="AW146" s="41">
        <f>INDEX('[1]End - Use Prices'!$C$6:$AL$89,MATCH($C146,'[1]End - Use Prices'!$A$6:$A$89,0)+MATCH($D146,'[1]End - Use Prices'!$B$9:$B$11,0)-1,MATCH(AW$1,'[1]End - Use Prices'!$C$7:$AL$7,0))</f>
        <v>31.1</v>
      </c>
      <c r="AX146" s="41">
        <f>INDEX('[1]End - Use Prices'!$C$6:$AL$89,MATCH($C146,'[1]End - Use Prices'!$A$6:$A$89,0)+MATCH($D146,'[1]End - Use Prices'!$B$9:$B$11,0)-1,MATCH(AX$1,'[1]End - Use Prices'!$C$7:$AL$7,0))</f>
        <v>31.05</v>
      </c>
      <c r="AY146" s="41">
        <f>INDEX('[1]End - Use Prices'!$C$6:$AL$89,MATCH($C146,'[1]End - Use Prices'!$A$6:$A$89,0)+MATCH($D146,'[1]End - Use Prices'!$B$9:$B$11,0)-1,MATCH(AY$1,'[1]End - Use Prices'!$C$7:$AL$7,0))</f>
        <v>31.02</v>
      </c>
      <c r="AZ146" s="41">
        <f>INDEX('[1]End - Use Prices'!$C$6:$AL$89,MATCH($C146,'[1]End - Use Prices'!$A$6:$A$89,0)+MATCH($D146,'[1]End - Use Prices'!$B$9:$B$11,0)-1,MATCH(AZ$1,'[1]End - Use Prices'!$C$7:$AL$7,0))</f>
        <v>31.03</v>
      </c>
      <c r="BA146" s="41">
        <f>INDEX('[1]End - Use Prices'!$C$6:$AL$89,MATCH($C146,'[1]End - Use Prices'!$A$6:$A$89,0)+MATCH($D146,'[1]End - Use Prices'!$B$9:$B$11,0)-1,MATCH(BA$1,'[1]End - Use Prices'!$C$7:$AL$7,0))</f>
        <v>31.07</v>
      </c>
      <c r="BB146" s="41">
        <f>INDEX('[1]End - Use Prices'!$C$6:$AL$89,MATCH($C146,'[1]End - Use Prices'!$A$6:$A$89,0)+MATCH($D146,'[1]End - Use Prices'!$B$9:$B$11,0)-1,MATCH(BB$1,'[1]End - Use Prices'!$C$7:$AL$7,0))</f>
        <v>31.09</v>
      </c>
      <c r="BC146" s="41">
        <f>INDEX('[1]End - Use Prices'!$C$6:$AL$89,MATCH($C146,'[1]End - Use Prices'!$A$6:$A$89,0)+MATCH($D146,'[1]End - Use Prices'!$B$9:$B$11,0)-1,MATCH(BC$1,'[1]End - Use Prices'!$C$7:$AL$7,0))</f>
        <v>31.09</v>
      </c>
      <c r="BD146" s="41">
        <f>INDEX('[1]End - Use Prices'!$C$6:$AL$89,MATCH($C146,'[1]End - Use Prices'!$A$6:$A$89,0)+MATCH($D146,'[1]End - Use Prices'!$B$9:$B$11,0)-1,MATCH(BD$1,'[1]End - Use Prices'!$C$7:$AL$7,0))</f>
        <v>31.08</v>
      </c>
      <c r="BE146" s="41">
        <f>INDEX('[1]End - Use Prices'!$C$6:$AL$89,MATCH($C146,'[1]End - Use Prices'!$A$6:$A$89,0)+MATCH($D146,'[1]End - Use Prices'!$B$9:$B$11,0)-1,MATCH(BE$1,'[1]End - Use Prices'!$C$7:$AL$7,0))</f>
        <v>31.03</v>
      </c>
      <c r="BF146" s="41">
        <f>INDEX('[1]End - Use Prices'!$C$6:$AL$89,MATCH($C146,'[1]End - Use Prices'!$A$6:$A$89,0)+MATCH($D146,'[1]End - Use Prices'!$B$9:$B$11,0)-1,MATCH(BF$1,'[1]End - Use Prices'!$C$7:$AL$7,0))</f>
        <v>30.99</v>
      </c>
      <c r="BG146" s="41">
        <f>INDEX('[1]End - Use Prices'!$C$6:$AL$89,MATCH($C146,'[1]End - Use Prices'!$A$6:$A$89,0)+MATCH($D146,'[1]End - Use Prices'!$B$9:$B$11,0)-1,MATCH(BG$1,'[1]End - Use Prices'!$C$7:$AL$7,0))</f>
        <v>30.93</v>
      </c>
      <c r="BR146" s="39"/>
      <c r="BS146" s="39"/>
      <c r="BT146" s="39"/>
      <c r="BU146" s="39"/>
      <c r="BV146" s="39"/>
      <c r="BW146" s="39"/>
      <c r="BX146" s="39"/>
      <c r="BY146" s="39"/>
      <c r="BZ146" s="39"/>
      <c r="CA146" s="39"/>
    </row>
    <row r="147" spans="1:79" x14ac:dyDescent="0.25">
      <c r="A147" s="5"/>
      <c r="B147" s="3"/>
      <c r="C147" s="25" t="s">
        <v>94</v>
      </c>
      <c r="D147" s="25" t="s">
        <v>280</v>
      </c>
      <c r="E147" s="25" t="s">
        <v>282</v>
      </c>
      <c r="F147" s="67" t="s">
        <v>279</v>
      </c>
      <c r="G147" s="53">
        <f t="shared" si="18"/>
        <v>26.74</v>
      </c>
      <c r="H147" s="34">
        <f t="shared" si="23"/>
        <v>26.74</v>
      </c>
      <c r="I147" s="34">
        <f t="shared" si="23"/>
        <v>28.81</v>
      </c>
      <c r="J147" s="34">
        <f t="shared" si="23"/>
        <v>28.29</v>
      </c>
      <c r="K147" s="34">
        <f t="shared" si="23"/>
        <v>36.33</v>
      </c>
      <c r="L147" s="34">
        <f t="shared" si="23"/>
        <v>31.48</v>
      </c>
      <c r="M147" s="34">
        <f t="shared" si="23"/>
        <v>30.97</v>
      </c>
      <c r="N147" s="34">
        <f t="shared" si="23"/>
        <v>30.96</v>
      </c>
      <c r="O147" s="34">
        <f t="shared" si="23"/>
        <v>30.82</v>
      </c>
      <c r="P147" s="53">
        <f t="shared" si="24"/>
        <v>30.82</v>
      </c>
      <c r="Q147" s="53">
        <f t="shared" si="24"/>
        <v>30.82</v>
      </c>
      <c r="R147" s="38"/>
      <c r="X147" s="41">
        <f>INDEX('[1]End - Use Prices'!$C$6:$AL$89,MATCH($C147,'[1]End - Use Prices'!$A$6:$A$89,0)+MATCH($D147,'[1]End - Use Prices'!$B$9:$B$11,0)-1,MATCH(X$1,'[1]End - Use Prices'!$C$7:$AL$7,0))</f>
        <v>26.74</v>
      </c>
      <c r="Y147" s="41">
        <f>INDEX('[1]End - Use Prices'!$C$6:$AL$89,MATCH($C147,'[1]End - Use Prices'!$A$6:$A$89,0)+MATCH($D147,'[1]End - Use Prices'!$B$9:$B$11,0)-1,MATCH(Y$1,'[1]End - Use Prices'!$C$7:$AL$7,0))</f>
        <v>27.19</v>
      </c>
      <c r="Z147" s="41">
        <f>INDEX('[1]End - Use Prices'!$C$6:$AL$89,MATCH($C147,'[1]End - Use Prices'!$A$6:$A$89,0)+MATCH($D147,'[1]End - Use Prices'!$B$9:$B$11,0)-1,MATCH(Z$1,'[1]End - Use Prices'!$C$7:$AL$7,0))</f>
        <v>29.89</v>
      </c>
      <c r="AA147" s="41">
        <f>INDEX('[1]End - Use Prices'!$C$6:$AL$89,MATCH($C147,'[1]End - Use Prices'!$A$6:$A$89,0)+MATCH($D147,'[1]End - Use Prices'!$B$9:$B$11,0)-1,MATCH(AA$1,'[1]End - Use Prices'!$C$7:$AL$7,0))</f>
        <v>36.56</v>
      </c>
      <c r="AB147" s="41">
        <f>INDEX('[1]End - Use Prices'!$C$6:$AL$89,MATCH($C147,'[1]End - Use Prices'!$A$6:$A$89,0)+MATCH($D147,'[1]End - Use Prices'!$B$9:$B$11,0)-1,MATCH(AB$1,'[1]End - Use Prices'!$C$7:$AL$7,0))</f>
        <v>26.59</v>
      </c>
      <c r="AC147" s="41">
        <f>INDEX('[1]End - Use Prices'!$C$6:$AL$89,MATCH($C147,'[1]End - Use Prices'!$A$6:$A$89,0)+MATCH($D147,'[1]End - Use Prices'!$B$9:$B$11,0)-1,MATCH(AC$1,'[1]End - Use Prices'!$C$7:$AL$7,0))</f>
        <v>28.81</v>
      </c>
      <c r="AD147" s="41">
        <f>INDEX('[1]End - Use Prices'!$C$6:$AL$89,MATCH($C147,'[1]End - Use Prices'!$A$6:$A$89,0)+MATCH($D147,'[1]End - Use Prices'!$B$9:$B$11,0)-1,MATCH(AD$1,'[1]End - Use Prices'!$C$7:$AL$7,0))</f>
        <v>34.630000000000003</v>
      </c>
      <c r="AE147" s="41">
        <f>INDEX('[1]End - Use Prices'!$C$6:$AL$89,MATCH($C147,'[1]End - Use Prices'!$A$6:$A$89,0)+MATCH($D147,'[1]End - Use Prices'!$B$9:$B$11,0)-1,MATCH(AE$1,'[1]End - Use Prices'!$C$7:$AL$7,0))</f>
        <v>34.79</v>
      </c>
      <c r="AF147" s="41">
        <f>INDEX('[1]End - Use Prices'!$C$6:$AL$89,MATCH($C147,'[1]End - Use Prices'!$A$6:$A$89,0)+MATCH($D147,'[1]End - Use Prices'!$B$9:$B$11,0)-1,MATCH(AF$1,'[1]End - Use Prices'!$C$7:$AL$7,0))</f>
        <v>33.89</v>
      </c>
      <c r="AG147" s="41">
        <f>INDEX('[1]End - Use Prices'!$C$6:$AL$89,MATCH($C147,'[1]End - Use Prices'!$A$6:$A$89,0)+MATCH($D147,'[1]End - Use Prices'!$B$9:$B$11,0)-1,MATCH(AG$1,'[1]End - Use Prices'!$C$7:$AL$7,0))</f>
        <v>36.409999999999997</v>
      </c>
      <c r="AH147" s="41">
        <f>INDEX('[1]End - Use Prices'!$C$6:$AL$89,MATCH($C147,'[1]End - Use Prices'!$A$6:$A$89,0)+MATCH($D147,'[1]End - Use Prices'!$B$9:$B$11,0)-1,MATCH(AH$1,'[1]End - Use Prices'!$C$7:$AL$7,0))</f>
        <v>28.29</v>
      </c>
      <c r="AI147" s="41">
        <f>INDEX('[1]End - Use Prices'!$C$6:$AL$89,MATCH($C147,'[1]End - Use Prices'!$A$6:$A$89,0)+MATCH($D147,'[1]End - Use Prices'!$B$9:$B$11,0)-1,MATCH(AI$1,'[1]End - Use Prices'!$C$7:$AL$7,0))</f>
        <v>24.92</v>
      </c>
      <c r="AJ147" s="41">
        <f>INDEX('[1]End - Use Prices'!$C$6:$AL$89,MATCH($C147,'[1]End - Use Prices'!$A$6:$A$89,0)+MATCH($D147,'[1]End - Use Prices'!$B$9:$B$11,0)-1,MATCH(AJ$1,'[1]End - Use Prices'!$C$7:$AL$7,0))</f>
        <v>27.54</v>
      </c>
      <c r="AK147" s="41">
        <f>INDEX('[1]End - Use Prices'!$C$6:$AL$89,MATCH($C147,'[1]End - Use Prices'!$A$6:$A$89,0)+MATCH($D147,'[1]End - Use Prices'!$B$9:$B$11,0)-1,MATCH(AK$1,'[1]End - Use Prices'!$C$7:$AL$7,0))</f>
        <v>30.62</v>
      </c>
      <c r="AL147" s="41">
        <f>INDEX('[1]End - Use Prices'!$C$6:$AL$89,MATCH($C147,'[1]End - Use Prices'!$A$6:$A$89,0)+MATCH($D147,'[1]End - Use Prices'!$B$9:$B$11,0)-1,MATCH(AL$1,'[1]End - Use Prices'!$C$7:$AL$7,0))</f>
        <v>32.35</v>
      </c>
      <c r="AM147" s="41">
        <f>INDEX('[1]End - Use Prices'!$C$6:$AL$89,MATCH($C147,'[1]End - Use Prices'!$A$6:$A$89,0)+MATCH($D147,'[1]End - Use Prices'!$B$9:$B$11,0)-1,MATCH(AM$1,'[1]End - Use Prices'!$C$7:$AL$7,0))</f>
        <v>36.33</v>
      </c>
      <c r="AN147" s="41">
        <f>INDEX('[1]End - Use Prices'!$C$6:$AL$89,MATCH($C147,'[1]End - Use Prices'!$A$6:$A$89,0)+MATCH($D147,'[1]End - Use Prices'!$B$9:$B$11,0)-1,MATCH(AN$1,'[1]End - Use Prices'!$C$7:$AL$7,0))</f>
        <v>33.229999999999997</v>
      </c>
      <c r="AO147" s="41">
        <f>INDEX('[1]End - Use Prices'!$C$6:$AL$89,MATCH($C147,'[1]End - Use Prices'!$A$6:$A$89,0)+MATCH($D147,'[1]End - Use Prices'!$B$9:$B$11,0)-1,MATCH(AO$1,'[1]End - Use Prices'!$C$7:$AL$7,0))</f>
        <v>31.15</v>
      </c>
      <c r="AP147" s="41">
        <f>INDEX('[1]End - Use Prices'!$C$6:$AL$89,MATCH($C147,'[1]End - Use Prices'!$A$6:$A$89,0)+MATCH($D147,'[1]End - Use Prices'!$B$9:$B$11,0)-1,MATCH(AP$1,'[1]End - Use Prices'!$C$7:$AL$7,0))</f>
        <v>31.62</v>
      </c>
      <c r="AQ147" s="41">
        <f>INDEX('[1]End - Use Prices'!$C$6:$AL$89,MATCH($C147,'[1]End - Use Prices'!$A$6:$A$89,0)+MATCH($D147,'[1]End - Use Prices'!$B$9:$B$11,0)-1,MATCH(AQ$1,'[1]End - Use Prices'!$C$7:$AL$7,0))</f>
        <v>31.44</v>
      </c>
      <c r="AR147" s="41">
        <f>INDEX('[1]End - Use Prices'!$C$6:$AL$89,MATCH($C147,'[1]End - Use Prices'!$A$6:$A$89,0)+MATCH($D147,'[1]End - Use Prices'!$B$9:$B$11,0)-1,MATCH(AR$1,'[1]End - Use Prices'!$C$7:$AL$7,0))</f>
        <v>31.48</v>
      </c>
      <c r="AS147" s="41">
        <f>INDEX('[1]End - Use Prices'!$C$6:$AL$89,MATCH($C147,'[1]End - Use Prices'!$A$6:$A$89,0)+MATCH($D147,'[1]End - Use Prices'!$B$9:$B$11,0)-1,MATCH(AS$1,'[1]End - Use Prices'!$C$7:$AL$7,0))</f>
        <v>31.46</v>
      </c>
      <c r="AT147" s="41">
        <f>INDEX('[1]End - Use Prices'!$C$6:$AL$89,MATCH($C147,'[1]End - Use Prices'!$A$6:$A$89,0)+MATCH($D147,'[1]End - Use Prices'!$B$9:$B$11,0)-1,MATCH(AT$1,'[1]End - Use Prices'!$C$7:$AL$7,0))</f>
        <v>31.36</v>
      </c>
      <c r="AU147" s="41">
        <f>INDEX('[1]End - Use Prices'!$C$6:$AL$89,MATCH($C147,'[1]End - Use Prices'!$A$6:$A$89,0)+MATCH($D147,'[1]End - Use Prices'!$B$9:$B$11,0)-1,MATCH(AU$1,'[1]End - Use Prices'!$C$7:$AL$7,0))</f>
        <v>31.2</v>
      </c>
      <c r="AV147" s="41">
        <f>INDEX('[1]End - Use Prices'!$C$6:$AL$89,MATCH($C147,'[1]End - Use Prices'!$A$6:$A$89,0)+MATCH($D147,'[1]End - Use Prices'!$B$9:$B$11,0)-1,MATCH(AV$1,'[1]End - Use Prices'!$C$7:$AL$7,0))</f>
        <v>31.09</v>
      </c>
      <c r="AW147" s="41">
        <f>INDEX('[1]End - Use Prices'!$C$6:$AL$89,MATCH($C147,'[1]End - Use Prices'!$A$6:$A$89,0)+MATCH($D147,'[1]End - Use Prices'!$B$9:$B$11,0)-1,MATCH(AW$1,'[1]End - Use Prices'!$C$7:$AL$7,0))</f>
        <v>30.97</v>
      </c>
      <c r="AX147" s="41">
        <f>INDEX('[1]End - Use Prices'!$C$6:$AL$89,MATCH($C147,'[1]End - Use Prices'!$A$6:$A$89,0)+MATCH($D147,'[1]End - Use Prices'!$B$9:$B$11,0)-1,MATCH(AX$1,'[1]End - Use Prices'!$C$7:$AL$7,0))</f>
        <v>30.91</v>
      </c>
      <c r="AY147" s="41">
        <f>INDEX('[1]End - Use Prices'!$C$6:$AL$89,MATCH($C147,'[1]End - Use Prices'!$A$6:$A$89,0)+MATCH($D147,'[1]End - Use Prices'!$B$9:$B$11,0)-1,MATCH(AY$1,'[1]End - Use Prices'!$C$7:$AL$7,0))</f>
        <v>30.89</v>
      </c>
      <c r="AZ147" s="41">
        <f>INDEX('[1]End - Use Prices'!$C$6:$AL$89,MATCH($C147,'[1]End - Use Prices'!$A$6:$A$89,0)+MATCH($D147,'[1]End - Use Prices'!$B$9:$B$11,0)-1,MATCH(AZ$1,'[1]End - Use Prices'!$C$7:$AL$7,0))</f>
        <v>30.9</v>
      </c>
      <c r="BA147" s="41">
        <f>INDEX('[1]End - Use Prices'!$C$6:$AL$89,MATCH($C147,'[1]End - Use Prices'!$A$6:$A$89,0)+MATCH($D147,'[1]End - Use Prices'!$B$9:$B$11,0)-1,MATCH(BA$1,'[1]End - Use Prices'!$C$7:$AL$7,0))</f>
        <v>30.94</v>
      </c>
      <c r="BB147" s="41">
        <f>INDEX('[1]End - Use Prices'!$C$6:$AL$89,MATCH($C147,'[1]End - Use Prices'!$A$6:$A$89,0)+MATCH($D147,'[1]End - Use Prices'!$B$9:$B$11,0)-1,MATCH(BB$1,'[1]End - Use Prices'!$C$7:$AL$7,0))</f>
        <v>30.96</v>
      </c>
      <c r="BC147" s="41">
        <f>INDEX('[1]End - Use Prices'!$C$6:$AL$89,MATCH($C147,'[1]End - Use Prices'!$A$6:$A$89,0)+MATCH($D147,'[1]End - Use Prices'!$B$9:$B$11,0)-1,MATCH(BC$1,'[1]End - Use Prices'!$C$7:$AL$7,0))</f>
        <v>30.97</v>
      </c>
      <c r="BD147" s="41">
        <f>INDEX('[1]End - Use Prices'!$C$6:$AL$89,MATCH($C147,'[1]End - Use Prices'!$A$6:$A$89,0)+MATCH($D147,'[1]End - Use Prices'!$B$9:$B$11,0)-1,MATCH(BD$1,'[1]End - Use Prices'!$C$7:$AL$7,0))</f>
        <v>30.96</v>
      </c>
      <c r="BE147" s="41">
        <f>INDEX('[1]End - Use Prices'!$C$6:$AL$89,MATCH($C147,'[1]End - Use Prices'!$A$6:$A$89,0)+MATCH($D147,'[1]End - Use Prices'!$B$9:$B$11,0)-1,MATCH(BE$1,'[1]End - Use Prices'!$C$7:$AL$7,0))</f>
        <v>30.91</v>
      </c>
      <c r="BF147" s="41">
        <f>INDEX('[1]End - Use Prices'!$C$6:$AL$89,MATCH($C147,'[1]End - Use Prices'!$A$6:$A$89,0)+MATCH($D147,'[1]End - Use Prices'!$B$9:$B$11,0)-1,MATCH(BF$1,'[1]End - Use Prices'!$C$7:$AL$7,0))</f>
        <v>30.87</v>
      </c>
      <c r="BG147" s="41">
        <f>INDEX('[1]End - Use Prices'!$C$6:$AL$89,MATCH($C147,'[1]End - Use Prices'!$A$6:$A$89,0)+MATCH($D147,'[1]End - Use Prices'!$B$9:$B$11,0)-1,MATCH(BG$1,'[1]End - Use Prices'!$C$7:$AL$7,0))</f>
        <v>30.82</v>
      </c>
      <c r="BR147" s="39"/>
      <c r="BS147" s="39"/>
      <c r="BT147" s="39"/>
      <c r="BU147" s="39"/>
      <c r="BV147" s="39"/>
      <c r="BW147" s="39"/>
      <c r="BX147" s="39"/>
      <c r="BY147" s="39"/>
      <c r="BZ147" s="39"/>
      <c r="CA147" s="39"/>
    </row>
    <row r="148" spans="1:79" s="39" customFormat="1" x14ac:dyDescent="0.25">
      <c r="A148" s="5"/>
      <c r="B148" s="3"/>
      <c r="C148" s="3"/>
      <c r="D148" s="3"/>
      <c r="E148" s="3"/>
      <c r="F148" s="14"/>
      <c r="G148" s="3"/>
      <c r="H148" s="3"/>
      <c r="I148" s="3"/>
      <c r="J148" s="3"/>
      <c r="K148" s="34"/>
      <c r="L148" s="34"/>
      <c r="M148" s="34"/>
      <c r="N148" s="34"/>
      <c r="O148" s="34"/>
      <c r="P148" s="34"/>
      <c r="Q148" s="34"/>
      <c r="R148" s="38"/>
      <c r="BR148"/>
      <c r="BS148"/>
      <c r="BT148"/>
      <c r="BU148"/>
      <c r="BV148"/>
      <c r="BW148"/>
      <c r="BX148"/>
      <c r="BY148"/>
      <c r="BZ148"/>
      <c r="CA148"/>
    </row>
    <row r="149" spans="1:79" s="39" customFormat="1" x14ac:dyDescent="0.25">
      <c r="A149" s="5"/>
      <c r="B149" s="3"/>
      <c r="C149" s="3"/>
      <c r="D149" s="3"/>
      <c r="E149" s="3"/>
      <c r="F149" s="14"/>
      <c r="G149" s="3"/>
      <c r="H149" s="3"/>
      <c r="I149" s="3"/>
      <c r="J149" s="3"/>
      <c r="K149" s="34"/>
      <c r="L149" s="34"/>
      <c r="M149" s="34"/>
      <c r="N149" s="34"/>
      <c r="O149" s="34"/>
      <c r="P149" s="34"/>
      <c r="Q149" s="34"/>
      <c r="R149" s="38"/>
      <c r="BR149"/>
      <c r="BS149"/>
      <c r="BT149"/>
      <c r="BU149"/>
      <c r="BV149"/>
      <c r="BW149"/>
      <c r="BX149"/>
      <c r="BY149"/>
      <c r="BZ149"/>
      <c r="CA149"/>
    </row>
    <row r="150" spans="1:79" x14ac:dyDescent="0.25">
      <c r="A150" s="5"/>
      <c r="B150" s="64" t="s">
        <v>302</v>
      </c>
      <c r="C150" s="25" t="s">
        <v>48</v>
      </c>
      <c r="D150" s="25" t="s">
        <v>2</v>
      </c>
      <c r="E150" s="25" t="s">
        <v>282</v>
      </c>
      <c r="F150" s="67" t="s">
        <v>279</v>
      </c>
      <c r="G150" s="53">
        <f t="shared" ref="G150:G191" si="25">H150</f>
        <v>28.95</v>
      </c>
      <c r="H150" s="34">
        <f t="shared" ref="H150:O165" si="26">INDEX($S150:$CA150,MATCH(H$1,$S$1:$CA$1,0))</f>
        <v>28.95</v>
      </c>
      <c r="I150" s="34">
        <f t="shared" si="26"/>
        <v>31.32</v>
      </c>
      <c r="J150" s="34">
        <f t="shared" si="26"/>
        <v>34.979999999999997</v>
      </c>
      <c r="K150" s="34">
        <f t="shared" si="26"/>
        <v>38.72</v>
      </c>
      <c r="L150" s="34">
        <f t="shared" si="26"/>
        <v>40.39</v>
      </c>
      <c r="M150" s="34">
        <f t="shared" si="26"/>
        <v>42.26</v>
      </c>
      <c r="N150" s="34">
        <f t="shared" si="26"/>
        <v>43.98</v>
      </c>
      <c r="O150" s="34">
        <f t="shared" si="26"/>
        <v>45.58</v>
      </c>
      <c r="P150" s="53">
        <f t="shared" ref="P150:Q169" si="27">O150</f>
        <v>45.58</v>
      </c>
      <c r="Q150" s="53">
        <f t="shared" si="27"/>
        <v>45.58</v>
      </c>
      <c r="R150" s="38"/>
      <c r="X150" s="41">
        <f>INDEX('[1]End - Use Prices'!$C$6:$AL$89,MATCH($C150,'[1]End - Use Prices'!$A$6:$A$89,0)+MATCH($D150,'[1]End - Use Prices'!$B$9:$B$11,0)-1,MATCH(X$1,'[1]End - Use Prices'!$C$7:$AL$7,0))</f>
        <v>28.95</v>
      </c>
      <c r="Y150" s="41">
        <f>INDEX('[1]End - Use Prices'!$C$6:$AL$89,MATCH($C150,'[1]End - Use Prices'!$A$6:$A$89,0)+MATCH($D150,'[1]End - Use Prices'!$B$9:$B$11,0)-1,MATCH(Y$1,'[1]End - Use Prices'!$C$7:$AL$7,0))</f>
        <v>32.35</v>
      </c>
      <c r="Z150" s="41">
        <f>INDEX('[1]End - Use Prices'!$C$6:$AL$89,MATCH($C150,'[1]End - Use Prices'!$A$6:$A$89,0)+MATCH($D150,'[1]End - Use Prices'!$B$9:$B$11,0)-1,MATCH(Z$1,'[1]End - Use Prices'!$C$7:$AL$7,0))</f>
        <v>31.56</v>
      </c>
      <c r="AA150" s="41">
        <f>INDEX('[1]End - Use Prices'!$C$6:$AL$89,MATCH($C150,'[1]End - Use Prices'!$A$6:$A$89,0)+MATCH($D150,'[1]End - Use Prices'!$B$9:$B$11,0)-1,MATCH(AA$1,'[1]End - Use Prices'!$C$7:$AL$7,0))</f>
        <v>30.57</v>
      </c>
      <c r="AB150" s="41">
        <f>INDEX('[1]End - Use Prices'!$C$6:$AL$89,MATCH($C150,'[1]End - Use Prices'!$A$6:$A$89,0)+MATCH($D150,'[1]End - Use Prices'!$B$9:$B$11,0)-1,MATCH(AB$1,'[1]End - Use Prices'!$C$7:$AL$7,0))</f>
        <v>31.64</v>
      </c>
      <c r="AC150" s="41">
        <f>INDEX('[1]End - Use Prices'!$C$6:$AL$89,MATCH($C150,'[1]End - Use Prices'!$A$6:$A$89,0)+MATCH($D150,'[1]End - Use Prices'!$B$9:$B$11,0)-1,MATCH(AC$1,'[1]End - Use Prices'!$C$7:$AL$7,0))</f>
        <v>31.32</v>
      </c>
      <c r="AD150" s="41">
        <f>INDEX('[1]End - Use Prices'!$C$6:$AL$89,MATCH($C150,'[1]End - Use Prices'!$A$6:$A$89,0)+MATCH($D150,'[1]End - Use Prices'!$B$9:$B$11,0)-1,MATCH(AD$1,'[1]End - Use Prices'!$C$7:$AL$7,0))</f>
        <v>32.659999999999997</v>
      </c>
      <c r="AE150" s="41">
        <f>INDEX('[1]End - Use Prices'!$C$6:$AL$89,MATCH($C150,'[1]End - Use Prices'!$A$6:$A$89,0)+MATCH($D150,'[1]End - Use Prices'!$B$9:$B$11,0)-1,MATCH(AE$1,'[1]End - Use Prices'!$C$7:$AL$7,0))</f>
        <v>32.83</v>
      </c>
      <c r="AF150" s="41">
        <f>INDEX('[1]End - Use Prices'!$C$6:$AL$89,MATCH($C150,'[1]End - Use Prices'!$A$6:$A$89,0)+MATCH($D150,'[1]End - Use Prices'!$B$9:$B$11,0)-1,MATCH(AF$1,'[1]End - Use Prices'!$C$7:$AL$7,0))</f>
        <v>32.92</v>
      </c>
      <c r="AG150" s="41">
        <f>INDEX('[1]End - Use Prices'!$C$6:$AL$89,MATCH($C150,'[1]End - Use Prices'!$A$6:$A$89,0)+MATCH($D150,'[1]End - Use Prices'!$B$9:$B$11,0)-1,MATCH(AG$1,'[1]End - Use Prices'!$C$7:$AL$7,0))</f>
        <v>33.6</v>
      </c>
      <c r="AH150" s="41">
        <f>INDEX('[1]End - Use Prices'!$C$6:$AL$89,MATCH($C150,'[1]End - Use Prices'!$A$6:$A$89,0)+MATCH($D150,'[1]End - Use Prices'!$B$9:$B$11,0)-1,MATCH(AH$1,'[1]End - Use Prices'!$C$7:$AL$7,0))</f>
        <v>34.979999999999997</v>
      </c>
      <c r="AI150" s="41">
        <f>INDEX('[1]End - Use Prices'!$C$6:$AL$89,MATCH($C150,'[1]End - Use Prices'!$A$6:$A$89,0)+MATCH($D150,'[1]End - Use Prices'!$B$9:$B$11,0)-1,MATCH(AI$1,'[1]End - Use Prices'!$C$7:$AL$7,0))</f>
        <v>37.61</v>
      </c>
      <c r="AJ150" s="41">
        <f>INDEX('[1]End - Use Prices'!$C$6:$AL$89,MATCH($C150,'[1]End - Use Prices'!$A$6:$A$89,0)+MATCH($D150,'[1]End - Use Prices'!$B$9:$B$11,0)-1,MATCH(AJ$1,'[1]End - Use Prices'!$C$7:$AL$7,0))</f>
        <v>37.65</v>
      </c>
      <c r="AK150" s="41">
        <f>INDEX('[1]End - Use Prices'!$C$6:$AL$89,MATCH($C150,'[1]End - Use Prices'!$A$6:$A$89,0)+MATCH($D150,'[1]End - Use Prices'!$B$9:$B$11,0)-1,MATCH(AK$1,'[1]End - Use Prices'!$C$7:$AL$7,0))</f>
        <v>38.03</v>
      </c>
      <c r="AL150" s="41">
        <f>INDEX('[1]End - Use Prices'!$C$6:$AL$89,MATCH($C150,'[1]End - Use Prices'!$A$6:$A$89,0)+MATCH($D150,'[1]End - Use Prices'!$B$9:$B$11,0)-1,MATCH(AL$1,'[1]End - Use Prices'!$C$7:$AL$7,0))</f>
        <v>38.380000000000003</v>
      </c>
      <c r="AM150" s="41">
        <f>INDEX('[1]End - Use Prices'!$C$6:$AL$89,MATCH($C150,'[1]End - Use Prices'!$A$6:$A$89,0)+MATCH($D150,'[1]End - Use Prices'!$B$9:$B$11,0)-1,MATCH(AM$1,'[1]End - Use Prices'!$C$7:$AL$7,0))</f>
        <v>38.72</v>
      </c>
      <c r="AN150" s="41">
        <f>INDEX('[1]End - Use Prices'!$C$6:$AL$89,MATCH($C150,'[1]End - Use Prices'!$A$6:$A$89,0)+MATCH($D150,'[1]End - Use Prices'!$B$9:$B$11,0)-1,MATCH(AN$1,'[1]End - Use Prices'!$C$7:$AL$7,0))</f>
        <v>39.04</v>
      </c>
      <c r="AO150" s="41">
        <f>INDEX('[1]End - Use Prices'!$C$6:$AL$89,MATCH($C150,'[1]End - Use Prices'!$A$6:$A$89,0)+MATCH($D150,'[1]End - Use Prices'!$B$9:$B$11,0)-1,MATCH(AO$1,'[1]End - Use Prices'!$C$7:$AL$7,0))</f>
        <v>39.36</v>
      </c>
      <c r="AP150" s="41">
        <f>INDEX('[1]End - Use Prices'!$C$6:$AL$89,MATCH($C150,'[1]End - Use Prices'!$A$6:$A$89,0)+MATCH($D150,'[1]End - Use Prices'!$B$9:$B$11,0)-1,MATCH(AP$1,'[1]End - Use Prices'!$C$7:$AL$7,0))</f>
        <v>39.69</v>
      </c>
      <c r="AQ150" s="41">
        <f>INDEX('[1]End - Use Prices'!$C$6:$AL$89,MATCH($C150,'[1]End - Use Prices'!$A$6:$A$89,0)+MATCH($D150,'[1]End - Use Prices'!$B$9:$B$11,0)-1,MATCH(AQ$1,'[1]End - Use Prices'!$C$7:$AL$7,0))</f>
        <v>40.020000000000003</v>
      </c>
      <c r="AR150" s="41">
        <f>INDEX('[1]End - Use Prices'!$C$6:$AL$89,MATCH($C150,'[1]End - Use Prices'!$A$6:$A$89,0)+MATCH($D150,'[1]End - Use Prices'!$B$9:$B$11,0)-1,MATCH(AR$1,'[1]End - Use Prices'!$C$7:$AL$7,0))</f>
        <v>40.39</v>
      </c>
      <c r="AS150" s="41">
        <f>INDEX('[1]End - Use Prices'!$C$6:$AL$89,MATCH($C150,'[1]End - Use Prices'!$A$6:$A$89,0)+MATCH($D150,'[1]End - Use Prices'!$B$9:$B$11,0)-1,MATCH(AS$1,'[1]End - Use Prices'!$C$7:$AL$7,0))</f>
        <v>40.74</v>
      </c>
      <c r="AT150" s="41">
        <f>INDEX('[1]End - Use Prices'!$C$6:$AL$89,MATCH($C150,'[1]End - Use Prices'!$A$6:$A$89,0)+MATCH($D150,'[1]End - Use Prices'!$B$9:$B$11,0)-1,MATCH(AT$1,'[1]End - Use Prices'!$C$7:$AL$7,0))</f>
        <v>41.1</v>
      </c>
      <c r="AU150" s="41">
        <f>INDEX('[1]End - Use Prices'!$C$6:$AL$89,MATCH($C150,'[1]End - Use Prices'!$A$6:$A$89,0)+MATCH($D150,'[1]End - Use Prices'!$B$9:$B$11,0)-1,MATCH(AU$1,'[1]End - Use Prices'!$C$7:$AL$7,0))</f>
        <v>41.49</v>
      </c>
      <c r="AV150" s="41">
        <f>INDEX('[1]End - Use Prices'!$C$6:$AL$89,MATCH($C150,'[1]End - Use Prices'!$A$6:$A$89,0)+MATCH($D150,'[1]End - Use Prices'!$B$9:$B$11,0)-1,MATCH(AV$1,'[1]End - Use Prices'!$C$7:$AL$7,0))</f>
        <v>41.88</v>
      </c>
      <c r="AW150" s="41">
        <f>INDEX('[1]End - Use Prices'!$C$6:$AL$89,MATCH($C150,'[1]End - Use Prices'!$A$6:$A$89,0)+MATCH($D150,'[1]End - Use Prices'!$B$9:$B$11,0)-1,MATCH(AW$1,'[1]End - Use Prices'!$C$7:$AL$7,0))</f>
        <v>42.26</v>
      </c>
      <c r="AX150" s="41">
        <f>INDEX('[1]End - Use Prices'!$C$6:$AL$89,MATCH($C150,'[1]End - Use Prices'!$A$6:$A$89,0)+MATCH($D150,'[1]End - Use Prices'!$B$9:$B$11,0)-1,MATCH(AX$1,'[1]End - Use Prices'!$C$7:$AL$7,0))</f>
        <v>42.62</v>
      </c>
      <c r="AY150" s="41">
        <f>INDEX('[1]End - Use Prices'!$C$6:$AL$89,MATCH($C150,'[1]End - Use Prices'!$A$6:$A$89,0)+MATCH($D150,'[1]End - Use Prices'!$B$9:$B$11,0)-1,MATCH(AY$1,'[1]End - Use Prices'!$C$7:$AL$7,0))</f>
        <v>42.97</v>
      </c>
      <c r="AZ150" s="41">
        <f>INDEX('[1]End - Use Prices'!$C$6:$AL$89,MATCH($C150,'[1]End - Use Prices'!$A$6:$A$89,0)+MATCH($D150,'[1]End - Use Prices'!$B$9:$B$11,0)-1,MATCH(AZ$1,'[1]End - Use Prices'!$C$7:$AL$7,0))</f>
        <v>43.31</v>
      </c>
      <c r="BA150" s="41">
        <f>INDEX('[1]End - Use Prices'!$C$6:$AL$89,MATCH($C150,'[1]End - Use Prices'!$A$6:$A$89,0)+MATCH($D150,'[1]End - Use Prices'!$B$9:$B$11,0)-1,MATCH(BA$1,'[1]End - Use Prices'!$C$7:$AL$7,0))</f>
        <v>43.65</v>
      </c>
      <c r="BB150" s="41">
        <f>INDEX('[1]End - Use Prices'!$C$6:$AL$89,MATCH($C150,'[1]End - Use Prices'!$A$6:$A$89,0)+MATCH($D150,'[1]End - Use Prices'!$B$9:$B$11,0)-1,MATCH(BB$1,'[1]End - Use Prices'!$C$7:$AL$7,0))</f>
        <v>43.98</v>
      </c>
      <c r="BC150" s="41">
        <f>INDEX('[1]End - Use Prices'!$C$6:$AL$89,MATCH($C150,'[1]End - Use Prices'!$A$6:$A$89,0)+MATCH($D150,'[1]End - Use Prices'!$B$9:$B$11,0)-1,MATCH(BC$1,'[1]End - Use Prices'!$C$7:$AL$7,0))</f>
        <v>44.31</v>
      </c>
      <c r="BD150" s="41">
        <f>INDEX('[1]End - Use Prices'!$C$6:$AL$89,MATCH($C150,'[1]End - Use Prices'!$A$6:$A$89,0)+MATCH($D150,'[1]End - Use Prices'!$B$9:$B$11,0)-1,MATCH(BD$1,'[1]End - Use Prices'!$C$7:$AL$7,0))</f>
        <v>44.63</v>
      </c>
      <c r="BE150" s="41">
        <f>INDEX('[1]End - Use Prices'!$C$6:$AL$89,MATCH($C150,'[1]End - Use Prices'!$A$6:$A$89,0)+MATCH($D150,'[1]End - Use Prices'!$B$9:$B$11,0)-1,MATCH(BE$1,'[1]End - Use Prices'!$C$7:$AL$7,0))</f>
        <v>44.95</v>
      </c>
      <c r="BF150" s="41">
        <f>INDEX('[1]End - Use Prices'!$C$6:$AL$89,MATCH($C150,'[1]End - Use Prices'!$A$6:$A$89,0)+MATCH($D150,'[1]End - Use Prices'!$B$9:$B$11,0)-1,MATCH(BF$1,'[1]End - Use Prices'!$C$7:$AL$7,0))</f>
        <v>45.27</v>
      </c>
      <c r="BG150" s="41">
        <f>INDEX('[1]End - Use Prices'!$C$6:$AL$89,MATCH($C150,'[1]End - Use Prices'!$A$6:$A$89,0)+MATCH($D150,'[1]End - Use Prices'!$B$9:$B$11,0)-1,MATCH(BG$1,'[1]End - Use Prices'!$C$7:$AL$7,0))</f>
        <v>45.58</v>
      </c>
      <c r="BR150" s="39"/>
      <c r="BS150" s="39"/>
      <c r="BT150" s="39"/>
      <c r="BU150" s="39"/>
      <c r="BV150" s="39"/>
      <c r="BW150" s="39"/>
      <c r="BX150" s="39"/>
      <c r="BY150" s="39"/>
      <c r="BZ150" s="39"/>
      <c r="CA150" s="39"/>
    </row>
    <row r="151" spans="1:79" x14ac:dyDescent="0.25">
      <c r="A151" s="5"/>
      <c r="B151" s="3"/>
      <c r="C151" s="25" t="s">
        <v>85</v>
      </c>
      <c r="D151" s="25" t="s">
        <v>2</v>
      </c>
      <c r="E151" s="25" t="s">
        <v>282</v>
      </c>
      <c r="F151" s="67" t="s">
        <v>279</v>
      </c>
      <c r="G151" s="53">
        <f t="shared" si="25"/>
        <v>34.03</v>
      </c>
      <c r="H151" s="34">
        <f t="shared" si="26"/>
        <v>34.03</v>
      </c>
      <c r="I151" s="34">
        <f t="shared" si="26"/>
        <v>38.9</v>
      </c>
      <c r="J151" s="34">
        <f t="shared" si="26"/>
        <v>39.4</v>
      </c>
      <c r="K151" s="34">
        <f t="shared" si="26"/>
        <v>45.24</v>
      </c>
      <c r="L151" s="34">
        <f t="shared" si="26"/>
        <v>48</v>
      </c>
      <c r="M151" s="34">
        <f t="shared" si="26"/>
        <v>50.03</v>
      </c>
      <c r="N151" s="34">
        <f t="shared" si="26"/>
        <v>52.14</v>
      </c>
      <c r="O151" s="34">
        <f t="shared" si="26"/>
        <v>55.17</v>
      </c>
      <c r="P151" s="53">
        <f t="shared" si="27"/>
        <v>55.17</v>
      </c>
      <c r="Q151" s="53">
        <f t="shared" si="27"/>
        <v>55.17</v>
      </c>
      <c r="R151" s="38"/>
      <c r="X151" s="41">
        <f>INDEX('[1]End - Use Prices'!$C$6:$AL$89,MATCH($C151,'[1]End - Use Prices'!$A$6:$A$89,0)+MATCH($D151,'[1]End - Use Prices'!$B$9:$B$11,0)-1,MATCH(X$1,'[1]End - Use Prices'!$C$7:$AL$7,0))</f>
        <v>34.03</v>
      </c>
      <c r="Y151" s="41">
        <f>INDEX('[1]End - Use Prices'!$C$6:$AL$89,MATCH($C151,'[1]End - Use Prices'!$A$6:$A$89,0)+MATCH($D151,'[1]End - Use Prices'!$B$9:$B$11,0)-1,MATCH(Y$1,'[1]End - Use Prices'!$C$7:$AL$7,0))</f>
        <v>39.85</v>
      </c>
      <c r="Z151" s="41">
        <f>INDEX('[1]End - Use Prices'!$C$6:$AL$89,MATCH($C151,'[1]End - Use Prices'!$A$6:$A$89,0)+MATCH($D151,'[1]End - Use Prices'!$B$9:$B$11,0)-1,MATCH(Z$1,'[1]End - Use Prices'!$C$7:$AL$7,0))</f>
        <v>39.83</v>
      </c>
      <c r="AA151" s="41">
        <f>INDEX('[1]End - Use Prices'!$C$6:$AL$89,MATCH($C151,'[1]End - Use Prices'!$A$6:$A$89,0)+MATCH($D151,'[1]End - Use Prices'!$B$9:$B$11,0)-1,MATCH(AA$1,'[1]End - Use Prices'!$C$7:$AL$7,0))</f>
        <v>37.99</v>
      </c>
      <c r="AB151" s="41">
        <f>INDEX('[1]End - Use Prices'!$C$6:$AL$89,MATCH($C151,'[1]End - Use Prices'!$A$6:$A$89,0)+MATCH($D151,'[1]End - Use Prices'!$B$9:$B$11,0)-1,MATCH(AB$1,'[1]End - Use Prices'!$C$7:$AL$7,0))</f>
        <v>41.07</v>
      </c>
      <c r="AC151" s="41">
        <f>INDEX('[1]End - Use Prices'!$C$6:$AL$89,MATCH($C151,'[1]End - Use Prices'!$A$6:$A$89,0)+MATCH($D151,'[1]End - Use Prices'!$B$9:$B$11,0)-1,MATCH(AC$1,'[1]End - Use Prices'!$C$7:$AL$7,0))</f>
        <v>38.9</v>
      </c>
      <c r="AD151" s="41">
        <f>INDEX('[1]End - Use Prices'!$C$6:$AL$89,MATCH($C151,'[1]End - Use Prices'!$A$6:$A$89,0)+MATCH($D151,'[1]End - Use Prices'!$B$9:$B$11,0)-1,MATCH(AD$1,'[1]End - Use Prices'!$C$7:$AL$7,0))</f>
        <v>38.54</v>
      </c>
      <c r="AE151" s="41">
        <f>INDEX('[1]End - Use Prices'!$C$6:$AL$89,MATCH($C151,'[1]End - Use Prices'!$A$6:$A$89,0)+MATCH($D151,'[1]End - Use Prices'!$B$9:$B$11,0)-1,MATCH(AE$1,'[1]End - Use Prices'!$C$7:$AL$7,0))</f>
        <v>40.909999999999997</v>
      </c>
      <c r="AF151" s="41">
        <f>INDEX('[1]End - Use Prices'!$C$6:$AL$89,MATCH($C151,'[1]End - Use Prices'!$A$6:$A$89,0)+MATCH($D151,'[1]End - Use Prices'!$B$9:$B$11,0)-1,MATCH(AF$1,'[1]End - Use Prices'!$C$7:$AL$7,0))</f>
        <v>39.76</v>
      </c>
      <c r="AG151" s="41">
        <f>INDEX('[1]End - Use Prices'!$C$6:$AL$89,MATCH($C151,'[1]End - Use Prices'!$A$6:$A$89,0)+MATCH($D151,'[1]End - Use Prices'!$B$9:$B$11,0)-1,MATCH(AG$1,'[1]End - Use Prices'!$C$7:$AL$7,0))</f>
        <v>38.340000000000003</v>
      </c>
      <c r="AH151" s="41">
        <f>INDEX('[1]End - Use Prices'!$C$6:$AL$89,MATCH($C151,'[1]End - Use Prices'!$A$6:$A$89,0)+MATCH($D151,'[1]End - Use Prices'!$B$9:$B$11,0)-1,MATCH(AH$1,'[1]End - Use Prices'!$C$7:$AL$7,0))</f>
        <v>39.4</v>
      </c>
      <c r="AI151" s="41">
        <f>INDEX('[1]End - Use Prices'!$C$6:$AL$89,MATCH($C151,'[1]End - Use Prices'!$A$6:$A$89,0)+MATCH($D151,'[1]End - Use Prices'!$B$9:$B$11,0)-1,MATCH(AI$1,'[1]End - Use Prices'!$C$7:$AL$7,0))</f>
        <v>40.49</v>
      </c>
      <c r="AJ151" s="41">
        <f>INDEX('[1]End - Use Prices'!$C$6:$AL$89,MATCH($C151,'[1]End - Use Prices'!$A$6:$A$89,0)+MATCH($D151,'[1]End - Use Prices'!$B$9:$B$11,0)-1,MATCH(AJ$1,'[1]End - Use Prices'!$C$7:$AL$7,0))</f>
        <v>42.88</v>
      </c>
      <c r="AK151" s="41">
        <f>INDEX('[1]End - Use Prices'!$C$6:$AL$89,MATCH($C151,'[1]End - Use Prices'!$A$6:$A$89,0)+MATCH($D151,'[1]End - Use Prices'!$B$9:$B$11,0)-1,MATCH(AK$1,'[1]End - Use Prices'!$C$7:$AL$7,0))</f>
        <v>43.74</v>
      </c>
      <c r="AL151" s="41">
        <f>INDEX('[1]End - Use Prices'!$C$6:$AL$89,MATCH($C151,'[1]End - Use Prices'!$A$6:$A$89,0)+MATCH($D151,'[1]End - Use Prices'!$B$9:$B$11,0)-1,MATCH(AL$1,'[1]End - Use Prices'!$C$7:$AL$7,0))</f>
        <v>44.52</v>
      </c>
      <c r="AM151" s="41">
        <f>INDEX('[1]End - Use Prices'!$C$6:$AL$89,MATCH($C151,'[1]End - Use Prices'!$A$6:$A$89,0)+MATCH($D151,'[1]End - Use Prices'!$B$9:$B$11,0)-1,MATCH(AM$1,'[1]End - Use Prices'!$C$7:$AL$7,0))</f>
        <v>45.24</v>
      </c>
      <c r="AN151" s="41">
        <f>INDEX('[1]End - Use Prices'!$C$6:$AL$89,MATCH($C151,'[1]End - Use Prices'!$A$6:$A$89,0)+MATCH($D151,'[1]End - Use Prices'!$B$9:$B$11,0)-1,MATCH(AN$1,'[1]End - Use Prices'!$C$7:$AL$7,0))</f>
        <v>45.89</v>
      </c>
      <c r="AO151" s="41">
        <f>INDEX('[1]End - Use Prices'!$C$6:$AL$89,MATCH($C151,'[1]End - Use Prices'!$A$6:$A$89,0)+MATCH($D151,'[1]End - Use Prices'!$B$9:$B$11,0)-1,MATCH(AO$1,'[1]End - Use Prices'!$C$7:$AL$7,0))</f>
        <v>46.48</v>
      </c>
      <c r="AP151" s="41">
        <f>INDEX('[1]End - Use Prices'!$C$6:$AL$89,MATCH($C151,'[1]End - Use Prices'!$A$6:$A$89,0)+MATCH($D151,'[1]End - Use Prices'!$B$9:$B$11,0)-1,MATCH(AP$1,'[1]End - Use Prices'!$C$7:$AL$7,0))</f>
        <v>47.03</v>
      </c>
      <c r="AQ151" s="41">
        <f>INDEX('[1]End - Use Prices'!$C$6:$AL$89,MATCH($C151,'[1]End - Use Prices'!$A$6:$A$89,0)+MATCH($D151,'[1]End - Use Prices'!$B$9:$B$11,0)-1,MATCH(AQ$1,'[1]End - Use Prices'!$C$7:$AL$7,0))</f>
        <v>47.53</v>
      </c>
      <c r="AR151" s="41">
        <f>INDEX('[1]End - Use Prices'!$C$6:$AL$89,MATCH($C151,'[1]End - Use Prices'!$A$6:$A$89,0)+MATCH($D151,'[1]End - Use Prices'!$B$9:$B$11,0)-1,MATCH(AR$1,'[1]End - Use Prices'!$C$7:$AL$7,0))</f>
        <v>48</v>
      </c>
      <c r="AS151" s="41">
        <f>INDEX('[1]End - Use Prices'!$C$6:$AL$89,MATCH($C151,'[1]End - Use Prices'!$A$6:$A$89,0)+MATCH($D151,'[1]End - Use Prices'!$B$9:$B$11,0)-1,MATCH(AS$1,'[1]End - Use Prices'!$C$7:$AL$7,0))</f>
        <v>48.44</v>
      </c>
      <c r="AT151" s="41">
        <f>INDEX('[1]End - Use Prices'!$C$6:$AL$89,MATCH($C151,'[1]End - Use Prices'!$A$6:$A$89,0)+MATCH($D151,'[1]End - Use Prices'!$B$9:$B$11,0)-1,MATCH(AT$1,'[1]End - Use Prices'!$C$7:$AL$7,0))</f>
        <v>48.85</v>
      </c>
      <c r="AU151" s="41">
        <f>INDEX('[1]End - Use Prices'!$C$6:$AL$89,MATCH($C151,'[1]End - Use Prices'!$A$6:$A$89,0)+MATCH($D151,'[1]End - Use Prices'!$B$9:$B$11,0)-1,MATCH(AU$1,'[1]End - Use Prices'!$C$7:$AL$7,0))</f>
        <v>49.25</v>
      </c>
      <c r="AV151" s="41">
        <f>INDEX('[1]End - Use Prices'!$C$6:$AL$89,MATCH($C151,'[1]End - Use Prices'!$A$6:$A$89,0)+MATCH($D151,'[1]End - Use Prices'!$B$9:$B$11,0)-1,MATCH(AV$1,'[1]End - Use Prices'!$C$7:$AL$7,0))</f>
        <v>49.64</v>
      </c>
      <c r="AW151" s="41">
        <f>INDEX('[1]End - Use Prices'!$C$6:$AL$89,MATCH($C151,'[1]End - Use Prices'!$A$6:$A$89,0)+MATCH($D151,'[1]End - Use Prices'!$B$9:$B$11,0)-1,MATCH(AW$1,'[1]End - Use Prices'!$C$7:$AL$7,0))</f>
        <v>50.03</v>
      </c>
      <c r="AX151" s="41">
        <f>INDEX('[1]End - Use Prices'!$C$6:$AL$89,MATCH($C151,'[1]End - Use Prices'!$A$6:$A$89,0)+MATCH($D151,'[1]End - Use Prices'!$B$9:$B$11,0)-1,MATCH(AX$1,'[1]End - Use Prices'!$C$7:$AL$7,0))</f>
        <v>50.42</v>
      </c>
      <c r="AY151" s="41">
        <f>INDEX('[1]End - Use Prices'!$C$6:$AL$89,MATCH($C151,'[1]End - Use Prices'!$A$6:$A$89,0)+MATCH($D151,'[1]End - Use Prices'!$B$9:$B$11,0)-1,MATCH(AY$1,'[1]End - Use Prices'!$C$7:$AL$7,0))</f>
        <v>50.82</v>
      </c>
      <c r="AZ151" s="41">
        <f>INDEX('[1]End - Use Prices'!$C$6:$AL$89,MATCH($C151,'[1]End - Use Prices'!$A$6:$A$89,0)+MATCH($D151,'[1]End - Use Prices'!$B$9:$B$11,0)-1,MATCH(AZ$1,'[1]End - Use Prices'!$C$7:$AL$7,0))</f>
        <v>51.23</v>
      </c>
      <c r="BA151" s="41">
        <f>INDEX('[1]End - Use Prices'!$C$6:$AL$89,MATCH($C151,'[1]End - Use Prices'!$A$6:$A$89,0)+MATCH($D151,'[1]End - Use Prices'!$B$9:$B$11,0)-1,MATCH(BA$1,'[1]End - Use Prices'!$C$7:$AL$7,0))</f>
        <v>51.67</v>
      </c>
      <c r="BB151" s="41">
        <f>INDEX('[1]End - Use Prices'!$C$6:$AL$89,MATCH($C151,'[1]End - Use Prices'!$A$6:$A$89,0)+MATCH($D151,'[1]End - Use Prices'!$B$9:$B$11,0)-1,MATCH(BB$1,'[1]End - Use Prices'!$C$7:$AL$7,0))</f>
        <v>52.14</v>
      </c>
      <c r="BC151" s="41">
        <f>INDEX('[1]End - Use Prices'!$C$6:$AL$89,MATCH($C151,'[1]End - Use Prices'!$A$6:$A$89,0)+MATCH($D151,'[1]End - Use Prices'!$B$9:$B$11,0)-1,MATCH(BC$1,'[1]End - Use Prices'!$C$7:$AL$7,0))</f>
        <v>52.65</v>
      </c>
      <c r="BD151" s="41">
        <f>INDEX('[1]End - Use Prices'!$C$6:$AL$89,MATCH($C151,'[1]End - Use Prices'!$A$6:$A$89,0)+MATCH($D151,'[1]End - Use Prices'!$B$9:$B$11,0)-1,MATCH(BD$1,'[1]End - Use Prices'!$C$7:$AL$7,0))</f>
        <v>53.2</v>
      </c>
      <c r="BE151" s="41">
        <f>INDEX('[1]End - Use Prices'!$C$6:$AL$89,MATCH($C151,'[1]End - Use Prices'!$A$6:$A$89,0)+MATCH($D151,'[1]End - Use Prices'!$B$9:$B$11,0)-1,MATCH(BE$1,'[1]End - Use Prices'!$C$7:$AL$7,0))</f>
        <v>53.8</v>
      </c>
      <c r="BF151" s="41">
        <f>INDEX('[1]End - Use Prices'!$C$6:$AL$89,MATCH($C151,'[1]End - Use Prices'!$A$6:$A$89,0)+MATCH($D151,'[1]End - Use Prices'!$B$9:$B$11,0)-1,MATCH(BF$1,'[1]End - Use Prices'!$C$7:$AL$7,0))</f>
        <v>54.45</v>
      </c>
      <c r="BG151" s="41">
        <f>INDEX('[1]End - Use Prices'!$C$6:$AL$89,MATCH($C151,'[1]End - Use Prices'!$A$6:$A$89,0)+MATCH($D151,'[1]End - Use Prices'!$B$9:$B$11,0)-1,MATCH(BG$1,'[1]End - Use Prices'!$C$7:$AL$7,0))</f>
        <v>55.17</v>
      </c>
      <c r="BR151" s="39"/>
      <c r="BS151" s="39"/>
      <c r="BT151" s="39"/>
      <c r="BU151" s="39"/>
      <c r="BV151" s="39"/>
      <c r="BW151" s="39"/>
      <c r="BX151" s="39"/>
      <c r="BY151" s="39"/>
      <c r="BZ151" s="39"/>
      <c r="CA151" s="39"/>
    </row>
    <row r="152" spans="1:79" x14ac:dyDescent="0.25">
      <c r="A152" s="5"/>
      <c r="B152" s="3"/>
      <c r="C152" s="25" t="s">
        <v>86</v>
      </c>
      <c r="D152" s="25" t="s">
        <v>2</v>
      </c>
      <c r="E152" s="25" t="s">
        <v>282</v>
      </c>
      <c r="F152" s="67" t="s">
        <v>279</v>
      </c>
      <c r="G152" s="53">
        <f t="shared" si="25"/>
        <v>41.51</v>
      </c>
      <c r="H152" s="34">
        <f t="shared" si="26"/>
        <v>41.51</v>
      </c>
      <c r="I152" s="34">
        <f t="shared" si="26"/>
        <v>50.51</v>
      </c>
      <c r="J152" s="34">
        <f t="shared" si="26"/>
        <v>53.64</v>
      </c>
      <c r="K152" s="34">
        <f t="shared" si="26"/>
        <v>55.52</v>
      </c>
      <c r="L152" s="34">
        <f t="shared" si="26"/>
        <v>56.42</v>
      </c>
      <c r="M152" s="34">
        <f t="shared" si="26"/>
        <v>57.35</v>
      </c>
      <c r="N152" s="34">
        <f t="shared" si="26"/>
        <v>58.28</v>
      </c>
      <c r="O152" s="34">
        <f t="shared" si="26"/>
        <v>59.23</v>
      </c>
      <c r="P152" s="53">
        <f t="shared" si="27"/>
        <v>59.23</v>
      </c>
      <c r="Q152" s="53">
        <f t="shared" si="27"/>
        <v>59.23</v>
      </c>
      <c r="R152" s="38"/>
      <c r="X152" s="41">
        <f>INDEX('[1]End - Use Prices'!$C$6:$AL$89,MATCH($C152,'[1]End - Use Prices'!$A$6:$A$89,0)+MATCH($D152,'[1]End - Use Prices'!$B$9:$B$11,0)-1,MATCH(X$1,'[1]End - Use Prices'!$C$7:$AL$7,0))</f>
        <v>41.51</v>
      </c>
      <c r="Y152" s="41">
        <f>INDEX('[1]End - Use Prices'!$C$6:$AL$89,MATCH($C152,'[1]End - Use Prices'!$A$6:$A$89,0)+MATCH($D152,'[1]End - Use Prices'!$B$9:$B$11,0)-1,MATCH(Y$1,'[1]End - Use Prices'!$C$7:$AL$7,0))</f>
        <v>42.42</v>
      </c>
      <c r="Z152" s="41">
        <f>INDEX('[1]End - Use Prices'!$C$6:$AL$89,MATCH($C152,'[1]End - Use Prices'!$A$6:$A$89,0)+MATCH($D152,'[1]End - Use Prices'!$B$9:$B$11,0)-1,MATCH(Z$1,'[1]End - Use Prices'!$C$7:$AL$7,0))</f>
        <v>44.58</v>
      </c>
      <c r="AA152" s="41">
        <f>INDEX('[1]End - Use Prices'!$C$6:$AL$89,MATCH($C152,'[1]End - Use Prices'!$A$6:$A$89,0)+MATCH($D152,'[1]End - Use Prices'!$B$9:$B$11,0)-1,MATCH(AA$1,'[1]End - Use Prices'!$C$7:$AL$7,0))</f>
        <v>46.56</v>
      </c>
      <c r="AB152" s="41">
        <f>INDEX('[1]End - Use Prices'!$C$6:$AL$89,MATCH($C152,'[1]End - Use Prices'!$A$6:$A$89,0)+MATCH($D152,'[1]End - Use Prices'!$B$9:$B$11,0)-1,MATCH(AB$1,'[1]End - Use Prices'!$C$7:$AL$7,0))</f>
        <v>55.63</v>
      </c>
      <c r="AC152" s="41">
        <f>INDEX('[1]End - Use Prices'!$C$6:$AL$89,MATCH($C152,'[1]End - Use Prices'!$A$6:$A$89,0)+MATCH($D152,'[1]End - Use Prices'!$B$9:$B$11,0)-1,MATCH(AC$1,'[1]End - Use Prices'!$C$7:$AL$7,0))</f>
        <v>50.51</v>
      </c>
      <c r="AD152" s="41">
        <f>INDEX('[1]End - Use Prices'!$C$6:$AL$89,MATCH($C152,'[1]End - Use Prices'!$A$6:$A$89,0)+MATCH($D152,'[1]End - Use Prices'!$B$9:$B$11,0)-1,MATCH(AD$1,'[1]End - Use Prices'!$C$7:$AL$7,0))</f>
        <v>43.95</v>
      </c>
      <c r="AE152" s="41">
        <f>INDEX('[1]End - Use Prices'!$C$6:$AL$89,MATCH($C152,'[1]End - Use Prices'!$A$6:$A$89,0)+MATCH($D152,'[1]End - Use Prices'!$B$9:$B$11,0)-1,MATCH(AE$1,'[1]End - Use Prices'!$C$7:$AL$7,0))</f>
        <v>43.43</v>
      </c>
      <c r="AF152" s="41">
        <f>INDEX('[1]End - Use Prices'!$C$6:$AL$89,MATCH($C152,'[1]End - Use Prices'!$A$6:$A$89,0)+MATCH($D152,'[1]End - Use Prices'!$B$9:$B$11,0)-1,MATCH(AF$1,'[1]End - Use Prices'!$C$7:$AL$7,0))</f>
        <v>50.61</v>
      </c>
      <c r="AG152" s="41">
        <f>INDEX('[1]End - Use Prices'!$C$6:$AL$89,MATCH($C152,'[1]End - Use Prices'!$A$6:$A$89,0)+MATCH($D152,'[1]End - Use Prices'!$B$9:$B$11,0)-1,MATCH(AG$1,'[1]End - Use Prices'!$C$7:$AL$7,0))</f>
        <v>51.93</v>
      </c>
      <c r="AH152" s="41">
        <f>INDEX('[1]End - Use Prices'!$C$6:$AL$89,MATCH($C152,'[1]End - Use Prices'!$A$6:$A$89,0)+MATCH($D152,'[1]End - Use Prices'!$B$9:$B$11,0)-1,MATCH(AH$1,'[1]End - Use Prices'!$C$7:$AL$7,0))</f>
        <v>53.64</v>
      </c>
      <c r="AI152" s="41">
        <f>INDEX('[1]End - Use Prices'!$C$6:$AL$89,MATCH($C152,'[1]End - Use Prices'!$A$6:$A$89,0)+MATCH($D152,'[1]End - Use Prices'!$B$9:$B$11,0)-1,MATCH(AI$1,'[1]End - Use Prices'!$C$7:$AL$7,0))</f>
        <v>54.8</v>
      </c>
      <c r="AJ152" s="41">
        <f>INDEX('[1]End - Use Prices'!$C$6:$AL$89,MATCH($C152,'[1]End - Use Prices'!$A$6:$A$89,0)+MATCH($D152,'[1]End - Use Prices'!$B$9:$B$11,0)-1,MATCH(AJ$1,'[1]End - Use Prices'!$C$7:$AL$7,0))</f>
        <v>54.98</v>
      </c>
      <c r="AK152" s="41">
        <f>INDEX('[1]End - Use Prices'!$C$6:$AL$89,MATCH($C152,'[1]End - Use Prices'!$A$6:$A$89,0)+MATCH($D152,'[1]End - Use Prices'!$B$9:$B$11,0)-1,MATCH(AK$1,'[1]End - Use Prices'!$C$7:$AL$7,0))</f>
        <v>55.16</v>
      </c>
      <c r="AL152" s="41">
        <f>INDEX('[1]End - Use Prices'!$C$6:$AL$89,MATCH($C152,'[1]End - Use Prices'!$A$6:$A$89,0)+MATCH($D152,'[1]End - Use Prices'!$B$9:$B$11,0)-1,MATCH(AL$1,'[1]End - Use Prices'!$C$7:$AL$7,0))</f>
        <v>55.34</v>
      </c>
      <c r="AM152" s="41">
        <f>INDEX('[1]End - Use Prices'!$C$6:$AL$89,MATCH($C152,'[1]End - Use Prices'!$A$6:$A$89,0)+MATCH($D152,'[1]End - Use Prices'!$B$9:$B$11,0)-1,MATCH(AM$1,'[1]End - Use Prices'!$C$7:$AL$7,0))</f>
        <v>55.52</v>
      </c>
      <c r="AN152" s="41">
        <f>INDEX('[1]End - Use Prices'!$C$6:$AL$89,MATCH($C152,'[1]End - Use Prices'!$A$6:$A$89,0)+MATCH($D152,'[1]End - Use Prices'!$B$9:$B$11,0)-1,MATCH(AN$1,'[1]End - Use Prices'!$C$7:$AL$7,0))</f>
        <v>55.7</v>
      </c>
      <c r="AO152" s="41">
        <f>INDEX('[1]End - Use Prices'!$C$6:$AL$89,MATCH($C152,'[1]End - Use Prices'!$A$6:$A$89,0)+MATCH($D152,'[1]End - Use Prices'!$B$9:$B$11,0)-1,MATCH(AO$1,'[1]End - Use Prices'!$C$7:$AL$7,0))</f>
        <v>55.88</v>
      </c>
      <c r="AP152" s="41">
        <f>INDEX('[1]End - Use Prices'!$C$6:$AL$89,MATCH($C152,'[1]End - Use Prices'!$A$6:$A$89,0)+MATCH($D152,'[1]End - Use Prices'!$B$9:$B$11,0)-1,MATCH(AP$1,'[1]End - Use Prices'!$C$7:$AL$7,0))</f>
        <v>56.06</v>
      </c>
      <c r="AQ152" s="41">
        <f>INDEX('[1]End - Use Prices'!$C$6:$AL$89,MATCH($C152,'[1]End - Use Prices'!$A$6:$A$89,0)+MATCH($D152,'[1]End - Use Prices'!$B$9:$B$11,0)-1,MATCH(AQ$1,'[1]End - Use Prices'!$C$7:$AL$7,0))</f>
        <v>56.24</v>
      </c>
      <c r="AR152" s="41">
        <f>INDEX('[1]End - Use Prices'!$C$6:$AL$89,MATCH($C152,'[1]End - Use Prices'!$A$6:$A$89,0)+MATCH($D152,'[1]End - Use Prices'!$B$9:$B$11,0)-1,MATCH(AR$1,'[1]End - Use Prices'!$C$7:$AL$7,0))</f>
        <v>56.42</v>
      </c>
      <c r="AS152" s="41">
        <f>INDEX('[1]End - Use Prices'!$C$6:$AL$89,MATCH($C152,'[1]End - Use Prices'!$A$6:$A$89,0)+MATCH($D152,'[1]End - Use Prices'!$B$9:$B$11,0)-1,MATCH(AS$1,'[1]End - Use Prices'!$C$7:$AL$7,0))</f>
        <v>56.61</v>
      </c>
      <c r="AT152" s="41">
        <f>INDEX('[1]End - Use Prices'!$C$6:$AL$89,MATCH($C152,'[1]End - Use Prices'!$A$6:$A$89,0)+MATCH($D152,'[1]End - Use Prices'!$B$9:$B$11,0)-1,MATCH(AT$1,'[1]End - Use Prices'!$C$7:$AL$7,0))</f>
        <v>56.79</v>
      </c>
      <c r="AU152" s="41">
        <f>INDEX('[1]End - Use Prices'!$C$6:$AL$89,MATCH($C152,'[1]End - Use Prices'!$A$6:$A$89,0)+MATCH($D152,'[1]End - Use Prices'!$B$9:$B$11,0)-1,MATCH(AU$1,'[1]End - Use Prices'!$C$7:$AL$7,0))</f>
        <v>56.97</v>
      </c>
      <c r="AV152" s="41">
        <f>INDEX('[1]End - Use Prices'!$C$6:$AL$89,MATCH($C152,'[1]End - Use Prices'!$A$6:$A$89,0)+MATCH($D152,'[1]End - Use Prices'!$B$9:$B$11,0)-1,MATCH(AV$1,'[1]End - Use Prices'!$C$7:$AL$7,0))</f>
        <v>57.16</v>
      </c>
      <c r="AW152" s="41">
        <f>INDEX('[1]End - Use Prices'!$C$6:$AL$89,MATCH($C152,'[1]End - Use Prices'!$A$6:$A$89,0)+MATCH($D152,'[1]End - Use Prices'!$B$9:$B$11,0)-1,MATCH(AW$1,'[1]End - Use Prices'!$C$7:$AL$7,0))</f>
        <v>57.35</v>
      </c>
      <c r="AX152" s="41">
        <f>INDEX('[1]End - Use Prices'!$C$6:$AL$89,MATCH($C152,'[1]End - Use Prices'!$A$6:$A$89,0)+MATCH($D152,'[1]End - Use Prices'!$B$9:$B$11,0)-1,MATCH(AX$1,'[1]End - Use Prices'!$C$7:$AL$7,0))</f>
        <v>57.53</v>
      </c>
      <c r="AY152" s="41">
        <f>INDEX('[1]End - Use Prices'!$C$6:$AL$89,MATCH($C152,'[1]End - Use Prices'!$A$6:$A$89,0)+MATCH($D152,'[1]End - Use Prices'!$B$9:$B$11,0)-1,MATCH(AY$1,'[1]End - Use Prices'!$C$7:$AL$7,0))</f>
        <v>57.72</v>
      </c>
      <c r="AZ152" s="41">
        <f>INDEX('[1]End - Use Prices'!$C$6:$AL$89,MATCH($C152,'[1]End - Use Prices'!$A$6:$A$89,0)+MATCH($D152,'[1]End - Use Prices'!$B$9:$B$11,0)-1,MATCH(AZ$1,'[1]End - Use Prices'!$C$7:$AL$7,0))</f>
        <v>57.91</v>
      </c>
      <c r="BA152" s="41">
        <f>INDEX('[1]End - Use Prices'!$C$6:$AL$89,MATCH($C152,'[1]End - Use Prices'!$A$6:$A$89,0)+MATCH($D152,'[1]End - Use Prices'!$B$9:$B$11,0)-1,MATCH(BA$1,'[1]End - Use Prices'!$C$7:$AL$7,0))</f>
        <v>58.09</v>
      </c>
      <c r="BB152" s="41">
        <f>INDEX('[1]End - Use Prices'!$C$6:$AL$89,MATCH($C152,'[1]End - Use Prices'!$A$6:$A$89,0)+MATCH($D152,'[1]End - Use Prices'!$B$9:$B$11,0)-1,MATCH(BB$1,'[1]End - Use Prices'!$C$7:$AL$7,0))</f>
        <v>58.28</v>
      </c>
      <c r="BC152" s="41">
        <f>INDEX('[1]End - Use Prices'!$C$6:$AL$89,MATCH($C152,'[1]End - Use Prices'!$A$6:$A$89,0)+MATCH($D152,'[1]End - Use Prices'!$B$9:$B$11,0)-1,MATCH(BC$1,'[1]End - Use Prices'!$C$7:$AL$7,0))</f>
        <v>58.47</v>
      </c>
      <c r="BD152" s="41">
        <f>INDEX('[1]End - Use Prices'!$C$6:$AL$89,MATCH($C152,'[1]End - Use Prices'!$A$6:$A$89,0)+MATCH($D152,'[1]End - Use Prices'!$B$9:$B$11,0)-1,MATCH(BD$1,'[1]End - Use Prices'!$C$7:$AL$7,0))</f>
        <v>58.66</v>
      </c>
      <c r="BE152" s="41">
        <f>INDEX('[1]End - Use Prices'!$C$6:$AL$89,MATCH($C152,'[1]End - Use Prices'!$A$6:$A$89,0)+MATCH($D152,'[1]End - Use Prices'!$B$9:$B$11,0)-1,MATCH(BE$1,'[1]End - Use Prices'!$C$7:$AL$7,0))</f>
        <v>58.85</v>
      </c>
      <c r="BF152" s="41">
        <f>INDEX('[1]End - Use Prices'!$C$6:$AL$89,MATCH($C152,'[1]End - Use Prices'!$A$6:$A$89,0)+MATCH($D152,'[1]End - Use Prices'!$B$9:$B$11,0)-1,MATCH(BF$1,'[1]End - Use Prices'!$C$7:$AL$7,0))</f>
        <v>59.04</v>
      </c>
      <c r="BG152" s="41">
        <f>INDEX('[1]End - Use Prices'!$C$6:$AL$89,MATCH($C152,'[1]End - Use Prices'!$A$6:$A$89,0)+MATCH($D152,'[1]End - Use Prices'!$B$9:$B$11,0)-1,MATCH(BG$1,'[1]End - Use Prices'!$C$7:$AL$7,0))</f>
        <v>59.23</v>
      </c>
      <c r="BR152" s="39"/>
      <c r="BS152" s="39"/>
      <c r="BT152" s="39"/>
      <c r="BU152" s="39"/>
      <c r="BV152" s="39"/>
      <c r="BW152" s="39"/>
      <c r="BX152" s="39"/>
      <c r="BY152" s="39"/>
      <c r="BZ152" s="39"/>
      <c r="CA152" s="39"/>
    </row>
    <row r="153" spans="1:79" x14ac:dyDescent="0.25">
      <c r="A153" s="5"/>
      <c r="B153" s="3"/>
      <c r="C153" s="25" t="s">
        <v>87</v>
      </c>
      <c r="D153" s="25" t="s">
        <v>2</v>
      </c>
      <c r="E153" s="25" t="s">
        <v>282</v>
      </c>
      <c r="F153" s="67" t="s">
        <v>279</v>
      </c>
      <c r="G153" s="53">
        <f t="shared" si="25"/>
        <v>37.270000000000003</v>
      </c>
      <c r="H153" s="34">
        <f t="shared" si="26"/>
        <v>37.270000000000003</v>
      </c>
      <c r="I153" s="34">
        <f t="shared" si="26"/>
        <v>40.32</v>
      </c>
      <c r="J153" s="34">
        <f t="shared" si="26"/>
        <v>46.71</v>
      </c>
      <c r="K153" s="34">
        <f t="shared" si="26"/>
        <v>49.31</v>
      </c>
      <c r="L153" s="34">
        <f t="shared" si="26"/>
        <v>53.15</v>
      </c>
      <c r="M153" s="34">
        <f t="shared" si="26"/>
        <v>56.07</v>
      </c>
      <c r="N153" s="34">
        <f t="shared" si="26"/>
        <v>57.94</v>
      </c>
      <c r="O153" s="34">
        <f t="shared" si="26"/>
        <v>58.62</v>
      </c>
      <c r="P153" s="53">
        <f t="shared" si="27"/>
        <v>58.62</v>
      </c>
      <c r="Q153" s="53">
        <f t="shared" si="27"/>
        <v>58.62</v>
      </c>
      <c r="R153" s="38"/>
      <c r="X153" s="41">
        <f>INDEX('[1]End - Use Prices'!$C$6:$AL$89,MATCH($C153,'[1]End - Use Prices'!$A$6:$A$89,0)+MATCH($D153,'[1]End - Use Prices'!$B$9:$B$11,0)-1,MATCH(X$1,'[1]End - Use Prices'!$C$7:$AL$7,0))</f>
        <v>37.270000000000003</v>
      </c>
      <c r="Y153" s="41">
        <f>INDEX('[1]End - Use Prices'!$C$6:$AL$89,MATCH($C153,'[1]End - Use Prices'!$A$6:$A$89,0)+MATCH($D153,'[1]End - Use Prices'!$B$9:$B$11,0)-1,MATCH(Y$1,'[1]End - Use Prices'!$C$7:$AL$7,0))</f>
        <v>41.5</v>
      </c>
      <c r="Z153" s="41">
        <f>INDEX('[1]End - Use Prices'!$C$6:$AL$89,MATCH($C153,'[1]End - Use Prices'!$A$6:$A$89,0)+MATCH($D153,'[1]End - Use Prices'!$B$9:$B$11,0)-1,MATCH(Z$1,'[1]End - Use Prices'!$C$7:$AL$7,0))</f>
        <v>38.799999999999997</v>
      </c>
      <c r="AA153" s="41">
        <f>INDEX('[1]End - Use Prices'!$C$6:$AL$89,MATCH($C153,'[1]End - Use Prices'!$A$6:$A$89,0)+MATCH($D153,'[1]End - Use Prices'!$B$9:$B$11,0)-1,MATCH(AA$1,'[1]End - Use Prices'!$C$7:$AL$7,0))</f>
        <v>36.950000000000003</v>
      </c>
      <c r="AB153" s="41">
        <f>INDEX('[1]End - Use Prices'!$C$6:$AL$89,MATCH($C153,'[1]End - Use Prices'!$A$6:$A$89,0)+MATCH($D153,'[1]End - Use Prices'!$B$9:$B$11,0)-1,MATCH(AB$1,'[1]End - Use Prices'!$C$7:$AL$7,0))</f>
        <v>44.6</v>
      </c>
      <c r="AC153" s="41">
        <f>INDEX('[1]End - Use Prices'!$C$6:$AL$89,MATCH($C153,'[1]End - Use Prices'!$A$6:$A$89,0)+MATCH($D153,'[1]End - Use Prices'!$B$9:$B$11,0)-1,MATCH(AC$1,'[1]End - Use Prices'!$C$7:$AL$7,0))</f>
        <v>40.32</v>
      </c>
      <c r="AD153" s="41">
        <f>INDEX('[1]End - Use Prices'!$C$6:$AL$89,MATCH($C153,'[1]End - Use Prices'!$A$6:$A$89,0)+MATCH($D153,'[1]End - Use Prices'!$B$9:$B$11,0)-1,MATCH(AD$1,'[1]End - Use Prices'!$C$7:$AL$7,0))</f>
        <v>41.27</v>
      </c>
      <c r="AE153" s="41">
        <f>INDEX('[1]End - Use Prices'!$C$6:$AL$89,MATCH($C153,'[1]End - Use Prices'!$A$6:$A$89,0)+MATCH($D153,'[1]End - Use Prices'!$B$9:$B$11,0)-1,MATCH(AE$1,'[1]End - Use Prices'!$C$7:$AL$7,0))</f>
        <v>44.94</v>
      </c>
      <c r="AF153" s="41">
        <f>INDEX('[1]End - Use Prices'!$C$6:$AL$89,MATCH($C153,'[1]End - Use Prices'!$A$6:$A$89,0)+MATCH($D153,'[1]End - Use Prices'!$B$9:$B$11,0)-1,MATCH(AF$1,'[1]End - Use Prices'!$C$7:$AL$7,0))</f>
        <v>45.5</v>
      </c>
      <c r="AG153" s="41">
        <f>INDEX('[1]End - Use Prices'!$C$6:$AL$89,MATCH($C153,'[1]End - Use Prices'!$A$6:$A$89,0)+MATCH($D153,'[1]End - Use Prices'!$B$9:$B$11,0)-1,MATCH(AG$1,'[1]End - Use Prices'!$C$7:$AL$7,0))</f>
        <v>46.34</v>
      </c>
      <c r="AH153" s="41">
        <f>INDEX('[1]End - Use Prices'!$C$6:$AL$89,MATCH($C153,'[1]End - Use Prices'!$A$6:$A$89,0)+MATCH($D153,'[1]End - Use Prices'!$B$9:$B$11,0)-1,MATCH(AH$1,'[1]End - Use Prices'!$C$7:$AL$7,0))</f>
        <v>46.71</v>
      </c>
      <c r="AI153" s="41">
        <f>INDEX('[1]End - Use Prices'!$C$6:$AL$89,MATCH($C153,'[1]End - Use Prices'!$A$6:$A$89,0)+MATCH($D153,'[1]End - Use Prices'!$B$9:$B$11,0)-1,MATCH(AI$1,'[1]End - Use Prices'!$C$7:$AL$7,0))</f>
        <v>46.01</v>
      </c>
      <c r="AJ153" s="41">
        <f>INDEX('[1]End - Use Prices'!$C$6:$AL$89,MATCH($C153,'[1]End - Use Prices'!$A$6:$A$89,0)+MATCH($D153,'[1]End - Use Prices'!$B$9:$B$11,0)-1,MATCH(AJ$1,'[1]End - Use Prices'!$C$7:$AL$7,0))</f>
        <v>46.61</v>
      </c>
      <c r="AK153" s="41">
        <f>INDEX('[1]End - Use Prices'!$C$6:$AL$89,MATCH($C153,'[1]End - Use Prices'!$A$6:$A$89,0)+MATCH($D153,'[1]End - Use Prices'!$B$9:$B$11,0)-1,MATCH(AK$1,'[1]End - Use Prices'!$C$7:$AL$7,0))</f>
        <v>47.54</v>
      </c>
      <c r="AL153" s="41">
        <f>INDEX('[1]End - Use Prices'!$C$6:$AL$89,MATCH($C153,'[1]End - Use Prices'!$A$6:$A$89,0)+MATCH($D153,'[1]End - Use Prices'!$B$9:$B$11,0)-1,MATCH(AL$1,'[1]End - Use Prices'!$C$7:$AL$7,0))</f>
        <v>48.44</v>
      </c>
      <c r="AM153" s="41">
        <f>INDEX('[1]End - Use Prices'!$C$6:$AL$89,MATCH($C153,'[1]End - Use Prices'!$A$6:$A$89,0)+MATCH($D153,'[1]End - Use Prices'!$B$9:$B$11,0)-1,MATCH(AM$1,'[1]End - Use Prices'!$C$7:$AL$7,0))</f>
        <v>49.31</v>
      </c>
      <c r="AN153" s="41">
        <f>INDEX('[1]End - Use Prices'!$C$6:$AL$89,MATCH($C153,'[1]End - Use Prices'!$A$6:$A$89,0)+MATCH($D153,'[1]End - Use Prices'!$B$9:$B$11,0)-1,MATCH(AN$1,'[1]End - Use Prices'!$C$7:$AL$7,0))</f>
        <v>50.14</v>
      </c>
      <c r="AO153" s="41">
        <f>INDEX('[1]End - Use Prices'!$C$6:$AL$89,MATCH($C153,'[1]End - Use Prices'!$A$6:$A$89,0)+MATCH($D153,'[1]End - Use Prices'!$B$9:$B$11,0)-1,MATCH(AO$1,'[1]End - Use Prices'!$C$7:$AL$7,0))</f>
        <v>50.94</v>
      </c>
      <c r="AP153" s="41">
        <f>INDEX('[1]End - Use Prices'!$C$6:$AL$89,MATCH($C153,'[1]End - Use Prices'!$A$6:$A$89,0)+MATCH($D153,'[1]End - Use Prices'!$B$9:$B$11,0)-1,MATCH(AP$1,'[1]End - Use Prices'!$C$7:$AL$7,0))</f>
        <v>51.71</v>
      </c>
      <c r="AQ153" s="41">
        <f>INDEX('[1]End - Use Prices'!$C$6:$AL$89,MATCH($C153,'[1]End - Use Prices'!$A$6:$A$89,0)+MATCH($D153,'[1]End - Use Prices'!$B$9:$B$11,0)-1,MATCH(AQ$1,'[1]End - Use Prices'!$C$7:$AL$7,0))</f>
        <v>52.45</v>
      </c>
      <c r="AR153" s="41">
        <f>INDEX('[1]End - Use Prices'!$C$6:$AL$89,MATCH($C153,'[1]End - Use Prices'!$A$6:$A$89,0)+MATCH($D153,'[1]End - Use Prices'!$B$9:$B$11,0)-1,MATCH(AR$1,'[1]End - Use Prices'!$C$7:$AL$7,0))</f>
        <v>53.15</v>
      </c>
      <c r="AS153" s="41">
        <f>INDEX('[1]End - Use Prices'!$C$6:$AL$89,MATCH($C153,'[1]End - Use Prices'!$A$6:$A$89,0)+MATCH($D153,'[1]End - Use Prices'!$B$9:$B$11,0)-1,MATCH(AS$1,'[1]End - Use Prices'!$C$7:$AL$7,0))</f>
        <v>53.81</v>
      </c>
      <c r="AT153" s="41">
        <f>INDEX('[1]End - Use Prices'!$C$6:$AL$89,MATCH($C153,'[1]End - Use Prices'!$A$6:$A$89,0)+MATCH($D153,'[1]End - Use Prices'!$B$9:$B$11,0)-1,MATCH(AT$1,'[1]End - Use Prices'!$C$7:$AL$7,0))</f>
        <v>54.43</v>
      </c>
      <c r="AU153" s="41">
        <f>INDEX('[1]End - Use Prices'!$C$6:$AL$89,MATCH($C153,'[1]End - Use Prices'!$A$6:$A$89,0)+MATCH($D153,'[1]End - Use Prices'!$B$9:$B$11,0)-1,MATCH(AU$1,'[1]End - Use Prices'!$C$7:$AL$7,0))</f>
        <v>55.02</v>
      </c>
      <c r="AV153" s="41">
        <f>INDEX('[1]End - Use Prices'!$C$6:$AL$89,MATCH($C153,'[1]End - Use Prices'!$A$6:$A$89,0)+MATCH($D153,'[1]End - Use Prices'!$B$9:$B$11,0)-1,MATCH(AV$1,'[1]End - Use Prices'!$C$7:$AL$7,0))</f>
        <v>55.56</v>
      </c>
      <c r="AW153" s="41">
        <f>INDEX('[1]End - Use Prices'!$C$6:$AL$89,MATCH($C153,'[1]End - Use Prices'!$A$6:$A$89,0)+MATCH($D153,'[1]End - Use Prices'!$B$9:$B$11,0)-1,MATCH(AW$1,'[1]End - Use Prices'!$C$7:$AL$7,0))</f>
        <v>56.07</v>
      </c>
      <c r="AX153" s="41">
        <f>INDEX('[1]End - Use Prices'!$C$6:$AL$89,MATCH($C153,'[1]End - Use Prices'!$A$6:$A$89,0)+MATCH($D153,'[1]End - Use Prices'!$B$9:$B$11,0)-1,MATCH(AX$1,'[1]End - Use Prices'!$C$7:$AL$7,0))</f>
        <v>56.53</v>
      </c>
      <c r="AY153" s="41">
        <f>INDEX('[1]End - Use Prices'!$C$6:$AL$89,MATCH($C153,'[1]End - Use Prices'!$A$6:$A$89,0)+MATCH($D153,'[1]End - Use Prices'!$B$9:$B$11,0)-1,MATCH(AY$1,'[1]End - Use Prices'!$C$7:$AL$7,0))</f>
        <v>56.95</v>
      </c>
      <c r="AZ153" s="41">
        <f>INDEX('[1]End - Use Prices'!$C$6:$AL$89,MATCH($C153,'[1]End - Use Prices'!$A$6:$A$89,0)+MATCH($D153,'[1]End - Use Prices'!$B$9:$B$11,0)-1,MATCH(AZ$1,'[1]End - Use Prices'!$C$7:$AL$7,0))</f>
        <v>57.32</v>
      </c>
      <c r="BA153" s="41">
        <f>INDEX('[1]End - Use Prices'!$C$6:$AL$89,MATCH($C153,'[1]End - Use Prices'!$A$6:$A$89,0)+MATCH($D153,'[1]End - Use Prices'!$B$9:$B$11,0)-1,MATCH(BA$1,'[1]End - Use Prices'!$C$7:$AL$7,0))</f>
        <v>57.65</v>
      </c>
      <c r="BB153" s="41">
        <f>INDEX('[1]End - Use Prices'!$C$6:$AL$89,MATCH($C153,'[1]End - Use Prices'!$A$6:$A$89,0)+MATCH($D153,'[1]End - Use Prices'!$B$9:$B$11,0)-1,MATCH(BB$1,'[1]End - Use Prices'!$C$7:$AL$7,0))</f>
        <v>57.94</v>
      </c>
      <c r="BC153" s="41">
        <f>INDEX('[1]End - Use Prices'!$C$6:$AL$89,MATCH($C153,'[1]End - Use Prices'!$A$6:$A$89,0)+MATCH($D153,'[1]End - Use Prices'!$B$9:$B$11,0)-1,MATCH(BC$1,'[1]End - Use Prices'!$C$7:$AL$7,0))</f>
        <v>58.17</v>
      </c>
      <c r="BD153" s="41">
        <f>INDEX('[1]End - Use Prices'!$C$6:$AL$89,MATCH($C153,'[1]End - Use Prices'!$A$6:$A$89,0)+MATCH($D153,'[1]End - Use Prices'!$B$9:$B$11,0)-1,MATCH(BD$1,'[1]End - Use Prices'!$C$7:$AL$7,0))</f>
        <v>58.36</v>
      </c>
      <c r="BE153" s="41">
        <f>INDEX('[1]End - Use Prices'!$C$6:$AL$89,MATCH($C153,'[1]End - Use Prices'!$A$6:$A$89,0)+MATCH($D153,'[1]End - Use Prices'!$B$9:$B$11,0)-1,MATCH(BE$1,'[1]End - Use Prices'!$C$7:$AL$7,0))</f>
        <v>58.5</v>
      </c>
      <c r="BF153" s="41">
        <f>INDEX('[1]End - Use Prices'!$C$6:$AL$89,MATCH($C153,'[1]End - Use Prices'!$A$6:$A$89,0)+MATCH($D153,'[1]End - Use Prices'!$B$9:$B$11,0)-1,MATCH(BF$1,'[1]End - Use Prices'!$C$7:$AL$7,0))</f>
        <v>58.59</v>
      </c>
      <c r="BG153" s="41">
        <f>INDEX('[1]End - Use Prices'!$C$6:$AL$89,MATCH($C153,'[1]End - Use Prices'!$A$6:$A$89,0)+MATCH($D153,'[1]End - Use Prices'!$B$9:$B$11,0)-1,MATCH(BG$1,'[1]End - Use Prices'!$C$7:$AL$7,0))</f>
        <v>58.62</v>
      </c>
      <c r="BR153" s="39"/>
      <c r="BS153" s="39"/>
      <c r="BT153" s="39"/>
      <c r="BU153" s="39"/>
      <c r="BV153" s="39"/>
      <c r="BW153" s="39"/>
      <c r="BX153" s="39"/>
      <c r="BY153" s="39"/>
      <c r="BZ153" s="39"/>
      <c r="CA153" s="39"/>
    </row>
    <row r="154" spans="1:79" x14ac:dyDescent="0.25">
      <c r="A154" s="5"/>
      <c r="B154" s="3"/>
      <c r="C154" s="25" t="s">
        <v>88</v>
      </c>
      <c r="D154" s="25" t="s">
        <v>2</v>
      </c>
      <c r="E154" s="25" t="s">
        <v>282</v>
      </c>
      <c r="F154" s="67" t="s">
        <v>279</v>
      </c>
      <c r="G154" s="53">
        <f t="shared" si="25"/>
        <v>35.630000000000003</v>
      </c>
      <c r="H154" s="34">
        <f t="shared" si="26"/>
        <v>35.630000000000003</v>
      </c>
      <c r="I154" s="34">
        <f t="shared" si="26"/>
        <v>42.27</v>
      </c>
      <c r="J154" s="34">
        <f t="shared" si="26"/>
        <v>41.52</v>
      </c>
      <c r="K154" s="34">
        <f t="shared" si="26"/>
        <v>44.47</v>
      </c>
      <c r="L154" s="34">
        <f t="shared" si="26"/>
        <v>47.37</v>
      </c>
      <c r="M154" s="34">
        <f t="shared" si="26"/>
        <v>50.45</v>
      </c>
      <c r="N154" s="34">
        <f t="shared" si="26"/>
        <v>53.74</v>
      </c>
      <c r="O154" s="34">
        <f t="shared" si="26"/>
        <v>57.24</v>
      </c>
      <c r="P154" s="53">
        <f t="shared" si="27"/>
        <v>57.24</v>
      </c>
      <c r="Q154" s="53">
        <f t="shared" si="27"/>
        <v>57.24</v>
      </c>
      <c r="R154" s="38"/>
      <c r="X154" s="41">
        <f>INDEX('[1]End - Use Prices'!$C$6:$AL$89,MATCH($C154,'[1]End - Use Prices'!$A$6:$A$89,0)+MATCH($D154,'[1]End - Use Prices'!$B$9:$B$11,0)-1,MATCH(X$1,'[1]End - Use Prices'!$C$7:$AL$7,0))</f>
        <v>35.630000000000003</v>
      </c>
      <c r="Y154" s="41">
        <f>INDEX('[1]End - Use Prices'!$C$6:$AL$89,MATCH($C154,'[1]End - Use Prices'!$A$6:$A$89,0)+MATCH($D154,'[1]End - Use Prices'!$B$9:$B$11,0)-1,MATCH(Y$1,'[1]End - Use Prices'!$C$7:$AL$7,0))</f>
        <v>40.94</v>
      </c>
      <c r="Z154" s="41">
        <f>INDEX('[1]End - Use Prices'!$C$6:$AL$89,MATCH($C154,'[1]End - Use Prices'!$A$6:$A$89,0)+MATCH($D154,'[1]End - Use Prices'!$B$9:$B$11,0)-1,MATCH(Z$1,'[1]End - Use Prices'!$C$7:$AL$7,0))</f>
        <v>42.23</v>
      </c>
      <c r="AA154" s="41">
        <f>INDEX('[1]End - Use Prices'!$C$6:$AL$89,MATCH($C154,'[1]End - Use Prices'!$A$6:$A$89,0)+MATCH($D154,'[1]End - Use Prices'!$B$9:$B$11,0)-1,MATCH(AA$1,'[1]End - Use Prices'!$C$7:$AL$7,0))</f>
        <v>41.92</v>
      </c>
      <c r="AB154" s="41">
        <f>INDEX('[1]End - Use Prices'!$C$6:$AL$89,MATCH($C154,'[1]End - Use Prices'!$A$6:$A$89,0)+MATCH($D154,'[1]End - Use Prices'!$B$9:$B$11,0)-1,MATCH(AB$1,'[1]End - Use Prices'!$C$7:$AL$7,0))</f>
        <v>43.47</v>
      </c>
      <c r="AC154" s="41">
        <f>INDEX('[1]End - Use Prices'!$C$6:$AL$89,MATCH($C154,'[1]End - Use Prices'!$A$6:$A$89,0)+MATCH($D154,'[1]End - Use Prices'!$B$9:$B$11,0)-1,MATCH(AC$1,'[1]End - Use Prices'!$C$7:$AL$7,0))</f>
        <v>42.27</v>
      </c>
      <c r="AD154" s="41">
        <f>INDEX('[1]End - Use Prices'!$C$6:$AL$89,MATCH($C154,'[1]End - Use Prices'!$A$6:$A$89,0)+MATCH($D154,'[1]End - Use Prices'!$B$9:$B$11,0)-1,MATCH(AD$1,'[1]End - Use Prices'!$C$7:$AL$7,0))</f>
        <v>41.5</v>
      </c>
      <c r="AE154" s="41">
        <f>INDEX('[1]End - Use Prices'!$C$6:$AL$89,MATCH($C154,'[1]End - Use Prices'!$A$6:$A$89,0)+MATCH($D154,'[1]End - Use Prices'!$B$9:$B$11,0)-1,MATCH(AE$1,'[1]End - Use Prices'!$C$7:$AL$7,0))</f>
        <v>41</v>
      </c>
      <c r="AF154" s="41">
        <f>INDEX('[1]End - Use Prices'!$C$6:$AL$89,MATCH($C154,'[1]End - Use Prices'!$A$6:$A$89,0)+MATCH($D154,'[1]End - Use Prices'!$B$9:$B$11,0)-1,MATCH(AF$1,'[1]End - Use Prices'!$C$7:$AL$7,0))</f>
        <v>40.340000000000003</v>
      </c>
      <c r="AG154" s="41">
        <f>INDEX('[1]End - Use Prices'!$C$6:$AL$89,MATCH($C154,'[1]End - Use Prices'!$A$6:$A$89,0)+MATCH($D154,'[1]End - Use Prices'!$B$9:$B$11,0)-1,MATCH(AG$1,'[1]End - Use Prices'!$C$7:$AL$7,0))</f>
        <v>40.39</v>
      </c>
      <c r="AH154" s="41">
        <f>INDEX('[1]End - Use Prices'!$C$6:$AL$89,MATCH($C154,'[1]End - Use Prices'!$A$6:$A$89,0)+MATCH($D154,'[1]End - Use Prices'!$B$9:$B$11,0)-1,MATCH(AH$1,'[1]End - Use Prices'!$C$7:$AL$7,0))</f>
        <v>41.52</v>
      </c>
      <c r="AI154" s="41">
        <f>INDEX('[1]End - Use Prices'!$C$6:$AL$89,MATCH($C154,'[1]End - Use Prices'!$A$6:$A$89,0)+MATCH($D154,'[1]End - Use Prices'!$B$9:$B$11,0)-1,MATCH(AI$1,'[1]End - Use Prices'!$C$7:$AL$7,0))</f>
        <v>42.28</v>
      </c>
      <c r="AJ154" s="41">
        <f>INDEX('[1]End - Use Prices'!$C$6:$AL$89,MATCH($C154,'[1]End - Use Prices'!$A$6:$A$89,0)+MATCH($D154,'[1]End - Use Prices'!$B$9:$B$11,0)-1,MATCH(AJ$1,'[1]End - Use Prices'!$C$7:$AL$7,0))</f>
        <v>42.82</v>
      </c>
      <c r="AK154" s="41">
        <f>INDEX('[1]End - Use Prices'!$C$6:$AL$89,MATCH($C154,'[1]End - Use Prices'!$A$6:$A$89,0)+MATCH($D154,'[1]End - Use Prices'!$B$9:$B$11,0)-1,MATCH(AK$1,'[1]End - Use Prices'!$C$7:$AL$7,0))</f>
        <v>43.37</v>
      </c>
      <c r="AL154" s="41">
        <f>INDEX('[1]End - Use Prices'!$C$6:$AL$89,MATCH($C154,'[1]End - Use Prices'!$A$6:$A$89,0)+MATCH($D154,'[1]End - Use Prices'!$B$9:$B$11,0)-1,MATCH(AL$1,'[1]End - Use Prices'!$C$7:$AL$7,0))</f>
        <v>43.92</v>
      </c>
      <c r="AM154" s="41">
        <f>INDEX('[1]End - Use Prices'!$C$6:$AL$89,MATCH($C154,'[1]End - Use Prices'!$A$6:$A$89,0)+MATCH($D154,'[1]End - Use Prices'!$B$9:$B$11,0)-1,MATCH(AM$1,'[1]End - Use Prices'!$C$7:$AL$7,0))</f>
        <v>44.47</v>
      </c>
      <c r="AN154" s="41">
        <f>INDEX('[1]End - Use Prices'!$C$6:$AL$89,MATCH($C154,'[1]End - Use Prices'!$A$6:$A$89,0)+MATCH($D154,'[1]End - Use Prices'!$B$9:$B$11,0)-1,MATCH(AN$1,'[1]End - Use Prices'!$C$7:$AL$7,0))</f>
        <v>45.04</v>
      </c>
      <c r="AO154" s="41">
        <f>INDEX('[1]End - Use Prices'!$C$6:$AL$89,MATCH($C154,'[1]End - Use Prices'!$A$6:$A$89,0)+MATCH($D154,'[1]End - Use Prices'!$B$9:$B$11,0)-1,MATCH(AO$1,'[1]End - Use Prices'!$C$7:$AL$7,0))</f>
        <v>45.61</v>
      </c>
      <c r="AP154" s="41">
        <f>INDEX('[1]End - Use Prices'!$C$6:$AL$89,MATCH($C154,'[1]End - Use Prices'!$A$6:$A$89,0)+MATCH($D154,'[1]End - Use Prices'!$B$9:$B$11,0)-1,MATCH(AP$1,'[1]End - Use Prices'!$C$7:$AL$7,0))</f>
        <v>46.19</v>
      </c>
      <c r="AQ154" s="41">
        <f>INDEX('[1]End - Use Prices'!$C$6:$AL$89,MATCH($C154,'[1]End - Use Prices'!$A$6:$A$89,0)+MATCH($D154,'[1]End - Use Prices'!$B$9:$B$11,0)-1,MATCH(AQ$1,'[1]End - Use Prices'!$C$7:$AL$7,0))</f>
        <v>46.78</v>
      </c>
      <c r="AR154" s="41">
        <f>INDEX('[1]End - Use Prices'!$C$6:$AL$89,MATCH($C154,'[1]End - Use Prices'!$A$6:$A$89,0)+MATCH($D154,'[1]End - Use Prices'!$B$9:$B$11,0)-1,MATCH(AR$1,'[1]End - Use Prices'!$C$7:$AL$7,0))</f>
        <v>47.37</v>
      </c>
      <c r="AS154" s="41">
        <f>INDEX('[1]End - Use Prices'!$C$6:$AL$89,MATCH($C154,'[1]End - Use Prices'!$A$6:$A$89,0)+MATCH($D154,'[1]End - Use Prices'!$B$9:$B$11,0)-1,MATCH(AS$1,'[1]End - Use Prices'!$C$7:$AL$7,0))</f>
        <v>47.97</v>
      </c>
      <c r="AT154" s="41">
        <f>INDEX('[1]End - Use Prices'!$C$6:$AL$89,MATCH($C154,'[1]End - Use Prices'!$A$6:$A$89,0)+MATCH($D154,'[1]End - Use Prices'!$B$9:$B$11,0)-1,MATCH(AT$1,'[1]End - Use Prices'!$C$7:$AL$7,0))</f>
        <v>48.58</v>
      </c>
      <c r="AU154" s="41">
        <f>INDEX('[1]End - Use Prices'!$C$6:$AL$89,MATCH($C154,'[1]End - Use Prices'!$A$6:$A$89,0)+MATCH($D154,'[1]End - Use Prices'!$B$9:$B$11,0)-1,MATCH(AU$1,'[1]End - Use Prices'!$C$7:$AL$7,0))</f>
        <v>49.2</v>
      </c>
      <c r="AV154" s="41">
        <f>INDEX('[1]End - Use Prices'!$C$6:$AL$89,MATCH($C154,'[1]End - Use Prices'!$A$6:$A$89,0)+MATCH($D154,'[1]End - Use Prices'!$B$9:$B$11,0)-1,MATCH(AV$1,'[1]End - Use Prices'!$C$7:$AL$7,0))</f>
        <v>49.82</v>
      </c>
      <c r="AW154" s="41">
        <f>INDEX('[1]End - Use Prices'!$C$6:$AL$89,MATCH($C154,'[1]End - Use Prices'!$A$6:$A$89,0)+MATCH($D154,'[1]End - Use Prices'!$B$9:$B$11,0)-1,MATCH(AW$1,'[1]End - Use Prices'!$C$7:$AL$7,0))</f>
        <v>50.45</v>
      </c>
      <c r="AX154" s="41">
        <f>INDEX('[1]End - Use Prices'!$C$6:$AL$89,MATCH($C154,'[1]End - Use Prices'!$A$6:$A$89,0)+MATCH($D154,'[1]End - Use Prices'!$B$9:$B$11,0)-1,MATCH(AX$1,'[1]End - Use Prices'!$C$7:$AL$7,0))</f>
        <v>51.09</v>
      </c>
      <c r="AY154" s="41">
        <f>INDEX('[1]End - Use Prices'!$C$6:$AL$89,MATCH($C154,'[1]End - Use Prices'!$A$6:$A$89,0)+MATCH($D154,'[1]End - Use Prices'!$B$9:$B$11,0)-1,MATCH(AY$1,'[1]End - Use Prices'!$C$7:$AL$7,0))</f>
        <v>51.74</v>
      </c>
      <c r="AZ154" s="41">
        <f>INDEX('[1]End - Use Prices'!$C$6:$AL$89,MATCH($C154,'[1]End - Use Prices'!$A$6:$A$89,0)+MATCH($D154,'[1]End - Use Prices'!$B$9:$B$11,0)-1,MATCH(AZ$1,'[1]End - Use Prices'!$C$7:$AL$7,0))</f>
        <v>52.4</v>
      </c>
      <c r="BA154" s="41">
        <f>INDEX('[1]End - Use Prices'!$C$6:$AL$89,MATCH($C154,'[1]End - Use Prices'!$A$6:$A$89,0)+MATCH($D154,'[1]End - Use Prices'!$B$9:$B$11,0)-1,MATCH(BA$1,'[1]End - Use Prices'!$C$7:$AL$7,0))</f>
        <v>53.07</v>
      </c>
      <c r="BB154" s="41">
        <f>INDEX('[1]End - Use Prices'!$C$6:$AL$89,MATCH($C154,'[1]End - Use Prices'!$A$6:$A$89,0)+MATCH($D154,'[1]End - Use Prices'!$B$9:$B$11,0)-1,MATCH(BB$1,'[1]End - Use Prices'!$C$7:$AL$7,0))</f>
        <v>53.74</v>
      </c>
      <c r="BC154" s="41">
        <f>INDEX('[1]End - Use Prices'!$C$6:$AL$89,MATCH($C154,'[1]End - Use Prices'!$A$6:$A$89,0)+MATCH($D154,'[1]End - Use Prices'!$B$9:$B$11,0)-1,MATCH(BC$1,'[1]End - Use Prices'!$C$7:$AL$7,0))</f>
        <v>54.42</v>
      </c>
      <c r="BD154" s="41">
        <f>INDEX('[1]End - Use Prices'!$C$6:$AL$89,MATCH($C154,'[1]End - Use Prices'!$A$6:$A$89,0)+MATCH($D154,'[1]End - Use Prices'!$B$9:$B$11,0)-1,MATCH(BD$1,'[1]End - Use Prices'!$C$7:$AL$7,0))</f>
        <v>55.11</v>
      </c>
      <c r="BE154" s="41">
        <f>INDEX('[1]End - Use Prices'!$C$6:$AL$89,MATCH($C154,'[1]End - Use Prices'!$A$6:$A$89,0)+MATCH($D154,'[1]End - Use Prices'!$B$9:$B$11,0)-1,MATCH(BE$1,'[1]End - Use Prices'!$C$7:$AL$7,0))</f>
        <v>55.81</v>
      </c>
      <c r="BF154" s="41">
        <f>INDEX('[1]End - Use Prices'!$C$6:$AL$89,MATCH($C154,'[1]End - Use Prices'!$A$6:$A$89,0)+MATCH($D154,'[1]End - Use Prices'!$B$9:$B$11,0)-1,MATCH(BF$1,'[1]End - Use Prices'!$C$7:$AL$7,0))</f>
        <v>56.52</v>
      </c>
      <c r="BG154" s="41">
        <f>INDEX('[1]End - Use Prices'!$C$6:$AL$89,MATCH($C154,'[1]End - Use Prices'!$A$6:$A$89,0)+MATCH($D154,'[1]End - Use Prices'!$B$9:$B$11,0)-1,MATCH(BG$1,'[1]End - Use Prices'!$C$7:$AL$7,0))</f>
        <v>57.24</v>
      </c>
      <c r="BR154" s="39"/>
      <c r="BS154" s="39"/>
      <c r="BT154" s="39"/>
      <c r="BU154" s="39"/>
      <c r="BV154" s="39"/>
      <c r="BW154" s="39"/>
      <c r="BX154" s="39"/>
      <c r="BY154" s="39"/>
      <c r="BZ154" s="39"/>
      <c r="CA154" s="39"/>
    </row>
    <row r="155" spans="1:79" x14ac:dyDescent="0.25">
      <c r="A155" s="5"/>
      <c r="B155" s="3"/>
      <c r="C155" s="25" t="s">
        <v>89</v>
      </c>
      <c r="D155" s="25" t="s">
        <v>2</v>
      </c>
      <c r="E155" s="25" t="s">
        <v>282</v>
      </c>
      <c r="F155" s="67" t="s">
        <v>279</v>
      </c>
      <c r="G155" s="53">
        <f t="shared" si="25"/>
        <v>23.05</v>
      </c>
      <c r="H155" s="34">
        <f t="shared" si="26"/>
        <v>23.05</v>
      </c>
      <c r="I155" s="34">
        <f t="shared" si="26"/>
        <v>24.86</v>
      </c>
      <c r="J155" s="34">
        <f t="shared" si="26"/>
        <v>25.13</v>
      </c>
      <c r="K155" s="34">
        <f t="shared" si="26"/>
        <v>26.11</v>
      </c>
      <c r="L155" s="34">
        <f t="shared" si="26"/>
        <v>27.44</v>
      </c>
      <c r="M155" s="34">
        <f t="shared" si="26"/>
        <v>28.84</v>
      </c>
      <c r="N155" s="34">
        <f t="shared" si="26"/>
        <v>30.3</v>
      </c>
      <c r="O155" s="34">
        <f t="shared" si="26"/>
        <v>31.84</v>
      </c>
      <c r="P155" s="53">
        <f t="shared" si="27"/>
        <v>31.84</v>
      </c>
      <c r="Q155" s="53">
        <f t="shared" si="27"/>
        <v>31.84</v>
      </c>
      <c r="R155" s="38"/>
      <c r="X155" s="41">
        <f>INDEX('[1]End - Use Prices'!$C$6:$AL$89,MATCH($C155,'[1]End - Use Prices'!$A$6:$A$89,0)+MATCH($D155,'[1]End - Use Prices'!$B$9:$B$11,0)-1,MATCH(X$1,'[1]End - Use Prices'!$C$7:$AL$7,0))</f>
        <v>23.05</v>
      </c>
      <c r="Y155" s="41">
        <f>INDEX('[1]End - Use Prices'!$C$6:$AL$89,MATCH($C155,'[1]End - Use Prices'!$A$6:$A$89,0)+MATCH($D155,'[1]End - Use Prices'!$B$9:$B$11,0)-1,MATCH(Y$1,'[1]End - Use Prices'!$C$7:$AL$7,0))</f>
        <v>26.62</v>
      </c>
      <c r="Z155" s="41">
        <f>INDEX('[1]End - Use Prices'!$C$6:$AL$89,MATCH($C155,'[1]End - Use Prices'!$A$6:$A$89,0)+MATCH($D155,'[1]End - Use Prices'!$B$9:$B$11,0)-1,MATCH(Z$1,'[1]End - Use Prices'!$C$7:$AL$7,0))</f>
        <v>25.75</v>
      </c>
      <c r="AA155" s="41">
        <f>INDEX('[1]End - Use Prices'!$C$6:$AL$89,MATCH($C155,'[1]End - Use Prices'!$A$6:$A$89,0)+MATCH($D155,'[1]End - Use Prices'!$B$9:$B$11,0)-1,MATCH(AA$1,'[1]End - Use Prices'!$C$7:$AL$7,0))</f>
        <v>24.75</v>
      </c>
      <c r="AB155" s="41">
        <f>INDEX('[1]End - Use Prices'!$C$6:$AL$89,MATCH($C155,'[1]End - Use Prices'!$A$6:$A$89,0)+MATCH($D155,'[1]End - Use Prices'!$B$9:$B$11,0)-1,MATCH(AB$1,'[1]End - Use Prices'!$C$7:$AL$7,0))</f>
        <v>25.57</v>
      </c>
      <c r="AC155" s="41">
        <f>INDEX('[1]End - Use Prices'!$C$6:$AL$89,MATCH($C155,'[1]End - Use Prices'!$A$6:$A$89,0)+MATCH($D155,'[1]End - Use Prices'!$B$9:$B$11,0)-1,MATCH(AC$1,'[1]End - Use Prices'!$C$7:$AL$7,0))</f>
        <v>24.86</v>
      </c>
      <c r="AD155" s="41">
        <f>INDEX('[1]End - Use Prices'!$C$6:$AL$89,MATCH($C155,'[1]End - Use Prices'!$A$6:$A$89,0)+MATCH($D155,'[1]End - Use Prices'!$B$9:$B$11,0)-1,MATCH(AD$1,'[1]End - Use Prices'!$C$7:$AL$7,0))</f>
        <v>24.33</v>
      </c>
      <c r="AE155" s="41">
        <f>INDEX('[1]End - Use Prices'!$C$6:$AL$89,MATCH($C155,'[1]End - Use Prices'!$A$6:$A$89,0)+MATCH($D155,'[1]End - Use Prices'!$B$9:$B$11,0)-1,MATCH(AE$1,'[1]End - Use Prices'!$C$7:$AL$7,0))</f>
        <v>24.26</v>
      </c>
      <c r="AF155" s="41">
        <f>INDEX('[1]End - Use Prices'!$C$6:$AL$89,MATCH($C155,'[1]End - Use Prices'!$A$6:$A$89,0)+MATCH($D155,'[1]End - Use Prices'!$B$9:$B$11,0)-1,MATCH(AF$1,'[1]End - Use Prices'!$C$7:$AL$7,0))</f>
        <v>24.24</v>
      </c>
      <c r="AG155" s="41">
        <f>INDEX('[1]End - Use Prices'!$C$6:$AL$89,MATCH($C155,'[1]End - Use Prices'!$A$6:$A$89,0)+MATCH($D155,'[1]End - Use Prices'!$B$9:$B$11,0)-1,MATCH(AG$1,'[1]End - Use Prices'!$C$7:$AL$7,0))</f>
        <v>24.48</v>
      </c>
      <c r="AH155" s="41">
        <f>INDEX('[1]End - Use Prices'!$C$6:$AL$89,MATCH($C155,'[1]End - Use Prices'!$A$6:$A$89,0)+MATCH($D155,'[1]End - Use Prices'!$B$9:$B$11,0)-1,MATCH(AH$1,'[1]End - Use Prices'!$C$7:$AL$7,0))</f>
        <v>25.13</v>
      </c>
      <c r="AI155" s="41">
        <f>INDEX('[1]End - Use Prices'!$C$6:$AL$89,MATCH($C155,'[1]End - Use Prices'!$A$6:$A$89,0)+MATCH($D155,'[1]End - Use Prices'!$B$9:$B$11,0)-1,MATCH(AI$1,'[1]End - Use Prices'!$C$7:$AL$7,0))</f>
        <v>25.1</v>
      </c>
      <c r="AJ155" s="41">
        <f>INDEX('[1]End - Use Prices'!$C$6:$AL$89,MATCH($C155,'[1]End - Use Prices'!$A$6:$A$89,0)+MATCH($D155,'[1]End - Use Prices'!$B$9:$B$11,0)-1,MATCH(AJ$1,'[1]End - Use Prices'!$C$7:$AL$7,0))</f>
        <v>25.35</v>
      </c>
      <c r="AK155" s="41">
        <f>INDEX('[1]End - Use Prices'!$C$6:$AL$89,MATCH($C155,'[1]End - Use Prices'!$A$6:$A$89,0)+MATCH($D155,'[1]End - Use Prices'!$B$9:$B$11,0)-1,MATCH(AK$1,'[1]End - Use Prices'!$C$7:$AL$7,0))</f>
        <v>25.6</v>
      </c>
      <c r="AL155" s="41">
        <f>INDEX('[1]End - Use Prices'!$C$6:$AL$89,MATCH($C155,'[1]End - Use Prices'!$A$6:$A$89,0)+MATCH($D155,'[1]End - Use Prices'!$B$9:$B$11,0)-1,MATCH(AL$1,'[1]End - Use Prices'!$C$7:$AL$7,0))</f>
        <v>25.86</v>
      </c>
      <c r="AM155" s="41">
        <f>INDEX('[1]End - Use Prices'!$C$6:$AL$89,MATCH($C155,'[1]End - Use Prices'!$A$6:$A$89,0)+MATCH($D155,'[1]End - Use Prices'!$B$9:$B$11,0)-1,MATCH(AM$1,'[1]End - Use Prices'!$C$7:$AL$7,0))</f>
        <v>26.11</v>
      </c>
      <c r="AN155" s="41">
        <f>INDEX('[1]End - Use Prices'!$C$6:$AL$89,MATCH($C155,'[1]End - Use Prices'!$A$6:$A$89,0)+MATCH($D155,'[1]End - Use Prices'!$B$9:$B$11,0)-1,MATCH(AN$1,'[1]End - Use Prices'!$C$7:$AL$7,0))</f>
        <v>26.37</v>
      </c>
      <c r="AO155" s="41">
        <f>INDEX('[1]End - Use Prices'!$C$6:$AL$89,MATCH($C155,'[1]End - Use Prices'!$A$6:$A$89,0)+MATCH($D155,'[1]End - Use Prices'!$B$9:$B$11,0)-1,MATCH(AO$1,'[1]End - Use Prices'!$C$7:$AL$7,0))</f>
        <v>26.64</v>
      </c>
      <c r="AP155" s="41">
        <f>INDEX('[1]End - Use Prices'!$C$6:$AL$89,MATCH($C155,'[1]End - Use Prices'!$A$6:$A$89,0)+MATCH($D155,'[1]End - Use Prices'!$B$9:$B$11,0)-1,MATCH(AP$1,'[1]End - Use Prices'!$C$7:$AL$7,0))</f>
        <v>26.9</v>
      </c>
      <c r="AQ155" s="41">
        <f>INDEX('[1]End - Use Prices'!$C$6:$AL$89,MATCH($C155,'[1]End - Use Prices'!$A$6:$A$89,0)+MATCH($D155,'[1]End - Use Prices'!$B$9:$B$11,0)-1,MATCH(AQ$1,'[1]End - Use Prices'!$C$7:$AL$7,0))</f>
        <v>27.17</v>
      </c>
      <c r="AR155" s="41">
        <f>INDEX('[1]End - Use Prices'!$C$6:$AL$89,MATCH($C155,'[1]End - Use Prices'!$A$6:$A$89,0)+MATCH($D155,'[1]End - Use Prices'!$B$9:$B$11,0)-1,MATCH(AR$1,'[1]End - Use Prices'!$C$7:$AL$7,0))</f>
        <v>27.44</v>
      </c>
      <c r="AS155" s="41">
        <f>INDEX('[1]End - Use Prices'!$C$6:$AL$89,MATCH($C155,'[1]End - Use Prices'!$A$6:$A$89,0)+MATCH($D155,'[1]End - Use Prices'!$B$9:$B$11,0)-1,MATCH(AS$1,'[1]End - Use Prices'!$C$7:$AL$7,0))</f>
        <v>27.72</v>
      </c>
      <c r="AT155" s="41">
        <f>INDEX('[1]End - Use Prices'!$C$6:$AL$89,MATCH($C155,'[1]End - Use Prices'!$A$6:$A$89,0)+MATCH($D155,'[1]End - Use Prices'!$B$9:$B$11,0)-1,MATCH(AT$1,'[1]End - Use Prices'!$C$7:$AL$7,0))</f>
        <v>27.99</v>
      </c>
      <c r="AU155" s="41">
        <f>INDEX('[1]End - Use Prices'!$C$6:$AL$89,MATCH($C155,'[1]End - Use Prices'!$A$6:$A$89,0)+MATCH($D155,'[1]End - Use Prices'!$B$9:$B$11,0)-1,MATCH(AU$1,'[1]End - Use Prices'!$C$7:$AL$7,0))</f>
        <v>28.27</v>
      </c>
      <c r="AV155" s="41">
        <f>INDEX('[1]End - Use Prices'!$C$6:$AL$89,MATCH($C155,'[1]End - Use Prices'!$A$6:$A$89,0)+MATCH($D155,'[1]End - Use Prices'!$B$9:$B$11,0)-1,MATCH(AV$1,'[1]End - Use Prices'!$C$7:$AL$7,0))</f>
        <v>28.55</v>
      </c>
      <c r="AW155" s="41">
        <f>INDEX('[1]End - Use Prices'!$C$6:$AL$89,MATCH($C155,'[1]End - Use Prices'!$A$6:$A$89,0)+MATCH($D155,'[1]End - Use Prices'!$B$9:$B$11,0)-1,MATCH(AW$1,'[1]End - Use Prices'!$C$7:$AL$7,0))</f>
        <v>28.84</v>
      </c>
      <c r="AX155" s="41">
        <f>INDEX('[1]End - Use Prices'!$C$6:$AL$89,MATCH($C155,'[1]End - Use Prices'!$A$6:$A$89,0)+MATCH($D155,'[1]End - Use Prices'!$B$9:$B$11,0)-1,MATCH(AX$1,'[1]End - Use Prices'!$C$7:$AL$7,0))</f>
        <v>29.12</v>
      </c>
      <c r="AY155" s="41">
        <f>INDEX('[1]End - Use Prices'!$C$6:$AL$89,MATCH($C155,'[1]End - Use Prices'!$A$6:$A$89,0)+MATCH($D155,'[1]End - Use Prices'!$B$9:$B$11,0)-1,MATCH(AY$1,'[1]End - Use Prices'!$C$7:$AL$7,0))</f>
        <v>29.41</v>
      </c>
      <c r="AZ155" s="41">
        <f>INDEX('[1]End - Use Prices'!$C$6:$AL$89,MATCH($C155,'[1]End - Use Prices'!$A$6:$A$89,0)+MATCH($D155,'[1]End - Use Prices'!$B$9:$B$11,0)-1,MATCH(AZ$1,'[1]End - Use Prices'!$C$7:$AL$7,0))</f>
        <v>29.71</v>
      </c>
      <c r="BA155" s="41">
        <f>INDEX('[1]End - Use Prices'!$C$6:$AL$89,MATCH($C155,'[1]End - Use Prices'!$A$6:$A$89,0)+MATCH($D155,'[1]End - Use Prices'!$B$9:$B$11,0)-1,MATCH(BA$1,'[1]End - Use Prices'!$C$7:$AL$7,0))</f>
        <v>30</v>
      </c>
      <c r="BB155" s="41">
        <f>INDEX('[1]End - Use Prices'!$C$6:$AL$89,MATCH($C155,'[1]End - Use Prices'!$A$6:$A$89,0)+MATCH($D155,'[1]End - Use Prices'!$B$9:$B$11,0)-1,MATCH(BB$1,'[1]End - Use Prices'!$C$7:$AL$7,0))</f>
        <v>30.3</v>
      </c>
      <c r="BC155" s="41">
        <f>INDEX('[1]End - Use Prices'!$C$6:$AL$89,MATCH($C155,'[1]End - Use Prices'!$A$6:$A$89,0)+MATCH($D155,'[1]End - Use Prices'!$B$9:$B$11,0)-1,MATCH(BC$1,'[1]End - Use Prices'!$C$7:$AL$7,0))</f>
        <v>30.6</v>
      </c>
      <c r="BD155" s="41">
        <f>INDEX('[1]End - Use Prices'!$C$6:$AL$89,MATCH($C155,'[1]End - Use Prices'!$A$6:$A$89,0)+MATCH($D155,'[1]End - Use Prices'!$B$9:$B$11,0)-1,MATCH(BD$1,'[1]End - Use Prices'!$C$7:$AL$7,0))</f>
        <v>30.91</v>
      </c>
      <c r="BE155" s="41">
        <f>INDEX('[1]End - Use Prices'!$C$6:$AL$89,MATCH($C155,'[1]End - Use Prices'!$A$6:$A$89,0)+MATCH($D155,'[1]End - Use Prices'!$B$9:$B$11,0)-1,MATCH(BE$1,'[1]End - Use Prices'!$C$7:$AL$7,0))</f>
        <v>31.22</v>
      </c>
      <c r="BF155" s="41">
        <f>INDEX('[1]End - Use Prices'!$C$6:$AL$89,MATCH($C155,'[1]End - Use Prices'!$A$6:$A$89,0)+MATCH($D155,'[1]End - Use Prices'!$B$9:$B$11,0)-1,MATCH(BF$1,'[1]End - Use Prices'!$C$7:$AL$7,0))</f>
        <v>31.53</v>
      </c>
      <c r="BG155" s="41">
        <f>INDEX('[1]End - Use Prices'!$C$6:$AL$89,MATCH($C155,'[1]End - Use Prices'!$A$6:$A$89,0)+MATCH($D155,'[1]End - Use Prices'!$B$9:$B$11,0)-1,MATCH(BG$1,'[1]End - Use Prices'!$C$7:$AL$7,0))</f>
        <v>31.84</v>
      </c>
      <c r="BR155" s="39"/>
      <c r="BS155" s="39"/>
      <c r="BT155" s="39"/>
      <c r="BU155" s="39"/>
      <c r="BV155" s="39"/>
      <c r="BW155" s="39"/>
      <c r="BX155" s="39"/>
      <c r="BY155" s="39"/>
      <c r="BZ155" s="39"/>
      <c r="CA155" s="39"/>
    </row>
    <row r="156" spans="1:79" x14ac:dyDescent="0.25">
      <c r="A156" s="5"/>
      <c r="B156" s="3"/>
      <c r="C156" s="25" t="s">
        <v>90</v>
      </c>
      <c r="D156" s="25" t="s">
        <v>2</v>
      </c>
      <c r="E156" s="25" t="s">
        <v>282</v>
      </c>
      <c r="F156" s="67" t="s">
        <v>279</v>
      </c>
      <c r="G156" s="53">
        <f t="shared" si="25"/>
        <v>36.92</v>
      </c>
      <c r="H156" s="34">
        <f t="shared" si="26"/>
        <v>36.92</v>
      </c>
      <c r="I156" s="34">
        <f t="shared" si="26"/>
        <v>39.14</v>
      </c>
      <c r="J156" s="34">
        <f t="shared" si="26"/>
        <v>48.73</v>
      </c>
      <c r="K156" s="34">
        <f t="shared" si="26"/>
        <v>60.89</v>
      </c>
      <c r="L156" s="34">
        <f t="shared" si="26"/>
        <v>63.81</v>
      </c>
      <c r="M156" s="34">
        <f t="shared" si="26"/>
        <v>66.47</v>
      </c>
      <c r="N156" s="34">
        <f t="shared" si="26"/>
        <v>69.05</v>
      </c>
      <c r="O156" s="34">
        <f t="shared" si="26"/>
        <v>71.69</v>
      </c>
      <c r="P156" s="53">
        <f t="shared" si="27"/>
        <v>71.69</v>
      </c>
      <c r="Q156" s="53">
        <f t="shared" si="27"/>
        <v>71.69</v>
      </c>
      <c r="R156" s="38"/>
      <c r="X156" s="41">
        <f>INDEX('[1]End - Use Prices'!$C$6:$AL$89,MATCH($C156,'[1]End - Use Prices'!$A$6:$A$89,0)+MATCH($D156,'[1]End - Use Prices'!$B$9:$B$11,0)-1,MATCH(X$1,'[1]End - Use Prices'!$C$7:$AL$7,0))</f>
        <v>36.92</v>
      </c>
      <c r="Y156" s="41">
        <f>INDEX('[1]End - Use Prices'!$C$6:$AL$89,MATCH($C156,'[1]End - Use Prices'!$A$6:$A$89,0)+MATCH($D156,'[1]End - Use Prices'!$B$9:$B$11,0)-1,MATCH(Y$1,'[1]End - Use Prices'!$C$7:$AL$7,0))</f>
        <v>40.86</v>
      </c>
      <c r="Z156" s="41">
        <f>INDEX('[1]End - Use Prices'!$C$6:$AL$89,MATCH($C156,'[1]End - Use Prices'!$A$6:$A$89,0)+MATCH($D156,'[1]End - Use Prices'!$B$9:$B$11,0)-1,MATCH(Z$1,'[1]End - Use Prices'!$C$7:$AL$7,0))</f>
        <v>40.64</v>
      </c>
      <c r="AA156" s="41">
        <f>INDEX('[1]End - Use Prices'!$C$6:$AL$89,MATCH($C156,'[1]End - Use Prices'!$A$6:$A$89,0)+MATCH($D156,'[1]End - Use Prices'!$B$9:$B$11,0)-1,MATCH(AA$1,'[1]End - Use Prices'!$C$7:$AL$7,0))</f>
        <v>37.31</v>
      </c>
      <c r="AB156" s="41">
        <f>INDEX('[1]End - Use Prices'!$C$6:$AL$89,MATCH($C156,'[1]End - Use Prices'!$A$6:$A$89,0)+MATCH($D156,'[1]End - Use Prices'!$B$9:$B$11,0)-1,MATCH(AB$1,'[1]End - Use Prices'!$C$7:$AL$7,0))</f>
        <v>39.53</v>
      </c>
      <c r="AC156" s="41">
        <f>INDEX('[1]End - Use Prices'!$C$6:$AL$89,MATCH($C156,'[1]End - Use Prices'!$A$6:$A$89,0)+MATCH($D156,'[1]End - Use Prices'!$B$9:$B$11,0)-1,MATCH(AC$1,'[1]End - Use Prices'!$C$7:$AL$7,0))</f>
        <v>39.14</v>
      </c>
      <c r="AD156" s="41">
        <f>INDEX('[1]End - Use Prices'!$C$6:$AL$89,MATCH($C156,'[1]End - Use Prices'!$A$6:$A$89,0)+MATCH($D156,'[1]End - Use Prices'!$B$9:$B$11,0)-1,MATCH(AD$1,'[1]End - Use Prices'!$C$7:$AL$7,0))</f>
        <v>40.4</v>
      </c>
      <c r="AE156" s="41">
        <f>INDEX('[1]End - Use Prices'!$C$6:$AL$89,MATCH($C156,'[1]End - Use Prices'!$A$6:$A$89,0)+MATCH($D156,'[1]End - Use Prices'!$B$9:$B$11,0)-1,MATCH(AE$1,'[1]End - Use Prices'!$C$7:$AL$7,0))</f>
        <v>42.06</v>
      </c>
      <c r="AF156" s="41">
        <f>INDEX('[1]End - Use Prices'!$C$6:$AL$89,MATCH($C156,'[1]End - Use Prices'!$A$6:$A$89,0)+MATCH($D156,'[1]End - Use Prices'!$B$9:$B$11,0)-1,MATCH(AF$1,'[1]End - Use Prices'!$C$7:$AL$7,0))</f>
        <v>42.96</v>
      </c>
      <c r="AG156" s="41">
        <f>INDEX('[1]End - Use Prices'!$C$6:$AL$89,MATCH($C156,'[1]End - Use Prices'!$A$6:$A$89,0)+MATCH($D156,'[1]End - Use Prices'!$B$9:$B$11,0)-1,MATCH(AG$1,'[1]End - Use Prices'!$C$7:$AL$7,0))</f>
        <v>46.39</v>
      </c>
      <c r="AH156" s="41">
        <f>INDEX('[1]End - Use Prices'!$C$6:$AL$89,MATCH($C156,'[1]End - Use Prices'!$A$6:$A$89,0)+MATCH($D156,'[1]End - Use Prices'!$B$9:$B$11,0)-1,MATCH(AH$1,'[1]End - Use Prices'!$C$7:$AL$7,0))</f>
        <v>48.73</v>
      </c>
      <c r="AI156" s="41">
        <f>INDEX('[1]End - Use Prices'!$C$6:$AL$89,MATCH($C156,'[1]End - Use Prices'!$A$6:$A$89,0)+MATCH($D156,'[1]End - Use Prices'!$B$9:$B$11,0)-1,MATCH(AI$1,'[1]End - Use Prices'!$C$7:$AL$7,0))</f>
        <v>58.38</v>
      </c>
      <c r="AJ156" s="41">
        <f>INDEX('[1]End - Use Prices'!$C$6:$AL$89,MATCH($C156,'[1]End - Use Prices'!$A$6:$A$89,0)+MATCH($D156,'[1]End - Use Prices'!$B$9:$B$11,0)-1,MATCH(AJ$1,'[1]End - Use Prices'!$C$7:$AL$7,0))</f>
        <v>58.96</v>
      </c>
      <c r="AK156" s="41">
        <f>INDEX('[1]End - Use Prices'!$C$6:$AL$89,MATCH($C156,'[1]End - Use Prices'!$A$6:$A$89,0)+MATCH($D156,'[1]End - Use Prices'!$B$9:$B$11,0)-1,MATCH(AK$1,'[1]End - Use Prices'!$C$7:$AL$7,0))</f>
        <v>59.62</v>
      </c>
      <c r="AL156" s="41">
        <f>INDEX('[1]End - Use Prices'!$C$6:$AL$89,MATCH($C156,'[1]End - Use Prices'!$A$6:$A$89,0)+MATCH($D156,'[1]End - Use Prices'!$B$9:$B$11,0)-1,MATCH(AL$1,'[1]End - Use Prices'!$C$7:$AL$7,0))</f>
        <v>60.27</v>
      </c>
      <c r="AM156" s="41">
        <f>INDEX('[1]End - Use Prices'!$C$6:$AL$89,MATCH($C156,'[1]End - Use Prices'!$A$6:$A$89,0)+MATCH($D156,'[1]End - Use Prices'!$B$9:$B$11,0)-1,MATCH(AM$1,'[1]End - Use Prices'!$C$7:$AL$7,0))</f>
        <v>60.89</v>
      </c>
      <c r="AN156" s="41">
        <f>INDEX('[1]End - Use Prices'!$C$6:$AL$89,MATCH($C156,'[1]End - Use Prices'!$A$6:$A$89,0)+MATCH($D156,'[1]End - Use Prices'!$B$9:$B$11,0)-1,MATCH(AN$1,'[1]End - Use Prices'!$C$7:$AL$7,0))</f>
        <v>61.51</v>
      </c>
      <c r="AO156" s="41">
        <f>INDEX('[1]End - Use Prices'!$C$6:$AL$89,MATCH($C156,'[1]End - Use Prices'!$A$6:$A$89,0)+MATCH($D156,'[1]End - Use Prices'!$B$9:$B$11,0)-1,MATCH(AO$1,'[1]End - Use Prices'!$C$7:$AL$7,0))</f>
        <v>62.1</v>
      </c>
      <c r="AP156" s="41">
        <f>INDEX('[1]End - Use Prices'!$C$6:$AL$89,MATCH($C156,'[1]End - Use Prices'!$A$6:$A$89,0)+MATCH($D156,'[1]End - Use Prices'!$B$9:$B$11,0)-1,MATCH(AP$1,'[1]End - Use Prices'!$C$7:$AL$7,0))</f>
        <v>62.68</v>
      </c>
      <c r="AQ156" s="41">
        <f>INDEX('[1]End - Use Prices'!$C$6:$AL$89,MATCH($C156,'[1]End - Use Prices'!$A$6:$A$89,0)+MATCH($D156,'[1]End - Use Prices'!$B$9:$B$11,0)-1,MATCH(AQ$1,'[1]End - Use Prices'!$C$7:$AL$7,0))</f>
        <v>63.25</v>
      </c>
      <c r="AR156" s="41">
        <f>INDEX('[1]End - Use Prices'!$C$6:$AL$89,MATCH($C156,'[1]End - Use Prices'!$A$6:$A$89,0)+MATCH($D156,'[1]End - Use Prices'!$B$9:$B$11,0)-1,MATCH(AR$1,'[1]End - Use Prices'!$C$7:$AL$7,0))</f>
        <v>63.81</v>
      </c>
      <c r="AS156" s="41">
        <f>INDEX('[1]End - Use Prices'!$C$6:$AL$89,MATCH($C156,'[1]End - Use Prices'!$A$6:$A$89,0)+MATCH($D156,'[1]End - Use Prices'!$B$9:$B$11,0)-1,MATCH(AS$1,'[1]End - Use Prices'!$C$7:$AL$7,0))</f>
        <v>64.36</v>
      </c>
      <c r="AT156" s="41">
        <f>INDEX('[1]End - Use Prices'!$C$6:$AL$89,MATCH($C156,'[1]End - Use Prices'!$A$6:$A$89,0)+MATCH($D156,'[1]End - Use Prices'!$B$9:$B$11,0)-1,MATCH(AT$1,'[1]End - Use Prices'!$C$7:$AL$7,0))</f>
        <v>64.900000000000006</v>
      </c>
      <c r="AU156" s="41">
        <f>INDEX('[1]End - Use Prices'!$C$6:$AL$89,MATCH($C156,'[1]End - Use Prices'!$A$6:$A$89,0)+MATCH($D156,'[1]End - Use Prices'!$B$9:$B$11,0)-1,MATCH(AU$1,'[1]End - Use Prices'!$C$7:$AL$7,0))</f>
        <v>65.430000000000007</v>
      </c>
      <c r="AV156" s="41">
        <f>INDEX('[1]End - Use Prices'!$C$6:$AL$89,MATCH($C156,'[1]End - Use Prices'!$A$6:$A$89,0)+MATCH($D156,'[1]End - Use Prices'!$B$9:$B$11,0)-1,MATCH(AV$1,'[1]End - Use Prices'!$C$7:$AL$7,0))</f>
        <v>65.95</v>
      </c>
      <c r="AW156" s="41">
        <f>INDEX('[1]End - Use Prices'!$C$6:$AL$89,MATCH($C156,'[1]End - Use Prices'!$A$6:$A$89,0)+MATCH($D156,'[1]End - Use Prices'!$B$9:$B$11,0)-1,MATCH(AW$1,'[1]End - Use Prices'!$C$7:$AL$7,0))</f>
        <v>66.47</v>
      </c>
      <c r="AX156" s="41">
        <f>INDEX('[1]End - Use Prices'!$C$6:$AL$89,MATCH($C156,'[1]End - Use Prices'!$A$6:$A$89,0)+MATCH($D156,'[1]End - Use Prices'!$B$9:$B$11,0)-1,MATCH(AX$1,'[1]End - Use Prices'!$C$7:$AL$7,0))</f>
        <v>66.989999999999995</v>
      </c>
      <c r="AY156" s="41">
        <f>INDEX('[1]End - Use Prices'!$C$6:$AL$89,MATCH($C156,'[1]End - Use Prices'!$A$6:$A$89,0)+MATCH($D156,'[1]End - Use Prices'!$B$9:$B$11,0)-1,MATCH(AY$1,'[1]End - Use Prices'!$C$7:$AL$7,0))</f>
        <v>67.510000000000005</v>
      </c>
      <c r="AZ156" s="41">
        <f>INDEX('[1]End - Use Prices'!$C$6:$AL$89,MATCH($C156,'[1]End - Use Prices'!$A$6:$A$89,0)+MATCH($D156,'[1]End - Use Prices'!$B$9:$B$11,0)-1,MATCH(AZ$1,'[1]End - Use Prices'!$C$7:$AL$7,0))</f>
        <v>68.02</v>
      </c>
      <c r="BA156" s="41">
        <f>INDEX('[1]End - Use Prices'!$C$6:$AL$89,MATCH($C156,'[1]End - Use Prices'!$A$6:$A$89,0)+MATCH($D156,'[1]End - Use Prices'!$B$9:$B$11,0)-1,MATCH(BA$1,'[1]End - Use Prices'!$C$7:$AL$7,0))</f>
        <v>68.53</v>
      </c>
      <c r="BB156" s="41">
        <f>INDEX('[1]End - Use Prices'!$C$6:$AL$89,MATCH($C156,'[1]End - Use Prices'!$A$6:$A$89,0)+MATCH($D156,'[1]End - Use Prices'!$B$9:$B$11,0)-1,MATCH(BB$1,'[1]End - Use Prices'!$C$7:$AL$7,0))</f>
        <v>69.05</v>
      </c>
      <c r="BC156" s="41">
        <f>INDEX('[1]End - Use Prices'!$C$6:$AL$89,MATCH($C156,'[1]End - Use Prices'!$A$6:$A$89,0)+MATCH($D156,'[1]End - Use Prices'!$B$9:$B$11,0)-1,MATCH(BC$1,'[1]End - Use Prices'!$C$7:$AL$7,0))</f>
        <v>69.569999999999993</v>
      </c>
      <c r="BD156" s="41">
        <f>INDEX('[1]End - Use Prices'!$C$6:$AL$89,MATCH($C156,'[1]End - Use Prices'!$A$6:$A$89,0)+MATCH($D156,'[1]End - Use Prices'!$B$9:$B$11,0)-1,MATCH(BD$1,'[1]End - Use Prices'!$C$7:$AL$7,0))</f>
        <v>70.09</v>
      </c>
      <c r="BE156" s="41">
        <f>INDEX('[1]End - Use Prices'!$C$6:$AL$89,MATCH($C156,'[1]End - Use Prices'!$A$6:$A$89,0)+MATCH($D156,'[1]End - Use Prices'!$B$9:$B$11,0)-1,MATCH(BE$1,'[1]End - Use Prices'!$C$7:$AL$7,0))</f>
        <v>70.62</v>
      </c>
      <c r="BF156" s="41">
        <f>INDEX('[1]End - Use Prices'!$C$6:$AL$89,MATCH($C156,'[1]End - Use Prices'!$A$6:$A$89,0)+MATCH($D156,'[1]End - Use Prices'!$B$9:$B$11,0)-1,MATCH(BF$1,'[1]End - Use Prices'!$C$7:$AL$7,0))</f>
        <v>71.150000000000006</v>
      </c>
      <c r="BG156" s="41">
        <f>INDEX('[1]End - Use Prices'!$C$6:$AL$89,MATCH($C156,'[1]End - Use Prices'!$A$6:$A$89,0)+MATCH($D156,'[1]End - Use Prices'!$B$9:$B$11,0)-1,MATCH(BG$1,'[1]End - Use Prices'!$C$7:$AL$7,0))</f>
        <v>71.69</v>
      </c>
      <c r="BR156" s="39"/>
      <c r="BS156" s="39"/>
      <c r="BT156" s="39"/>
      <c r="BU156" s="39"/>
      <c r="BV156" s="39"/>
      <c r="BW156" s="39"/>
      <c r="BX156" s="39"/>
      <c r="BY156" s="39"/>
      <c r="BZ156" s="39"/>
      <c r="CA156" s="39"/>
    </row>
    <row r="157" spans="1:79" x14ac:dyDescent="0.25">
      <c r="A157" s="5"/>
      <c r="B157" s="3"/>
      <c r="C157" s="25" t="s">
        <v>91</v>
      </c>
      <c r="D157" s="25" t="s">
        <v>2</v>
      </c>
      <c r="E157" s="25" t="s">
        <v>282</v>
      </c>
      <c r="F157" s="67" t="s">
        <v>279</v>
      </c>
      <c r="G157" s="53">
        <f t="shared" si="25"/>
        <v>23.08</v>
      </c>
      <c r="H157" s="34">
        <f t="shared" si="26"/>
        <v>23.08</v>
      </c>
      <c r="I157" s="34">
        <f t="shared" si="26"/>
        <v>24.17</v>
      </c>
      <c r="J157" s="34">
        <f t="shared" si="26"/>
        <v>26.03</v>
      </c>
      <c r="K157" s="34">
        <f t="shared" si="26"/>
        <v>28.24</v>
      </c>
      <c r="L157" s="34">
        <f t="shared" si="26"/>
        <v>29.99</v>
      </c>
      <c r="M157" s="34">
        <f t="shared" si="26"/>
        <v>31.58</v>
      </c>
      <c r="N157" s="34">
        <f t="shared" si="26"/>
        <v>32.82</v>
      </c>
      <c r="O157" s="34">
        <f t="shared" si="26"/>
        <v>33.51</v>
      </c>
      <c r="P157" s="53">
        <f t="shared" si="27"/>
        <v>33.51</v>
      </c>
      <c r="Q157" s="53">
        <f t="shared" si="27"/>
        <v>33.51</v>
      </c>
      <c r="R157" s="38"/>
      <c r="X157" s="41">
        <f>INDEX('[1]End - Use Prices'!$C$6:$AL$89,MATCH($C157,'[1]End - Use Prices'!$A$6:$A$89,0)+MATCH($D157,'[1]End - Use Prices'!$B$9:$B$11,0)-1,MATCH(X$1,'[1]End - Use Prices'!$C$7:$AL$7,0))</f>
        <v>23.08</v>
      </c>
      <c r="Y157" s="41">
        <f>INDEX('[1]End - Use Prices'!$C$6:$AL$89,MATCH($C157,'[1]End - Use Prices'!$A$6:$A$89,0)+MATCH($D157,'[1]End - Use Prices'!$B$9:$B$11,0)-1,MATCH(Y$1,'[1]End - Use Prices'!$C$7:$AL$7,0))</f>
        <v>23.95</v>
      </c>
      <c r="Z157" s="41">
        <f>INDEX('[1]End - Use Prices'!$C$6:$AL$89,MATCH($C157,'[1]End - Use Prices'!$A$6:$A$89,0)+MATCH($D157,'[1]End - Use Prices'!$B$9:$B$11,0)-1,MATCH(Z$1,'[1]End - Use Prices'!$C$7:$AL$7,0))</f>
        <v>23.39</v>
      </c>
      <c r="AA157" s="41">
        <f>INDEX('[1]End - Use Prices'!$C$6:$AL$89,MATCH($C157,'[1]End - Use Prices'!$A$6:$A$89,0)+MATCH($D157,'[1]End - Use Prices'!$B$9:$B$11,0)-1,MATCH(AA$1,'[1]End - Use Prices'!$C$7:$AL$7,0))</f>
        <v>22.1</v>
      </c>
      <c r="AB157" s="41">
        <f>INDEX('[1]End - Use Prices'!$C$6:$AL$89,MATCH($C157,'[1]End - Use Prices'!$A$6:$A$89,0)+MATCH($D157,'[1]End - Use Prices'!$B$9:$B$11,0)-1,MATCH(AB$1,'[1]End - Use Prices'!$C$7:$AL$7,0))</f>
        <v>24.37</v>
      </c>
      <c r="AC157" s="41">
        <f>INDEX('[1]End - Use Prices'!$C$6:$AL$89,MATCH($C157,'[1]End - Use Prices'!$A$6:$A$89,0)+MATCH($D157,'[1]End - Use Prices'!$B$9:$B$11,0)-1,MATCH(AC$1,'[1]End - Use Prices'!$C$7:$AL$7,0))</f>
        <v>24.17</v>
      </c>
      <c r="AD157" s="41">
        <f>INDEX('[1]End - Use Prices'!$C$6:$AL$89,MATCH($C157,'[1]End - Use Prices'!$A$6:$A$89,0)+MATCH($D157,'[1]End - Use Prices'!$B$9:$B$11,0)-1,MATCH(AD$1,'[1]End - Use Prices'!$C$7:$AL$7,0))</f>
        <v>24.13</v>
      </c>
      <c r="AE157" s="41">
        <f>INDEX('[1]End - Use Prices'!$C$6:$AL$89,MATCH($C157,'[1]End - Use Prices'!$A$6:$A$89,0)+MATCH($D157,'[1]End - Use Prices'!$B$9:$B$11,0)-1,MATCH(AE$1,'[1]End - Use Prices'!$C$7:$AL$7,0))</f>
        <v>24.35</v>
      </c>
      <c r="AF157" s="41">
        <f>INDEX('[1]End - Use Prices'!$C$6:$AL$89,MATCH($C157,'[1]End - Use Prices'!$A$6:$A$89,0)+MATCH($D157,'[1]End - Use Prices'!$B$9:$B$11,0)-1,MATCH(AF$1,'[1]End - Use Prices'!$C$7:$AL$7,0))</f>
        <v>24.49</v>
      </c>
      <c r="AG157" s="41">
        <f>INDEX('[1]End - Use Prices'!$C$6:$AL$89,MATCH($C157,'[1]End - Use Prices'!$A$6:$A$89,0)+MATCH($D157,'[1]End - Use Prices'!$B$9:$B$11,0)-1,MATCH(AG$1,'[1]End - Use Prices'!$C$7:$AL$7,0))</f>
        <v>25.11</v>
      </c>
      <c r="AH157" s="41">
        <f>INDEX('[1]End - Use Prices'!$C$6:$AL$89,MATCH($C157,'[1]End - Use Prices'!$A$6:$A$89,0)+MATCH($D157,'[1]End - Use Prices'!$B$9:$B$11,0)-1,MATCH(AH$1,'[1]End - Use Prices'!$C$7:$AL$7,0))</f>
        <v>26.03</v>
      </c>
      <c r="AI157" s="41">
        <f>INDEX('[1]End - Use Prices'!$C$6:$AL$89,MATCH($C157,'[1]End - Use Prices'!$A$6:$A$89,0)+MATCH($D157,'[1]End - Use Prices'!$B$9:$B$11,0)-1,MATCH(AI$1,'[1]End - Use Prices'!$C$7:$AL$7,0))</f>
        <v>26.89</v>
      </c>
      <c r="AJ157" s="41">
        <f>INDEX('[1]End - Use Prices'!$C$6:$AL$89,MATCH($C157,'[1]End - Use Prices'!$A$6:$A$89,0)+MATCH($D157,'[1]End - Use Prices'!$B$9:$B$11,0)-1,MATCH(AJ$1,'[1]End - Use Prices'!$C$7:$AL$7,0))</f>
        <v>27.19</v>
      </c>
      <c r="AK157" s="41">
        <f>INDEX('[1]End - Use Prices'!$C$6:$AL$89,MATCH($C157,'[1]End - Use Prices'!$A$6:$A$89,0)+MATCH($D157,'[1]End - Use Prices'!$B$9:$B$11,0)-1,MATCH(AK$1,'[1]End - Use Prices'!$C$7:$AL$7,0))</f>
        <v>27.53</v>
      </c>
      <c r="AL157" s="41">
        <f>INDEX('[1]End - Use Prices'!$C$6:$AL$89,MATCH($C157,'[1]End - Use Prices'!$A$6:$A$89,0)+MATCH($D157,'[1]End - Use Prices'!$B$9:$B$11,0)-1,MATCH(AL$1,'[1]End - Use Prices'!$C$7:$AL$7,0))</f>
        <v>27.88</v>
      </c>
      <c r="AM157" s="41">
        <f>INDEX('[1]End - Use Prices'!$C$6:$AL$89,MATCH($C157,'[1]End - Use Prices'!$A$6:$A$89,0)+MATCH($D157,'[1]End - Use Prices'!$B$9:$B$11,0)-1,MATCH(AM$1,'[1]End - Use Prices'!$C$7:$AL$7,0))</f>
        <v>28.24</v>
      </c>
      <c r="AN157" s="41">
        <f>INDEX('[1]End - Use Prices'!$C$6:$AL$89,MATCH($C157,'[1]End - Use Prices'!$A$6:$A$89,0)+MATCH($D157,'[1]End - Use Prices'!$B$9:$B$11,0)-1,MATCH(AN$1,'[1]End - Use Prices'!$C$7:$AL$7,0))</f>
        <v>28.59</v>
      </c>
      <c r="AO157" s="41">
        <f>INDEX('[1]End - Use Prices'!$C$6:$AL$89,MATCH($C157,'[1]End - Use Prices'!$A$6:$A$89,0)+MATCH($D157,'[1]End - Use Prices'!$B$9:$B$11,0)-1,MATCH(AO$1,'[1]End - Use Prices'!$C$7:$AL$7,0))</f>
        <v>28.94</v>
      </c>
      <c r="AP157" s="41">
        <f>INDEX('[1]End - Use Prices'!$C$6:$AL$89,MATCH($C157,'[1]End - Use Prices'!$A$6:$A$89,0)+MATCH($D157,'[1]End - Use Prices'!$B$9:$B$11,0)-1,MATCH(AP$1,'[1]End - Use Prices'!$C$7:$AL$7,0))</f>
        <v>29.29</v>
      </c>
      <c r="AQ157" s="41">
        <f>INDEX('[1]End - Use Prices'!$C$6:$AL$89,MATCH($C157,'[1]End - Use Prices'!$A$6:$A$89,0)+MATCH($D157,'[1]End - Use Prices'!$B$9:$B$11,0)-1,MATCH(AQ$1,'[1]End - Use Prices'!$C$7:$AL$7,0))</f>
        <v>29.64</v>
      </c>
      <c r="AR157" s="41">
        <f>INDEX('[1]End - Use Prices'!$C$6:$AL$89,MATCH($C157,'[1]End - Use Prices'!$A$6:$A$89,0)+MATCH($D157,'[1]End - Use Prices'!$B$9:$B$11,0)-1,MATCH(AR$1,'[1]End - Use Prices'!$C$7:$AL$7,0))</f>
        <v>29.99</v>
      </c>
      <c r="AS157" s="41">
        <f>INDEX('[1]End - Use Prices'!$C$6:$AL$89,MATCH($C157,'[1]End - Use Prices'!$A$6:$A$89,0)+MATCH($D157,'[1]End - Use Prices'!$B$9:$B$11,0)-1,MATCH(AS$1,'[1]End - Use Prices'!$C$7:$AL$7,0))</f>
        <v>30.32</v>
      </c>
      <c r="AT157" s="41">
        <f>INDEX('[1]End - Use Prices'!$C$6:$AL$89,MATCH($C157,'[1]End - Use Prices'!$A$6:$A$89,0)+MATCH($D157,'[1]End - Use Prices'!$B$9:$B$11,0)-1,MATCH(AT$1,'[1]End - Use Prices'!$C$7:$AL$7,0))</f>
        <v>30.65</v>
      </c>
      <c r="AU157" s="41">
        <f>INDEX('[1]End - Use Prices'!$C$6:$AL$89,MATCH($C157,'[1]End - Use Prices'!$A$6:$A$89,0)+MATCH($D157,'[1]End - Use Prices'!$B$9:$B$11,0)-1,MATCH(AU$1,'[1]End - Use Prices'!$C$7:$AL$7,0))</f>
        <v>30.97</v>
      </c>
      <c r="AV157" s="41">
        <f>INDEX('[1]End - Use Prices'!$C$6:$AL$89,MATCH($C157,'[1]End - Use Prices'!$A$6:$A$89,0)+MATCH($D157,'[1]End - Use Prices'!$B$9:$B$11,0)-1,MATCH(AV$1,'[1]End - Use Prices'!$C$7:$AL$7,0))</f>
        <v>31.28</v>
      </c>
      <c r="AW157" s="41">
        <f>INDEX('[1]End - Use Prices'!$C$6:$AL$89,MATCH($C157,'[1]End - Use Prices'!$A$6:$A$89,0)+MATCH($D157,'[1]End - Use Prices'!$B$9:$B$11,0)-1,MATCH(AW$1,'[1]End - Use Prices'!$C$7:$AL$7,0))</f>
        <v>31.58</v>
      </c>
      <c r="AX157" s="41">
        <f>INDEX('[1]End - Use Prices'!$C$6:$AL$89,MATCH($C157,'[1]End - Use Prices'!$A$6:$A$89,0)+MATCH($D157,'[1]End - Use Prices'!$B$9:$B$11,0)-1,MATCH(AX$1,'[1]End - Use Prices'!$C$7:$AL$7,0))</f>
        <v>31.86</v>
      </c>
      <c r="AY157" s="41">
        <f>INDEX('[1]End - Use Prices'!$C$6:$AL$89,MATCH($C157,'[1]End - Use Prices'!$A$6:$A$89,0)+MATCH($D157,'[1]End - Use Prices'!$B$9:$B$11,0)-1,MATCH(AY$1,'[1]End - Use Prices'!$C$7:$AL$7,0))</f>
        <v>32.130000000000003</v>
      </c>
      <c r="AZ157" s="41">
        <f>INDEX('[1]End - Use Prices'!$C$6:$AL$89,MATCH($C157,'[1]End - Use Prices'!$A$6:$A$89,0)+MATCH($D157,'[1]End - Use Prices'!$B$9:$B$11,0)-1,MATCH(AZ$1,'[1]End - Use Prices'!$C$7:$AL$7,0))</f>
        <v>32.380000000000003</v>
      </c>
      <c r="BA157" s="41">
        <f>INDEX('[1]End - Use Prices'!$C$6:$AL$89,MATCH($C157,'[1]End - Use Prices'!$A$6:$A$89,0)+MATCH($D157,'[1]End - Use Prices'!$B$9:$B$11,0)-1,MATCH(BA$1,'[1]End - Use Prices'!$C$7:$AL$7,0))</f>
        <v>32.61</v>
      </c>
      <c r="BB157" s="41">
        <f>INDEX('[1]End - Use Prices'!$C$6:$AL$89,MATCH($C157,'[1]End - Use Prices'!$A$6:$A$89,0)+MATCH($D157,'[1]End - Use Prices'!$B$9:$B$11,0)-1,MATCH(BB$1,'[1]End - Use Prices'!$C$7:$AL$7,0))</f>
        <v>32.82</v>
      </c>
      <c r="BC157" s="41">
        <f>INDEX('[1]End - Use Prices'!$C$6:$AL$89,MATCH($C157,'[1]End - Use Prices'!$A$6:$A$89,0)+MATCH($D157,'[1]End - Use Prices'!$B$9:$B$11,0)-1,MATCH(BC$1,'[1]End - Use Prices'!$C$7:$AL$7,0))</f>
        <v>33.01</v>
      </c>
      <c r="BD157" s="41">
        <f>INDEX('[1]End - Use Prices'!$C$6:$AL$89,MATCH($C157,'[1]End - Use Prices'!$A$6:$A$89,0)+MATCH($D157,'[1]End - Use Prices'!$B$9:$B$11,0)-1,MATCH(BD$1,'[1]End - Use Prices'!$C$7:$AL$7,0))</f>
        <v>33.17</v>
      </c>
      <c r="BE157" s="41">
        <f>INDEX('[1]End - Use Prices'!$C$6:$AL$89,MATCH($C157,'[1]End - Use Prices'!$A$6:$A$89,0)+MATCH($D157,'[1]End - Use Prices'!$B$9:$B$11,0)-1,MATCH(BE$1,'[1]End - Use Prices'!$C$7:$AL$7,0))</f>
        <v>33.31</v>
      </c>
      <c r="BF157" s="41">
        <f>INDEX('[1]End - Use Prices'!$C$6:$AL$89,MATCH($C157,'[1]End - Use Prices'!$A$6:$A$89,0)+MATCH($D157,'[1]End - Use Prices'!$B$9:$B$11,0)-1,MATCH(BF$1,'[1]End - Use Prices'!$C$7:$AL$7,0))</f>
        <v>33.43</v>
      </c>
      <c r="BG157" s="41">
        <f>INDEX('[1]End - Use Prices'!$C$6:$AL$89,MATCH($C157,'[1]End - Use Prices'!$A$6:$A$89,0)+MATCH($D157,'[1]End - Use Prices'!$B$9:$B$11,0)-1,MATCH(BG$1,'[1]End - Use Prices'!$C$7:$AL$7,0))</f>
        <v>33.51</v>
      </c>
      <c r="BR157" s="39"/>
      <c r="BS157" s="39"/>
      <c r="BT157" s="39"/>
      <c r="BU157" s="39"/>
      <c r="BV157" s="39"/>
      <c r="BW157" s="39"/>
      <c r="BX157" s="39"/>
      <c r="BY157" s="39"/>
      <c r="BZ157" s="39"/>
      <c r="CA157" s="39"/>
    </row>
    <row r="158" spans="1:79" x14ac:dyDescent="0.25">
      <c r="A158" s="5"/>
      <c r="B158" s="3"/>
      <c r="C158" s="25" t="s">
        <v>92</v>
      </c>
      <c r="D158" s="25" t="s">
        <v>2</v>
      </c>
      <c r="E158" s="25" t="s">
        <v>282</v>
      </c>
      <c r="F158" s="67" t="s">
        <v>279</v>
      </c>
      <c r="G158" s="53">
        <f t="shared" si="25"/>
        <v>36.07</v>
      </c>
      <c r="H158" s="34">
        <f t="shared" si="26"/>
        <v>36.07</v>
      </c>
      <c r="I158" s="34">
        <f t="shared" si="26"/>
        <v>42.93</v>
      </c>
      <c r="J158" s="34">
        <f t="shared" si="26"/>
        <v>48.06</v>
      </c>
      <c r="K158" s="34">
        <f t="shared" si="26"/>
        <v>51.84</v>
      </c>
      <c r="L158" s="34">
        <f t="shared" si="26"/>
        <v>54.59</v>
      </c>
      <c r="M158" s="34">
        <f t="shared" si="26"/>
        <v>56.35</v>
      </c>
      <c r="N158" s="34">
        <f t="shared" si="26"/>
        <v>57.81</v>
      </c>
      <c r="O158" s="34">
        <f t="shared" si="26"/>
        <v>59.66</v>
      </c>
      <c r="P158" s="53">
        <f t="shared" si="27"/>
        <v>59.66</v>
      </c>
      <c r="Q158" s="53">
        <f t="shared" si="27"/>
        <v>59.66</v>
      </c>
      <c r="R158" s="38"/>
      <c r="X158" s="41">
        <f>INDEX('[1]End - Use Prices'!$C$6:$AL$89,MATCH($C158,'[1]End - Use Prices'!$A$6:$A$89,0)+MATCH($D158,'[1]End - Use Prices'!$B$9:$B$11,0)-1,MATCH(X$1,'[1]End - Use Prices'!$C$7:$AL$7,0))</f>
        <v>36.07</v>
      </c>
      <c r="Y158" s="41">
        <f>INDEX('[1]End - Use Prices'!$C$6:$AL$89,MATCH($C158,'[1]End - Use Prices'!$A$6:$A$89,0)+MATCH($D158,'[1]End - Use Prices'!$B$9:$B$11,0)-1,MATCH(Y$1,'[1]End - Use Prices'!$C$7:$AL$7,0))</f>
        <v>42.3</v>
      </c>
      <c r="Z158" s="41">
        <f>INDEX('[1]End - Use Prices'!$C$6:$AL$89,MATCH($C158,'[1]End - Use Prices'!$A$6:$A$89,0)+MATCH($D158,'[1]End - Use Prices'!$B$9:$B$11,0)-1,MATCH(Z$1,'[1]End - Use Prices'!$C$7:$AL$7,0))</f>
        <v>41.68</v>
      </c>
      <c r="AA158" s="41">
        <f>INDEX('[1]End - Use Prices'!$C$6:$AL$89,MATCH($C158,'[1]End - Use Prices'!$A$6:$A$89,0)+MATCH($D158,'[1]End - Use Prices'!$B$9:$B$11,0)-1,MATCH(AA$1,'[1]End - Use Prices'!$C$7:$AL$7,0))</f>
        <v>39.369999999999997</v>
      </c>
      <c r="AB158" s="41">
        <f>INDEX('[1]End - Use Prices'!$C$6:$AL$89,MATCH($C158,'[1]End - Use Prices'!$A$6:$A$89,0)+MATCH($D158,'[1]End - Use Prices'!$B$9:$B$11,0)-1,MATCH(AB$1,'[1]End - Use Prices'!$C$7:$AL$7,0))</f>
        <v>40.299999999999997</v>
      </c>
      <c r="AC158" s="41">
        <f>INDEX('[1]End - Use Prices'!$C$6:$AL$89,MATCH($C158,'[1]End - Use Prices'!$A$6:$A$89,0)+MATCH($D158,'[1]End - Use Prices'!$B$9:$B$11,0)-1,MATCH(AC$1,'[1]End - Use Prices'!$C$7:$AL$7,0))</f>
        <v>42.93</v>
      </c>
      <c r="AD158" s="41">
        <f>INDEX('[1]End - Use Prices'!$C$6:$AL$89,MATCH($C158,'[1]End - Use Prices'!$A$6:$A$89,0)+MATCH($D158,'[1]End - Use Prices'!$B$9:$B$11,0)-1,MATCH(AD$1,'[1]End - Use Prices'!$C$7:$AL$7,0))</f>
        <v>43.6</v>
      </c>
      <c r="AE158" s="41">
        <f>INDEX('[1]End - Use Prices'!$C$6:$AL$89,MATCH($C158,'[1]End - Use Prices'!$A$6:$A$89,0)+MATCH($D158,'[1]End - Use Prices'!$B$9:$B$11,0)-1,MATCH(AE$1,'[1]End - Use Prices'!$C$7:$AL$7,0))</f>
        <v>43.08</v>
      </c>
      <c r="AF158" s="41">
        <f>INDEX('[1]End - Use Prices'!$C$6:$AL$89,MATCH($C158,'[1]End - Use Prices'!$A$6:$A$89,0)+MATCH($D158,'[1]End - Use Prices'!$B$9:$B$11,0)-1,MATCH(AF$1,'[1]End - Use Prices'!$C$7:$AL$7,0))</f>
        <v>44.44</v>
      </c>
      <c r="AG158" s="41">
        <f>INDEX('[1]End - Use Prices'!$C$6:$AL$89,MATCH($C158,'[1]End - Use Prices'!$A$6:$A$89,0)+MATCH($D158,'[1]End - Use Prices'!$B$9:$B$11,0)-1,MATCH(AG$1,'[1]End - Use Prices'!$C$7:$AL$7,0))</f>
        <v>46.3</v>
      </c>
      <c r="AH158" s="41">
        <f>INDEX('[1]End - Use Prices'!$C$6:$AL$89,MATCH($C158,'[1]End - Use Prices'!$A$6:$A$89,0)+MATCH($D158,'[1]End - Use Prices'!$B$9:$B$11,0)-1,MATCH(AH$1,'[1]End - Use Prices'!$C$7:$AL$7,0))</f>
        <v>48.06</v>
      </c>
      <c r="AI158" s="41">
        <f>INDEX('[1]End - Use Prices'!$C$6:$AL$89,MATCH($C158,'[1]End - Use Prices'!$A$6:$A$89,0)+MATCH($D158,'[1]End - Use Prices'!$B$9:$B$11,0)-1,MATCH(AI$1,'[1]End - Use Prices'!$C$7:$AL$7,0))</f>
        <v>48.66</v>
      </c>
      <c r="AJ158" s="41">
        <f>INDEX('[1]End - Use Prices'!$C$6:$AL$89,MATCH($C158,'[1]End - Use Prices'!$A$6:$A$89,0)+MATCH($D158,'[1]End - Use Prices'!$B$9:$B$11,0)-1,MATCH(AJ$1,'[1]End - Use Prices'!$C$7:$AL$7,0))</f>
        <v>49.42</v>
      </c>
      <c r="AK158" s="41">
        <f>INDEX('[1]End - Use Prices'!$C$6:$AL$89,MATCH($C158,'[1]End - Use Prices'!$A$6:$A$89,0)+MATCH($D158,'[1]End - Use Prices'!$B$9:$B$11,0)-1,MATCH(AK$1,'[1]End - Use Prices'!$C$7:$AL$7,0))</f>
        <v>50.31</v>
      </c>
      <c r="AL158" s="41">
        <f>INDEX('[1]End - Use Prices'!$C$6:$AL$89,MATCH($C158,'[1]End - Use Prices'!$A$6:$A$89,0)+MATCH($D158,'[1]End - Use Prices'!$B$9:$B$11,0)-1,MATCH(AL$1,'[1]End - Use Prices'!$C$7:$AL$7,0))</f>
        <v>51.11</v>
      </c>
      <c r="AM158" s="41">
        <f>INDEX('[1]End - Use Prices'!$C$6:$AL$89,MATCH($C158,'[1]End - Use Prices'!$A$6:$A$89,0)+MATCH($D158,'[1]End - Use Prices'!$B$9:$B$11,0)-1,MATCH(AM$1,'[1]End - Use Prices'!$C$7:$AL$7,0))</f>
        <v>51.84</v>
      </c>
      <c r="AN158" s="41">
        <f>INDEX('[1]End - Use Prices'!$C$6:$AL$89,MATCH($C158,'[1]End - Use Prices'!$A$6:$A$89,0)+MATCH($D158,'[1]End - Use Prices'!$B$9:$B$11,0)-1,MATCH(AN$1,'[1]End - Use Prices'!$C$7:$AL$7,0))</f>
        <v>52.5</v>
      </c>
      <c r="AO158" s="41">
        <f>INDEX('[1]End - Use Prices'!$C$6:$AL$89,MATCH($C158,'[1]End - Use Prices'!$A$6:$A$89,0)+MATCH($D158,'[1]End - Use Prices'!$B$9:$B$11,0)-1,MATCH(AO$1,'[1]End - Use Prices'!$C$7:$AL$7,0))</f>
        <v>53.11</v>
      </c>
      <c r="AP158" s="41">
        <f>INDEX('[1]End - Use Prices'!$C$6:$AL$89,MATCH($C158,'[1]End - Use Prices'!$A$6:$A$89,0)+MATCH($D158,'[1]End - Use Prices'!$B$9:$B$11,0)-1,MATCH(AP$1,'[1]End - Use Prices'!$C$7:$AL$7,0))</f>
        <v>53.65</v>
      </c>
      <c r="AQ158" s="41">
        <f>INDEX('[1]End - Use Prices'!$C$6:$AL$89,MATCH($C158,'[1]End - Use Prices'!$A$6:$A$89,0)+MATCH($D158,'[1]End - Use Prices'!$B$9:$B$11,0)-1,MATCH(AQ$1,'[1]End - Use Prices'!$C$7:$AL$7,0))</f>
        <v>54.15</v>
      </c>
      <c r="AR158" s="41">
        <f>INDEX('[1]End - Use Prices'!$C$6:$AL$89,MATCH($C158,'[1]End - Use Prices'!$A$6:$A$89,0)+MATCH($D158,'[1]End - Use Prices'!$B$9:$B$11,0)-1,MATCH(AR$1,'[1]End - Use Prices'!$C$7:$AL$7,0))</f>
        <v>54.59</v>
      </c>
      <c r="AS158" s="41">
        <f>INDEX('[1]End - Use Prices'!$C$6:$AL$89,MATCH($C158,'[1]End - Use Prices'!$A$6:$A$89,0)+MATCH($D158,'[1]End - Use Prices'!$B$9:$B$11,0)-1,MATCH(AS$1,'[1]End - Use Prices'!$C$7:$AL$7,0))</f>
        <v>55</v>
      </c>
      <c r="AT158" s="41">
        <f>INDEX('[1]End - Use Prices'!$C$6:$AL$89,MATCH($C158,'[1]End - Use Prices'!$A$6:$A$89,0)+MATCH($D158,'[1]End - Use Prices'!$B$9:$B$11,0)-1,MATCH(AT$1,'[1]End - Use Prices'!$C$7:$AL$7,0))</f>
        <v>55.38</v>
      </c>
      <c r="AU158" s="41">
        <f>INDEX('[1]End - Use Prices'!$C$6:$AL$89,MATCH($C158,'[1]End - Use Prices'!$A$6:$A$89,0)+MATCH($D158,'[1]End - Use Prices'!$B$9:$B$11,0)-1,MATCH(AU$1,'[1]End - Use Prices'!$C$7:$AL$7,0))</f>
        <v>55.73</v>
      </c>
      <c r="AV158" s="41">
        <f>INDEX('[1]End - Use Prices'!$C$6:$AL$89,MATCH($C158,'[1]End - Use Prices'!$A$6:$A$89,0)+MATCH($D158,'[1]End - Use Prices'!$B$9:$B$11,0)-1,MATCH(AV$1,'[1]End - Use Prices'!$C$7:$AL$7,0))</f>
        <v>56.05</v>
      </c>
      <c r="AW158" s="41">
        <f>INDEX('[1]End - Use Prices'!$C$6:$AL$89,MATCH($C158,'[1]End - Use Prices'!$A$6:$A$89,0)+MATCH($D158,'[1]End - Use Prices'!$B$9:$B$11,0)-1,MATCH(AW$1,'[1]End - Use Prices'!$C$7:$AL$7,0))</f>
        <v>56.35</v>
      </c>
      <c r="AX158" s="41">
        <f>INDEX('[1]End - Use Prices'!$C$6:$AL$89,MATCH($C158,'[1]End - Use Prices'!$A$6:$A$89,0)+MATCH($D158,'[1]End - Use Prices'!$B$9:$B$11,0)-1,MATCH(AX$1,'[1]End - Use Prices'!$C$7:$AL$7,0))</f>
        <v>56.65</v>
      </c>
      <c r="AY158" s="41">
        <f>INDEX('[1]End - Use Prices'!$C$6:$AL$89,MATCH($C158,'[1]End - Use Prices'!$A$6:$A$89,0)+MATCH($D158,'[1]End - Use Prices'!$B$9:$B$11,0)-1,MATCH(AY$1,'[1]End - Use Prices'!$C$7:$AL$7,0))</f>
        <v>56.93</v>
      </c>
      <c r="AZ158" s="41">
        <f>INDEX('[1]End - Use Prices'!$C$6:$AL$89,MATCH($C158,'[1]End - Use Prices'!$A$6:$A$89,0)+MATCH($D158,'[1]End - Use Prices'!$B$9:$B$11,0)-1,MATCH(AZ$1,'[1]End - Use Prices'!$C$7:$AL$7,0))</f>
        <v>57.22</v>
      </c>
      <c r="BA158" s="41">
        <f>INDEX('[1]End - Use Prices'!$C$6:$AL$89,MATCH($C158,'[1]End - Use Prices'!$A$6:$A$89,0)+MATCH($D158,'[1]End - Use Prices'!$B$9:$B$11,0)-1,MATCH(BA$1,'[1]End - Use Prices'!$C$7:$AL$7,0))</f>
        <v>57.51</v>
      </c>
      <c r="BB158" s="41">
        <f>INDEX('[1]End - Use Prices'!$C$6:$AL$89,MATCH($C158,'[1]End - Use Prices'!$A$6:$A$89,0)+MATCH($D158,'[1]End - Use Prices'!$B$9:$B$11,0)-1,MATCH(BB$1,'[1]End - Use Prices'!$C$7:$AL$7,0))</f>
        <v>57.81</v>
      </c>
      <c r="BC158" s="41">
        <f>INDEX('[1]End - Use Prices'!$C$6:$AL$89,MATCH($C158,'[1]End - Use Prices'!$A$6:$A$89,0)+MATCH($D158,'[1]End - Use Prices'!$B$9:$B$11,0)-1,MATCH(BC$1,'[1]End - Use Prices'!$C$7:$AL$7,0))</f>
        <v>58.13</v>
      </c>
      <c r="BD158" s="41">
        <f>INDEX('[1]End - Use Prices'!$C$6:$AL$89,MATCH($C158,'[1]End - Use Prices'!$A$6:$A$89,0)+MATCH($D158,'[1]End - Use Prices'!$B$9:$B$11,0)-1,MATCH(BD$1,'[1]End - Use Prices'!$C$7:$AL$7,0))</f>
        <v>58.47</v>
      </c>
      <c r="BE158" s="41">
        <f>INDEX('[1]End - Use Prices'!$C$6:$AL$89,MATCH($C158,'[1]End - Use Prices'!$A$6:$A$89,0)+MATCH($D158,'[1]End - Use Prices'!$B$9:$B$11,0)-1,MATCH(BE$1,'[1]End - Use Prices'!$C$7:$AL$7,0))</f>
        <v>58.83</v>
      </c>
      <c r="BF158" s="41">
        <f>INDEX('[1]End - Use Prices'!$C$6:$AL$89,MATCH($C158,'[1]End - Use Prices'!$A$6:$A$89,0)+MATCH($D158,'[1]End - Use Prices'!$B$9:$B$11,0)-1,MATCH(BF$1,'[1]End - Use Prices'!$C$7:$AL$7,0))</f>
        <v>59.23</v>
      </c>
      <c r="BG158" s="41">
        <f>INDEX('[1]End - Use Prices'!$C$6:$AL$89,MATCH($C158,'[1]End - Use Prices'!$A$6:$A$89,0)+MATCH($D158,'[1]End - Use Prices'!$B$9:$B$11,0)-1,MATCH(BG$1,'[1]End - Use Prices'!$C$7:$AL$7,0))</f>
        <v>59.66</v>
      </c>
      <c r="BR158" s="39"/>
      <c r="BS158" s="39"/>
      <c r="BT158" s="39"/>
      <c r="BU158" s="39"/>
      <c r="BV158" s="39"/>
      <c r="BW158" s="39"/>
      <c r="BX158" s="39"/>
      <c r="BY158" s="39"/>
      <c r="BZ158" s="39"/>
      <c r="CA158" s="39"/>
    </row>
    <row r="159" spans="1:79" x14ac:dyDescent="0.25">
      <c r="A159" s="5"/>
      <c r="B159" s="3"/>
      <c r="C159" s="25" t="s">
        <v>5</v>
      </c>
      <c r="D159" s="25" t="s">
        <v>2</v>
      </c>
      <c r="E159" s="25" t="s">
        <v>282</v>
      </c>
      <c r="F159" s="67" t="s">
        <v>279</v>
      </c>
      <c r="G159" s="53">
        <f t="shared" si="25"/>
        <v>30.07</v>
      </c>
      <c r="H159" s="34">
        <f t="shared" si="26"/>
        <v>30.07</v>
      </c>
      <c r="I159" s="34">
        <f t="shared" si="26"/>
        <v>31.25</v>
      </c>
      <c r="J159" s="34">
        <f t="shared" si="26"/>
        <v>33.81</v>
      </c>
      <c r="K159" s="34">
        <f t="shared" si="26"/>
        <v>32.520000000000003</v>
      </c>
      <c r="L159" s="34">
        <f t="shared" si="26"/>
        <v>35.47</v>
      </c>
      <c r="M159" s="34">
        <f t="shared" si="26"/>
        <v>37.57</v>
      </c>
      <c r="N159" s="34">
        <f t="shared" si="26"/>
        <v>38.39</v>
      </c>
      <c r="O159" s="34">
        <f t="shared" si="26"/>
        <v>37.54</v>
      </c>
      <c r="P159" s="53">
        <f t="shared" si="27"/>
        <v>37.54</v>
      </c>
      <c r="Q159" s="53">
        <f t="shared" si="27"/>
        <v>37.54</v>
      </c>
      <c r="R159" s="38"/>
      <c r="X159" s="41">
        <f>INDEX('[1]End - Use Prices'!$C$6:$AL$89,MATCH($C159,'[1]End - Use Prices'!$A$6:$A$89,0)+MATCH($D159,'[1]End - Use Prices'!$B$9:$B$11,0)-1,MATCH(X$1,'[1]End - Use Prices'!$C$7:$AL$7,0))</f>
        <v>30.07</v>
      </c>
      <c r="Y159" s="41">
        <f>INDEX('[1]End - Use Prices'!$C$6:$AL$89,MATCH($C159,'[1]End - Use Prices'!$A$6:$A$89,0)+MATCH($D159,'[1]End - Use Prices'!$B$9:$B$11,0)-1,MATCH(Y$1,'[1]End - Use Prices'!$C$7:$AL$7,0))</f>
        <v>35.659999999999997</v>
      </c>
      <c r="Z159" s="41">
        <f>INDEX('[1]End - Use Prices'!$C$6:$AL$89,MATCH($C159,'[1]End - Use Prices'!$A$6:$A$89,0)+MATCH($D159,'[1]End - Use Prices'!$B$9:$B$11,0)-1,MATCH(Z$1,'[1]End - Use Prices'!$C$7:$AL$7,0))</f>
        <v>38.57</v>
      </c>
      <c r="AA159" s="41">
        <f>INDEX('[1]End - Use Prices'!$C$6:$AL$89,MATCH($C159,'[1]End - Use Prices'!$A$6:$A$89,0)+MATCH($D159,'[1]End - Use Prices'!$B$9:$B$11,0)-1,MATCH(AA$1,'[1]End - Use Prices'!$C$7:$AL$7,0))</f>
        <v>42.28</v>
      </c>
      <c r="AB159" s="41">
        <f>INDEX('[1]End - Use Prices'!$C$6:$AL$89,MATCH($C159,'[1]End - Use Prices'!$A$6:$A$89,0)+MATCH($D159,'[1]End - Use Prices'!$B$9:$B$11,0)-1,MATCH(AB$1,'[1]End - Use Prices'!$C$7:$AL$7,0))</f>
        <v>36.1</v>
      </c>
      <c r="AC159" s="41">
        <f>INDEX('[1]End - Use Prices'!$C$6:$AL$89,MATCH($C159,'[1]End - Use Prices'!$A$6:$A$89,0)+MATCH($D159,'[1]End - Use Prices'!$B$9:$B$11,0)-1,MATCH(AC$1,'[1]End - Use Prices'!$C$7:$AL$7,0))</f>
        <v>31.25</v>
      </c>
      <c r="AD159" s="41">
        <f>INDEX('[1]End - Use Prices'!$C$6:$AL$89,MATCH($C159,'[1]End - Use Prices'!$A$6:$A$89,0)+MATCH($D159,'[1]End - Use Prices'!$B$9:$B$11,0)-1,MATCH(AD$1,'[1]End - Use Prices'!$C$7:$AL$7,0))</f>
        <v>51.38</v>
      </c>
      <c r="AE159" s="41">
        <f>INDEX('[1]End - Use Prices'!$C$6:$AL$89,MATCH($C159,'[1]End - Use Prices'!$A$6:$A$89,0)+MATCH($D159,'[1]End - Use Prices'!$B$9:$B$11,0)-1,MATCH(AE$1,'[1]End - Use Prices'!$C$7:$AL$7,0))</f>
        <v>40.17</v>
      </c>
      <c r="AF159" s="41">
        <f>INDEX('[1]End - Use Prices'!$C$6:$AL$89,MATCH($C159,'[1]End - Use Prices'!$A$6:$A$89,0)+MATCH($D159,'[1]End - Use Prices'!$B$9:$B$11,0)-1,MATCH(AF$1,'[1]End - Use Prices'!$C$7:$AL$7,0))</f>
        <v>42.35</v>
      </c>
      <c r="AG159" s="41">
        <f>INDEX('[1]End - Use Prices'!$C$6:$AL$89,MATCH($C159,'[1]End - Use Prices'!$A$6:$A$89,0)+MATCH($D159,'[1]End - Use Prices'!$B$9:$B$11,0)-1,MATCH(AG$1,'[1]End - Use Prices'!$C$7:$AL$7,0))</f>
        <v>36.65</v>
      </c>
      <c r="AH159" s="41">
        <f>INDEX('[1]End - Use Prices'!$C$6:$AL$89,MATCH($C159,'[1]End - Use Prices'!$A$6:$A$89,0)+MATCH($D159,'[1]End - Use Prices'!$B$9:$B$11,0)-1,MATCH(AH$1,'[1]End - Use Prices'!$C$7:$AL$7,0))</f>
        <v>33.81</v>
      </c>
      <c r="AI159" s="41">
        <f>INDEX('[1]End - Use Prices'!$C$6:$AL$89,MATCH($C159,'[1]End - Use Prices'!$A$6:$A$89,0)+MATCH($D159,'[1]End - Use Prices'!$B$9:$B$11,0)-1,MATCH(AI$1,'[1]End - Use Prices'!$C$7:$AL$7,0))</f>
        <v>30.08</v>
      </c>
      <c r="AJ159" s="41">
        <f>INDEX('[1]End - Use Prices'!$C$6:$AL$89,MATCH($C159,'[1]End - Use Prices'!$A$6:$A$89,0)+MATCH($D159,'[1]End - Use Prices'!$B$9:$B$11,0)-1,MATCH(AJ$1,'[1]End - Use Prices'!$C$7:$AL$7,0))</f>
        <v>30.5</v>
      </c>
      <c r="AK159" s="41">
        <f>INDEX('[1]End - Use Prices'!$C$6:$AL$89,MATCH($C159,'[1]End - Use Prices'!$A$6:$A$89,0)+MATCH($D159,'[1]End - Use Prices'!$B$9:$B$11,0)-1,MATCH(AK$1,'[1]End - Use Prices'!$C$7:$AL$7,0))</f>
        <v>31.18</v>
      </c>
      <c r="AL159" s="41">
        <f>INDEX('[1]End - Use Prices'!$C$6:$AL$89,MATCH($C159,'[1]End - Use Prices'!$A$6:$A$89,0)+MATCH($D159,'[1]End - Use Prices'!$B$9:$B$11,0)-1,MATCH(AL$1,'[1]End - Use Prices'!$C$7:$AL$7,0))</f>
        <v>31.86</v>
      </c>
      <c r="AM159" s="41">
        <f>INDEX('[1]End - Use Prices'!$C$6:$AL$89,MATCH($C159,'[1]End - Use Prices'!$A$6:$A$89,0)+MATCH($D159,'[1]End - Use Prices'!$B$9:$B$11,0)-1,MATCH(AM$1,'[1]End - Use Prices'!$C$7:$AL$7,0))</f>
        <v>32.520000000000003</v>
      </c>
      <c r="AN159" s="41">
        <f>INDEX('[1]End - Use Prices'!$C$6:$AL$89,MATCH($C159,'[1]End - Use Prices'!$A$6:$A$89,0)+MATCH($D159,'[1]End - Use Prices'!$B$9:$B$11,0)-1,MATCH(AN$1,'[1]End - Use Prices'!$C$7:$AL$7,0))</f>
        <v>33.159999999999997</v>
      </c>
      <c r="AO159" s="41">
        <f>INDEX('[1]End - Use Prices'!$C$6:$AL$89,MATCH($C159,'[1]End - Use Prices'!$A$6:$A$89,0)+MATCH($D159,'[1]End - Use Prices'!$B$9:$B$11,0)-1,MATCH(AO$1,'[1]End - Use Prices'!$C$7:$AL$7,0))</f>
        <v>33.78</v>
      </c>
      <c r="AP159" s="41">
        <f>INDEX('[1]End - Use Prices'!$C$6:$AL$89,MATCH($C159,'[1]End - Use Prices'!$A$6:$A$89,0)+MATCH($D159,'[1]End - Use Prices'!$B$9:$B$11,0)-1,MATCH(AP$1,'[1]End - Use Prices'!$C$7:$AL$7,0))</f>
        <v>34.369999999999997</v>
      </c>
      <c r="AQ159" s="41">
        <f>INDEX('[1]End - Use Prices'!$C$6:$AL$89,MATCH($C159,'[1]End - Use Prices'!$A$6:$A$89,0)+MATCH($D159,'[1]End - Use Prices'!$B$9:$B$11,0)-1,MATCH(AQ$1,'[1]End - Use Prices'!$C$7:$AL$7,0))</f>
        <v>34.94</v>
      </c>
      <c r="AR159" s="41">
        <f>INDEX('[1]End - Use Prices'!$C$6:$AL$89,MATCH($C159,'[1]End - Use Prices'!$A$6:$A$89,0)+MATCH($D159,'[1]End - Use Prices'!$B$9:$B$11,0)-1,MATCH(AR$1,'[1]End - Use Prices'!$C$7:$AL$7,0))</f>
        <v>35.47</v>
      </c>
      <c r="AS159" s="41">
        <f>INDEX('[1]End - Use Prices'!$C$6:$AL$89,MATCH($C159,'[1]End - Use Prices'!$A$6:$A$89,0)+MATCH($D159,'[1]End - Use Prices'!$B$9:$B$11,0)-1,MATCH(AS$1,'[1]End - Use Prices'!$C$7:$AL$7,0))</f>
        <v>35.97</v>
      </c>
      <c r="AT159" s="41">
        <f>INDEX('[1]End - Use Prices'!$C$6:$AL$89,MATCH($C159,'[1]End - Use Prices'!$A$6:$A$89,0)+MATCH($D159,'[1]End - Use Prices'!$B$9:$B$11,0)-1,MATCH(AT$1,'[1]End - Use Prices'!$C$7:$AL$7,0))</f>
        <v>36.44</v>
      </c>
      <c r="AU159" s="41">
        <f>INDEX('[1]End - Use Prices'!$C$6:$AL$89,MATCH($C159,'[1]End - Use Prices'!$A$6:$A$89,0)+MATCH($D159,'[1]End - Use Prices'!$B$9:$B$11,0)-1,MATCH(AU$1,'[1]End - Use Prices'!$C$7:$AL$7,0))</f>
        <v>36.86</v>
      </c>
      <c r="AV159" s="41">
        <f>INDEX('[1]End - Use Prices'!$C$6:$AL$89,MATCH($C159,'[1]End - Use Prices'!$A$6:$A$89,0)+MATCH($D159,'[1]End - Use Prices'!$B$9:$B$11,0)-1,MATCH(AV$1,'[1]End - Use Prices'!$C$7:$AL$7,0))</f>
        <v>37.24</v>
      </c>
      <c r="AW159" s="41">
        <f>INDEX('[1]End - Use Prices'!$C$6:$AL$89,MATCH($C159,'[1]End - Use Prices'!$A$6:$A$89,0)+MATCH($D159,'[1]End - Use Prices'!$B$9:$B$11,0)-1,MATCH(AW$1,'[1]End - Use Prices'!$C$7:$AL$7,0))</f>
        <v>37.57</v>
      </c>
      <c r="AX159" s="41">
        <f>INDEX('[1]End - Use Prices'!$C$6:$AL$89,MATCH($C159,'[1]End - Use Prices'!$A$6:$A$89,0)+MATCH($D159,'[1]End - Use Prices'!$B$9:$B$11,0)-1,MATCH(AX$1,'[1]End - Use Prices'!$C$7:$AL$7,0))</f>
        <v>37.85</v>
      </c>
      <c r="AY159" s="41">
        <f>INDEX('[1]End - Use Prices'!$C$6:$AL$89,MATCH($C159,'[1]End - Use Prices'!$A$6:$A$89,0)+MATCH($D159,'[1]End - Use Prices'!$B$9:$B$11,0)-1,MATCH(AY$1,'[1]End - Use Prices'!$C$7:$AL$7,0))</f>
        <v>38.07</v>
      </c>
      <c r="AZ159" s="41">
        <f>INDEX('[1]End - Use Prices'!$C$6:$AL$89,MATCH($C159,'[1]End - Use Prices'!$A$6:$A$89,0)+MATCH($D159,'[1]End - Use Prices'!$B$9:$B$11,0)-1,MATCH(AZ$1,'[1]End - Use Prices'!$C$7:$AL$7,0))</f>
        <v>38.24</v>
      </c>
      <c r="BA159" s="41">
        <f>INDEX('[1]End - Use Prices'!$C$6:$AL$89,MATCH($C159,'[1]End - Use Prices'!$A$6:$A$89,0)+MATCH($D159,'[1]End - Use Prices'!$B$9:$B$11,0)-1,MATCH(BA$1,'[1]End - Use Prices'!$C$7:$AL$7,0))</f>
        <v>38.35</v>
      </c>
      <c r="BB159" s="41">
        <f>INDEX('[1]End - Use Prices'!$C$6:$AL$89,MATCH($C159,'[1]End - Use Prices'!$A$6:$A$89,0)+MATCH($D159,'[1]End - Use Prices'!$B$9:$B$11,0)-1,MATCH(BB$1,'[1]End - Use Prices'!$C$7:$AL$7,0))</f>
        <v>38.39</v>
      </c>
      <c r="BC159" s="41">
        <f>INDEX('[1]End - Use Prices'!$C$6:$AL$89,MATCH($C159,'[1]End - Use Prices'!$A$6:$A$89,0)+MATCH($D159,'[1]End - Use Prices'!$B$9:$B$11,0)-1,MATCH(BC$1,'[1]End - Use Prices'!$C$7:$AL$7,0))</f>
        <v>38.369999999999997</v>
      </c>
      <c r="BD159" s="41">
        <f>INDEX('[1]End - Use Prices'!$C$6:$AL$89,MATCH($C159,'[1]End - Use Prices'!$A$6:$A$89,0)+MATCH($D159,'[1]End - Use Prices'!$B$9:$B$11,0)-1,MATCH(BD$1,'[1]End - Use Prices'!$C$7:$AL$7,0))</f>
        <v>38.270000000000003</v>
      </c>
      <c r="BE159" s="41">
        <f>INDEX('[1]End - Use Prices'!$C$6:$AL$89,MATCH($C159,'[1]End - Use Prices'!$A$6:$A$89,0)+MATCH($D159,'[1]End - Use Prices'!$B$9:$B$11,0)-1,MATCH(BE$1,'[1]End - Use Prices'!$C$7:$AL$7,0))</f>
        <v>38.11</v>
      </c>
      <c r="BF159" s="41">
        <f>INDEX('[1]End - Use Prices'!$C$6:$AL$89,MATCH($C159,'[1]End - Use Prices'!$A$6:$A$89,0)+MATCH($D159,'[1]End - Use Prices'!$B$9:$B$11,0)-1,MATCH(BF$1,'[1]End - Use Prices'!$C$7:$AL$7,0))</f>
        <v>37.86</v>
      </c>
      <c r="BG159" s="41">
        <f>INDEX('[1]End - Use Prices'!$C$6:$AL$89,MATCH($C159,'[1]End - Use Prices'!$A$6:$A$89,0)+MATCH($D159,'[1]End - Use Prices'!$B$9:$B$11,0)-1,MATCH(BG$1,'[1]End - Use Prices'!$C$7:$AL$7,0))</f>
        <v>37.54</v>
      </c>
      <c r="BR159" s="39"/>
      <c r="BS159" s="39"/>
      <c r="BT159" s="39"/>
      <c r="BU159" s="39"/>
      <c r="BV159" s="39"/>
      <c r="BW159" s="39"/>
      <c r="BX159" s="39"/>
      <c r="BY159" s="39"/>
      <c r="BZ159" s="39"/>
      <c r="CA159" s="39"/>
    </row>
    <row r="160" spans="1:79" x14ac:dyDescent="0.25">
      <c r="A160" s="5"/>
      <c r="B160" s="3"/>
      <c r="C160" s="25" t="s">
        <v>61</v>
      </c>
      <c r="D160" s="25" t="s">
        <v>2</v>
      </c>
      <c r="E160" s="25" t="s">
        <v>282</v>
      </c>
      <c r="F160" s="67" t="s">
        <v>279</v>
      </c>
      <c r="G160" s="53">
        <f t="shared" si="25"/>
        <v>22.24</v>
      </c>
      <c r="H160" s="34">
        <f t="shared" si="26"/>
        <v>22.24</v>
      </c>
      <c r="I160" s="34">
        <f t="shared" si="26"/>
        <v>25.9</v>
      </c>
      <c r="J160" s="34">
        <f t="shared" si="26"/>
        <v>30.53</v>
      </c>
      <c r="K160" s="34">
        <f t="shared" si="26"/>
        <v>31.99</v>
      </c>
      <c r="L160" s="34">
        <f t="shared" si="26"/>
        <v>32.61</v>
      </c>
      <c r="M160" s="34">
        <f t="shared" si="26"/>
        <v>33.25</v>
      </c>
      <c r="N160" s="34">
        <f t="shared" si="26"/>
        <v>33.76</v>
      </c>
      <c r="O160" s="34">
        <f t="shared" si="26"/>
        <v>34</v>
      </c>
      <c r="P160" s="53">
        <f t="shared" si="27"/>
        <v>34</v>
      </c>
      <c r="Q160" s="53">
        <f t="shared" si="27"/>
        <v>34</v>
      </c>
      <c r="R160" s="38"/>
      <c r="X160" s="41">
        <f>INDEX('[1]End - Use Prices'!$C$6:$AL$89,MATCH($C160,'[1]End - Use Prices'!$A$6:$A$89,0)+MATCH($D160,'[1]End - Use Prices'!$B$9:$B$11,0)-1,MATCH(X$1,'[1]End - Use Prices'!$C$7:$AL$7,0))</f>
        <v>22.24</v>
      </c>
      <c r="Y160" s="41">
        <f>INDEX('[1]End - Use Prices'!$C$6:$AL$89,MATCH($C160,'[1]End - Use Prices'!$A$6:$A$89,0)+MATCH($D160,'[1]End - Use Prices'!$B$9:$B$11,0)-1,MATCH(Y$1,'[1]End - Use Prices'!$C$7:$AL$7,0))</f>
        <v>23.07</v>
      </c>
      <c r="Z160" s="41">
        <f>INDEX('[1]End - Use Prices'!$C$6:$AL$89,MATCH($C160,'[1]End - Use Prices'!$A$6:$A$89,0)+MATCH($D160,'[1]End - Use Prices'!$B$9:$B$11,0)-1,MATCH(Z$1,'[1]End - Use Prices'!$C$7:$AL$7,0))</f>
        <v>22.79</v>
      </c>
      <c r="AA160" s="41">
        <f>INDEX('[1]End - Use Prices'!$C$6:$AL$89,MATCH($C160,'[1]End - Use Prices'!$A$6:$A$89,0)+MATCH($D160,'[1]End - Use Prices'!$B$9:$B$11,0)-1,MATCH(AA$1,'[1]End - Use Prices'!$C$7:$AL$7,0))</f>
        <v>22.61</v>
      </c>
      <c r="AB160" s="41">
        <f>INDEX('[1]End - Use Prices'!$C$6:$AL$89,MATCH($C160,'[1]End - Use Prices'!$A$6:$A$89,0)+MATCH($D160,'[1]End - Use Prices'!$B$9:$B$11,0)-1,MATCH(AB$1,'[1]End - Use Prices'!$C$7:$AL$7,0))</f>
        <v>23.66</v>
      </c>
      <c r="AC160" s="41">
        <f>INDEX('[1]End - Use Prices'!$C$6:$AL$89,MATCH($C160,'[1]End - Use Prices'!$A$6:$A$89,0)+MATCH($D160,'[1]End - Use Prices'!$B$9:$B$11,0)-1,MATCH(AC$1,'[1]End - Use Prices'!$C$7:$AL$7,0))</f>
        <v>25.9</v>
      </c>
      <c r="AD160" s="41">
        <f>INDEX('[1]End - Use Prices'!$C$6:$AL$89,MATCH($C160,'[1]End - Use Prices'!$A$6:$A$89,0)+MATCH($D160,'[1]End - Use Prices'!$B$9:$B$11,0)-1,MATCH(AD$1,'[1]End - Use Prices'!$C$7:$AL$7,0))</f>
        <v>25.46</v>
      </c>
      <c r="AE160" s="41">
        <f>INDEX('[1]End - Use Prices'!$C$6:$AL$89,MATCH($C160,'[1]End - Use Prices'!$A$6:$A$89,0)+MATCH($D160,'[1]End - Use Prices'!$B$9:$B$11,0)-1,MATCH(AE$1,'[1]End - Use Prices'!$C$7:$AL$7,0))</f>
        <v>28.65</v>
      </c>
      <c r="AF160" s="41">
        <f>INDEX('[1]End - Use Prices'!$C$6:$AL$89,MATCH($C160,'[1]End - Use Prices'!$A$6:$A$89,0)+MATCH($D160,'[1]End - Use Prices'!$B$9:$B$11,0)-1,MATCH(AF$1,'[1]End - Use Prices'!$C$7:$AL$7,0))</f>
        <v>27.24</v>
      </c>
      <c r="AG160" s="41">
        <f>INDEX('[1]End - Use Prices'!$C$6:$AL$89,MATCH($C160,'[1]End - Use Prices'!$A$6:$A$89,0)+MATCH($D160,'[1]End - Use Prices'!$B$9:$B$11,0)-1,MATCH(AG$1,'[1]End - Use Prices'!$C$7:$AL$7,0))</f>
        <v>28.61</v>
      </c>
      <c r="AH160" s="41">
        <f>INDEX('[1]End - Use Prices'!$C$6:$AL$89,MATCH($C160,'[1]End - Use Prices'!$A$6:$A$89,0)+MATCH($D160,'[1]End - Use Prices'!$B$9:$B$11,0)-1,MATCH(AH$1,'[1]End - Use Prices'!$C$7:$AL$7,0))</f>
        <v>30.53</v>
      </c>
      <c r="AI160" s="41">
        <f>INDEX('[1]End - Use Prices'!$C$6:$AL$89,MATCH($C160,'[1]End - Use Prices'!$A$6:$A$89,0)+MATCH($D160,'[1]End - Use Prices'!$B$9:$B$11,0)-1,MATCH(AI$1,'[1]End - Use Prices'!$C$7:$AL$7,0))</f>
        <v>31.55</v>
      </c>
      <c r="AJ160" s="41">
        <f>INDEX('[1]End - Use Prices'!$C$6:$AL$89,MATCH($C160,'[1]End - Use Prices'!$A$6:$A$89,0)+MATCH($D160,'[1]End - Use Prices'!$B$9:$B$11,0)-1,MATCH(AJ$1,'[1]End - Use Prices'!$C$7:$AL$7,0))</f>
        <v>31.68</v>
      </c>
      <c r="AK160" s="41">
        <f>INDEX('[1]End - Use Prices'!$C$6:$AL$89,MATCH($C160,'[1]End - Use Prices'!$A$6:$A$89,0)+MATCH($D160,'[1]End - Use Prices'!$B$9:$B$11,0)-1,MATCH(AK$1,'[1]End - Use Prices'!$C$7:$AL$7,0))</f>
        <v>31.78</v>
      </c>
      <c r="AL160" s="41">
        <f>INDEX('[1]End - Use Prices'!$C$6:$AL$89,MATCH($C160,'[1]End - Use Prices'!$A$6:$A$89,0)+MATCH($D160,'[1]End - Use Prices'!$B$9:$B$11,0)-1,MATCH(AL$1,'[1]End - Use Prices'!$C$7:$AL$7,0))</f>
        <v>31.88</v>
      </c>
      <c r="AM160" s="41">
        <f>INDEX('[1]End - Use Prices'!$C$6:$AL$89,MATCH($C160,'[1]End - Use Prices'!$A$6:$A$89,0)+MATCH($D160,'[1]End - Use Prices'!$B$9:$B$11,0)-1,MATCH(AM$1,'[1]End - Use Prices'!$C$7:$AL$7,0))</f>
        <v>31.99</v>
      </c>
      <c r="AN160" s="41">
        <f>INDEX('[1]End - Use Prices'!$C$6:$AL$89,MATCH($C160,'[1]End - Use Prices'!$A$6:$A$89,0)+MATCH($D160,'[1]End - Use Prices'!$B$9:$B$11,0)-1,MATCH(AN$1,'[1]End - Use Prices'!$C$7:$AL$7,0))</f>
        <v>32.1</v>
      </c>
      <c r="AO160" s="41">
        <f>INDEX('[1]End - Use Prices'!$C$6:$AL$89,MATCH($C160,'[1]End - Use Prices'!$A$6:$A$89,0)+MATCH($D160,'[1]End - Use Prices'!$B$9:$B$11,0)-1,MATCH(AO$1,'[1]End - Use Prices'!$C$7:$AL$7,0))</f>
        <v>32.229999999999997</v>
      </c>
      <c r="AP160" s="41">
        <f>INDEX('[1]End - Use Prices'!$C$6:$AL$89,MATCH($C160,'[1]End - Use Prices'!$A$6:$A$89,0)+MATCH($D160,'[1]End - Use Prices'!$B$9:$B$11,0)-1,MATCH(AP$1,'[1]End - Use Prices'!$C$7:$AL$7,0))</f>
        <v>32.35</v>
      </c>
      <c r="AQ160" s="41">
        <f>INDEX('[1]End - Use Prices'!$C$6:$AL$89,MATCH($C160,'[1]End - Use Prices'!$A$6:$A$89,0)+MATCH($D160,'[1]End - Use Prices'!$B$9:$B$11,0)-1,MATCH(AQ$1,'[1]End - Use Prices'!$C$7:$AL$7,0))</f>
        <v>32.479999999999997</v>
      </c>
      <c r="AR160" s="41">
        <f>INDEX('[1]End - Use Prices'!$C$6:$AL$89,MATCH($C160,'[1]End - Use Prices'!$A$6:$A$89,0)+MATCH($D160,'[1]End - Use Prices'!$B$9:$B$11,0)-1,MATCH(AR$1,'[1]End - Use Prices'!$C$7:$AL$7,0))</f>
        <v>32.61</v>
      </c>
      <c r="AS160" s="41">
        <f>INDEX('[1]End - Use Prices'!$C$6:$AL$89,MATCH($C160,'[1]End - Use Prices'!$A$6:$A$89,0)+MATCH($D160,'[1]End - Use Prices'!$B$9:$B$11,0)-1,MATCH(AS$1,'[1]End - Use Prices'!$C$7:$AL$7,0))</f>
        <v>32.74</v>
      </c>
      <c r="AT160" s="41">
        <f>INDEX('[1]End - Use Prices'!$C$6:$AL$89,MATCH($C160,'[1]End - Use Prices'!$A$6:$A$89,0)+MATCH($D160,'[1]End - Use Prices'!$B$9:$B$11,0)-1,MATCH(AT$1,'[1]End - Use Prices'!$C$7:$AL$7,0))</f>
        <v>32.869999999999997</v>
      </c>
      <c r="AU160" s="41">
        <f>INDEX('[1]End - Use Prices'!$C$6:$AL$89,MATCH($C160,'[1]End - Use Prices'!$A$6:$A$89,0)+MATCH($D160,'[1]End - Use Prices'!$B$9:$B$11,0)-1,MATCH(AU$1,'[1]End - Use Prices'!$C$7:$AL$7,0))</f>
        <v>33</v>
      </c>
      <c r="AV160" s="41">
        <f>INDEX('[1]End - Use Prices'!$C$6:$AL$89,MATCH($C160,'[1]End - Use Prices'!$A$6:$A$89,0)+MATCH($D160,'[1]End - Use Prices'!$B$9:$B$11,0)-1,MATCH(AV$1,'[1]End - Use Prices'!$C$7:$AL$7,0))</f>
        <v>33.130000000000003</v>
      </c>
      <c r="AW160" s="41">
        <f>INDEX('[1]End - Use Prices'!$C$6:$AL$89,MATCH($C160,'[1]End - Use Prices'!$A$6:$A$89,0)+MATCH($D160,'[1]End - Use Prices'!$B$9:$B$11,0)-1,MATCH(AW$1,'[1]End - Use Prices'!$C$7:$AL$7,0))</f>
        <v>33.25</v>
      </c>
      <c r="AX160" s="41">
        <f>INDEX('[1]End - Use Prices'!$C$6:$AL$89,MATCH($C160,'[1]End - Use Prices'!$A$6:$A$89,0)+MATCH($D160,'[1]End - Use Prices'!$B$9:$B$11,0)-1,MATCH(AX$1,'[1]End - Use Prices'!$C$7:$AL$7,0))</f>
        <v>33.369999999999997</v>
      </c>
      <c r="AY160" s="41">
        <f>INDEX('[1]End - Use Prices'!$C$6:$AL$89,MATCH($C160,'[1]End - Use Prices'!$A$6:$A$89,0)+MATCH($D160,'[1]End - Use Prices'!$B$9:$B$11,0)-1,MATCH(AY$1,'[1]End - Use Prices'!$C$7:$AL$7,0))</f>
        <v>33.479999999999997</v>
      </c>
      <c r="AZ160" s="41">
        <f>INDEX('[1]End - Use Prices'!$C$6:$AL$89,MATCH($C160,'[1]End - Use Prices'!$A$6:$A$89,0)+MATCH($D160,'[1]End - Use Prices'!$B$9:$B$11,0)-1,MATCH(AZ$1,'[1]End - Use Prices'!$C$7:$AL$7,0))</f>
        <v>33.58</v>
      </c>
      <c r="BA160" s="41">
        <f>INDEX('[1]End - Use Prices'!$C$6:$AL$89,MATCH($C160,'[1]End - Use Prices'!$A$6:$A$89,0)+MATCH($D160,'[1]End - Use Prices'!$B$9:$B$11,0)-1,MATCH(BA$1,'[1]End - Use Prices'!$C$7:$AL$7,0))</f>
        <v>33.68</v>
      </c>
      <c r="BB160" s="41">
        <f>INDEX('[1]End - Use Prices'!$C$6:$AL$89,MATCH($C160,'[1]End - Use Prices'!$A$6:$A$89,0)+MATCH($D160,'[1]End - Use Prices'!$B$9:$B$11,0)-1,MATCH(BB$1,'[1]End - Use Prices'!$C$7:$AL$7,0))</f>
        <v>33.76</v>
      </c>
      <c r="BC160" s="41">
        <f>INDEX('[1]End - Use Prices'!$C$6:$AL$89,MATCH($C160,'[1]End - Use Prices'!$A$6:$A$89,0)+MATCH($D160,'[1]End - Use Prices'!$B$9:$B$11,0)-1,MATCH(BC$1,'[1]End - Use Prices'!$C$7:$AL$7,0))</f>
        <v>33.840000000000003</v>
      </c>
      <c r="BD160" s="41">
        <f>INDEX('[1]End - Use Prices'!$C$6:$AL$89,MATCH($C160,'[1]End - Use Prices'!$A$6:$A$89,0)+MATCH($D160,'[1]End - Use Prices'!$B$9:$B$11,0)-1,MATCH(BD$1,'[1]End - Use Prices'!$C$7:$AL$7,0))</f>
        <v>33.9</v>
      </c>
      <c r="BE160" s="41">
        <f>INDEX('[1]End - Use Prices'!$C$6:$AL$89,MATCH($C160,'[1]End - Use Prices'!$A$6:$A$89,0)+MATCH($D160,'[1]End - Use Prices'!$B$9:$B$11,0)-1,MATCH(BE$1,'[1]End - Use Prices'!$C$7:$AL$7,0))</f>
        <v>33.950000000000003</v>
      </c>
      <c r="BF160" s="41">
        <f>INDEX('[1]End - Use Prices'!$C$6:$AL$89,MATCH($C160,'[1]End - Use Prices'!$A$6:$A$89,0)+MATCH($D160,'[1]End - Use Prices'!$B$9:$B$11,0)-1,MATCH(BF$1,'[1]End - Use Prices'!$C$7:$AL$7,0))</f>
        <v>33.979999999999997</v>
      </c>
      <c r="BG160" s="41">
        <f>INDEX('[1]End - Use Prices'!$C$6:$AL$89,MATCH($C160,'[1]End - Use Prices'!$A$6:$A$89,0)+MATCH($D160,'[1]End - Use Prices'!$B$9:$B$11,0)-1,MATCH(BG$1,'[1]End - Use Prices'!$C$7:$AL$7,0))</f>
        <v>34</v>
      </c>
      <c r="BR160" s="39"/>
      <c r="BS160" s="39"/>
      <c r="BT160" s="39"/>
      <c r="BU160" s="39"/>
      <c r="BV160" s="39"/>
      <c r="BW160" s="39"/>
      <c r="BX160" s="39"/>
      <c r="BY160" s="39"/>
      <c r="BZ160" s="39"/>
      <c r="CA160" s="39"/>
    </row>
    <row r="161" spans="1:79" x14ac:dyDescent="0.25">
      <c r="A161" s="5"/>
      <c r="B161" s="3"/>
      <c r="C161" s="25" t="s">
        <v>93</v>
      </c>
      <c r="D161" s="25" t="s">
        <v>2</v>
      </c>
      <c r="E161" s="25" t="s">
        <v>282</v>
      </c>
      <c r="F161" s="67" t="s">
        <v>279</v>
      </c>
      <c r="G161" s="53">
        <f t="shared" si="25"/>
        <v>33.479999999999997</v>
      </c>
      <c r="H161" s="34">
        <f t="shared" si="26"/>
        <v>33.479999999999997</v>
      </c>
      <c r="I161" s="34">
        <f t="shared" si="26"/>
        <v>37.69</v>
      </c>
      <c r="J161" s="34">
        <f t="shared" si="26"/>
        <v>47.73</v>
      </c>
      <c r="K161" s="34">
        <f t="shared" si="26"/>
        <v>48.18</v>
      </c>
      <c r="L161" s="34">
        <f t="shared" si="26"/>
        <v>49.04</v>
      </c>
      <c r="M161" s="34">
        <f t="shared" si="26"/>
        <v>49.97</v>
      </c>
      <c r="N161" s="34">
        <f t="shared" si="26"/>
        <v>50.92</v>
      </c>
      <c r="O161" s="34">
        <f t="shared" si="26"/>
        <v>51.85</v>
      </c>
      <c r="P161" s="53">
        <f t="shared" si="27"/>
        <v>51.85</v>
      </c>
      <c r="Q161" s="53">
        <f t="shared" si="27"/>
        <v>51.85</v>
      </c>
      <c r="R161" s="38"/>
      <c r="X161" s="41">
        <f>INDEX('[1]End - Use Prices'!$C$6:$AL$89,MATCH($C161,'[1]End - Use Prices'!$A$6:$A$89,0)+MATCH($D161,'[1]End - Use Prices'!$B$9:$B$11,0)-1,MATCH(X$1,'[1]End - Use Prices'!$C$7:$AL$7,0))</f>
        <v>33.479999999999997</v>
      </c>
      <c r="Y161" s="41">
        <f>INDEX('[1]End - Use Prices'!$C$6:$AL$89,MATCH($C161,'[1]End - Use Prices'!$A$6:$A$89,0)+MATCH($D161,'[1]End - Use Prices'!$B$9:$B$11,0)-1,MATCH(Y$1,'[1]End - Use Prices'!$C$7:$AL$7,0))</f>
        <v>34.72</v>
      </c>
      <c r="Z161" s="41">
        <f>INDEX('[1]End - Use Prices'!$C$6:$AL$89,MATCH($C161,'[1]End - Use Prices'!$A$6:$A$89,0)+MATCH($D161,'[1]End - Use Prices'!$B$9:$B$11,0)-1,MATCH(Z$1,'[1]End - Use Prices'!$C$7:$AL$7,0))</f>
        <v>34.299999999999997</v>
      </c>
      <c r="AA161" s="41">
        <f>INDEX('[1]End - Use Prices'!$C$6:$AL$89,MATCH($C161,'[1]End - Use Prices'!$A$6:$A$89,0)+MATCH($D161,'[1]End - Use Prices'!$B$9:$B$11,0)-1,MATCH(AA$1,'[1]End - Use Prices'!$C$7:$AL$7,0))</f>
        <v>34</v>
      </c>
      <c r="AB161" s="41">
        <f>INDEX('[1]End - Use Prices'!$C$6:$AL$89,MATCH($C161,'[1]End - Use Prices'!$A$6:$A$89,0)+MATCH($D161,'[1]End - Use Prices'!$B$9:$B$11,0)-1,MATCH(AB$1,'[1]End - Use Prices'!$C$7:$AL$7,0))</f>
        <v>35.590000000000003</v>
      </c>
      <c r="AC161" s="41">
        <f>INDEX('[1]End - Use Prices'!$C$6:$AL$89,MATCH($C161,'[1]End - Use Prices'!$A$6:$A$89,0)+MATCH($D161,'[1]End - Use Prices'!$B$9:$B$11,0)-1,MATCH(AC$1,'[1]End - Use Prices'!$C$7:$AL$7,0))</f>
        <v>37.69</v>
      </c>
      <c r="AD161" s="41">
        <f>INDEX('[1]End - Use Prices'!$C$6:$AL$89,MATCH($C161,'[1]End - Use Prices'!$A$6:$A$89,0)+MATCH($D161,'[1]End - Use Prices'!$B$9:$B$11,0)-1,MATCH(AD$1,'[1]End - Use Prices'!$C$7:$AL$7,0))</f>
        <v>35.89</v>
      </c>
      <c r="AE161" s="41">
        <f>INDEX('[1]End - Use Prices'!$C$6:$AL$89,MATCH($C161,'[1]End - Use Prices'!$A$6:$A$89,0)+MATCH($D161,'[1]End - Use Prices'!$B$9:$B$11,0)-1,MATCH(AE$1,'[1]End - Use Prices'!$C$7:$AL$7,0))</f>
        <v>40.39</v>
      </c>
      <c r="AF161" s="41">
        <f>INDEX('[1]End - Use Prices'!$C$6:$AL$89,MATCH($C161,'[1]End - Use Prices'!$A$6:$A$89,0)+MATCH($D161,'[1]End - Use Prices'!$B$9:$B$11,0)-1,MATCH(AF$1,'[1]End - Use Prices'!$C$7:$AL$7,0))</f>
        <v>40.28</v>
      </c>
      <c r="AG161" s="41">
        <f>INDEX('[1]End - Use Prices'!$C$6:$AL$89,MATCH($C161,'[1]End - Use Prices'!$A$6:$A$89,0)+MATCH($D161,'[1]End - Use Prices'!$B$9:$B$11,0)-1,MATCH(AG$1,'[1]End - Use Prices'!$C$7:$AL$7,0))</f>
        <v>47.35</v>
      </c>
      <c r="AH161" s="41">
        <f>INDEX('[1]End - Use Prices'!$C$6:$AL$89,MATCH($C161,'[1]End - Use Prices'!$A$6:$A$89,0)+MATCH($D161,'[1]End - Use Prices'!$B$9:$B$11,0)-1,MATCH(AH$1,'[1]End - Use Prices'!$C$7:$AL$7,0))</f>
        <v>47.73</v>
      </c>
      <c r="AI161" s="41">
        <f>INDEX('[1]End - Use Prices'!$C$6:$AL$89,MATCH($C161,'[1]End - Use Prices'!$A$6:$A$89,0)+MATCH($D161,'[1]End - Use Prices'!$B$9:$B$11,0)-1,MATCH(AI$1,'[1]End - Use Prices'!$C$7:$AL$7,0))</f>
        <v>47.43</v>
      </c>
      <c r="AJ161" s="41">
        <f>INDEX('[1]End - Use Prices'!$C$6:$AL$89,MATCH($C161,'[1]End - Use Prices'!$A$6:$A$89,0)+MATCH($D161,'[1]End - Use Prices'!$B$9:$B$11,0)-1,MATCH(AJ$1,'[1]End - Use Prices'!$C$7:$AL$7,0))</f>
        <v>47.71</v>
      </c>
      <c r="AK161" s="41">
        <f>INDEX('[1]End - Use Prices'!$C$6:$AL$89,MATCH($C161,'[1]End - Use Prices'!$A$6:$A$89,0)+MATCH($D161,'[1]End - Use Prices'!$B$9:$B$11,0)-1,MATCH(AK$1,'[1]End - Use Prices'!$C$7:$AL$7,0))</f>
        <v>47.86</v>
      </c>
      <c r="AL161" s="41">
        <f>INDEX('[1]End - Use Prices'!$C$6:$AL$89,MATCH($C161,'[1]End - Use Prices'!$A$6:$A$89,0)+MATCH($D161,'[1]End - Use Prices'!$B$9:$B$11,0)-1,MATCH(AL$1,'[1]End - Use Prices'!$C$7:$AL$7,0))</f>
        <v>48.02</v>
      </c>
      <c r="AM161" s="41">
        <f>INDEX('[1]End - Use Prices'!$C$6:$AL$89,MATCH($C161,'[1]End - Use Prices'!$A$6:$A$89,0)+MATCH($D161,'[1]End - Use Prices'!$B$9:$B$11,0)-1,MATCH(AM$1,'[1]End - Use Prices'!$C$7:$AL$7,0))</f>
        <v>48.18</v>
      </c>
      <c r="AN161" s="41">
        <f>INDEX('[1]End - Use Prices'!$C$6:$AL$89,MATCH($C161,'[1]End - Use Prices'!$A$6:$A$89,0)+MATCH($D161,'[1]End - Use Prices'!$B$9:$B$11,0)-1,MATCH(AN$1,'[1]End - Use Prices'!$C$7:$AL$7,0))</f>
        <v>48.35</v>
      </c>
      <c r="AO161" s="41">
        <f>INDEX('[1]End - Use Prices'!$C$6:$AL$89,MATCH($C161,'[1]End - Use Prices'!$A$6:$A$89,0)+MATCH($D161,'[1]End - Use Prices'!$B$9:$B$11,0)-1,MATCH(AO$1,'[1]End - Use Prices'!$C$7:$AL$7,0))</f>
        <v>48.52</v>
      </c>
      <c r="AP161" s="41">
        <f>INDEX('[1]End - Use Prices'!$C$6:$AL$89,MATCH($C161,'[1]End - Use Prices'!$A$6:$A$89,0)+MATCH($D161,'[1]End - Use Prices'!$B$9:$B$11,0)-1,MATCH(AP$1,'[1]End - Use Prices'!$C$7:$AL$7,0))</f>
        <v>48.69</v>
      </c>
      <c r="AQ161" s="41">
        <f>INDEX('[1]End - Use Prices'!$C$6:$AL$89,MATCH($C161,'[1]End - Use Prices'!$A$6:$A$89,0)+MATCH($D161,'[1]End - Use Prices'!$B$9:$B$11,0)-1,MATCH(AQ$1,'[1]End - Use Prices'!$C$7:$AL$7,0))</f>
        <v>48.86</v>
      </c>
      <c r="AR161" s="41">
        <f>INDEX('[1]End - Use Prices'!$C$6:$AL$89,MATCH($C161,'[1]End - Use Prices'!$A$6:$A$89,0)+MATCH($D161,'[1]End - Use Prices'!$B$9:$B$11,0)-1,MATCH(AR$1,'[1]End - Use Prices'!$C$7:$AL$7,0))</f>
        <v>49.04</v>
      </c>
      <c r="AS161" s="41">
        <f>INDEX('[1]End - Use Prices'!$C$6:$AL$89,MATCH($C161,'[1]End - Use Prices'!$A$6:$A$89,0)+MATCH($D161,'[1]End - Use Prices'!$B$9:$B$11,0)-1,MATCH(AS$1,'[1]End - Use Prices'!$C$7:$AL$7,0))</f>
        <v>49.22</v>
      </c>
      <c r="AT161" s="41">
        <f>INDEX('[1]End - Use Prices'!$C$6:$AL$89,MATCH($C161,'[1]End - Use Prices'!$A$6:$A$89,0)+MATCH($D161,'[1]End - Use Prices'!$B$9:$B$11,0)-1,MATCH(AT$1,'[1]End - Use Prices'!$C$7:$AL$7,0))</f>
        <v>49.41</v>
      </c>
      <c r="AU161" s="41">
        <f>INDEX('[1]End - Use Prices'!$C$6:$AL$89,MATCH($C161,'[1]End - Use Prices'!$A$6:$A$89,0)+MATCH($D161,'[1]End - Use Prices'!$B$9:$B$11,0)-1,MATCH(AU$1,'[1]End - Use Prices'!$C$7:$AL$7,0))</f>
        <v>49.59</v>
      </c>
      <c r="AV161" s="41">
        <f>INDEX('[1]End - Use Prices'!$C$6:$AL$89,MATCH($C161,'[1]End - Use Prices'!$A$6:$A$89,0)+MATCH($D161,'[1]End - Use Prices'!$B$9:$B$11,0)-1,MATCH(AV$1,'[1]End - Use Prices'!$C$7:$AL$7,0))</f>
        <v>49.78</v>
      </c>
      <c r="AW161" s="41">
        <f>INDEX('[1]End - Use Prices'!$C$6:$AL$89,MATCH($C161,'[1]End - Use Prices'!$A$6:$A$89,0)+MATCH($D161,'[1]End - Use Prices'!$B$9:$B$11,0)-1,MATCH(AW$1,'[1]End - Use Prices'!$C$7:$AL$7,0))</f>
        <v>49.97</v>
      </c>
      <c r="AX161" s="41">
        <f>INDEX('[1]End - Use Prices'!$C$6:$AL$89,MATCH($C161,'[1]End - Use Prices'!$A$6:$A$89,0)+MATCH($D161,'[1]End - Use Prices'!$B$9:$B$11,0)-1,MATCH(AX$1,'[1]End - Use Prices'!$C$7:$AL$7,0))</f>
        <v>50.16</v>
      </c>
      <c r="AY161" s="41">
        <f>INDEX('[1]End - Use Prices'!$C$6:$AL$89,MATCH($C161,'[1]End - Use Prices'!$A$6:$A$89,0)+MATCH($D161,'[1]End - Use Prices'!$B$9:$B$11,0)-1,MATCH(AY$1,'[1]End - Use Prices'!$C$7:$AL$7,0))</f>
        <v>50.35</v>
      </c>
      <c r="AZ161" s="41">
        <f>INDEX('[1]End - Use Prices'!$C$6:$AL$89,MATCH($C161,'[1]End - Use Prices'!$A$6:$A$89,0)+MATCH($D161,'[1]End - Use Prices'!$B$9:$B$11,0)-1,MATCH(AZ$1,'[1]End - Use Prices'!$C$7:$AL$7,0))</f>
        <v>50.54</v>
      </c>
      <c r="BA161" s="41">
        <f>INDEX('[1]End - Use Prices'!$C$6:$AL$89,MATCH($C161,'[1]End - Use Prices'!$A$6:$A$89,0)+MATCH($D161,'[1]End - Use Prices'!$B$9:$B$11,0)-1,MATCH(BA$1,'[1]End - Use Prices'!$C$7:$AL$7,0))</f>
        <v>50.73</v>
      </c>
      <c r="BB161" s="41">
        <f>INDEX('[1]End - Use Prices'!$C$6:$AL$89,MATCH($C161,'[1]End - Use Prices'!$A$6:$A$89,0)+MATCH($D161,'[1]End - Use Prices'!$B$9:$B$11,0)-1,MATCH(BB$1,'[1]End - Use Prices'!$C$7:$AL$7,0))</f>
        <v>50.92</v>
      </c>
      <c r="BC161" s="41">
        <f>INDEX('[1]End - Use Prices'!$C$6:$AL$89,MATCH($C161,'[1]End - Use Prices'!$A$6:$A$89,0)+MATCH($D161,'[1]End - Use Prices'!$B$9:$B$11,0)-1,MATCH(BC$1,'[1]End - Use Prices'!$C$7:$AL$7,0))</f>
        <v>51.11</v>
      </c>
      <c r="BD161" s="41">
        <f>INDEX('[1]End - Use Prices'!$C$6:$AL$89,MATCH($C161,'[1]End - Use Prices'!$A$6:$A$89,0)+MATCH($D161,'[1]End - Use Prices'!$B$9:$B$11,0)-1,MATCH(BD$1,'[1]End - Use Prices'!$C$7:$AL$7,0))</f>
        <v>51.3</v>
      </c>
      <c r="BE161" s="41">
        <f>INDEX('[1]End - Use Prices'!$C$6:$AL$89,MATCH($C161,'[1]End - Use Prices'!$A$6:$A$89,0)+MATCH($D161,'[1]End - Use Prices'!$B$9:$B$11,0)-1,MATCH(BE$1,'[1]End - Use Prices'!$C$7:$AL$7,0))</f>
        <v>51.48</v>
      </c>
      <c r="BF161" s="41">
        <f>INDEX('[1]End - Use Prices'!$C$6:$AL$89,MATCH($C161,'[1]End - Use Prices'!$A$6:$A$89,0)+MATCH($D161,'[1]End - Use Prices'!$B$9:$B$11,0)-1,MATCH(BF$1,'[1]End - Use Prices'!$C$7:$AL$7,0))</f>
        <v>51.67</v>
      </c>
      <c r="BG161" s="41">
        <f>INDEX('[1]End - Use Prices'!$C$6:$AL$89,MATCH($C161,'[1]End - Use Prices'!$A$6:$A$89,0)+MATCH($D161,'[1]End - Use Prices'!$B$9:$B$11,0)-1,MATCH(BG$1,'[1]End - Use Prices'!$C$7:$AL$7,0))</f>
        <v>51.85</v>
      </c>
      <c r="BR161" s="39"/>
      <c r="BS161" s="39"/>
      <c r="BT161" s="39"/>
      <c r="BU161" s="39"/>
      <c r="BV161" s="39"/>
      <c r="BW161" s="39"/>
      <c r="BX161" s="39"/>
      <c r="BY161" s="39"/>
      <c r="BZ161" s="39"/>
      <c r="CA161" s="39"/>
    </row>
    <row r="162" spans="1:79" x14ac:dyDescent="0.25">
      <c r="A162" s="5"/>
      <c r="B162" s="3"/>
      <c r="C162" s="25" t="s">
        <v>95</v>
      </c>
      <c r="D162" s="25" t="s">
        <v>2</v>
      </c>
      <c r="E162" s="25" t="s">
        <v>282</v>
      </c>
      <c r="F162" s="67" t="s">
        <v>279</v>
      </c>
      <c r="G162" s="53">
        <f t="shared" si="25"/>
        <v>80.930000000000007</v>
      </c>
      <c r="H162" s="34">
        <f t="shared" si="26"/>
        <v>80.930000000000007</v>
      </c>
      <c r="I162" s="34">
        <f t="shared" si="26"/>
        <v>89.34</v>
      </c>
      <c r="J162" s="34">
        <f t="shared" si="26"/>
        <v>95.28</v>
      </c>
      <c r="K162" s="34">
        <f t="shared" si="26"/>
        <v>96.87</v>
      </c>
      <c r="L162" s="34">
        <f t="shared" si="26"/>
        <v>98.86</v>
      </c>
      <c r="M162" s="34">
        <f t="shared" si="26"/>
        <v>100.71</v>
      </c>
      <c r="N162" s="34">
        <f t="shared" si="26"/>
        <v>102.6</v>
      </c>
      <c r="O162" s="34">
        <f t="shared" si="26"/>
        <v>104.69</v>
      </c>
      <c r="P162" s="53">
        <f t="shared" si="27"/>
        <v>104.69</v>
      </c>
      <c r="Q162" s="53">
        <f t="shared" si="27"/>
        <v>104.69</v>
      </c>
      <c r="R162" s="38"/>
      <c r="X162" s="41">
        <f>INDEX('[1]End - Use Prices'!$C$6:$AL$89,MATCH($C162,'[1]End - Use Prices'!$A$6:$A$89,0)+MATCH($D162,'[1]End - Use Prices'!$B$9:$B$11,0)-1,MATCH(X$1,'[1]End - Use Prices'!$C$7:$AL$7,0))</f>
        <v>80.930000000000007</v>
      </c>
      <c r="Y162" s="41">
        <f>INDEX('[1]End - Use Prices'!$C$6:$AL$89,MATCH($C162,'[1]End - Use Prices'!$A$6:$A$89,0)+MATCH($D162,'[1]End - Use Prices'!$B$9:$B$11,0)-1,MATCH(Y$1,'[1]End - Use Prices'!$C$7:$AL$7,0))</f>
        <v>83.41</v>
      </c>
      <c r="Z162" s="41">
        <f>INDEX('[1]End - Use Prices'!$C$6:$AL$89,MATCH($C162,'[1]End - Use Prices'!$A$6:$A$89,0)+MATCH($D162,'[1]End - Use Prices'!$B$9:$B$11,0)-1,MATCH(Z$1,'[1]End - Use Prices'!$C$7:$AL$7,0))</f>
        <v>82.56</v>
      </c>
      <c r="AA162" s="41">
        <f>INDEX('[1]End - Use Prices'!$C$6:$AL$89,MATCH($C162,'[1]End - Use Prices'!$A$6:$A$89,0)+MATCH($D162,'[1]End - Use Prices'!$B$9:$B$11,0)-1,MATCH(AA$1,'[1]End - Use Prices'!$C$7:$AL$7,0))</f>
        <v>81.98</v>
      </c>
      <c r="AB162" s="41">
        <f>INDEX('[1]End - Use Prices'!$C$6:$AL$89,MATCH($C162,'[1]End - Use Prices'!$A$6:$A$89,0)+MATCH($D162,'[1]End - Use Prices'!$B$9:$B$11,0)-1,MATCH(AB$1,'[1]End - Use Prices'!$C$7:$AL$7,0))</f>
        <v>85.14</v>
      </c>
      <c r="AC162" s="41">
        <f>INDEX('[1]End - Use Prices'!$C$6:$AL$89,MATCH($C162,'[1]End - Use Prices'!$A$6:$A$89,0)+MATCH($D162,'[1]End - Use Prices'!$B$9:$B$11,0)-1,MATCH(AC$1,'[1]End - Use Prices'!$C$7:$AL$7,0))</f>
        <v>89.34</v>
      </c>
      <c r="AD162" s="41">
        <f>INDEX('[1]End - Use Prices'!$C$6:$AL$89,MATCH($C162,'[1]End - Use Prices'!$A$6:$A$89,0)+MATCH($D162,'[1]End - Use Prices'!$B$9:$B$11,0)-1,MATCH(AD$1,'[1]End - Use Prices'!$C$7:$AL$7,0))</f>
        <v>85.75</v>
      </c>
      <c r="AE162" s="41">
        <f>INDEX('[1]End - Use Prices'!$C$6:$AL$89,MATCH($C162,'[1]End - Use Prices'!$A$6:$A$89,0)+MATCH($D162,'[1]End - Use Prices'!$B$9:$B$11,0)-1,MATCH(AE$1,'[1]End - Use Prices'!$C$7:$AL$7,0))</f>
        <v>94.73</v>
      </c>
      <c r="AF162" s="41">
        <f>INDEX('[1]End - Use Prices'!$C$6:$AL$89,MATCH($C162,'[1]End - Use Prices'!$A$6:$A$89,0)+MATCH($D162,'[1]End - Use Prices'!$B$9:$B$11,0)-1,MATCH(AF$1,'[1]End - Use Prices'!$C$7:$AL$7,0))</f>
        <v>94.52</v>
      </c>
      <c r="AG162" s="41">
        <f>INDEX('[1]End - Use Prices'!$C$6:$AL$89,MATCH($C162,'[1]End - Use Prices'!$A$6:$A$89,0)+MATCH($D162,'[1]End - Use Prices'!$B$9:$B$11,0)-1,MATCH(AG$1,'[1]End - Use Prices'!$C$7:$AL$7,0))</f>
        <v>94.52</v>
      </c>
      <c r="AH162" s="41">
        <f>INDEX('[1]End - Use Prices'!$C$6:$AL$89,MATCH($C162,'[1]End - Use Prices'!$A$6:$A$89,0)+MATCH($D162,'[1]End - Use Prices'!$B$9:$B$11,0)-1,MATCH(AH$1,'[1]End - Use Prices'!$C$7:$AL$7,0))</f>
        <v>95.28</v>
      </c>
      <c r="AI162" s="41">
        <f>INDEX('[1]End - Use Prices'!$C$6:$AL$89,MATCH($C162,'[1]End - Use Prices'!$A$6:$A$89,0)+MATCH($D162,'[1]End - Use Prices'!$B$9:$B$11,0)-1,MATCH(AI$1,'[1]End - Use Prices'!$C$7:$AL$7,0))</f>
        <v>94.69</v>
      </c>
      <c r="AJ162" s="41">
        <f>INDEX('[1]End - Use Prices'!$C$6:$AL$89,MATCH($C162,'[1]End - Use Prices'!$A$6:$A$89,0)+MATCH($D162,'[1]End - Use Prices'!$B$9:$B$11,0)-1,MATCH(AJ$1,'[1]End - Use Prices'!$C$7:$AL$7,0))</f>
        <v>95.56</v>
      </c>
      <c r="AK162" s="41">
        <f>INDEX('[1]End - Use Prices'!$C$6:$AL$89,MATCH($C162,'[1]End - Use Prices'!$A$6:$A$89,0)+MATCH($D162,'[1]End - Use Prices'!$B$9:$B$11,0)-1,MATCH(AK$1,'[1]End - Use Prices'!$C$7:$AL$7,0))</f>
        <v>96.01</v>
      </c>
      <c r="AL162" s="41">
        <f>INDEX('[1]End - Use Prices'!$C$6:$AL$89,MATCH($C162,'[1]End - Use Prices'!$A$6:$A$89,0)+MATCH($D162,'[1]End - Use Prices'!$B$9:$B$11,0)-1,MATCH(AL$1,'[1]End - Use Prices'!$C$7:$AL$7,0))</f>
        <v>96.45</v>
      </c>
      <c r="AM162" s="41">
        <f>INDEX('[1]End - Use Prices'!$C$6:$AL$89,MATCH($C162,'[1]End - Use Prices'!$A$6:$A$89,0)+MATCH($D162,'[1]End - Use Prices'!$B$9:$B$11,0)-1,MATCH(AM$1,'[1]End - Use Prices'!$C$7:$AL$7,0))</f>
        <v>96.87</v>
      </c>
      <c r="AN162" s="41">
        <f>INDEX('[1]End - Use Prices'!$C$6:$AL$89,MATCH($C162,'[1]End - Use Prices'!$A$6:$A$89,0)+MATCH($D162,'[1]End - Use Prices'!$B$9:$B$11,0)-1,MATCH(AN$1,'[1]End - Use Prices'!$C$7:$AL$7,0))</f>
        <v>97.29</v>
      </c>
      <c r="AO162" s="41">
        <f>INDEX('[1]End - Use Prices'!$C$6:$AL$89,MATCH($C162,'[1]End - Use Prices'!$A$6:$A$89,0)+MATCH($D162,'[1]End - Use Prices'!$B$9:$B$11,0)-1,MATCH(AO$1,'[1]End - Use Prices'!$C$7:$AL$7,0))</f>
        <v>97.69</v>
      </c>
      <c r="AP162" s="41">
        <f>INDEX('[1]End - Use Prices'!$C$6:$AL$89,MATCH($C162,'[1]End - Use Prices'!$A$6:$A$89,0)+MATCH($D162,'[1]End - Use Prices'!$B$9:$B$11,0)-1,MATCH(AP$1,'[1]End - Use Prices'!$C$7:$AL$7,0))</f>
        <v>98.09</v>
      </c>
      <c r="AQ162" s="41">
        <f>INDEX('[1]End - Use Prices'!$C$6:$AL$89,MATCH($C162,'[1]End - Use Prices'!$A$6:$A$89,0)+MATCH($D162,'[1]End - Use Prices'!$B$9:$B$11,0)-1,MATCH(AQ$1,'[1]End - Use Prices'!$C$7:$AL$7,0))</f>
        <v>98.48</v>
      </c>
      <c r="AR162" s="41">
        <f>INDEX('[1]End - Use Prices'!$C$6:$AL$89,MATCH($C162,'[1]End - Use Prices'!$A$6:$A$89,0)+MATCH($D162,'[1]End - Use Prices'!$B$9:$B$11,0)-1,MATCH(AR$1,'[1]End - Use Prices'!$C$7:$AL$7,0))</f>
        <v>98.86</v>
      </c>
      <c r="AS162" s="41">
        <f>INDEX('[1]End - Use Prices'!$C$6:$AL$89,MATCH($C162,'[1]End - Use Prices'!$A$6:$A$89,0)+MATCH($D162,'[1]End - Use Prices'!$B$9:$B$11,0)-1,MATCH(AS$1,'[1]End - Use Prices'!$C$7:$AL$7,0))</f>
        <v>99.23</v>
      </c>
      <c r="AT162" s="41">
        <f>INDEX('[1]End - Use Prices'!$C$6:$AL$89,MATCH($C162,'[1]End - Use Prices'!$A$6:$A$89,0)+MATCH($D162,'[1]End - Use Prices'!$B$9:$B$11,0)-1,MATCH(AT$1,'[1]End - Use Prices'!$C$7:$AL$7,0))</f>
        <v>99.6</v>
      </c>
      <c r="AU162" s="41">
        <f>INDEX('[1]End - Use Prices'!$C$6:$AL$89,MATCH($C162,'[1]End - Use Prices'!$A$6:$A$89,0)+MATCH($D162,'[1]End - Use Prices'!$B$9:$B$11,0)-1,MATCH(AU$1,'[1]End - Use Prices'!$C$7:$AL$7,0))</f>
        <v>99.97</v>
      </c>
      <c r="AV162" s="41">
        <f>INDEX('[1]End - Use Prices'!$C$6:$AL$89,MATCH($C162,'[1]End - Use Prices'!$A$6:$A$89,0)+MATCH($D162,'[1]End - Use Prices'!$B$9:$B$11,0)-1,MATCH(AV$1,'[1]End - Use Prices'!$C$7:$AL$7,0))</f>
        <v>100.34</v>
      </c>
      <c r="AW162" s="41">
        <f>INDEX('[1]End - Use Prices'!$C$6:$AL$89,MATCH($C162,'[1]End - Use Prices'!$A$6:$A$89,0)+MATCH($D162,'[1]End - Use Prices'!$B$9:$B$11,0)-1,MATCH(AW$1,'[1]End - Use Prices'!$C$7:$AL$7,0))</f>
        <v>100.71</v>
      </c>
      <c r="AX162" s="41">
        <f>INDEX('[1]End - Use Prices'!$C$6:$AL$89,MATCH($C162,'[1]End - Use Prices'!$A$6:$A$89,0)+MATCH($D162,'[1]End - Use Prices'!$B$9:$B$11,0)-1,MATCH(AX$1,'[1]End - Use Prices'!$C$7:$AL$7,0))</f>
        <v>101.08</v>
      </c>
      <c r="AY162" s="41">
        <f>INDEX('[1]End - Use Prices'!$C$6:$AL$89,MATCH($C162,'[1]End - Use Prices'!$A$6:$A$89,0)+MATCH($D162,'[1]End - Use Prices'!$B$9:$B$11,0)-1,MATCH(AY$1,'[1]End - Use Prices'!$C$7:$AL$7,0))</f>
        <v>101.45</v>
      </c>
      <c r="AZ162" s="41">
        <f>INDEX('[1]End - Use Prices'!$C$6:$AL$89,MATCH($C162,'[1]End - Use Prices'!$A$6:$A$89,0)+MATCH($D162,'[1]End - Use Prices'!$B$9:$B$11,0)-1,MATCH(AZ$1,'[1]End - Use Prices'!$C$7:$AL$7,0))</f>
        <v>101.83</v>
      </c>
      <c r="BA162" s="41">
        <f>INDEX('[1]End - Use Prices'!$C$6:$AL$89,MATCH($C162,'[1]End - Use Prices'!$A$6:$A$89,0)+MATCH($D162,'[1]End - Use Prices'!$B$9:$B$11,0)-1,MATCH(BA$1,'[1]End - Use Prices'!$C$7:$AL$7,0))</f>
        <v>102.21</v>
      </c>
      <c r="BB162" s="41">
        <f>INDEX('[1]End - Use Prices'!$C$6:$AL$89,MATCH($C162,'[1]End - Use Prices'!$A$6:$A$89,0)+MATCH($D162,'[1]End - Use Prices'!$B$9:$B$11,0)-1,MATCH(BB$1,'[1]End - Use Prices'!$C$7:$AL$7,0))</f>
        <v>102.6</v>
      </c>
      <c r="BC162" s="41">
        <f>INDEX('[1]End - Use Prices'!$C$6:$AL$89,MATCH($C162,'[1]End - Use Prices'!$A$6:$A$89,0)+MATCH($D162,'[1]End - Use Prices'!$B$9:$B$11,0)-1,MATCH(BC$1,'[1]End - Use Prices'!$C$7:$AL$7,0))</f>
        <v>103</v>
      </c>
      <c r="BD162" s="41">
        <f>INDEX('[1]End - Use Prices'!$C$6:$AL$89,MATCH($C162,'[1]End - Use Prices'!$A$6:$A$89,0)+MATCH($D162,'[1]End - Use Prices'!$B$9:$B$11,0)-1,MATCH(BD$1,'[1]End - Use Prices'!$C$7:$AL$7,0))</f>
        <v>103.4</v>
      </c>
      <c r="BE162" s="41">
        <f>INDEX('[1]End - Use Prices'!$C$6:$AL$89,MATCH($C162,'[1]End - Use Prices'!$A$6:$A$89,0)+MATCH($D162,'[1]End - Use Prices'!$B$9:$B$11,0)-1,MATCH(BE$1,'[1]End - Use Prices'!$C$7:$AL$7,0))</f>
        <v>103.82</v>
      </c>
      <c r="BF162" s="41">
        <f>INDEX('[1]End - Use Prices'!$C$6:$AL$89,MATCH($C162,'[1]End - Use Prices'!$A$6:$A$89,0)+MATCH($D162,'[1]End - Use Prices'!$B$9:$B$11,0)-1,MATCH(BF$1,'[1]End - Use Prices'!$C$7:$AL$7,0))</f>
        <v>104.25</v>
      </c>
      <c r="BG162" s="41">
        <f>INDEX('[1]End - Use Prices'!$C$6:$AL$89,MATCH($C162,'[1]End - Use Prices'!$A$6:$A$89,0)+MATCH($D162,'[1]End - Use Prices'!$B$9:$B$11,0)-1,MATCH(BG$1,'[1]End - Use Prices'!$C$7:$AL$7,0))</f>
        <v>104.69</v>
      </c>
      <c r="BR162" s="39"/>
      <c r="BS162" s="39"/>
      <c r="BT162" s="39"/>
      <c r="BU162" s="39"/>
      <c r="BV162" s="39"/>
      <c r="BW162" s="39"/>
      <c r="BX162" s="39"/>
      <c r="BY162" s="39"/>
      <c r="BZ162" s="39"/>
      <c r="CA162" s="39"/>
    </row>
    <row r="163" spans="1:79" x14ac:dyDescent="0.25">
      <c r="A163" s="5"/>
      <c r="B163" s="3"/>
      <c r="C163" s="25" t="s">
        <v>94</v>
      </c>
      <c r="D163" s="25" t="s">
        <v>2</v>
      </c>
      <c r="E163" s="25" t="s">
        <v>282</v>
      </c>
      <c r="F163" s="67" t="s">
        <v>279</v>
      </c>
      <c r="G163" s="53">
        <f t="shared" si="25"/>
        <v>83.79</v>
      </c>
      <c r="H163" s="34">
        <f t="shared" si="26"/>
        <v>83.79</v>
      </c>
      <c r="I163" s="34">
        <f t="shared" si="26"/>
        <v>92.5</v>
      </c>
      <c r="J163" s="34">
        <f t="shared" si="26"/>
        <v>98.65</v>
      </c>
      <c r="K163" s="34">
        <f t="shared" si="26"/>
        <v>99.14</v>
      </c>
      <c r="L163" s="34">
        <f t="shared" si="26"/>
        <v>99.31</v>
      </c>
      <c r="M163" s="34">
        <f t="shared" si="26"/>
        <v>99.23</v>
      </c>
      <c r="N163" s="34">
        <f t="shared" si="26"/>
        <v>99.15</v>
      </c>
      <c r="O163" s="34">
        <f t="shared" si="26"/>
        <v>99.32</v>
      </c>
      <c r="P163" s="53">
        <f t="shared" si="27"/>
        <v>99.32</v>
      </c>
      <c r="Q163" s="53">
        <f t="shared" si="27"/>
        <v>99.32</v>
      </c>
      <c r="R163" s="38"/>
      <c r="X163" s="41">
        <f>INDEX('[1]End - Use Prices'!$C$6:$AL$89,MATCH($C163,'[1]End - Use Prices'!$A$6:$A$89,0)+MATCH($D163,'[1]End - Use Prices'!$B$9:$B$11,0)-1,MATCH(X$1,'[1]End - Use Prices'!$C$7:$AL$7,0))</f>
        <v>83.79</v>
      </c>
      <c r="Y163" s="41">
        <f>INDEX('[1]End - Use Prices'!$C$6:$AL$89,MATCH($C163,'[1]End - Use Prices'!$A$6:$A$89,0)+MATCH($D163,'[1]End - Use Prices'!$B$9:$B$11,0)-1,MATCH(Y$1,'[1]End - Use Prices'!$C$7:$AL$7,0))</f>
        <v>86.36</v>
      </c>
      <c r="Z163" s="41">
        <f>INDEX('[1]End - Use Prices'!$C$6:$AL$89,MATCH($C163,'[1]End - Use Prices'!$A$6:$A$89,0)+MATCH($D163,'[1]End - Use Prices'!$B$9:$B$11,0)-1,MATCH(Z$1,'[1]End - Use Prices'!$C$7:$AL$7,0))</f>
        <v>85.49</v>
      </c>
      <c r="AA163" s="41">
        <f>INDEX('[1]End - Use Prices'!$C$6:$AL$89,MATCH($C163,'[1]End - Use Prices'!$A$6:$A$89,0)+MATCH($D163,'[1]End - Use Prices'!$B$9:$B$11,0)-1,MATCH(AA$1,'[1]End - Use Prices'!$C$7:$AL$7,0))</f>
        <v>84.88</v>
      </c>
      <c r="AB163" s="41">
        <f>INDEX('[1]End - Use Prices'!$C$6:$AL$89,MATCH($C163,'[1]End - Use Prices'!$A$6:$A$89,0)+MATCH($D163,'[1]End - Use Prices'!$B$9:$B$11,0)-1,MATCH(AB$1,'[1]End - Use Prices'!$C$7:$AL$7,0))</f>
        <v>88.16</v>
      </c>
      <c r="AC163" s="41">
        <f>INDEX('[1]End - Use Prices'!$C$6:$AL$89,MATCH($C163,'[1]End - Use Prices'!$A$6:$A$89,0)+MATCH($D163,'[1]End - Use Prices'!$B$9:$B$11,0)-1,MATCH(AC$1,'[1]End - Use Prices'!$C$7:$AL$7,0))</f>
        <v>92.5</v>
      </c>
      <c r="AD163" s="41">
        <f>INDEX('[1]End - Use Prices'!$C$6:$AL$89,MATCH($C163,'[1]End - Use Prices'!$A$6:$A$89,0)+MATCH($D163,'[1]End - Use Prices'!$B$9:$B$11,0)-1,MATCH(AD$1,'[1]End - Use Prices'!$C$7:$AL$7,0))</f>
        <v>88.79</v>
      </c>
      <c r="AE163" s="41">
        <f>INDEX('[1]End - Use Prices'!$C$6:$AL$89,MATCH($C163,'[1]End - Use Prices'!$A$6:$A$89,0)+MATCH($D163,'[1]End - Use Prices'!$B$9:$B$11,0)-1,MATCH(AE$1,'[1]End - Use Prices'!$C$7:$AL$7,0))</f>
        <v>98.09</v>
      </c>
      <c r="AF163" s="41">
        <f>INDEX('[1]End - Use Prices'!$C$6:$AL$89,MATCH($C163,'[1]End - Use Prices'!$A$6:$A$89,0)+MATCH($D163,'[1]End - Use Prices'!$B$9:$B$11,0)-1,MATCH(AF$1,'[1]End - Use Prices'!$C$7:$AL$7,0))</f>
        <v>97.87</v>
      </c>
      <c r="AG163" s="41">
        <f>INDEX('[1]End - Use Prices'!$C$6:$AL$89,MATCH($C163,'[1]End - Use Prices'!$A$6:$A$89,0)+MATCH($D163,'[1]End - Use Prices'!$B$9:$B$11,0)-1,MATCH(AG$1,'[1]End - Use Prices'!$C$7:$AL$7,0))</f>
        <v>97.87</v>
      </c>
      <c r="AH163" s="41">
        <f>INDEX('[1]End - Use Prices'!$C$6:$AL$89,MATCH($C163,'[1]End - Use Prices'!$A$6:$A$89,0)+MATCH($D163,'[1]End - Use Prices'!$B$9:$B$11,0)-1,MATCH(AH$1,'[1]End - Use Prices'!$C$7:$AL$7,0))</f>
        <v>98.65</v>
      </c>
      <c r="AI163" s="41">
        <f>INDEX('[1]End - Use Prices'!$C$6:$AL$89,MATCH($C163,'[1]End - Use Prices'!$A$6:$A$89,0)+MATCH($D163,'[1]End - Use Prices'!$B$9:$B$11,0)-1,MATCH(AI$1,'[1]End - Use Prices'!$C$7:$AL$7,0))</f>
        <v>98.04</v>
      </c>
      <c r="AJ163" s="41">
        <f>INDEX('[1]End - Use Prices'!$C$6:$AL$89,MATCH($C163,'[1]End - Use Prices'!$A$6:$A$89,0)+MATCH($D163,'[1]End - Use Prices'!$B$9:$B$11,0)-1,MATCH(AJ$1,'[1]End - Use Prices'!$C$7:$AL$7,0))</f>
        <v>98.81</v>
      </c>
      <c r="AK163" s="41">
        <f>INDEX('[1]End - Use Prices'!$C$6:$AL$89,MATCH($C163,'[1]End - Use Prices'!$A$6:$A$89,0)+MATCH($D163,'[1]End - Use Prices'!$B$9:$B$11,0)-1,MATCH(AK$1,'[1]End - Use Prices'!$C$7:$AL$7,0))</f>
        <v>98.94</v>
      </c>
      <c r="AL163" s="41">
        <f>INDEX('[1]End - Use Prices'!$C$6:$AL$89,MATCH($C163,'[1]End - Use Prices'!$A$6:$A$89,0)+MATCH($D163,'[1]End - Use Prices'!$B$9:$B$11,0)-1,MATCH(AL$1,'[1]End - Use Prices'!$C$7:$AL$7,0))</f>
        <v>99.05</v>
      </c>
      <c r="AM163" s="41">
        <f>INDEX('[1]End - Use Prices'!$C$6:$AL$89,MATCH($C163,'[1]End - Use Prices'!$A$6:$A$89,0)+MATCH($D163,'[1]End - Use Prices'!$B$9:$B$11,0)-1,MATCH(AM$1,'[1]End - Use Prices'!$C$7:$AL$7,0))</f>
        <v>99.14</v>
      </c>
      <c r="AN163" s="41">
        <f>INDEX('[1]End - Use Prices'!$C$6:$AL$89,MATCH($C163,'[1]End - Use Prices'!$A$6:$A$89,0)+MATCH($D163,'[1]End - Use Prices'!$B$9:$B$11,0)-1,MATCH(AN$1,'[1]End - Use Prices'!$C$7:$AL$7,0))</f>
        <v>99.2</v>
      </c>
      <c r="AO163" s="41">
        <f>INDEX('[1]End - Use Prices'!$C$6:$AL$89,MATCH($C163,'[1]End - Use Prices'!$A$6:$A$89,0)+MATCH($D163,'[1]End - Use Prices'!$B$9:$B$11,0)-1,MATCH(AO$1,'[1]End - Use Prices'!$C$7:$AL$7,0))</f>
        <v>99.25</v>
      </c>
      <c r="AP163" s="41">
        <f>INDEX('[1]End - Use Prices'!$C$6:$AL$89,MATCH($C163,'[1]End - Use Prices'!$A$6:$A$89,0)+MATCH($D163,'[1]End - Use Prices'!$B$9:$B$11,0)-1,MATCH(AP$1,'[1]End - Use Prices'!$C$7:$AL$7,0))</f>
        <v>99.28</v>
      </c>
      <c r="AQ163" s="41">
        <f>INDEX('[1]End - Use Prices'!$C$6:$AL$89,MATCH($C163,'[1]End - Use Prices'!$A$6:$A$89,0)+MATCH($D163,'[1]End - Use Prices'!$B$9:$B$11,0)-1,MATCH(AQ$1,'[1]End - Use Prices'!$C$7:$AL$7,0))</f>
        <v>99.3</v>
      </c>
      <c r="AR163" s="41">
        <f>INDEX('[1]End - Use Prices'!$C$6:$AL$89,MATCH($C163,'[1]End - Use Prices'!$A$6:$A$89,0)+MATCH($D163,'[1]End - Use Prices'!$B$9:$B$11,0)-1,MATCH(AR$1,'[1]End - Use Prices'!$C$7:$AL$7,0))</f>
        <v>99.31</v>
      </c>
      <c r="AS163" s="41">
        <f>INDEX('[1]End - Use Prices'!$C$6:$AL$89,MATCH($C163,'[1]End - Use Prices'!$A$6:$A$89,0)+MATCH($D163,'[1]End - Use Prices'!$B$9:$B$11,0)-1,MATCH(AS$1,'[1]End - Use Prices'!$C$7:$AL$7,0))</f>
        <v>99.3</v>
      </c>
      <c r="AT163" s="41">
        <f>INDEX('[1]End - Use Prices'!$C$6:$AL$89,MATCH($C163,'[1]End - Use Prices'!$A$6:$A$89,0)+MATCH($D163,'[1]End - Use Prices'!$B$9:$B$11,0)-1,MATCH(AT$1,'[1]End - Use Prices'!$C$7:$AL$7,0))</f>
        <v>99.29</v>
      </c>
      <c r="AU163" s="41">
        <f>INDEX('[1]End - Use Prices'!$C$6:$AL$89,MATCH($C163,'[1]End - Use Prices'!$A$6:$A$89,0)+MATCH($D163,'[1]End - Use Prices'!$B$9:$B$11,0)-1,MATCH(AU$1,'[1]End - Use Prices'!$C$7:$AL$7,0))</f>
        <v>99.27</v>
      </c>
      <c r="AV163" s="41">
        <f>INDEX('[1]End - Use Prices'!$C$6:$AL$89,MATCH($C163,'[1]End - Use Prices'!$A$6:$A$89,0)+MATCH($D163,'[1]End - Use Prices'!$B$9:$B$11,0)-1,MATCH(AV$1,'[1]End - Use Prices'!$C$7:$AL$7,0))</f>
        <v>99.25</v>
      </c>
      <c r="AW163" s="41">
        <f>INDEX('[1]End - Use Prices'!$C$6:$AL$89,MATCH($C163,'[1]End - Use Prices'!$A$6:$A$89,0)+MATCH($D163,'[1]End - Use Prices'!$B$9:$B$11,0)-1,MATCH(AW$1,'[1]End - Use Prices'!$C$7:$AL$7,0))</f>
        <v>99.23</v>
      </c>
      <c r="AX163" s="41">
        <f>INDEX('[1]End - Use Prices'!$C$6:$AL$89,MATCH($C163,'[1]End - Use Prices'!$A$6:$A$89,0)+MATCH($D163,'[1]End - Use Prices'!$B$9:$B$11,0)-1,MATCH(AX$1,'[1]End - Use Prices'!$C$7:$AL$7,0))</f>
        <v>99.2</v>
      </c>
      <c r="AY163" s="41">
        <f>INDEX('[1]End - Use Prices'!$C$6:$AL$89,MATCH($C163,'[1]End - Use Prices'!$A$6:$A$89,0)+MATCH($D163,'[1]End - Use Prices'!$B$9:$B$11,0)-1,MATCH(AY$1,'[1]End - Use Prices'!$C$7:$AL$7,0))</f>
        <v>99.18</v>
      </c>
      <c r="AZ163" s="41">
        <f>INDEX('[1]End - Use Prices'!$C$6:$AL$89,MATCH($C163,'[1]End - Use Prices'!$A$6:$A$89,0)+MATCH($D163,'[1]End - Use Prices'!$B$9:$B$11,0)-1,MATCH(AZ$1,'[1]End - Use Prices'!$C$7:$AL$7,0))</f>
        <v>99.16</v>
      </c>
      <c r="BA163" s="41">
        <f>INDEX('[1]End - Use Prices'!$C$6:$AL$89,MATCH($C163,'[1]End - Use Prices'!$A$6:$A$89,0)+MATCH($D163,'[1]End - Use Prices'!$B$9:$B$11,0)-1,MATCH(BA$1,'[1]End - Use Prices'!$C$7:$AL$7,0))</f>
        <v>99.15</v>
      </c>
      <c r="BB163" s="41">
        <f>INDEX('[1]End - Use Prices'!$C$6:$AL$89,MATCH($C163,'[1]End - Use Prices'!$A$6:$A$89,0)+MATCH($D163,'[1]End - Use Prices'!$B$9:$B$11,0)-1,MATCH(BB$1,'[1]End - Use Prices'!$C$7:$AL$7,0))</f>
        <v>99.15</v>
      </c>
      <c r="BC163" s="41">
        <f>INDEX('[1]End - Use Prices'!$C$6:$AL$89,MATCH($C163,'[1]End - Use Prices'!$A$6:$A$89,0)+MATCH($D163,'[1]End - Use Prices'!$B$9:$B$11,0)-1,MATCH(BC$1,'[1]End - Use Prices'!$C$7:$AL$7,0))</f>
        <v>99.15</v>
      </c>
      <c r="BD163" s="41">
        <f>INDEX('[1]End - Use Prices'!$C$6:$AL$89,MATCH($C163,'[1]End - Use Prices'!$A$6:$A$89,0)+MATCH($D163,'[1]End - Use Prices'!$B$9:$B$11,0)-1,MATCH(BD$1,'[1]End - Use Prices'!$C$7:$AL$7,0))</f>
        <v>99.17</v>
      </c>
      <c r="BE163" s="41">
        <f>INDEX('[1]End - Use Prices'!$C$6:$AL$89,MATCH($C163,'[1]End - Use Prices'!$A$6:$A$89,0)+MATCH($D163,'[1]End - Use Prices'!$B$9:$B$11,0)-1,MATCH(BE$1,'[1]End - Use Prices'!$C$7:$AL$7,0))</f>
        <v>99.2</v>
      </c>
      <c r="BF163" s="41">
        <f>INDEX('[1]End - Use Prices'!$C$6:$AL$89,MATCH($C163,'[1]End - Use Prices'!$A$6:$A$89,0)+MATCH($D163,'[1]End - Use Prices'!$B$9:$B$11,0)-1,MATCH(BF$1,'[1]End - Use Prices'!$C$7:$AL$7,0))</f>
        <v>99.25</v>
      </c>
      <c r="BG163" s="41">
        <f>INDEX('[1]End - Use Prices'!$C$6:$AL$89,MATCH($C163,'[1]End - Use Prices'!$A$6:$A$89,0)+MATCH($D163,'[1]End - Use Prices'!$B$9:$B$11,0)-1,MATCH(BG$1,'[1]End - Use Prices'!$C$7:$AL$7,0))</f>
        <v>99.32</v>
      </c>
      <c r="BR163" s="39"/>
      <c r="BS163" s="39"/>
      <c r="BT163" s="39"/>
      <c r="BU163" s="39"/>
      <c r="BV163" s="39"/>
      <c r="BW163" s="39"/>
      <c r="BX163" s="39"/>
      <c r="BY163" s="39"/>
      <c r="BZ163" s="39"/>
      <c r="CA163" s="39"/>
    </row>
    <row r="164" spans="1:79" x14ac:dyDescent="0.25">
      <c r="A164" s="5"/>
      <c r="B164" s="3"/>
      <c r="C164" s="25" t="s">
        <v>48</v>
      </c>
      <c r="D164" s="25" t="s">
        <v>14</v>
      </c>
      <c r="E164" s="25" t="s">
        <v>282</v>
      </c>
      <c r="F164" s="67" t="s">
        <v>279</v>
      </c>
      <c r="G164" s="53">
        <f t="shared" si="25"/>
        <v>15.81</v>
      </c>
      <c r="H164" s="34">
        <f t="shared" si="26"/>
        <v>15.81</v>
      </c>
      <c r="I164" s="34">
        <f t="shared" si="26"/>
        <v>12.69</v>
      </c>
      <c r="J164" s="34">
        <f t="shared" si="26"/>
        <v>10.65</v>
      </c>
      <c r="K164" s="34">
        <f t="shared" si="26"/>
        <v>9.67</v>
      </c>
      <c r="L164" s="34">
        <f t="shared" si="26"/>
        <v>10.64</v>
      </c>
      <c r="M164" s="34">
        <f t="shared" si="26"/>
        <v>11.02</v>
      </c>
      <c r="N164" s="34">
        <f t="shared" si="26"/>
        <v>11.37</v>
      </c>
      <c r="O164" s="34">
        <f t="shared" si="26"/>
        <v>11.44</v>
      </c>
      <c r="P164" s="53">
        <f t="shared" si="27"/>
        <v>11.44</v>
      </c>
      <c r="Q164" s="53">
        <f t="shared" si="27"/>
        <v>11.44</v>
      </c>
      <c r="R164" s="38"/>
      <c r="X164" s="41">
        <f>INDEX('[1]End - Use Prices'!$C$6:$AL$89,MATCH($C164,'[1]End - Use Prices'!$A$6:$A$89,0)+MATCH($D164,'[1]End - Use Prices'!$B$9:$B$11,0)-1,MATCH(X$1,'[1]End - Use Prices'!$C$7:$AL$7,0))</f>
        <v>15.81</v>
      </c>
      <c r="Y164" s="41">
        <f>INDEX('[1]End - Use Prices'!$C$6:$AL$89,MATCH($C164,'[1]End - Use Prices'!$A$6:$A$89,0)+MATCH($D164,'[1]End - Use Prices'!$B$9:$B$11,0)-1,MATCH(Y$1,'[1]End - Use Prices'!$C$7:$AL$7,0))</f>
        <v>16.04</v>
      </c>
      <c r="Z164" s="41">
        <f>INDEX('[1]End - Use Prices'!$C$6:$AL$89,MATCH($C164,'[1]End - Use Prices'!$A$6:$A$89,0)+MATCH($D164,'[1]End - Use Prices'!$B$9:$B$11,0)-1,MATCH(Z$1,'[1]End - Use Prices'!$C$7:$AL$7,0))</f>
        <v>14.76</v>
      </c>
      <c r="AA164" s="41">
        <f>INDEX('[1]End - Use Prices'!$C$6:$AL$89,MATCH($C164,'[1]End - Use Prices'!$A$6:$A$89,0)+MATCH($D164,'[1]End - Use Prices'!$B$9:$B$11,0)-1,MATCH(AA$1,'[1]End - Use Prices'!$C$7:$AL$7,0))</f>
        <v>14.82</v>
      </c>
      <c r="AB164" s="41">
        <f>INDEX('[1]End - Use Prices'!$C$6:$AL$89,MATCH($C164,'[1]End - Use Prices'!$A$6:$A$89,0)+MATCH($D164,'[1]End - Use Prices'!$B$9:$B$11,0)-1,MATCH(AB$1,'[1]End - Use Prices'!$C$7:$AL$7,0))</f>
        <v>12.89</v>
      </c>
      <c r="AC164" s="41">
        <f>INDEX('[1]End - Use Prices'!$C$6:$AL$89,MATCH($C164,'[1]End - Use Prices'!$A$6:$A$89,0)+MATCH($D164,'[1]End - Use Prices'!$B$9:$B$11,0)-1,MATCH(AC$1,'[1]End - Use Prices'!$C$7:$AL$7,0))</f>
        <v>12.69</v>
      </c>
      <c r="AD164" s="41">
        <f>INDEX('[1]End - Use Prices'!$C$6:$AL$89,MATCH($C164,'[1]End - Use Prices'!$A$6:$A$89,0)+MATCH($D164,'[1]End - Use Prices'!$B$9:$B$11,0)-1,MATCH(AD$1,'[1]End - Use Prices'!$C$7:$AL$7,0))</f>
        <v>11.75</v>
      </c>
      <c r="AE164" s="41">
        <f>INDEX('[1]End - Use Prices'!$C$6:$AL$89,MATCH($C164,'[1]End - Use Prices'!$A$6:$A$89,0)+MATCH($D164,'[1]End - Use Prices'!$B$9:$B$11,0)-1,MATCH(AE$1,'[1]End - Use Prices'!$C$7:$AL$7,0))</f>
        <v>10.82</v>
      </c>
      <c r="AF164" s="41">
        <f>INDEX('[1]End - Use Prices'!$C$6:$AL$89,MATCH($C164,'[1]End - Use Prices'!$A$6:$A$89,0)+MATCH($D164,'[1]End - Use Prices'!$B$9:$B$11,0)-1,MATCH(AF$1,'[1]End - Use Prices'!$C$7:$AL$7,0))</f>
        <v>10.77</v>
      </c>
      <c r="AG164" s="41">
        <f>INDEX('[1]End - Use Prices'!$C$6:$AL$89,MATCH($C164,'[1]End - Use Prices'!$A$6:$A$89,0)+MATCH($D164,'[1]End - Use Prices'!$B$9:$B$11,0)-1,MATCH(AG$1,'[1]End - Use Prices'!$C$7:$AL$7,0))</f>
        <v>11.71</v>
      </c>
      <c r="AH164" s="41">
        <f>INDEX('[1]End - Use Prices'!$C$6:$AL$89,MATCH($C164,'[1]End - Use Prices'!$A$6:$A$89,0)+MATCH($D164,'[1]End - Use Prices'!$B$9:$B$11,0)-1,MATCH(AH$1,'[1]End - Use Prices'!$C$7:$AL$7,0))</f>
        <v>10.65</v>
      </c>
      <c r="AI164" s="41">
        <f>INDEX('[1]End - Use Prices'!$C$6:$AL$89,MATCH($C164,'[1]End - Use Prices'!$A$6:$A$89,0)+MATCH($D164,'[1]End - Use Prices'!$B$9:$B$11,0)-1,MATCH(AI$1,'[1]End - Use Prices'!$C$7:$AL$7,0))</f>
        <v>8.93</v>
      </c>
      <c r="AJ164" s="41">
        <f>INDEX('[1]End - Use Prices'!$C$6:$AL$89,MATCH($C164,'[1]End - Use Prices'!$A$6:$A$89,0)+MATCH($D164,'[1]End - Use Prices'!$B$9:$B$11,0)-1,MATCH(AJ$1,'[1]End - Use Prices'!$C$7:$AL$7,0))</f>
        <v>10.82</v>
      </c>
      <c r="AK164" s="41">
        <f>INDEX('[1]End - Use Prices'!$C$6:$AL$89,MATCH($C164,'[1]End - Use Prices'!$A$6:$A$89,0)+MATCH($D164,'[1]End - Use Prices'!$B$9:$B$11,0)-1,MATCH(AK$1,'[1]End - Use Prices'!$C$7:$AL$7,0))</f>
        <v>9.86</v>
      </c>
      <c r="AL164" s="41">
        <f>INDEX('[1]End - Use Prices'!$C$6:$AL$89,MATCH($C164,'[1]End - Use Prices'!$A$6:$A$89,0)+MATCH($D164,'[1]End - Use Prices'!$B$9:$B$11,0)-1,MATCH(AL$1,'[1]End - Use Prices'!$C$7:$AL$7,0))</f>
        <v>9.5299999999999994</v>
      </c>
      <c r="AM164" s="41">
        <f>INDEX('[1]End - Use Prices'!$C$6:$AL$89,MATCH($C164,'[1]End - Use Prices'!$A$6:$A$89,0)+MATCH($D164,'[1]End - Use Prices'!$B$9:$B$11,0)-1,MATCH(AM$1,'[1]End - Use Prices'!$C$7:$AL$7,0))</f>
        <v>9.67</v>
      </c>
      <c r="AN164" s="41">
        <f>INDEX('[1]End - Use Prices'!$C$6:$AL$89,MATCH($C164,'[1]End - Use Prices'!$A$6:$A$89,0)+MATCH($D164,'[1]End - Use Prices'!$B$9:$B$11,0)-1,MATCH(AN$1,'[1]End - Use Prices'!$C$7:$AL$7,0))</f>
        <v>9.8699999999999992</v>
      </c>
      <c r="AO164" s="41">
        <f>INDEX('[1]End - Use Prices'!$C$6:$AL$89,MATCH($C164,'[1]End - Use Prices'!$A$6:$A$89,0)+MATCH($D164,'[1]End - Use Prices'!$B$9:$B$11,0)-1,MATCH(AO$1,'[1]End - Use Prices'!$C$7:$AL$7,0))</f>
        <v>10.19</v>
      </c>
      <c r="AP164" s="41">
        <f>INDEX('[1]End - Use Prices'!$C$6:$AL$89,MATCH($C164,'[1]End - Use Prices'!$A$6:$A$89,0)+MATCH($D164,'[1]End - Use Prices'!$B$9:$B$11,0)-1,MATCH(AP$1,'[1]End - Use Prices'!$C$7:$AL$7,0))</f>
        <v>10.44</v>
      </c>
      <c r="AQ164" s="41">
        <f>INDEX('[1]End - Use Prices'!$C$6:$AL$89,MATCH($C164,'[1]End - Use Prices'!$A$6:$A$89,0)+MATCH($D164,'[1]End - Use Prices'!$B$9:$B$11,0)-1,MATCH(AQ$1,'[1]End - Use Prices'!$C$7:$AL$7,0))</f>
        <v>10.53</v>
      </c>
      <c r="AR164" s="41">
        <f>INDEX('[1]End - Use Prices'!$C$6:$AL$89,MATCH($C164,'[1]End - Use Prices'!$A$6:$A$89,0)+MATCH($D164,'[1]End - Use Prices'!$B$9:$B$11,0)-1,MATCH(AR$1,'[1]End - Use Prices'!$C$7:$AL$7,0))</f>
        <v>10.64</v>
      </c>
      <c r="AS164" s="41">
        <f>INDEX('[1]End - Use Prices'!$C$6:$AL$89,MATCH($C164,'[1]End - Use Prices'!$A$6:$A$89,0)+MATCH($D164,'[1]End - Use Prices'!$B$9:$B$11,0)-1,MATCH(AS$1,'[1]End - Use Prices'!$C$7:$AL$7,0))</f>
        <v>10.82</v>
      </c>
      <c r="AT164" s="41">
        <f>INDEX('[1]End - Use Prices'!$C$6:$AL$89,MATCH($C164,'[1]End - Use Prices'!$A$6:$A$89,0)+MATCH($D164,'[1]End - Use Prices'!$B$9:$B$11,0)-1,MATCH(AT$1,'[1]End - Use Prices'!$C$7:$AL$7,0))</f>
        <v>10.85</v>
      </c>
      <c r="AU164" s="41">
        <f>INDEX('[1]End - Use Prices'!$C$6:$AL$89,MATCH($C164,'[1]End - Use Prices'!$A$6:$A$89,0)+MATCH($D164,'[1]End - Use Prices'!$B$9:$B$11,0)-1,MATCH(AU$1,'[1]End - Use Prices'!$C$7:$AL$7,0))</f>
        <v>10.9</v>
      </c>
      <c r="AV164" s="41">
        <f>INDEX('[1]End - Use Prices'!$C$6:$AL$89,MATCH($C164,'[1]End - Use Prices'!$A$6:$A$89,0)+MATCH($D164,'[1]End - Use Prices'!$B$9:$B$11,0)-1,MATCH(AV$1,'[1]End - Use Prices'!$C$7:$AL$7,0))</f>
        <v>10.96</v>
      </c>
      <c r="AW164" s="41">
        <f>INDEX('[1]End - Use Prices'!$C$6:$AL$89,MATCH($C164,'[1]End - Use Prices'!$A$6:$A$89,0)+MATCH($D164,'[1]End - Use Prices'!$B$9:$B$11,0)-1,MATCH(AW$1,'[1]End - Use Prices'!$C$7:$AL$7,0))</f>
        <v>11.02</v>
      </c>
      <c r="AX164" s="41">
        <f>INDEX('[1]End - Use Prices'!$C$6:$AL$89,MATCH($C164,'[1]End - Use Prices'!$A$6:$A$89,0)+MATCH($D164,'[1]End - Use Prices'!$B$9:$B$11,0)-1,MATCH(AX$1,'[1]End - Use Prices'!$C$7:$AL$7,0))</f>
        <v>11.09</v>
      </c>
      <c r="AY164" s="41">
        <f>INDEX('[1]End - Use Prices'!$C$6:$AL$89,MATCH($C164,'[1]End - Use Prices'!$A$6:$A$89,0)+MATCH($D164,'[1]End - Use Prices'!$B$9:$B$11,0)-1,MATCH(AY$1,'[1]End - Use Prices'!$C$7:$AL$7,0))</f>
        <v>11.18</v>
      </c>
      <c r="AZ164" s="41">
        <f>INDEX('[1]End - Use Prices'!$C$6:$AL$89,MATCH($C164,'[1]End - Use Prices'!$A$6:$A$89,0)+MATCH($D164,'[1]End - Use Prices'!$B$9:$B$11,0)-1,MATCH(AZ$1,'[1]End - Use Prices'!$C$7:$AL$7,0))</f>
        <v>11.28</v>
      </c>
      <c r="BA164" s="41">
        <f>INDEX('[1]End - Use Prices'!$C$6:$AL$89,MATCH($C164,'[1]End - Use Prices'!$A$6:$A$89,0)+MATCH($D164,'[1]End - Use Prices'!$B$9:$B$11,0)-1,MATCH(BA$1,'[1]End - Use Prices'!$C$7:$AL$7,0))</f>
        <v>11.33</v>
      </c>
      <c r="BB164" s="41">
        <f>INDEX('[1]End - Use Prices'!$C$6:$AL$89,MATCH($C164,'[1]End - Use Prices'!$A$6:$A$89,0)+MATCH($D164,'[1]End - Use Prices'!$B$9:$B$11,0)-1,MATCH(BB$1,'[1]End - Use Prices'!$C$7:$AL$7,0))</f>
        <v>11.37</v>
      </c>
      <c r="BC164" s="41">
        <f>INDEX('[1]End - Use Prices'!$C$6:$AL$89,MATCH($C164,'[1]End - Use Prices'!$A$6:$A$89,0)+MATCH($D164,'[1]End - Use Prices'!$B$9:$B$11,0)-1,MATCH(BC$1,'[1]End - Use Prices'!$C$7:$AL$7,0))</f>
        <v>11.41</v>
      </c>
      <c r="BD164" s="41">
        <f>INDEX('[1]End - Use Prices'!$C$6:$AL$89,MATCH($C164,'[1]End - Use Prices'!$A$6:$A$89,0)+MATCH($D164,'[1]End - Use Prices'!$B$9:$B$11,0)-1,MATCH(BD$1,'[1]End - Use Prices'!$C$7:$AL$7,0))</f>
        <v>11.43</v>
      </c>
      <c r="BE164" s="41">
        <f>INDEX('[1]End - Use Prices'!$C$6:$AL$89,MATCH($C164,'[1]End - Use Prices'!$A$6:$A$89,0)+MATCH($D164,'[1]End - Use Prices'!$B$9:$B$11,0)-1,MATCH(BE$1,'[1]End - Use Prices'!$C$7:$AL$7,0))</f>
        <v>11.43</v>
      </c>
      <c r="BF164" s="41">
        <f>INDEX('[1]End - Use Prices'!$C$6:$AL$89,MATCH($C164,'[1]End - Use Prices'!$A$6:$A$89,0)+MATCH($D164,'[1]End - Use Prices'!$B$9:$B$11,0)-1,MATCH(BF$1,'[1]End - Use Prices'!$C$7:$AL$7,0))</f>
        <v>11.44</v>
      </c>
      <c r="BG164" s="41">
        <f>INDEX('[1]End - Use Prices'!$C$6:$AL$89,MATCH($C164,'[1]End - Use Prices'!$A$6:$A$89,0)+MATCH($D164,'[1]End - Use Prices'!$B$9:$B$11,0)-1,MATCH(BG$1,'[1]End - Use Prices'!$C$7:$AL$7,0))</f>
        <v>11.44</v>
      </c>
      <c r="BR164" s="39"/>
      <c r="BS164" s="39"/>
      <c r="BT164" s="39"/>
      <c r="BU164" s="39"/>
      <c r="BV164" s="39"/>
      <c r="BW164" s="39"/>
      <c r="BX164" s="39"/>
      <c r="BY164" s="39"/>
      <c r="BZ164" s="39"/>
      <c r="CA164" s="39"/>
    </row>
    <row r="165" spans="1:79" x14ac:dyDescent="0.25">
      <c r="A165" s="5"/>
      <c r="B165" s="3"/>
      <c r="C165" s="25" t="s">
        <v>85</v>
      </c>
      <c r="D165" s="25" t="s">
        <v>14</v>
      </c>
      <c r="E165" s="25" t="s">
        <v>282</v>
      </c>
      <c r="F165" s="67" t="s">
        <v>279</v>
      </c>
      <c r="G165" s="53">
        <f t="shared" si="25"/>
        <v>18.899999999999999</v>
      </c>
      <c r="H165" s="34">
        <f t="shared" si="26"/>
        <v>18.899999999999999</v>
      </c>
      <c r="I165" s="34">
        <f t="shared" si="26"/>
        <v>20.09</v>
      </c>
      <c r="J165" s="34">
        <f t="shared" si="26"/>
        <v>13.86</v>
      </c>
      <c r="K165" s="34">
        <f t="shared" si="26"/>
        <v>10.91</v>
      </c>
      <c r="L165" s="34">
        <f t="shared" si="26"/>
        <v>11.38</v>
      </c>
      <c r="M165" s="34">
        <f t="shared" si="26"/>
        <v>11.9</v>
      </c>
      <c r="N165" s="34">
        <f t="shared" si="26"/>
        <v>12.45</v>
      </c>
      <c r="O165" s="34">
        <f t="shared" si="26"/>
        <v>12.67</v>
      </c>
      <c r="P165" s="53">
        <f t="shared" si="27"/>
        <v>12.67</v>
      </c>
      <c r="Q165" s="53">
        <f t="shared" si="27"/>
        <v>12.67</v>
      </c>
      <c r="R165" s="38"/>
      <c r="X165" s="41">
        <f>INDEX('[1]End - Use Prices'!$C$6:$AL$89,MATCH($C165,'[1]End - Use Prices'!$A$6:$A$89,0)+MATCH($D165,'[1]End - Use Prices'!$B$9:$B$11,0)-1,MATCH(X$1,'[1]End - Use Prices'!$C$7:$AL$7,0))</f>
        <v>18.899999999999999</v>
      </c>
      <c r="Y165" s="41">
        <f>INDEX('[1]End - Use Prices'!$C$6:$AL$89,MATCH($C165,'[1]End - Use Prices'!$A$6:$A$89,0)+MATCH($D165,'[1]End - Use Prices'!$B$9:$B$11,0)-1,MATCH(Y$1,'[1]End - Use Prices'!$C$7:$AL$7,0))</f>
        <v>18.940000000000001</v>
      </c>
      <c r="Z165" s="41">
        <f>INDEX('[1]End - Use Prices'!$C$6:$AL$89,MATCH($C165,'[1]End - Use Prices'!$A$6:$A$89,0)+MATCH($D165,'[1]End - Use Prices'!$B$9:$B$11,0)-1,MATCH(Z$1,'[1]End - Use Prices'!$C$7:$AL$7,0))</f>
        <v>11.86</v>
      </c>
      <c r="AA165" s="41">
        <f>INDEX('[1]End - Use Prices'!$C$6:$AL$89,MATCH($C165,'[1]End - Use Prices'!$A$6:$A$89,0)+MATCH($D165,'[1]End - Use Prices'!$B$9:$B$11,0)-1,MATCH(AA$1,'[1]End - Use Prices'!$C$7:$AL$7,0))</f>
        <v>14.01</v>
      </c>
      <c r="AB165" s="41">
        <f>INDEX('[1]End - Use Prices'!$C$6:$AL$89,MATCH($C165,'[1]End - Use Prices'!$A$6:$A$89,0)+MATCH($D165,'[1]End - Use Prices'!$B$9:$B$11,0)-1,MATCH(AB$1,'[1]End - Use Prices'!$C$7:$AL$7,0))</f>
        <v>14.6</v>
      </c>
      <c r="AC165" s="41">
        <f>INDEX('[1]End - Use Prices'!$C$6:$AL$89,MATCH($C165,'[1]End - Use Prices'!$A$6:$A$89,0)+MATCH($D165,'[1]End - Use Prices'!$B$9:$B$11,0)-1,MATCH(AC$1,'[1]End - Use Prices'!$C$7:$AL$7,0))</f>
        <v>20.09</v>
      </c>
      <c r="AD165" s="41">
        <f>INDEX('[1]End - Use Prices'!$C$6:$AL$89,MATCH($C165,'[1]End - Use Prices'!$A$6:$A$89,0)+MATCH($D165,'[1]End - Use Prices'!$B$9:$B$11,0)-1,MATCH(AD$1,'[1]End - Use Prices'!$C$7:$AL$7,0))</f>
        <v>17.2</v>
      </c>
      <c r="AE165" s="41">
        <f>INDEX('[1]End - Use Prices'!$C$6:$AL$89,MATCH($C165,'[1]End - Use Prices'!$A$6:$A$89,0)+MATCH($D165,'[1]End - Use Prices'!$B$9:$B$11,0)-1,MATCH(AE$1,'[1]End - Use Prices'!$C$7:$AL$7,0))</f>
        <v>17.59</v>
      </c>
      <c r="AF165" s="41">
        <f>INDEX('[1]End - Use Prices'!$C$6:$AL$89,MATCH($C165,'[1]End - Use Prices'!$A$6:$A$89,0)+MATCH($D165,'[1]End - Use Prices'!$B$9:$B$11,0)-1,MATCH(AF$1,'[1]End - Use Prices'!$C$7:$AL$7,0))</f>
        <v>18.75</v>
      </c>
      <c r="AG165" s="41">
        <f>INDEX('[1]End - Use Prices'!$C$6:$AL$89,MATCH($C165,'[1]End - Use Prices'!$A$6:$A$89,0)+MATCH($D165,'[1]End - Use Prices'!$B$9:$B$11,0)-1,MATCH(AG$1,'[1]End - Use Prices'!$C$7:$AL$7,0))</f>
        <v>18.48</v>
      </c>
      <c r="AH165" s="41">
        <f>INDEX('[1]End - Use Prices'!$C$6:$AL$89,MATCH($C165,'[1]End - Use Prices'!$A$6:$A$89,0)+MATCH($D165,'[1]End - Use Prices'!$B$9:$B$11,0)-1,MATCH(AH$1,'[1]End - Use Prices'!$C$7:$AL$7,0))</f>
        <v>13.86</v>
      </c>
      <c r="AI165" s="41">
        <f>INDEX('[1]End - Use Prices'!$C$6:$AL$89,MATCH($C165,'[1]End - Use Prices'!$A$6:$A$89,0)+MATCH($D165,'[1]End - Use Prices'!$B$9:$B$11,0)-1,MATCH(AI$1,'[1]End - Use Prices'!$C$7:$AL$7,0))</f>
        <v>9.4700000000000006</v>
      </c>
      <c r="AJ165" s="41">
        <f>INDEX('[1]End - Use Prices'!$C$6:$AL$89,MATCH($C165,'[1]End - Use Prices'!$A$6:$A$89,0)+MATCH($D165,'[1]End - Use Prices'!$B$9:$B$11,0)-1,MATCH(AJ$1,'[1]End - Use Prices'!$C$7:$AL$7,0))</f>
        <v>10.75</v>
      </c>
      <c r="AK165" s="41">
        <f>INDEX('[1]End - Use Prices'!$C$6:$AL$89,MATCH($C165,'[1]End - Use Prices'!$A$6:$A$89,0)+MATCH($D165,'[1]End - Use Prices'!$B$9:$B$11,0)-1,MATCH(AK$1,'[1]End - Use Prices'!$C$7:$AL$7,0))</f>
        <v>10.63</v>
      </c>
      <c r="AL165" s="41">
        <f>INDEX('[1]End - Use Prices'!$C$6:$AL$89,MATCH($C165,'[1]End - Use Prices'!$A$6:$A$89,0)+MATCH($D165,'[1]End - Use Prices'!$B$9:$B$11,0)-1,MATCH(AL$1,'[1]End - Use Prices'!$C$7:$AL$7,0))</f>
        <v>10.61</v>
      </c>
      <c r="AM165" s="41">
        <f>INDEX('[1]End - Use Prices'!$C$6:$AL$89,MATCH($C165,'[1]End - Use Prices'!$A$6:$A$89,0)+MATCH($D165,'[1]End - Use Prices'!$B$9:$B$11,0)-1,MATCH(AM$1,'[1]End - Use Prices'!$C$7:$AL$7,0))</f>
        <v>10.91</v>
      </c>
      <c r="AN165" s="41">
        <f>INDEX('[1]End - Use Prices'!$C$6:$AL$89,MATCH($C165,'[1]End - Use Prices'!$A$6:$A$89,0)+MATCH($D165,'[1]End - Use Prices'!$B$9:$B$11,0)-1,MATCH(AN$1,'[1]End - Use Prices'!$C$7:$AL$7,0))</f>
        <v>11.07</v>
      </c>
      <c r="AO165" s="41">
        <f>INDEX('[1]End - Use Prices'!$C$6:$AL$89,MATCH($C165,'[1]End - Use Prices'!$A$6:$A$89,0)+MATCH($D165,'[1]End - Use Prices'!$B$9:$B$11,0)-1,MATCH(AO$1,'[1]End - Use Prices'!$C$7:$AL$7,0))</f>
        <v>11.22</v>
      </c>
      <c r="AP165" s="41">
        <f>INDEX('[1]End - Use Prices'!$C$6:$AL$89,MATCH($C165,'[1]End - Use Prices'!$A$6:$A$89,0)+MATCH($D165,'[1]End - Use Prices'!$B$9:$B$11,0)-1,MATCH(AP$1,'[1]End - Use Prices'!$C$7:$AL$7,0))</f>
        <v>11.35</v>
      </c>
      <c r="AQ165" s="41">
        <f>INDEX('[1]End - Use Prices'!$C$6:$AL$89,MATCH($C165,'[1]End - Use Prices'!$A$6:$A$89,0)+MATCH($D165,'[1]End - Use Prices'!$B$9:$B$11,0)-1,MATCH(AQ$1,'[1]End - Use Prices'!$C$7:$AL$7,0))</f>
        <v>11.35</v>
      </c>
      <c r="AR165" s="41">
        <f>INDEX('[1]End - Use Prices'!$C$6:$AL$89,MATCH($C165,'[1]End - Use Prices'!$A$6:$A$89,0)+MATCH($D165,'[1]End - Use Prices'!$B$9:$B$11,0)-1,MATCH(AR$1,'[1]End - Use Prices'!$C$7:$AL$7,0))</f>
        <v>11.38</v>
      </c>
      <c r="AS165" s="41">
        <f>INDEX('[1]End - Use Prices'!$C$6:$AL$89,MATCH($C165,'[1]End - Use Prices'!$A$6:$A$89,0)+MATCH($D165,'[1]End - Use Prices'!$B$9:$B$11,0)-1,MATCH(AS$1,'[1]End - Use Prices'!$C$7:$AL$7,0))</f>
        <v>11.48</v>
      </c>
      <c r="AT165" s="41">
        <f>INDEX('[1]End - Use Prices'!$C$6:$AL$89,MATCH($C165,'[1]End - Use Prices'!$A$6:$A$89,0)+MATCH($D165,'[1]End - Use Prices'!$B$9:$B$11,0)-1,MATCH(AT$1,'[1]End - Use Prices'!$C$7:$AL$7,0))</f>
        <v>11.57</v>
      </c>
      <c r="AU165" s="41">
        <f>INDEX('[1]End - Use Prices'!$C$6:$AL$89,MATCH($C165,'[1]End - Use Prices'!$A$6:$A$89,0)+MATCH($D165,'[1]End - Use Prices'!$B$9:$B$11,0)-1,MATCH(AU$1,'[1]End - Use Prices'!$C$7:$AL$7,0))</f>
        <v>11.67</v>
      </c>
      <c r="AV165" s="41">
        <f>INDEX('[1]End - Use Prices'!$C$6:$AL$89,MATCH($C165,'[1]End - Use Prices'!$A$6:$A$89,0)+MATCH($D165,'[1]End - Use Prices'!$B$9:$B$11,0)-1,MATCH(AV$1,'[1]End - Use Prices'!$C$7:$AL$7,0))</f>
        <v>11.79</v>
      </c>
      <c r="AW165" s="41">
        <f>INDEX('[1]End - Use Prices'!$C$6:$AL$89,MATCH($C165,'[1]End - Use Prices'!$A$6:$A$89,0)+MATCH($D165,'[1]End - Use Prices'!$B$9:$B$11,0)-1,MATCH(AW$1,'[1]End - Use Prices'!$C$7:$AL$7,0))</f>
        <v>11.9</v>
      </c>
      <c r="AX165" s="41">
        <f>INDEX('[1]End - Use Prices'!$C$6:$AL$89,MATCH($C165,'[1]End - Use Prices'!$A$6:$A$89,0)+MATCH($D165,'[1]End - Use Prices'!$B$9:$B$11,0)-1,MATCH(AX$1,'[1]End - Use Prices'!$C$7:$AL$7,0))</f>
        <v>12.02</v>
      </c>
      <c r="AY165" s="41">
        <f>INDEX('[1]End - Use Prices'!$C$6:$AL$89,MATCH($C165,'[1]End - Use Prices'!$A$6:$A$89,0)+MATCH($D165,'[1]End - Use Prices'!$B$9:$B$11,0)-1,MATCH(AY$1,'[1]End - Use Prices'!$C$7:$AL$7,0))</f>
        <v>12.15</v>
      </c>
      <c r="AZ165" s="41">
        <f>INDEX('[1]End - Use Prices'!$C$6:$AL$89,MATCH($C165,'[1]End - Use Prices'!$A$6:$A$89,0)+MATCH($D165,'[1]End - Use Prices'!$B$9:$B$11,0)-1,MATCH(AZ$1,'[1]End - Use Prices'!$C$7:$AL$7,0))</f>
        <v>12.3</v>
      </c>
      <c r="BA165" s="41">
        <f>INDEX('[1]End - Use Prices'!$C$6:$AL$89,MATCH($C165,'[1]End - Use Prices'!$A$6:$A$89,0)+MATCH($D165,'[1]End - Use Prices'!$B$9:$B$11,0)-1,MATCH(BA$1,'[1]End - Use Prices'!$C$7:$AL$7,0))</f>
        <v>12.38</v>
      </c>
      <c r="BB165" s="41">
        <f>INDEX('[1]End - Use Prices'!$C$6:$AL$89,MATCH($C165,'[1]End - Use Prices'!$A$6:$A$89,0)+MATCH($D165,'[1]End - Use Prices'!$B$9:$B$11,0)-1,MATCH(BB$1,'[1]End - Use Prices'!$C$7:$AL$7,0))</f>
        <v>12.45</v>
      </c>
      <c r="BC165" s="41">
        <f>INDEX('[1]End - Use Prices'!$C$6:$AL$89,MATCH($C165,'[1]End - Use Prices'!$A$6:$A$89,0)+MATCH($D165,'[1]End - Use Prices'!$B$9:$B$11,0)-1,MATCH(BC$1,'[1]End - Use Prices'!$C$7:$AL$7,0))</f>
        <v>12.52</v>
      </c>
      <c r="BD165" s="41">
        <f>INDEX('[1]End - Use Prices'!$C$6:$AL$89,MATCH($C165,'[1]End - Use Prices'!$A$6:$A$89,0)+MATCH($D165,'[1]End - Use Prices'!$B$9:$B$11,0)-1,MATCH(BD$1,'[1]End - Use Prices'!$C$7:$AL$7,0))</f>
        <v>12.57</v>
      </c>
      <c r="BE165" s="41">
        <f>INDEX('[1]End - Use Prices'!$C$6:$AL$89,MATCH($C165,'[1]End - Use Prices'!$A$6:$A$89,0)+MATCH($D165,'[1]End - Use Prices'!$B$9:$B$11,0)-1,MATCH(BE$1,'[1]End - Use Prices'!$C$7:$AL$7,0))</f>
        <v>12.6</v>
      </c>
      <c r="BF165" s="41">
        <f>INDEX('[1]End - Use Prices'!$C$6:$AL$89,MATCH($C165,'[1]End - Use Prices'!$A$6:$A$89,0)+MATCH($D165,'[1]End - Use Prices'!$B$9:$B$11,0)-1,MATCH(BF$1,'[1]End - Use Prices'!$C$7:$AL$7,0))</f>
        <v>12.64</v>
      </c>
      <c r="BG165" s="41">
        <f>INDEX('[1]End - Use Prices'!$C$6:$AL$89,MATCH($C165,'[1]End - Use Prices'!$A$6:$A$89,0)+MATCH($D165,'[1]End - Use Prices'!$B$9:$B$11,0)-1,MATCH(BG$1,'[1]End - Use Prices'!$C$7:$AL$7,0))</f>
        <v>12.67</v>
      </c>
      <c r="BR165" s="39"/>
      <c r="BS165" s="39"/>
      <c r="BT165" s="39"/>
      <c r="BU165" s="39"/>
      <c r="BV165" s="39"/>
      <c r="BW165" s="39"/>
      <c r="BX165" s="39"/>
      <c r="BY165" s="39"/>
      <c r="BZ165" s="39"/>
      <c r="CA165" s="39"/>
    </row>
    <row r="166" spans="1:79" x14ac:dyDescent="0.25">
      <c r="A166" s="5"/>
      <c r="B166" s="3"/>
      <c r="C166" s="25" t="s">
        <v>86</v>
      </c>
      <c r="D166" s="25" t="s">
        <v>14</v>
      </c>
      <c r="E166" s="25" t="s">
        <v>282</v>
      </c>
      <c r="F166" s="67" t="s">
        <v>279</v>
      </c>
      <c r="G166" s="53">
        <f t="shared" si="25"/>
        <v>18.899999999999999</v>
      </c>
      <c r="H166" s="34">
        <f t="shared" ref="H166:O181" si="28">INDEX($S166:$CA166,MATCH(H$1,$S$1:$CA$1,0))</f>
        <v>18.899999999999999</v>
      </c>
      <c r="I166" s="34">
        <f t="shared" si="28"/>
        <v>20.09</v>
      </c>
      <c r="J166" s="34">
        <f t="shared" si="28"/>
        <v>10.53</v>
      </c>
      <c r="K166" s="34">
        <f t="shared" si="28"/>
        <v>10.91</v>
      </c>
      <c r="L166" s="34">
        <f t="shared" si="28"/>
        <v>11.38</v>
      </c>
      <c r="M166" s="34">
        <f t="shared" si="28"/>
        <v>11.9</v>
      </c>
      <c r="N166" s="34">
        <f t="shared" si="28"/>
        <v>12.45</v>
      </c>
      <c r="O166" s="34">
        <f t="shared" si="28"/>
        <v>12.67</v>
      </c>
      <c r="P166" s="53">
        <f t="shared" si="27"/>
        <v>12.67</v>
      </c>
      <c r="Q166" s="53">
        <f t="shared" si="27"/>
        <v>12.67</v>
      </c>
      <c r="R166" s="38"/>
      <c r="X166" s="41">
        <f>INDEX('[1]End - Use Prices'!$C$6:$AL$89,MATCH($C166,'[1]End - Use Prices'!$A$6:$A$89,0)+MATCH($D166,'[1]End - Use Prices'!$B$9:$B$11,0)-1,MATCH(X$1,'[1]End - Use Prices'!$C$7:$AL$7,0))</f>
        <v>18.899999999999999</v>
      </c>
      <c r="Y166" s="41">
        <f>INDEX('[1]End - Use Prices'!$C$6:$AL$89,MATCH($C166,'[1]End - Use Prices'!$A$6:$A$89,0)+MATCH($D166,'[1]End - Use Prices'!$B$9:$B$11,0)-1,MATCH(Y$1,'[1]End - Use Prices'!$C$7:$AL$7,0))</f>
        <v>18.940000000000001</v>
      </c>
      <c r="Z166" s="41">
        <f>INDEX('[1]End - Use Prices'!$C$6:$AL$89,MATCH($C166,'[1]End - Use Prices'!$A$6:$A$89,0)+MATCH($D166,'[1]End - Use Prices'!$B$9:$B$11,0)-1,MATCH(Z$1,'[1]End - Use Prices'!$C$7:$AL$7,0))</f>
        <v>11.86</v>
      </c>
      <c r="AA166" s="41">
        <f>INDEX('[1]End - Use Prices'!$C$6:$AL$89,MATCH($C166,'[1]End - Use Prices'!$A$6:$A$89,0)+MATCH($D166,'[1]End - Use Prices'!$B$9:$B$11,0)-1,MATCH(AA$1,'[1]End - Use Prices'!$C$7:$AL$7,0))</f>
        <v>14.01</v>
      </c>
      <c r="AB166" s="41">
        <f>INDEX('[1]End - Use Prices'!$C$6:$AL$89,MATCH($C166,'[1]End - Use Prices'!$A$6:$A$89,0)+MATCH($D166,'[1]End - Use Prices'!$B$9:$B$11,0)-1,MATCH(AB$1,'[1]End - Use Prices'!$C$7:$AL$7,0))</f>
        <v>14.6</v>
      </c>
      <c r="AC166" s="41">
        <f>INDEX('[1]End - Use Prices'!$C$6:$AL$89,MATCH($C166,'[1]End - Use Prices'!$A$6:$A$89,0)+MATCH($D166,'[1]End - Use Prices'!$B$9:$B$11,0)-1,MATCH(AC$1,'[1]End - Use Prices'!$C$7:$AL$7,0))</f>
        <v>20.09</v>
      </c>
      <c r="AD166" s="41">
        <f>INDEX('[1]End - Use Prices'!$C$6:$AL$89,MATCH($C166,'[1]End - Use Prices'!$A$6:$A$89,0)+MATCH($D166,'[1]End - Use Prices'!$B$9:$B$11,0)-1,MATCH(AD$1,'[1]End - Use Prices'!$C$7:$AL$7,0))</f>
        <v>17.2</v>
      </c>
      <c r="AE166" s="41">
        <f>INDEX('[1]End - Use Prices'!$C$6:$AL$89,MATCH($C166,'[1]End - Use Prices'!$A$6:$A$89,0)+MATCH($D166,'[1]End - Use Prices'!$B$9:$B$11,0)-1,MATCH(AE$1,'[1]End - Use Prices'!$C$7:$AL$7,0))</f>
        <v>17.59</v>
      </c>
      <c r="AF166" s="41">
        <f>INDEX('[1]End - Use Prices'!$C$6:$AL$89,MATCH($C166,'[1]End - Use Prices'!$A$6:$A$89,0)+MATCH($D166,'[1]End - Use Prices'!$B$9:$B$11,0)-1,MATCH(AF$1,'[1]End - Use Prices'!$C$7:$AL$7,0))</f>
        <v>18.38</v>
      </c>
      <c r="AG166" s="41">
        <f>INDEX('[1]End - Use Prices'!$C$6:$AL$89,MATCH($C166,'[1]End - Use Prices'!$A$6:$A$89,0)+MATCH($D166,'[1]End - Use Prices'!$B$9:$B$11,0)-1,MATCH(AG$1,'[1]End - Use Prices'!$C$7:$AL$7,0))</f>
        <v>18.48</v>
      </c>
      <c r="AH166" s="41">
        <f>INDEX('[1]End - Use Prices'!$C$6:$AL$89,MATCH($C166,'[1]End - Use Prices'!$A$6:$A$89,0)+MATCH($D166,'[1]End - Use Prices'!$B$9:$B$11,0)-1,MATCH(AH$1,'[1]End - Use Prices'!$C$7:$AL$7,0))</f>
        <v>10.53</v>
      </c>
      <c r="AI166" s="41">
        <f>INDEX('[1]End - Use Prices'!$C$6:$AL$89,MATCH($C166,'[1]End - Use Prices'!$A$6:$A$89,0)+MATCH($D166,'[1]End - Use Prices'!$B$9:$B$11,0)-1,MATCH(AI$1,'[1]End - Use Prices'!$C$7:$AL$7,0))</f>
        <v>9.49</v>
      </c>
      <c r="AJ166" s="41">
        <f>INDEX('[1]End - Use Prices'!$C$6:$AL$89,MATCH($C166,'[1]End - Use Prices'!$A$6:$A$89,0)+MATCH($D166,'[1]End - Use Prices'!$B$9:$B$11,0)-1,MATCH(AJ$1,'[1]End - Use Prices'!$C$7:$AL$7,0))</f>
        <v>10.75</v>
      </c>
      <c r="AK166" s="41">
        <f>INDEX('[1]End - Use Prices'!$C$6:$AL$89,MATCH($C166,'[1]End - Use Prices'!$A$6:$A$89,0)+MATCH($D166,'[1]End - Use Prices'!$B$9:$B$11,0)-1,MATCH(AK$1,'[1]End - Use Prices'!$C$7:$AL$7,0))</f>
        <v>10.63</v>
      </c>
      <c r="AL166" s="41">
        <f>INDEX('[1]End - Use Prices'!$C$6:$AL$89,MATCH($C166,'[1]End - Use Prices'!$A$6:$A$89,0)+MATCH($D166,'[1]End - Use Prices'!$B$9:$B$11,0)-1,MATCH(AL$1,'[1]End - Use Prices'!$C$7:$AL$7,0))</f>
        <v>10.61</v>
      </c>
      <c r="AM166" s="41">
        <f>INDEX('[1]End - Use Prices'!$C$6:$AL$89,MATCH($C166,'[1]End - Use Prices'!$A$6:$A$89,0)+MATCH($D166,'[1]End - Use Prices'!$B$9:$B$11,0)-1,MATCH(AM$1,'[1]End - Use Prices'!$C$7:$AL$7,0))</f>
        <v>10.91</v>
      </c>
      <c r="AN166" s="41">
        <f>INDEX('[1]End - Use Prices'!$C$6:$AL$89,MATCH($C166,'[1]End - Use Prices'!$A$6:$A$89,0)+MATCH($D166,'[1]End - Use Prices'!$B$9:$B$11,0)-1,MATCH(AN$1,'[1]End - Use Prices'!$C$7:$AL$7,0))</f>
        <v>11.07</v>
      </c>
      <c r="AO166" s="41">
        <f>INDEX('[1]End - Use Prices'!$C$6:$AL$89,MATCH($C166,'[1]End - Use Prices'!$A$6:$A$89,0)+MATCH($D166,'[1]End - Use Prices'!$B$9:$B$11,0)-1,MATCH(AO$1,'[1]End - Use Prices'!$C$7:$AL$7,0))</f>
        <v>11.22</v>
      </c>
      <c r="AP166" s="41">
        <f>INDEX('[1]End - Use Prices'!$C$6:$AL$89,MATCH($C166,'[1]End - Use Prices'!$A$6:$A$89,0)+MATCH($D166,'[1]End - Use Prices'!$B$9:$B$11,0)-1,MATCH(AP$1,'[1]End - Use Prices'!$C$7:$AL$7,0))</f>
        <v>11.35</v>
      </c>
      <c r="AQ166" s="41">
        <f>INDEX('[1]End - Use Prices'!$C$6:$AL$89,MATCH($C166,'[1]End - Use Prices'!$A$6:$A$89,0)+MATCH($D166,'[1]End - Use Prices'!$B$9:$B$11,0)-1,MATCH(AQ$1,'[1]End - Use Prices'!$C$7:$AL$7,0))</f>
        <v>11.35</v>
      </c>
      <c r="AR166" s="41">
        <f>INDEX('[1]End - Use Prices'!$C$6:$AL$89,MATCH($C166,'[1]End - Use Prices'!$A$6:$A$89,0)+MATCH($D166,'[1]End - Use Prices'!$B$9:$B$11,0)-1,MATCH(AR$1,'[1]End - Use Prices'!$C$7:$AL$7,0))</f>
        <v>11.38</v>
      </c>
      <c r="AS166" s="41">
        <f>INDEX('[1]End - Use Prices'!$C$6:$AL$89,MATCH($C166,'[1]End - Use Prices'!$A$6:$A$89,0)+MATCH($D166,'[1]End - Use Prices'!$B$9:$B$11,0)-1,MATCH(AS$1,'[1]End - Use Prices'!$C$7:$AL$7,0))</f>
        <v>11.48</v>
      </c>
      <c r="AT166" s="41">
        <f>INDEX('[1]End - Use Prices'!$C$6:$AL$89,MATCH($C166,'[1]End - Use Prices'!$A$6:$A$89,0)+MATCH($D166,'[1]End - Use Prices'!$B$9:$B$11,0)-1,MATCH(AT$1,'[1]End - Use Prices'!$C$7:$AL$7,0))</f>
        <v>11.57</v>
      </c>
      <c r="AU166" s="41">
        <f>INDEX('[1]End - Use Prices'!$C$6:$AL$89,MATCH($C166,'[1]End - Use Prices'!$A$6:$A$89,0)+MATCH($D166,'[1]End - Use Prices'!$B$9:$B$11,0)-1,MATCH(AU$1,'[1]End - Use Prices'!$C$7:$AL$7,0))</f>
        <v>11.67</v>
      </c>
      <c r="AV166" s="41">
        <f>INDEX('[1]End - Use Prices'!$C$6:$AL$89,MATCH($C166,'[1]End - Use Prices'!$A$6:$A$89,0)+MATCH($D166,'[1]End - Use Prices'!$B$9:$B$11,0)-1,MATCH(AV$1,'[1]End - Use Prices'!$C$7:$AL$7,0))</f>
        <v>11.79</v>
      </c>
      <c r="AW166" s="41">
        <f>INDEX('[1]End - Use Prices'!$C$6:$AL$89,MATCH($C166,'[1]End - Use Prices'!$A$6:$A$89,0)+MATCH($D166,'[1]End - Use Prices'!$B$9:$B$11,0)-1,MATCH(AW$1,'[1]End - Use Prices'!$C$7:$AL$7,0))</f>
        <v>11.9</v>
      </c>
      <c r="AX166" s="41">
        <f>INDEX('[1]End - Use Prices'!$C$6:$AL$89,MATCH($C166,'[1]End - Use Prices'!$A$6:$A$89,0)+MATCH($D166,'[1]End - Use Prices'!$B$9:$B$11,0)-1,MATCH(AX$1,'[1]End - Use Prices'!$C$7:$AL$7,0))</f>
        <v>12.02</v>
      </c>
      <c r="AY166" s="41">
        <f>INDEX('[1]End - Use Prices'!$C$6:$AL$89,MATCH($C166,'[1]End - Use Prices'!$A$6:$A$89,0)+MATCH($D166,'[1]End - Use Prices'!$B$9:$B$11,0)-1,MATCH(AY$1,'[1]End - Use Prices'!$C$7:$AL$7,0))</f>
        <v>12.15</v>
      </c>
      <c r="AZ166" s="41">
        <f>INDEX('[1]End - Use Prices'!$C$6:$AL$89,MATCH($C166,'[1]End - Use Prices'!$A$6:$A$89,0)+MATCH($D166,'[1]End - Use Prices'!$B$9:$B$11,0)-1,MATCH(AZ$1,'[1]End - Use Prices'!$C$7:$AL$7,0))</f>
        <v>12.3</v>
      </c>
      <c r="BA166" s="41">
        <f>INDEX('[1]End - Use Prices'!$C$6:$AL$89,MATCH($C166,'[1]End - Use Prices'!$A$6:$A$89,0)+MATCH($D166,'[1]End - Use Prices'!$B$9:$B$11,0)-1,MATCH(BA$1,'[1]End - Use Prices'!$C$7:$AL$7,0))</f>
        <v>12.38</v>
      </c>
      <c r="BB166" s="41">
        <f>INDEX('[1]End - Use Prices'!$C$6:$AL$89,MATCH($C166,'[1]End - Use Prices'!$A$6:$A$89,0)+MATCH($D166,'[1]End - Use Prices'!$B$9:$B$11,0)-1,MATCH(BB$1,'[1]End - Use Prices'!$C$7:$AL$7,0))</f>
        <v>12.45</v>
      </c>
      <c r="BC166" s="41">
        <f>INDEX('[1]End - Use Prices'!$C$6:$AL$89,MATCH($C166,'[1]End - Use Prices'!$A$6:$A$89,0)+MATCH($D166,'[1]End - Use Prices'!$B$9:$B$11,0)-1,MATCH(BC$1,'[1]End - Use Prices'!$C$7:$AL$7,0))</f>
        <v>12.52</v>
      </c>
      <c r="BD166" s="41">
        <f>INDEX('[1]End - Use Prices'!$C$6:$AL$89,MATCH($C166,'[1]End - Use Prices'!$A$6:$A$89,0)+MATCH($D166,'[1]End - Use Prices'!$B$9:$B$11,0)-1,MATCH(BD$1,'[1]End - Use Prices'!$C$7:$AL$7,0))</f>
        <v>12.57</v>
      </c>
      <c r="BE166" s="41">
        <f>INDEX('[1]End - Use Prices'!$C$6:$AL$89,MATCH($C166,'[1]End - Use Prices'!$A$6:$A$89,0)+MATCH($D166,'[1]End - Use Prices'!$B$9:$B$11,0)-1,MATCH(BE$1,'[1]End - Use Prices'!$C$7:$AL$7,0))</f>
        <v>12.6</v>
      </c>
      <c r="BF166" s="41">
        <f>INDEX('[1]End - Use Prices'!$C$6:$AL$89,MATCH($C166,'[1]End - Use Prices'!$A$6:$A$89,0)+MATCH($D166,'[1]End - Use Prices'!$B$9:$B$11,0)-1,MATCH(BF$1,'[1]End - Use Prices'!$C$7:$AL$7,0))</f>
        <v>12.64</v>
      </c>
      <c r="BG166" s="41">
        <f>INDEX('[1]End - Use Prices'!$C$6:$AL$89,MATCH($C166,'[1]End - Use Prices'!$A$6:$A$89,0)+MATCH($D166,'[1]End - Use Prices'!$B$9:$B$11,0)-1,MATCH(BG$1,'[1]End - Use Prices'!$C$7:$AL$7,0))</f>
        <v>12.67</v>
      </c>
      <c r="BR166" s="39"/>
      <c r="BS166" s="39"/>
      <c r="BT166" s="39"/>
      <c r="BU166" s="39"/>
      <c r="BV166" s="39"/>
      <c r="BW166" s="39"/>
      <c r="BX166" s="39"/>
      <c r="BY166" s="39"/>
      <c r="BZ166" s="39"/>
      <c r="CA166" s="39"/>
    </row>
    <row r="167" spans="1:79" x14ac:dyDescent="0.25">
      <c r="A167" s="5"/>
      <c r="B167" s="3"/>
      <c r="C167" s="25" t="s">
        <v>87</v>
      </c>
      <c r="D167" s="25" t="s">
        <v>14</v>
      </c>
      <c r="E167" s="25" t="s">
        <v>282</v>
      </c>
      <c r="F167" s="67" t="s">
        <v>279</v>
      </c>
      <c r="G167" s="53">
        <f t="shared" si="25"/>
        <v>48.47</v>
      </c>
      <c r="H167" s="34">
        <f t="shared" si="28"/>
        <v>48.47</v>
      </c>
      <c r="I167" s="34">
        <f t="shared" si="28"/>
        <v>36.06</v>
      </c>
      <c r="J167" s="34">
        <f t="shared" si="28"/>
        <v>30.99</v>
      </c>
      <c r="K167" s="34">
        <f t="shared" si="28"/>
        <v>25.99</v>
      </c>
      <c r="L167" s="34">
        <f t="shared" si="28"/>
        <v>26.97</v>
      </c>
      <c r="M167" s="34">
        <f t="shared" si="28"/>
        <v>27.22</v>
      </c>
      <c r="N167" s="34">
        <f t="shared" si="28"/>
        <v>27.55</v>
      </c>
      <c r="O167" s="34">
        <f t="shared" si="28"/>
        <v>27.62</v>
      </c>
      <c r="P167" s="53">
        <f t="shared" si="27"/>
        <v>27.62</v>
      </c>
      <c r="Q167" s="53">
        <f t="shared" si="27"/>
        <v>27.62</v>
      </c>
      <c r="R167" s="38"/>
      <c r="X167" s="41">
        <f>INDEX('[1]End - Use Prices'!$C$6:$AL$89,MATCH($C167,'[1]End - Use Prices'!$A$6:$A$89,0)+MATCH($D167,'[1]End - Use Prices'!$B$9:$B$11,0)-1,MATCH(X$1,'[1]End - Use Prices'!$C$7:$AL$7,0))</f>
        <v>48.47</v>
      </c>
      <c r="Y167" s="41">
        <f>INDEX('[1]End - Use Prices'!$C$6:$AL$89,MATCH($C167,'[1]End - Use Prices'!$A$6:$A$89,0)+MATCH($D167,'[1]End - Use Prices'!$B$9:$B$11,0)-1,MATCH(Y$1,'[1]End - Use Prices'!$C$7:$AL$7,0))</f>
        <v>44.05</v>
      </c>
      <c r="Z167" s="41">
        <f>INDEX('[1]End - Use Prices'!$C$6:$AL$89,MATCH($C167,'[1]End - Use Prices'!$A$6:$A$89,0)+MATCH($D167,'[1]End - Use Prices'!$B$9:$B$11,0)-1,MATCH(Z$1,'[1]End - Use Prices'!$C$7:$AL$7,0))</f>
        <v>40.97</v>
      </c>
      <c r="AA167" s="41">
        <f>INDEX('[1]End - Use Prices'!$C$6:$AL$89,MATCH($C167,'[1]End - Use Prices'!$A$6:$A$89,0)+MATCH($D167,'[1]End - Use Prices'!$B$9:$B$11,0)-1,MATCH(AA$1,'[1]End - Use Prices'!$C$7:$AL$7,0))</f>
        <v>39.74</v>
      </c>
      <c r="AB167" s="41">
        <f>INDEX('[1]End - Use Prices'!$C$6:$AL$89,MATCH($C167,'[1]End - Use Prices'!$A$6:$A$89,0)+MATCH($D167,'[1]End - Use Prices'!$B$9:$B$11,0)-1,MATCH(AB$1,'[1]End - Use Prices'!$C$7:$AL$7,0))</f>
        <v>38.31</v>
      </c>
      <c r="AC167" s="41">
        <f>INDEX('[1]End - Use Prices'!$C$6:$AL$89,MATCH($C167,'[1]End - Use Prices'!$A$6:$A$89,0)+MATCH($D167,'[1]End - Use Prices'!$B$9:$B$11,0)-1,MATCH(AC$1,'[1]End - Use Prices'!$C$7:$AL$7,0))</f>
        <v>36.06</v>
      </c>
      <c r="AD167" s="41">
        <f>INDEX('[1]End - Use Prices'!$C$6:$AL$89,MATCH($C167,'[1]End - Use Prices'!$A$6:$A$89,0)+MATCH($D167,'[1]End - Use Prices'!$B$9:$B$11,0)-1,MATCH(AD$1,'[1]End - Use Prices'!$C$7:$AL$7,0))</f>
        <v>33.869999999999997</v>
      </c>
      <c r="AE167" s="41">
        <f>INDEX('[1]End - Use Prices'!$C$6:$AL$89,MATCH($C167,'[1]End - Use Prices'!$A$6:$A$89,0)+MATCH($D167,'[1]End - Use Prices'!$B$9:$B$11,0)-1,MATCH(AE$1,'[1]End - Use Prices'!$C$7:$AL$7,0))</f>
        <v>32.549999999999997</v>
      </c>
      <c r="AF167" s="41">
        <f>INDEX('[1]End - Use Prices'!$C$6:$AL$89,MATCH($C167,'[1]End - Use Prices'!$A$6:$A$89,0)+MATCH($D167,'[1]End - Use Prices'!$B$9:$B$11,0)-1,MATCH(AF$1,'[1]End - Use Prices'!$C$7:$AL$7,0))</f>
        <v>25.3</v>
      </c>
      <c r="AG167" s="41">
        <f>INDEX('[1]End - Use Prices'!$C$6:$AL$89,MATCH($C167,'[1]End - Use Prices'!$A$6:$A$89,0)+MATCH($D167,'[1]End - Use Prices'!$B$9:$B$11,0)-1,MATCH(AG$1,'[1]End - Use Prices'!$C$7:$AL$7,0))</f>
        <v>26.06</v>
      </c>
      <c r="AH167" s="41">
        <f>INDEX('[1]End - Use Prices'!$C$6:$AL$89,MATCH($C167,'[1]End - Use Prices'!$A$6:$A$89,0)+MATCH($D167,'[1]End - Use Prices'!$B$9:$B$11,0)-1,MATCH(AH$1,'[1]End - Use Prices'!$C$7:$AL$7,0))</f>
        <v>30.99</v>
      </c>
      <c r="AI167" s="41">
        <f>INDEX('[1]End - Use Prices'!$C$6:$AL$89,MATCH($C167,'[1]End - Use Prices'!$A$6:$A$89,0)+MATCH($D167,'[1]End - Use Prices'!$B$9:$B$11,0)-1,MATCH(AI$1,'[1]End - Use Prices'!$C$7:$AL$7,0))</f>
        <v>27.98</v>
      </c>
      <c r="AJ167" s="41">
        <f>INDEX('[1]End - Use Prices'!$C$6:$AL$89,MATCH($C167,'[1]End - Use Prices'!$A$6:$A$89,0)+MATCH($D167,'[1]End - Use Prices'!$B$9:$B$11,0)-1,MATCH(AJ$1,'[1]End - Use Prices'!$C$7:$AL$7,0))</f>
        <v>25.3</v>
      </c>
      <c r="AK167" s="41">
        <f>INDEX('[1]End - Use Prices'!$C$6:$AL$89,MATCH($C167,'[1]End - Use Prices'!$A$6:$A$89,0)+MATCH($D167,'[1]End - Use Prices'!$B$9:$B$11,0)-1,MATCH(AK$1,'[1]End - Use Prices'!$C$7:$AL$7,0))</f>
        <v>25.21</v>
      </c>
      <c r="AL167" s="41">
        <f>INDEX('[1]End - Use Prices'!$C$6:$AL$89,MATCH($C167,'[1]End - Use Prices'!$A$6:$A$89,0)+MATCH($D167,'[1]End - Use Prices'!$B$9:$B$11,0)-1,MATCH(AL$1,'[1]End - Use Prices'!$C$7:$AL$7,0))</f>
        <v>25.2</v>
      </c>
      <c r="AM167" s="41">
        <f>INDEX('[1]End - Use Prices'!$C$6:$AL$89,MATCH($C167,'[1]End - Use Prices'!$A$6:$A$89,0)+MATCH($D167,'[1]End - Use Prices'!$B$9:$B$11,0)-1,MATCH(AM$1,'[1]End - Use Prices'!$C$7:$AL$7,0))</f>
        <v>25.99</v>
      </c>
      <c r="AN167" s="41">
        <f>INDEX('[1]End - Use Prices'!$C$6:$AL$89,MATCH($C167,'[1]End - Use Prices'!$A$6:$A$89,0)+MATCH($D167,'[1]End - Use Prices'!$B$9:$B$11,0)-1,MATCH(AN$1,'[1]End - Use Prices'!$C$7:$AL$7,0))</f>
        <v>26.36</v>
      </c>
      <c r="AO167" s="41">
        <f>INDEX('[1]End - Use Prices'!$C$6:$AL$89,MATCH($C167,'[1]End - Use Prices'!$A$6:$A$89,0)+MATCH($D167,'[1]End - Use Prices'!$B$9:$B$11,0)-1,MATCH(AO$1,'[1]End - Use Prices'!$C$7:$AL$7,0))</f>
        <v>26.71</v>
      </c>
      <c r="AP167" s="41">
        <f>INDEX('[1]End - Use Prices'!$C$6:$AL$89,MATCH($C167,'[1]End - Use Prices'!$A$6:$A$89,0)+MATCH($D167,'[1]End - Use Prices'!$B$9:$B$11,0)-1,MATCH(AP$1,'[1]End - Use Prices'!$C$7:$AL$7,0))</f>
        <v>27.03</v>
      </c>
      <c r="AQ167" s="41">
        <f>INDEX('[1]End - Use Prices'!$C$6:$AL$89,MATCH($C167,'[1]End - Use Prices'!$A$6:$A$89,0)+MATCH($D167,'[1]End - Use Prices'!$B$9:$B$11,0)-1,MATCH(AQ$1,'[1]End - Use Prices'!$C$7:$AL$7,0))</f>
        <v>26.98</v>
      </c>
      <c r="AR167" s="41">
        <f>INDEX('[1]End - Use Prices'!$C$6:$AL$89,MATCH($C167,'[1]End - Use Prices'!$A$6:$A$89,0)+MATCH($D167,'[1]End - Use Prices'!$B$9:$B$11,0)-1,MATCH(AR$1,'[1]End - Use Prices'!$C$7:$AL$7,0))</f>
        <v>26.97</v>
      </c>
      <c r="AS167" s="41">
        <f>INDEX('[1]End - Use Prices'!$C$6:$AL$89,MATCH($C167,'[1]End - Use Prices'!$A$6:$A$89,0)+MATCH($D167,'[1]End - Use Prices'!$B$9:$B$11,0)-1,MATCH(AS$1,'[1]End - Use Prices'!$C$7:$AL$7,0))</f>
        <v>27.01</v>
      </c>
      <c r="AT167" s="41">
        <f>INDEX('[1]End - Use Prices'!$C$6:$AL$89,MATCH($C167,'[1]End - Use Prices'!$A$6:$A$89,0)+MATCH($D167,'[1]End - Use Prices'!$B$9:$B$11,0)-1,MATCH(AT$1,'[1]End - Use Prices'!$C$7:$AL$7,0))</f>
        <v>27.04</v>
      </c>
      <c r="AU167" s="41">
        <f>INDEX('[1]End - Use Prices'!$C$6:$AL$89,MATCH($C167,'[1]End - Use Prices'!$A$6:$A$89,0)+MATCH($D167,'[1]End - Use Prices'!$B$9:$B$11,0)-1,MATCH(AU$1,'[1]End - Use Prices'!$C$7:$AL$7,0))</f>
        <v>27.1</v>
      </c>
      <c r="AV167" s="41">
        <f>INDEX('[1]End - Use Prices'!$C$6:$AL$89,MATCH($C167,'[1]End - Use Prices'!$A$6:$A$89,0)+MATCH($D167,'[1]End - Use Prices'!$B$9:$B$11,0)-1,MATCH(AV$1,'[1]End - Use Prices'!$C$7:$AL$7,0))</f>
        <v>27.16</v>
      </c>
      <c r="AW167" s="41">
        <f>INDEX('[1]End - Use Prices'!$C$6:$AL$89,MATCH($C167,'[1]End - Use Prices'!$A$6:$A$89,0)+MATCH($D167,'[1]End - Use Prices'!$B$9:$B$11,0)-1,MATCH(AW$1,'[1]End - Use Prices'!$C$7:$AL$7,0))</f>
        <v>27.22</v>
      </c>
      <c r="AX167" s="41">
        <f>INDEX('[1]End - Use Prices'!$C$6:$AL$89,MATCH($C167,'[1]End - Use Prices'!$A$6:$A$89,0)+MATCH($D167,'[1]End - Use Prices'!$B$9:$B$11,0)-1,MATCH(AX$1,'[1]End - Use Prices'!$C$7:$AL$7,0))</f>
        <v>27.29</v>
      </c>
      <c r="AY167" s="41">
        <f>INDEX('[1]End - Use Prices'!$C$6:$AL$89,MATCH($C167,'[1]End - Use Prices'!$A$6:$A$89,0)+MATCH($D167,'[1]End - Use Prices'!$B$9:$B$11,0)-1,MATCH(AY$1,'[1]End - Use Prices'!$C$7:$AL$7,0))</f>
        <v>27.37</v>
      </c>
      <c r="AZ167" s="41">
        <f>INDEX('[1]End - Use Prices'!$C$6:$AL$89,MATCH($C167,'[1]End - Use Prices'!$A$6:$A$89,0)+MATCH($D167,'[1]End - Use Prices'!$B$9:$B$11,0)-1,MATCH(AZ$1,'[1]End - Use Prices'!$C$7:$AL$7,0))</f>
        <v>27.46</v>
      </c>
      <c r="BA167" s="41">
        <f>INDEX('[1]End - Use Prices'!$C$6:$AL$89,MATCH($C167,'[1]End - Use Prices'!$A$6:$A$89,0)+MATCH($D167,'[1]End - Use Prices'!$B$9:$B$11,0)-1,MATCH(BA$1,'[1]End - Use Prices'!$C$7:$AL$7,0))</f>
        <v>27.51</v>
      </c>
      <c r="BB167" s="41">
        <f>INDEX('[1]End - Use Prices'!$C$6:$AL$89,MATCH($C167,'[1]End - Use Prices'!$A$6:$A$89,0)+MATCH($D167,'[1]End - Use Prices'!$B$9:$B$11,0)-1,MATCH(BB$1,'[1]End - Use Prices'!$C$7:$AL$7,0))</f>
        <v>27.55</v>
      </c>
      <c r="BC167" s="41">
        <f>INDEX('[1]End - Use Prices'!$C$6:$AL$89,MATCH($C167,'[1]End - Use Prices'!$A$6:$A$89,0)+MATCH($D167,'[1]End - Use Prices'!$B$9:$B$11,0)-1,MATCH(BC$1,'[1]End - Use Prices'!$C$7:$AL$7,0))</f>
        <v>27.58</v>
      </c>
      <c r="BD167" s="41">
        <f>INDEX('[1]End - Use Prices'!$C$6:$AL$89,MATCH($C167,'[1]End - Use Prices'!$A$6:$A$89,0)+MATCH($D167,'[1]End - Use Prices'!$B$9:$B$11,0)-1,MATCH(BD$1,'[1]End - Use Prices'!$C$7:$AL$7,0))</f>
        <v>27.6</v>
      </c>
      <c r="BE167" s="41">
        <f>INDEX('[1]End - Use Prices'!$C$6:$AL$89,MATCH($C167,'[1]End - Use Prices'!$A$6:$A$89,0)+MATCH($D167,'[1]End - Use Prices'!$B$9:$B$11,0)-1,MATCH(BE$1,'[1]End - Use Prices'!$C$7:$AL$7,0))</f>
        <v>27.61</v>
      </c>
      <c r="BF167" s="41">
        <f>INDEX('[1]End - Use Prices'!$C$6:$AL$89,MATCH($C167,'[1]End - Use Prices'!$A$6:$A$89,0)+MATCH($D167,'[1]End - Use Prices'!$B$9:$B$11,0)-1,MATCH(BF$1,'[1]End - Use Prices'!$C$7:$AL$7,0))</f>
        <v>27.62</v>
      </c>
      <c r="BG167" s="41">
        <f>INDEX('[1]End - Use Prices'!$C$6:$AL$89,MATCH($C167,'[1]End - Use Prices'!$A$6:$A$89,0)+MATCH($D167,'[1]End - Use Prices'!$B$9:$B$11,0)-1,MATCH(BG$1,'[1]End - Use Prices'!$C$7:$AL$7,0))</f>
        <v>27.62</v>
      </c>
      <c r="BR167" s="39"/>
      <c r="BS167" s="39"/>
      <c r="BT167" s="39"/>
      <c r="BU167" s="39"/>
      <c r="BV167" s="39"/>
      <c r="BW167" s="39"/>
      <c r="BX167" s="39"/>
      <c r="BY167" s="39"/>
      <c r="BZ167" s="39"/>
      <c r="CA167" s="39"/>
    </row>
    <row r="168" spans="1:79" x14ac:dyDescent="0.25">
      <c r="A168" s="5"/>
      <c r="B168" s="3"/>
      <c r="C168" s="25" t="s">
        <v>88</v>
      </c>
      <c r="D168" s="25" t="s">
        <v>14</v>
      </c>
      <c r="E168" s="25" t="s">
        <v>282</v>
      </c>
      <c r="F168" s="67" t="s">
        <v>279</v>
      </c>
      <c r="G168" s="53">
        <f t="shared" si="25"/>
        <v>18.899999999999999</v>
      </c>
      <c r="H168" s="34">
        <f t="shared" si="28"/>
        <v>18.899999999999999</v>
      </c>
      <c r="I168" s="34">
        <f t="shared" si="28"/>
        <v>20.09</v>
      </c>
      <c r="J168" s="34">
        <f t="shared" si="28"/>
        <v>13.86</v>
      </c>
      <c r="K168" s="34">
        <f t="shared" si="28"/>
        <v>11.56</v>
      </c>
      <c r="L168" s="34">
        <f t="shared" si="28"/>
        <v>12.76</v>
      </c>
      <c r="M168" s="34">
        <f t="shared" si="28"/>
        <v>13.11</v>
      </c>
      <c r="N168" s="34">
        <f t="shared" si="28"/>
        <v>13.55</v>
      </c>
      <c r="O168" s="34">
        <f t="shared" si="28"/>
        <v>13.67</v>
      </c>
      <c r="P168" s="53">
        <f t="shared" si="27"/>
        <v>13.67</v>
      </c>
      <c r="Q168" s="53">
        <f t="shared" si="27"/>
        <v>13.67</v>
      </c>
      <c r="R168" s="38"/>
      <c r="X168" s="41">
        <f>INDEX('[1]End - Use Prices'!$C$6:$AL$89,MATCH($C168,'[1]End - Use Prices'!$A$6:$A$89,0)+MATCH($D168,'[1]End - Use Prices'!$B$9:$B$11,0)-1,MATCH(X$1,'[1]End - Use Prices'!$C$7:$AL$7,0))</f>
        <v>18.899999999999999</v>
      </c>
      <c r="Y168" s="41">
        <f>INDEX('[1]End - Use Prices'!$C$6:$AL$89,MATCH($C168,'[1]End - Use Prices'!$A$6:$A$89,0)+MATCH($D168,'[1]End - Use Prices'!$B$9:$B$11,0)-1,MATCH(Y$1,'[1]End - Use Prices'!$C$7:$AL$7,0))</f>
        <v>18.940000000000001</v>
      </c>
      <c r="Z168" s="41">
        <f>INDEX('[1]End - Use Prices'!$C$6:$AL$89,MATCH($C168,'[1]End - Use Prices'!$A$6:$A$89,0)+MATCH($D168,'[1]End - Use Prices'!$B$9:$B$11,0)-1,MATCH(Z$1,'[1]End - Use Prices'!$C$7:$AL$7,0))</f>
        <v>11.86</v>
      </c>
      <c r="AA168" s="41">
        <f>INDEX('[1]End - Use Prices'!$C$6:$AL$89,MATCH($C168,'[1]End - Use Prices'!$A$6:$A$89,0)+MATCH($D168,'[1]End - Use Prices'!$B$9:$B$11,0)-1,MATCH(AA$1,'[1]End - Use Prices'!$C$7:$AL$7,0))</f>
        <v>14.01</v>
      </c>
      <c r="AB168" s="41">
        <f>INDEX('[1]End - Use Prices'!$C$6:$AL$89,MATCH($C168,'[1]End - Use Prices'!$A$6:$A$89,0)+MATCH($D168,'[1]End - Use Prices'!$B$9:$B$11,0)-1,MATCH(AB$1,'[1]End - Use Prices'!$C$7:$AL$7,0))</f>
        <v>14.6</v>
      </c>
      <c r="AC168" s="41">
        <f>INDEX('[1]End - Use Prices'!$C$6:$AL$89,MATCH($C168,'[1]End - Use Prices'!$A$6:$A$89,0)+MATCH($D168,'[1]End - Use Prices'!$B$9:$B$11,0)-1,MATCH(AC$1,'[1]End - Use Prices'!$C$7:$AL$7,0))</f>
        <v>20.09</v>
      </c>
      <c r="AD168" s="41">
        <f>INDEX('[1]End - Use Prices'!$C$6:$AL$89,MATCH($C168,'[1]End - Use Prices'!$A$6:$A$89,0)+MATCH($D168,'[1]End - Use Prices'!$B$9:$B$11,0)-1,MATCH(AD$1,'[1]End - Use Prices'!$C$7:$AL$7,0))</f>
        <v>17.2</v>
      </c>
      <c r="AE168" s="41">
        <f>INDEX('[1]End - Use Prices'!$C$6:$AL$89,MATCH($C168,'[1]End - Use Prices'!$A$6:$A$89,0)+MATCH($D168,'[1]End - Use Prices'!$B$9:$B$11,0)-1,MATCH(AE$1,'[1]End - Use Prices'!$C$7:$AL$7,0))</f>
        <v>17.59</v>
      </c>
      <c r="AF168" s="41">
        <f>INDEX('[1]End - Use Prices'!$C$6:$AL$89,MATCH($C168,'[1]End - Use Prices'!$A$6:$A$89,0)+MATCH($D168,'[1]End - Use Prices'!$B$9:$B$11,0)-1,MATCH(AF$1,'[1]End - Use Prices'!$C$7:$AL$7,0))</f>
        <v>18.75</v>
      </c>
      <c r="AG168" s="41">
        <f>INDEX('[1]End - Use Prices'!$C$6:$AL$89,MATCH($C168,'[1]End - Use Prices'!$A$6:$A$89,0)+MATCH($D168,'[1]End - Use Prices'!$B$9:$B$11,0)-1,MATCH(AG$1,'[1]End - Use Prices'!$C$7:$AL$7,0))</f>
        <v>18.48</v>
      </c>
      <c r="AH168" s="41">
        <f>INDEX('[1]End - Use Prices'!$C$6:$AL$89,MATCH($C168,'[1]End - Use Prices'!$A$6:$A$89,0)+MATCH($D168,'[1]End - Use Prices'!$B$9:$B$11,0)-1,MATCH(AH$1,'[1]End - Use Prices'!$C$7:$AL$7,0))</f>
        <v>13.86</v>
      </c>
      <c r="AI168" s="41">
        <f>INDEX('[1]End - Use Prices'!$C$6:$AL$89,MATCH($C168,'[1]End - Use Prices'!$A$6:$A$89,0)+MATCH($D168,'[1]End - Use Prices'!$B$9:$B$11,0)-1,MATCH(AI$1,'[1]End - Use Prices'!$C$7:$AL$7,0))</f>
        <v>9.4700000000000006</v>
      </c>
      <c r="AJ168" s="41">
        <f>INDEX('[1]End - Use Prices'!$C$6:$AL$89,MATCH($C168,'[1]End - Use Prices'!$A$6:$A$89,0)+MATCH($D168,'[1]End - Use Prices'!$B$9:$B$11,0)-1,MATCH(AJ$1,'[1]End - Use Prices'!$C$7:$AL$7,0))</f>
        <v>10.75</v>
      </c>
      <c r="AK168" s="41">
        <f>INDEX('[1]End - Use Prices'!$C$6:$AL$89,MATCH($C168,'[1]End - Use Prices'!$A$6:$A$89,0)+MATCH($D168,'[1]End - Use Prices'!$B$9:$B$11,0)-1,MATCH(AK$1,'[1]End - Use Prices'!$C$7:$AL$7,0))</f>
        <v>10.63</v>
      </c>
      <c r="AL168" s="41">
        <f>INDEX('[1]End - Use Prices'!$C$6:$AL$89,MATCH($C168,'[1]End - Use Prices'!$A$6:$A$89,0)+MATCH($D168,'[1]End - Use Prices'!$B$9:$B$11,0)-1,MATCH(AL$1,'[1]End - Use Prices'!$C$7:$AL$7,0))</f>
        <v>10.61</v>
      </c>
      <c r="AM168" s="41">
        <f>INDEX('[1]End - Use Prices'!$C$6:$AL$89,MATCH($C168,'[1]End - Use Prices'!$A$6:$A$89,0)+MATCH($D168,'[1]End - Use Prices'!$B$9:$B$11,0)-1,MATCH(AM$1,'[1]End - Use Prices'!$C$7:$AL$7,0))</f>
        <v>11.56</v>
      </c>
      <c r="AN168" s="41">
        <f>INDEX('[1]End - Use Prices'!$C$6:$AL$89,MATCH($C168,'[1]End - Use Prices'!$A$6:$A$89,0)+MATCH($D168,'[1]End - Use Prices'!$B$9:$B$11,0)-1,MATCH(AN$1,'[1]End - Use Prices'!$C$7:$AL$7,0))</f>
        <v>12.01</v>
      </c>
      <c r="AO168" s="41">
        <f>INDEX('[1]End - Use Prices'!$C$6:$AL$89,MATCH($C168,'[1]End - Use Prices'!$A$6:$A$89,0)+MATCH($D168,'[1]End - Use Prices'!$B$9:$B$11,0)-1,MATCH(AO$1,'[1]End - Use Prices'!$C$7:$AL$7,0))</f>
        <v>12.44</v>
      </c>
      <c r="AP168" s="41">
        <f>INDEX('[1]End - Use Prices'!$C$6:$AL$89,MATCH($C168,'[1]End - Use Prices'!$A$6:$A$89,0)+MATCH($D168,'[1]End - Use Prices'!$B$9:$B$11,0)-1,MATCH(AP$1,'[1]End - Use Prices'!$C$7:$AL$7,0))</f>
        <v>12.83</v>
      </c>
      <c r="AQ168" s="41">
        <f>INDEX('[1]End - Use Prices'!$C$6:$AL$89,MATCH($C168,'[1]End - Use Prices'!$A$6:$A$89,0)+MATCH($D168,'[1]End - Use Prices'!$B$9:$B$11,0)-1,MATCH(AQ$1,'[1]End - Use Prices'!$C$7:$AL$7,0))</f>
        <v>12.77</v>
      </c>
      <c r="AR168" s="41">
        <f>INDEX('[1]End - Use Prices'!$C$6:$AL$89,MATCH($C168,'[1]End - Use Prices'!$A$6:$A$89,0)+MATCH($D168,'[1]End - Use Prices'!$B$9:$B$11,0)-1,MATCH(AR$1,'[1]End - Use Prices'!$C$7:$AL$7,0))</f>
        <v>12.76</v>
      </c>
      <c r="AS168" s="41">
        <f>INDEX('[1]End - Use Prices'!$C$6:$AL$89,MATCH($C168,'[1]End - Use Prices'!$A$6:$A$89,0)+MATCH($D168,'[1]End - Use Prices'!$B$9:$B$11,0)-1,MATCH(AS$1,'[1]End - Use Prices'!$C$7:$AL$7,0))</f>
        <v>12.82</v>
      </c>
      <c r="AT168" s="41">
        <f>INDEX('[1]End - Use Prices'!$C$6:$AL$89,MATCH($C168,'[1]End - Use Prices'!$A$6:$A$89,0)+MATCH($D168,'[1]End - Use Prices'!$B$9:$B$11,0)-1,MATCH(AT$1,'[1]End - Use Prices'!$C$7:$AL$7,0))</f>
        <v>12.87</v>
      </c>
      <c r="AU168" s="41">
        <f>INDEX('[1]End - Use Prices'!$C$6:$AL$89,MATCH($C168,'[1]End - Use Prices'!$A$6:$A$89,0)+MATCH($D168,'[1]End - Use Prices'!$B$9:$B$11,0)-1,MATCH(AU$1,'[1]End - Use Prices'!$C$7:$AL$7,0))</f>
        <v>12.94</v>
      </c>
      <c r="AV168" s="41">
        <f>INDEX('[1]End - Use Prices'!$C$6:$AL$89,MATCH($C168,'[1]End - Use Prices'!$A$6:$A$89,0)+MATCH($D168,'[1]End - Use Prices'!$B$9:$B$11,0)-1,MATCH(AV$1,'[1]End - Use Prices'!$C$7:$AL$7,0))</f>
        <v>13.03</v>
      </c>
      <c r="AW168" s="41">
        <f>INDEX('[1]End - Use Prices'!$C$6:$AL$89,MATCH($C168,'[1]End - Use Prices'!$A$6:$A$89,0)+MATCH($D168,'[1]End - Use Prices'!$B$9:$B$11,0)-1,MATCH(AW$1,'[1]End - Use Prices'!$C$7:$AL$7,0))</f>
        <v>13.11</v>
      </c>
      <c r="AX168" s="41">
        <f>INDEX('[1]End - Use Prices'!$C$6:$AL$89,MATCH($C168,'[1]End - Use Prices'!$A$6:$A$89,0)+MATCH($D168,'[1]End - Use Prices'!$B$9:$B$11,0)-1,MATCH(AX$1,'[1]End - Use Prices'!$C$7:$AL$7,0))</f>
        <v>13.21</v>
      </c>
      <c r="AY168" s="41">
        <f>INDEX('[1]End - Use Prices'!$C$6:$AL$89,MATCH($C168,'[1]End - Use Prices'!$A$6:$A$89,0)+MATCH($D168,'[1]End - Use Prices'!$B$9:$B$11,0)-1,MATCH(AY$1,'[1]End - Use Prices'!$C$7:$AL$7,0))</f>
        <v>13.32</v>
      </c>
      <c r="AZ168" s="41">
        <f>INDEX('[1]End - Use Prices'!$C$6:$AL$89,MATCH($C168,'[1]End - Use Prices'!$A$6:$A$89,0)+MATCH($D168,'[1]End - Use Prices'!$B$9:$B$11,0)-1,MATCH(AZ$1,'[1]End - Use Prices'!$C$7:$AL$7,0))</f>
        <v>13.44</v>
      </c>
      <c r="BA168" s="41">
        <f>INDEX('[1]End - Use Prices'!$C$6:$AL$89,MATCH($C168,'[1]End - Use Prices'!$A$6:$A$89,0)+MATCH($D168,'[1]End - Use Prices'!$B$9:$B$11,0)-1,MATCH(BA$1,'[1]End - Use Prices'!$C$7:$AL$7,0))</f>
        <v>13.5</v>
      </c>
      <c r="BB168" s="41">
        <f>INDEX('[1]End - Use Prices'!$C$6:$AL$89,MATCH($C168,'[1]End - Use Prices'!$A$6:$A$89,0)+MATCH($D168,'[1]End - Use Prices'!$B$9:$B$11,0)-1,MATCH(BB$1,'[1]End - Use Prices'!$C$7:$AL$7,0))</f>
        <v>13.55</v>
      </c>
      <c r="BC168" s="41">
        <f>INDEX('[1]End - Use Prices'!$C$6:$AL$89,MATCH($C168,'[1]End - Use Prices'!$A$6:$A$89,0)+MATCH($D168,'[1]End - Use Prices'!$B$9:$B$11,0)-1,MATCH(BC$1,'[1]End - Use Prices'!$C$7:$AL$7,0))</f>
        <v>13.6</v>
      </c>
      <c r="BD168" s="41">
        <f>INDEX('[1]End - Use Prices'!$C$6:$AL$89,MATCH($C168,'[1]End - Use Prices'!$A$6:$A$89,0)+MATCH($D168,'[1]End - Use Prices'!$B$9:$B$11,0)-1,MATCH(BD$1,'[1]End - Use Prices'!$C$7:$AL$7,0))</f>
        <v>13.63</v>
      </c>
      <c r="BE168" s="41">
        <f>INDEX('[1]End - Use Prices'!$C$6:$AL$89,MATCH($C168,'[1]End - Use Prices'!$A$6:$A$89,0)+MATCH($D168,'[1]End - Use Prices'!$B$9:$B$11,0)-1,MATCH(BE$1,'[1]End - Use Prices'!$C$7:$AL$7,0))</f>
        <v>13.64</v>
      </c>
      <c r="BF168" s="41">
        <f>INDEX('[1]End - Use Prices'!$C$6:$AL$89,MATCH($C168,'[1]End - Use Prices'!$A$6:$A$89,0)+MATCH($D168,'[1]End - Use Prices'!$B$9:$B$11,0)-1,MATCH(BF$1,'[1]End - Use Prices'!$C$7:$AL$7,0))</f>
        <v>13.66</v>
      </c>
      <c r="BG168" s="41">
        <f>INDEX('[1]End - Use Prices'!$C$6:$AL$89,MATCH($C168,'[1]End - Use Prices'!$A$6:$A$89,0)+MATCH($D168,'[1]End - Use Prices'!$B$9:$B$11,0)-1,MATCH(BG$1,'[1]End - Use Prices'!$C$7:$AL$7,0))</f>
        <v>13.67</v>
      </c>
      <c r="BR168" s="39"/>
      <c r="BS168" s="39"/>
      <c r="BT168" s="39"/>
      <c r="BU168" s="39"/>
      <c r="BV168" s="39"/>
      <c r="BW168" s="39"/>
      <c r="BX168" s="39"/>
      <c r="BY168" s="39"/>
      <c r="BZ168" s="39"/>
      <c r="CA168" s="39"/>
    </row>
    <row r="169" spans="1:79" x14ac:dyDescent="0.25">
      <c r="A169" s="5"/>
      <c r="B169" s="3"/>
      <c r="C169" s="25" t="s">
        <v>89</v>
      </c>
      <c r="D169" s="25" t="s">
        <v>14</v>
      </c>
      <c r="E169" s="25" t="s">
        <v>282</v>
      </c>
      <c r="F169" s="67" t="s">
        <v>279</v>
      </c>
      <c r="G169" s="53">
        <f t="shared" si="25"/>
        <v>20.32</v>
      </c>
      <c r="H169" s="34">
        <f t="shared" si="28"/>
        <v>20.32</v>
      </c>
      <c r="I169" s="34">
        <f t="shared" si="28"/>
        <v>18.399999999999999</v>
      </c>
      <c r="J169" s="34">
        <f t="shared" si="28"/>
        <v>15.95</v>
      </c>
      <c r="K169" s="34">
        <f t="shared" si="28"/>
        <v>15</v>
      </c>
      <c r="L169" s="34">
        <f t="shared" si="28"/>
        <v>16.07</v>
      </c>
      <c r="M169" s="34">
        <f t="shared" si="28"/>
        <v>16.5</v>
      </c>
      <c r="N169" s="34">
        <f t="shared" si="28"/>
        <v>16.809999999999999</v>
      </c>
      <c r="O169" s="34">
        <f t="shared" si="28"/>
        <v>16.809999999999999</v>
      </c>
      <c r="P169" s="53">
        <f t="shared" si="27"/>
        <v>16.809999999999999</v>
      </c>
      <c r="Q169" s="53">
        <f t="shared" si="27"/>
        <v>16.809999999999999</v>
      </c>
      <c r="R169" s="38"/>
      <c r="X169" s="41">
        <f>INDEX('[1]End - Use Prices'!$C$6:$AL$89,MATCH($C169,'[1]End - Use Prices'!$A$6:$A$89,0)+MATCH($D169,'[1]End - Use Prices'!$B$9:$B$11,0)-1,MATCH(X$1,'[1]End - Use Prices'!$C$7:$AL$7,0))</f>
        <v>20.32</v>
      </c>
      <c r="Y169" s="41">
        <f>INDEX('[1]End - Use Prices'!$C$6:$AL$89,MATCH($C169,'[1]End - Use Prices'!$A$6:$A$89,0)+MATCH($D169,'[1]End - Use Prices'!$B$9:$B$11,0)-1,MATCH(Y$1,'[1]End - Use Prices'!$C$7:$AL$7,0))</f>
        <v>20.36</v>
      </c>
      <c r="Z169" s="41">
        <f>INDEX('[1]End - Use Prices'!$C$6:$AL$89,MATCH($C169,'[1]End - Use Prices'!$A$6:$A$89,0)+MATCH($D169,'[1]End - Use Prices'!$B$9:$B$11,0)-1,MATCH(Z$1,'[1]End - Use Prices'!$C$7:$AL$7,0))</f>
        <v>19</v>
      </c>
      <c r="AA169" s="41">
        <f>INDEX('[1]End - Use Prices'!$C$6:$AL$89,MATCH($C169,'[1]End - Use Prices'!$A$6:$A$89,0)+MATCH($D169,'[1]End - Use Prices'!$B$9:$B$11,0)-1,MATCH(AA$1,'[1]End - Use Prices'!$C$7:$AL$7,0))</f>
        <v>19.5</v>
      </c>
      <c r="AB169" s="41">
        <f>INDEX('[1]End - Use Prices'!$C$6:$AL$89,MATCH($C169,'[1]End - Use Prices'!$A$6:$A$89,0)+MATCH($D169,'[1]End - Use Prices'!$B$9:$B$11,0)-1,MATCH(AB$1,'[1]End - Use Prices'!$C$7:$AL$7,0))</f>
        <v>18.579999999999998</v>
      </c>
      <c r="AC169" s="41">
        <f>INDEX('[1]End - Use Prices'!$C$6:$AL$89,MATCH($C169,'[1]End - Use Prices'!$A$6:$A$89,0)+MATCH($D169,'[1]End - Use Prices'!$B$9:$B$11,0)-1,MATCH(AC$1,'[1]End - Use Prices'!$C$7:$AL$7,0))</f>
        <v>18.399999999999999</v>
      </c>
      <c r="AD169" s="41">
        <f>INDEX('[1]End - Use Prices'!$C$6:$AL$89,MATCH($C169,'[1]End - Use Prices'!$A$6:$A$89,0)+MATCH($D169,'[1]End - Use Prices'!$B$9:$B$11,0)-1,MATCH(AD$1,'[1]End - Use Prices'!$C$7:$AL$7,0))</f>
        <v>17.54</v>
      </c>
      <c r="AE169" s="41">
        <f>INDEX('[1]End - Use Prices'!$C$6:$AL$89,MATCH($C169,'[1]End - Use Prices'!$A$6:$A$89,0)+MATCH($D169,'[1]End - Use Prices'!$B$9:$B$11,0)-1,MATCH(AE$1,'[1]End - Use Prices'!$C$7:$AL$7,0))</f>
        <v>17.05</v>
      </c>
      <c r="AF169" s="41">
        <f>INDEX('[1]End - Use Prices'!$C$6:$AL$89,MATCH($C169,'[1]End - Use Prices'!$A$6:$A$89,0)+MATCH($D169,'[1]End - Use Prices'!$B$9:$B$11,0)-1,MATCH(AF$1,'[1]End - Use Prices'!$C$7:$AL$7,0))</f>
        <v>15.49</v>
      </c>
      <c r="AG169" s="41">
        <f>INDEX('[1]End - Use Prices'!$C$6:$AL$89,MATCH($C169,'[1]End - Use Prices'!$A$6:$A$89,0)+MATCH($D169,'[1]End - Use Prices'!$B$9:$B$11,0)-1,MATCH(AG$1,'[1]End - Use Prices'!$C$7:$AL$7,0))</f>
        <v>16.84</v>
      </c>
      <c r="AH169" s="41">
        <f>INDEX('[1]End - Use Prices'!$C$6:$AL$89,MATCH($C169,'[1]End - Use Prices'!$A$6:$A$89,0)+MATCH($D169,'[1]End - Use Prices'!$B$9:$B$11,0)-1,MATCH(AH$1,'[1]End - Use Prices'!$C$7:$AL$7,0))</f>
        <v>15.95</v>
      </c>
      <c r="AI169" s="41">
        <f>INDEX('[1]End - Use Prices'!$C$6:$AL$89,MATCH($C169,'[1]End - Use Prices'!$A$6:$A$89,0)+MATCH($D169,'[1]End - Use Prices'!$B$9:$B$11,0)-1,MATCH(AI$1,'[1]End - Use Prices'!$C$7:$AL$7,0))</f>
        <v>14.86</v>
      </c>
      <c r="AJ169" s="41">
        <f>INDEX('[1]End - Use Prices'!$C$6:$AL$89,MATCH($C169,'[1]End - Use Prices'!$A$6:$A$89,0)+MATCH($D169,'[1]End - Use Prices'!$B$9:$B$11,0)-1,MATCH(AJ$1,'[1]End - Use Prices'!$C$7:$AL$7,0))</f>
        <v>15.15</v>
      </c>
      <c r="AK169" s="41">
        <f>INDEX('[1]End - Use Prices'!$C$6:$AL$89,MATCH($C169,'[1]End - Use Prices'!$A$6:$A$89,0)+MATCH($D169,'[1]End - Use Prices'!$B$9:$B$11,0)-1,MATCH(AK$1,'[1]End - Use Prices'!$C$7:$AL$7,0))</f>
        <v>15</v>
      </c>
      <c r="AL169" s="41">
        <f>INDEX('[1]End - Use Prices'!$C$6:$AL$89,MATCH($C169,'[1]End - Use Prices'!$A$6:$A$89,0)+MATCH($D169,'[1]End - Use Prices'!$B$9:$B$11,0)-1,MATCH(AL$1,'[1]End - Use Prices'!$C$7:$AL$7,0))</f>
        <v>14.94</v>
      </c>
      <c r="AM169" s="41">
        <f>INDEX('[1]End - Use Prices'!$C$6:$AL$89,MATCH($C169,'[1]End - Use Prices'!$A$6:$A$89,0)+MATCH($D169,'[1]End - Use Prices'!$B$9:$B$11,0)-1,MATCH(AM$1,'[1]End - Use Prices'!$C$7:$AL$7,0))</f>
        <v>15</v>
      </c>
      <c r="AN169" s="41">
        <f>INDEX('[1]End - Use Prices'!$C$6:$AL$89,MATCH($C169,'[1]End - Use Prices'!$A$6:$A$89,0)+MATCH($D169,'[1]End - Use Prices'!$B$9:$B$11,0)-1,MATCH(AN$1,'[1]End - Use Prices'!$C$7:$AL$7,0))</f>
        <v>15.24</v>
      </c>
      <c r="AO169" s="41">
        <f>INDEX('[1]End - Use Prices'!$C$6:$AL$89,MATCH($C169,'[1]End - Use Prices'!$A$6:$A$89,0)+MATCH($D169,'[1]End - Use Prices'!$B$9:$B$11,0)-1,MATCH(AO$1,'[1]End - Use Prices'!$C$7:$AL$7,0))</f>
        <v>15.47</v>
      </c>
      <c r="AP169" s="41">
        <f>INDEX('[1]End - Use Prices'!$C$6:$AL$89,MATCH($C169,'[1]End - Use Prices'!$A$6:$A$89,0)+MATCH($D169,'[1]End - Use Prices'!$B$9:$B$11,0)-1,MATCH(AP$1,'[1]End - Use Prices'!$C$7:$AL$7,0))</f>
        <v>15.66</v>
      </c>
      <c r="AQ169" s="41">
        <f>INDEX('[1]End - Use Prices'!$C$6:$AL$89,MATCH($C169,'[1]End - Use Prices'!$A$6:$A$89,0)+MATCH($D169,'[1]End - Use Prices'!$B$9:$B$11,0)-1,MATCH(AQ$1,'[1]End - Use Prices'!$C$7:$AL$7,0))</f>
        <v>15.86</v>
      </c>
      <c r="AR169" s="41">
        <f>INDEX('[1]End - Use Prices'!$C$6:$AL$89,MATCH($C169,'[1]End - Use Prices'!$A$6:$A$89,0)+MATCH($D169,'[1]End - Use Prices'!$B$9:$B$11,0)-1,MATCH(AR$1,'[1]End - Use Prices'!$C$7:$AL$7,0))</f>
        <v>16.07</v>
      </c>
      <c r="AS169" s="41">
        <f>INDEX('[1]End - Use Prices'!$C$6:$AL$89,MATCH($C169,'[1]End - Use Prices'!$A$6:$A$89,0)+MATCH($D169,'[1]End - Use Prices'!$B$9:$B$11,0)-1,MATCH(AS$1,'[1]End - Use Prices'!$C$7:$AL$7,0))</f>
        <v>16.350000000000001</v>
      </c>
      <c r="AT169" s="41">
        <f>INDEX('[1]End - Use Prices'!$C$6:$AL$89,MATCH($C169,'[1]End - Use Prices'!$A$6:$A$89,0)+MATCH($D169,'[1]End - Use Prices'!$B$9:$B$11,0)-1,MATCH(AT$1,'[1]End - Use Prices'!$C$7:$AL$7,0))</f>
        <v>16.36</v>
      </c>
      <c r="AU169" s="41">
        <f>INDEX('[1]End - Use Prices'!$C$6:$AL$89,MATCH($C169,'[1]End - Use Prices'!$A$6:$A$89,0)+MATCH($D169,'[1]End - Use Prices'!$B$9:$B$11,0)-1,MATCH(AU$1,'[1]End - Use Prices'!$C$7:$AL$7,0))</f>
        <v>16.399999999999999</v>
      </c>
      <c r="AV169" s="41">
        <f>INDEX('[1]End - Use Prices'!$C$6:$AL$89,MATCH($C169,'[1]End - Use Prices'!$A$6:$A$89,0)+MATCH($D169,'[1]End - Use Prices'!$B$9:$B$11,0)-1,MATCH(AV$1,'[1]End - Use Prices'!$C$7:$AL$7,0))</f>
        <v>16.45</v>
      </c>
      <c r="AW169" s="41">
        <f>INDEX('[1]End - Use Prices'!$C$6:$AL$89,MATCH($C169,'[1]End - Use Prices'!$A$6:$A$89,0)+MATCH($D169,'[1]End - Use Prices'!$B$9:$B$11,0)-1,MATCH(AW$1,'[1]End - Use Prices'!$C$7:$AL$7,0))</f>
        <v>16.5</v>
      </c>
      <c r="AX169" s="41">
        <f>INDEX('[1]End - Use Prices'!$C$6:$AL$89,MATCH($C169,'[1]End - Use Prices'!$A$6:$A$89,0)+MATCH($D169,'[1]End - Use Prices'!$B$9:$B$11,0)-1,MATCH(AX$1,'[1]End - Use Prices'!$C$7:$AL$7,0))</f>
        <v>16.57</v>
      </c>
      <c r="AY169" s="41">
        <f>INDEX('[1]End - Use Prices'!$C$6:$AL$89,MATCH($C169,'[1]End - Use Prices'!$A$6:$A$89,0)+MATCH($D169,'[1]End - Use Prices'!$B$9:$B$11,0)-1,MATCH(AY$1,'[1]End - Use Prices'!$C$7:$AL$7,0))</f>
        <v>16.649999999999999</v>
      </c>
      <c r="AZ169" s="41">
        <f>INDEX('[1]End - Use Prices'!$C$6:$AL$89,MATCH($C169,'[1]End - Use Prices'!$A$6:$A$89,0)+MATCH($D169,'[1]End - Use Prices'!$B$9:$B$11,0)-1,MATCH(AZ$1,'[1]End - Use Prices'!$C$7:$AL$7,0))</f>
        <v>16.739999999999998</v>
      </c>
      <c r="BA169" s="41">
        <f>INDEX('[1]End - Use Prices'!$C$6:$AL$89,MATCH($C169,'[1]End - Use Prices'!$A$6:$A$89,0)+MATCH($D169,'[1]End - Use Prices'!$B$9:$B$11,0)-1,MATCH(BA$1,'[1]End - Use Prices'!$C$7:$AL$7,0))</f>
        <v>16.77</v>
      </c>
      <c r="BB169" s="41">
        <f>INDEX('[1]End - Use Prices'!$C$6:$AL$89,MATCH($C169,'[1]End - Use Prices'!$A$6:$A$89,0)+MATCH($D169,'[1]End - Use Prices'!$B$9:$B$11,0)-1,MATCH(BB$1,'[1]End - Use Prices'!$C$7:$AL$7,0))</f>
        <v>16.809999999999999</v>
      </c>
      <c r="BC169" s="41">
        <f>INDEX('[1]End - Use Prices'!$C$6:$AL$89,MATCH($C169,'[1]End - Use Prices'!$A$6:$A$89,0)+MATCH($D169,'[1]End - Use Prices'!$B$9:$B$11,0)-1,MATCH(BC$1,'[1]End - Use Prices'!$C$7:$AL$7,0))</f>
        <v>16.829999999999998</v>
      </c>
      <c r="BD169" s="41">
        <f>INDEX('[1]End - Use Prices'!$C$6:$AL$89,MATCH($C169,'[1]End - Use Prices'!$A$6:$A$89,0)+MATCH($D169,'[1]End - Use Prices'!$B$9:$B$11,0)-1,MATCH(BD$1,'[1]End - Use Prices'!$C$7:$AL$7,0))</f>
        <v>16.829999999999998</v>
      </c>
      <c r="BE169" s="41">
        <f>INDEX('[1]End - Use Prices'!$C$6:$AL$89,MATCH($C169,'[1]End - Use Prices'!$A$6:$A$89,0)+MATCH($D169,'[1]End - Use Prices'!$B$9:$B$11,0)-1,MATCH(BE$1,'[1]End - Use Prices'!$C$7:$AL$7,0))</f>
        <v>16.829999999999998</v>
      </c>
      <c r="BF169" s="41">
        <f>INDEX('[1]End - Use Prices'!$C$6:$AL$89,MATCH($C169,'[1]End - Use Prices'!$A$6:$A$89,0)+MATCH($D169,'[1]End - Use Prices'!$B$9:$B$11,0)-1,MATCH(BF$1,'[1]End - Use Prices'!$C$7:$AL$7,0))</f>
        <v>16.82</v>
      </c>
      <c r="BG169" s="41">
        <f>INDEX('[1]End - Use Prices'!$C$6:$AL$89,MATCH($C169,'[1]End - Use Prices'!$A$6:$A$89,0)+MATCH($D169,'[1]End - Use Prices'!$B$9:$B$11,0)-1,MATCH(BG$1,'[1]End - Use Prices'!$C$7:$AL$7,0))</f>
        <v>16.809999999999999</v>
      </c>
      <c r="BR169" s="39"/>
      <c r="BS169" s="39"/>
      <c r="BT169" s="39"/>
      <c r="BU169" s="39"/>
      <c r="BV169" s="39"/>
      <c r="BW169" s="39"/>
      <c r="BX169" s="39"/>
      <c r="BY169" s="39"/>
      <c r="BZ169" s="39"/>
      <c r="CA169" s="39"/>
    </row>
    <row r="170" spans="1:79" x14ac:dyDescent="0.25">
      <c r="A170" s="5"/>
      <c r="B170" s="3"/>
      <c r="C170" s="25" t="s">
        <v>90</v>
      </c>
      <c r="D170" s="25" t="s">
        <v>14</v>
      </c>
      <c r="E170" s="25" t="s">
        <v>282</v>
      </c>
      <c r="F170" s="67" t="s">
        <v>279</v>
      </c>
      <c r="G170" s="53">
        <f t="shared" si="25"/>
        <v>16.739999999999998</v>
      </c>
      <c r="H170" s="34">
        <f t="shared" si="28"/>
        <v>16.739999999999998</v>
      </c>
      <c r="I170" s="34">
        <f t="shared" si="28"/>
        <v>13.57</v>
      </c>
      <c r="J170" s="34">
        <f t="shared" si="28"/>
        <v>12.15</v>
      </c>
      <c r="K170" s="34">
        <f t="shared" si="28"/>
        <v>10.119999999999999</v>
      </c>
      <c r="L170" s="34">
        <f t="shared" si="28"/>
        <v>11.4</v>
      </c>
      <c r="M170" s="34">
        <f t="shared" si="28"/>
        <v>11.98</v>
      </c>
      <c r="N170" s="34">
        <f t="shared" si="28"/>
        <v>12.4</v>
      </c>
      <c r="O170" s="34">
        <f t="shared" si="28"/>
        <v>12.52</v>
      </c>
      <c r="P170" s="53">
        <f t="shared" ref="P170:Q189" si="29">O170</f>
        <v>12.52</v>
      </c>
      <c r="Q170" s="53">
        <f t="shared" si="29"/>
        <v>12.52</v>
      </c>
      <c r="R170" s="38"/>
      <c r="X170" s="41">
        <f>INDEX('[1]End - Use Prices'!$C$6:$AL$89,MATCH($C170,'[1]End - Use Prices'!$A$6:$A$89,0)+MATCH($D170,'[1]End - Use Prices'!$B$9:$B$11,0)-1,MATCH(X$1,'[1]End - Use Prices'!$C$7:$AL$7,0))</f>
        <v>16.739999999999998</v>
      </c>
      <c r="Y170" s="41">
        <f>INDEX('[1]End - Use Prices'!$C$6:$AL$89,MATCH($C170,'[1]End - Use Prices'!$A$6:$A$89,0)+MATCH($D170,'[1]End - Use Prices'!$B$9:$B$11,0)-1,MATCH(Y$1,'[1]End - Use Prices'!$C$7:$AL$7,0))</f>
        <v>17.82</v>
      </c>
      <c r="Z170" s="41">
        <f>INDEX('[1]End - Use Prices'!$C$6:$AL$89,MATCH($C170,'[1]End - Use Prices'!$A$6:$A$89,0)+MATCH($D170,'[1]End - Use Prices'!$B$9:$B$11,0)-1,MATCH(Z$1,'[1]End - Use Prices'!$C$7:$AL$7,0))</f>
        <v>16.100000000000001</v>
      </c>
      <c r="AA170" s="41">
        <f>INDEX('[1]End - Use Prices'!$C$6:$AL$89,MATCH($C170,'[1]End - Use Prices'!$A$6:$A$89,0)+MATCH($D170,'[1]End - Use Prices'!$B$9:$B$11,0)-1,MATCH(AA$1,'[1]End - Use Prices'!$C$7:$AL$7,0))</f>
        <v>16.25</v>
      </c>
      <c r="AB170" s="41">
        <f>INDEX('[1]End - Use Prices'!$C$6:$AL$89,MATCH($C170,'[1]End - Use Prices'!$A$6:$A$89,0)+MATCH($D170,'[1]End - Use Prices'!$B$9:$B$11,0)-1,MATCH(AB$1,'[1]End - Use Prices'!$C$7:$AL$7,0))</f>
        <v>13.76</v>
      </c>
      <c r="AC170" s="41">
        <f>INDEX('[1]End - Use Prices'!$C$6:$AL$89,MATCH($C170,'[1]End - Use Prices'!$A$6:$A$89,0)+MATCH($D170,'[1]End - Use Prices'!$B$9:$B$11,0)-1,MATCH(AC$1,'[1]End - Use Prices'!$C$7:$AL$7,0))</f>
        <v>13.57</v>
      </c>
      <c r="AD170" s="41">
        <f>INDEX('[1]End - Use Prices'!$C$6:$AL$89,MATCH($C170,'[1]End - Use Prices'!$A$6:$A$89,0)+MATCH($D170,'[1]End - Use Prices'!$B$9:$B$11,0)-1,MATCH(AD$1,'[1]End - Use Prices'!$C$7:$AL$7,0))</f>
        <v>11.83</v>
      </c>
      <c r="AE170" s="41">
        <f>INDEX('[1]End - Use Prices'!$C$6:$AL$89,MATCH($C170,'[1]End - Use Prices'!$A$6:$A$89,0)+MATCH($D170,'[1]End - Use Prices'!$B$9:$B$11,0)-1,MATCH(AE$1,'[1]End - Use Prices'!$C$7:$AL$7,0))</f>
        <v>11.22</v>
      </c>
      <c r="AF170" s="41">
        <f>INDEX('[1]End - Use Prices'!$C$6:$AL$89,MATCH($C170,'[1]End - Use Prices'!$A$6:$A$89,0)+MATCH($D170,'[1]End - Use Prices'!$B$9:$B$11,0)-1,MATCH(AF$1,'[1]End - Use Prices'!$C$7:$AL$7,0))</f>
        <v>11.17</v>
      </c>
      <c r="AG170" s="41">
        <f>INDEX('[1]End - Use Prices'!$C$6:$AL$89,MATCH($C170,'[1]End - Use Prices'!$A$6:$A$89,0)+MATCH($D170,'[1]End - Use Prices'!$B$9:$B$11,0)-1,MATCH(AG$1,'[1]End - Use Prices'!$C$7:$AL$7,0))</f>
        <v>12.03</v>
      </c>
      <c r="AH170" s="41">
        <f>INDEX('[1]End - Use Prices'!$C$6:$AL$89,MATCH($C170,'[1]End - Use Prices'!$A$6:$A$89,0)+MATCH($D170,'[1]End - Use Prices'!$B$9:$B$11,0)-1,MATCH(AH$1,'[1]End - Use Prices'!$C$7:$AL$7,0))</f>
        <v>12.15</v>
      </c>
      <c r="AI170" s="41">
        <f>INDEX('[1]End - Use Prices'!$C$6:$AL$89,MATCH($C170,'[1]End - Use Prices'!$A$6:$A$89,0)+MATCH($D170,'[1]End - Use Prices'!$B$9:$B$11,0)-1,MATCH(AI$1,'[1]End - Use Prices'!$C$7:$AL$7,0))</f>
        <v>9.42</v>
      </c>
      <c r="AJ170" s="41">
        <f>INDEX('[1]End - Use Prices'!$C$6:$AL$89,MATCH($C170,'[1]End - Use Prices'!$A$6:$A$89,0)+MATCH($D170,'[1]End - Use Prices'!$B$9:$B$11,0)-1,MATCH(AJ$1,'[1]End - Use Prices'!$C$7:$AL$7,0))</f>
        <v>13.49</v>
      </c>
      <c r="AK170" s="41">
        <f>INDEX('[1]End - Use Prices'!$C$6:$AL$89,MATCH($C170,'[1]End - Use Prices'!$A$6:$A$89,0)+MATCH($D170,'[1]End - Use Prices'!$B$9:$B$11,0)-1,MATCH(AK$1,'[1]End - Use Prices'!$C$7:$AL$7,0))</f>
        <v>10.95</v>
      </c>
      <c r="AL170" s="41">
        <f>INDEX('[1]End - Use Prices'!$C$6:$AL$89,MATCH($C170,'[1]End - Use Prices'!$A$6:$A$89,0)+MATCH($D170,'[1]End - Use Prices'!$B$9:$B$11,0)-1,MATCH(AL$1,'[1]End - Use Prices'!$C$7:$AL$7,0))</f>
        <v>10.029999999999999</v>
      </c>
      <c r="AM170" s="41">
        <f>INDEX('[1]End - Use Prices'!$C$6:$AL$89,MATCH($C170,'[1]End - Use Prices'!$A$6:$A$89,0)+MATCH($D170,'[1]End - Use Prices'!$B$9:$B$11,0)-1,MATCH(AM$1,'[1]End - Use Prices'!$C$7:$AL$7,0))</f>
        <v>10.119999999999999</v>
      </c>
      <c r="AN170" s="41">
        <f>INDEX('[1]End - Use Prices'!$C$6:$AL$89,MATCH($C170,'[1]End - Use Prices'!$A$6:$A$89,0)+MATCH($D170,'[1]End - Use Prices'!$B$9:$B$11,0)-1,MATCH(AN$1,'[1]End - Use Prices'!$C$7:$AL$7,0))</f>
        <v>10.4</v>
      </c>
      <c r="AO170" s="41">
        <f>INDEX('[1]End - Use Prices'!$C$6:$AL$89,MATCH($C170,'[1]End - Use Prices'!$A$6:$A$89,0)+MATCH($D170,'[1]End - Use Prices'!$B$9:$B$11,0)-1,MATCH(AO$1,'[1]End - Use Prices'!$C$7:$AL$7,0))</f>
        <v>10.68</v>
      </c>
      <c r="AP170" s="41">
        <f>INDEX('[1]End - Use Prices'!$C$6:$AL$89,MATCH($C170,'[1]End - Use Prices'!$A$6:$A$89,0)+MATCH($D170,'[1]End - Use Prices'!$B$9:$B$11,0)-1,MATCH(AP$1,'[1]End - Use Prices'!$C$7:$AL$7,0))</f>
        <v>10.91</v>
      </c>
      <c r="AQ170" s="41">
        <f>INDEX('[1]End - Use Prices'!$C$6:$AL$89,MATCH($C170,'[1]End - Use Prices'!$A$6:$A$89,0)+MATCH($D170,'[1]End - Use Prices'!$B$9:$B$11,0)-1,MATCH(AQ$1,'[1]End - Use Prices'!$C$7:$AL$7,0))</f>
        <v>11.15</v>
      </c>
      <c r="AR170" s="41">
        <f>INDEX('[1]End - Use Prices'!$C$6:$AL$89,MATCH($C170,'[1]End - Use Prices'!$A$6:$A$89,0)+MATCH($D170,'[1]End - Use Prices'!$B$9:$B$11,0)-1,MATCH(AR$1,'[1]End - Use Prices'!$C$7:$AL$7,0))</f>
        <v>11.4</v>
      </c>
      <c r="AS170" s="41">
        <f>INDEX('[1]End - Use Prices'!$C$6:$AL$89,MATCH($C170,'[1]End - Use Prices'!$A$6:$A$89,0)+MATCH($D170,'[1]End - Use Prices'!$B$9:$B$11,0)-1,MATCH(AS$1,'[1]End - Use Prices'!$C$7:$AL$7,0))</f>
        <v>11.72</v>
      </c>
      <c r="AT170" s="41">
        <f>INDEX('[1]End - Use Prices'!$C$6:$AL$89,MATCH($C170,'[1]End - Use Prices'!$A$6:$A$89,0)+MATCH($D170,'[1]End - Use Prices'!$B$9:$B$11,0)-1,MATCH(AT$1,'[1]End - Use Prices'!$C$7:$AL$7,0))</f>
        <v>11.76</v>
      </c>
      <c r="AU170" s="41">
        <f>INDEX('[1]End - Use Prices'!$C$6:$AL$89,MATCH($C170,'[1]End - Use Prices'!$A$6:$A$89,0)+MATCH($D170,'[1]End - Use Prices'!$B$9:$B$11,0)-1,MATCH(AU$1,'[1]End - Use Prices'!$C$7:$AL$7,0))</f>
        <v>11.83</v>
      </c>
      <c r="AV170" s="41">
        <f>INDEX('[1]End - Use Prices'!$C$6:$AL$89,MATCH($C170,'[1]End - Use Prices'!$A$6:$A$89,0)+MATCH($D170,'[1]End - Use Prices'!$B$9:$B$11,0)-1,MATCH(AV$1,'[1]End - Use Prices'!$C$7:$AL$7,0))</f>
        <v>11.91</v>
      </c>
      <c r="AW170" s="41">
        <f>INDEX('[1]End - Use Prices'!$C$6:$AL$89,MATCH($C170,'[1]End - Use Prices'!$A$6:$A$89,0)+MATCH($D170,'[1]End - Use Prices'!$B$9:$B$11,0)-1,MATCH(AW$1,'[1]End - Use Prices'!$C$7:$AL$7,0))</f>
        <v>11.98</v>
      </c>
      <c r="AX170" s="41">
        <f>INDEX('[1]End - Use Prices'!$C$6:$AL$89,MATCH($C170,'[1]End - Use Prices'!$A$6:$A$89,0)+MATCH($D170,'[1]End - Use Prices'!$B$9:$B$11,0)-1,MATCH(AX$1,'[1]End - Use Prices'!$C$7:$AL$7,0))</f>
        <v>12.07</v>
      </c>
      <c r="AY170" s="41">
        <f>INDEX('[1]End - Use Prices'!$C$6:$AL$89,MATCH($C170,'[1]End - Use Prices'!$A$6:$A$89,0)+MATCH($D170,'[1]End - Use Prices'!$B$9:$B$11,0)-1,MATCH(AY$1,'[1]End - Use Prices'!$C$7:$AL$7,0))</f>
        <v>12.18</v>
      </c>
      <c r="AZ170" s="41">
        <f>INDEX('[1]End - Use Prices'!$C$6:$AL$89,MATCH($C170,'[1]End - Use Prices'!$A$6:$A$89,0)+MATCH($D170,'[1]End - Use Prices'!$B$9:$B$11,0)-1,MATCH(AZ$1,'[1]End - Use Prices'!$C$7:$AL$7,0))</f>
        <v>12.29</v>
      </c>
      <c r="BA170" s="41">
        <f>INDEX('[1]End - Use Prices'!$C$6:$AL$89,MATCH($C170,'[1]End - Use Prices'!$A$6:$A$89,0)+MATCH($D170,'[1]End - Use Prices'!$B$9:$B$11,0)-1,MATCH(BA$1,'[1]End - Use Prices'!$C$7:$AL$7,0))</f>
        <v>12.35</v>
      </c>
      <c r="BB170" s="41">
        <f>INDEX('[1]End - Use Prices'!$C$6:$AL$89,MATCH($C170,'[1]End - Use Prices'!$A$6:$A$89,0)+MATCH($D170,'[1]End - Use Prices'!$B$9:$B$11,0)-1,MATCH(BB$1,'[1]End - Use Prices'!$C$7:$AL$7,0))</f>
        <v>12.4</v>
      </c>
      <c r="BC170" s="41">
        <f>INDEX('[1]End - Use Prices'!$C$6:$AL$89,MATCH($C170,'[1]End - Use Prices'!$A$6:$A$89,0)+MATCH($D170,'[1]End - Use Prices'!$B$9:$B$11,0)-1,MATCH(BC$1,'[1]End - Use Prices'!$C$7:$AL$7,0))</f>
        <v>12.45</v>
      </c>
      <c r="BD170" s="41">
        <f>INDEX('[1]End - Use Prices'!$C$6:$AL$89,MATCH($C170,'[1]End - Use Prices'!$A$6:$A$89,0)+MATCH($D170,'[1]End - Use Prices'!$B$9:$B$11,0)-1,MATCH(BD$1,'[1]End - Use Prices'!$C$7:$AL$7,0))</f>
        <v>12.48</v>
      </c>
      <c r="BE170" s="41">
        <f>INDEX('[1]End - Use Prices'!$C$6:$AL$89,MATCH($C170,'[1]End - Use Prices'!$A$6:$A$89,0)+MATCH($D170,'[1]End - Use Prices'!$B$9:$B$11,0)-1,MATCH(BE$1,'[1]End - Use Prices'!$C$7:$AL$7,0))</f>
        <v>12.49</v>
      </c>
      <c r="BF170" s="41">
        <f>INDEX('[1]End - Use Prices'!$C$6:$AL$89,MATCH($C170,'[1]End - Use Prices'!$A$6:$A$89,0)+MATCH($D170,'[1]End - Use Prices'!$B$9:$B$11,0)-1,MATCH(BF$1,'[1]End - Use Prices'!$C$7:$AL$7,0))</f>
        <v>12.51</v>
      </c>
      <c r="BG170" s="41">
        <f>INDEX('[1]End - Use Prices'!$C$6:$AL$89,MATCH($C170,'[1]End - Use Prices'!$A$6:$A$89,0)+MATCH($D170,'[1]End - Use Prices'!$B$9:$B$11,0)-1,MATCH(BG$1,'[1]End - Use Prices'!$C$7:$AL$7,0))</f>
        <v>12.52</v>
      </c>
      <c r="BR170" s="39"/>
      <c r="BS170" s="39"/>
      <c r="BT170" s="39"/>
      <c r="BU170" s="39"/>
      <c r="BV170" s="39"/>
      <c r="BW170" s="39"/>
      <c r="BX170" s="39"/>
      <c r="BY170" s="39"/>
      <c r="BZ170" s="39"/>
      <c r="CA170" s="39"/>
    </row>
    <row r="171" spans="1:79" x14ac:dyDescent="0.25">
      <c r="A171" s="5"/>
      <c r="B171" s="3"/>
      <c r="C171" s="25" t="s">
        <v>91</v>
      </c>
      <c r="D171" s="25" t="s">
        <v>14</v>
      </c>
      <c r="E171" s="25" t="s">
        <v>282</v>
      </c>
      <c r="F171" s="67" t="s">
        <v>279</v>
      </c>
      <c r="G171" s="53">
        <f t="shared" si="25"/>
        <v>16.21</v>
      </c>
      <c r="H171" s="34">
        <f t="shared" si="28"/>
        <v>16.21</v>
      </c>
      <c r="I171" s="34">
        <f t="shared" si="28"/>
        <v>11.7</v>
      </c>
      <c r="J171" s="34">
        <f t="shared" si="28"/>
        <v>11.47</v>
      </c>
      <c r="K171" s="34">
        <f t="shared" si="28"/>
        <v>10.53</v>
      </c>
      <c r="L171" s="34">
        <f t="shared" si="28"/>
        <v>11.81</v>
      </c>
      <c r="M171" s="34">
        <f t="shared" si="28"/>
        <v>12.43</v>
      </c>
      <c r="N171" s="34">
        <f t="shared" si="28"/>
        <v>13.03</v>
      </c>
      <c r="O171" s="34">
        <f t="shared" si="28"/>
        <v>13.31</v>
      </c>
      <c r="P171" s="53">
        <f t="shared" si="29"/>
        <v>13.31</v>
      </c>
      <c r="Q171" s="53">
        <f t="shared" si="29"/>
        <v>13.31</v>
      </c>
      <c r="R171" s="38"/>
      <c r="X171" s="41">
        <f>INDEX('[1]End - Use Prices'!$C$6:$AL$89,MATCH($C171,'[1]End - Use Prices'!$A$6:$A$89,0)+MATCH($D171,'[1]End - Use Prices'!$B$9:$B$11,0)-1,MATCH(X$1,'[1]End - Use Prices'!$C$7:$AL$7,0))</f>
        <v>16.21</v>
      </c>
      <c r="Y171" s="41">
        <f>INDEX('[1]End - Use Prices'!$C$6:$AL$89,MATCH($C171,'[1]End - Use Prices'!$A$6:$A$89,0)+MATCH($D171,'[1]End - Use Prices'!$B$9:$B$11,0)-1,MATCH(Y$1,'[1]End - Use Prices'!$C$7:$AL$7,0))</f>
        <v>15.41</v>
      </c>
      <c r="Z171" s="41">
        <f>INDEX('[1]End - Use Prices'!$C$6:$AL$89,MATCH($C171,'[1]End - Use Prices'!$A$6:$A$89,0)+MATCH($D171,'[1]End - Use Prices'!$B$9:$B$11,0)-1,MATCH(Z$1,'[1]End - Use Prices'!$C$7:$AL$7,0))</f>
        <v>14.81</v>
      </c>
      <c r="AA171" s="41">
        <f>INDEX('[1]End - Use Prices'!$C$6:$AL$89,MATCH($C171,'[1]End - Use Prices'!$A$6:$A$89,0)+MATCH($D171,'[1]End - Use Prices'!$B$9:$B$11,0)-1,MATCH(AA$1,'[1]End - Use Prices'!$C$7:$AL$7,0))</f>
        <v>14.53</v>
      </c>
      <c r="AB171" s="41">
        <f>INDEX('[1]End - Use Prices'!$C$6:$AL$89,MATCH($C171,'[1]End - Use Prices'!$A$6:$A$89,0)+MATCH($D171,'[1]End - Use Prices'!$B$9:$B$11,0)-1,MATCH(AB$1,'[1]End - Use Prices'!$C$7:$AL$7,0))</f>
        <v>14.23</v>
      </c>
      <c r="AC171" s="41">
        <f>INDEX('[1]End - Use Prices'!$C$6:$AL$89,MATCH($C171,'[1]End - Use Prices'!$A$6:$A$89,0)+MATCH($D171,'[1]End - Use Prices'!$B$9:$B$11,0)-1,MATCH(AC$1,'[1]End - Use Prices'!$C$7:$AL$7,0))</f>
        <v>11.7</v>
      </c>
      <c r="AD171" s="41">
        <f>INDEX('[1]End - Use Prices'!$C$6:$AL$89,MATCH($C171,'[1]End - Use Prices'!$A$6:$A$89,0)+MATCH($D171,'[1]End - Use Prices'!$B$9:$B$11,0)-1,MATCH(AD$1,'[1]End - Use Prices'!$C$7:$AL$7,0))</f>
        <v>11.6</v>
      </c>
      <c r="AE171" s="41">
        <f>INDEX('[1]End - Use Prices'!$C$6:$AL$89,MATCH($C171,'[1]End - Use Prices'!$A$6:$A$89,0)+MATCH($D171,'[1]End - Use Prices'!$B$9:$B$11,0)-1,MATCH(AE$1,'[1]End - Use Prices'!$C$7:$AL$7,0))</f>
        <v>10.07</v>
      </c>
      <c r="AF171" s="41">
        <f>INDEX('[1]End - Use Prices'!$C$6:$AL$89,MATCH($C171,'[1]End - Use Prices'!$A$6:$A$89,0)+MATCH($D171,'[1]End - Use Prices'!$B$9:$B$11,0)-1,MATCH(AF$1,'[1]End - Use Prices'!$C$7:$AL$7,0))</f>
        <v>10.41</v>
      </c>
      <c r="AG171" s="41">
        <f>INDEX('[1]End - Use Prices'!$C$6:$AL$89,MATCH($C171,'[1]End - Use Prices'!$A$6:$A$89,0)+MATCH($D171,'[1]End - Use Prices'!$B$9:$B$11,0)-1,MATCH(AG$1,'[1]End - Use Prices'!$C$7:$AL$7,0))</f>
        <v>10.98</v>
      </c>
      <c r="AH171" s="41">
        <f>INDEX('[1]End - Use Prices'!$C$6:$AL$89,MATCH($C171,'[1]End - Use Prices'!$A$6:$A$89,0)+MATCH($D171,'[1]End - Use Prices'!$B$9:$B$11,0)-1,MATCH(AH$1,'[1]End - Use Prices'!$C$7:$AL$7,0))</f>
        <v>11.47</v>
      </c>
      <c r="AI171" s="41">
        <f>INDEX('[1]End - Use Prices'!$C$6:$AL$89,MATCH($C171,'[1]End - Use Prices'!$A$6:$A$89,0)+MATCH($D171,'[1]End - Use Prices'!$B$9:$B$11,0)-1,MATCH(AI$1,'[1]End - Use Prices'!$C$7:$AL$7,0))</f>
        <v>9.65</v>
      </c>
      <c r="AJ171" s="41">
        <f>INDEX('[1]End - Use Prices'!$C$6:$AL$89,MATCH($C171,'[1]End - Use Prices'!$A$6:$A$89,0)+MATCH($D171,'[1]End - Use Prices'!$B$9:$B$11,0)-1,MATCH(AJ$1,'[1]End - Use Prices'!$C$7:$AL$7,0))</f>
        <v>9.7100000000000009</v>
      </c>
      <c r="AK171" s="41">
        <f>INDEX('[1]End - Use Prices'!$C$6:$AL$89,MATCH($C171,'[1]End - Use Prices'!$A$6:$A$89,0)+MATCH($D171,'[1]End - Use Prices'!$B$9:$B$11,0)-1,MATCH(AK$1,'[1]End - Use Prices'!$C$7:$AL$7,0))</f>
        <v>9.6300000000000008</v>
      </c>
      <c r="AL171" s="41">
        <f>INDEX('[1]End - Use Prices'!$C$6:$AL$89,MATCH($C171,'[1]End - Use Prices'!$A$6:$A$89,0)+MATCH($D171,'[1]End - Use Prices'!$B$9:$B$11,0)-1,MATCH(AL$1,'[1]End - Use Prices'!$C$7:$AL$7,0))</f>
        <v>9.6199999999999992</v>
      </c>
      <c r="AM171" s="41">
        <f>INDEX('[1]End - Use Prices'!$C$6:$AL$89,MATCH($C171,'[1]End - Use Prices'!$A$6:$A$89,0)+MATCH($D171,'[1]End - Use Prices'!$B$9:$B$11,0)-1,MATCH(AM$1,'[1]End - Use Prices'!$C$7:$AL$7,0))</f>
        <v>10.53</v>
      </c>
      <c r="AN171" s="41">
        <f>INDEX('[1]End - Use Prices'!$C$6:$AL$89,MATCH($C171,'[1]End - Use Prices'!$A$6:$A$89,0)+MATCH($D171,'[1]End - Use Prices'!$B$9:$B$11,0)-1,MATCH(AN$1,'[1]End - Use Prices'!$C$7:$AL$7,0))</f>
        <v>10.96</v>
      </c>
      <c r="AO171" s="41">
        <f>INDEX('[1]End - Use Prices'!$C$6:$AL$89,MATCH($C171,'[1]End - Use Prices'!$A$6:$A$89,0)+MATCH($D171,'[1]End - Use Prices'!$B$9:$B$11,0)-1,MATCH(AO$1,'[1]End - Use Prices'!$C$7:$AL$7,0))</f>
        <v>11.37</v>
      </c>
      <c r="AP171" s="41">
        <f>INDEX('[1]End - Use Prices'!$C$6:$AL$89,MATCH($C171,'[1]End - Use Prices'!$A$6:$A$89,0)+MATCH($D171,'[1]End - Use Prices'!$B$9:$B$11,0)-1,MATCH(AP$1,'[1]End - Use Prices'!$C$7:$AL$7,0))</f>
        <v>11.74</v>
      </c>
      <c r="AQ171" s="41">
        <f>INDEX('[1]End - Use Prices'!$C$6:$AL$89,MATCH($C171,'[1]End - Use Prices'!$A$6:$A$89,0)+MATCH($D171,'[1]End - Use Prices'!$B$9:$B$11,0)-1,MATCH(AQ$1,'[1]End - Use Prices'!$C$7:$AL$7,0))</f>
        <v>11.76</v>
      </c>
      <c r="AR171" s="41">
        <f>INDEX('[1]End - Use Prices'!$C$6:$AL$89,MATCH($C171,'[1]End - Use Prices'!$A$6:$A$89,0)+MATCH($D171,'[1]End - Use Prices'!$B$9:$B$11,0)-1,MATCH(AR$1,'[1]End - Use Prices'!$C$7:$AL$7,0))</f>
        <v>11.81</v>
      </c>
      <c r="AS171" s="41">
        <f>INDEX('[1]End - Use Prices'!$C$6:$AL$89,MATCH($C171,'[1]End - Use Prices'!$A$6:$A$89,0)+MATCH($D171,'[1]End - Use Prices'!$B$9:$B$11,0)-1,MATCH(AS$1,'[1]End - Use Prices'!$C$7:$AL$7,0))</f>
        <v>11.93</v>
      </c>
      <c r="AT171" s="41">
        <f>INDEX('[1]End - Use Prices'!$C$6:$AL$89,MATCH($C171,'[1]End - Use Prices'!$A$6:$A$89,0)+MATCH($D171,'[1]End - Use Prices'!$B$9:$B$11,0)-1,MATCH(AT$1,'[1]End - Use Prices'!$C$7:$AL$7,0))</f>
        <v>12.04</v>
      </c>
      <c r="AU171" s="41">
        <f>INDEX('[1]End - Use Prices'!$C$6:$AL$89,MATCH($C171,'[1]End - Use Prices'!$A$6:$A$89,0)+MATCH($D171,'[1]End - Use Prices'!$B$9:$B$11,0)-1,MATCH(AU$1,'[1]End - Use Prices'!$C$7:$AL$7,0))</f>
        <v>12.16</v>
      </c>
      <c r="AV171" s="41">
        <f>INDEX('[1]End - Use Prices'!$C$6:$AL$89,MATCH($C171,'[1]End - Use Prices'!$A$6:$A$89,0)+MATCH($D171,'[1]End - Use Prices'!$B$9:$B$11,0)-1,MATCH(AV$1,'[1]End - Use Prices'!$C$7:$AL$7,0))</f>
        <v>12.3</v>
      </c>
      <c r="AW171" s="41">
        <f>INDEX('[1]End - Use Prices'!$C$6:$AL$89,MATCH($C171,'[1]End - Use Prices'!$A$6:$A$89,0)+MATCH($D171,'[1]End - Use Prices'!$B$9:$B$11,0)-1,MATCH(AW$1,'[1]End - Use Prices'!$C$7:$AL$7,0))</f>
        <v>12.43</v>
      </c>
      <c r="AX171" s="41">
        <f>INDEX('[1]End - Use Prices'!$C$6:$AL$89,MATCH($C171,'[1]End - Use Prices'!$A$6:$A$89,0)+MATCH($D171,'[1]End - Use Prices'!$B$9:$B$11,0)-1,MATCH(AX$1,'[1]End - Use Prices'!$C$7:$AL$7,0))</f>
        <v>12.56</v>
      </c>
      <c r="AY171" s="41">
        <f>INDEX('[1]End - Use Prices'!$C$6:$AL$89,MATCH($C171,'[1]End - Use Prices'!$A$6:$A$89,0)+MATCH($D171,'[1]End - Use Prices'!$B$9:$B$11,0)-1,MATCH(AY$1,'[1]End - Use Prices'!$C$7:$AL$7,0))</f>
        <v>12.7</v>
      </c>
      <c r="AZ171" s="41">
        <f>INDEX('[1]End - Use Prices'!$C$6:$AL$89,MATCH($C171,'[1]End - Use Prices'!$A$6:$A$89,0)+MATCH($D171,'[1]End - Use Prices'!$B$9:$B$11,0)-1,MATCH(AZ$1,'[1]End - Use Prices'!$C$7:$AL$7,0))</f>
        <v>12.86</v>
      </c>
      <c r="BA171" s="41">
        <f>INDEX('[1]End - Use Prices'!$C$6:$AL$89,MATCH($C171,'[1]End - Use Prices'!$A$6:$A$89,0)+MATCH($D171,'[1]End - Use Prices'!$B$9:$B$11,0)-1,MATCH(BA$1,'[1]End - Use Prices'!$C$7:$AL$7,0))</f>
        <v>12.95</v>
      </c>
      <c r="BB171" s="41">
        <f>INDEX('[1]End - Use Prices'!$C$6:$AL$89,MATCH($C171,'[1]End - Use Prices'!$A$6:$A$89,0)+MATCH($D171,'[1]End - Use Prices'!$B$9:$B$11,0)-1,MATCH(BB$1,'[1]End - Use Prices'!$C$7:$AL$7,0))</f>
        <v>13.03</v>
      </c>
      <c r="BC171" s="41">
        <f>INDEX('[1]End - Use Prices'!$C$6:$AL$89,MATCH($C171,'[1]End - Use Prices'!$A$6:$A$89,0)+MATCH($D171,'[1]End - Use Prices'!$B$9:$B$11,0)-1,MATCH(BC$1,'[1]End - Use Prices'!$C$7:$AL$7,0))</f>
        <v>13.11</v>
      </c>
      <c r="BD171" s="41">
        <f>INDEX('[1]End - Use Prices'!$C$6:$AL$89,MATCH($C171,'[1]End - Use Prices'!$A$6:$A$89,0)+MATCH($D171,'[1]End - Use Prices'!$B$9:$B$11,0)-1,MATCH(BD$1,'[1]End - Use Prices'!$C$7:$AL$7,0))</f>
        <v>13.17</v>
      </c>
      <c r="BE171" s="41">
        <f>INDEX('[1]End - Use Prices'!$C$6:$AL$89,MATCH($C171,'[1]End - Use Prices'!$A$6:$A$89,0)+MATCH($D171,'[1]End - Use Prices'!$B$9:$B$11,0)-1,MATCH(BE$1,'[1]End - Use Prices'!$C$7:$AL$7,0))</f>
        <v>13.22</v>
      </c>
      <c r="BF171" s="41">
        <f>INDEX('[1]End - Use Prices'!$C$6:$AL$89,MATCH($C171,'[1]End - Use Prices'!$A$6:$A$89,0)+MATCH($D171,'[1]End - Use Prices'!$B$9:$B$11,0)-1,MATCH(BF$1,'[1]End - Use Prices'!$C$7:$AL$7,0))</f>
        <v>13.27</v>
      </c>
      <c r="BG171" s="41">
        <f>INDEX('[1]End - Use Prices'!$C$6:$AL$89,MATCH($C171,'[1]End - Use Prices'!$A$6:$A$89,0)+MATCH($D171,'[1]End - Use Prices'!$B$9:$B$11,0)-1,MATCH(BG$1,'[1]End - Use Prices'!$C$7:$AL$7,0))</f>
        <v>13.31</v>
      </c>
      <c r="BR171" s="39"/>
      <c r="BS171" s="39"/>
      <c r="BT171" s="39"/>
      <c r="BU171" s="39"/>
      <c r="BV171" s="39"/>
      <c r="BW171" s="39"/>
      <c r="BX171" s="39"/>
      <c r="BY171" s="39"/>
      <c r="BZ171" s="39"/>
      <c r="CA171" s="39"/>
    </row>
    <row r="172" spans="1:79" x14ac:dyDescent="0.25">
      <c r="A172" s="5"/>
      <c r="B172" s="3"/>
      <c r="C172" s="25" t="s">
        <v>92</v>
      </c>
      <c r="D172" s="25" t="s">
        <v>14</v>
      </c>
      <c r="E172" s="25" t="s">
        <v>282</v>
      </c>
      <c r="F172" s="67" t="s">
        <v>279</v>
      </c>
      <c r="G172" s="53">
        <f t="shared" si="25"/>
        <v>14.11</v>
      </c>
      <c r="H172" s="34">
        <f t="shared" si="28"/>
        <v>14.11</v>
      </c>
      <c r="I172" s="34">
        <f t="shared" si="28"/>
        <v>12.28</v>
      </c>
      <c r="J172" s="34">
        <f t="shared" si="28"/>
        <v>11.81</v>
      </c>
      <c r="K172" s="34">
        <f t="shared" si="28"/>
        <v>8.3000000000000007</v>
      </c>
      <c r="L172" s="34">
        <f t="shared" si="28"/>
        <v>9.42</v>
      </c>
      <c r="M172" s="34">
        <f t="shared" si="28"/>
        <v>9.6199999999999992</v>
      </c>
      <c r="N172" s="34">
        <f t="shared" si="28"/>
        <v>9.9</v>
      </c>
      <c r="O172" s="34">
        <f t="shared" si="28"/>
        <v>9.9499999999999993</v>
      </c>
      <c r="P172" s="53">
        <f t="shared" si="29"/>
        <v>9.9499999999999993</v>
      </c>
      <c r="Q172" s="53">
        <f t="shared" si="29"/>
        <v>9.9499999999999993</v>
      </c>
      <c r="R172" s="38"/>
      <c r="X172" s="41">
        <f>INDEX('[1]End - Use Prices'!$C$6:$AL$89,MATCH($C172,'[1]End - Use Prices'!$A$6:$A$89,0)+MATCH($D172,'[1]End - Use Prices'!$B$9:$B$11,0)-1,MATCH(X$1,'[1]End - Use Prices'!$C$7:$AL$7,0))</f>
        <v>14.11</v>
      </c>
      <c r="Y172" s="41">
        <f>INDEX('[1]End - Use Prices'!$C$6:$AL$89,MATCH($C172,'[1]End - Use Prices'!$A$6:$A$89,0)+MATCH($D172,'[1]End - Use Prices'!$B$9:$B$11,0)-1,MATCH(Y$1,'[1]End - Use Prices'!$C$7:$AL$7,0))</f>
        <v>13.96</v>
      </c>
      <c r="Z172" s="41">
        <f>INDEX('[1]End - Use Prices'!$C$6:$AL$89,MATCH($C172,'[1]End - Use Prices'!$A$6:$A$89,0)+MATCH($D172,'[1]End - Use Prices'!$B$9:$B$11,0)-1,MATCH(Z$1,'[1]End - Use Prices'!$C$7:$AL$7,0))</f>
        <v>13.58</v>
      </c>
      <c r="AA172" s="41">
        <f>INDEX('[1]End - Use Prices'!$C$6:$AL$89,MATCH($C172,'[1]End - Use Prices'!$A$6:$A$89,0)+MATCH($D172,'[1]End - Use Prices'!$B$9:$B$11,0)-1,MATCH(AA$1,'[1]End - Use Prices'!$C$7:$AL$7,0))</f>
        <v>12.3</v>
      </c>
      <c r="AB172" s="41">
        <f>INDEX('[1]End - Use Prices'!$C$6:$AL$89,MATCH($C172,'[1]End - Use Prices'!$A$6:$A$89,0)+MATCH($D172,'[1]End - Use Prices'!$B$9:$B$11,0)-1,MATCH(AB$1,'[1]End - Use Prices'!$C$7:$AL$7,0))</f>
        <v>14.1</v>
      </c>
      <c r="AC172" s="41">
        <f>INDEX('[1]End - Use Prices'!$C$6:$AL$89,MATCH($C172,'[1]End - Use Prices'!$A$6:$A$89,0)+MATCH($D172,'[1]End - Use Prices'!$B$9:$B$11,0)-1,MATCH(AC$1,'[1]End - Use Prices'!$C$7:$AL$7,0))</f>
        <v>12.28</v>
      </c>
      <c r="AD172" s="41">
        <f>INDEX('[1]End - Use Prices'!$C$6:$AL$89,MATCH($C172,'[1]End - Use Prices'!$A$6:$A$89,0)+MATCH($D172,'[1]End - Use Prices'!$B$9:$B$11,0)-1,MATCH(AD$1,'[1]End - Use Prices'!$C$7:$AL$7,0))</f>
        <v>11.25</v>
      </c>
      <c r="AE172" s="41">
        <f>INDEX('[1]End - Use Prices'!$C$6:$AL$89,MATCH($C172,'[1]End - Use Prices'!$A$6:$A$89,0)+MATCH($D172,'[1]End - Use Prices'!$B$9:$B$11,0)-1,MATCH(AE$1,'[1]End - Use Prices'!$C$7:$AL$7,0))</f>
        <v>10.93</v>
      </c>
      <c r="AF172" s="41">
        <f>INDEX('[1]End - Use Prices'!$C$6:$AL$89,MATCH($C172,'[1]End - Use Prices'!$A$6:$A$89,0)+MATCH($D172,'[1]End - Use Prices'!$B$9:$B$11,0)-1,MATCH(AF$1,'[1]End - Use Prices'!$C$7:$AL$7,0))</f>
        <v>10.61</v>
      </c>
      <c r="AG172" s="41">
        <f>INDEX('[1]End - Use Prices'!$C$6:$AL$89,MATCH($C172,'[1]End - Use Prices'!$A$6:$A$89,0)+MATCH($D172,'[1]End - Use Prices'!$B$9:$B$11,0)-1,MATCH(AG$1,'[1]End - Use Prices'!$C$7:$AL$7,0))</f>
        <v>9.19</v>
      </c>
      <c r="AH172" s="41">
        <f>INDEX('[1]End - Use Prices'!$C$6:$AL$89,MATCH($C172,'[1]End - Use Prices'!$A$6:$A$89,0)+MATCH($D172,'[1]End - Use Prices'!$B$9:$B$11,0)-1,MATCH(AH$1,'[1]End - Use Prices'!$C$7:$AL$7,0))</f>
        <v>11.81</v>
      </c>
      <c r="AI172" s="41">
        <f>INDEX('[1]End - Use Prices'!$C$6:$AL$89,MATCH($C172,'[1]End - Use Prices'!$A$6:$A$89,0)+MATCH($D172,'[1]End - Use Prices'!$B$9:$B$11,0)-1,MATCH(AI$1,'[1]End - Use Prices'!$C$7:$AL$7,0))</f>
        <v>8.8000000000000007</v>
      </c>
      <c r="AJ172" s="41">
        <f>INDEX('[1]End - Use Prices'!$C$6:$AL$89,MATCH($C172,'[1]End - Use Prices'!$A$6:$A$89,0)+MATCH($D172,'[1]End - Use Prices'!$B$9:$B$11,0)-1,MATCH(AJ$1,'[1]End - Use Prices'!$C$7:$AL$7,0))</f>
        <v>7.48</v>
      </c>
      <c r="AK172" s="41">
        <f>INDEX('[1]End - Use Prices'!$C$6:$AL$89,MATCH($C172,'[1]End - Use Prices'!$A$6:$A$89,0)+MATCH($D172,'[1]End - Use Prices'!$B$9:$B$11,0)-1,MATCH(AK$1,'[1]End - Use Prices'!$C$7:$AL$7,0))</f>
        <v>7.4</v>
      </c>
      <c r="AL172" s="41">
        <f>INDEX('[1]End - Use Prices'!$C$6:$AL$89,MATCH($C172,'[1]End - Use Prices'!$A$6:$A$89,0)+MATCH($D172,'[1]End - Use Prices'!$B$9:$B$11,0)-1,MATCH(AL$1,'[1]End - Use Prices'!$C$7:$AL$7,0))</f>
        <v>7.39</v>
      </c>
      <c r="AM172" s="41">
        <f>INDEX('[1]End - Use Prices'!$C$6:$AL$89,MATCH($C172,'[1]End - Use Prices'!$A$6:$A$89,0)+MATCH($D172,'[1]End - Use Prices'!$B$9:$B$11,0)-1,MATCH(AM$1,'[1]End - Use Prices'!$C$7:$AL$7,0))</f>
        <v>8.3000000000000007</v>
      </c>
      <c r="AN172" s="41">
        <f>INDEX('[1]End - Use Prices'!$C$6:$AL$89,MATCH($C172,'[1]End - Use Prices'!$A$6:$A$89,0)+MATCH($D172,'[1]End - Use Prices'!$B$9:$B$11,0)-1,MATCH(AN$1,'[1]End - Use Prices'!$C$7:$AL$7,0))</f>
        <v>8.73</v>
      </c>
      <c r="AO172" s="41">
        <f>INDEX('[1]End - Use Prices'!$C$6:$AL$89,MATCH($C172,'[1]End - Use Prices'!$A$6:$A$89,0)+MATCH($D172,'[1]End - Use Prices'!$B$9:$B$11,0)-1,MATCH(AO$1,'[1]End - Use Prices'!$C$7:$AL$7,0))</f>
        <v>9.14</v>
      </c>
      <c r="AP172" s="41">
        <f>INDEX('[1]End - Use Prices'!$C$6:$AL$89,MATCH($C172,'[1]End - Use Prices'!$A$6:$A$89,0)+MATCH($D172,'[1]End - Use Prices'!$B$9:$B$11,0)-1,MATCH(AP$1,'[1]End - Use Prices'!$C$7:$AL$7,0))</f>
        <v>9.51</v>
      </c>
      <c r="AQ172" s="41">
        <f>INDEX('[1]End - Use Prices'!$C$6:$AL$89,MATCH($C172,'[1]End - Use Prices'!$A$6:$A$89,0)+MATCH($D172,'[1]End - Use Prices'!$B$9:$B$11,0)-1,MATCH(AQ$1,'[1]End - Use Prices'!$C$7:$AL$7,0))</f>
        <v>9.4499999999999993</v>
      </c>
      <c r="AR172" s="41">
        <f>INDEX('[1]End - Use Prices'!$C$6:$AL$89,MATCH($C172,'[1]End - Use Prices'!$A$6:$A$89,0)+MATCH($D172,'[1]End - Use Prices'!$B$9:$B$11,0)-1,MATCH(AR$1,'[1]End - Use Prices'!$C$7:$AL$7,0))</f>
        <v>9.42</v>
      </c>
      <c r="AS172" s="41">
        <f>INDEX('[1]End - Use Prices'!$C$6:$AL$89,MATCH($C172,'[1]End - Use Prices'!$A$6:$A$89,0)+MATCH($D172,'[1]End - Use Prices'!$B$9:$B$11,0)-1,MATCH(AS$1,'[1]End - Use Prices'!$C$7:$AL$7,0))</f>
        <v>9.4600000000000009</v>
      </c>
      <c r="AT172" s="41">
        <f>INDEX('[1]End - Use Prices'!$C$6:$AL$89,MATCH($C172,'[1]End - Use Prices'!$A$6:$A$89,0)+MATCH($D172,'[1]End - Use Prices'!$B$9:$B$11,0)-1,MATCH(AT$1,'[1]End - Use Prices'!$C$7:$AL$7,0))</f>
        <v>9.48</v>
      </c>
      <c r="AU172" s="41">
        <f>INDEX('[1]End - Use Prices'!$C$6:$AL$89,MATCH($C172,'[1]End - Use Prices'!$A$6:$A$89,0)+MATCH($D172,'[1]End - Use Prices'!$B$9:$B$11,0)-1,MATCH(AU$1,'[1]End - Use Prices'!$C$7:$AL$7,0))</f>
        <v>9.52</v>
      </c>
      <c r="AV172" s="41">
        <f>INDEX('[1]End - Use Prices'!$C$6:$AL$89,MATCH($C172,'[1]End - Use Prices'!$A$6:$A$89,0)+MATCH($D172,'[1]End - Use Prices'!$B$9:$B$11,0)-1,MATCH(AV$1,'[1]End - Use Prices'!$C$7:$AL$7,0))</f>
        <v>9.57</v>
      </c>
      <c r="AW172" s="41">
        <f>INDEX('[1]End - Use Prices'!$C$6:$AL$89,MATCH($C172,'[1]End - Use Prices'!$A$6:$A$89,0)+MATCH($D172,'[1]End - Use Prices'!$B$9:$B$11,0)-1,MATCH(AW$1,'[1]End - Use Prices'!$C$7:$AL$7,0))</f>
        <v>9.6199999999999992</v>
      </c>
      <c r="AX172" s="41">
        <f>INDEX('[1]End - Use Prices'!$C$6:$AL$89,MATCH($C172,'[1]End - Use Prices'!$A$6:$A$89,0)+MATCH($D172,'[1]End - Use Prices'!$B$9:$B$11,0)-1,MATCH(AX$1,'[1]End - Use Prices'!$C$7:$AL$7,0))</f>
        <v>9.68</v>
      </c>
      <c r="AY172" s="41">
        <f>INDEX('[1]End - Use Prices'!$C$6:$AL$89,MATCH($C172,'[1]End - Use Prices'!$A$6:$A$89,0)+MATCH($D172,'[1]End - Use Prices'!$B$9:$B$11,0)-1,MATCH(AY$1,'[1]End - Use Prices'!$C$7:$AL$7,0))</f>
        <v>9.75</v>
      </c>
      <c r="AZ172" s="41">
        <f>INDEX('[1]End - Use Prices'!$C$6:$AL$89,MATCH($C172,'[1]End - Use Prices'!$A$6:$A$89,0)+MATCH($D172,'[1]End - Use Prices'!$B$9:$B$11,0)-1,MATCH(AZ$1,'[1]End - Use Prices'!$C$7:$AL$7,0))</f>
        <v>9.83</v>
      </c>
      <c r="BA172" s="41">
        <f>INDEX('[1]End - Use Prices'!$C$6:$AL$89,MATCH($C172,'[1]End - Use Prices'!$A$6:$A$89,0)+MATCH($D172,'[1]End - Use Prices'!$B$9:$B$11,0)-1,MATCH(BA$1,'[1]End - Use Prices'!$C$7:$AL$7,0))</f>
        <v>9.8699999999999992</v>
      </c>
      <c r="BB172" s="41">
        <f>INDEX('[1]End - Use Prices'!$C$6:$AL$89,MATCH($C172,'[1]End - Use Prices'!$A$6:$A$89,0)+MATCH($D172,'[1]End - Use Prices'!$B$9:$B$11,0)-1,MATCH(BB$1,'[1]End - Use Prices'!$C$7:$AL$7,0))</f>
        <v>9.9</v>
      </c>
      <c r="BC172" s="41">
        <f>INDEX('[1]End - Use Prices'!$C$6:$AL$89,MATCH($C172,'[1]End - Use Prices'!$A$6:$A$89,0)+MATCH($D172,'[1]End - Use Prices'!$B$9:$B$11,0)-1,MATCH(BC$1,'[1]End - Use Prices'!$C$7:$AL$7,0))</f>
        <v>9.93</v>
      </c>
      <c r="BD172" s="41">
        <f>INDEX('[1]End - Use Prices'!$C$6:$AL$89,MATCH($C172,'[1]End - Use Prices'!$A$6:$A$89,0)+MATCH($D172,'[1]End - Use Prices'!$B$9:$B$11,0)-1,MATCH(BD$1,'[1]End - Use Prices'!$C$7:$AL$7,0))</f>
        <v>9.94</v>
      </c>
      <c r="BE172" s="41">
        <f>INDEX('[1]End - Use Prices'!$C$6:$AL$89,MATCH($C172,'[1]End - Use Prices'!$A$6:$A$89,0)+MATCH($D172,'[1]End - Use Prices'!$B$9:$B$11,0)-1,MATCH(BE$1,'[1]End - Use Prices'!$C$7:$AL$7,0))</f>
        <v>9.94</v>
      </c>
      <c r="BF172" s="41">
        <f>INDEX('[1]End - Use Prices'!$C$6:$AL$89,MATCH($C172,'[1]End - Use Prices'!$A$6:$A$89,0)+MATCH($D172,'[1]End - Use Prices'!$B$9:$B$11,0)-1,MATCH(BF$1,'[1]End - Use Prices'!$C$7:$AL$7,0))</f>
        <v>9.9499999999999993</v>
      </c>
      <c r="BG172" s="41">
        <f>INDEX('[1]End - Use Prices'!$C$6:$AL$89,MATCH($C172,'[1]End - Use Prices'!$A$6:$A$89,0)+MATCH($D172,'[1]End - Use Prices'!$B$9:$B$11,0)-1,MATCH(BG$1,'[1]End - Use Prices'!$C$7:$AL$7,0))</f>
        <v>9.9499999999999993</v>
      </c>
      <c r="BR172" s="39"/>
      <c r="BS172" s="39"/>
      <c r="BT172" s="39"/>
      <c r="BU172" s="39"/>
      <c r="BV172" s="39"/>
      <c r="BW172" s="39"/>
      <c r="BX172" s="39"/>
      <c r="BY172" s="39"/>
      <c r="BZ172" s="39"/>
      <c r="CA172" s="39"/>
    </row>
    <row r="173" spans="1:79" x14ac:dyDescent="0.25">
      <c r="A173" s="5"/>
      <c r="B173" s="3"/>
      <c r="C173" s="25" t="s">
        <v>5</v>
      </c>
      <c r="D173" s="25" t="s">
        <v>14</v>
      </c>
      <c r="E173" s="25" t="s">
        <v>282</v>
      </c>
      <c r="F173" s="67" t="s">
        <v>279</v>
      </c>
      <c r="G173" s="53">
        <f t="shared" si="25"/>
        <v>12.98</v>
      </c>
      <c r="H173" s="34">
        <f t="shared" si="28"/>
        <v>12.98</v>
      </c>
      <c r="I173" s="34">
        <f t="shared" si="28"/>
        <v>7.97</v>
      </c>
      <c r="J173" s="34">
        <f t="shared" si="28"/>
        <v>3.36</v>
      </c>
      <c r="K173" s="34">
        <f t="shared" si="28"/>
        <v>6.42</v>
      </c>
      <c r="L173" s="34">
        <f t="shared" si="28"/>
        <v>7.15</v>
      </c>
      <c r="M173" s="34">
        <f t="shared" si="28"/>
        <v>7.33</v>
      </c>
      <c r="N173" s="34">
        <f t="shared" si="28"/>
        <v>7.6</v>
      </c>
      <c r="O173" s="34">
        <f t="shared" si="28"/>
        <v>7.63</v>
      </c>
      <c r="P173" s="53">
        <f t="shared" si="29"/>
        <v>7.63</v>
      </c>
      <c r="Q173" s="53">
        <f t="shared" si="29"/>
        <v>7.63</v>
      </c>
      <c r="R173" s="38"/>
      <c r="X173" s="41">
        <f>INDEX('[1]End - Use Prices'!$C$6:$AL$89,MATCH($C173,'[1]End - Use Prices'!$A$6:$A$89,0)+MATCH($D173,'[1]End - Use Prices'!$B$9:$B$11,0)-1,MATCH(X$1,'[1]End - Use Prices'!$C$7:$AL$7,0))</f>
        <v>12.98</v>
      </c>
      <c r="Y173" s="41">
        <f>INDEX('[1]End - Use Prices'!$C$6:$AL$89,MATCH($C173,'[1]End - Use Prices'!$A$6:$A$89,0)+MATCH($D173,'[1]End - Use Prices'!$B$9:$B$11,0)-1,MATCH(Y$1,'[1]End - Use Prices'!$C$7:$AL$7,0))</f>
        <v>11.76</v>
      </c>
      <c r="Z173" s="41">
        <f>INDEX('[1]End - Use Prices'!$C$6:$AL$89,MATCH($C173,'[1]End - Use Prices'!$A$6:$A$89,0)+MATCH($D173,'[1]End - Use Prices'!$B$9:$B$11,0)-1,MATCH(Z$1,'[1]End - Use Prices'!$C$7:$AL$7,0))</f>
        <v>10.95</v>
      </c>
      <c r="AA173" s="41">
        <f>INDEX('[1]End - Use Prices'!$C$6:$AL$89,MATCH($C173,'[1]End - Use Prices'!$A$6:$A$89,0)+MATCH($D173,'[1]End - Use Prices'!$B$9:$B$11,0)-1,MATCH(AA$1,'[1]End - Use Prices'!$C$7:$AL$7,0))</f>
        <v>11.03</v>
      </c>
      <c r="AB173" s="41">
        <f>INDEX('[1]End - Use Prices'!$C$6:$AL$89,MATCH($C173,'[1]End - Use Prices'!$A$6:$A$89,0)+MATCH($D173,'[1]End - Use Prices'!$B$9:$B$11,0)-1,MATCH(AB$1,'[1]End - Use Prices'!$C$7:$AL$7,0))</f>
        <v>7.77</v>
      </c>
      <c r="AC173" s="41">
        <f>INDEX('[1]End - Use Prices'!$C$6:$AL$89,MATCH($C173,'[1]End - Use Prices'!$A$6:$A$89,0)+MATCH($D173,'[1]End - Use Prices'!$B$9:$B$11,0)-1,MATCH(AC$1,'[1]End - Use Prices'!$C$7:$AL$7,0))</f>
        <v>7.97</v>
      </c>
      <c r="AD173" s="41">
        <f>INDEX('[1]End - Use Prices'!$C$6:$AL$89,MATCH($C173,'[1]End - Use Prices'!$A$6:$A$89,0)+MATCH($D173,'[1]End - Use Prices'!$B$9:$B$11,0)-1,MATCH(AD$1,'[1]End - Use Prices'!$C$7:$AL$7,0))</f>
        <v>8.15</v>
      </c>
      <c r="AE173" s="41">
        <f>INDEX('[1]End - Use Prices'!$C$6:$AL$89,MATCH($C173,'[1]End - Use Prices'!$A$6:$A$89,0)+MATCH($D173,'[1]End - Use Prices'!$B$9:$B$11,0)-1,MATCH(AE$1,'[1]End - Use Prices'!$C$7:$AL$7,0))</f>
        <v>6.63</v>
      </c>
      <c r="AF173" s="41">
        <f>INDEX('[1]End - Use Prices'!$C$6:$AL$89,MATCH($C173,'[1]End - Use Prices'!$A$6:$A$89,0)+MATCH($D173,'[1]End - Use Prices'!$B$9:$B$11,0)-1,MATCH(AF$1,'[1]End - Use Prices'!$C$7:$AL$7,0))</f>
        <v>6.93</v>
      </c>
      <c r="AG173" s="41">
        <f>INDEX('[1]End - Use Prices'!$C$6:$AL$89,MATCH($C173,'[1]End - Use Prices'!$A$6:$A$89,0)+MATCH($D173,'[1]End - Use Prices'!$B$9:$B$11,0)-1,MATCH(AG$1,'[1]End - Use Prices'!$C$7:$AL$7,0))</f>
        <v>8.5399999999999991</v>
      </c>
      <c r="AH173" s="41">
        <f>INDEX('[1]End - Use Prices'!$C$6:$AL$89,MATCH($C173,'[1]End - Use Prices'!$A$6:$A$89,0)+MATCH($D173,'[1]End - Use Prices'!$B$9:$B$11,0)-1,MATCH(AH$1,'[1]End - Use Prices'!$C$7:$AL$7,0))</f>
        <v>3.36</v>
      </c>
      <c r="AI173" s="41">
        <f>INDEX('[1]End - Use Prices'!$C$6:$AL$89,MATCH($C173,'[1]End - Use Prices'!$A$6:$A$89,0)+MATCH($D173,'[1]End - Use Prices'!$B$9:$B$11,0)-1,MATCH(AI$1,'[1]End - Use Prices'!$C$7:$AL$7,0))</f>
        <v>5.3</v>
      </c>
      <c r="AJ173" s="41">
        <f>INDEX('[1]End - Use Prices'!$C$6:$AL$89,MATCH($C173,'[1]End - Use Prices'!$A$6:$A$89,0)+MATCH($D173,'[1]End - Use Prices'!$B$9:$B$11,0)-1,MATCH(AJ$1,'[1]End - Use Prices'!$C$7:$AL$7,0))</f>
        <v>4.5599999999999996</v>
      </c>
      <c r="AK173" s="41">
        <f>INDEX('[1]End - Use Prices'!$C$6:$AL$89,MATCH($C173,'[1]End - Use Prices'!$A$6:$A$89,0)+MATCH($D173,'[1]End - Use Prices'!$B$9:$B$11,0)-1,MATCH(AK$1,'[1]End - Use Prices'!$C$7:$AL$7,0))</f>
        <v>5.99</v>
      </c>
      <c r="AL173" s="41">
        <f>INDEX('[1]End - Use Prices'!$C$6:$AL$89,MATCH($C173,'[1]End - Use Prices'!$A$6:$A$89,0)+MATCH($D173,'[1]End - Use Prices'!$B$9:$B$11,0)-1,MATCH(AL$1,'[1]End - Use Prices'!$C$7:$AL$7,0))</f>
        <v>6.47</v>
      </c>
      <c r="AM173" s="41">
        <f>INDEX('[1]End - Use Prices'!$C$6:$AL$89,MATCH($C173,'[1]End - Use Prices'!$A$6:$A$89,0)+MATCH($D173,'[1]End - Use Prices'!$B$9:$B$11,0)-1,MATCH(AM$1,'[1]End - Use Prices'!$C$7:$AL$7,0))</f>
        <v>6.42</v>
      </c>
      <c r="AN173" s="41">
        <f>INDEX('[1]End - Use Prices'!$C$6:$AL$89,MATCH($C173,'[1]End - Use Prices'!$A$6:$A$89,0)+MATCH($D173,'[1]End - Use Prices'!$B$9:$B$11,0)-1,MATCH(AN$1,'[1]End - Use Prices'!$C$7:$AL$7,0))</f>
        <v>6.38</v>
      </c>
      <c r="AO173" s="41">
        <f>INDEX('[1]End - Use Prices'!$C$6:$AL$89,MATCH($C173,'[1]End - Use Prices'!$A$6:$A$89,0)+MATCH($D173,'[1]End - Use Prices'!$B$9:$B$11,0)-1,MATCH(AO$1,'[1]End - Use Prices'!$C$7:$AL$7,0))</f>
        <v>6.84</v>
      </c>
      <c r="AP173" s="41">
        <f>INDEX('[1]End - Use Prices'!$C$6:$AL$89,MATCH($C173,'[1]End - Use Prices'!$A$6:$A$89,0)+MATCH($D173,'[1]End - Use Prices'!$B$9:$B$11,0)-1,MATCH(AP$1,'[1]End - Use Prices'!$C$7:$AL$7,0))</f>
        <v>7.25</v>
      </c>
      <c r="AQ173" s="41">
        <f>INDEX('[1]End - Use Prices'!$C$6:$AL$89,MATCH($C173,'[1]End - Use Prices'!$A$6:$A$89,0)+MATCH($D173,'[1]End - Use Prices'!$B$9:$B$11,0)-1,MATCH(AQ$1,'[1]End - Use Prices'!$C$7:$AL$7,0))</f>
        <v>7.19</v>
      </c>
      <c r="AR173" s="41">
        <f>INDEX('[1]End - Use Prices'!$C$6:$AL$89,MATCH($C173,'[1]End - Use Prices'!$A$6:$A$89,0)+MATCH($D173,'[1]End - Use Prices'!$B$9:$B$11,0)-1,MATCH(AR$1,'[1]End - Use Prices'!$C$7:$AL$7,0))</f>
        <v>7.15</v>
      </c>
      <c r="AS173" s="41">
        <f>INDEX('[1]End - Use Prices'!$C$6:$AL$89,MATCH($C173,'[1]End - Use Prices'!$A$6:$A$89,0)+MATCH($D173,'[1]End - Use Prices'!$B$9:$B$11,0)-1,MATCH(AS$1,'[1]End - Use Prices'!$C$7:$AL$7,0))</f>
        <v>7.18</v>
      </c>
      <c r="AT173" s="41">
        <f>INDEX('[1]End - Use Prices'!$C$6:$AL$89,MATCH($C173,'[1]End - Use Prices'!$A$6:$A$89,0)+MATCH($D173,'[1]End - Use Prices'!$B$9:$B$11,0)-1,MATCH(AT$1,'[1]End - Use Prices'!$C$7:$AL$7,0))</f>
        <v>7.2</v>
      </c>
      <c r="AU173" s="41">
        <f>INDEX('[1]End - Use Prices'!$C$6:$AL$89,MATCH($C173,'[1]End - Use Prices'!$A$6:$A$89,0)+MATCH($D173,'[1]End - Use Prices'!$B$9:$B$11,0)-1,MATCH(AU$1,'[1]End - Use Prices'!$C$7:$AL$7,0))</f>
        <v>7.23</v>
      </c>
      <c r="AV173" s="41">
        <f>INDEX('[1]End - Use Prices'!$C$6:$AL$89,MATCH($C173,'[1]End - Use Prices'!$A$6:$A$89,0)+MATCH($D173,'[1]End - Use Prices'!$B$9:$B$11,0)-1,MATCH(AV$1,'[1]End - Use Prices'!$C$7:$AL$7,0))</f>
        <v>7.28</v>
      </c>
      <c r="AW173" s="41">
        <f>INDEX('[1]End - Use Prices'!$C$6:$AL$89,MATCH($C173,'[1]End - Use Prices'!$A$6:$A$89,0)+MATCH($D173,'[1]End - Use Prices'!$B$9:$B$11,0)-1,MATCH(AW$1,'[1]End - Use Prices'!$C$7:$AL$7,0))</f>
        <v>7.33</v>
      </c>
      <c r="AX173" s="41">
        <f>INDEX('[1]End - Use Prices'!$C$6:$AL$89,MATCH($C173,'[1]End - Use Prices'!$A$6:$A$89,0)+MATCH($D173,'[1]End - Use Prices'!$B$9:$B$11,0)-1,MATCH(AX$1,'[1]End - Use Prices'!$C$7:$AL$7,0))</f>
        <v>7.38</v>
      </c>
      <c r="AY173" s="41">
        <f>INDEX('[1]End - Use Prices'!$C$6:$AL$89,MATCH($C173,'[1]End - Use Prices'!$A$6:$A$89,0)+MATCH($D173,'[1]End - Use Prices'!$B$9:$B$11,0)-1,MATCH(AY$1,'[1]End - Use Prices'!$C$7:$AL$7,0))</f>
        <v>7.45</v>
      </c>
      <c r="AZ173" s="41">
        <f>INDEX('[1]End - Use Prices'!$C$6:$AL$89,MATCH($C173,'[1]End - Use Prices'!$A$6:$A$89,0)+MATCH($D173,'[1]End - Use Prices'!$B$9:$B$11,0)-1,MATCH(AZ$1,'[1]End - Use Prices'!$C$7:$AL$7,0))</f>
        <v>7.53</v>
      </c>
      <c r="BA173" s="41">
        <f>INDEX('[1]End - Use Prices'!$C$6:$AL$89,MATCH($C173,'[1]End - Use Prices'!$A$6:$A$89,0)+MATCH($D173,'[1]End - Use Prices'!$B$9:$B$11,0)-1,MATCH(BA$1,'[1]End - Use Prices'!$C$7:$AL$7,0))</f>
        <v>7.57</v>
      </c>
      <c r="BB173" s="41">
        <f>INDEX('[1]End - Use Prices'!$C$6:$AL$89,MATCH($C173,'[1]End - Use Prices'!$A$6:$A$89,0)+MATCH($D173,'[1]End - Use Prices'!$B$9:$B$11,0)-1,MATCH(BB$1,'[1]End - Use Prices'!$C$7:$AL$7,0))</f>
        <v>7.6</v>
      </c>
      <c r="BC173" s="41">
        <f>INDEX('[1]End - Use Prices'!$C$6:$AL$89,MATCH($C173,'[1]End - Use Prices'!$A$6:$A$89,0)+MATCH($D173,'[1]End - Use Prices'!$B$9:$B$11,0)-1,MATCH(BC$1,'[1]End - Use Prices'!$C$7:$AL$7,0))</f>
        <v>7.62</v>
      </c>
      <c r="BD173" s="41">
        <f>INDEX('[1]End - Use Prices'!$C$6:$AL$89,MATCH($C173,'[1]End - Use Prices'!$A$6:$A$89,0)+MATCH($D173,'[1]End - Use Prices'!$B$9:$B$11,0)-1,MATCH(BD$1,'[1]End - Use Prices'!$C$7:$AL$7,0))</f>
        <v>7.63</v>
      </c>
      <c r="BE173" s="41">
        <f>INDEX('[1]End - Use Prices'!$C$6:$AL$89,MATCH($C173,'[1]End - Use Prices'!$A$6:$A$89,0)+MATCH($D173,'[1]End - Use Prices'!$B$9:$B$11,0)-1,MATCH(BE$1,'[1]End - Use Prices'!$C$7:$AL$7,0))</f>
        <v>7.63</v>
      </c>
      <c r="BF173" s="41">
        <f>INDEX('[1]End - Use Prices'!$C$6:$AL$89,MATCH($C173,'[1]End - Use Prices'!$A$6:$A$89,0)+MATCH($D173,'[1]End - Use Prices'!$B$9:$B$11,0)-1,MATCH(BF$1,'[1]End - Use Prices'!$C$7:$AL$7,0))</f>
        <v>7.63</v>
      </c>
      <c r="BG173" s="41">
        <f>INDEX('[1]End - Use Prices'!$C$6:$AL$89,MATCH($C173,'[1]End - Use Prices'!$A$6:$A$89,0)+MATCH($D173,'[1]End - Use Prices'!$B$9:$B$11,0)-1,MATCH(BG$1,'[1]End - Use Prices'!$C$7:$AL$7,0))</f>
        <v>7.63</v>
      </c>
      <c r="BR173" s="39"/>
      <c r="BS173" s="39"/>
      <c r="BT173" s="39"/>
      <c r="BU173" s="39"/>
      <c r="BV173" s="39"/>
      <c r="BW173" s="39"/>
      <c r="BX173" s="39"/>
      <c r="BY173" s="39"/>
      <c r="BZ173" s="39"/>
      <c r="CA173" s="39"/>
    </row>
    <row r="174" spans="1:79" x14ac:dyDescent="0.25">
      <c r="A174" s="5"/>
      <c r="B174" s="3"/>
      <c r="C174" s="25" t="s">
        <v>61</v>
      </c>
      <c r="D174" s="25" t="s">
        <v>14</v>
      </c>
      <c r="E174" s="25" t="s">
        <v>282</v>
      </c>
      <c r="F174" s="67" t="s">
        <v>279</v>
      </c>
      <c r="G174" s="53">
        <f t="shared" si="25"/>
        <v>15.71</v>
      </c>
      <c r="H174" s="34">
        <f t="shared" si="28"/>
        <v>15.71</v>
      </c>
      <c r="I174" s="34">
        <f t="shared" si="28"/>
        <v>17.63</v>
      </c>
      <c r="J174" s="34">
        <f t="shared" si="28"/>
        <v>15.79</v>
      </c>
      <c r="K174" s="34">
        <f t="shared" si="28"/>
        <v>13.09</v>
      </c>
      <c r="L174" s="34">
        <f t="shared" si="28"/>
        <v>13.24</v>
      </c>
      <c r="M174" s="34">
        <f t="shared" si="28"/>
        <v>13.33</v>
      </c>
      <c r="N174" s="34">
        <f t="shared" si="28"/>
        <v>13.56</v>
      </c>
      <c r="O174" s="34">
        <f t="shared" si="28"/>
        <v>13.49</v>
      </c>
      <c r="P174" s="53">
        <f t="shared" si="29"/>
        <v>13.49</v>
      </c>
      <c r="Q174" s="53">
        <f t="shared" si="29"/>
        <v>13.49</v>
      </c>
      <c r="R174" s="38"/>
      <c r="X174" s="41">
        <f>INDEX('[1]End - Use Prices'!$C$6:$AL$89,MATCH($C174,'[1]End - Use Prices'!$A$6:$A$89,0)+MATCH($D174,'[1]End - Use Prices'!$B$9:$B$11,0)-1,MATCH(X$1,'[1]End - Use Prices'!$C$7:$AL$7,0))</f>
        <v>15.71</v>
      </c>
      <c r="Y174" s="41">
        <f>INDEX('[1]End - Use Prices'!$C$6:$AL$89,MATCH($C174,'[1]End - Use Prices'!$A$6:$A$89,0)+MATCH($D174,'[1]End - Use Prices'!$B$9:$B$11,0)-1,MATCH(Y$1,'[1]End - Use Prices'!$C$7:$AL$7,0))</f>
        <v>16.100000000000001</v>
      </c>
      <c r="Z174" s="41">
        <f>INDEX('[1]End - Use Prices'!$C$6:$AL$89,MATCH($C174,'[1]End - Use Prices'!$A$6:$A$89,0)+MATCH($D174,'[1]End - Use Prices'!$B$9:$B$11,0)-1,MATCH(Z$1,'[1]End - Use Prices'!$C$7:$AL$7,0))</f>
        <v>15.95</v>
      </c>
      <c r="AA174" s="41">
        <f>INDEX('[1]End - Use Prices'!$C$6:$AL$89,MATCH($C174,'[1]End - Use Prices'!$A$6:$A$89,0)+MATCH($D174,'[1]End - Use Prices'!$B$9:$B$11,0)-1,MATCH(AA$1,'[1]End - Use Prices'!$C$7:$AL$7,0))</f>
        <v>15.79</v>
      </c>
      <c r="AB174" s="41">
        <f>INDEX('[1]End - Use Prices'!$C$6:$AL$89,MATCH($C174,'[1]End - Use Prices'!$A$6:$A$89,0)+MATCH($D174,'[1]End - Use Prices'!$B$9:$B$11,0)-1,MATCH(AB$1,'[1]End - Use Prices'!$C$7:$AL$7,0))</f>
        <v>16.8</v>
      </c>
      <c r="AC174" s="41">
        <f>INDEX('[1]End - Use Prices'!$C$6:$AL$89,MATCH($C174,'[1]End - Use Prices'!$A$6:$A$89,0)+MATCH($D174,'[1]End - Use Prices'!$B$9:$B$11,0)-1,MATCH(AC$1,'[1]End - Use Prices'!$C$7:$AL$7,0))</f>
        <v>17.63</v>
      </c>
      <c r="AD174" s="41">
        <f>INDEX('[1]End - Use Prices'!$C$6:$AL$89,MATCH($C174,'[1]End - Use Prices'!$A$6:$A$89,0)+MATCH($D174,'[1]End - Use Prices'!$B$9:$B$11,0)-1,MATCH(AD$1,'[1]End - Use Prices'!$C$7:$AL$7,0))</f>
        <v>17.100000000000001</v>
      </c>
      <c r="AE174" s="41">
        <f>INDEX('[1]End - Use Prices'!$C$6:$AL$89,MATCH($C174,'[1]End - Use Prices'!$A$6:$A$89,0)+MATCH($D174,'[1]End - Use Prices'!$B$9:$B$11,0)-1,MATCH(AE$1,'[1]End - Use Prices'!$C$7:$AL$7,0))</f>
        <v>16.28</v>
      </c>
      <c r="AF174" s="41">
        <f>INDEX('[1]End - Use Prices'!$C$6:$AL$89,MATCH($C174,'[1]End - Use Prices'!$A$6:$A$89,0)+MATCH($D174,'[1]End - Use Prices'!$B$9:$B$11,0)-1,MATCH(AF$1,'[1]End - Use Prices'!$C$7:$AL$7,0))</f>
        <v>15.65</v>
      </c>
      <c r="AG174" s="41">
        <f>INDEX('[1]End - Use Prices'!$C$6:$AL$89,MATCH($C174,'[1]End - Use Prices'!$A$6:$A$89,0)+MATCH($D174,'[1]End - Use Prices'!$B$9:$B$11,0)-1,MATCH(AG$1,'[1]End - Use Prices'!$C$7:$AL$7,0))</f>
        <v>16.579999999999998</v>
      </c>
      <c r="AH174" s="41">
        <f>INDEX('[1]End - Use Prices'!$C$6:$AL$89,MATCH($C174,'[1]End - Use Prices'!$A$6:$A$89,0)+MATCH($D174,'[1]End - Use Prices'!$B$9:$B$11,0)-1,MATCH(AH$1,'[1]End - Use Prices'!$C$7:$AL$7,0))</f>
        <v>15.79</v>
      </c>
      <c r="AI174" s="41">
        <f>INDEX('[1]End - Use Prices'!$C$6:$AL$89,MATCH($C174,'[1]End - Use Prices'!$A$6:$A$89,0)+MATCH($D174,'[1]End - Use Prices'!$B$9:$B$11,0)-1,MATCH(AI$1,'[1]End - Use Prices'!$C$7:$AL$7,0))</f>
        <v>12.09</v>
      </c>
      <c r="AJ174" s="41">
        <f>INDEX('[1]End - Use Prices'!$C$6:$AL$89,MATCH($C174,'[1]End - Use Prices'!$A$6:$A$89,0)+MATCH($D174,'[1]End - Use Prices'!$B$9:$B$11,0)-1,MATCH(AJ$1,'[1]End - Use Prices'!$C$7:$AL$7,0))</f>
        <v>12.97</v>
      </c>
      <c r="AK174" s="41">
        <f>INDEX('[1]End - Use Prices'!$C$6:$AL$89,MATCH($C174,'[1]End - Use Prices'!$A$6:$A$89,0)+MATCH($D174,'[1]End - Use Prices'!$B$9:$B$11,0)-1,MATCH(AK$1,'[1]End - Use Prices'!$C$7:$AL$7,0))</f>
        <v>12.73</v>
      </c>
      <c r="AL174" s="41">
        <f>INDEX('[1]End - Use Prices'!$C$6:$AL$89,MATCH($C174,'[1]End - Use Prices'!$A$6:$A$89,0)+MATCH($D174,'[1]End - Use Prices'!$B$9:$B$11,0)-1,MATCH(AL$1,'[1]End - Use Prices'!$C$7:$AL$7,0))</f>
        <v>12.86</v>
      </c>
      <c r="AM174" s="41">
        <f>INDEX('[1]End - Use Prices'!$C$6:$AL$89,MATCH($C174,'[1]End - Use Prices'!$A$6:$A$89,0)+MATCH($D174,'[1]End - Use Prices'!$B$9:$B$11,0)-1,MATCH(AM$1,'[1]End - Use Prices'!$C$7:$AL$7,0))</f>
        <v>13.09</v>
      </c>
      <c r="AN174" s="41">
        <f>INDEX('[1]End - Use Prices'!$C$6:$AL$89,MATCH($C174,'[1]End - Use Prices'!$A$6:$A$89,0)+MATCH($D174,'[1]End - Use Prices'!$B$9:$B$11,0)-1,MATCH(AN$1,'[1]End - Use Prices'!$C$7:$AL$7,0))</f>
        <v>13.29</v>
      </c>
      <c r="AO174" s="41">
        <f>INDEX('[1]End - Use Prices'!$C$6:$AL$89,MATCH($C174,'[1]End - Use Prices'!$A$6:$A$89,0)+MATCH($D174,'[1]End - Use Prices'!$B$9:$B$11,0)-1,MATCH(AO$1,'[1]End - Use Prices'!$C$7:$AL$7,0))</f>
        <v>13.49</v>
      </c>
      <c r="AP174" s="41">
        <f>INDEX('[1]End - Use Prices'!$C$6:$AL$89,MATCH($C174,'[1]End - Use Prices'!$A$6:$A$89,0)+MATCH($D174,'[1]End - Use Prices'!$B$9:$B$11,0)-1,MATCH(AP$1,'[1]End - Use Prices'!$C$7:$AL$7,0))</f>
        <v>13.43</v>
      </c>
      <c r="AQ174" s="41">
        <f>INDEX('[1]End - Use Prices'!$C$6:$AL$89,MATCH($C174,'[1]End - Use Prices'!$A$6:$A$89,0)+MATCH($D174,'[1]End - Use Prices'!$B$9:$B$11,0)-1,MATCH(AQ$1,'[1]End - Use Prices'!$C$7:$AL$7,0))</f>
        <v>13.32</v>
      </c>
      <c r="AR174" s="41">
        <f>INDEX('[1]End - Use Prices'!$C$6:$AL$89,MATCH($C174,'[1]End - Use Prices'!$A$6:$A$89,0)+MATCH($D174,'[1]End - Use Prices'!$B$9:$B$11,0)-1,MATCH(AR$1,'[1]End - Use Prices'!$C$7:$AL$7,0))</f>
        <v>13.24</v>
      </c>
      <c r="AS174" s="41">
        <f>INDEX('[1]End - Use Prices'!$C$6:$AL$89,MATCH($C174,'[1]End - Use Prices'!$A$6:$A$89,0)+MATCH($D174,'[1]End - Use Prices'!$B$9:$B$11,0)-1,MATCH(AS$1,'[1]End - Use Prices'!$C$7:$AL$7,0))</f>
        <v>13.25</v>
      </c>
      <c r="AT174" s="41">
        <f>INDEX('[1]End - Use Prices'!$C$6:$AL$89,MATCH($C174,'[1]End - Use Prices'!$A$6:$A$89,0)+MATCH($D174,'[1]End - Use Prices'!$B$9:$B$11,0)-1,MATCH(AT$1,'[1]End - Use Prices'!$C$7:$AL$7,0))</f>
        <v>13.24</v>
      </c>
      <c r="AU174" s="41">
        <f>INDEX('[1]End - Use Prices'!$C$6:$AL$89,MATCH($C174,'[1]End - Use Prices'!$A$6:$A$89,0)+MATCH($D174,'[1]End - Use Prices'!$B$9:$B$11,0)-1,MATCH(AU$1,'[1]End - Use Prices'!$C$7:$AL$7,0))</f>
        <v>13.26</v>
      </c>
      <c r="AV174" s="41">
        <f>INDEX('[1]End - Use Prices'!$C$6:$AL$89,MATCH($C174,'[1]End - Use Prices'!$A$6:$A$89,0)+MATCH($D174,'[1]End - Use Prices'!$B$9:$B$11,0)-1,MATCH(AV$1,'[1]End - Use Prices'!$C$7:$AL$7,0))</f>
        <v>13.3</v>
      </c>
      <c r="AW174" s="41">
        <f>INDEX('[1]End - Use Prices'!$C$6:$AL$89,MATCH($C174,'[1]End - Use Prices'!$A$6:$A$89,0)+MATCH($D174,'[1]End - Use Prices'!$B$9:$B$11,0)-1,MATCH(AW$1,'[1]End - Use Prices'!$C$7:$AL$7,0))</f>
        <v>13.33</v>
      </c>
      <c r="AX174" s="41">
        <f>INDEX('[1]End - Use Prices'!$C$6:$AL$89,MATCH($C174,'[1]End - Use Prices'!$A$6:$A$89,0)+MATCH($D174,'[1]End - Use Prices'!$B$9:$B$11,0)-1,MATCH(AX$1,'[1]End - Use Prices'!$C$7:$AL$7,0))</f>
        <v>13.38</v>
      </c>
      <c r="AY174" s="41">
        <f>INDEX('[1]End - Use Prices'!$C$6:$AL$89,MATCH($C174,'[1]End - Use Prices'!$A$6:$A$89,0)+MATCH($D174,'[1]End - Use Prices'!$B$9:$B$11,0)-1,MATCH(AY$1,'[1]End - Use Prices'!$C$7:$AL$7,0))</f>
        <v>13.44</v>
      </c>
      <c r="AZ174" s="41">
        <f>INDEX('[1]End - Use Prices'!$C$6:$AL$89,MATCH($C174,'[1]End - Use Prices'!$A$6:$A$89,0)+MATCH($D174,'[1]End - Use Prices'!$B$9:$B$11,0)-1,MATCH(AZ$1,'[1]End - Use Prices'!$C$7:$AL$7,0))</f>
        <v>13.51</v>
      </c>
      <c r="BA174" s="41">
        <f>INDEX('[1]End - Use Prices'!$C$6:$AL$89,MATCH($C174,'[1]End - Use Prices'!$A$6:$A$89,0)+MATCH($D174,'[1]End - Use Prices'!$B$9:$B$11,0)-1,MATCH(BA$1,'[1]End - Use Prices'!$C$7:$AL$7,0))</f>
        <v>13.54</v>
      </c>
      <c r="BB174" s="41">
        <f>INDEX('[1]End - Use Prices'!$C$6:$AL$89,MATCH($C174,'[1]End - Use Prices'!$A$6:$A$89,0)+MATCH($D174,'[1]End - Use Prices'!$B$9:$B$11,0)-1,MATCH(BB$1,'[1]End - Use Prices'!$C$7:$AL$7,0))</f>
        <v>13.56</v>
      </c>
      <c r="BC174" s="41">
        <f>INDEX('[1]End - Use Prices'!$C$6:$AL$89,MATCH($C174,'[1]End - Use Prices'!$A$6:$A$89,0)+MATCH($D174,'[1]End - Use Prices'!$B$9:$B$11,0)-1,MATCH(BC$1,'[1]End - Use Prices'!$C$7:$AL$7,0))</f>
        <v>13.57</v>
      </c>
      <c r="BD174" s="41">
        <f>INDEX('[1]End - Use Prices'!$C$6:$AL$89,MATCH($C174,'[1]End - Use Prices'!$A$6:$A$89,0)+MATCH($D174,'[1]End - Use Prices'!$B$9:$B$11,0)-1,MATCH(BD$1,'[1]End - Use Prices'!$C$7:$AL$7,0))</f>
        <v>13.56</v>
      </c>
      <c r="BE174" s="41">
        <f>INDEX('[1]End - Use Prices'!$C$6:$AL$89,MATCH($C174,'[1]End - Use Prices'!$A$6:$A$89,0)+MATCH($D174,'[1]End - Use Prices'!$B$9:$B$11,0)-1,MATCH(BE$1,'[1]End - Use Prices'!$C$7:$AL$7,0))</f>
        <v>13.54</v>
      </c>
      <c r="BF174" s="41">
        <f>INDEX('[1]End - Use Prices'!$C$6:$AL$89,MATCH($C174,'[1]End - Use Prices'!$A$6:$A$89,0)+MATCH($D174,'[1]End - Use Prices'!$B$9:$B$11,0)-1,MATCH(BF$1,'[1]End - Use Prices'!$C$7:$AL$7,0))</f>
        <v>13.52</v>
      </c>
      <c r="BG174" s="41">
        <f>INDEX('[1]End - Use Prices'!$C$6:$AL$89,MATCH($C174,'[1]End - Use Prices'!$A$6:$A$89,0)+MATCH($D174,'[1]End - Use Prices'!$B$9:$B$11,0)-1,MATCH(BG$1,'[1]End - Use Prices'!$C$7:$AL$7,0))</f>
        <v>13.49</v>
      </c>
      <c r="BR174" s="39"/>
      <c r="BS174" s="39"/>
      <c r="BT174" s="39"/>
      <c r="BU174" s="39"/>
      <c r="BV174" s="39"/>
      <c r="BW174" s="39"/>
      <c r="BX174" s="39"/>
      <c r="BY174" s="39"/>
      <c r="BZ174" s="39"/>
      <c r="CA174" s="39"/>
    </row>
    <row r="175" spans="1:79" x14ac:dyDescent="0.25">
      <c r="A175" s="5"/>
      <c r="B175" s="3"/>
      <c r="C175" s="25" t="s">
        <v>93</v>
      </c>
      <c r="D175" s="25" t="s">
        <v>14</v>
      </c>
      <c r="E175" s="25" t="s">
        <v>282</v>
      </c>
      <c r="F175" s="67" t="s">
        <v>279</v>
      </c>
      <c r="G175" s="53">
        <f t="shared" si="25"/>
        <v>15.71</v>
      </c>
      <c r="H175" s="34">
        <f t="shared" si="28"/>
        <v>15.71</v>
      </c>
      <c r="I175" s="34">
        <f t="shared" si="28"/>
        <v>14.92</v>
      </c>
      <c r="J175" s="34">
        <f t="shared" si="28"/>
        <v>12.25</v>
      </c>
      <c r="K175" s="34">
        <f t="shared" si="28"/>
        <v>9.07</v>
      </c>
      <c r="L175" s="34">
        <f t="shared" si="28"/>
        <v>9.5</v>
      </c>
      <c r="M175" s="34">
        <f t="shared" si="28"/>
        <v>9.94</v>
      </c>
      <c r="N175" s="34">
        <f t="shared" si="28"/>
        <v>10.41</v>
      </c>
      <c r="O175" s="34">
        <f t="shared" si="28"/>
        <v>10.59</v>
      </c>
      <c r="P175" s="53">
        <f t="shared" si="29"/>
        <v>10.59</v>
      </c>
      <c r="Q175" s="53">
        <f t="shared" si="29"/>
        <v>10.59</v>
      </c>
      <c r="R175" s="38"/>
      <c r="X175" s="41">
        <f>INDEX('[1]End - Use Prices'!$C$6:$AL$89,MATCH($C175,'[1]End - Use Prices'!$A$6:$A$89,0)+MATCH($D175,'[1]End - Use Prices'!$B$9:$B$11,0)-1,MATCH(X$1,'[1]End - Use Prices'!$C$7:$AL$7,0))</f>
        <v>15.71</v>
      </c>
      <c r="Y175" s="41">
        <f>INDEX('[1]End - Use Prices'!$C$6:$AL$89,MATCH($C175,'[1]End - Use Prices'!$A$6:$A$89,0)+MATCH($D175,'[1]End - Use Prices'!$B$9:$B$11,0)-1,MATCH(Y$1,'[1]End - Use Prices'!$C$7:$AL$7,0))</f>
        <v>16.100000000000001</v>
      </c>
      <c r="Z175" s="41">
        <f>INDEX('[1]End - Use Prices'!$C$6:$AL$89,MATCH($C175,'[1]End - Use Prices'!$A$6:$A$89,0)+MATCH($D175,'[1]End - Use Prices'!$B$9:$B$11,0)-1,MATCH(Z$1,'[1]End - Use Prices'!$C$7:$AL$7,0))</f>
        <v>15.74</v>
      </c>
      <c r="AA175" s="41">
        <f>INDEX('[1]End - Use Prices'!$C$6:$AL$89,MATCH($C175,'[1]End - Use Prices'!$A$6:$A$89,0)+MATCH($D175,'[1]End - Use Prices'!$B$9:$B$11,0)-1,MATCH(AA$1,'[1]End - Use Prices'!$C$7:$AL$7,0))</f>
        <v>15.46</v>
      </c>
      <c r="AB175" s="41">
        <f>INDEX('[1]End - Use Prices'!$C$6:$AL$89,MATCH($C175,'[1]End - Use Prices'!$A$6:$A$89,0)+MATCH($D175,'[1]End - Use Prices'!$B$9:$B$11,0)-1,MATCH(AB$1,'[1]End - Use Prices'!$C$7:$AL$7,0))</f>
        <v>15.41</v>
      </c>
      <c r="AC175" s="41">
        <f>INDEX('[1]End - Use Prices'!$C$6:$AL$89,MATCH($C175,'[1]End - Use Prices'!$A$6:$A$89,0)+MATCH($D175,'[1]End - Use Prices'!$B$9:$B$11,0)-1,MATCH(AC$1,'[1]End - Use Prices'!$C$7:$AL$7,0))</f>
        <v>14.92</v>
      </c>
      <c r="AD175" s="41">
        <f>INDEX('[1]End - Use Prices'!$C$6:$AL$89,MATCH($C175,'[1]End - Use Prices'!$A$6:$A$89,0)+MATCH($D175,'[1]End - Use Prices'!$B$9:$B$11,0)-1,MATCH(AD$1,'[1]End - Use Prices'!$C$7:$AL$7,0))</f>
        <v>13.77</v>
      </c>
      <c r="AE175" s="41">
        <f>INDEX('[1]End - Use Prices'!$C$6:$AL$89,MATCH($C175,'[1]End - Use Prices'!$A$6:$A$89,0)+MATCH($D175,'[1]End - Use Prices'!$B$9:$B$11,0)-1,MATCH(AE$1,'[1]End - Use Prices'!$C$7:$AL$7,0))</f>
        <v>12.54</v>
      </c>
      <c r="AF175" s="41">
        <f>INDEX('[1]End - Use Prices'!$C$6:$AL$89,MATCH($C175,'[1]End - Use Prices'!$A$6:$A$89,0)+MATCH($D175,'[1]End - Use Prices'!$B$9:$B$11,0)-1,MATCH(AF$1,'[1]End - Use Prices'!$C$7:$AL$7,0))</f>
        <v>12.18</v>
      </c>
      <c r="AG175" s="41">
        <f>INDEX('[1]End - Use Prices'!$C$6:$AL$89,MATCH($C175,'[1]End - Use Prices'!$A$6:$A$89,0)+MATCH($D175,'[1]End - Use Prices'!$B$9:$B$11,0)-1,MATCH(AG$1,'[1]End - Use Prices'!$C$7:$AL$7,0))</f>
        <v>13.28</v>
      </c>
      <c r="AH175" s="41">
        <f>INDEX('[1]End - Use Prices'!$C$6:$AL$89,MATCH($C175,'[1]End - Use Prices'!$A$6:$A$89,0)+MATCH($D175,'[1]End - Use Prices'!$B$9:$B$11,0)-1,MATCH(AH$1,'[1]End - Use Prices'!$C$7:$AL$7,0))</f>
        <v>12.25</v>
      </c>
      <c r="AI175" s="41">
        <f>INDEX('[1]End - Use Prices'!$C$6:$AL$89,MATCH($C175,'[1]End - Use Prices'!$A$6:$A$89,0)+MATCH($D175,'[1]End - Use Prices'!$B$9:$B$11,0)-1,MATCH(AI$1,'[1]End - Use Prices'!$C$7:$AL$7,0))</f>
        <v>8.43</v>
      </c>
      <c r="AJ175" s="41">
        <f>INDEX('[1]End - Use Prices'!$C$6:$AL$89,MATCH($C175,'[1]End - Use Prices'!$A$6:$A$89,0)+MATCH($D175,'[1]End - Use Prices'!$B$9:$B$11,0)-1,MATCH(AJ$1,'[1]End - Use Prices'!$C$7:$AL$7,0))</f>
        <v>8.91</v>
      </c>
      <c r="AK175" s="41">
        <f>INDEX('[1]End - Use Prices'!$C$6:$AL$89,MATCH($C175,'[1]End - Use Prices'!$A$6:$A$89,0)+MATCH($D175,'[1]End - Use Prices'!$B$9:$B$11,0)-1,MATCH(AK$1,'[1]End - Use Prices'!$C$7:$AL$7,0))</f>
        <v>8.81</v>
      </c>
      <c r="AL175" s="41">
        <f>INDEX('[1]End - Use Prices'!$C$6:$AL$89,MATCH($C175,'[1]End - Use Prices'!$A$6:$A$89,0)+MATCH($D175,'[1]End - Use Prices'!$B$9:$B$11,0)-1,MATCH(AL$1,'[1]End - Use Prices'!$C$7:$AL$7,0))</f>
        <v>8.7899999999999991</v>
      </c>
      <c r="AM175" s="41">
        <f>INDEX('[1]End - Use Prices'!$C$6:$AL$89,MATCH($C175,'[1]End - Use Prices'!$A$6:$A$89,0)+MATCH($D175,'[1]End - Use Prices'!$B$9:$B$11,0)-1,MATCH(AM$1,'[1]End - Use Prices'!$C$7:$AL$7,0))</f>
        <v>9.07</v>
      </c>
      <c r="AN175" s="41">
        <f>INDEX('[1]End - Use Prices'!$C$6:$AL$89,MATCH($C175,'[1]End - Use Prices'!$A$6:$A$89,0)+MATCH($D175,'[1]End - Use Prices'!$B$9:$B$11,0)-1,MATCH(AN$1,'[1]End - Use Prices'!$C$7:$AL$7,0))</f>
        <v>9.2200000000000006</v>
      </c>
      <c r="AO175" s="41">
        <f>INDEX('[1]End - Use Prices'!$C$6:$AL$89,MATCH($C175,'[1]End - Use Prices'!$A$6:$A$89,0)+MATCH($D175,'[1]End - Use Prices'!$B$9:$B$11,0)-1,MATCH(AO$1,'[1]End - Use Prices'!$C$7:$AL$7,0))</f>
        <v>9.36</v>
      </c>
      <c r="AP175" s="41">
        <f>INDEX('[1]End - Use Prices'!$C$6:$AL$89,MATCH($C175,'[1]End - Use Prices'!$A$6:$A$89,0)+MATCH($D175,'[1]End - Use Prices'!$B$9:$B$11,0)-1,MATCH(AP$1,'[1]End - Use Prices'!$C$7:$AL$7,0))</f>
        <v>9.48</v>
      </c>
      <c r="AQ175" s="41">
        <f>INDEX('[1]End - Use Prices'!$C$6:$AL$89,MATCH($C175,'[1]End - Use Prices'!$A$6:$A$89,0)+MATCH($D175,'[1]End - Use Prices'!$B$9:$B$11,0)-1,MATCH(AQ$1,'[1]End - Use Prices'!$C$7:$AL$7,0))</f>
        <v>9.48</v>
      </c>
      <c r="AR175" s="41">
        <f>INDEX('[1]End - Use Prices'!$C$6:$AL$89,MATCH($C175,'[1]End - Use Prices'!$A$6:$A$89,0)+MATCH($D175,'[1]End - Use Prices'!$B$9:$B$11,0)-1,MATCH(AR$1,'[1]End - Use Prices'!$C$7:$AL$7,0))</f>
        <v>9.5</v>
      </c>
      <c r="AS175" s="41">
        <f>INDEX('[1]End - Use Prices'!$C$6:$AL$89,MATCH($C175,'[1]End - Use Prices'!$A$6:$A$89,0)+MATCH($D175,'[1]End - Use Prices'!$B$9:$B$11,0)-1,MATCH(AS$1,'[1]End - Use Prices'!$C$7:$AL$7,0))</f>
        <v>9.58</v>
      </c>
      <c r="AT175" s="41">
        <f>INDEX('[1]End - Use Prices'!$C$6:$AL$89,MATCH($C175,'[1]End - Use Prices'!$A$6:$A$89,0)+MATCH($D175,'[1]End - Use Prices'!$B$9:$B$11,0)-1,MATCH(AT$1,'[1]End - Use Prices'!$C$7:$AL$7,0))</f>
        <v>9.66</v>
      </c>
      <c r="AU175" s="41">
        <f>INDEX('[1]End - Use Prices'!$C$6:$AL$89,MATCH($C175,'[1]End - Use Prices'!$A$6:$A$89,0)+MATCH($D175,'[1]End - Use Prices'!$B$9:$B$11,0)-1,MATCH(AU$1,'[1]End - Use Prices'!$C$7:$AL$7,0))</f>
        <v>9.75</v>
      </c>
      <c r="AV175" s="41">
        <f>INDEX('[1]End - Use Prices'!$C$6:$AL$89,MATCH($C175,'[1]End - Use Prices'!$A$6:$A$89,0)+MATCH($D175,'[1]End - Use Prices'!$B$9:$B$11,0)-1,MATCH(AV$1,'[1]End - Use Prices'!$C$7:$AL$7,0))</f>
        <v>9.85</v>
      </c>
      <c r="AW175" s="41">
        <f>INDEX('[1]End - Use Prices'!$C$6:$AL$89,MATCH($C175,'[1]End - Use Prices'!$A$6:$A$89,0)+MATCH($D175,'[1]End - Use Prices'!$B$9:$B$11,0)-1,MATCH(AW$1,'[1]End - Use Prices'!$C$7:$AL$7,0))</f>
        <v>9.94</v>
      </c>
      <c r="AX175" s="41">
        <f>INDEX('[1]End - Use Prices'!$C$6:$AL$89,MATCH($C175,'[1]End - Use Prices'!$A$6:$A$89,0)+MATCH($D175,'[1]End - Use Prices'!$B$9:$B$11,0)-1,MATCH(AX$1,'[1]End - Use Prices'!$C$7:$AL$7,0))</f>
        <v>10.039999999999999</v>
      </c>
      <c r="AY175" s="41">
        <f>INDEX('[1]End - Use Prices'!$C$6:$AL$89,MATCH($C175,'[1]End - Use Prices'!$A$6:$A$89,0)+MATCH($D175,'[1]End - Use Prices'!$B$9:$B$11,0)-1,MATCH(AY$1,'[1]End - Use Prices'!$C$7:$AL$7,0))</f>
        <v>10.16</v>
      </c>
      <c r="AZ175" s="41">
        <f>INDEX('[1]End - Use Prices'!$C$6:$AL$89,MATCH($C175,'[1]End - Use Prices'!$A$6:$A$89,0)+MATCH($D175,'[1]End - Use Prices'!$B$9:$B$11,0)-1,MATCH(AZ$1,'[1]End - Use Prices'!$C$7:$AL$7,0))</f>
        <v>10.28</v>
      </c>
      <c r="BA175" s="41">
        <f>INDEX('[1]End - Use Prices'!$C$6:$AL$89,MATCH($C175,'[1]End - Use Prices'!$A$6:$A$89,0)+MATCH($D175,'[1]End - Use Prices'!$B$9:$B$11,0)-1,MATCH(BA$1,'[1]End - Use Prices'!$C$7:$AL$7,0))</f>
        <v>10.34</v>
      </c>
      <c r="BB175" s="41">
        <f>INDEX('[1]End - Use Prices'!$C$6:$AL$89,MATCH($C175,'[1]End - Use Prices'!$A$6:$A$89,0)+MATCH($D175,'[1]End - Use Prices'!$B$9:$B$11,0)-1,MATCH(BB$1,'[1]End - Use Prices'!$C$7:$AL$7,0))</f>
        <v>10.41</v>
      </c>
      <c r="BC175" s="41">
        <f>INDEX('[1]End - Use Prices'!$C$6:$AL$89,MATCH($C175,'[1]End - Use Prices'!$A$6:$A$89,0)+MATCH($D175,'[1]End - Use Prices'!$B$9:$B$11,0)-1,MATCH(BC$1,'[1]End - Use Prices'!$C$7:$AL$7,0))</f>
        <v>10.46</v>
      </c>
      <c r="BD175" s="41">
        <f>INDEX('[1]End - Use Prices'!$C$6:$AL$89,MATCH($C175,'[1]End - Use Prices'!$A$6:$A$89,0)+MATCH($D175,'[1]End - Use Prices'!$B$9:$B$11,0)-1,MATCH(BD$1,'[1]End - Use Prices'!$C$7:$AL$7,0))</f>
        <v>10.5</v>
      </c>
      <c r="BE175" s="41">
        <f>INDEX('[1]End - Use Prices'!$C$6:$AL$89,MATCH($C175,'[1]End - Use Prices'!$A$6:$A$89,0)+MATCH($D175,'[1]End - Use Prices'!$B$9:$B$11,0)-1,MATCH(BE$1,'[1]End - Use Prices'!$C$7:$AL$7,0))</f>
        <v>10.54</v>
      </c>
      <c r="BF175" s="41">
        <f>INDEX('[1]End - Use Prices'!$C$6:$AL$89,MATCH($C175,'[1]End - Use Prices'!$A$6:$A$89,0)+MATCH($D175,'[1]End - Use Prices'!$B$9:$B$11,0)-1,MATCH(BF$1,'[1]End - Use Prices'!$C$7:$AL$7,0))</f>
        <v>10.57</v>
      </c>
      <c r="BG175" s="41">
        <f>INDEX('[1]End - Use Prices'!$C$6:$AL$89,MATCH($C175,'[1]End - Use Prices'!$A$6:$A$89,0)+MATCH($D175,'[1]End - Use Prices'!$B$9:$B$11,0)-1,MATCH(BG$1,'[1]End - Use Prices'!$C$7:$AL$7,0))</f>
        <v>10.59</v>
      </c>
      <c r="BR175" s="39"/>
      <c r="BS175" s="39"/>
      <c r="BT175" s="39"/>
      <c r="BU175" s="39"/>
      <c r="BV175" s="39"/>
      <c r="BW175" s="39"/>
      <c r="BX175" s="39"/>
      <c r="BY175" s="39"/>
      <c r="BZ175" s="39"/>
      <c r="CA175" s="39"/>
    </row>
    <row r="176" spans="1:79" x14ac:dyDescent="0.25">
      <c r="A176" s="5"/>
      <c r="B176" s="3"/>
      <c r="C176" s="25" t="s">
        <v>95</v>
      </c>
      <c r="D176" s="25" t="s">
        <v>14</v>
      </c>
      <c r="E176" s="25" t="s">
        <v>282</v>
      </c>
      <c r="F176" s="67" t="s">
        <v>279</v>
      </c>
      <c r="G176" s="53">
        <f t="shared" si="25"/>
        <v>32.04</v>
      </c>
      <c r="H176" s="34">
        <f t="shared" si="28"/>
        <v>32.04</v>
      </c>
      <c r="I176" s="34">
        <f t="shared" si="28"/>
        <v>30.65</v>
      </c>
      <c r="J176" s="34">
        <f t="shared" si="28"/>
        <v>39.43</v>
      </c>
      <c r="K176" s="34">
        <f t="shared" si="28"/>
        <v>41.09</v>
      </c>
      <c r="L176" s="34">
        <f t="shared" si="28"/>
        <v>42.93</v>
      </c>
      <c r="M176" s="34">
        <f t="shared" si="28"/>
        <v>43.05</v>
      </c>
      <c r="N176" s="34">
        <f t="shared" si="28"/>
        <v>43.31</v>
      </c>
      <c r="O176" s="34">
        <f t="shared" si="28"/>
        <v>43.29</v>
      </c>
      <c r="P176" s="53">
        <f t="shared" si="29"/>
        <v>43.29</v>
      </c>
      <c r="Q176" s="53">
        <f t="shared" si="29"/>
        <v>43.29</v>
      </c>
      <c r="R176" s="38"/>
      <c r="X176" s="41">
        <f>INDEX('[1]End - Use Prices'!$C$6:$AL$89,MATCH($C176,'[1]End - Use Prices'!$A$6:$A$89,0)+MATCH($D176,'[1]End - Use Prices'!$B$9:$B$11,0)-1,MATCH(X$1,'[1]End - Use Prices'!$C$7:$AL$7,0))</f>
        <v>32.04</v>
      </c>
      <c r="Y176" s="41">
        <f>INDEX('[1]End - Use Prices'!$C$6:$AL$89,MATCH($C176,'[1]End - Use Prices'!$A$6:$A$89,0)+MATCH($D176,'[1]End - Use Prices'!$B$9:$B$11,0)-1,MATCH(Y$1,'[1]End - Use Prices'!$C$7:$AL$7,0))</f>
        <v>31.25</v>
      </c>
      <c r="Z176" s="41">
        <f>INDEX('[1]End - Use Prices'!$C$6:$AL$89,MATCH($C176,'[1]End - Use Prices'!$A$6:$A$89,0)+MATCH($D176,'[1]End - Use Prices'!$B$9:$B$11,0)-1,MATCH(Z$1,'[1]End - Use Prices'!$C$7:$AL$7,0))</f>
        <v>32.020000000000003</v>
      </c>
      <c r="AA176" s="41">
        <f>INDEX('[1]End - Use Prices'!$C$6:$AL$89,MATCH($C176,'[1]End - Use Prices'!$A$6:$A$89,0)+MATCH($D176,'[1]End - Use Prices'!$B$9:$B$11,0)-1,MATCH(AA$1,'[1]End - Use Prices'!$C$7:$AL$7,0))</f>
        <v>31.29</v>
      </c>
      <c r="AB176" s="41">
        <f>INDEX('[1]End - Use Prices'!$C$6:$AL$89,MATCH($C176,'[1]End - Use Prices'!$A$6:$A$89,0)+MATCH($D176,'[1]End - Use Prices'!$B$9:$B$11,0)-1,MATCH(AB$1,'[1]End - Use Prices'!$C$7:$AL$7,0))</f>
        <v>30.74</v>
      </c>
      <c r="AC176" s="41">
        <f>INDEX('[1]End - Use Prices'!$C$6:$AL$89,MATCH($C176,'[1]End - Use Prices'!$A$6:$A$89,0)+MATCH($D176,'[1]End - Use Prices'!$B$9:$B$11,0)-1,MATCH(AC$1,'[1]End - Use Prices'!$C$7:$AL$7,0))</f>
        <v>30.65</v>
      </c>
      <c r="AD176" s="41">
        <f>INDEX('[1]End - Use Prices'!$C$6:$AL$89,MATCH($C176,'[1]End - Use Prices'!$A$6:$A$89,0)+MATCH($D176,'[1]End - Use Prices'!$B$9:$B$11,0)-1,MATCH(AD$1,'[1]End - Use Prices'!$C$7:$AL$7,0))</f>
        <v>29.66</v>
      </c>
      <c r="AE176" s="41">
        <f>INDEX('[1]End - Use Prices'!$C$6:$AL$89,MATCH($C176,'[1]End - Use Prices'!$A$6:$A$89,0)+MATCH($D176,'[1]End - Use Prices'!$B$9:$B$11,0)-1,MATCH(AE$1,'[1]End - Use Prices'!$C$7:$AL$7,0))</f>
        <v>33.369999999999997</v>
      </c>
      <c r="AF176" s="41">
        <f>INDEX('[1]End - Use Prices'!$C$6:$AL$89,MATCH($C176,'[1]End - Use Prices'!$A$6:$A$89,0)+MATCH($D176,'[1]End - Use Prices'!$B$9:$B$11,0)-1,MATCH(AF$1,'[1]End - Use Prices'!$C$7:$AL$7,0))</f>
        <v>33.28</v>
      </c>
      <c r="AG176" s="41">
        <f>INDEX('[1]End - Use Prices'!$C$6:$AL$89,MATCH($C176,'[1]End - Use Prices'!$A$6:$A$89,0)+MATCH($D176,'[1]End - Use Prices'!$B$9:$B$11,0)-1,MATCH(AG$1,'[1]End - Use Prices'!$C$7:$AL$7,0))</f>
        <v>39.119999999999997</v>
      </c>
      <c r="AH176" s="41">
        <f>INDEX('[1]End - Use Prices'!$C$6:$AL$89,MATCH($C176,'[1]End - Use Prices'!$A$6:$A$89,0)+MATCH($D176,'[1]End - Use Prices'!$B$9:$B$11,0)-1,MATCH(AH$1,'[1]End - Use Prices'!$C$7:$AL$7,0))</f>
        <v>39.43</v>
      </c>
      <c r="AI176" s="41">
        <f>INDEX('[1]End - Use Prices'!$C$6:$AL$89,MATCH($C176,'[1]End - Use Prices'!$A$6:$A$89,0)+MATCH($D176,'[1]End - Use Prices'!$B$9:$B$11,0)-1,MATCH(AI$1,'[1]End - Use Prices'!$C$7:$AL$7,0))</f>
        <v>39.19</v>
      </c>
      <c r="AJ176" s="41">
        <f>INDEX('[1]End - Use Prices'!$C$6:$AL$89,MATCH($C176,'[1]End - Use Prices'!$A$6:$A$89,0)+MATCH($D176,'[1]End - Use Prices'!$B$9:$B$11,0)-1,MATCH(AJ$1,'[1]End - Use Prices'!$C$7:$AL$7,0))</f>
        <v>39.659999999999997</v>
      </c>
      <c r="AK176" s="41">
        <f>INDEX('[1]End - Use Prices'!$C$6:$AL$89,MATCH($C176,'[1]End - Use Prices'!$A$6:$A$89,0)+MATCH($D176,'[1]End - Use Prices'!$B$9:$B$11,0)-1,MATCH(AK$1,'[1]End - Use Prices'!$C$7:$AL$7,0))</f>
        <v>39.57</v>
      </c>
      <c r="AL176" s="41">
        <f>INDEX('[1]End - Use Prices'!$C$6:$AL$89,MATCH($C176,'[1]End - Use Prices'!$A$6:$A$89,0)+MATCH($D176,'[1]End - Use Prices'!$B$9:$B$11,0)-1,MATCH(AL$1,'[1]End - Use Prices'!$C$7:$AL$7,0))</f>
        <v>39.549999999999997</v>
      </c>
      <c r="AM176" s="41">
        <f>INDEX('[1]End - Use Prices'!$C$6:$AL$89,MATCH($C176,'[1]End - Use Prices'!$A$6:$A$89,0)+MATCH($D176,'[1]End - Use Prices'!$B$9:$B$11,0)-1,MATCH(AM$1,'[1]End - Use Prices'!$C$7:$AL$7,0))</f>
        <v>41.09</v>
      </c>
      <c r="AN176" s="41">
        <f>INDEX('[1]End - Use Prices'!$C$6:$AL$89,MATCH($C176,'[1]End - Use Prices'!$A$6:$A$89,0)+MATCH($D176,'[1]End - Use Prices'!$B$9:$B$11,0)-1,MATCH(AN$1,'[1]End - Use Prices'!$C$7:$AL$7,0))</f>
        <v>41.81</v>
      </c>
      <c r="AO176" s="41">
        <f>INDEX('[1]End - Use Prices'!$C$6:$AL$89,MATCH($C176,'[1]End - Use Prices'!$A$6:$A$89,0)+MATCH($D176,'[1]End - Use Prices'!$B$9:$B$11,0)-1,MATCH(AO$1,'[1]End - Use Prices'!$C$7:$AL$7,0))</f>
        <v>42.49</v>
      </c>
      <c r="AP176" s="41">
        <f>INDEX('[1]End - Use Prices'!$C$6:$AL$89,MATCH($C176,'[1]End - Use Prices'!$A$6:$A$89,0)+MATCH($D176,'[1]End - Use Prices'!$B$9:$B$11,0)-1,MATCH(AP$1,'[1]End - Use Prices'!$C$7:$AL$7,0))</f>
        <v>43.1</v>
      </c>
      <c r="AQ176" s="41">
        <f>INDEX('[1]End - Use Prices'!$C$6:$AL$89,MATCH($C176,'[1]End - Use Prices'!$A$6:$A$89,0)+MATCH($D176,'[1]End - Use Prices'!$B$9:$B$11,0)-1,MATCH(AQ$1,'[1]End - Use Prices'!$C$7:$AL$7,0))</f>
        <v>43</v>
      </c>
      <c r="AR176" s="41">
        <f>INDEX('[1]End - Use Prices'!$C$6:$AL$89,MATCH($C176,'[1]End - Use Prices'!$A$6:$A$89,0)+MATCH($D176,'[1]End - Use Prices'!$B$9:$B$11,0)-1,MATCH(AR$1,'[1]End - Use Prices'!$C$7:$AL$7,0))</f>
        <v>42.93</v>
      </c>
      <c r="AS176" s="41">
        <f>INDEX('[1]End - Use Prices'!$C$6:$AL$89,MATCH($C176,'[1]End - Use Prices'!$A$6:$A$89,0)+MATCH($D176,'[1]End - Use Prices'!$B$9:$B$11,0)-1,MATCH(AS$1,'[1]End - Use Prices'!$C$7:$AL$7,0))</f>
        <v>42.95</v>
      </c>
      <c r="AT176" s="41">
        <f>INDEX('[1]End - Use Prices'!$C$6:$AL$89,MATCH($C176,'[1]End - Use Prices'!$A$6:$A$89,0)+MATCH($D176,'[1]End - Use Prices'!$B$9:$B$11,0)-1,MATCH(AT$1,'[1]End - Use Prices'!$C$7:$AL$7,0))</f>
        <v>42.95</v>
      </c>
      <c r="AU176" s="41">
        <f>INDEX('[1]End - Use Prices'!$C$6:$AL$89,MATCH($C176,'[1]End - Use Prices'!$A$6:$A$89,0)+MATCH($D176,'[1]End - Use Prices'!$B$9:$B$11,0)-1,MATCH(AU$1,'[1]End - Use Prices'!$C$7:$AL$7,0))</f>
        <v>42.97</v>
      </c>
      <c r="AV176" s="41">
        <f>INDEX('[1]End - Use Prices'!$C$6:$AL$89,MATCH($C176,'[1]End - Use Prices'!$A$6:$A$89,0)+MATCH($D176,'[1]End - Use Prices'!$B$9:$B$11,0)-1,MATCH(AV$1,'[1]End - Use Prices'!$C$7:$AL$7,0))</f>
        <v>43.01</v>
      </c>
      <c r="AW176" s="41">
        <f>INDEX('[1]End - Use Prices'!$C$6:$AL$89,MATCH($C176,'[1]End - Use Prices'!$A$6:$A$89,0)+MATCH($D176,'[1]End - Use Prices'!$B$9:$B$11,0)-1,MATCH(AW$1,'[1]End - Use Prices'!$C$7:$AL$7,0))</f>
        <v>43.05</v>
      </c>
      <c r="AX176" s="41">
        <f>INDEX('[1]End - Use Prices'!$C$6:$AL$89,MATCH($C176,'[1]End - Use Prices'!$A$6:$A$89,0)+MATCH($D176,'[1]End - Use Prices'!$B$9:$B$11,0)-1,MATCH(AX$1,'[1]End - Use Prices'!$C$7:$AL$7,0))</f>
        <v>43.1</v>
      </c>
      <c r="AY176" s="41">
        <f>INDEX('[1]End - Use Prices'!$C$6:$AL$89,MATCH($C176,'[1]End - Use Prices'!$A$6:$A$89,0)+MATCH($D176,'[1]End - Use Prices'!$B$9:$B$11,0)-1,MATCH(AY$1,'[1]End - Use Prices'!$C$7:$AL$7,0))</f>
        <v>43.17</v>
      </c>
      <c r="AZ176" s="41">
        <f>INDEX('[1]End - Use Prices'!$C$6:$AL$89,MATCH($C176,'[1]End - Use Prices'!$A$6:$A$89,0)+MATCH($D176,'[1]End - Use Prices'!$B$9:$B$11,0)-1,MATCH(AZ$1,'[1]End - Use Prices'!$C$7:$AL$7,0))</f>
        <v>43.25</v>
      </c>
      <c r="BA176" s="41">
        <f>INDEX('[1]End - Use Prices'!$C$6:$AL$89,MATCH($C176,'[1]End - Use Prices'!$A$6:$A$89,0)+MATCH($D176,'[1]End - Use Prices'!$B$9:$B$11,0)-1,MATCH(BA$1,'[1]End - Use Prices'!$C$7:$AL$7,0))</f>
        <v>43.28</v>
      </c>
      <c r="BB176" s="41">
        <f>INDEX('[1]End - Use Prices'!$C$6:$AL$89,MATCH($C176,'[1]End - Use Prices'!$A$6:$A$89,0)+MATCH($D176,'[1]End - Use Prices'!$B$9:$B$11,0)-1,MATCH(BB$1,'[1]End - Use Prices'!$C$7:$AL$7,0))</f>
        <v>43.31</v>
      </c>
      <c r="BC176" s="41">
        <f>INDEX('[1]End - Use Prices'!$C$6:$AL$89,MATCH($C176,'[1]End - Use Prices'!$A$6:$A$89,0)+MATCH($D176,'[1]End - Use Prices'!$B$9:$B$11,0)-1,MATCH(BC$1,'[1]End - Use Prices'!$C$7:$AL$7,0))</f>
        <v>43.33</v>
      </c>
      <c r="BD176" s="41">
        <f>INDEX('[1]End - Use Prices'!$C$6:$AL$89,MATCH($C176,'[1]End - Use Prices'!$A$6:$A$89,0)+MATCH($D176,'[1]End - Use Prices'!$B$9:$B$11,0)-1,MATCH(BD$1,'[1]End - Use Prices'!$C$7:$AL$7,0))</f>
        <v>43.33</v>
      </c>
      <c r="BE176" s="41">
        <f>INDEX('[1]End - Use Prices'!$C$6:$AL$89,MATCH($C176,'[1]End - Use Prices'!$A$6:$A$89,0)+MATCH($D176,'[1]End - Use Prices'!$B$9:$B$11,0)-1,MATCH(BE$1,'[1]End - Use Prices'!$C$7:$AL$7,0))</f>
        <v>43.31</v>
      </c>
      <c r="BF176" s="41">
        <f>INDEX('[1]End - Use Prices'!$C$6:$AL$89,MATCH($C176,'[1]End - Use Prices'!$A$6:$A$89,0)+MATCH($D176,'[1]End - Use Prices'!$B$9:$B$11,0)-1,MATCH(BF$1,'[1]End - Use Prices'!$C$7:$AL$7,0))</f>
        <v>43.3</v>
      </c>
      <c r="BG176" s="41">
        <f>INDEX('[1]End - Use Prices'!$C$6:$AL$89,MATCH($C176,'[1]End - Use Prices'!$A$6:$A$89,0)+MATCH($D176,'[1]End - Use Prices'!$B$9:$B$11,0)-1,MATCH(BG$1,'[1]End - Use Prices'!$C$7:$AL$7,0))</f>
        <v>43.29</v>
      </c>
      <c r="BR176" s="39"/>
      <c r="BS176" s="39"/>
      <c r="BT176" s="39"/>
      <c r="BU176" s="39"/>
      <c r="BV176" s="39"/>
      <c r="BW176" s="39"/>
      <c r="BX176" s="39"/>
      <c r="BY176" s="39"/>
      <c r="BZ176" s="39"/>
      <c r="CA176" s="39"/>
    </row>
    <row r="177" spans="1:79" x14ac:dyDescent="0.25">
      <c r="A177" s="5"/>
      <c r="B177" s="3"/>
      <c r="C177" s="25" t="s">
        <v>94</v>
      </c>
      <c r="D177" s="25" t="s">
        <v>14</v>
      </c>
      <c r="E177" s="25" t="s">
        <v>282</v>
      </c>
      <c r="F177" s="67" t="s">
        <v>279</v>
      </c>
      <c r="G177" s="53">
        <f t="shared" si="25"/>
        <v>15.71</v>
      </c>
      <c r="H177" s="34">
        <f t="shared" si="28"/>
        <v>15.71</v>
      </c>
      <c r="I177" s="34">
        <f t="shared" si="28"/>
        <v>14.92</v>
      </c>
      <c r="J177" s="34">
        <f t="shared" si="28"/>
        <v>12.25</v>
      </c>
      <c r="K177" s="34">
        <f t="shared" si="28"/>
        <v>9.07</v>
      </c>
      <c r="L177" s="34">
        <f t="shared" si="28"/>
        <v>9.5</v>
      </c>
      <c r="M177" s="34">
        <f t="shared" si="28"/>
        <v>9.94</v>
      </c>
      <c r="N177" s="34">
        <f t="shared" si="28"/>
        <v>10.41</v>
      </c>
      <c r="O177" s="34">
        <f t="shared" si="28"/>
        <v>10.59</v>
      </c>
      <c r="P177" s="53">
        <f t="shared" si="29"/>
        <v>10.59</v>
      </c>
      <c r="Q177" s="53">
        <f t="shared" si="29"/>
        <v>10.59</v>
      </c>
      <c r="R177" s="38"/>
      <c r="X177" s="41">
        <f>INDEX('[1]End - Use Prices'!$C$6:$AL$89,MATCH($C177,'[1]End - Use Prices'!$A$6:$A$89,0)+MATCH($D177,'[1]End - Use Prices'!$B$9:$B$11,0)-1,MATCH(X$1,'[1]End - Use Prices'!$C$7:$AL$7,0))</f>
        <v>15.71</v>
      </c>
      <c r="Y177" s="41">
        <f>INDEX('[1]End - Use Prices'!$C$6:$AL$89,MATCH($C177,'[1]End - Use Prices'!$A$6:$A$89,0)+MATCH($D177,'[1]End - Use Prices'!$B$9:$B$11,0)-1,MATCH(Y$1,'[1]End - Use Prices'!$C$7:$AL$7,0))</f>
        <v>16.100000000000001</v>
      </c>
      <c r="Z177" s="41">
        <f>INDEX('[1]End - Use Prices'!$C$6:$AL$89,MATCH($C177,'[1]End - Use Prices'!$A$6:$A$89,0)+MATCH($D177,'[1]End - Use Prices'!$B$9:$B$11,0)-1,MATCH(Z$1,'[1]End - Use Prices'!$C$7:$AL$7,0))</f>
        <v>15.74</v>
      </c>
      <c r="AA177" s="41">
        <f>INDEX('[1]End - Use Prices'!$C$6:$AL$89,MATCH($C177,'[1]End - Use Prices'!$A$6:$A$89,0)+MATCH($D177,'[1]End - Use Prices'!$B$9:$B$11,0)-1,MATCH(AA$1,'[1]End - Use Prices'!$C$7:$AL$7,0))</f>
        <v>15.46</v>
      </c>
      <c r="AB177" s="41">
        <f>INDEX('[1]End - Use Prices'!$C$6:$AL$89,MATCH($C177,'[1]End - Use Prices'!$A$6:$A$89,0)+MATCH($D177,'[1]End - Use Prices'!$B$9:$B$11,0)-1,MATCH(AB$1,'[1]End - Use Prices'!$C$7:$AL$7,0))</f>
        <v>15.41</v>
      </c>
      <c r="AC177" s="41">
        <f>INDEX('[1]End - Use Prices'!$C$6:$AL$89,MATCH($C177,'[1]End - Use Prices'!$A$6:$A$89,0)+MATCH($D177,'[1]End - Use Prices'!$B$9:$B$11,0)-1,MATCH(AC$1,'[1]End - Use Prices'!$C$7:$AL$7,0))</f>
        <v>14.92</v>
      </c>
      <c r="AD177" s="41">
        <f>INDEX('[1]End - Use Prices'!$C$6:$AL$89,MATCH($C177,'[1]End - Use Prices'!$A$6:$A$89,0)+MATCH($D177,'[1]End - Use Prices'!$B$9:$B$11,0)-1,MATCH(AD$1,'[1]End - Use Prices'!$C$7:$AL$7,0))</f>
        <v>13.77</v>
      </c>
      <c r="AE177" s="41">
        <f>INDEX('[1]End - Use Prices'!$C$6:$AL$89,MATCH($C177,'[1]End - Use Prices'!$A$6:$A$89,0)+MATCH($D177,'[1]End - Use Prices'!$B$9:$B$11,0)-1,MATCH(AE$1,'[1]End - Use Prices'!$C$7:$AL$7,0))</f>
        <v>12.54</v>
      </c>
      <c r="AF177" s="41">
        <f>INDEX('[1]End - Use Prices'!$C$6:$AL$89,MATCH($C177,'[1]End - Use Prices'!$A$6:$A$89,0)+MATCH($D177,'[1]End - Use Prices'!$B$9:$B$11,0)-1,MATCH(AF$1,'[1]End - Use Prices'!$C$7:$AL$7,0))</f>
        <v>12.18</v>
      </c>
      <c r="AG177" s="41">
        <f>INDEX('[1]End - Use Prices'!$C$6:$AL$89,MATCH($C177,'[1]End - Use Prices'!$A$6:$A$89,0)+MATCH($D177,'[1]End - Use Prices'!$B$9:$B$11,0)-1,MATCH(AG$1,'[1]End - Use Prices'!$C$7:$AL$7,0))</f>
        <v>13.28</v>
      </c>
      <c r="AH177" s="41">
        <f>INDEX('[1]End - Use Prices'!$C$6:$AL$89,MATCH($C177,'[1]End - Use Prices'!$A$6:$A$89,0)+MATCH($D177,'[1]End - Use Prices'!$B$9:$B$11,0)-1,MATCH(AH$1,'[1]End - Use Prices'!$C$7:$AL$7,0))</f>
        <v>12.25</v>
      </c>
      <c r="AI177" s="41">
        <f>INDEX('[1]End - Use Prices'!$C$6:$AL$89,MATCH($C177,'[1]End - Use Prices'!$A$6:$A$89,0)+MATCH($D177,'[1]End - Use Prices'!$B$9:$B$11,0)-1,MATCH(AI$1,'[1]End - Use Prices'!$C$7:$AL$7,0))</f>
        <v>8.43</v>
      </c>
      <c r="AJ177" s="41">
        <f>INDEX('[1]End - Use Prices'!$C$6:$AL$89,MATCH($C177,'[1]End - Use Prices'!$A$6:$A$89,0)+MATCH($D177,'[1]End - Use Prices'!$B$9:$B$11,0)-1,MATCH(AJ$1,'[1]End - Use Prices'!$C$7:$AL$7,0))</f>
        <v>8.91</v>
      </c>
      <c r="AK177" s="41">
        <f>INDEX('[1]End - Use Prices'!$C$6:$AL$89,MATCH($C177,'[1]End - Use Prices'!$A$6:$A$89,0)+MATCH($D177,'[1]End - Use Prices'!$B$9:$B$11,0)-1,MATCH(AK$1,'[1]End - Use Prices'!$C$7:$AL$7,0))</f>
        <v>8.81</v>
      </c>
      <c r="AL177" s="41">
        <f>INDEX('[1]End - Use Prices'!$C$6:$AL$89,MATCH($C177,'[1]End - Use Prices'!$A$6:$A$89,0)+MATCH($D177,'[1]End - Use Prices'!$B$9:$B$11,0)-1,MATCH(AL$1,'[1]End - Use Prices'!$C$7:$AL$7,0))</f>
        <v>8.7899999999999991</v>
      </c>
      <c r="AM177" s="41">
        <f>INDEX('[1]End - Use Prices'!$C$6:$AL$89,MATCH($C177,'[1]End - Use Prices'!$A$6:$A$89,0)+MATCH($D177,'[1]End - Use Prices'!$B$9:$B$11,0)-1,MATCH(AM$1,'[1]End - Use Prices'!$C$7:$AL$7,0))</f>
        <v>9.07</v>
      </c>
      <c r="AN177" s="41">
        <f>INDEX('[1]End - Use Prices'!$C$6:$AL$89,MATCH($C177,'[1]End - Use Prices'!$A$6:$A$89,0)+MATCH($D177,'[1]End - Use Prices'!$B$9:$B$11,0)-1,MATCH(AN$1,'[1]End - Use Prices'!$C$7:$AL$7,0))</f>
        <v>9.2200000000000006</v>
      </c>
      <c r="AO177" s="41">
        <f>INDEX('[1]End - Use Prices'!$C$6:$AL$89,MATCH($C177,'[1]End - Use Prices'!$A$6:$A$89,0)+MATCH($D177,'[1]End - Use Prices'!$B$9:$B$11,0)-1,MATCH(AO$1,'[1]End - Use Prices'!$C$7:$AL$7,0))</f>
        <v>9.36</v>
      </c>
      <c r="AP177" s="41">
        <f>INDEX('[1]End - Use Prices'!$C$6:$AL$89,MATCH($C177,'[1]End - Use Prices'!$A$6:$A$89,0)+MATCH($D177,'[1]End - Use Prices'!$B$9:$B$11,0)-1,MATCH(AP$1,'[1]End - Use Prices'!$C$7:$AL$7,0))</f>
        <v>9.48</v>
      </c>
      <c r="AQ177" s="41">
        <f>INDEX('[1]End - Use Prices'!$C$6:$AL$89,MATCH($C177,'[1]End - Use Prices'!$A$6:$A$89,0)+MATCH($D177,'[1]End - Use Prices'!$B$9:$B$11,0)-1,MATCH(AQ$1,'[1]End - Use Prices'!$C$7:$AL$7,0))</f>
        <v>9.48</v>
      </c>
      <c r="AR177" s="41">
        <f>INDEX('[1]End - Use Prices'!$C$6:$AL$89,MATCH($C177,'[1]End - Use Prices'!$A$6:$A$89,0)+MATCH($D177,'[1]End - Use Prices'!$B$9:$B$11,0)-1,MATCH(AR$1,'[1]End - Use Prices'!$C$7:$AL$7,0))</f>
        <v>9.5</v>
      </c>
      <c r="AS177" s="41">
        <f>INDEX('[1]End - Use Prices'!$C$6:$AL$89,MATCH($C177,'[1]End - Use Prices'!$A$6:$A$89,0)+MATCH($D177,'[1]End - Use Prices'!$B$9:$B$11,0)-1,MATCH(AS$1,'[1]End - Use Prices'!$C$7:$AL$7,0))</f>
        <v>9.58</v>
      </c>
      <c r="AT177" s="41">
        <f>INDEX('[1]End - Use Prices'!$C$6:$AL$89,MATCH($C177,'[1]End - Use Prices'!$A$6:$A$89,0)+MATCH($D177,'[1]End - Use Prices'!$B$9:$B$11,0)-1,MATCH(AT$1,'[1]End - Use Prices'!$C$7:$AL$7,0))</f>
        <v>9.66</v>
      </c>
      <c r="AU177" s="41">
        <f>INDEX('[1]End - Use Prices'!$C$6:$AL$89,MATCH($C177,'[1]End - Use Prices'!$A$6:$A$89,0)+MATCH($D177,'[1]End - Use Prices'!$B$9:$B$11,0)-1,MATCH(AU$1,'[1]End - Use Prices'!$C$7:$AL$7,0))</f>
        <v>9.75</v>
      </c>
      <c r="AV177" s="41">
        <f>INDEX('[1]End - Use Prices'!$C$6:$AL$89,MATCH($C177,'[1]End - Use Prices'!$A$6:$A$89,0)+MATCH($D177,'[1]End - Use Prices'!$B$9:$B$11,0)-1,MATCH(AV$1,'[1]End - Use Prices'!$C$7:$AL$7,0))</f>
        <v>9.85</v>
      </c>
      <c r="AW177" s="41">
        <f>INDEX('[1]End - Use Prices'!$C$6:$AL$89,MATCH($C177,'[1]End - Use Prices'!$A$6:$A$89,0)+MATCH($D177,'[1]End - Use Prices'!$B$9:$B$11,0)-1,MATCH(AW$1,'[1]End - Use Prices'!$C$7:$AL$7,0))</f>
        <v>9.94</v>
      </c>
      <c r="AX177" s="41">
        <f>INDEX('[1]End - Use Prices'!$C$6:$AL$89,MATCH($C177,'[1]End - Use Prices'!$A$6:$A$89,0)+MATCH($D177,'[1]End - Use Prices'!$B$9:$B$11,0)-1,MATCH(AX$1,'[1]End - Use Prices'!$C$7:$AL$7,0))</f>
        <v>10.039999999999999</v>
      </c>
      <c r="AY177" s="41">
        <f>INDEX('[1]End - Use Prices'!$C$6:$AL$89,MATCH($C177,'[1]End - Use Prices'!$A$6:$A$89,0)+MATCH($D177,'[1]End - Use Prices'!$B$9:$B$11,0)-1,MATCH(AY$1,'[1]End - Use Prices'!$C$7:$AL$7,0))</f>
        <v>10.16</v>
      </c>
      <c r="AZ177" s="41">
        <f>INDEX('[1]End - Use Prices'!$C$6:$AL$89,MATCH($C177,'[1]End - Use Prices'!$A$6:$A$89,0)+MATCH($D177,'[1]End - Use Prices'!$B$9:$B$11,0)-1,MATCH(AZ$1,'[1]End - Use Prices'!$C$7:$AL$7,0))</f>
        <v>10.28</v>
      </c>
      <c r="BA177" s="41">
        <f>INDEX('[1]End - Use Prices'!$C$6:$AL$89,MATCH($C177,'[1]End - Use Prices'!$A$6:$A$89,0)+MATCH($D177,'[1]End - Use Prices'!$B$9:$B$11,0)-1,MATCH(BA$1,'[1]End - Use Prices'!$C$7:$AL$7,0))</f>
        <v>10.34</v>
      </c>
      <c r="BB177" s="41">
        <f>INDEX('[1]End - Use Prices'!$C$6:$AL$89,MATCH($C177,'[1]End - Use Prices'!$A$6:$A$89,0)+MATCH($D177,'[1]End - Use Prices'!$B$9:$B$11,0)-1,MATCH(BB$1,'[1]End - Use Prices'!$C$7:$AL$7,0))</f>
        <v>10.41</v>
      </c>
      <c r="BC177" s="41">
        <f>INDEX('[1]End - Use Prices'!$C$6:$AL$89,MATCH($C177,'[1]End - Use Prices'!$A$6:$A$89,0)+MATCH($D177,'[1]End - Use Prices'!$B$9:$B$11,0)-1,MATCH(BC$1,'[1]End - Use Prices'!$C$7:$AL$7,0))</f>
        <v>10.46</v>
      </c>
      <c r="BD177" s="41">
        <f>INDEX('[1]End - Use Prices'!$C$6:$AL$89,MATCH($C177,'[1]End - Use Prices'!$A$6:$A$89,0)+MATCH($D177,'[1]End - Use Prices'!$B$9:$B$11,0)-1,MATCH(BD$1,'[1]End - Use Prices'!$C$7:$AL$7,0))</f>
        <v>10.5</v>
      </c>
      <c r="BE177" s="41">
        <f>INDEX('[1]End - Use Prices'!$C$6:$AL$89,MATCH($C177,'[1]End - Use Prices'!$A$6:$A$89,0)+MATCH($D177,'[1]End - Use Prices'!$B$9:$B$11,0)-1,MATCH(BE$1,'[1]End - Use Prices'!$C$7:$AL$7,0))</f>
        <v>10.54</v>
      </c>
      <c r="BF177" s="41">
        <f>INDEX('[1]End - Use Prices'!$C$6:$AL$89,MATCH($C177,'[1]End - Use Prices'!$A$6:$A$89,0)+MATCH($D177,'[1]End - Use Prices'!$B$9:$B$11,0)-1,MATCH(BF$1,'[1]End - Use Prices'!$C$7:$AL$7,0))</f>
        <v>10.57</v>
      </c>
      <c r="BG177" s="41">
        <f>INDEX('[1]End - Use Prices'!$C$6:$AL$89,MATCH($C177,'[1]End - Use Prices'!$A$6:$A$89,0)+MATCH($D177,'[1]End - Use Prices'!$B$9:$B$11,0)-1,MATCH(BG$1,'[1]End - Use Prices'!$C$7:$AL$7,0))</f>
        <v>10.59</v>
      </c>
      <c r="BR177" s="39"/>
      <c r="BS177" s="39"/>
      <c r="BT177" s="39"/>
      <c r="BU177" s="39"/>
      <c r="BV177" s="39"/>
      <c r="BW177" s="39"/>
      <c r="BX177" s="39"/>
      <c r="BY177" s="39"/>
      <c r="BZ177" s="39"/>
      <c r="CA177" s="39"/>
    </row>
    <row r="178" spans="1:79" x14ac:dyDescent="0.25">
      <c r="A178" s="5"/>
      <c r="B178" s="3"/>
      <c r="C178" s="25" t="s">
        <v>48</v>
      </c>
      <c r="D178" s="25" t="s">
        <v>280</v>
      </c>
      <c r="E178" s="25" t="s">
        <v>282</v>
      </c>
      <c r="F178" s="67" t="s">
        <v>279</v>
      </c>
      <c r="G178" s="53">
        <f t="shared" si="25"/>
        <v>25.71</v>
      </c>
      <c r="H178" s="34">
        <f t="shared" si="28"/>
        <v>25.71</v>
      </c>
      <c r="I178" s="34">
        <f t="shared" si="28"/>
        <v>26.91</v>
      </c>
      <c r="J178" s="34">
        <f t="shared" si="28"/>
        <v>28.23</v>
      </c>
      <c r="K178" s="34">
        <f t="shared" si="28"/>
        <v>38.950000000000003</v>
      </c>
      <c r="L178" s="34">
        <f t="shared" si="28"/>
        <v>34.25</v>
      </c>
      <c r="M178" s="34">
        <f t="shared" si="28"/>
        <v>33.67</v>
      </c>
      <c r="N178" s="34">
        <f t="shared" si="28"/>
        <v>33.49</v>
      </c>
      <c r="O178" s="34">
        <f t="shared" si="28"/>
        <v>33.18</v>
      </c>
      <c r="P178" s="53">
        <f t="shared" si="29"/>
        <v>33.18</v>
      </c>
      <c r="Q178" s="53">
        <f t="shared" si="29"/>
        <v>33.18</v>
      </c>
      <c r="R178" s="38"/>
      <c r="X178" s="41">
        <f>INDEX('[1]End - Use Prices'!$C$6:$AL$89,MATCH($C178,'[1]End - Use Prices'!$A$6:$A$89,0)+MATCH($D178,'[1]End - Use Prices'!$B$9:$B$11,0)-1,MATCH(X$1,'[1]End - Use Prices'!$C$7:$AL$7,0))</f>
        <v>25.71</v>
      </c>
      <c r="Y178" s="41">
        <f>INDEX('[1]End - Use Prices'!$C$6:$AL$89,MATCH($C178,'[1]End - Use Prices'!$A$6:$A$89,0)+MATCH($D178,'[1]End - Use Prices'!$B$9:$B$11,0)-1,MATCH(Y$1,'[1]End - Use Prices'!$C$7:$AL$7,0))</f>
        <v>26.31</v>
      </c>
      <c r="Z178" s="41">
        <f>INDEX('[1]End - Use Prices'!$C$6:$AL$89,MATCH($C178,'[1]End - Use Prices'!$A$6:$A$89,0)+MATCH($D178,'[1]End - Use Prices'!$B$9:$B$11,0)-1,MATCH(Z$1,'[1]End - Use Prices'!$C$7:$AL$7,0))</f>
        <v>26.43</v>
      </c>
      <c r="AA178" s="41">
        <f>INDEX('[1]End - Use Prices'!$C$6:$AL$89,MATCH($C178,'[1]End - Use Prices'!$A$6:$A$89,0)+MATCH($D178,'[1]End - Use Prices'!$B$9:$B$11,0)-1,MATCH(AA$1,'[1]End - Use Prices'!$C$7:$AL$7,0))</f>
        <v>33.200000000000003</v>
      </c>
      <c r="AB178" s="41">
        <f>INDEX('[1]End - Use Prices'!$C$6:$AL$89,MATCH($C178,'[1]End - Use Prices'!$A$6:$A$89,0)+MATCH($D178,'[1]End - Use Prices'!$B$9:$B$11,0)-1,MATCH(AB$1,'[1]End - Use Prices'!$C$7:$AL$7,0))</f>
        <v>23.79</v>
      </c>
      <c r="AC178" s="41">
        <f>INDEX('[1]End - Use Prices'!$C$6:$AL$89,MATCH($C178,'[1]End - Use Prices'!$A$6:$A$89,0)+MATCH($D178,'[1]End - Use Prices'!$B$9:$B$11,0)-1,MATCH(AC$1,'[1]End - Use Prices'!$C$7:$AL$7,0))</f>
        <v>26.91</v>
      </c>
      <c r="AD178" s="41">
        <f>INDEX('[1]End - Use Prices'!$C$6:$AL$89,MATCH($C178,'[1]End - Use Prices'!$A$6:$A$89,0)+MATCH($D178,'[1]End - Use Prices'!$B$9:$B$11,0)-1,MATCH(AD$1,'[1]End - Use Prices'!$C$7:$AL$7,0))</f>
        <v>32.58</v>
      </c>
      <c r="AE178" s="41">
        <f>INDEX('[1]End - Use Prices'!$C$6:$AL$89,MATCH($C178,'[1]End - Use Prices'!$A$6:$A$89,0)+MATCH($D178,'[1]End - Use Prices'!$B$9:$B$11,0)-1,MATCH(AE$1,'[1]End - Use Prices'!$C$7:$AL$7,0))</f>
        <v>33.74</v>
      </c>
      <c r="AF178" s="41">
        <f>INDEX('[1]End - Use Prices'!$C$6:$AL$89,MATCH($C178,'[1]End - Use Prices'!$A$6:$A$89,0)+MATCH($D178,'[1]End - Use Prices'!$B$9:$B$11,0)-1,MATCH(AF$1,'[1]End - Use Prices'!$C$7:$AL$7,0))</f>
        <v>33.31</v>
      </c>
      <c r="AG178" s="41">
        <f>INDEX('[1]End - Use Prices'!$C$6:$AL$89,MATCH($C178,'[1]End - Use Prices'!$A$6:$A$89,0)+MATCH($D178,'[1]End - Use Prices'!$B$9:$B$11,0)-1,MATCH(AG$1,'[1]End - Use Prices'!$C$7:$AL$7,0))</f>
        <v>34.46</v>
      </c>
      <c r="AH178" s="41">
        <f>INDEX('[1]End - Use Prices'!$C$6:$AL$89,MATCH($C178,'[1]End - Use Prices'!$A$6:$A$89,0)+MATCH($D178,'[1]End - Use Prices'!$B$9:$B$11,0)-1,MATCH(AH$1,'[1]End - Use Prices'!$C$7:$AL$7,0))</f>
        <v>28.23</v>
      </c>
      <c r="AI178" s="41">
        <f>INDEX('[1]End - Use Prices'!$C$6:$AL$89,MATCH($C178,'[1]End - Use Prices'!$A$6:$A$89,0)+MATCH($D178,'[1]End - Use Prices'!$B$9:$B$11,0)-1,MATCH(AI$1,'[1]End - Use Prices'!$C$7:$AL$7,0))</f>
        <v>24.61</v>
      </c>
      <c r="AJ178" s="41">
        <f>INDEX('[1]End - Use Prices'!$C$6:$AL$89,MATCH($C178,'[1]End - Use Prices'!$A$6:$A$89,0)+MATCH($D178,'[1]End - Use Prices'!$B$9:$B$11,0)-1,MATCH(AJ$1,'[1]End - Use Prices'!$C$7:$AL$7,0))</f>
        <v>27.26</v>
      </c>
      <c r="AK178" s="41">
        <f>INDEX('[1]End - Use Prices'!$C$6:$AL$89,MATCH($C178,'[1]End - Use Prices'!$A$6:$A$89,0)+MATCH($D178,'[1]End - Use Prices'!$B$9:$B$11,0)-1,MATCH(AK$1,'[1]End - Use Prices'!$C$7:$AL$7,0))</f>
        <v>31.59</v>
      </c>
      <c r="AL178" s="41">
        <f>INDEX('[1]End - Use Prices'!$C$6:$AL$89,MATCH($C178,'[1]End - Use Prices'!$A$6:$A$89,0)+MATCH($D178,'[1]End - Use Prices'!$B$9:$B$11,0)-1,MATCH(AL$1,'[1]End - Use Prices'!$C$7:$AL$7,0))</f>
        <v>35.08</v>
      </c>
      <c r="AM178" s="41">
        <f>INDEX('[1]End - Use Prices'!$C$6:$AL$89,MATCH($C178,'[1]End - Use Prices'!$A$6:$A$89,0)+MATCH($D178,'[1]End - Use Prices'!$B$9:$B$11,0)-1,MATCH(AM$1,'[1]End - Use Prices'!$C$7:$AL$7,0))</f>
        <v>38.950000000000003</v>
      </c>
      <c r="AN178" s="41">
        <f>INDEX('[1]End - Use Prices'!$C$6:$AL$89,MATCH($C178,'[1]End - Use Prices'!$A$6:$A$89,0)+MATCH($D178,'[1]End - Use Prices'!$B$9:$B$11,0)-1,MATCH(AN$1,'[1]End - Use Prices'!$C$7:$AL$7,0))</f>
        <v>36.01</v>
      </c>
      <c r="AO178" s="41">
        <f>INDEX('[1]End - Use Prices'!$C$6:$AL$89,MATCH($C178,'[1]End - Use Prices'!$A$6:$A$89,0)+MATCH($D178,'[1]End - Use Prices'!$B$9:$B$11,0)-1,MATCH(AO$1,'[1]End - Use Prices'!$C$7:$AL$7,0))</f>
        <v>34.17</v>
      </c>
      <c r="AP178" s="41">
        <f>INDEX('[1]End - Use Prices'!$C$6:$AL$89,MATCH($C178,'[1]End - Use Prices'!$A$6:$A$89,0)+MATCH($D178,'[1]End - Use Prices'!$B$9:$B$11,0)-1,MATCH(AP$1,'[1]End - Use Prices'!$C$7:$AL$7,0))</f>
        <v>34.06</v>
      </c>
      <c r="AQ178" s="41">
        <f>INDEX('[1]End - Use Prices'!$C$6:$AL$89,MATCH($C178,'[1]End - Use Prices'!$A$6:$A$89,0)+MATCH($D178,'[1]End - Use Prices'!$B$9:$B$11,0)-1,MATCH(AQ$1,'[1]End - Use Prices'!$C$7:$AL$7,0))</f>
        <v>34.04</v>
      </c>
      <c r="AR178" s="41">
        <f>INDEX('[1]End - Use Prices'!$C$6:$AL$89,MATCH($C178,'[1]End - Use Prices'!$A$6:$A$89,0)+MATCH($D178,'[1]End - Use Prices'!$B$9:$B$11,0)-1,MATCH(AR$1,'[1]End - Use Prices'!$C$7:$AL$7,0))</f>
        <v>34.25</v>
      </c>
      <c r="AS178" s="41">
        <f>INDEX('[1]End - Use Prices'!$C$6:$AL$89,MATCH($C178,'[1]End - Use Prices'!$A$6:$A$89,0)+MATCH($D178,'[1]End - Use Prices'!$B$9:$B$11,0)-1,MATCH(AS$1,'[1]End - Use Prices'!$C$7:$AL$7,0))</f>
        <v>34.39</v>
      </c>
      <c r="AT178" s="41">
        <f>INDEX('[1]End - Use Prices'!$C$6:$AL$89,MATCH($C178,'[1]End - Use Prices'!$A$6:$A$89,0)+MATCH($D178,'[1]End - Use Prices'!$B$9:$B$11,0)-1,MATCH(AT$1,'[1]End - Use Prices'!$C$7:$AL$7,0))</f>
        <v>34.22</v>
      </c>
      <c r="AU178" s="41">
        <f>INDEX('[1]End - Use Prices'!$C$6:$AL$89,MATCH($C178,'[1]End - Use Prices'!$A$6:$A$89,0)+MATCH($D178,'[1]End - Use Prices'!$B$9:$B$11,0)-1,MATCH(AU$1,'[1]End - Use Prices'!$C$7:$AL$7,0))</f>
        <v>34.020000000000003</v>
      </c>
      <c r="AV178" s="41">
        <f>INDEX('[1]End - Use Prices'!$C$6:$AL$89,MATCH($C178,'[1]End - Use Prices'!$A$6:$A$89,0)+MATCH($D178,'[1]End - Use Prices'!$B$9:$B$11,0)-1,MATCH(AV$1,'[1]End - Use Prices'!$C$7:$AL$7,0))</f>
        <v>33.840000000000003</v>
      </c>
      <c r="AW178" s="41">
        <f>INDEX('[1]End - Use Prices'!$C$6:$AL$89,MATCH($C178,'[1]End - Use Prices'!$A$6:$A$89,0)+MATCH($D178,'[1]End - Use Prices'!$B$9:$B$11,0)-1,MATCH(AW$1,'[1]End - Use Prices'!$C$7:$AL$7,0))</f>
        <v>33.67</v>
      </c>
      <c r="AX178" s="41">
        <f>INDEX('[1]End - Use Prices'!$C$6:$AL$89,MATCH($C178,'[1]End - Use Prices'!$A$6:$A$89,0)+MATCH($D178,'[1]End - Use Prices'!$B$9:$B$11,0)-1,MATCH(AX$1,'[1]End - Use Prices'!$C$7:$AL$7,0))</f>
        <v>33.58</v>
      </c>
      <c r="AY178" s="41">
        <f>INDEX('[1]End - Use Prices'!$C$6:$AL$89,MATCH($C178,'[1]End - Use Prices'!$A$6:$A$89,0)+MATCH($D178,'[1]End - Use Prices'!$B$9:$B$11,0)-1,MATCH(AY$1,'[1]End - Use Prices'!$C$7:$AL$7,0))</f>
        <v>33.51</v>
      </c>
      <c r="AZ178" s="41">
        <f>INDEX('[1]End - Use Prices'!$C$6:$AL$89,MATCH($C178,'[1]End - Use Prices'!$A$6:$A$89,0)+MATCH($D178,'[1]End - Use Prices'!$B$9:$B$11,0)-1,MATCH(AZ$1,'[1]End - Use Prices'!$C$7:$AL$7,0))</f>
        <v>33.49</v>
      </c>
      <c r="BA178" s="41">
        <f>INDEX('[1]End - Use Prices'!$C$6:$AL$89,MATCH($C178,'[1]End - Use Prices'!$A$6:$A$89,0)+MATCH($D178,'[1]End - Use Prices'!$B$9:$B$11,0)-1,MATCH(BA$1,'[1]End - Use Prices'!$C$7:$AL$7,0))</f>
        <v>33.5</v>
      </c>
      <c r="BB178" s="41">
        <f>INDEX('[1]End - Use Prices'!$C$6:$AL$89,MATCH($C178,'[1]End - Use Prices'!$A$6:$A$89,0)+MATCH($D178,'[1]End - Use Prices'!$B$9:$B$11,0)-1,MATCH(BB$1,'[1]End - Use Prices'!$C$7:$AL$7,0))</f>
        <v>33.49</v>
      </c>
      <c r="BC178" s="41">
        <f>INDEX('[1]End - Use Prices'!$C$6:$AL$89,MATCH($C178,'[1]End - Use Prices'!$A$6:$A$89,0)+MATCH($D178,'[1]End - Use Prices'!$B$9:$B$11,0)-1,MATCH(BC$1,'[1]End - Use Prices'!$C$7:$AL$7,0))</f>
        <v>33.46</v>
      </c>
      <c r="BD178" s="41">
        <f>INDEX('[1]End - Use Prices'!$C$6:$AL$89,MATCH($C178,'[1]End - Use Prices'!$A$6:$A$89,0)+MATCH($D178,'[1]End - Use Prices'!$B$9:$B$11,0)-1,MATCH(BD$1,'[1]End - Use Prices'!$C$7:$AL$7,0))</f>
        <v>33.42</v>
      </c>
      <c r="BE178" s="41">
        <f>INDEX('[1]End - Use Prices'!$C$6:$AL$89,MATCH($C178,'[1]End - Use Prices'!$A$6:$A$89,0)+MATCH($D178,'[1]End - Use Prices'!$B$9:$B$11,0)-1,MATCH(BE$1,'[1]End - Use Prices'!$C$7:$AL$7,0))</f>
        <v>33.340000000000003</v>
      </c>
      <c r="BF178" s="41">
        <f>INDEX('[1]End - Use Prices'!$C$6:$AL$89,MATCH($C178,'[1]End - Use Prices'!$A$6:$A$89,0)+MATCH($D178,'[1]End - Use Prices'!$B$9:$B$11,0)-1,MATCH(BF$1,'[1]End - Use Prices'!$C$7:$AL$7,0))</f>
        <v>33.270000000000003</v>
      </c>
      <c r="BG178" s="41">
        <f>INDEX('[1]End - Use Prices'!$C$6:$AL$89,MATCH($C178,'[1]End - Use Prices'!$A$6:$A$89,0)+MATCH($D178,'[1]End - Use Prices'!$B$9:$B$11,0)-1,MATCH(BG$1,'[1]End - Use Prices'!$C$7:$AL$7,0))</f>
        <v>33.18</v>
      </c>
      <c r="BR178" s="39"/>
      <c r="BS178" s="39"/>
      <c r="BT178" s="39"/>
      <c r="BU178" s="39"/>
      <c r="BV178" s="39"/>
      <c r="BW178" s="39"/>
      <c r="BX178" s="39"/>
      <c r="BY178" s="39"/>
      <c r="BZ178" s="39"/>
      <c r="CA178" s="39"/>
    </row>
    <row r="179" spans="1:79" x14ac:dyDescent="0.25">
      <c r="A179" s="5"/>
      <c r="B179" s="3"/>
      <c r="C179" s="25" t="s">
        <v>85</v>
      </c>
      <c r="D179" s="25" t="s">
        <v>280</v>
      </c>
      <c r="E179" s="25" t="s">
        <v>282</v>
      </c>
      <c r="F179" s="67" t="s">
        <v>279</v>
      </c>
      <c r="G179" s="53">
        <f t="shared" si="25"/>
        <v>25.86</v>
      </c>
      <c r="H179" s="34">
        <f t="shared" si="28"/>
        <v>25.86</v>
      </c>
      <c r="I179" s="34">
        <f t="shared" si="28"/>
        <v>26.25</v>
      </c>
      <c r="J179" s="34">
        <f t="shared" si="28"/>
        <v>22.78</v>
      </c>
      <c r="K179" s="34">
        <f t="shared" si="28"/>
        <v>35.65</v>
      </c>
      <c r="L179" s="34">
        <f t="shared" si="28"/>
        <v>31.1</v>
      </c>
      <c r="M179" s="34">
        <f t="shared" si="28"/>
        <v>30.26</v>
      </c>
      <c r="N179" s="34">
        <f t="shared" si="28"/>
        <v>30.03</v>
      </c>
      <c r="O179" s="34">
        <f t="shared" si="28"/>
        <v>29.65</v>
      </c>
      <c r="P179" s="53">
        <f t="shared" si="29"/>
        <v>29.65</v>
      </c>
      <c r="Q179" s="53">
        <f t="shared" si="29"/>
        <v>29.65</v>
      </c>
      <c r="R179" s="38"/>
      <c r="X179" s="41">
        <f>INDEX('[1]End - Use Prices'!$C$6:$AL$89,MATCH($C179,'[1]End - Use Prices'!$A$6:$A$89,0)+MATCH($D179,'[1]End - Use Prices'!$B$9:$B$11,0)-1,MATCH(X$1,'[1]End - Use Prices'!$C$7:$AL$7,0))</f>
        <v>25.86</v>
      </c>
      <c r="Y179" s="41">
        <f>INDEX('[1]End - Use Prices'!$C$6:$AL$89,MATCH($C179,'[1]End - Use Prices'!$A$6:$A$89,0)+MATCH($D179,'[1]End - Use Prices'!$B$9:$B$11,0)-1,MATCH(Y$1,'[1]End - Use Prices'!$C$7:$AL$7,0))</f>
        <v>27.18</v>
      </c>
      <c r="Z179" s="41">
        <f>INDEX('[1]End - Use Prices'!$C$6:$AL$89,MATCH($C179,'[1]End - Use Prices'!$A$6:$A$89,0)+MATCH($D179,'[1]End - Use Prices'!$B$9:$B$11,0)-1,MATCH(Z$1,'[1]End - Use Prices'!$C$7:$AL$7,0))</f>
        <v>27.19</v>
      </c>
      <c r="AA179" s="41">
        <f>INDEX('[1]End - Use Prices'!$C$6:$AL$89,MATCH($C179,'[1]End - Use Prices'!$A$6:$A$89,0)+MATCH($D179,'[1]End - Use Prices'!$B$9:$B$11,0)-1,MATCH(AA$1,'[1]End - Use Prices'!$C$7:$AL$7,0))</f>
        <v>32.65</v>
      </c>
      <c r="AB179" s="41">
        <f>INDEX('[1]End - Use Prices'!$C$6:$AL$89,MATCH($C179,'[1]End - Use Prices'!$A$6:$A$89,0)+MATCH($D179,'[1]End - Use Prices'!$B$9:$B$11,0)-1,MATCH(AB$1,'[1]End - Use Prices'!$C$7:$AL$7,0))</f>
        <v>22.7</v>
      </c>
      <c r="AC179" s="41">
        <f>INDEX('[1]End - Use Prices'!$C$6:$AL$89,MATCH($C179,'[1]End - Use Prices'!$A$6:$A$89,0)+MATCH($D179,'[1]End - Use Prices'!$B$9:$B$11,0)-1,MATCH(AC$1,'[1]End - Use Prices'!$C$7:$AL$7,0))</f>
        <v>26.25</v>
      </c>
      <c r="AD179" s="41">
        <f>INDEX('[1]End - Use Prices'!$C$6:$AL$89,MATCH($C179,'[1]End - Use Prices'!$A$6:$A$89,0)+MATCH($D179,'[1]End - Use Prices'!$B$9:$B$11,0)-1,MATCH(AD$1,'[1]End - Use Prices'!$C$7:$AL$7,0))</f>
        <v>31.74</v>
      </c>
      <c r="AE179" s="41">
        <f>INDEX('[1]End - Use Prices'!$C$6:$AL$89,MATCH($C179,'[1]End - Use Prices'!$A$6:$A$89,0)+MATCH($D179,'[1]End - Use Prices'!$B$9:$B$11,0)-1,MATCH(AE$1,'[1]End - Use Prices'!$C$7:$AL$7,0))</f>
        <v>32.58</v>
      </c>
      <c r="AF179" s="41">
        <f>INDEX('[1]End - Use Prices'!$C$6:$AL$89,MATCH($C179,'[1]End - Use Prices'!$A$6:$A$89,0)+MATCH($D179,'[1]End - Use Prices'!$B$9:$B$11,0)-1,MATCH(AF$1,'[1]End - Use Prices'!$C$7:$AL$7,0))</f>
        <v>29.61</v>
      </c>
      <c r="AG179" s="41">
        <f>INDEX('[1]End - Use Prices'!$C$6:$AL$89,MATCH($C179,'[1]End - Use Prices'!$A$6:$A$89,0)+MATCH($D179,'[1]End - Use Prices'!$B$9:$B$11,0)-1,MATCH(AG$1,'[1]End - Use Prices'!$C$7:$AL$7,0))</f>
        <v>29.41</v>
      </c>
      <c r="AH179" s="41">
        <f>INDEX('[1]End - Use Prices'!$C$6:$AL$89,MATCH($C179,'[1]End - Use Prices'!$A$6:$A$89,0)+MATCH($D179,'[1]End - Use Prices'!$B$9:$B$11,0)-1,MATCH(AH$1,'[1]End - Use Prices'!$C$7:$AL$7,0))</f>
        <v>22.78</v>
      </c>
      <c r="AI179" s="41">
        <f>INDEX('[1]End - Use Prices'!$C$6:$AL$89,MATCH($C179,'[1]End - Use Prices'!$A$6:$A$89,0)+MATCH($D179,'[1]End - Use Prices'!$B$9:$B$11,0)-1,MATCH(AI$1,'[1]End - Use Prices'!$C$7:$AL$7,0))</f>
        <v>21.05</v>
      </c>
      <c r="AJ179" s="41">
        <f>INDEX('[1]End - Use Prices'!$C$6:$AL$89,MATCH($C179,'[1]End - Use Prices'!$A$6:$A$89,0)+MATCH($D179,'[1]End - Use Prices'!$B$9:$B$11,0)-1,MATCH(AJ$1,'[1]End - Use Prices'!$C$7:$AL$7,0))</f>
        <v>24</v>
      </c>
      <c r="AK179" s="41">
        <f>INDEX('[1]End - Use Prices'!$C$6:$AL$89,MATCH($C179,'[1]End - Use Prices'!$A$6:$A$89,0)+MATCH($D179,'[1]End - Use Prices'!$B$9:$B$11,0)-1,MATCH(AK$1,'[1]End - Use Prices'!$C$7:$AL$7,0))</f>
        <v>27.31</v>
      </c>
      <c r="AL179" s="41">
        <f>INDEX('[1]End - Use Prices'!$C$6:$AL$89,MATCH($C179,'[1]End - Use Prices'!$A$6:$A$89,0)+MATCH($D179,'[1]End - Use Prices'!$B$9:$B$11,0)-1,MATCH(AL$1,'[1]End - Use Prices'!$C$7:$AL$7,0))</f>
        <v>30.69</v>
      </c>
      <c r="AM179" s="41">
        <f>INDEX('[1]End - Use Prices'!$C$6:$AL$89,MATCH($C179,'[1]End - Use Prices'!$A$6:$A$89,0)+MATCH($D179,'[1]End - Use Prices'!$B$9:$B$11,0)-1,MATCH(AM$1,'[1]End - Use Prices'!$C$7:$AL$7,0))</f>
        <v>35.65</v>
      </c>
      <c r="AN179" s="41">
        <f>INDEX('[1]End - Use Prices'!$C$6:$AL$89,MATCH($C179,'[1]End - Use Prices'!$A$6:$A$89,0)+MATCH($D179,'[1]End - Use Prices'!$B$9:$B$11,0)-1,MATCH(AN$1,'[1]End - Use Prices'!$C$7:$AL$7,0))</f>
        <v>32.92</v>
      </c>
      <c r="AO179" s="41">
        <f>INDEX('[1]End - Use Prices'!$C$6:$AL$89,MATCH($C179,'[1]End - Use Prices'!$A$6:$A$89,0)+MATCH($D179,'[1]End - Use Prices'!$B$9:$B$11,0)-1,MATCH(AO$1,'[1]End - Use Prices'!$C$7:$AL$7,0))</f>
        <v>31.27</v>
      </c>
      <c r="AP179" s="41">
        <f>INDEX('[1]End - Use Prices'!$C$6:$AL$89,MATCH($C179,'[1]End - Use Prices'!$A$6:$A$89,0)+MATCH($D179,'[1]End - Use Prices'!$B$9:$B$11,0)-1,MATCH(AP$1,'[1]End - Use Prices'!$C$7:$AL$7,0))</f>
        <v>31.4</v>
      </c>
      <c r="AQ179" s="41">
        <f>INDEX('[1]End - Use Prices'!$C$6:$AL$89,MATCH($C179,'[1]End - Use Prices'!$A$6:$A$89,0)+MATCH($D179,'[1]End - Use Prices'!$B$9:$B$11,0)-1,MATCH(AQ$1,'[1]End - Use Prices'!$C$7:$AL$7,0))</f>
        <v>31.13</v>
      </c>
      <c r="AR179" s="41">
        <f>INDEX('[1]End - Use Prices'!$C$6:$AL$89,MATCH($C179,'[1]End - Use Prices'!$A$6:$A$89,0)+MATCH($D179,'[1]End - Use Prices'!$B$9:$B$11,0)-1,MATCH(AR$1,'[1]End - Use Prices'!$C$7:$AL$7,0))</f>
        <v>31.1</v>
      </c>
      <c r="AS179" s="41">
        <f>INDEX('[1]End - Use Prices'!$C$6:$AL$89,MATCH($C179,'[1]End - Use Prices'!$A$6:$A$89,0)+MATCH($D179,'[1]End - Use Prices'!$B$9:$B$11,0)-1,MATCH(AS$1,'[1]End - Use Prices'!$C$7:$AL$7,0))</f>
        <v>31.02</v>
      </c>
      <c r="AT179" s="41">
        <f>INDEX('[1]End - Use Prices'!$C$6:$AL$89,MATCH($C179,'[1]End - Use Prices'!$A$6:$A$89,0)+MATCH($D179,'[1]End - Use Prices'!$B$9:$B$11,0)-1,MATCH(AT$1,'[1]End - Use Prices'!$C$7:$AL$7,0))</f>
        <v>30.85</v>
      </c>
      <c r="AU179" s="41">
        <f>INDEX('[1]End - Use Prices'!$C$6:$AL$89,MATCH($C179,'[1]End - Use Prices'!$A$6:$A$89,0)+MATCH($D179,'[1]End - Use Prices'!$B$9:$B$11,0)-1,MATCH(AU$1,'[1]End - Use Prices'!$C$7:$AL$7,0))</f>
        <v>30.63</v>
      </c>
      <c r="AV179" s="41">
        <f>INDEX('[1]End - Use Prices'!$C$6:$AL$89,MATCH($C179,'[1]End - Use Prices'!$A$6:$A$89,0)+MATCH($D179,'[1]End - Use Prices'!$B$9:$B$11,0)-1,MATCH(AV$1,'[1]End - Use Prices'!$C$7:$AL$7,0))</f>
        <v>30.45</v>
      </c>
      <c r="AW179" s="41">
        <f>INDEX('[1]End - Use Prices'!$C$6:$AL$89,MATCH($C179,'[1]End - Use Prices'!$A$6:$A$89,0)+MATCH($D179,'[1]End - Use Prices'!$B$9:$B$11,0)-1,MATCH(AW$1,'[1]End - Use Prices'!$C$7:$AL$7,0))</f>
        <v>30.26</v>
      </c>
      <c r="AX179" s="41">
        <f>INDEX('[1]End - Use Prices'!$C$6:$AL$89,MATCH($C179,'[1]End - Use Prices'!$A$6:$A$89,0)+MATCH($D179,'[1]End - Use Prices'!$B$9:$B$11,0)-1,MATCH(AX$1,'[1]End - Use Prices'!$C$7:$AL$7,0))</f>
        <v>30.15</v>
      </c>
      <c r="AY179" s="41">
        <f>INDEX('[1]End - Use Prices'!$C$6:$AL$89,MATCH($C179,'[1]End - Use Prices'!$A$6:$A$89,0)+MATCH($D179,'[1]End - Use Prices'!$B$9:$B$11,0)-1,MATCH(AY$1,'[1]End - Use Prices'!$C$7:$AL$7,0))</f>
        <v>30.08</v>
      </c>
      <c r="AZ179" s="41">
        <f>INDEX('[1]End - Use Prices'!$C$6:$AL$89,MATCH($C179,'[1]End - Use Prices'!$A$6:$A$89,0)+MATCH($D179,'[1]End - Use Prices'!$B$9:$B$11,0)-1,MATCH(AZ$1,'[1]End - Use Prices'!$C$7:$AL$7,0))</f>
        <v>30.05</v>
      </c>
      <c r="BA179" s="41">
        <f>INDEX('[1]End - Use Prices'!$C$6:$AL$89,MATCH($C179,'[1]End - Use Prices'!$A$6:$A$89,0)+MATCH($D179,'[1]End - Use Prices'!$B$9:$B$11,0)-1,MATCH(BA$1,'[1]End - Use Prices'!$C$7:$AL$7,0))</f>
        <v>30.05</v>
      </c>
      <c r="BB179" s="41">
        <f>INDEX('[1]End - Use Prices'!$C$6:$AL$89,MATCH($C179,'[1]End - Use Prices'!$A$6:$A$89,0)+MATCH($D179,'[1]End - Use Prices'!$B$9:$B$11,0)-1,MATCH(BB$1,'[1]End - Use Prices'!$C$7:$AL$7,0))</f>
        <v>30.03</v>
      </c>
      <c r="BC179" s="41">
        <f>INDEX('[1]End - Use Prices'!$C$6:$AL$89,MATCH($C179,'[1]End - Use Prices'!$A$6:$A$89,0)+MATCH($D179,'[1]End - Use Prices'!$B$9:$B$11,0)-1,MATCH(BC$1,'[1]End - Use Prices'!$C$7:$AL$7,0))</f>
        <v>29.99</v>
      </c>
      <c r="BD179" s="41">
        <f>INDEX('[1]End - Use Prices'!$C$6:$AL$89,MATCH($C179,'[1]End - Use Prices'!$A$6:$A$89,0)+MATCH($D179,'[1]End - Use Prices'!$B$9:$B$11,0)-1,MATCH(BD$1,'[1]End - Use Prices'!$C$7:$AL$7,0))</f>
        <v>29.93</v>
      </c>
      <c r="BE179" s="41">
        <f>INDEX('[1]End - Use Prices'!$C$6:$AL$89,MATCH($C179,'[1]End - Use Prices'!$A$6:$A$89,0)+MATCH($D179,'[1]End - Use Prices'!$B$9:$B$11,0)-1,MATCH(BE$1,'[1]End - Use Prices'!$C$7:$AL$7,0))</f>
        <v>29.84</v>
      </c>
      <c r="BF179" s="41">
        <f>INDEX('[1]End - Use Prices'!$C$6:$AL$89,MATCH($C179,'[1]End - Use Prices'!$A$6:$A$89,0)+MATCH($D179,'[1]End - Use Prices'!$B$9:$B$11,0)-1,MATCH(BF$1,'[1]End - Use Prices'!$C$7:$AL$7,0))</f>
        <v>29.75</v>
      </c>
      <c r="BG179" s="41">
        <f>INDEX('[1]End - Use Prices'!$C$6:$AL$89,MATCH($C179,'[1]End - Use Prices'!$A$6:$A$89,0)+MATCH($D179,'[1]End - Use Prices'!$B$9:$B$11,0)-1,MATCH(BG$1,'[1]End - Use Prices'!$C$7:$AL$7,0))</f>
        <v>29.65</v>
      </c>
      <c r="BR179" s="39"/>
      <c r="BS179" s="39"/>
      <c r="BT179" s="39"/>
      <c r="BU179" s="39"/>
      <c r="BV179" s="39"/>
      <c r="BW179" s="39"/>
      <c r="BX179" s="39"/>
      <c r="BY179" s="39"/>
      <c r="BZ179" s="39"/>
      <c r="CA179" s="39"/>
    </row>
    <row r="180" spans="1:79" x14ac:dyDescent="0.25">
      <c r="A180" s="5"/>
      <c r="B180" s="3"/>
      <c r="C180" s="25" t="s">
        <v>86</v>
      </c>
      <c r="D180" s="25" t="s">
        <v>280</v>
      </c>
      <c r="E180" s="25" t="s">
        <v>282</v>
      </c>
      <c r="F180" s="67" t="s">
        <v>279</v>
      </c>
      <c r="G180" s="53">
        <f t="shared" si="25"/>
        <v>24.29</v>
      </c>
      <c r="H180" s="34">
        <f t="shared" si="28"/>
        <v>24.29</v>
      </c>
      <c r="I180" s="34">
        <f t="shared" si="28"/>
        <v>24.71</v>
      </c>
      <c r="J180" s="34">
        <f t="shared" si="28"/>
        <v>24.09</v>
      </c>
      <c r="K180" s="34">
        <f t="shared" si="28"/>
        <v>34.39</v>
      </c>
      <c r="L180" s="34">
        <f t="shared" si="28"/>
        <v>30.37</v>
      </c>
      <c r="M180" s="34">
        <f t="shared" si="28"/>
        <v>29.56</v>
      </c>
      <c r="N180" s="34">
        <f t="shared" si="28"/>
        <v>29.32</v>
      </c>
      <c r="O180" s="34">
        <f t="shared" si="28"/>
        <v>28.95</v>
      </c>
      <c r="P180" s="53">
        <f t="shared" si="29"/>
        <v>28.95</v>
      </c>
      <c r="Q180" s="53">
        <f t="shared" si="29"/>
        <v>28.95</v>
      </c>
      <c r="R180" s="38"/>
      <c r="X180" s="41">
        <f>INDEX('[1]End - Use Prices'!$C$6:$AL$89,MATCH($C180,'[1]End - Use Prices'!$A$6:$A$89,0)+MATCH($D180,'[1]End - Use Prices'!$B$9:$B$11,0)-1,MATCH(X$1,'[1]End - Use Prices'!$C$7:$AL$7,0))</f>
        <v>24.29</v>
      </c>
      <c r="Y180" s="41">
        <f>INDEX('[1]End - Use Prices'!$C$6:$AL$89,MATCH($C180,'[1]End - Use Prices'!$A$6:$A$89,0)+MATCH($D180,'[1]End - Use Prices'!$B$9:$B$11,0)-1,MATCH(Y$1,'[1]End - Use Prices'!$C$7:$AL$7,0))</f>
        <v>24.86</v>
      </c>
      <c r="Z180" s="41">
        <f>INDEX('[1]End - Use Prices'!$C$6:$AL$89,MATCH($C180,'[1]End - Use Prices'!$A$6:$A$89,0)+MATCH($D180,'[1]End - Use Prices'!$B$9:$B$11,0)-1,MATCH(Z$1,'[1]End - Use Prices'!$C$7:$AL$7,0))</f>
        <v>24.61</v>
      </c>
      <c r="AA180" s="41">
        <f>INDEX('[1]End - Use Prices'!$C$6:$AL$89,MATCH($C180,'[1]End - Use Prices'!$A$6:$A$89,0)+MATCH($D180,'[1]End - Use Prices'!$B$9:$B$11,0)-1,MATCH(AA$1,'[1]End - Use Prices'!$C$7:$AL$7,0))</f>
        <v>30.51</v>
      </c>
      <c r="AB180" s="41">
        <f>INDEX('[1]End - Use Prices'!$C$6:$AL$89,MATCH($C180,'[1]End - Use Prices'!$A$6:$A$89,0)+MATCH($D180,'[1]End - Use Prices'!$B$9:$B$11,0)-1,MATCH(AB$1,'[1]End - Use Prices'!$C$7:$AL$7,0))</f>
        <v>21.93</v>
      </c>
      <c r="AC180" s="41">
        <f>INDEX('[1]End - Use Prices'!$C$6:$AL$89,MATCH($C180,'[1]End - Use Prices'!$A$6:$A$89,0)+MATCH($D180,'[1]End - Use Prices'!$B$9:$B$11,0)-1,MATCH(AC$1,'[1]End - Use Prices'!$C$7:$AL$7,0))</f>
        <v>24.71</v>
      </c>
      <c r="AD180" s="41">
        <f>INDEX('[1]End - Use Prices'!$C$6:$AL$89,MATCH($C180,'[1]End - Use Prices'!$A$6:$A$89,0)+MATCH($D180,'[1]End - Use Prices'!$B$9:$B$11,0)-1,MATCH(AD$1,'[1]End - Use Prices'!$C$7:$AL$7,0))</f>
        <v>30.18</v>
      </c>
      <c r="AE180" s="41">
        <f>INDEX('[1]End - Use Prices'!$C$6:$AL$89,MATCH($C180,'[1]End - Use Prices'!$A$6:$A$89,0)+MATCH($D180,'[1]End - Use Prices'!$B$9:$B$11,0)-1,MATCH(AE$1,'[1]End - Use Prices'!$C$7:$AL$7,0))</f>
        <v>31.33</v>
      </c>
      <c r="AF180" s="41">
        <f>INDEX('[1]End - Use Prices'!$C$6:$AL$89,MATCH($C180,'[1]End - Use Prices'!$A$6:$A$89,0)+MATCH($D180,'[1]End - Use Prices'!$B$9:$B$11,0)-1,MATCH(AF$1,'[1]End - Use Prices'!$C$7:$AL$7,0))</f>
        <v>30.91</v>
      </c>
      <c r="AG180" s="41">
        <f>INDEX('[1]End - Use Prices'!$C$6:$AL$89,MATCH($C180,'[1]End - Use Prices'!$A$6:$A$89,0)+MATCH($D180,'[1]End - Use Prices'!$B$9:$B$11,0)-1,MATCH(AG$1,'[1]End - Use Prices'!$C$7:$AL$7,0))</f>
        <v>31</v>
      </c>
      <c r="AH180" s="41">
        <f>INDEX('[1]End - Use Prices'!$C$6:$AL$89,MATCH($C180,'[1]End - Use Prices'!$A$6:$A$89,0)+MATCH($D180,'[1]End - Use Prices'!$B$9:$B$11,0)-1,MATCH(AH$1,'[1]End - Use Prices'!$C$7:$AL$7,0))</f>
        <v>24.09</v>
      </c>
      <c r="AI180" s="41">
        <f>INDEX('[1]End - Use Prices'!$C$6:$AL$89,MATCH($C180,'[1]End - Use Prices'!$A$6:$A$89,0)+MATCH($D180,'[1]End - Use Prices'!$B$9:$B$11,0)-1,MATCH(AI$1,'[1]End - Use Prices'!$C$7:$AL$7,0))</f>
        <v>20.85</v>
      </c>
      <c r="AJ180" s="41">
        <f>INDEX('[1]End - Use Prices'!$C$6:$AL$89,MATCH($C180,'[1]End - Use Prices'!$A$6:$A$89,0)+MATCH($D180,'[1]End - Use Prices'!$B$9:$B$11,0)-1,MATCH(AJ$1,'[1]End - Use Prices'!$C$7:$AL$7,0))</f>
        <v>22.06</v>
      </c>
      <c r="AK180" s="41">
        <f>INDEX('[1]End - Use Prices'!$C$6:$AL$89,MATCH($C180,'[1]End - Use Prices'!$A$6:$A$89,0)+MATCH($D180,'[1]End - Use Prices'!$B$9:$B$11,0)-1,MATCH(AK$1,'[1]End - Use Prices'!$C$7:$AL$7,0))</f>
        <v>26.58</v>
      </c>
      <c r="AL180" s="41">
        <f>INDEX('[1]End - Use Prices'!$C$6:$AL$89,MATCH($C180,'[1]End - Use Prices'!$A$6:$A$89,0)+MATCH($D180,'[1]End - Use Prices'!$B$9:$B$11,0)-1,MATCH(AL$1,'[1]End - Use Prices'!$C$7:$AL$7,0))</f>
        <v>29.7</v>
      </c>
      <c r="AM180" s="41">
        <f>INDEX('[1]End - Use Prices'!$C$6:$AL$89,MATCH($C180,'[1]End - Use Prices'!$A$6:$A$89,0)+MATCH($D180,'[1]End - Use Prices'!$B$9:$B$11,0)-1,MATCH(AM$1,'[1]End - Use Prices'!$C$7:$AL$7,0))</f>
        <v>34.39</v>
      </c>
      <c r="AN180" s="41">
        <f>INDEX('[1]End - Use Prices'!$C$6:$AL$89,MATCH($C180,'[1]End - Use Prices'!$A$6:$A$89,0)+MATCH($D180,'[1]End - Use Prices'!$B$9:$B$11,0)-1,MATCH(AN$1,'[1]End - Use Prices'!$C$7:$AL$7,0))</f>
        <v>31.95</v>
      </c>
      <c r="AO180" s="41">
        <f>INDEX('[1]End - Use Prices'!$C$6:$AL$89,MATCH($C180,'[1]End - Use Prices'!$A$6:$A$89,0)+MATCH($D180,'[1]End - Use Prices'!$B$9:$B$11,0)-1,MATCH(AO$1,'[1]End - Use Prices'!$C$7:$AL$7,0))</f>
        <v>30.49</v>
      </c>
      <c r="AP180" s="41">
        <f>INDEX('[1]End - Use Prices'!$C$6:$AL$89,MATCH($C180,'[1]End - Use Prices'!$A$6:$A$89,0)+MATCH($D180,'[1]End - Use Prices'!$B$9:$B$11,0)-1,MATCH(AP$1,'[1]End - Use Prices'!$C$7:$AL$7,0))</f>
        <v>30.66</v>
      </c>
      <c r="AQ180" s="41">
        <f>INDEX('[1]End - Use Prices'!$C$6:$AL$89,MATCH($C180,'[1]End - Use Prices'!$A$6:$A$89,0)+MATCH($D180,'[1]End - Use Prices'!$B$9:$B$11,0)-1,MATCH(AQ$1,'[1]End - Use Prices'!$C$7:$AL$7,0))</f>
        <v>30.4</v>
      </c>
      <c r="AR180" s="41">
        <f>INDEX('[1]End - Use Prices'!$C$6:$AL$89,MATCH($C180,'[1]End - Use Prices'!$A$6:$A$89,0)+MATCH($D180,'[1]End - Use Prices'!$B$9:$B$11,0)-1,MATCH(AR$1,'[1]End - Use Prices'!$C$7:$AL$7,0))</f>
        <v>30.37</v>
      </c>
      <c r="AS180" s="41">
        <f>INDEX('[1]End - Use Prices'!$C$6:$AL$89,MATCH($C180,'[1]End - Use Prices'!$A$6:$A$89,0)+MATCH($D180,'[1]End - Use Prices'!$B$9:$B$11,0)-1,MATCH(AS$1,'[1]End - Use Prices'!$C$7:$AL$7,0))</f>
        <v>30.29</v>
      </c>
      <c r="AT180" s="41">
        <f>INDEX('[1]End - Use Prices'!$C$6:$AL$89,MATCH($C180,'[1]End - Use Prices'!$A$6:$A$89,0)+MATCH($D180,'[1]End - Use Prices'!$B$9:$B$11,0)-1,MATCH(AT$1,'[1]End - Use Prices'!$C$7:$AL$7,0))</f>
        <v>30.12</v>
      </c>
      <c r="AU180" s="41">
        <f>INDEX('[1]End - Use Prices'!$C$6:$AL$89,MATCH($C180,'[1]End - Use Prices'!$A$6:$A$89,0)+MATCH($D180,'[1]End - Use Prices'!$B$9:$B$11,0)-1,MATCH(AU$1,'[1]End - Use Prices'!$C$7:$AL$7,0))</f>
        <v>29.91</v>
      </c>
      <c r="AV180" s="41">
        <f>INDEX('[1]End - Use Prices'!$C$6:$AL$89,MATCH($C180,'[1]End - Use Prices'!$A$6:$A$89,0)+MATCH($D180,'[1]End - Use Prices'!$B$9:$B$11,0)-1,MATCH(AV$1,'[1]End - Use Prices'!$C$7:$AL$7,0))</f>
        <v>29.74</v>
      </c>
      <c r="AW180" s="41">
        <f>INDEX('[1]End - Use Prices'!$C$6:$AL$89,MATCH($C180,'[1]End - Use Prices'!$A$6:$A$89,0)+MATCH($D180,'[1]End - Use Prices'!$B$9:$B$11,0)-1,MATCH(AW$1,'[1]End - Use Prices'!$C$7:$AL$7,0))</f>
        <v>29.56</v>
      </c>
      <c r="AX180" s="41">
        <f>INDEX('[1]End - Use Prices'!$C$6:$AL$89,MATCH($C180,'[1]End - Use Prices'!$A$6:$A$89,0)+MATCH($D180,'[1]End - Use Prices'!$B$9:$B$11,0)-1,MATCH(AX$1,'[1]End - Use Prices'!$C$7:$AL$7,0))</f>
        <v>29.46</v>
      </c>
      <c r="AY180" s="41">
        <f>INDEX('[1]End - Use Prices'!$C$6:$AL$89,MATCH($C180,'[1]End - Use Prices'!$A$6:$A$89,0)+MATCH($D180,'[1]End - Use Prices'!$B$9:$B$11,0)-1,MATCH(AY$1,'[1]End - Use Prices'!$C$7:$AL$7,0))</f>
        <v>29.39</v>
      </c>
      <c r="AZ180" s="41">
        <f>INDEX('[1]End - Use Prices'!$C$6:$AL$89,MATCH($C180,'[1]End - Use Prices'!$A$6:$A$89,0)+MATCH($D180,'[1]End - Use Prices'!$B$9:$B$11,0)-1,MATCH(AZ$1,'[1]End - Use Prices'!$C$7:$AL$7,0))</f>
        <v>29.35</v>
      </c>
      <c r="BA180" s="41">
        <f>INDEX('[1]End - Use Prices'!$C$6:$AL$89,MATCH($C180,'[1]End - Use Prices'!$A$6:$A$89,0)+MATCH($D180,'[1]End - Use Prices'!$B$9:$B$11,0)-1,MATCH(BA$1,'[1]End - Use Prices'!$C$7:$AL$7,0))</f>
        <v>29.35</v>
      </c>
      <c r="BB180" s="41">
        <f>INDEX('[1]End - Use Prices'!$C$6:$AL$89,MATCH($C180,'[1]End - Use Prices'!$A$6:$A$89,0)+MATCH($D180,'[1]End - Use Prices'!$B$9:$B$11,0)-1,MATCH(BB$1,'[1]End - Use Prices'!$C$7:$AL$7,0))</f>
        <v>29.32</v>
      </c>
      <c r="BC180" s="41">
        <f>INDEX('[1]End - Use Prices'!$C$6:$AL$89,MATCH($C180,'[1]End - Use Prices'!$A$6:$A$89,0)+MATCH($D180,'[1]End - Use Prices'!$B$9:$B$11,0)-1,MATCH(BC$1,'[1]End - Use Prices'!$C$7:$AL$7,0))</f>
        <v>29.28</v>
      </c>
      <c r="BD180" s="41">
        <f>INDEX('[1]End - Use Prices'!$C$6:$AL$89,MATCH($C180,'[1]End - Use Prices'!$A$6:$A$89,0)+MATCH($D180,'[1]End - Use Prices'!$B$9:$B$11,0)-1,MATCH(BD$1,'[1]End - Use Prices'!$C$7:$AL$7,0))</f>
        <v>29.23</v>
      </c>
      <c r="BE180" s="41">
        <f>INDEX('[1]End - Use Prices'!$C$6:$AL$89,MATCH($C180,'[1]End - Use Prices'!$A$6:$A$89,0)+MATCH($D180,'[1]End - Use Prices'!$B$9:$B$11,0)-1,MATCH(BE$1,'[1]End - Use Prices'!$C$7:$AL$7,0))</f>
        <v>29.14</v>
      </c>
      <c r="BF180" s="41">
        <f>INDEX('[1]End - Use Prices'!$C$6:$AL$89,MATCH($C180,'[1]End - Use Prices'!$A$6:$A$89,0)+MATCH($D180,'[1]End - Use Prices'!$B$9:$B$11,0)-1,MATCH(BF$1,'[1]End - Use Prices'!$C$7:$AL$7,0))</f>
        <v>29.05</v>
      </c>
      <c r="BG180" s="41">
        <f>INDEX('[1]End - Use Prices'!$C$6:$AL$89,MATCH($C180,'[1]End - Use Prices'!$A$6:$A$89,0)+MATCH($D180,'[1]End - Use Prices'!$B$9:$B$11,0)-1,MATCH(BG$1,'[1]End - Use Prices'!$C$7:$AL$7,0))</f>
        <v>28.95</v>
      </c>
      <c r="BR180" s="39"/>
      <c r="BS180" s="39"/>
      <c r="BT180" s="39"/>
      <c r="BU180" s="39"/>
      <c r="BV180" s="39"/>
      <c r="BW180" s="39"/>
      <c r="BX180" s="39"/>
      <c r="BY180" s="39"/>
      <c r="BZ180" s="39"/>
      <c r="CA180" s="39"/>
    </row>
    <row r="181" spans="1:79" x14ac:dyDescent="0.25">
      <c r="A181" s="5"/>
      <c r="B181" s="3"/>
      <c r="C181" s="25" t="s">
        <v>87</v>
      </c>
      <c r="D181" s="25" t="s">
        <v>280</v>
      </c>
      <c r="E181" s="25" t="s">
        <v>282</v>
      </c>
      <c r="F181" s="67" t="s">
        <v>279</v>
      </c>
      <c r="G181" s="53">
        <f t="shared" si="25"/>
        <v>27.52</v>
      </c>
      <c r="H181" s="34">
        <f t="shared" si="28"/>
        <v>27.52</v>
      </c>
      <c r="I181" s="34">
        <f t="shared" si="28"/>
        <v>25.32</v>
      </c>
      <c r="J181" s="34">
        <f t="shared" si="28"/>
        <v>27.46</v>
      </c>
      <c r="K181" s="34">
        <f t="shared" si="28"/>
        <v>37.450000000000003</v>
      </c>
      <c r="L181" s="34">
        <f t="shared" si="28"/>
        <v>33.42</v>
      </c>
      <c r="M181" s="34">
        <f t="shared" si="28"/>
        <v>32.61</v>
      </c>
      <c r="N181" s="34">
        <f t="shared" si="28"/>
        <v>32.369999999999997</v>
      </c>
      <c r="O181" s="34">
        <f t="shared" si="28"/>
        <v>32</v>
      </c>
      <c r="P181" s="53">
        <f t="shared" si="29"/>
        <v>32</v>
      </c>
      <c r="Q181" s="53">
        <f t="shared" si="29"/>
        <v>32</v>
      </c>
      <c r="R181" s="38"/>
      <c r="X181" s="41">
        <f>INDEX('[1]End - Use Prices'!$C$6:$AL$89,MATCH($C181,'[1]End - Use Prices'!$A$6:$A$89,0)+MATCH($D181,'[1]End - Use Prices'!$B$9:$B$11,0)-1,MATCH(X$1,'[1]End - Use Prices'!$C$7:$AL$7,0))</f>
        <v>27.52</v>
      </c>
      <c r="Y181" s="41">
        <f>INDEX('[1]End - Use Prices'!$C$6:$AL$89,MATCH($C181,'[1]End - Use Prices'!$A$6:$A$89,0)+MATCH($D181,'[1]End - Use Prices'!$B$9:$B$11,0)-1,MATCH(Y$1,'[1]End - Use Prices'!$C$7:$AL$7,0))</f>
        <v>28.18</v>
      </c>
      <c r="Z181" s="41">
        <f>INDEX('[1]End - Use Prices'!$C$6:$AL$89,MATCH($C181,'[1]End - Use Prices'!$A$6:$A$89,0)+MATCH($D181,'[1]End - Use Prices'!$B$9:$B$11,0)-1,MATCH(Z$1,'[1]End - Use Prices'!$C$7:$AL$7,0))</f>
        <v>26.07</v>
      </c>
      <c r="AA181" s="41">
        <f>INDEX('[1]End - Use Prices'!$C$6:$AL$89,MATCH($C181,'[1]End - Use Prices'!$A$6:$A$89,0)+MATCH($D181,'[1]End - Use Prices'!$B$9:$B$11,0)-1,MATCH(AA$1,'[1]End - Use Prices'!$C$7:$AL$7,0))</f>
        <v>31.72</v>
      </c>
      <c r="AB181" s="41">
        <f>INDEX('[1]End - Use Prices'!$C$6:$AL$89,MATCH($C181,'[1]End - Use Prices'!$A$6:$A$89,0)+MATCH($D181,'[1]End - Use Prices'!$B$9:$B$11,0)-1,MATCH(AB$1,'[1]End - Use Prices'!$C$7:$AL$7,0))</f>
        <v>22.7</v>
      </c>
      <c r="AC181" s="41">
        <f>INDEX('[1]End - Use Prices'!$C$6:$AL$89,MATCH($C181,'[1]End - Use Prices'!$A$6:$A$89,0)+MATCH($D181,'[1]End - Use Prices'!$B$9:$B$11,0)-1,MATCH(AC$1,'[1]End - Use Prices'!$C$7:$AL$7,0))</f>
        <v>25.32</v>
      </c>
      <c r="AD181" s="41">
        <f>INDEX('[1]End - Use Prices'!$C$6:$AL$89,MATCH($C181,'[1]End - Use Prices'!$A$6:$A$89,0)+MATCH($D181,'[1]End - Use Prices'!$B$9:$B$11,0)-1,MATCH(AD$1,'[1]End - Use Prices'!$C$7:$AL$7,0))</f>
        <v>30.73</v>
      </c>
      <c r="AE181" s="41">
        <f>INDEX('[1]End - Use Prices'!$C$6:$AL$89,MATCH($C181,'[1]End - Use Prices'!$A$6:$A$89,0)+MATCH($D181,'[1]End - Use Prices'!$B$9:$B$11,0)-1,MATCH(AE$1,'[1]End - Use Prices'!$C$7:$AL$7,0))</f>
        <v>31.88</v>
      </c>
      <c r="AF181" s="41">
        <f>INDEX('[1]End - Use Prices'!$C$6:$AL$89,MATCH($C181,'[1]End - Use Prices'!$A$6:$A$89,0)+MATCH($D181,'[1]End - Use Prices'!$B$9:$B$11,0)-1,MATCH(AF$1,'[1]End - Use Prices'!$C$7:$AL$7,0))</f>
        <v>31.97</v>
      </c>
      <c r="AG181" s="41">
        <f>INDEX('[1]End - Use Prices'!$C$6:$AL$89,MATCH($C181,'[1]End - Use Prices'!$A$6:$A$89,0)+MATCH($D181,'[1]End - Use Prices'!$B$9:$B$11,0)-1,MATCH(AG$1,'[1]End - Use Prices'!$C$7:$AL$7,0))</f>
        <v>34.450000000000003</v>
      </c>
      <c r="AH181" s="41">
        <f>INDEX('[1]End - Use Prices'!$C$6:$AL$89,MATCH($C181,'[1]End - Use Prices'!$A$6:$A$89,0)+MATCH($D181,'[1]End - Use Prices'!$B$9:$B$11,0)-1,MATCH(AH$1,'[1]End - Use Prices'!$C$7:$AL$7,0))</f>
        <v>27.46</v>
      </c>
      <c r="AI181" s="41">
        <f>INDEX('[1]End - Use Prices'!$C$6:$AL$89,MATCH($C181,'[1]End - Use Prices'!$A$6:$A$89,0)+MATCH($D181,'[1]End - Use Prices'!$B$9:$B$11,0)-1,MATCH(AI$1,'[1]End - Use Prices'!$C$7:$AL$7,0))</f>
        <v>23.92</v>
      </c>
      <c r="AJ181" s="41">
        <f>INDEX('[1]End - Use Prices'!$C$6:$AL$89,MATCH($C181,'[1]End - Use Prices'!$A$6:$A$89,0)+MATCH($D181,'[1]End - Use Prices'!$B$9:$B$11,0)-1,MATCH(AJ$1,'[1]End - Use Prices'!$C$7:$AL$7,0))</f>
        <v>25.38</v>
      </c>
      <c r="AK181" s="41">
        <f>INDEX('[1]End - Use Prices'!$C$6:$AL$89,MATCH($C181,'[1]End - Use Prices'!$A$6:$A$89,0)+MATCH($D181,'[1]End - Use Prices'!$B$9:$B$11,0)-1,MATCH(AK$1,'[1]End - Use Prices'!$C$7:$AL$7,0))</f>
        <v>29.63</v>
      </c>
      <c r="AL181" s="41">
        <f>INDEX('[1]End - Use Prices'!$C$6:$AL$89,MATCH($C181,'[1]End - Use Prices'!$A$6:$A$89,0)+MATCH($D181,'[1]End - Use Prices'!$B$9:$B$11,0)-1,MATCH(AL$1,'[1]End - Use Prices'!$C$7:$AL$7,0))</f>
        <v>32.75</v>
      </c>
      <c r="AM181" s="41">
        <f>INDEX('[1]End - Use Prices'!$C$6:$AL$89,MATCH($C181,'[1]End - Use Prices'!$A$6:$A$89,0)+MATCH($D181,'[1]End - Use Prices'!$B$9:$B$11,0)-1,MATCH(AM$1,'[1]End - Use Prices'!$C$7:$AL$7,0))</f>
        <v>37.450000000000003</v>
      </c>
      <c r="AN181" s="41">
        <f>INDEX('[1]End - Use Prices'!$C$6:$AL$89,MATCH($C181,'[1]End - Use Prices'!$A$6:$A$89,0)+MATCH($D181,'[1]End - Use Prices'!$B$9:$B$11,0)-1,MATCH(AN$1,'[1]End - Use Prices'!$C$7:$AL$7,0))</f>
        <v>35</v>
      </c>
      <c r="AO181" s="41">
        <f>INDEX('[1]End - Use Prices'!$C$6:$AL$89,MATCH($C181,'[1]End - Use Prices'!$A$6:$A$89,0)+MATCH($D181,'[1]End - Use Prices'!$B$9:$B$11,0)-1,MATCH(AO$1,'[1]End - Use Prices'!$C$7:$AL$7,0))</f>
        <v>33.549999999999997</v>
      </c>
      <c r="AP181" s="41">
        <f>INDEX('[1]End - Use Prices'!$C$6:$AL$89,MATCH($C181,'[1]End - Use Prices'!$A$6:$A$89,0)+MATCH($D181,'[1]End - Use Prices'!$B$9:$B$11,0)-1,MATCH(AP$1,'[1]End - Use Prices'!$C$7:$AL$7,0))</f>
        <v>33.72</v>
      </c>
      <c r="AQ181" s="41">
        <f>INDEX('[1]End - Use Prices'!$C$6:$AL$89,MATCH($C181,'[1]End - Use Prices'!$A$6:$A$89,0)+MATCH($D181,'[1]End - Use Prices'!$B$9:$B$11,0)-1,MATCH(AQ$1,'[1]End - Use Prices'!$C$7:$AL$7,0))</f>
        <v>33.450000000000003</v>
      </c>
      <c r="AR181" s="41">
        <f>INDEX('[1]End - Use Prices'!$C$6:$AL$89,MATCH($C181,'[1]End - Use Prices'!$A$6:$A$89,0)+MATCH($D181,'[1]End - Use Prices'!$B$9:$B$11,0)-1,MATCH(AR$1,'[1]End - Use Prices'!$C$7:$AL$7,0))</f>
        <v>33.42</v>
      </c>
      <c r="AS181" s="41">
        <f>INDEX('[1]End - Use Prices'!$C$6:$AL$89,MATCH($C181,'[1]End - Use Prices'!$A$6:$A$89,0)+MATCH($D181,'[1]End - Use Prices'!$B$9:$B$11,0)-1,MATCH(AS$1,'[1]End - Use Prices'!$C$7:$AL$7,0))</f>
        <v>33.340000000000003</v>
      </c>
      <c r="AT181" s="41">
        <f>INDEX('[1]End - Use Prices'!$C$6:$AL$89,MATCH($C181,'[1]End - Use Prices'!$A$6:$A$89,0)+MATCH($D181,'[1]End - Use Prices'!$B$9:$B$11,0)-1,MATCH(AT$1,'[1]End - Use Prices'!$C$7:$AL$7,0))</f>
        <v>33.17</v>
      </c>
      <c r="AU181" s="41">
        <f>INDEX('[1]End - Use Prices'!$C$6:$AL$89,MATCH($C181,'[1]End - Use Prices'!$A$6:$A$89,0)+MATCH($D181,'[1]End - Use Prices'!$B$9:$B$11,0)-1,MATCH(AU$1,'[1]End - Use Prices'!$C$7:$AL$7,0))</f>
        <v>32.96</v>
      </c>
      <c r="AV181" s="41">
        <f>INDEX('[1]End - Use Prices'!$C$6:$AL$89,MATCH($C181,'[1]End - Use Prices'!$A$6:$A$89,0)+MATCH($D181,'[1]End - Use Prices'!$B$9:$B$11,0)-1,MATCH(AV$1,'[1]End - Use Prices'!$C$7:$AL$7,0))</f>
        <v>32.79</v>
      </c>
      <c r="AW181" s="41">
        <f>INDEX('[1]End - Use Prices'!$C$6:$AL$89,MATCH($C181,'[1]End - Use Prices'!$A$6:$A$89,0)+MATCH($D181,'[1]End - Use Prices'!$B$9:$B$11,0)-1,MATCH(AW$1,'[1]End - Use Prices'!$C$7:$AL$7,0))</f>
        <v>32.61</v>
      </c>
      <c r="AX181" s="41">
        <f>INDEX('[1]End - Use Prices'!$C$6:$AL$89,MATCH($C181,'[1]End - Use Prices'!$A$6:$A$89,0)+MATCH($D181,'[1]End - Use Prices'!$B$9:$B$11,0)-1,MATCH(AX$1,'[1]End - Use Prices'!$C$7:$AL$7,0))</f>
        <v>32.51</v>
      </c>
      <c r="AY181" s="41">
        <f>INDEX('[1]End - Use Prices'!$C$6:$AL$89,MATCH($C181,'[1]End - Use Prices'!$A$6:$A$89,0)+MATCH($D181,'[1]End - Use Prices'!$B$9:$B$11,0)-1,MATCH(AY$1,'[1]End - Use Prices'!$C$7:$AL$7,0))</f>
        <v>32.44</v>
      </c>
      <c r="AZ181" s="41">
        <f>INDEX('[1]End - Use Prices'!$C$6:$AL$89,MATCH($C181,'[1]End - Use Prices'!$A$6:$A$89,0)+MATCH($D181,'[1]End - Use Prices'!$B$9:$B$11,0)-1,MATCH(AZ$1,'[1]End - Use Prices'!$C$7:$AL$7,0))</f>
        <v>32.4</v>
      </c>
      <c r="BA181" s="41">
        <f>INDEX('[1]End - Use Prices'!$C$6:$AL$89,MATCH($C181,'[1]End - Use Prices'!$A$6:$A$89,0)+MATCH($D181,'[1]End - Use Prices'!$B$9:$B$11,0)-1,MATCH(BA$1,'[1]End - Use Prices'!$C$7:$AL$7,0))</f>
        <v>32.4</v>
      </c>
      <c r="BB181" s="41">
        <f>INDEX('[1]End - Use Prices'!$C$6:$AL$89,MATCH($C181,'[1]End - Use Prices'!$A$6:$A$89,0)+MATCH($D181,'[1]End - Use Prices'!$B$9:$B$11,0)-1,MATCH(BB$1,'[1]End - Use Prices'!$C$7:$AL$7,0))</f>
        <v>32.369999999999997</v>
      </c>
      <c r="BC181" s="41">
        <f>INDEX('[1]End - Use Prices'!$C$6:$AL$89,MATCH($C181,'[1]End - Use Prices'!$A$6:$A$89,0)+MATCH($D181,'[1]End - Use Prices'!$B$9:$B$11,0)-1,MATCH(BC$1,'[1]End - Use Prices'!$C$7:$AL$7,0))</f>
        <v>32.33</v>
      </c>
      <c r="BD181" s="41">
        <f>INDEX('[1]End - Use Prices'!$C$6:$AL$89,MATCH($C181,'[1]End - Use Prices'!$A$6:$A$89,0)+MATCH($D181,'[1]End - Use Prices'!$B$9:$B$11,0)-1,MATCH(BD$1,'[1]End - Use Prices'!$C$7:$AL$7,0))</f>
        <v>32.28</v>
      </c>
      <c r="BE181" s="41">
        <f>INDEX('[1]End - Use Prices'!$C$6:$AL$89,MATCH($C181,'[1]End - Use Prices'!$A$6:$A$89,0)+MATCH($D181,'[1]End - Use Prices'!$B$9:$B$11,0)-1,MATCH(BE$1,'[1]End - Use Prices'!$C$7:$AL$7,0))</f>
        <v>32.19</v>
      </c>
      <c r="BF181" s="41">
        <f>INDEX('[1]End - Use Prices'!$C$6:$AL$89,MATCH($C181,'[1]End - Use Prices'!$A$6:$A$89,0)+MATCH($D181,'[1]End - Use Prices'!$B$9:$B$11,0)-1,MATCH(BF$1,'[1]End - Use Prices'!$C$7:$AL$7,0))</f>
        <v>32.1</v>
      </c>
      <c r="BG181" s="41">
        <f>INDEX('[1]End - Use Prices'!$C$6:$AL$89,MATCH($C181,'[1]End - Use Prices'!$A$6:$A$89,0)+MATCH($D181,'[1]End - Use Prices'!$B$9:$B$11,0)-1,MATCH(BG$1,'[1]End - Use Prices'!$C$7:$AL$7,0))</f>
        <v>32</v>
      </c>
      <c r="BR181" s="39"/>
      <c r="BS181" s="39"/>
      <c r="BT181" s="39"/>
      <c r="BU181" s="39"/>
      <c r="BV181" s="39"/>
      <c r="BW181" s="39"/>
      <c r="BX181" s="39"/>
      <c r="BY181" s="39"/>
      <c r="BZ181" s="39"/>
      <c r="CA181" s="39"/>
    </row>
    <row r="182" spans="1:79" x14ac:dyDescent="0.25">
      <c r="A182" s="5"/>
      <c r="B182" s="3"/>
      <c r="C182" s="25" t="s">
        <v>88</v>
      </c>
      <c r="D182" s="25" t="s">
        <v>280</v>
      </c>
      <c r="E182" s="25" t="s">
        <v>282</v>
      </c>
      <c r="F182" s="67" t="s">
        <v>279</v>
      </c>
      <c r="G182" s="53">
        <f t="shared" si="25"/>
        <v>27.36</v>
      </c>
      <c r="H182" s="34">
        <f t="shared" ref="H182:O191" si="30">INDEX($S182:$CA182,MATCH(H$1,$S$1:$CA$1,0))</f>
        <v>27.36</v>
      </c>
      <c r="I182" s="34">
        <f t="shared" si="30"/>
        <v>27.36</v>
      </c>
      <c r="J182" s="34">
        <f t="shared" si="30"/>
        <v>28.05</v>
      </c>
      <c r="K182" s="34">
        <f t="shared" si="30"/>
        <v>38.97</v>
      </c>
      <c r="L182" s="34">
        <f t="shared" si="30"/>
        <v>34.42</v>
      </c>
      <c r="M182" s="34">
        <f t="shared" si="30"/>
        <v>33.590000000000003</v>
      </c>
      <c r="N182" s="34">
        <f t="shared" si="30"/>
        <v>33.35</v>
      </c>
      <c r="O182" s="34">
        <f t="shared" si="30"/>
        <v>32.97</v>
      </c>
      <c r="P182" s="53">
        <f t="shared" si="29"/>
        <v>32.97</v>
      </c>
      <c r="Q182" s="53">
        <f t="shared" si="29"/>
        <v>32.97</v>
      </c>
      <c r="R182" s="38"/>
      <c r="X182" s="41">
        <f>INDEX('[1]End - Use Prices'!$C$6:$AL$89,MATCH($C182,'[1]End - Use Prices'!$A$6:$A$89,0)+MATCH($D182,'[1]End - Use Prices'!$B$9:$B$11,0)-1,MATCH(X$1,'[1]End - Use Prices'!$C$7:$AL$7,0))</f>
        <v>27.36</v>
      </c>
      <c r="Y182" s="41">
        <f>INDEX('[1]End - Use Prices'!$C$6:$AL$89,MATCH($C182,'[1]End - Use Prices'!$A$6:$A$89,0)+MATCH($D182,'[1]End - Use Prices'!$B$9:$B$11,0)-1,MATCH(Y$1,'[1]End - Use Prices'!$C$7:$AL$7,0))</f>
        <v>27.14</v>
      </c>
      <c r="Z182" s="41">
        <f>INDEX('[1]End - Use Prices'!$C$6:$AL$89,MATCH($C182,'[1]End - Use Prices'!$A$6:$A$89,0)+MATCH($D182,'[1]End - Use Prices'!$B$9:$B$11,0)-1,MATCH(Z$1,'[1]End - Use Prices'!$C$7:$AL$7,0))</f>
        <v>27.83</v>
      </c>
      <c r="AA182" s="41">
        <f>INDEX('[1]End - Use Prices'!$C$6:$AL$89,MATCH($C182,'[1]End - Use Prices'!$A$6:$A$89,0)+MATCH($D182,'[1]End - Use Prices'!$B$9:$B$11,0)-1,MATCH(AA$1,'[1]End - Use Prices'!$C$7:$AL$7,0))</f>
        <v>34.340000000000003</v>
      </c>
      <c r="AB182" s="41">
        <f>INDEX('[1]End - Use Prices'!$C$6:$AL$89,MATCH($C182,'[1]End - Use Prices'!$A$6:$A$89,0)+MATCH($D182,'[1]End - Use Prices'!$B$9:$B$11,0)-1,MATCH(AB$1,'[1]End - Use Prices'!$C$7:$AL$7,0))</f>
        <v>24.16</v>
      </c>
      <c r="AC182" s="41">
        <f>INDEX('[1]End - Use Prices'!$C$6:$AL$89,MATCH($C182,'[1]End - Use Prices'!$A$6:$A$89,0)+MATCH($D182,'[1]End - Use Prices'!$B$9:$B$11,0)-1,MATCH(AC$1,'[1]End - Use Prices'!$C$7:$AL$7,0))</f>
        <v>27.36</v>
      </c>
      <c r="AD182" s="41">
        <f>INDEX('[1]End - Use Prices'!$C$6:$AL$89,MATCH($C182,'[1]End - Use Prices'!$A$6:$A$89,0)+MATCH($D182,'[1]End - Use Prices'!$B$9:$B$11,0)-1,MATCH(AD$1,'[1]End - Use Prices'!$C$7:$AL$7,0))</f>
        <v>32.19</v>
      </c>
      <c r="AE182" s="41">
        <f>INDEX('[1]End - Use Prices'!$C$6:$AL$89,MATCH($C182,'[1]End - Use Prices'!$A$6:$A$89,0)+MATCH($D182,'[1]End - Use Prices'!$B$9:$B$11,0)-1,MATCH(AE$1,'[1]End - Use Prices'!$C$7:$AL$7,0))</f>
        <v>33.76</v>
      </c>
      <c r="AF182" s="41">
        <f>INDEX('[1]End - Use Prices'!$C$6:$AL$89,MATCH($C182,'[1]End - Use Prices'!$A$6:$A$89,0)+MATCH($D182,'[1]End - Use Prices'!$B$9:$B$11,0)-1,MATCH(AF$1,'[1]End - Use Prices'!$C$7:$AL$7,0))</f>
        <v>32.590000000000003</v>
      </c>
      <c r="AG182" s="41">
        <f>INDEX('[1]End - Use Prices'!$C$6:$AL$89,MATCH($C182,'[1]End - Use Prices'!$A$6:$A$89,0)+MATCH($D182,'[1]End - Use Prices'!$B$9:$B$11,0)-1,MATCH(AG$1,'[1]End - Use Prices'!$C$7:$AL$7,0))</f>
        <v>34.17</v>
      </c>
      <c r="AH182" s="41">
        <f>INDEX('[1]End - Use Prices'!$C$6:$AL$89,MATCH($C182,'[1]End - Use Prices'!$A$6:$A$89,0)+MATCH($D182,'[1]End - Use Prices'!$B$9:$B$11,0)-1,MATCH(AH$1,'[1]End - Use Prices'!$C$7:$AL$7,0))</f>
        <v>28.05</v>
      </c>
      <c r="AI182" s="41">
        <f>INDEX('[1]End - Use Prices'!$C$6:$AL$89,MATCH($C182,'[1]End - Use Prices'!$A$6:$A$89,0)+MATCH($D182,'[1]End - Use Prices'!$B$9:$B$11,0)-1,MATCH(AI$1,'[1]End - Use Prices'!$C$7:$AL$7,0))</f>
        <v>24.4</v>
      </c>
      <c r="AJ182" s="41">
        <f>INDEX('[1]End - Use Prices'!$C$6:$AL$89,MATCH($C182,'[1]End - Use Prices'!$A$6:$A$89,0)+MATCH($D182,'[1]End - Use Prices'!$B$9:$B$11,0)-1,MATCH(AJ$1,'[1]End - Use Prices'!$C$7:$AL$7,0))</f>
        <v>26.95</v>
      </c>
      <c r="AK182" s="41">
        <f>INDEX('[1]End - Use Prices'!$C$6:$AL$89,MATCH($C182,'[1]End - Use Prices'!$A$6:$A$89,0)+MATCH($D182,'[1]End - Use Prices'!$B$9:$B$11,0)-1,MATCH(AK$1,'[1]End - Use Prices'!$C$7:$AL$7,0))</f>
        <v>30.62</v>
      </c>
      <c r="AL182" s="41">
        <f>INDEX('[1]End - Use Prices'!$C$6:$AL$89,MATCH($C182,'[1]End - Use Prices'!$A$6:$A$89,0)+MATCH($D182,'[1]End - Use Prices'!$B$9:$B$11,0)-1,MATCH(AL$1,'[1]End - Use Prices'!$C$7:$AL$7,0))</f>
        <v>34.01</v>
      </c>
      <c r="AM182" s="41">
        <f>INDEX('[1]End - Use Prices'!$C$6:$AL$89,MATCH($C182,'[1]End - Use Prices'!$A$6:$A$89,0)+MATCH($D182,'[1]End - Use Prices'!$B$9:$B$11,0)-1,MATCH(AM$1,'[1]End - Use Prices'!$C$7:$AL$7,0))</f>
        <v>38.97</v>
      </c>
      <c r="AN182" s="41">
        <f>INDEX('[1]End - Use Prices'!$C$6:$AL$89,MATCH($C182,'[1]End - Use Prices'!$A$6:$A$89,0)+MATCH($D182,'[1]End - Use Prices'!$B$9:$B$11,0)-1,MATCH(AN$1,'[1]End - Use Prices'!$C$7:$AL$7,0))</f>
        <v>36.24</v>
      </c>
      <c r="AO182" s="41">
        <f>INDEX('[1]End - Use Prices'!$C$6:$AL$89,MATCH($C182,'[1]End - Use Prices'!$A$6:$A$89,0)+MATCH($D182,'[1]End - Use Prices'!$B$9:$B$11,0)-1,MATCH(AO$1,'[1]End - Use Prices'!$C$7:$AL$7,0))</f>
        <v>34.6</v>
      </c>
      <c r="AP182" s="41">
        <f>INDEX('[1]End - Use Prices'!$C$6:$AL$89,MATCH($C182,'[1]End - Use Prices'!$A$6:$A$89,0)+MATCH($D182,'[1]End - Use Prices'!$B$9:$B$11,0)-1,MATCH(AP$1,'[1]End - Use Prices'!$C$7:$AL$7,0))</f>
        <v>34.72</v>
      </c>
      <c r="AQ182" s="41">
        <f>INDEX('[1]End - Use Prices'!$C$6:$AL$89,MATCH($C182,'[1]End - Use Prices'!$A$6:$A$89,0)+MATCH($D182,'[1]End - Use Prices'!$B$9:$B$11,0)-1,MATCH(AQ$1,'[1]End - Use Prices'!$C$7:$AL$7,0))</f>
        <v>34.450000000000003</v>
      </c>
      <c r="AR182" s="41">
        <f>INDEX('[1]End - Use Prices'!$C$6:$AL$89,MATCH($C182,'[1]End - Use Prices'!$A$6:$A$89,0)+MATCH($D182,'[1]End - Use Prices'!$B$9:$B$11,0)-1,MATCH(AR$1,'[1]End - Use Prices'!$C$7:$AL$7,0))</f>
        <v>34.42</v>
      </c>
      <c r="AS182" s="41">
        <f>INDEX('[1]End - Use Prices'!$C$6:$AL$89,MATCH($C182,'[1]End - Use Prices'!$A$6:$A$89,0)+MATCH($D182,'[1]End - Use Prices'!$B$9:$B$11,0)-1,MATCH(AS$1,'[1]End - Use Prices'!$C$7:$AL$7,0))</f>
        <v>34.35</v>
      </c>
      <c r="AT182" s="41">
        <f>INDEX('[1]End - Use Prices'!$C$6:$AL$89,MATCH($C182,'[1]End - Use Prices'!$A$6:$A$89,0)+MATCH($D182,'[1]End - Use Prices'!$B$9:$B$11,0)-1,MATCH(AT$1,'[1]End - Use Prices'!$C$7:$AL$7,0))</f>
        <v>34.17</v>
      </c>
      <c r="AU182" s="41">
        <f>INDEX('[1]End - Use Prices'!$C$6:$AL$89,MATCH($C182,'[1]End - Use Prices'!$A$6:$A$89,0)+MATCH($D182,'[1]End - Use Prices'!$B$9:$B$11,0)-1,MATCH(AU$1,'[1]End - Use Prices'!$C$7:$AL$7,0))</f>
        <v>33.950000000000003</v>
      </c>
      <c r="AV182" s="41">
        <f>INDEX('[1]End - Use Prices'!$C$6:$AL$89,MATCH($C182,'[1]End - Use Prices'!$A$6:$A$89,0)+MATCH($D182,'[1]End - Use Prices'!$B$9:$B$11,0)-1,MATCH(AV$1,'[1]End - Use Prices'!$C$7:$AL$7,0))</f>
        <v>33.770000000000003</v>
      </c>
      <c r="AW182" s="41">
        <f>INDEX('[1]End - Use Prices'!$C$6:$AL$89,MATCH($C182,'[1]End - Use Prices'!$A$6:$A$89,0)+MATCH($D182,'[1]End - Use Prices'!$B$9:$B$11,0)-1,MATCH(AW$1,'[1]End - Use Prices'!$C$7:$AL$7,0))</f>
        <v>33.590000000000003</v>
      </c>
      <c r="AX182" s="41">
        <f>INDEX('[1]End - Use Prices'!$C$6:$AL$89,MATCH($C182,'[1]End - Use Prices'!$A$6:$A$89,0)+MATCH($D182,'[1]End - Use Prices'!$B$9:$B$11,0)-1,MATCH(AX$1,'[1]End - Use Prices'!$C$7:$AL$7,0))</f>
        <v>33.479999999999997</v>
      </c>
      <c r="AY182" s="41">
        <f>INDEX('[1]End - Use Prices'!$C$6:$AL$89,MATCH($C182,'[1]End - Use Prices'!$A$6:$A$89,0)+MATCH($D182,'[1]End - Use Prices'!$B$9:$B$11,0)-1,MATCH(AY$1,'[1]End - Use Prices'!$C$7:$AL$7,0))</f>
        <v>33.409999999999997</v>
      </c>
      <c r="AZ182" s="41">
        <f>INDEX('[1]End - Use Prices'!$C$6:$AL$89,MATCH($C182,'[1]End - Use Prices'!$A$6:$A$89,0)+MATCH($D182,'[1]End - Use Prices'!$B$9:$B$11,0)-1,MATCH(AZ$1,'[1]End - Use Prices'!$C$7:$AL$7,0))</f>
        <v>33.369999999999997</v>
      </c>
      <c r="BA182" s="41">
        <f>INDEX('[1]End - Use Prices'!$C$6:$AL$89,MATCH($C182,'[1]End - Use Prices'!$A$6:$A$89,0)+MATCH($D182,'[1]End - Use Prices'!$B$9:$B$11,0)-1,MATCH(BA$1,'[1]End - Use Prices'!$C$7:$AL$7,0))</f>
        <v>33.369999999999997</v>
      </c>
      <c r="BB182" s="41">
        <f>INDEX('[1]End - Use Prices'!$C$6:$AL$89,MATCH($C182,'[1]End - Use Prices'!$A$6:$A$89,0)+MATCH($D182,'[1]End - Use Prices'!$B$9:$B$11,0)-1,MATCH(BB$1,'[1]End - Use Prices'!$C$7:$AL$7,0))</f>
        <v>33.35</v>
      </c>
      <c r="BC182" s="41">
        <f>INDEX('[1]End - Use Prices'!$C$6:$AL$89,MATCH($C182,'[1]End - Use Prices'!$A$6:$A$89,0)+MATCH($D182,'[1]End - Use Prices'!$B$9:$B$11,0)-1,MATCH(BC$1,'[1]End - Use Prices'!$C$7:$AL$7,0))</f>
        <v>33.31</v>
      </c>
      <c r="BD182" s="41">
        <f>INDEX('[1]End - Use Prices'!$C$6:$AL$89,MATCH($C182,'[1]End - Use Prices'!$A$6:$A$89,0)+MATCH($D182,'[1]End - Use Prices'!$B$9:$B$11,0)-1,MATCH(BD$1,'[1]End - Use Prices'!$C$7:$AL$7,0))</f>
        <v>33.25</v>
      </c>
      <c r="BE182" s="41">
        <f>INDEX('[1]End - Use Prices'!$C$6:$AL$89,MATCH($C182,'[1]End - Use Prices'!$A$6:$A$89,0)+MATCH($D182,'[1]End - Use Prices'!$B$9:$B$11,0)-1,MATCH(BE$1,'[1]End - Use Prices'!$C$7:$AL$7,0))</f>
        <v>33.159999999999997</v>
      </c>
      <c r="BF182" s="41">
        <f>INDEX('[1]End - Use Prices'!$C$6:$AL$89,MATCH($C182,'[1]End - Use Prices'!$A$6:$A$89,0)+MATCH($D182,'[1]End - Use Prices'!$B$9:$B$11,0)-1,MATCH(BF$1,'[1]End - Use Prices'!$C$7:$AL$7,0))</f>
        <v>33.07</v>
      </c>
      <c r="BG182" s="41">
        <f>INDEX('[1]End - Use Prices'!$C$6:$AL$89,MATCH($C182,'[1]End - Use Prices'!$A$6:$A$89,0)+MATCH($D182,'[1]End - Use Prices'!$B$9:$B$11,0)-1,MATCH(BG$1,'[1]End - Use Prices'!$C$7:$AL$7,0))</f>
        <v>32.97</v>
      </c>
      <c r="BR182" s="39"/>
      <c r="BS182" s="39"/>
      <c r="BT182" s="39"/>
      <c r="BU182" s="39"/>
      <c r="BV182" s="39"/>
      <c r="BW182" s="39"/>
      <c r="BX182" s="39"/>
      <c r="BY182" s="39"/>
      <c r="BZ182" s="39"/>
      <c r="CA182" s="39"/>
    </row>
    <row r="183" spans="1:79" x14ac:dyDescent="0.25">
      <c r="A183" s="5"/>
      <c r="B183" s="3"/>
      <c r="C183" s="25" t="s">
        <v>89</v>
      </c>
      <c r="D183" s="25" t="s">
        <v>280</v>
      </c>
      <c r="E183" s="25" t="s">
        <v>282</v>
      </c>
      <c r="F183" s="67" t="s">
        <v>279</v>
      </c>
      <c r="G183" s="53">
        <f t="shared" si="25"/>
        <v>24.67</v>
      </c>
      <c r="H183" s="34">
        <f t="shared" si="30"/>
        <v>24.67</v>
      </c>
      <c r="I183" s="34">
        <f t="shared" si="30"/>
        <v>26.1</v>
      </c>
      <c r="J183" s="34">
        <f t="shared" si="30"/>
        <v>27.54</v>
      </c>
      <c r="K183" s="34">
        <f t="shared" si="30"/>
        <v>38.03</v>
      </c>
      <c r="L183" s="34">
        <f t="shared" si="30"/>
        <v>32.78</v>
      </c>
      <c r="M183" s="34">
        <f t="shared" si="30"/>
        <v>32.11</v>
      </c>
      <c r="N183" s="34">
        <f t="shared" si="30"/>
        <v>31.7</v>
      </c>
      <c r="O183" s="34">
        <f t="shared" si="30"/>
        <v>31.16</v>
      </c>
      <c r="P183" s="53">
        <f t="shared" si="29"/>
        <v>31.16</v>
      </c>
      <c r="Q183" s="53">
        <f t="shared" si="29"/>
        <v>31.16</v>
      </c>
      <c r="R183" s="38"/>
      <c r="X183" s="41">
        <f>INDEX('[1]End - Use Prices'!$C$6:$AL$89,MATCH($C183,'[1]End - Use Prices'!$A$6:$A$89,0)+MATCH($D183,'[1]End - Use Prices'!$B$9:$B$11,0)-1,MATCH(X$1,'[1]End - Use Prices'!$C$7:$AL$7,0))</f>
        <v>24.67</v>
      </c>
      <c r="Y183" s="41">
        <f>INDEX('[1]End - Use Prices'!$C$6:$AL$89,MATCH($C183,'[1]End - Use Prices'!$A$6:$A$89,0)+MATCH($D183,'[1]End - Use Prices'!$B$9:$B$11,0)-1,MATCH(Y$1,'[1]End - Use Prices'!$C$7:$AL$7,0))</f>
        <v>25.2</v>
      </c>
      <c r="Z183" s="41">
        <f>INDEX('[1]End - Use Prices'!$C$6:$AL$89,MATCH($C183,'[1]End - Use Prices'!$A$6:$A$89,0)+MATCH($D183,'[1]End - Use Prices'!$B$9:$B$11,0)-1,MATCH(Z$1,'[1]End - Use Prices'!$C$7:$AL$7,0))</f>
        <v>25.43</v>
      </c>
      <c r="AA183" s="41">
        <f>INDEX('[1]End - Use Prices'!$C$6:$AL$89,MATCH($C183,'[1]End - Use Prices'!$A$6:$A$89,0)+MATCH($D183,'[1]End - Use Prices'!$B$9:$B$11,0)-1,MATCH(AA$1,'[1]End - Use Prices'!$C$7:$AL$7,0))</f>
        <v>33.47</v>
      </c>
      <c r="AB183" s="41">
        <f>INDEX('[1]End - Use Prices'!$C$6:$AL$89,MATCH($C183,'[1]End - Use Prices'!$A$6:$A$89,0)+MATCH($D183,'[1]End - Use Prices'!$B$9:$B$11,0)-1,MATCH(AB$1,'[1]End - Use Prices'!$C$7:$AL$7,0))</f>
        <v>23.22</v>
      </c>
      <c r="AC183" s="41">
        <f>INDEX('[1]End - Use Prices'!$C$6:$AL$89,MATCH($C183,'[1]End - Use Prices'!$A$6:$A$89,0)+MATCH($D183,'[1]End - Use Prices'!$B$9:$B$11,0)-1,MATCH(AC$1,'[1]End - Use Prices'!$C$7:$AL$7,0))</f>
        <v>26.1</v>
      </c>
      <c r="AD183" s="41">
        <f>INDEX('[1]End - Use Prices'!$C$6:$AL$89,MATCH($C183,'[1]End - Use Prices'!$A$6:$A$89,0)+MATCH($D183,'[1]End - Use Prices'!$B$9:$B$11,0)-1,MATCH(AD$1,'[1]End - Use Prices'!$C$7:$AL$7,0))</f>
        <v>32.090000000000003</v>
      </c>
      <c r="AE183" s="41">
        <f>INDEX('[1]End - Use Prices'!$C$6:$AL$89,MATCH($C183,'[1]End - Use Prices'!$A$6:$A$89,0)+MATCH($D183,'[1]End - Use Prices'!$B$9:$B$11,0)-1,MATCH(AE$1,'[1]End - Use Prices'!$C$7:$AL$7,0))</f>
        <v>33.770000000000003</v>
      </c>
      <c r="AF183" s="41">
        <f>INDEX('[1]End - Use Prices'!$C$6:$AL$89,MATCH($C183,'[1]End - Use Prices'!$A$6:$A$89,0)+MATCH($D183,'[1]End - Use Prices'!$B$9:$B$11,0)-1,MATCH(AF$1,'[1]End - Use Prices'!$C$7:$AL$7,0))</f>
        <v>33.130000000000003</v>
      </c>
      <c r="AG183" s="41">
        <f>INDEX('[1]End - Use Prices'!$C$6:$AL$89,MATCH($C183,'[1]End - Use Prices'!$A$6:$A$89,0)+MATCH($D183,'[1]End - Use Prices'!$B$9:$B$11,0)-1,MATCH(AG$1,'[1]End - Use Prices'!$C$7:$AL$7,0))</f>
        <v>33.630000000000003</v>
      </c>
      <c r="AH183" s="41">
        <f>INDEX('[1]End - Use Prices'!$C$6:$AL$89,MATCH($C183,'[1]End - Use Prices'!$A$6:$A$89,0)+MATCH($D183,'[1]End - Use Prices'!$B$9:$B$11,0)-1,MATCH(AH$1,'[1]End - Use Prices'!$C$7:$AL$7,0))</f>
        <v>27.54</v>
      </c>
      <c r="AI183" s="41">
        <f>INDEX('[1]End - Use Prices'!$C$6:$AL$89,MATCH($C183,'[1]End - Use Prices'!$A$6:$A$89,0)+MATCH($D183,'[1]End - Use Prices'!$B$9:$B$11,0)-1,MATCH(AI$1,'[1]End - Use Prices'!$C$7:$AL$7,0))</f>
        <v>23.58</v>
      </c>
      <c r="AJ183" s="41">
        <f>INDEX('[1]End - Use Prices'!$C$6:$AL$89,MATCH($C183,'[1]End - Use Prices'!$A$6:$A$89,0)+MATCH($D183,'[1]End - Use Prices'!$B$9:$B$11,0)-1,MATCH(AJ$1,'[1]End - Use Prices'!$C$7:$AL$7,0))</f>
        <v>25.75</v>
      </c>
      <c r="AK183" s="41">
        <f>INDEX('[1]End - Use Prices'!$C$6:$AL$89,MATCH($C183,'[1]End - Use Prices'!$A$6:$A$89,0)+MATCH($D183,'[1]End - Use Prices'!$B$9:$B$11,0)-1,MATCH(AK$1,'[1]End - Use Prices'!$C$7:$AL$7,0))</f>
        <v>30.37</v>
      </c>
      <c r="AL183" s="41">
        <f>INDEX('[1]End - Use Prices'!$C$6:$AL$89,MATCH($C183,'[1]End - Use Prices'!$A$6:$A$89,0)+MATCH($D183,'[1]End - Use Prices'!$B$9:$B$11,0)-1,MATCH(AL$1,'[1]End - Use Prices'!$C$7:$AL$7,0))</f>
        <v>34.700000000000003</v>
      </c>
      <c r="AM183" s="41">
        <f>INDEX('[1]End - Use Prices'!$C$6:$AL$89,MATCH($C183,'[1]End - Use Prices'!$A$6:$A$89,0)+MATCH($D183,'[1]End - Use Prices'!$B$9:$B$11,0)-1,MATCH(AM$1,'[1]End - Use Prices'!$C$7:$AL$7,0))</f>
        <v>38.03</v>
      </c>
      <c r="AN183" s="41">
        <f>INDEX('[1]End - Use Prices'!$C$6:$AL$89,MATCH($C183,'[1]End - Use Prices'!$A$6:$A$89,0)+MATCH($D183,'[1]End - Use Prices'!$B$9:$B$11,0)-1,MATCH(AN$1,'[1]End - Use Prices'!$C$7:$AL$7,0))</f>
        <v>34.799999999999997</v>
      </c>
      <c r="AO183" s="41">
        <f>INDEX('[1]End - Use Prices'!$C$6:$AL$89,MATCH($C183,'[1]End - Use Prices'!$A$6:$A$89,0)+MATCH($D183,'[1]End - Use Prices'!$B$9:$B$11,0)-1,MATCH(AO$1,'[1]End - Use Prices'!$C$7:$AL$7,0))</f>
        <v>32.68</v>
      </c>
      <c r="AP183" s="41">
        <f>INDEX('[1]End - Use Prices'!$C$6:$AL$89,MATCH($C183,'[1]End - Use Prices'!$A$6:$A$89,0)+MATCH($D183,'[1]End - Use Prices'!$B$9:$B$11,0)-1,MATCH(AP$1,'[1]End - Use Prices'!$C$7:$AL$7,0))</f>
        <v>32.369999999999997</v>
      </c>
      <c r="AQ183" s="41">
        <f>INDEX('[1]End - Use Prices'!$C$6:$AL$89,MATCH($C183,'[1]End - Use Prices'!$A$6:$A$89,0)+MATCH($D183,'[1]End - Use Prices'!$B$9:$B$11,0)-1,MATCH(AQ$1,'[1]End - Use Prices'!$C$7:$AL$7,0))</f>
        <v>32.47</v>
      </c>
      <c r="AR183" s="41">
        <f>INDEX('[1]End - Use Prices'!$C$6:$AL$89,MATCH($C183,'[1]End - Use Prices'!$A$6:$A$89,0)+MATCH($D183,'[1]End - Use Prices'!$B$9:$B$11,0)-1,MATCH(AR$1,'[1]End - Use Prices'!$C$7:$AL$7,0))</f>
        <v>32.78</v>
      </c>
      <c r="AS183" s="41">
        <f>INDEX('[1]End - Use Prices'!$C$6:$AL$89,MATCH($C183,'[1]End - Use Prices'!$A$6:$A$89,0)+MATCH($D183,'[1]End - Use Prices'!$B$9:$B$11,0)-1,MATCH(AS$1,'[1]End - Use Prices'!$C$7:$AL$7,0))</f>
        <v>33.03</v>
      </c>
      <c r="AT183" s="41">
        <f>INDEX('[1]End - Use Prices'!$C$6:$AL$89,MATCH($C183,'[1]End - Use Prices'!$A$6:$A$89,0)+MATCH($D183,'[1]End - Use Prices'!$B$9:$B$11,0)-1,MATCH(AT$1,'[1]End - Use Prices'!$C$7:$AL$7,0))</f>
        <v>32.81</v>
      </c>
      <c r="AU183" s="41">
        <f>INDEX('[1]End - Use Prices'!$C$6:$AL$89,MATCH($C183,'[1]End - Use Prices'!$A$6:$A$89,0)+MATCH($D183,'[1]End - Use Prices'!$B$9:$B$11,0)-1,MATCH(AU$1,'[1]End - Use Prices'!$C$7:$AL$7,0))</f>
        <v>32.549999999999997</v>
      </c>
      <c r="AV183" s="41">
        <f>INDEX('[1]End - Use Prices'!$C$6:$AL$89,MATCH($C183,'[1]End - Use Prices'!$A$6:$A$89,0)+MATCH($D183,'[1]End - Use Prices'!$B$9:$B$11,0)-1,MATCH(AV$1,'[1]End - Use Prices'!$C$7:$AL$7,0))</f>
        <v>32.33</v>
      </c>
      <c r="AW183" s="41">
        <f>INDEX('[1]End - Use Prices'!$C$6:$AL$89,MATCH($C183,'[1]End - Use Prices'!$A$6:$A$89,0)+MATCH($D183,'[1]End - Use Prices'!$B$9:$B$11,0)-1,MATCH(AW$1,'[1]End - Use Prices'!$C$7:$AL$7,0))</f>
        <v>32.11</v>
      </c>
      <c r="AX183" s="41">
        <f>INDEX('[1]End - Use Prices'!$C$6:$AL$89,MATCH($C183,'[1]End - Use Prices'!$A$6:$A$89,0)+MATCH($D183,'[1]End - Use Prices'!$B$9:$B$11,0)-1,MATCH(AX$1,'[1]End - Use Prices'!$C$7:$AL$7,0))</f>
        <v>31.96</v>
      </c>
      <c r="AY183" s="41">
        <f>INDEX('[1]End - Use Prices'!$C$6:$AL$89,MATCH($C183,'[1]End - Use Prices'!$A$6:$A$89,0)+MATCH($D183,'[1]End - Use Prices'!$B$9:$B$11,0)-1,MATCH(AY$1,'[1]End - Use Prices'!$C$7:$AL$7,0))</f>
        <v>31.85</v>
      </c>
      <c r="AZ183" s="41">
        <f>INDEX('[1]End - Use Prices'!$C$6:$AL$89,MATCH($C183,'[1]End - Use Prices'!$A$6:$A$89,0)+MATCH($D183,'[1]End - Use Prices'!$B$9:$B$11,0)-1,MATCH(AZ$1,'[1]End - Use Prices'!$C$7:$AL$7,0))</f>
        <v>31.79</v>
      </c>
      <c r="BA183" s="41">
        <f>INDEX('[1]End - Use Prices'!$C$6:$AL$89,MATCH($C183,'[1]End - Use Prices'!$A$6:$A$89,0)+MATCH($D183,'[1]End - Use Prices'!$B$9:$B$11,0)-1,MATCH(BA$1,'[1]End - Use Prices'!$C$7:$AL$7,0))</f>
        <v>31.75</v>
      </c>
      <c r="BB183" s="41">
        <f>INDEX('[1]End - Use Prices'!$C$6:$AL$89,MATCH($C183,'[1]End - Use Prices'!$A$6:$A$89,0)+MATCH($D183,'[1]End - Use Prices'!$B$9:$B$11,0)-1,MATCH(BB$1,'[1]End - Use Prices'!$C$7:$AL$7,0))</f>
        <v>31.7</v>
      </c>
      <c r="BC183" s="41">
        <f>INDEX('[1]End - Use Prices'!$C$6:$AL$89,MATCH($C183,'[1]End - Use Prices'!$A$6:$A$89,0)+MATCH($D183,'[1]End - Use Prices'!$B$9:$B$11,0)-1,MATCH(BC$1,'[1]End - Use Prices'!$C$7:$AL$7,0))</f>
        <v>31.63</v>
      </c>
      <c r="BD183" s="41">
        <f>INDEX('[1]End - Use Prices'!$C$6:$AL$89,MATCH($C183,'[1]End - Use Prices'!$A$6:$A$89,0)+MATCH($D183,'[1]End - Use Prices'!$B$9:$B$11,0)-1,MATCH(BD$1,'[1]End - Use Prices'!$C$7:$AL$7,0))</f>
        <v>31.54</v>
      </c>
      <c r="BE183" s="41">
        <f>INDEX('[1]End - Use Prices'!$C$6:$AL$89,MATCH($C183,'[1]End - Use Prices'!$A$6:$A$89,0)+MATCH($D183,'[1]End - Use Prices'!$B$9:$B$11,0)-1,MATCH(BE$1,'[1]End - Use Prices'!$C$7:$AL$7,0))</f>
        <v>31.42</v>
      </c>
      <c r="BF183" s="41">
        <f>INDEX('[1]End - Use Prices'!$C$6:$AL$89,MATCH($C183,'[1]End - Use Prices'!$A$6:$A$89,0)+MATCH($D183,'[1]End - Use Prices'!$B$9:$B$11,0)-1,MATCH(BF$1,'[1]End - Use Prices'!$C$7:$AL$7,0))</f>
        <v>31.3</v>
      </c>
      <c r="BG183" s="41">
        <f>INDEX('[1]End - Use Prices'!$C$6:$AL$89,MATCH($C183,'[1]End - Use Prices'!$A$6:$A$89,0)+MATCH($D183,'[1]End - Use Prices'!$B$9:$B$11,0)-1,MATCH(BG$1,'[1]End - Use Prices'!$C$7:$AL$7,0))</f>
        <v>31.16</v>
      </c>
      <c r="BR183" s="39"/>
      <c r="BS183" s="39"/>
      <c r="BT183" s="39"/>
      <c r="BU183" s="39"/>
      <c r="BV183" s="39"/>
      <c r="BW183" s="39"/>
      <c r="BX183" s="39"/>
      <c r="BY183" s="39"/>
      <c r="BZ183" s="39"/>
      <c r="CA183" s="39"/>
    </row>
    <row r="184" spans="1:79" x14ac:dyDescent="0.25">
      <c r="A184" s="5"/>
      <c r="B184" s="3"/>
      <c r="C184" s="25" t="s">
        <v>90</v>
      </c>
      <c r="D184" s="25" t="s">
        <v>280</v>
      </c>
      <c r="E184" s="25" t="s">
        <v>282</v>
      </c>
      <c r="F184" s="67" t="s">
        <v>279</v>
      </c>
      <c r="G184" s="53">
        <f t="shared" si="25"/>
        <v>25.66</v>
      </c>
      <c r="H184" s="34">
        <f t="shared" si="30"/>
        <v>25.66</v>
      </c>
      <c r="I184" s="34">
        <f t="shared" si="30"/>
        <v>28.54</v>
      </c>
      <c r="J184" s="34">
        <f t="shared" si="30"/>
        <v>30.91</v>
      </c>
      <c r="K184" s="34">
        <f t="shared" si="30"/>
        <v>41.65</v>
      </c>
      <c r="L184" s="34">
        <f t="shared" si="30"/>
        <v>36.79</v>
      </c>
      <c r="M184" s="34">
        <f t="shared" si="30"/>
        <v>36.32</v>
      </c>
      <c r="N184" s="34">
        <f t="shared" si="30"/>
        <v>36.090000000000003</v>
      </c>
      <c r="O184" s="34">
        <f t="shared" si="30"/>
        <v>35.71</v>
      </c>
      <c r="P184" s="53">
        <f t="shared" si="29"/>
        <v>35.71</v>
      </c>
      <c r="Q184" s="53">
        <f t="shared" si="29"/>
        <v>35.71</v>
      </c>
      <c r="R184" s="38"/>
      <c r="X184" s="41">
        <f>INDEX('[1]End - Use Prices'!$C$6:$AL$89,MATCH($C184,'[1]End - Use Prices'!$A$6:$A$89,0)+MATCH($D184,'[1]End - Use Prices'!$B$9:$B$11,0)-1,MATCH(X$1,'[1]End - Use Prices'!$C$7:$AL$7,0))</f>
        <v>25.66</v>
      </c>
      <c r="Y184" s="41">
        <f>INDEX('[1]End - Use Prices'!$C$6:$AL$89,MATCH($C184,'[1]End - Use Prices'!$A$6:$A$89,0)+MATCH($D184,'[1]End - Use Prices'!$B$9:$B$11,0)-1,MATCH(Y$1,'[1]End - Use Prices'!$C$7:$AL$7,0))</f>
        <v>26.36</v>
      </c>
      <c r="Z184" s="41">
        <f>INDEX('[1]End - Use Prices'!$C$6:$AL$89,MATCH($C184,'[1]End - Use Prices'!$A$6:$A$89,0)+MATCH($D184,'[1]End - Use Prices'!$B$9:$B$11,0)-1,MATCH(Z$1,'[1]End - Use Prices'!$C$7:$AL$7,0))</f>
        <v>27.18</v>
      </c>
      <c r="AA184" s="41">
        <f>INDEX('[1]End - Use Prices'!$C$6:$AL$89,MATCH($C184,'[1]End - Use Prices'!$A$6:$A$89,0)+MATCH($D184,'[1]End - Use Prices'!$B$9:$B$11,0)-1,MATCH(AA$1,'[1]End - Use Prices'!$C$7:$AL$7,0))</f>
        <v>33.630000000000003</v>
      </c>
      <c r="AB184" s="41">
        <f>INDEX('[1]End - Use Prices'!$C$6:$AL$89,MATCH($C184,'[1]End - Use Prices'!$A$6:$A$89,0)+MATCH($D184,'[1]End - Use Prices'!$B$9:$B$11,0)-1,MATCH(AB$1,'[1]End - Use Prices'!$C$7:$AL$7,0))</f>
        <v>25.05</v>
      </c>
      <c r="AC184" s="41">
        <f>INDEX('[1]End - Use Prices'!$C$6:$AL$89,MATCH($C184,'[1]End - Use Prices'!$A$6:$A$89,0)+MATCH($D184,'[1]End - Use Prices'!$B$9:$B$11,0)-1,MATCH(AC$1,'[1]End - Use Prices'!$C$7:$AL$7,0))</f>
        <v>28.54</v>
      </c>
      <c r="AD184" s="41">
        <f>INDEX('[1]End - Use Prices'!$C$6:$AL$89,MATCH($C184,'[1]End - Use Prices'!$A$6:$A$89,0)+MATCH($D184,'[1]End - Use Prices'!$B$9:$B$11,0)-1,MATCH(AD$1,'[1]End - Use Prices'!$C$7:$AL$7,0))</f>
        <v>35.020000000000003</v>
      </c>
      <c r="AE184" s="41">
        <f>INDEX('[1]End - Use Prices'!$C$6:$AL$89,MATCH($C184,'[1]End - Use Prices'!$A$6:$A$89,0)+MATCH($D184,'[1]End - Use Prices'!$B$9:$B$11,0)-1,MATCH(AE$1,'[1]End - Use Prices'!$C$7:$AL$7,0))</f>
        <v>35.61</v>
      </c>
      <c r="AF184" s="41">
        <f>INDEX('[1]End - Use Prices'!$C$6:$AL$89,MATCH($C184,'[1]End - Use Prices'!$A$6:$A$89,0)+MATCH($D184,'[1]End - Use Prices'!$B$9:$B$11,0)-1,MATCH(AF$1,'[1]End - Use Prices'!$C$7:$AL$7,0))</f>
        <v>35.47</v>
      </c>
      <c r="AG184" s="41">
        <f>INDEX('[1]End - Use Prices'!$C$6:$AL$89,MATCH($C184,'[1]End - Use Prices'!$A$6:$A$89,0)+MATCH($D184,'[1]End - Use Prices'!$B$9:$B$11,0)-1,MATCH(AG$1,'[1]End - Use Prices'!$C$7:$AL$7,0))</f>
        <v>36.5</v>
      </c>
      <c r="AH184" s="41">
        <f>INDEX('[1]End - Use Prices'!$C$6:$AL$89,MATCH($C184,'[1]End - Use Prices'!$A$6:$A$89,0)+MATCH($D184,'[1]End - Use Prices'!$B$9:$B$11,0)-1,MATCH(AH$1,'[1]End - Use Prices'!$C$7:$AL$7,0))</f>
        <v>30.91</v>
      </c>
      <c r="AI184" s="41">
        <f>INDEX('[1]End - Use Prices'!$C$6:$AL$89,MATCH($C184,'[1]End - Use Prices'!$A$6:$A$89,0)+MATCH($D184,'[1]End - Use Prices'!$B$9:$B$11,0)-1,MATCH(AI$1,'[1]End - Use Prices'!$C$7:$AL$7,0))</f>
        <v>27.23</v>
      </c>
      <c r="AJ184" s="41">
        <f>INDEX('[1]End - Use Prices'!$C$6:$AL$89,MATCH($C184,'[1]End - Use Prices'!$A$6:$A$89,0)+MATCH($D184,'[1]End - Use Prices'!$B$9:$B$11,0)-1,MATCH(AJ$1,'[1]End - Use Prices'!$C$7:$AL$7,0))</f>
        <v>31.23</v>
      </c>
      <c r="AK184" s="41">
        <f>INDEX('[1]End - Use Prices'!$C$6:$AL$89,MATCH($C184,'[1]End - Use Prices'!$A$6:$A$89,0)+MATCH($D184,'[1]End - Use Prices'!$B$9:$B$11,0)-1,MATCH(AK$1,'[1]End - Use Prices'!$C$7:$AL$7,0))</f>
        <v>35.57</v>
      </c>
      <c r="AL184" s="41">
        <f>INDEX('[1]End - Use Prices'!$C$6:$AL$89,MATCH($C184,'[1]End - Use Prices'!$A$6:$A$89,0)+MATCH($D184,'[1]End - Use Prices'!$B$9:$B$11,0)-1,MATCH(AL$1,'[1]End - Use Prices'!$C$7:$AL$7,0))</f>
        <v>38.32</v>
      </c>
      <c r="AM184" s="41">
        <f>INDEX('[1]End - Use Prices'!$C$6:$AL$89,MATCH($C184,'[1]End - Use Prices'!$A$6:$A$89,0)+MATCH($D184,'[1]End - Use Prices'!$B$9:$B$11,0)-1,MATCH(AM$1,'[1]End - Use Prices'!$C$7:$AL$7,0))</f>
        <v>41.65</v>
      </c>
      <c r="AN184" s="41">
        <f>INDEX('[1]End - Use Prices'!$C$6:$AL$89,MATCH($C184,'[1]End - Use Prices'!$A$6:$A$89,0)+MATCH($D184,'[1]End - Use Prices'!$B$9:$B$11,0)-1,MATCH(AN$1,'[1]End - Use Prices'!$C$7:$AL$7,0))</f>
        <v>38.53</v>
      </c>
      <c r="AO184" s="41">
        <f>INDEX('[1]End - Use Prices'!$C$6:$AL$89,MATCH($C184,'[1]End - Use Prices'!$A$6:$A$89,0)+MATCH($D184,'[1]End - Use Prices'!$B$9:$B$11,0)-1,MATCH(AO$1,'[1]End - Use Prices'!$C$7:$AL$7,0))</f>
        <v>36.51</v>
      </c>
      <c r="AP184" s="41">
        <f>INDEX('[1]End - Use Prices'!$C$6:$AL$89,MATCH($C184,'[1]End - Use Prices'!$A$6:$A$89,0)+MATCH($D184,'[1]End - Use Prices'!$B$9:$B$11,0)-1,MATCH(AP$1,'[1]End - Use Prices'!$C$7:$AL$7,0))</f>
        <v>36.270000000000003</v>
      </c>
      <c r="AQ184" s="41">
        <f>INDEX('[1]End - Use Prices'!$C$6:$AL$89,MATCH($C184,'[1]End - Use Prices'!$A$6:$A$89,0)+MATCH($D184,'[1]End - Use Prices'!$B$9:$B$11,0)-1,MATCH(AQ$1,'[1]End - Use Prices'!$C$7:$AL$7,0))</f>
        <v>36.42</v>
      </c>
      <c r="AR184" s="41">
        <f>INDEX('[1]End - Use Prices'!$C$6:$AL$89,MATCH($C184,'[1]End - Use Prices'!$A$6:$A$89,0)+MATCH($D184,'[1]End - Use Prices'!$B$9:$B$11,0)-1,MATCH(AR$1,'[1]End - Use Prices'!$C$7:$AL$7,0))</f>
        <v>36.79</v>
      </c>
      <c r="AS184" s="41">
        <f>INDEX('[1]End - Use Prices'!$C$6:$AL$89,MATCH($C184,'[1]End - Use Prices'!$A$6:$A$89,0)+MATCH($D184,'[1]End - Use Prices'!$B$9:$B$11,0)-1,MATCH(AS$1,'[1]End - Use Prices'!$C$7:$AL$7,0))</f>
        <v>37.08</v>
      </c>
      <c r="AT184" s="41">
        <f>INDEX('[1]End - Use Prices'!$C$6:$AL$89,MATCH($C184,'[1]End - Use Prices'!$A$6:$A$89,0)+MATCH($D184,'[1]End - Use Prices'!$B$9:$B$11,0)-1,MATCH(AT$1,'[1]End - Use Prices'!$C$7:$AL$7,0))</f>
        <v>36.909999999999997</v>
      </c>
      <c r="AU184" s="41">
        <f>INDEX('[1]End - Use Prices'!$C$6:$AL$89,MATCH($C184,'[1]End - Use Prices'!$A$6:$A$89,0)+MATCH($D184,'[1]End - Use Prices'!$B$9:$B$11,0)-1,MATCH(AU$1,'[1]End - Use Prices'!$C$7:$AL$7,0))</f>
        <v>36.69</v>
      </c>
      <c r="AV184" s="41">
        <f>INDEX('[1]End - Use Prices'!$C$6:$AL$89,MATCH($C184,'[1]End - Use Prices'!$A$6:$A$89,0)+MATCH($D184,'[1]End - Use Prices'!$B$9:$B$11,0)-1,MATCH(AV$1,'[1]End - Use Prices'!$C$7:$AL$7,0))</f>
        <v>36.51</v>
      </c>
      <c r="AW184" s="41">
        <f>INDEX('[1]End - Use Prices'!$C$6:$AL$89,MATCH($C184,'[1]End - Use Prices'!$A$6:$A$89,0)+MATCH($D184,'[1]End - Use Prices'!$B$9:$B$11,0)-1,MATCH(AW$1,'[1]End - Use Prices'!$C$7:$AL$7,0))</f>
        <v>36.32</v>
      </c>
      <c r="AX184" s="41">
        <f>INDEX('[1]End - Use Prices'!$C$6:$AL$89,MATCH($C184,'[1]End - Use Prices'!$A$6:$A$89,0)+MATCH($D184,'[1]End - Use Prices'!$B$9:$B$11,0)-1,MATCH(AX$1,'[1]End - Use Prices'!$C$7:$AL$7,0))</f>
        <v>36.22</v>
      </c>
      <c r="AY184" s="41">
        <f>INDEX('[1]End - Use Prices'!$C$6:$AL$89,MATCH($C184,'[1]End - Use Prices'!$A$6:$A$89,0)+MATCH($D184,'[1]End - Use Prices'!$B$9:$B$11,0)-1,MATCH(AY$1,'[1]End - Use Prices'!$C$7:$AL$7,0))</f>
        <v>36.14</v>
      </c>
      <c r="AZ184" s="41">
        <f>INDEX('[1]End - Use Prices'!$C$6:$AL$89,MATCH($C184,'[1]End - Use Prices'!$A$6:$A$89,0)+MATCH($D184,'[1]End - Use Prices'!$B$9:$B$11,0)-1,MATCH(AZ$1,'[1]End - Use Prices'!$C$7:$AL$7,0))</f>
        <v>36.11</v>
      </c>
      <c r="BA184" s="41">
        <f>INDEX('[1]End - Use Prices'!$C$6:$AL$89,MATCH($C184,'[1]End - Use Prices'!$A$6:$A$89,0)+MATCH($D184,'[1]End - Use Prices'!$B$9:$B$11,0)-1,MATCH(BA$1,'[1]End - Use Prices'!$C$7:$AL$7,0))</f>
        <v>36.11</v>
      </c>
      <c r="BB184" s="41">
        <f>INDEX('[1]End - Use Prices'!$C$6:$AL$89,MATCH($C184,'[1]End - Use Prices'!$A$6:$A$89,0)+MATCH($D184,'[1]End - Use Prices'!$B$9:$B$11,0)-1,MATCH(BB$1,'[1]End - Use Prices'!$C$7:$AL$7,0))</f>
        <v>36.090000000000003</v>
      </c>
      <c r="BC184" s="41">
        <f>INDEX('[1]End - Use Prices'!$C$6:$AL$89,MATCH($C184,'[1]End - Use Prices'!$A$6:$A$89,0)+MATCH($D184,'[1]End - Use Prices'!$B$9:$B$11,0)-1,MATCH(BC$1,'[1]End - Use Prices'!$C$7:$AL$7,0))</f>
        <v>36.049999999999997</v>
      </c>
      <c r="BD184" s="41">
        <f>INDEX('[1]End - Use Prices'!$C$6:$AL$89,MATCH($C184,'[1]End - Use Prices'!$A$6:$A$89,0)+MATCH($D184,'[1]End - Use Prices'!$B$9:$B$11,0)-1,MATCH(BD$1,'[1]End - Use Prices'!$C$7:$AL$7,0))</f>
        <v>35.99</v>
      </c>
      <c r="BE184" s="41">
        <f>INDEX('[1]End - Use Prices'!$C$6:$AL$89,MATCH($C184,'[1]End - Use Prices'!$A$6:$A$89,0)+MATCH($D184,'[1]End - Use Prices'!$B$9:$B$11,0)-1,MATCH(BE$1,'[1]End - Use Prices'!$C$7:$AL$7,0))</f>
        <v>35.9</v>
      </c>
      <c r="BF184" s="41">
        <f>INDEX('[1]End - Use Prices'!$C$6:$AL$89,MATCH($C184,'[1]End - Use Prices'!$A$6:$A$89,0)+MATCH($D184,'[1]End - Use Prices'!$B$9:$B$11,0)-1,MATCH(BF$1,'[1]End - Use Prices'!$C$7:$AL$7,0))</f>
        <v>35.81</v>
      </c>
      <c r="BG184" s="41">
        <f>INDEX('[1]End - Use Prices'!$C$6:$AL$89,MATCH($C184,'[1]End - Use Prices'!$A$6:$A$89,0)+MATCH($D184,'[1]End - Use Prices'!$B$9:$B$11,0)-1,MATCH(BG$1,'[1]End - Use Prices'!$C$7:$AL$7,0))</f>
        <v>35.71</v>
      </c>
      <c r="BR184" s="39"/>
      <c r="BS184" s="39"/>
      <c r="BT184" s="39"/>
      <c r="BU184" s="39"/>
      <c r="BV184" s="39"/>
      <c r="BW184" s="39"/>
      <c r="BX184" s="39"/>
      <c r="BY184" s="39"/>
      <c r="BZ184" s="39"/>
      <c r="CA184" s="39"/>
    </row>
    <row r="185" spans="1:79" x14ac:dyDescent="0.25">
      <c r="A185" s="5"/>
      <c r="B185" s="3"/>
      <c r="C185" s="25" t="s">
        <v>91</v>
      </c>
      <c r="D185" s="25" t="s">
        <v>280</v>
      </c>
      <c r="E185" s="25" t="s">
        <v>282</v>
      </c>
      <c r="F185" s="67" t="s">
        <v>279</v>
      </c>
      <c r="G185" s="53">
        <f t="shared" si="25"/>
        <v>26.86</v>
      </c>
      <c r="H185" s="34">
        <f t="shared" si="30"/>
        <v>26.86</v>
      </c>
      <c r="I185" s="34">
        <f t="shared" si="30"/>
        <v>28.11</v>
      </c>
      <c r="J185" s="34">
        <f t="shared" si="30"/>
        <v>26.82</v>
      </c>
      <c r="K185" s="34">
        <f t="shared" si="30"/>
        <v>36.65</v>
      </c>
      <c r="L185" s="34">
        <f t="shared" si="30"/>
        <v>30.13</v>
      </c>
      <c r="M185" s="34">
        <f t="shared" si="30"/>
        <v>29.7</v>
      </c>
      <c r="N185" s="34">
        <f t="shared" si="30"/>
        <v>29.69</v>
      </c>
      <c r="O185" s="34">
        <f t="shared" si="30"/>
        <v>29.56</v>
      </c>
      <c r="P185" s="53">
        <f t="shared" si="29"/>
        <v>29.56</v>
      </c>
      <c r="Q185" s="53">
        <f t="shared" si="29"/>
        <v>29.56</v>
      </c>
      <c r="R185" s="38"/>
      <c r="X185" s="41">
        <f>INDEX('[1]End - Use Prices'!$C$6:$AL$89,MATCH($C185,'[1]End - Use Prices'!$A$6:$A$89,0)+MATCH($D185,'[1]End - Use Prices'!$B$9:$B$11,0)-1,MATCH(X$1,'[1]End - Use Prices'!$C$7:$AL$7,0))</f>
        <v>26.86</v>
      </c>
      <c r="Y185" s="41">
        <f>INDEX('[1]End - Use Prices'!$C$6:$AL$89,MATCH($C185,'[1]End - Use Prices'!$A$6:$A$89,0)+MATCH($D185,'[1]End - Use Prices'!$B$9:$B$11,0)-1,MATCH(Y$1,'[1]End - Use Prices'!$C$7:$AL$7,0))</f>
        <v>26.92</v>
      </c>
      <c r="Z185" s="41">
        <f>INDEX('[1]End - Use Prices'!$C$6:$AL$89,MATCH($C185,'[1]End - Use Prices'!$A$6:$A$89,0)+MATCH($D185,'[1]End - Use Prices'!$B$9:$B$11,0)-1,MATCH(Z$1,'[1]End - Use Prices'!$C$7:$AL$7,0))</f>
        <v>28.39</v>
      </c>
      <c r="AA185" s="41">
        <f>INDEX('[1]End - Use Prices'!$C$6:$AL$89,MATCH($C185,'[1]End - Use Prices'!$A$6:$A$89,0)+MATCH($D185,'[1]End - Use Prices'!$B$9:$B$11,0)-1,MATCH(AA$1,'[1]End - Use Prices'!$C$7:$AL$7,0))</f>
        <v>34.549999999999997</v>
      </c>
      <c r="AB185" s="41">
        <f>INDEX('[1]End - Use Prices'!$C$6:$AL$89,MATCH($C185,'[1]End - Use Prices'!$A$6:$A$89,0)+MATCH($D185,'[1]End - Use Prices'!$B$9:$B$11,0)-1,MATCH(AB$1,'[1]End - Use Prices'!$C$7:$AL$7,0))</f>
        <v>25.26</v>
      </c>
      <c r="AC185" s="41">
        <f>INDEX('[1]End - Use Prices'!$C$6:$AL$89,MATCH($C185,'[1]End - Use Prices'!$A$6:$A$89,0)+MATCH($D185,'[1]End - Use Prices'!$B$9:$B$11,0)-1,MATCH(AC$1,'[1]End - Use Prices'!$C$7:$AL$7,0))</f>
        <v>28.11</v>
      </c>
      <c r="AD185" s="41">
        <f>INDEX('[1]End - Use Prices'!$C$6:$AL$89,MATCH($C185,'[1]End - Use Prices'!$A$6:$A$89,0)+MATCH($D185,'[1]End - Use Prices'!$B$9:$B$11,0)-1,MATCH(AD$1,'[1]End - Use Prices'!$C$7:$AL$7,0))</f>
        <v>32.72</v>
      </c>
      <c r="AE185" s="41">
        <f>INDEX('[1]End - Use Prices'!$C$6:$AL$89,MATCH($C185,'[1]End - Use Prices'!$A$6:$A$89,0)+MATCH($D185,'[1]End - Use Prices'!$B$9:$B$11,0)-1,MATCH(AE$1,'[1]End - Use Prices'!$C$7:$AL$7,0))</f>
        <v>32.950000000000003</v>
      </c>
      <c r="AF185" s="41">
        <f>INDEX('[1]End - Use Prices'!$C$6:$AL$89,MATCH($C185,'[1]End - Use Prices'!$A$6:$A$89,0)+MATCH($D185,'[1]End - Use Prices'!$B$9:$B$11,0)-1,MATCH(AF$1,'[1]End - Use Prices'!$C$7:$AL$7,0))</f>
        <v>33.5</v>
      </c>
      <c r="AG185" s="41">
        <f>INDEX('[1]End - Use Prices'!$C$6:$AL$89,MATCH($C185,'[1]End - Use Prices'!$A$6:$A$89,0)+MATCH($D185,'[1]End - Use Prices'!$B$9:$B$11,0)-1,MATCH(AG$1,'[1]End - Use Prices'!$C$7:$AL$7,0))</f>
        <v>34.840000000000003</v>
      </c>
      <c r="AH185" s="41">
        <f>INDEX('[1]End - Use Prices'!$C$6:$AL$89,MATCH($C185,'[1]End - Use Prices'!$A$6:$A$89,0)+MATCH($D185,'[1]End - Use Prices'!$B$9:$B$11,0)-1,MATCH(AH$1,'[1]End - Use Prices'!$C$7:$AL$7,0))</f>
        <v>26.82</v>
      </c>
      <c r="AI185" s="41">
        <f>INDEX('[1]End - Use Prices'!$C$6:$AL$89,MATCH($C185,'[1]End - Use Prices'!$A$6:$A$89,0)+MATCH($D185,'[1]End - Use Prices'!$B$9:$B$11,0)-1,MATCH(AI$1,'[1]End - Use Prices'!$C$7:$AL$7,0))</f>
        <v>24</v>
      </c>
      <c r="AJ185" s="41">
        <f>INDEX('[1]End - Use Prices'!$C$6:$AL$89,MATCH($C185,'[1]End - Use Prices'!$A$6:$A$89,0)+MATCH($D185,'[1]End - Use Prices'!$B$9:$B$11,0)-1,MATCH(AJ$1,'[1]End - Use Prices'!$C$7:$AL$7,0))</f>
        <v>26.23</v>
      </c>
      <c r="AK185" s="41">
        <f>INDEX('[1]End - Use Prices'!$C$6:$AL$89,MATCH($C185,'[1]End - Use Prices'!$A$6:$A$89,0)+MATCH($D185,'[1]End - Use Prices'!$B$9:$B$11,0)-1,MATCH(AK$1,'[1]End - Use Prices'!$C$7:$AL$7,0))</f>
        <v>30.14</v>
      </c>
      <c r="AL185" s="41">
        <f>INDEX('[1]End - Use Prices'!$C$6:$AL$89,MATCH($C185,'[1]End - Use Prices'!$A$6:$A$89,0)+MATCH($D185,'[1]End - Use Prices'!$B$9:$B$11,0)-1,MATCH(AL$1,'[1]End - Use Prices'!$C$7:$AL$7,0))</f>
        <v>33.479999999999997</v>
      </c>
      <c r="AM185" s="41">
        <f>INDEX('[1]End - Use Prices'!$C$6:$AL$89,MATCH($C185,'[1]End - Use Prices'!$A$6:$A$89,0)+MATCH($D185,'[1]End - Use Prices'!$B$9:$B$11,0)-1,MATCH(AM$1,'[1]End - Use Prices'!$C$7:$AL$7,0))</f>
        <v>36.65</v>
      </c>
      <c r="AN185" s="41">
        <f>INDEX('[1]End - Use Prices'!$C$6:$AL$89,MATCH($C185,'[1]End - Use Prices'!$A$6:$A$89,0)+MATCH($D185,'[1]End - Use Prices'!$B$9:$B$11,0)-1,MATCH(AN$1,'[1]End - Use Prices'!$C$7:$AL$7,0))</f>
        <v>33.15</v>
      </c>
      <c r="AO185" s="41">
        <f>INDEX('[1]End - Use Prices'!$C$6:$AL$89,MATCH($C185,'[1]End - Use Prices'!$A$6:$A$89,0)+MATCH($D185,'[1]End - Use Prices'!$B$9:$B$11,0)-1,MATCH(AO$1,'[1]End - Use Prices'!$C$7:$AL$7,0))</f>
        <v>30.77</v>
      </c>
      <c r="AP185" s="41">
        <f>INDEX('[1]End - Use Prices'!$C$6:$AL$89,MATCH($C185,'[1]End - Use Prices'!$A$6:$A$89,0)+MATCH($D185,'[1]End - Use Prices'!$B$9:$B$11,0)-1,MATCH(AP$1,'[1]End - Use Prices'!$C$7:$AL$7,0))</f>
        <v>30.2</v>
      </c>
      <c r="AQ185" s="41">
        <f>INDEX('[1]End - Use Prices'!$C$6:$AL$89,MATCH($C185,'[1]End - Use Prices'!$A$6:$A$89,0)+MATCH($D185,'[1]End - Use Prices'!$B$9:$B$11,0)-1,MATCH(AQ$1,'[1]End - Use Prices'!$C$7:$AL$7,0))</f>
        <v>30.06</v>
      </c>
      <c r="AR185" s="41">
        <f>INDEX('[1]End - Use Prices'!$C$6:$AL$89,MATCH($C185,'[1]End - Use Prices'!$A$6:$A$89,0)+MATCH($D185,'[1]End - Use Prices'!$B$9:$B$11,0)-1,MATCH(AR$1,'[1]End - Use Prices'!$C$7:$AL$7,0))</f>
        <v>30.13</v>
      </c>
      <c r="AS185" s="41">
        <f>INDEX('[1]End - Use Prices'!$C$6:$AL$89,MATCH($C185,'[1]End - Use Prices'!$A$6:$A$89,0)+MATCH($D185,'[1]End - Use Prices'!$B$9:$B$11,0)-1,MATCH(AS$1,'[1]End - Use Prices'!$C$7:$AL$7,0))</f>
        <v>30.14</v>
      </c>
      <c r="AT185" s="41">
        <f>INDEX('[1]End - Use Prices'!$C$6:$AL$89,MATCH($C185,'[1]End - Use Prices'!$A$6:$A$89,0)+MATCH($D185,'[1]End - Use Prices'!$B$9:$B$11,0)-1,MATCH(AT$1,'[1]End - Use Prices'!$C$7:$AL$7,0))</f>
        <v>30.06</v>
      </c>
      <c r="AU185" s="41">
        <f>INDEX('[1]End - Use Prices'!$C$6:$AL$89,MATCH($C185,'[1]End - Use Prices'!$A$6:$A$89,0)+MATCH($D185,'[1]End - Use Prices'!$B$9:$B$11,0)-1,MATCH(AU$1,'[1]End - Use Prices'!$C$7:$AL$7,0))</f>
        <v>29.92</v>
      </c>
      <c r="AV185" s="41">
        <f>INDEX('[1]End - Use Prices'!$C$6:$AL$89,MATCH($C185,'[1]End - Use Prices'!$A$6:$A$89,0)+MATCH($D185,'[1]End - Use Prices'!$B$9:$B$11,0)-1,MATCH(AV$1,'[1]End - Use Prices'!$C$7:$AL$7,0))</f>
        <v>29.81</v>
      </c>
      <c r="AW185" s="41">
        <f>INDEX('[1]End - Use Prices'!$C$6:$AL$89,MATCH($C185,'[1]End - Use Prices'!$A$6:$A$89,0)+MATCH($D185,'[1]End - Use Prices'!$B$9:$B$11,0)-1,MATCH(AW$1,'[1]End - Use Prices'!$C$7:$AL$7,0))</f>
        <v>29.7</v>
      </c>
      <c r="AX185" s="41">
        <f>INDEX('[1]End - Use Prices'!$C$6:$AL$89,MATCH($C185,'[1]End - Use Prices'!$A$6:$A$89,0)+MATCH($D185,'[1]End - Use Prices'!$B$9:$B$11,0)-1,MATCH(AX$1,'[1]End - Use Prices'!$C$7:$AL$7,0))</f>
        <v>29.64</v>
      </c>
      <c r="AY185" s="41">
        <f>INDEX('[1]End - Use Prices'!$C$6:$AL$89,MATCH($C185,'[1]End - Use Prices'!$A$6:$A$89,0)+MATCH($D185,'[1]End - Use Prices'!$B$9:$B$11,0)-1,MATCH(AY$1,'[1]End - Use Prices'!$C$7:$AL$7,0))</f>
        <v>29.62</v>
      </c>
      <c r="AZ185" s="41">
        <f>INDEX('[1]End - Use Prices'!$C$6:$AL$89,MATCH($C185,'[1]End - Use Prices'!$A$6:$A$89,0)+MATCH($D185,'[1]End - Use Prices'!$B$9:$B$11,0)-1,MATCH(AZ$1,'[1]End - Use Prices'!$C$7:$AL$7,0))</f>
        <v>29.64</v>
      </c>
      <c r="BA185" s="41">
        <f>INDEX('[1]End - Use Prices'!$C$6:$AL$89,MATCH($C185,'[1]End - Use Prices'!$A$6:$A$89,0)+MATCH($D185,'[1]End - Use Prices'!$B$9:$B$11,0)-1,MATCH(BA$1,'[1]End - Use Prices'!$C$7:$AL$7,0))</f>
        <v>29.67</v>
      </c>
      <c r="BB185" s="41">
        <f>INDEX('[1]End - Use Prices'!$C$6:$AL$89,MATCH($C185,'[1]End - Use Prices'!$A$6:$A$89,0)+MATCH($D185,'[1]End - Use Prices'!$B$9:$B$11,0)-1,MATCH(BB$1,'[1]End - Use Prices'!$C$7:$AL$7,0))</f>
        <v>29.69</v>
      </c>
      <c r="BC185" s="41">
        <f>INDEX('[1]End - Use Prices'!$C$6:$AL$89,MATCH($C185,'[1]End - Use Prices'!$A$6:$A$89,0)+MATCH($D185,'[1]End - Use Prices'!$B$9:$B$11,0)-1,MATCH(BC$1,'[1]End - Use Prices'!$C$7:$AL$7,0))</f>
        <v>29.7</v>
      </c>
      <c r="BD185" s="41">
        <f>INDEX('[1]End - Use Prices'!$C$6:$AL$89,MATCH($C185,'[1]End - Use Prices'!$A$6:$A$89,0)+MATCH($D185,'[1]End - Use Prices'!$B$9:$B$11,0)-1,MATCH(BD$1,'[1]End - Use Prices'!$C$7:$AL$7,0))</f>
        <v>29.69</v>
      </c>
      <c r="BE185" s="41">
        <f>INDEX('[1]End - Use Prices'!$C$6:$AL$89,MATCH($C185,'[1]End - Use Prices'!$A$6:$A$89,0)+MATCH($D185,'[1]End - Use Prices'!$B$9:$B$11,0)-1,MATCH(BE$1,'[1]End - Use Prices'!$C$7:$AL$7,0))</f>
        <v>29.65</v>
      </c>
      <c r="BF185" s="41">
        <f>INDEX('[1]End - Use Prices'!$C$6:$AL$89,MATCH($C185,'[1]End - Use Prices'!$A$6:$A$89,0)+MATCH($D185,'[1]End - Use Prices'!$B$9:$B$11,0)-1,MATCH(BF$1,'[1]End - Use Prices'!$C$7:$AL$7,0))</f>
        <v>29.61</v>
      </c>
      <c r="BG185" s="41">
        <f>INDEX('[1]End - Use Prices'!$C$6:$AL$89,MATCH($C185,'[1]End - Use Prices'!$A$6:$A$89,0)+MATCH($D185,'[1]End - Use Prices'!$B$9:$B$11,0)-1,MATCH(BG$1,'[1]End - Use Prices'!$C$7:$AL$7,0))</f>
        <v>29.56</v>
      </c>
      <c r="BR185" s="39"/>
      <c r="BS185" s="39"/>
      <c r="BT185" s="39"/>
      <c r="BU185" s="39"/>
      <c r="BV185" s="39"/>
      <c r="BW185" s="39"/>
      <c r="BX185" s="39"/>
      <c r="BY185" s="39"/>
      <c r="BZ185" s="39"/>
      <c r="CA185" s="39"/>
    </row>
    <row r="186" spans="1:79" x14ac:dyDescent="0.25">
      <c r="A186" s="5"/>
      <c r="B186" s="3"/>
      <c r="C186" s="25" t="s">
        <v>92</v>
      </c>
      <c r="D186" s="25" t="s">
        <v>280</v>
      </c>
      <c r="E186" s="25" t="s">
        <v>282</v>
      </c>
      <c r="F186" s="67" t="s">
        <v>279</v>
      </c>
      <c r="G186" s="53">
        <f t="shared" si="25"/>
        <v>26.98</v>
      </c>
      <c r="H186" s="34">
        <f t="shared" si="30"/>
        <v>26.98</v>
      </c>
      <c r="I186" s="34">
        <f t="shared" si="30"/>
        <v>26.99</v>
      </c>
      <c r="J186" s="34">
        <f t="shared" si="30"/>
        <v>26.82</v>
      </c>
      <c r="K186" s="34">
        <f t="shared" si="30"/>
        <v>37.92</v>
      </c>
      <c r="L186" s="34">
        <f t="shared" si="30"/>
        <v>33.53</v>
      </c>
      <c r="M186" s="34">
        <f t="shared" si="30"/>
        <v>32.72</v>
      </c>
      <c r="N186" s="34">
        <f t="shared" si="30"/>
        <v>32.49</v>
      </c>
      <c r="O186" s="34">
        <f t="shared" si="30"/>
        <v>32.130000000000003</v>
      </c>
      <c r="P186" s="53">
        <f t="shared" si="29"/>
        <v>32.130000000000003</v>
      </c>
      <c r="Q186" s="53">
        <f t="shared" si="29"/>
        <v>32.130000000000003</v>
      </c>
      <c r="R186" s="38"/>
      <c r="X186" s="41">
        <f>INDEX('[1]End - Use Prices'!$C$6:$AL$89,MATCH($C186,'[1]End - Use Prices'!$A$6:$A$89,0)+MATCH($D186,'[1]End - Use Prices'!$B$9:$B$11,0)-1,MATCH(X$1,'[1]End - Use Prices'!$C$7:$AL$7,0))</f>
        <v>26.98</v>
      </c>
      <c r="Y186" s="41">
        <f>INDEX('[1]End - Use Prices'!$C$6:$AL$89,MATCH($C186,'[1]End - Use Prices'!$A$6:$A$89,0)+MATCH($D186,'[1]End - Use Prices'!$B$9:$B$11,0)-1,MATCH(Y$1,'[1]End - Use Prices'!$C$7:$AL$7,0))</f>
        <v>26.48</v>
      </c>
      <c r="Z186" s="41">
        <f>INDEX('[1]End - Use Prices'!$C$6:$AL$89,MATCH($C186,'[1]End - Use Prices'!$A$6:$A$89,0)+MATCH($D186,'[1]End - Use Prices'!$B$9:$B$11,0)-1,MATCH(Z$1,'[1]End - Use Prices'!$C$7:$AL$7,0))</f>
        <v>28.47</v>
      </c>
      <c r="AA186" s="41">
        <f>INDEX('[1]End - Use Prices'!$C$6:$AL$89,MATCH($C186,'[1]End - Use Prices'!$A$6:$A$89,0)+MATCH($D186,'[1]End - Use Prices'!$B$9:$B$11,0)-1,MATCH(AA$1,'[1]End - Use Prices'!$C$7:$AL$7,0))</f>
        <v>34.4</v>
      </c>
      <c r="AB186" s="41">
        <f>INDEX('[1]End - Use Prices'!$C$6:$AL$89,MATCH($C186,'[1]End - Use Prices'!$A$6:$A$89,0)+MATCH($D186,'[1]End - Use Prices'!$B$9:$B$11,0)-1,MATCH(AB$1,'[1]End - Use Prices'!$C$7:$AL$7,0))</f>
        <v>24.36</v>
      </c>
      <c r="AC186" s="41">
        <f>INDEX('[1]End - Use Prices'!$C$6:$AL$89,MATCH($C186,'[1]End - Use Prices'!$A$6:$A$89,0)+MATCH($D186,'[1]End - Use Prices'!$B$9:$B$11,0)-1,MATCH(AC$1,'[1]End - Use Prices'!$C$7:$AL$7,0))</f>
        <v>26.99</v>
      </c>
      <c r="AD186" s="41">
        <f>INDEX('[1]End - Use Prices'!$C$6:$AL$89,MATCH($C186,'[1]End - Use Prices'!$A$6:$A$89,0)+MATCH($D186,'[1]End - Use Prices'!$B$9:$B$11,0)-1,MATCH(AD$1,'[1]End - Use Prices'!$C$7:$AL$7,0))</f>
        <v>32.65</v>
      </c>
      <c r="AE186" s="41">
        <f>INDEX('[1]End - Use Prices'!$C$6:$AL$89,MATCH($C186,'[1]End - Use Prices'!$A$6:$A$89,0)+MATCH($D186,'[1]End - Use Prices'!$B$9:$B$11,0)-1,MATCH(AE$1,'[1]End - Use Prices'!$C$7:$AL$7,0))</f>
        <v>31.57</v>
      </c>
      <c r="AF186" s="41">
        <f>INDEX('[1]End - Use Prices'!$C$6:$AL$89,MATCH($C186,'[1]End - Use Prices'!$A$6:$A$89,0)+MATCH($D186,'[1]End - Use Prices'!$B$9:$B$11,0)-1,MATCH(AF$1,'[1]End - Use Prices'!$C$7:$AL$7,0))</f>
        <v>32.36</v>
      </c>
      <c r="AG186" s="41">
        <f>INDEX('[1]End - Use Prices'!$C$6:$AL$89,MATCH($C186,'[1]End - Use Prices'!$A$6:$A$89,0)+MATCH($D186,'[1]End - Use Prices'!$B$9:$B$11,0)-1,MATCH(AG$1,'[1]End - Use Prices'!$C$7:$AL$7,0))</f>
        <v>35.340000000000003</v>
      </c>
      <c r="AH186" s="41">
        <f>INDEX('[1]End - Use Prices'!$C$6:$AL$89,MATCH($C186,'[1]End - Use Prices'!$A$6:$A$89,0)+MATCH($D186,'[1]End - Use Prices'!$B$9:$B$11,0)-1,MATCH(AH$1,'[1]End - Use Prices'!$C$7:$AL$7,0))</f>
        <v>26.82</v>
      </c>
      <c r="AI186" s="41">
        <f>INDEX('[1]End - Use Prices'!$C$6:$AL$89,MATCH($C186,'[1]End - Use Prices'!$A$6:$A$89,0)+MATCH($D186,'[1]End - Use Prices'!$B$9:$B$11,0)-1,MATCH(AI$1,'[1]End - Use Prices'!$C$7:$AL$7,0))</f>
        <v>24.02</v>
      </c>
      <c r="AJ186" s="41">
        <f>INDEX('[1]End - Use Prices'!$C$6:$AL$89,MATCH($C186,'[1]End - Use Prices'!$A$6:$A$89,0)+MATCH($D186,'[1]End - Use Prices'!$B$9:$B$11,0)-1,MATCH(AJ$1,'[1]End - Use Prices'!$C$7:$AL$7,0))</f>
        <v>26.27</v>
      </c>
      <c r="AK186" s="41">
        <f>INDEX('[1]End - Use Prices'!$C$6:$AL$89,MATCH($C186,'[1]End - Use Prices'!$A$6:$A$89,0)+MATCH($D186,'[1]End - Use Prices'!$B$9:$B$11,0)-1,MATCH(AK$1,'[1]End - Use Prices'!$C$7:$AL$7,0))</f>
        <v>29.87</v>
      </c>
      <c r="AL186" s="41">
        <f>INDEX('[1]End - Use Prices'!$C$6:$AL$89,MATCH($C186,'[1]End - Use Prices'!$A$6:$A$89,0)+MATCH($D186,'[1]End - Use Prices'!$B$9:$B$11,0)-1,MATCH(AL$1,'[1]End - Use Prices'!$C$7:$AL$7,0))</f>
        <v>33.14</v>
      </c>
      <c r="AM186" s="41">
        <f>INDEX('[1]End - Use Prices'!$C$6:$AL$89,MATCH($C186,'[1]End - Use Prices'!$A$6:$A$89,0)+MATCH($D186,'[1]End - Use Prices'!$B$9:$B$11,0)-1,MATCH(AM$1,'[1]End - Use Prices'!$C$7:$AL$7,0))</f>
        <v>37.92</v>
      </c>
      <c r="AN186" s="41">
        <f>INDEX('[1]End - Use Prices'!$C$6:$AL$89,MATCH($C186,'[1]End - Use Prices'!$A$6:$A$89,0)+MATCH($D186,'[1]End - Use Prices'!$B$9:$B$11,0)-1,MATCH(AN$1,'[1]End - Use Prices'!$C$7:$AL$7,0))</f>
        <v>35.28</v>
      </c>
      <c r="AO186" s="41">
        <f>INDEX('[1]End - Use Prices'!$C$6:$AL$89,MATCH($C186,'[1]End - Use Prices'!$A$6:$A$89,0)+MATCH($D186,'[1]End - Use Prices'!$B$9:$B$11,0)-1,MATCH(AO$1,'[1]End - Use Prices'!$C$7:$AL$7,0))</f>
        <v>33.700000000000003</v>
      </c>
      <c r="AP186" s="41">
        <f>INDEX('[1]End - Use Prices'!$C$6:$AL$89,MATCH($C186,'[1]End - Use Prices'!$A$6:$A$89,0)+MATCH($D186,'[1]End - Use Prices'!$B$9:$B$11,0)-1,MATCH(AP$1,'[1]End - Use Prices'!$C$7:$AL$7,0))</f>
        <v>33.82</v>
      </c>
      <c r="AQ186" s="41">
        <f>INDEX('[1]End - Use Prices'!$C$6:$AL$89,MATCH($C186,'[1]End - Use Prices'!$A$6:$A$89,0)+MATCH($D186,'[1]End - Use Prices'!$B$9:$B$11,0)-1,MATCH(AQ$1,'[1]End - Use Prices'!$C$7:$AL$7,0))</f>
        <v>33.549999999999997</v>
      </c>
      <c r="AR186" s="41">
        <f>INDEX('[1]End - Use Prices'!$C$6:$AL$89,MATCH($C186,'[1]End - Use Prices'!$A$6:$A$89,0)+MATCH($D186,'[1]End - Use Prices'!$B$9:$B$11,0)-1,MATCH(AR$1,'[1]End - Use Prices'!$C$7:$AL$7,0))</f>
        <v>33.53</v>
      </c>
      <c r="AS186" s="41">
        <f>INDEX('[1]End - Use Prices'!$C$6:$AL$89,MATCH($C186,'[1]End - Use Prices'!$A$6:$A$89,0)+MATCH($D186,'[1]End - Use Prices'!$B$9:$B$11,0)-1,MATCH(AS$1,'[1]End - Use Prices'!$C$7:$AL$7,0))</f>
        <v>33.46</v>
      </c>
      <c r="AT186" s="41">
        <f>INDEX('[1]End - Use Prices'!$C$6:$AL$89,MATCH($C186,'[1]End - Use Prices'!$A$6:$A$89,0)+MATCH($D186,'[1]End - Use Prices'!$B$9:$B$11,0)-1,MATCH(AT$1,'[1]End - Use Prices'!$C$7:$AL$7,0))</f>
        <v>33.29</v>
      </c>
      <c r="AU186" s="41">
        <f>INDEX('[1]End - Use Prices'!$C$6:$AL$89,MATCH($C186,'[1]End - Use Prices'!$A$6:$A$89,0)+MATCH($D186,'[1]End - Use Prices'!$B$9:$B$11,0)-1,MATCH(AU$1,'[1]End - Use Prices'!$C$7:$AL$7,0))</f>
        <v>33.07</v>
      </c>
      <c r="AV186" s="41">
        <f>INDEX('[1]End - Use Prices'!$C$6:$AL$89,MATCH($C186,'[1]End - Use Prices'!$A$6:$A$89,0)+MATCH($D186,'[1]End - Use Prices'!$B$9:$B$11,0)-1,MATCH(AV$1,'[1]End - Use Prices'!$C$7:$AL$7,0))</f>
        <v>32.9</v>
      </c>
      <c r="AW186" s="41">
        <f>INDEX('[1]End - Use Prices'!$C$6:$AL$89,MATCH($C186,'[1]End - Use Prices'!$A$6:$A$89,0)+MATCH($D186,'[1]End - Use Prices'!$B$9:$B$11,0)-1,MATCH(AW$1,'[1]End - Use Prices'!$C$7:$AL$7,0))</f>
        <v>32.72</v>
      </c>
      <c r="AX186" s="41">
        <f>INDEX('[1]End - Use Prices'!$C$6:$AL$89,MATCH($C186,'[1]End - Use Prices'!$A$6:$A$89,0)+MATCH($D186,'[1]End - Use Prices'!$B$9:$B$11,0)-1,MATCH(AX$1,'[1]End - Use Prices'!$C$7:$AL$7,0))</f>
        <v>32.619999999999997</v>
      </c>
      <c r="AY186" s="41">
        <f>INDEX('[1]End - Use Prices'!$C$6:$AL$89,MATCH($C186,'[1]End - Use Prices'!$A$6:$A$89,0)+MATCH($D186,'[1]End - Use Prices'!$B$9:$B$11,0)-1,MATCH(AY$1,'[1]End - Use Prices'!$C$7:$AL$7,0))</f>
        <v>32.549999999999997</v>
      </c>
      <c r="AZ186" s="41">
        <f>INDEX('[1]End - Use Prices'!$C$6:$AL$89,MATCH($C186,'[1]End - Use Prices'!$A$6:$A$89,0)+MATCH($D186,'[1]End - Use Prices'!$B$9:$B$11,0)-1,MATCH(AZ$1,'[1]End - Use Prices'!$C$7:$AL$7,0))</f>
        <v>32.520000000000003</v>
      </c>
      <c r="BA186" s="41">
        <f>INDEX('[1]End - Use Prices'!$C$6:$AL$89,MATCH($C186,'[1]End - Use Prices'!$A$6:$A$89,0)+MATCH($D186,'[1]End - Use Prices'!$B$9:$B$11,0)-1,MATCH(BA$1,'[1]End - Use Prices'!$C$7:$AL$7,0))</f>
        <v>32.51</v>
      </c>
      <c r="BB186" s="41">
        <f>INDEX('[1]End - Use Prices'!$C$6:$AL$89,MATCH($C186,'[1]End - Use Prices'!$A$6:$A$89,0)+MATCH($D186,'[1]End - Use Prices'!$B$9:$B$11,0)-1,MATCH(BB$1,'[1]End - Use Prices'!$C$7:$AL$7,0))</f>
        <v>32.49</v>
      </c>
      <c r="BC186" s="41">
        <f>INDEX('[1]End - Use Prices'!$C$6:$AL$89,MATCH($C186,'[1]End - Use Prices'!$A$6:$A$89,0)+MATCH($D186,'[1]End - Use Prices'!$B$9:$B$11,0)-1,MATCH(BC$1,'[1]End - Use Prices'!$C$7:$AL$7,0))</f>
        <v>32.450000000000003</v>
      </c>
      <c r="BD186" s="41">
        <f>INDEX('[1]End - Use Prices'!$C$6:$AL$89,MATCH($C186,'[1]End - Use Prices'!$A$6:$A$89,0)+MATCH($D186,'[1]End - Use Prices'!$B$9:$B$11,0)-1,MATCH(BD$1,'[1]End - Use Prices'!$C$7:$AL$7,0))</f>
        <v>32.4</v>
      </c>
      <c r="BE186" s="41">
        <f>INDEX('[1]End - Use Prices'!$C$6:$AL$89,MATCH($C186,'[1]End - Use Prices'!$A$6:$A$89,0)+MATCH($D186,'[1]End - Use Prices'!$B$9:$B$11,0)-1,MATCH(BE$1,'[1]End - Use Prices'!$C$7:$AL$7,0))</f>
        <v>32.31</v>
      </c>
      <c r="BF186" s="41">
        <f>INDEX('[1]End - Use Prices'!$C$6:$AL$89,MATCH($C186,'[1]End - Use Prices'!$A$6:$A$89,0)+MATCH($D186,'[1]End - Use Prices'!$B$9:$B$11,0)-1,MATCH(BF$1,'[1]End - Use Prices'!$C$7:$AL$7,0))</f>
        <v>32.229999999999997</v>
      </c>
      <c r="BG186" s="41">
        <f>INDEX('[1]End - Use Prices'!$C$6:$AL$89,MATCH($C186,'[1]End - Use Prices'!$A$6:$A$89,0)+MATCH($D186,'[1]End - Use Prices'!$B$9:$B$11,0)-1,MATCH(BG$1,'[1]End - Use Prices'!$C$7:$AL$7,0))</f>
        <v>32.130000000000003</v>
      </c>
      <c r="BR186" s="39"/>
      <c r="BS186" s="39"/>
      <c r="BT186" s="39"/>
      <c r="BU186" s="39"/>
      <c r="BV186" s="39"/>
      <c r="BW186" s="39"/>
      <c r="BX186" s="39"/>
      <c r="BY186" s="39"/>
      <c r="BZ186" s="39"/>
      <c r="CA186" s="39"/>
    </row>
    <row r="187" spans="1:79" x14ac:dyDescent="0.25">
      <c r="A187" s="5"/>
      <c r="B187" s="3"/>
      <c r="C187" s="25" t="s">
        <v>5</v>
      </c>
      <c r="D187" s="25" t="s">
        <v>280</v>
      </c>
      <c r="E187" s="25" t="s">
        <v>282</v>
      </c>
      <c r="F187" s="67" t="s">
        <v>279</v>
      </c>
      <c r="G187" s="53">
        <f t="shared" si="25"/>
        <v>24.45</v>
      </c>
      <c r="H187" s="34">
        <f t="shared" si="30"/>
        <v>24.45</v>
      </c>
      <c r="I187" s="34">
        <f t="shared" si="30"/>
        <v>26.03</v>
      </c>
      <c r="J187" s="34">
        <f t="shared" si="30"/>
        <v>24.73</v>
      </c>
      <c r="K187" s="34">
        <f t="shared" si="30"/>
        <v>37.21</v>
      </c>
      <c r="L187" s="34">
        <f t="shared" si="30"/>
        <v>32.299999999999997</v>
      </c>
      <c r="M187" s="34">
        <f t="shared" si="30"/>
        <v>31.49</v>
      </c>
      <c r="N187" s="34">
        <f t="shared" si="30"/>
        <v>31.25</v>
      </c>
      <c r="O187" s="34">
        <f t="shared" si="30"/>
        <v>30.88</v>
      </c>
      <c r="P187" s="53">
        <f t="shared" si="29"/>
        <v>30.88</v>
      </c>
      <c r="Q187" s="53">
        <f t="shared" si="29"/>
        <v>30.88</v>
      </c>
      <c r="R187" s="38"/>
      <c r="X187" s="41">
        <f>INDEX('[1]End - Use Prices'!$C$6:$AL$89,MATCH($C187,'[1]End - Use Prices'!$A$6:$A$89,0)+MATCH($D187,'[1]End - Use Prices'!$B$9:$B$11,0)-1,MATCH(X$1,'[1]End - Use Prices'!$C$7:$AL$7,0))</f>
        <v>24.45</v>
      </c>
      <c r="Y187" s="41">
        <f>INDEX('[1]End - Use Prices'!$C$6:$AL$89,MATCH($C187,'[1]End - Use Prices'!$A$6:$A$89,0)+MATCH($D187,'[1]End - Use Prices'!$B$9:$B$11,0)-1,MATCH(Y$1,'[1]End - Use Prices'!$C$7:$AL$7,0))</f>
        <v>25.51</v>
      </c>
      <c r="Z187" s="41">
        <f>INDEX('[1]End - Use Prices'!$C$6:$AL$89,MATCH($C187,'[1]End - Use Prices'!$A$6:$A$89,0)+MATCH($D187,'[1]End - Use Prices'!$B$9:$B$11,0)-1,MATCH(Z$1,'[1]End - Use Prices'!$C$7:$AL$7,0))</f>
        <v>26.83</v>
      </c>
      <c r="AA187" s="41">
        <f>INDEX('[1]End - Use Prices'!$C$6:$AL$89,MATCH($C187,'[1]End - Use Prices'!$A$6:$A$89,0)+MATCH($D187,'[1]End - Use Prices'!$B$9:$B$11,0)-1,MATCH(AA$1,'[1]End - Use Prices'!$C$7:$AL$7,0))</f>
        <v>31.95</v>
      </c>
      <c r="AB187" s="41">
        <f>INDEX('[1]End - Use Prices'!$C$6:$AL$89,MATCH($C187,'[1]End - Use Prices'!$A$6:$A$89,0)+MATCH($D187,'[1]End - Use Prices'!$B$9:$B$11,0)-1,MATCH(AB$1,'[1]End - Use Prices'!$C$7:$AL$7,0))</f>
        <v>23.37</v>
      </c>
      <c r="AC187" s="41">
        <f>INDEX('[1]End - Use Prices'!$C$6:$AL$89,MATCH($C187,'[1]End - Use Prices'!$A$6:$A$89,0)+MATCH($D187,'[1]End - Use Prices'!$B$9:$B$11,0)-1,MATCH(AC$1,'[1]End - Use Prices'!$C$7:$AL$7,0))</f>
        <v>26.03</v>
      </c>
      <c r="AD187" s="41">
        <f>INDEX('[1]End - Use Prices'!$C$6:$AL$89,MATCH($C187,'[1]End - Use Prices'!$A$6:$A$89,0)+MATCH($D187,'[1]End - Use Prices'!$B$9:$B$11,0)-1,MATCH(AD$1,'[1]End - Use Prices'!$C$7:$AL$7,0))</f>
        <v>27.78</v>
      </c>
      <c r="AE187" s="41">
        <f>INDEX('[1]End - Use Prices'!$C$6:$AL$89,MATCH($C187,'[1]End - Use Prices'!$A$6:$A$89,0)+MATCH($D187,'[1]End - Use Prices'!$B$9:$B$11,0)-1,MATCH(AE$1,'[1]End - Use Prices'!$C$7:$AL$7,0))</f>
        <v>29.65</v>
      </c>
      <c r="AF187" s="41">
        <f>INDEX('[1]End - Use Prices'!$C$6:$AL$89,MATCH($C187,'[1]End - Use Prices'!$A$6:$A$89,0)+MATCH($D187,'[1]End - Use Prices'!$B$9:$B$11,0)-1,MATCH(AF$1,'[1]End - Use Prices'!$C$7:$AL$7,0))</f>
        <v>27.25</v>
      </c>
      <c r="AG187" s="41">
        <f>INDEX('[1]End - Use Prices'!$C$6:$AL$89,MATCH($C187,'[1]End - Use Prices'!$A$6:$A$89,0)+MATCH($D187,'[1]End - Use Prices'!$B$9:$B$11,0)-1,MATCH(AG$1,'[1]End - Use Prices'!$C$7:$AL$7,0))</f>
        <v>32.840000000000003</v>
      </c>
      <c r="AH187" s="41">
        <f>INDEX('[1]End - Use Prices'!$C$6:$AL$89,MATCH($C187,'[1]End - Use Prices'!$A$6:$A$89,0)+MATCH($D187,'[1]End - Use Prices'!$B$9:$B$11,0)-1,MATCH(AH$1,'[1]End - Use Prices'!$C$7:$AL$7,0))</f>
        <v>24.73</v>
      </c>
      <c r="AI187" s="41">
        <f>INDEX('[1]End - Use Prices'!$C$6:$AL$89,MATCH($C187,'[1]End - Use Prices'!$A$6:$A$89,0)+MATCH($D187,'[1]End - Use Prices'!$B$9:$B$11,0)-1,MATCH(AI$1,'[1]End - Use Prices'!$C$7:$AL$7,0))</f>
        <v>22.55</v>
      </c>
      <c r="AJ187" s="41">
        <f>INDEX('[1]End - Use Prices'!$C$6:$AL$89,MATCH($C187,'[1]End - Use Prices'!$A$6:$A$89,0)+MATCH($D187,'[1]End - Use Prices'!$B$9:$B$11,0)-1,MATCH(AJ$1,'[1]End - Use Prices'!$C$7:$AL$7,0))</f>
        <v>24.52</v>
      </c>
      <c r="AK187" s="41">
        <f>INDEX('[1]End - Use Prices'!$C$6:$AL$89,MATCH($C187,'[1]End - Use Prices'!$A$6:$A$89,0)+MATCH($D187,'[1]End - Use Prices'!$B$9:$B$11,0)-1,MATCH(AK$1,'[1]End - Use Prices'!$C$7:$AL$7,0))</f>
        <v>30.35</v>
      </c>
      <c r="AL187" s="41">
        <f>INDEX('[1]End - Use Prices'!$C$6:$AL$89,MATCH($C187,'[1]End - Use Prices'!$A$6:$A$89,0)+MATCH($D187,'[1]End - Use Prices'!$B$9:$B$11,0)-1,MATCH(AL$1,'[1]End - Use Prices'!$C$7:$AL$7,0))</f>
        <v>34.29</v>
      </c>
      <c r="AM187" s="41">
        <f>INDEX('[1]End - Use Prices'!$C$6:$AL$89,MATCH($C187,'[1]End - Use Prices'!$A$6:$A$89,0)+MATCH($D187,'[1]End - Use Prices'!$B$9:$B$11,0)-1,MATCH(AM$1,'[1]End - Use Prices'!$C$7:$AL$7,0))</f>
        <v>37.21</v>
      </c>
      <c r="AN187" s="41">
        <f>INDEX('[1]End - Use Prices'!$C$6:$AL$89,MATCH($C187,'[1]End - Use Prices'!$A$6:$A$89,0)+MATCH($D187,'[1]End - Use Prices'!$B$9:$B$11,0)-1,MATCH(AN$1,'[1]End - Use Prices'!$C$7:$AL$7,0))</f>
        <v>33.880000000000003</v>
      </c>
      <c r="AO187" s="41">
        <f>INDEX('[1]End - Use Prices'!$C$6:$AL$89,MATCH($C187,'[1]End - Use Prices'!$A$6:$A$89,0)+MATCH($D187,'[1]End - Use Prices'!$B$9:$B$11,0)-1,MATCH(AO$1,'[1]End - Use Prices'!$C$7:$AL$7,0))</f>
        <v>32.43</v>
      </c>
      <c r="AP187" s="41">
        <f>INDEX('[1]End - Use Prices'!$C$6:$AL$89,MATCH($C187,'[1]End - Use Prices'!$A$6:$A$89,0)+MATCH($D187,'[1]End - Use Prices'!$B$9:$B$11,0)-1,MATCH(AP$1,'[1]End - Use Prices'!$C$7:$AL$7,0))</f>
        <v>32.590000000000003</v>
      </c>
      <c r="AQ187" s="41">
        <f>INDEX('[1]End - Use Prices'!$C$6:$AL$89,MATCH($C187,'[1]End - Use Prices'!$A$6:$A$89,0)+MATCH($D187,'[1]End - Use Prices'!$B$9:$B$11,0)-1,MATCH(AQ$1,'[1]End - Use Prices'!$C$7:$AL$7,0))</f>
        <v>32.33</v>
      </c>
      <c r="AR187" s="41">
        <f>INDEX('[1]End - Use Prices'!$C$6:$AL$89,MATCH($C187,'[1]End - Use Prices'!$A$6:$A$89,0)+MATCH($D187,'[1]End - Use Prices'!$B$9:$B$11,0)-1,MATCH(AR$1,'[1]End - Use Prices'!$C$7:$AL$7,0))</f>
        <v>32.299999999999997</v>
      </c>
      <c r="AS187" s="41">
        <f>INDEX('[1]End - Use Prices'!$C$6:$AL$89,MATCH($C187,'[1]End - Use Prices'!$A$6:$A$89,0)+MATCH($D187,'[1]End - Use Prices'!$B$9:$B$11,0)-1,MATCH(AS$1,'[1]End - Use Prices'!$C$7:$AL$7,0))</f>
        <v>32.22</v>
      </c>
      <c r="AT187" s="41">
        <f>INDEX('[1]End - Use Prices'!$C$6:$AL$89,MATCH($C187,'[1]End - Use Prices'!$A$6:$A$89,0)+MATCH($D187,'[1]End - Use Prices'!$B$9:$B$11,0)-1,MATCH(AT$1,'[1]End - Use Prices'!$C$7:$AL$7,0))</f>
        <v>32.049999999999997</v>
      </c>
      <c r="AU187" s="41">
        <f>INDEX('[1]End - Use Prices'!$C$6:$AL$89,MATCH($C187,'[1]End - Use Prices'!$A$6:$A$89,0)+MATCH($D187,'[1]End - Use Prices'!$B$9:$B$11,0)-1,MATCH(AU$1,'[1]End - Use Prices'!$C$7:$AL$7,0))</f>
        <v>31.84</v>
      </c>
      <c r="AV187" s="41">
        <f>INDEX('[1]End - Use Prices'!$C$6:$AL$89,MATCH($C187,'[1]End - Use Prices'!$A$6:$A$89,0)+MATCH($D187,'[1]End - Use Prices'!$B$9:$B$11,0)-1,MATCH(AV$1,'[1]End - Use Prices'!$C$7:$AL$7,0))</f>
        <v>31.67</v>
      </c>
      <c r="AW187" s="41">
        <f>INDEX('[1]End - Use Prices'!$C$6:$AL$89,MATCH($C187,'[1]End - Use Prices'!$A$6:$A$89,0)+MATCH($D187,'[1]End - Use Prices'!$B$9:$B$11,0)-1,MATCH(AW$1,'[1]End - Use Prices'!$C$7:$AL$7,0))</f>
        <v>31.49</v>
      </c>
      <c r="AX187" s="41">
        <f>INDEX('[1]End - Use Prices'!$C$6:$AL$89,MATCH($C187,'[1]End - Use Prices'!$A$6:$A$89,0)+MATCH($D187,'[1]End - Use Prices'!$B$9:$B$11,0)-1,MATCH(AX$1,'[1]End - Use Prices'!$C$7:$AL$7,0))</f>
        <v>31.39</v>
      </c>
      <c r="AY187" s="41">
        <f>INDEX('[1]End - Use Prices'!$C$6:$AL$89,MATCH($C187,'[1]End - Use Prices'!$A$6:$A$89,0)+MATCH($D187,'[1]End - Use Prices'!$B$9:$B$11,0)-1,MATCH(AY$1,'[1]End - Use Prices'!$C$7:$AL$7,0))</f>
        <v>31.32</v>
      </c>
      <c r="AZ187" s="41">
        <f>INDEX('[1]End - Use Prices'!$C$6:$AL$89,MATCH($C187,'[1]End - Use Prices'!$A$6:$A$89,0)+MATCH($D187,'[1]End - Use Prices'!$B$9:$B$11,0)-1,MATCH(AZ$1,'[1]End - Use Prices'!$C$7:$AL$7,0))</f>
        <v>31.28</v>
      </c>
      <c r="BA187" s="41">
        <f>INDEX('[1]End - Use Prices'!$C$6:$AL$89,MATCH($C187,'[1]End - Use Prices'!$A$6:$A$89,0)+MATCH($D187,'[1]End - Use Prices'!$B$9:$B$11,0)-1,MATCH(BA$1,'[1]End - Use Prices'!$C$7:$AL$7,0))</f>
        <v>31.27</v>
      </c>
      <c r="BB187" s="41">
        <f>INDEX('[1]End - Use Prices'!$C$6:$AL$89,MATCH($C187,'[1]End - Use Prices'!$A$6:$A$89,0)+MATCH($D187,'[1]End - Use Prices'!$B$9:$B$11,0)-1,MATCH(BB$1,'[1]End - Use Prices'!$C$7:$AL$7,0))</f>
        <v>31.25</v>
      </c>
      <c r="BC187" s="41">
        <f>INDEX('[1]End - Use Prices'!$C$6:$AL$89,MATCH($C187,'[1]End - Use Prices'!$A$6:$A$89,0)+MATCH($D187,'[1]End - Use Prices'!$B$9:$B$11,0)-1,MATCH(BC$1,'[1]End - Use Prices'!$C$7:$AL$7,0))</f>
        <v>31.21</v>
      </c>
      <c r="BD187" s="41">
        <f>INDEX('[1]End - Use Prices'!$C$6:$AL$89,MATCH($C187,'[1]End - Use Prices'!$A$6:$A$89,0)+MATCH($D187,'[1]End - Use Prices'!$B$9:$B$11,0)-1,MATCH(BD$1,'[1]End - Use Prices'!$C$7:$AL$7,0))</f>
        <v>31.15</v>
      </c>
      <c r="BE187" s="41">
        <f>INDEX('[1]End - Use Prices'!$C$6:$AL$89,MATCH($C187,'[1]End - Use Prices'!$A$6:$A$89,0)+MATCH($D187,'[1]End - Use Prices'!$B$9:$B$11,0)-1,MATCH(BE$1,'[1]End - Use Prices'!$C$7:$AL$7,0))</f>
        <v>31.06</v>
      </c>
      <c r="BF187" s="41">
        <f>INDEX('[1]End - Use Prices'!$C$6:$AL$89,MATCH($C187,'[1]End - Use Prices'!$A$6:$A$89,0)+MATCH($D187,'[1]End - Use Prices'!$B$9:$B$11,0)-1,MATCH(BF$1,'[1]End - Use Prices'!$C$7:$AL$7,0))</f>
        <v>30.98</v>
      </c>
      <c r="BG187" s="41">
        <f>INDEX('[1]End - Use Prices'!$C$6:$AL$89,MATCH($C187,'[1]End - Use Prices'!$A$6:$A$89,0)+MATCH($D187,'[1]End - Use Prices'!$B$9:$B$11,0)-1,MATCH(BG$1,'[1]End - Use Prices'!$C$7:$AL$7,0))</f>
        <v>30.88</v>
      </c>
      <c r="BR187" s="39"/>
      <c r="BS187" s="39"/>
      <c r="BT187" s="39"/>
      <c r="BU187" s="39"/>
      <c r="BV187" s="39"/>
      <c r="BW187" s="39"/>
      <c r="BX187" s="39"/>
      <c r="BY187" s="39"/>
      <c r="BZ187" s="39"/>
      <c r="CA187" s="39"/>
    </row>
    <row r="188" spans="1:79" x14ac:dyDescent="0.25">
      <c r="A188" s="5"/>
      <c r="B188" s="3"/>
      <c r="C188" s="25" t="s">
        <v>61</v>
      </c>
      <c r="D188" s="25" t="s">
        <v>280</v>
      </c>
      <c r="E188" s="25" t="s">
        <v>282</v>
      </c>
      <c r="F188" s="67" t="s">
        <v>279</v>
      </c>
      <c r="G188" s="53">
        <f t="shared" si="25"/>
        <v>28.98</v>
      </c>
      <c r="H188" s="34">
        <f t="shared" si="30"/>
        <v>28.98</v>
      </c>
      <c r="I188" s="34">
        <f t="shared" si="30"/>
        <v>29.71</v>
      </c>
      <c r="J188" s="34">
        <f t="shared" si="30"/>
        <v>29.49</v>
      </c>
      <c r="K188" s="34">
        <f t="shared" si="30"/>
        <v>41.92</v>
      </c>
      <c r="L188" s="34">
        <f t="shared" si="30"/>
        <v>36</v>
      </c>
      <c r="M188" s="34">
        <f t="shared" si="30"/>
        <v>35.03</v>
      </c>
      <c r="N188" s="34">
        <f t="shared" si="30"/>
        <v>34.64</v>
      </c>
      <c r="O188" s="34">
        <f t="shared" si="30"/>
        <v>34.14</v>
      </c>
      <c r="P188" s="53">
        <f t="shared" si="29"/>
        <v>34.14</v>
      </c>
      <c r="Q188" s="53">
        <f t="shared" si="29"/>
        <v>34.14</v>
      </c>
      <c r="R188" s="38"/>
      <c r="X188" s="41">
        <f>INDEX('[1]End - Use Prices'!$C$6:$AL$89,MATCH($C188,'[1]End - Use Prices'!$A$6:$A$89,0)+MATCH($D188,'[1]End - Use Prices'!$B$9:$B$11,0)-1,MATCH(X$1,'[1]End - Use Prices'!$C$7:$AL$7,0))</f>
        <v>28.98</v>
      </c>
      <c r="Y188" s="41">
        <f>INDEX('[1]End - Use Prices'!$C$6:$AL$89,MATCH($C188,'[1]End - Use Prices'!$A$6:$A$89,0)+MATCH($D188,'[1]End - Use Prices'!$B$9:$B$11,0)-1,MATCH(Y$1,'[1]End - Use Prices'!$C$7:$AL$7,0))</f>
        <v>28.54</v>
      </c>
      <c r="Z188" s="41">
        <f>INDEX('[1]End - Use Prices'!$C$6:$AL$89,MATCH($C188,'[1]End - Use Prices'!$A$6:$A$89,0)+MATCH($D188,'[1]End - Use Prices'!$B$9:$B$11,0)-1,MATCH(Z$1,'[1]End - Use Prices'!$C$7:$AL$7,0))</f>
        <v>29.02</v>
      </c>
      <c r="AA188" s="41">
        <f>INDEX('[1]End - Use Prices'!$C$6:$AL$89,MATCH($C188,'[1]End - Use Prices'!$A$6:$A$89,0)+MATCH($D188,'[1]End - Use Prices'!$B$9:$B$11,0)-1,MATCH(AA$1,'[1]End - Use Prices'!$C$7:$AL$7,0))</f>
        <v>34.479999999999997</v>
      </c>
      <c r="AB188" s="41">
        <f>INDEX('[1]End - Use Prices'!$C$6:$AL$89,MATCH($C188,'[1]End - Use Prices'!$A$6:$A$89,0)+MATCH($D188,'[1]End - Use Prices'!$B$9:$B$11,0)-1,MATCH(AB$1,'[1]End - Use Prices'!$C$7:$AL$7,0))</f>
        <v>25.41</v>
      </c>
      <c r="AC188" s="41">
        <f>INDEX('[1]End - Use Prices'!$C$6:$AL$89,MATCH($C188,'[1]End - Use Prices'!$A$6:$A$89,0)+MATCH($D188,'[1]End - Use Prices'!$B$9:$B$11,0)-1,MATCH(AC$1,'[1]End - Use Prices'!$C$7:$AL$7,0))</f>
        <v>29.71</v>
      </c>
      <c r="AD188" s="41">
        <f>INDEX('[1]End - Use Prices'!$C$6:$AL$89,MATCH($C188,'[1]End - Use Prices'!$A$6:$A$89,0)+MATCH($D188,'[1]End - Use Prices'!$B$9:$B$11,0)-1,MATCH(AD$1,'[1]End - Use Prices'!$C$7:$AL$7,0))</f>
        <v>34.4</v>
      </c>
      <c r="AE188" s="41">
        <f>INDEX('[1]End - Use Prices'!$C$6:$AL$89,MATCH($C188,'[1]End - Use Prices'!$A$6:$A$89,0)+MATCH($D188,'[1]End - Use Prices'!$B$9:$B$11,0)-1,MATCH(AE$1,'[1]End - Use Prices'!$C$7:$AL$7,0))</f>
        <v>35.71</v>
      </c>
      <c r="AF188" s="41">
        <f>INDEX('[1]End - Use Prices'!$C$6:$AL$89,MATCH($C188,'[1]End - Use Prices'!$A$6:$A$89,0)+MATCH($D188,'[1]End - Use Prices'!$B$9:$B$11,0)-1,MATCH(AF$1,'[1]End - Use Prices'!$C$7:$AL$7,0))</f>
        <v>35.47</v>
      </c>
      <c r="AG188" s="41">
        <f>INDEX('[1]End - Use Prices'!$C$6:$AL$89,MATCH($C188,'[1]End - Use Prices'!$A$6:$A$89,0)+MATCH($D188,'[1]End - Use Prices'!$B$9:$B$11,0)-1,MATCH(AG$1,'[1]End - Use Prices'!$C$7:$AL$7,0))</f>
        <v>35.78</v>
      </c>
      <c r="AH188" s="41">
        <f>INDEX('[1]End - Use Prices'!$C$6:$AL$89,MATCH($C188,'[1]End - Use Prices'!$A$6:$A$89,0)+MATCH($D188,'[1]End - Use Prices'!$B$9:$B$11,0)-1,MATCH(AH$1,'[1]End - Use Prices'!$C$7:$AL$7,0))</f>
        <v>29.49</v>
      </c>
      <c r="AI188" s="41">
        <f>INDEX('[1]End - Use Prices'!$C$6:$AL$89,MATCH($C188,'[1]End - Use Prices'!$A$6:$A$89,0)+MATCH($D188,'[1]End - Use Prices'!$B$9:$B$11,0)-1,MATCH(AI$1,'[1]End - Use Prices'!$C$7:$AL$7,0))</f>
        <v>26.92</v>
      </c>
      <c r="AJ188" s="41">
        <f>INDEX('[1]End - Use Prices'!$C$6:$AL$89,MATCH($C188,'[1]End - Use Prices'!$A$6:$A$89,0)+MATCH($D188,'[1]End - Use Prices'!$B$9:$B$11,0)-1,MATCH(AJ$1,'[1]End - Use Prices'!$C$7:$AL$7,0))</f>
        <v>29.45</v>
      </c>
      <c r="AK188" s="41">
        <f>INDEX('[1]End - Use Prices'!$C$6:$AL$89,MATCH($C188,'[1]End - Use Prices'!$A$6:$A$89,0)+MATCH($D188,'[1]End - Use Prices'!$B$9:$B$11,0)-1,MATCH(AK$1,'[1]End - Use Prices'!$C$7:$AL$7,0))</f>
        <v>33.119999999999997</v>
      </c>
      <c r="AL188" s="41">
        <f>INDEX('[1]End - Use Prices'!$C$6:$AL$89,MATCH($C188,'[1]End - Use Prices'!$A$6:$A$89,0)+MATCH($D188,'[1]End - Use Prices'!$B$9:$B$11,0)-1,MATCH(AL$1,'[1]End - Use Prices'!$C$7:$AL$7,0))</f>
        <v>38.61</v>
      </c>
      <c r="AM188" s="41">
        <f>INDEX('[1]End - Use Prices'!$C$6:$AL$89,MATCH($C188,'[1]End - Use Prices'!$A$6:$A$89,0)+MATCH($D188,'[1]End - Use Prices'!$B$9:$B$11,0)-1,MATCH(AM$1,'[1]End - Use Prices'!$C$7:$AL$7,0))</f>
        <v>41.92</v>
      </c>
      <c r="AN188" s="41">
        <f>INDEX('[1]End - Use Prices'!$C$6:$AL$89,MATCH($C188,'[1]End - Use Prices'!$A$6:$A$89,0)+MATCH($D188,'[1]End - Use Prices'!$B$9:$B$11,0)-1,MATCH(AN$1,'[1]End - Use Prices'!$C$7:$AL$7,0))</f>
        <v>38.94</v>
      </c>
      <c r="AO188" s="41">
        <f>INDEX('[1]End - Use Prices'!$C$6:$AL$89,MATCH($C188,'[1]End - Use Prices'!$A$6:$A$89,0)+MATCH($D188,'[1]End - Use Prices'!$B$9:$B$11,0)-1,MATCH(AO$1,'[1]End - Use Prices'!$C$7:$AL$7,0))</f>
        <v>36.979999999999997</v>
      </c>
      <c r="AP188" s="41">
        <f>INDEX('[1]End - Use Prices'!$C$6:$AL$89,MATCH($C188,'[1]End - Use Prices'!$A$6:$A$89,0)+MATCH($D188,'[1]End - Use Prices'!$B$9:$B$11,0)-1,MATCH(AP$1,'[1]End - Use Prices'!$C$7:$AL$7,0))</f>
        <v>36.39</v>
      </c>
      <c r="AQ188" s="41">
        <f>INDEX('[1]End - Use Prices'!$C$6:$AL$89,MATCH($C188,'[1]End - Use Prices'!$A$6:$A$89,0)+MATCH($D188,'[1]End - Use Prices'!$B$9:$B$11,0)-1,MATCH(AQ$1,'[1]End - Use Prices'!$C$7:$AL$7,0))</f>
        <v>36.08</v>
      </c>
      <c r="AR188" s="41">
        <f>INDEX('[1]End - Use Prices'!$C$6:$AL$89,MATCH($C188,'[1]End - Use Prices'!$A$6:$A$89,0)+MATCH($D188,'[1]End - Use Prices'!$B$9:$B$11,0)-1,MATCH(AR$1,'[1]End - Use Prices'!$C$7:$AL$7,0))</f>
        <v>36</v>
      </c>
      <c r="AS188" s="41">
        <f>INDEX('[1]End - Use Prices'!$C$6:$AL$89,MATCH($C188,'[1]End - Use Prices'!$A$6:$A$89,0)+MATCH($D188,'[1]End - Use Prices'!$B$9:$B$11,0)-1,MATCH(AS$1,'[1]End - Use Prices'!$C$7:$AL$7,0))</f>
        <v>35.89</v>
      </c>
      <c r="AT188" s="41">
        <f>INDEX('[1]End - Use Prices'!$C$6:$AL$89,MATCH($C188,'[1]End - Use Prices'!$A$6:$A$89,0)+MATCH($D188,'[1]End - Use Prices'!$B$9:$B$11,0)-1,MATCH(AT$1,'[1]End - Use Prices'!$C$7:$AL$7,0))</f>
        <v>35.68</v>
      </c>
      <c r="AU188" s="41">
        <f>INDEX('[1]End - Use Prices'!$C$6:$AL$89,MATCH($C188,'[1]End - Use Prices'!$A$6:$A$89,0)+MATCH($D188,'[1]End - Use Prices'!$B$9:$B$11,0)-1,MATCH(AU$1,'[1]End - Use Prices'!$C$7:$AL$7,0))</f>
        <v>35.44</v>
      </c>
      <c r="AV188" s="41">
        <f>INDEX('[1]End - Use Prices'!$C$6:$AL$89,MATCH($C188,'[1]End - Use Prices'!$A$6:$A$89,0)+MATCH($D188,'[1]End - Use Prices'!$B$9:$B$11,0)-1,MATCH(AV$1,'[1]End - Use Prices'!$C$7:$AL$7,0))</f>
        <v>35.229999999999997</v>
      </c>
      <c r="AW188" s="41">
        <f>INDEX('[1]End - Use Prices'!$C$6:$AL$89,MATCH($C188,'[1]End - Use Prices'!$A$6:$A$89,0)+MATCH($D188,'[1]End - Use Prices'!$B$9:$B$11,0)-1,MATCH(AW$1,'[1]End - Use Prices'!$C$7:$AL$7,0))</f>
        <v>35.03</v>
      </c>
      <c r="AX188" s="41">
        <f>INDEX('[1]End - Use Prices'!$C$6:$AL$89,MATCH($C188,'[1]End - Use Prices'!$A$6:$A$89,0)+MATCH($D188,'[1]End - Use Prices'!$B$9:$B$11,0)-1,MATCH(AX$1,'[1]End - Use Prices'!$C$7:$AL$7,0))</f>
        <v>34.89</v>
      </c>
      <c r="AY188" s="41">
        <f>INDEX('[1]End - Use Prices'!$C$6:$AL$89,MATCH($C188,'[1]End - Use Prices'!$A$6:$A$89,0)+MATCH($D188,'[1]End - Use Prices'!$B$9:$B$11,0)-1,MATCH(AY$1,'[1]End - Use Prices'!$C$7:$AL$7,0))</f>
        <v>34.79</v>
      </c>
      <c r="AZ188" s="41">
        <f>INDEX('[1]End - Use Prices'!$C$6:$AL$89,MATCH($C188,'[1]End - Use Prices'!$A$6:$A$89,0)+MATCH($D188,'[1]End - Use Prices'!$B$9:$B$11,0)-1,MATCH(AZ$1,'[1]End - Use Prices'!$C$7:$AL$7,0))</f>
        <v>34.729999999999997</v>
      </c>
      <c r="BA188" s="41">
        <f>INDEX('[1]End - Use Prices'!$C$6:$AL$89,MATCH($C188,'[1]End - Use Prices'!$A$6:$A$89,0)+MATCH($D188,'[1]End - Use Prices'!$B$9:$B$11,0)-1,MATCH(BA$1,'[1]End - Use Prices'!$C$7:$AL$7,0))</f>
        <v>34.69</v>
      </c>
      <c r="BB188" s="41">
        <f>INDEX('[1]End - Use Prices'!$C$6:$AL$89,MATCH($C188,'[1]End - Use Prices'!$A$6:$A$89,0)+MATCH($D188,'[1]End - Use Prices'!$B$9:$B$11,0)-1,MATCH(BB$1,'[1]End - Use Prices'!$C$7:$AL$7,0))</f>
        <v>34.64</v>
      </c>
      <c r="BC188" s="41">
        <f>INDEX('[1]End - Use Prices'!$C$6:$AL$89,MATCH($C188,'[1]End - Use Prices'!$A$6:$A$89,0)+MATCH($D188,'[1]End - Use Prices'!$B$9:$B$11,0)-1,MATCH(BC$1,'[1]End - Use Prices'!$C$7:$AL$7,0))</f>
        <v>34.58</v>
      </c>
      <c r="BD188" s="41">
        <f>INDEX('[1]End - Use Prices'!$C$6:$AL$89,MATCH($C188,'[1]End - Use Prices'!$A$6:$A$89,0)+MATCH($D188,'[1]End - Use Prices'!$B$9:$B$11,0)-1,MATCH(BD$1,'[1]End - Use Prices'!$C$7:$AL$7,0))</f>
        <v>34.49</v>
      </c>
      <c r="BE188" s="41">
        <f>INDEX('[1]End - Use Prices'!$C$6:$AL$89,MATCH($C188,'[1]End - Use Prices'!$A$6:$A$89,0)+MATCH($D188,'[1]End - Use Prices'!$B$9:$B$11,0)-1,MATCH(BE$1,'[1]End - Use Prices'!$C$7:$AL$7,0))</f>
        <v>34.380000000000003</v>
      </c>
      <c r="BF188" s="41">
        <f>INDEX('[1]End - Use Prices'!$C$6:$AL$89,MATCH($C188,'[1]End - Use Prices'!$A$6:$A$89,0)+MATCH($D188,'[1]End - Use Prices'!$B$9:$B$11,0)-1,MATCH(BF$1,'[1]End - Use Prices'!$C$7:$AL$7,0))</f>
        <v>34.270000000000003</v>
      </c>
      <c r="BG188" s="41">
        <f>INDEX('[1]End - Use Prices'!$C$6:$AL$89,MATCH($C188,'[1]End - Use Prices'!$A$6:$A$89,0)+MATCH($D188,'[1]End - Use Prices'!$B$9:$B$11,0)-1,MATCH(BG$1,'[1]End - Use Prices'!$C$7:$AL$7,0))</f>
        <v>34.14</v>
      </c>
      <c r="BR188" s="39"/>
      <c r="BS188" s="39"/>
      <c r="BT188" s="39"/>
      <c r="BU188" s="39"/>
      <c r="BV188" s="39"/>
      <c r="BW188" s="39"/>
      <c r="BX188" s="39"/>
      <c r="BY188" s="39"/>
      <c r="BZ188" s="39"/>
      <c r="CA188" s="39"/>
    </row>
    <row r="189" spans="1:79" x14ac:dyDescent="0.25">
      <c r="A189" s="5"/>
      <c r="B189" s="3"/>
      <c r="C189" s="25" t="s">
        <v>93</v>
      </c>
      <c r="D189" s="25" t="s">
        <v>280</v>
      </c>
      <c r="E189" s="25" t="s">
        <v>282</v>
      </c>
      <c r="F189" s="67" t="s">
        <v>279</v>
      </c>
      <c r="G189" s="53">
        <f t="shared" si="25"/>
        <v>29.08</v>
      </c>
      <c r="H189" s="34">
        <f t="shared" si="30"/>
        <v>29.08</v>
      </c>
      <c r="I189" s="34">
        <f t="shared" si="30"/>
        <v>31.56</v>
      </c>
      <c r="J189" s="34">
        <f t="shared" si="30"/>
        <v>29.89</v>
      </c>
      <c r="K189" s="34">
        <f t="shared" si="30"/>
        <v>37.340000000000003</v>
      </c>
      <c r="L189" s="34">
        <f t="shared" si="30"/>
        <v>32.57</v>
      </c>
      <c r="M189" s="34">
        <f t="shared" si="30"/>
        <v>32.04</v>
      </c>
      <c r="N189" s="34">
        <f t="shared" si="30"/>
        <v>32.03</v>
      </c>
      <c r="O189" s="34">
        <f t="shared" si="30"/>
        <v>31.87</v>
      </c>
      <c r="P189" s="53">
        <f t="shared" si="29"/>
        <v>31.87</v>
      </c>
      <c r="Q189" s="53">
        <f t="shared" si="29"/>
        <v>31.87</v>
      </c>
      <c r="R189" s="38"/>
      <c r="X189" s="41">
        <f>INDEX('[1]End - Use Prices'!$C$6:$AL$89,MATCH($C189,'[1]End - Use Prices'!$A$6:$A$89,0)+MATCH($D189,'[1]End - Use Prices'!$B$9:$B$11,0)-1,MATCH(X$1,'[1]End - Use Prices'!$C$7:$AL$7,0))</f>
        <v>29.08</v>
      </c>
      <c r="Y189" s="41">
        <f>INDEX('[1]End - Use Prices'!$C$6:$AL$89,MATCH($C189,'[1]End - Use Prices'!$A$6:$A$89,0)+MATCH($D189,'[1]End - Use Prices'!$B$9:$B$11,0)-1,MATCH(Y$1,'[1]End - Use Prices'!$C$7:$AL$7,0))</f>
        <v>30.15</v>
      </c>
      <c r="Z189" s="41">
        <f>INDEX('[1]End - Use Prices'!$C$6:$AL$89,MATCH($C189,'[1]End - Use Prices'!$A$6:$A$89,0)+MATCH($D189,'[1]End - Use Prices'!$B$9:$B$11,0)-1,MATCH(Z$1,'[1]End - Use Prices'!$C$7:$AL$7,0))</f>
        <v>31.73</v>
      </c>
      <c r="AA189" s="41">
        <f>INDEX('[1]End - Use Prices'!$C$6:$AL$89,MATCH($C189,'[1]End - Use Prices'!$A$6:$A$89,0)+MATCH($D189,'[1]End - Use Prices'!$B$9:$B$11,0)-1,MATCH(AA$1,'[1]End - Use Prices'!$C$7:$AL$7,0))</f>
        <v>37.46</v>
      </c>
      <c r="AB189" s="41">
        <f>INDEX('[1]End - Use Prices'!$C$6:$AL$89,MATCH($C189,'[1]End - Use Prices'!$A$6:$A$89,0)+MATCH($D189,'[1]End - Use Prices'!$B$9:$B$11,0)-1,MATCH(AB$1,'[1]End - Use Prices'!$C$7:$AL$7,0))</f>
        <v>28.89</v>
      </c>
      <c r="AC189" s="41">
        <f>INDEX('[1]End - Use Prices'!$C$6:$AL$89,MATCH($C189,'[1]End - Use Prices'!$A$6:$A$89,0)+MATCH($D189,'[1]End - Use Prices'!$B$9:$B$11,0)-1,MATCH(AC$1,'[1]End - Use Prices'!$C$7:$AL$7,0))</f>
        <v>31.56</v>
      </c>
      <c r="AD189" s="41">
        <f>INDEX('[1]End - Use Prices'!$C$6:$AL$89,MATCH($C189,'[1]End - Use Prices'!$A$6:$A$89,0)+MATCH($D189,'[1]End - Use Prices'!$B$9:$B$11,0)-1,MATCH(AD$1,'[1]End - Use Prices'!$C$7:$AL$7,0))</f>
        <v>36.9</v>
      </c>
      <c r="AE189" s="41">
        <f>INDEX('[1]End - Use Prices'!$C$6:$AL$89,MATCH($C189,'[1]End - Use Prices'!$A$6:$A$89,0)+MATCH($D189,'[1]End - Use Prices'!$B$9:$B$11,0)-1,MATCH(AE$1,'[1]End - Use Prices'!$C$7:$AL$7,0))</f>
        <v>38.08</v>
      </c>
      <c r="AF189" s="41">
        <f>INDEX('[1]End - Use Prices'!$C$6:$AL$89,MATCH($C189,'[1]End - Use Prices'!$A$6:$A$89,0)+MATCH($D189,'[1]End - Use Prices'!$B$9:$B$11,0)-1,MATCH(AF$1,'[1]End - Use Prices'!$C$7:$AL$7,0))</f>
        <v>36.86</v>
      </c>
      <c r="AG189" s="41">
        <f>INDEX('[1]End - Use Prices'!$C$6:$AL$89,MATCH($C189,'[1]End - Use Prices'!$A$6:$A$89,0)+MATCH($D189,'[1]End - Use Prices'!$B$9:$B$11,0)-1,MATCH(AG$1,'[1]End - Use Prices'!$C$7:$AL$7,0))</f>
        <v>37.01</v>
      </c>
      <c r="AH189" s="41">
        <f>INDEX('[1]End - Use Prices'!$C$6:$AL$89,MATCH($C189,'[1]End - Use Prices'!$A$6:$A$89,0)+MATCH($D189,'[1]End - Use Prices'!$B$9:$B$11,0)-1,MATCH(AH$1,'[1]End - Use Prices'!$C$7:$AL$7,0))</f>
        <v>29.89</v>
      </c>
      <c r="AI189" s="41">
        <f>INDEX('[1]End - Use Prices'!$C$6:$AL$89,MATCH($C189,'[1]End - Use Prices'!$A$6:$A$89,0)+MATCH($D189,'[1]End - Use Prices'!$B$9:$B$11,0)-1,MATCH(AI$1,'[1]End - Use Prices'!$C$7:$AL$7,0))</f>
        <v>25.86</v>
      </c>
      <c r="AJ189" s="41">
        <f>INDEX('[1]End - Use Prices'!$C$6:$AL$89,MATCH($C189,'[1]End - Use Prices'!$A$6:$A$89,0)+MATCH($D189,'[1]End - Use Prices'!$B$9:$B$11,0)-1,MATCH(AJ$1,'[1]End - Use Prices'!$C$7:$AL$7,0))</f>
        <v>27.9</v>
      </c>
      <c r="AK189" s="41">
        <f>INDEX('[1]End - Use Prices'!$C$6:$AL$89,MATCH($C189,'[1]End - Use Prices'!$A$6:$A$89,0)+MATCH($D189,'[1]End - Use Prices'!$B$9:$B$11,0)-1,MATCH(AK$1,'[1]End - Use Prices'!$C$7:$AL$7,0))</f>
        <v>31.56</v>
      </c>
      <c r="AL189" s="41">
        <f>INDEX('[1]End - Use Prices'!$C$6:$AL$89,MATCH($C189,'[1]End - Use Prices'!$A$6:$A$89,0)+MATCH($D189,'[1]End - Use Prices'!$B$9:$B$11,0)-1,MATCH(AL$1,'[1]End - Use Prices'!$C$7:$AL$7,0))</f>
        <v>33.29</v>
      </c>
      <c r="AM189" s="41">
        <f>INDEX('[1]End - Use Prices'!$C$6:$AL$89,MATCH($C189,'[1]End - Use Prices'!$A$6:$A$89,0)+MATCH($D189,'[1]End - Use Prices'!$B$9:$B$11,0)-1,MATCH(AM$1,'[1]End - Use Prices'!$C$7:$AL$7,0))</f>
        <v>37.340000000000003</v>
      </c>
      <c r="AN189" s="41">
        <f>INDEX('[1]End - Use Prices'!$C$6:$AL$89,MATCH($C189,'[1]End - Use Prices'!$A$6:$A$89,0)+MATCH($D189,'[1]End - Use Prices'!$B$9:$B$11,0)-1,MATCH(AN$1,'[1]End - Use Prices'!$C$7:$AL$7,0))</f>
        <v>34.270000000000003</v>
      </c>
      <c r="AO189" s="41">
        <f>INDEX('[1]End - Use Prices'!$C$6:$AL$89,MATCH($C189,'[1]End - Use Prices'!$A$6:$A$89,0)+MATCH($D189,'[1]End - Use Prices'!$B$9:$B$11,0)-1,MATCH(AO$1,'[1]End - Use Prices'!$C$7:$AL$7,0))</f>
        <v>32.229999999999997</v>
      </c>
      <c r="AP189" s="41">
        <f>INDEX('[1]End - Use Prices'!$C$6:$AL$89,MATCH($C189,'[1]End - Use Prices'!$A$6:$A$89,0)+MATCH($D189,'[1]End - Use Prices'!$B$9:$B$11,0)-1,MATCH(AP$1,'[1]End - Use Prices'!$C$7:$AL$7,0))</f>
        <v>32.729999999999997</v>
      </c>
      <c r="AQ189" s="41">
        <f>INDEX('[1]End - Use Prices'!$C$6:$AL$89,MATCH($C189,'[1]End - Use Prices'!$A$6:$A$89,0)+MATCH($D189,'[1]End - Use Prices'!$B$9:$B$11,0)-1,MATCH(AQ$1,'[1]End - Use Prices'!$C$7:$AL$7,0))</f>
        <v>32.54</v>
      </c>
      <c r="AR189" s="41">
        <f>INDEX('[1]End - Use Prices'!$C$6:$AL$89,MATCH($C189,'[1]End - Use Prices'!$A$6:$A$89,0)+MATCH($D189,'[1]End - Use Prices'!$B$9:$B$11,0)-1,MATCH(AR$1,'[1]End - Use Prices'!$C$7:$AL$7,0))</f>
        <v>32.57</v>
      </c>
      <c r="AS189" s="41">
        <f>INDEX('[1]End - Use Prices'!$C$6:$AL$89,MATCH($C189,'[1]End - Use Prices'!$A$6:$A$89,0)+MATCH($D189,'[1]End - Use Prices'!$B$9:$B$11,0)-1,MATCH(AS$1,'[1]End - Use Prices'!$C$7:$AL$7,0))</f>
        <v>32.56</v>
      </c>
      <c r="AT189" s="41">
        <f>INDEX('[1]End - Use Prices'!$C$6:$AL$89,MATCH($C189,'[1]End - Use Prices'!$A$6:$A$89,0)+MATCH($D189,'[1]End - Use Prices'!$B$9:$B$11,0)-1,MATCH(AT$1,'[1]End - Use Prices'!$C$7:$AL$7,0))</f>
        <v>32.44</v>
      </c>
      <c r="AU189" s="41">
        <f>INDEX('[1]End - Use Prices'!$C$6:$AL$89,MATCH($C189,'[1]End - Use Prices'!$A$6:$A$89,0)+MATCH($D189,'[1]End - Use Prices'!$B$9:$B$11,0)-1,MATCH(AU$1,'[1]End - Use Prices'!$C$7:$AL$7,0))</f>
        <v>32.29</v>
      </c>
      <c r="AV189" s="41">
        <f>INDEX('[1]End - Use Prices'!$C$6:$AL$89,MATCH($C189,'[1]End - Use Prices'!$A$6:$A$89,0)+MATCH($D189,'[1]End - Use Prices'!$B$9:$B$11,0)-1,MATCH(AV$1,'[1]End - Use Prices'!$C$7:$AL$7,0))</f>
        <v>32.17</v>
      </c>
      <c r="AW189" s="41">
        <f>INDEX('[1]End - Use Prices'!$C$6:$AL$89,MATCH($C189,'[1]End - Use Prices'!$A$6:$A$89,0)+MATCH($D189,'[1]End - Use Prices'!$B$9:$B$11,0)-1,MATCH(AW$1,'[1]End - Use Prices'!$C$7:$AL$7,0))</f>
        <v>32.04</v>
      </c>
      <c r="AX189" s="41">
        <f>INDEX('[1]End - Use Prices'!$C$6:$AL$89,MATCH($C189,'[1]End - Use Prices'!$A$6:$A$89,0)+MATCH($D189,'[1]End - Use Prices'!$B$9:$B$11,0)-1,MATCH(AX$1,'[1]End - Use Prices'!$C$7:$AL$7,0))</f>
        <v>31.98</v>
      </c>
      <c r="AY189" s="41">
        <f>INDEX('[1]End - Use Prices'!$C$6:$AL$89,MATCH($C189,'[1]End - Use Prices'!$A$6:$A$89,0)+MATCH($D189,'[1]End - Use Prices'!$B$9:$B$11,0)-1,MATCH(AY$1,'[1]End - Use Prices'!$C$7:$AL$7,0))</f>
        <v>31.96</v>
      </c>
      <c r="AZ189" s="41">
        <f>INDEX('[1]End - Use Prices'!$C$6:$AL$89,MATCH($C189,'[1]End - Use Prices'!$A$6:$A$89,0)+MATCH($D189,'[1]End - Use Prices'!$B$9:$B$11,0)-1,MATCH(AZ$1,'[1]End - Use Prices'!$C$7:$AL$7,0))</f>
        <v>31.97</v>
      </c>
      <c r="BA189" s="41">
        <f>INDEX('[1]End - Use Prices'!$C$6:$AL$89,MATCH($C189,'[1]End - Use Prices'!$A$6:$A$89,0)+MATCH($D189,'[1]End - Use Prices'!$B$9:$B$11,0)-1,MATCH(BA$1,'[1]End - Use Prices'!$C$7:$AL$7,0))</f>
        <v>32.01</v>
      </c>
      <c r="BB189" s="41">
        <f>INDEX('[1]End - Use Prices'!$C$6:$AL$89,MATCH($C189,'[1]End - Use Prices'!$A$6:$A$89,0)+MATCH($D189,'[1]End - Use Prices'!$B$9:$B$11,0)-1,MATCH(BB$1,'[1]End - Use Prices'!$C$7:$AL$7,0))</f>
        <v>32.03</v>
      </c>
      <c r="BC189" s="41">
        <f>INDEX('[1]End - Use Prices'!$C$6:$AL$89,MATCH($C189,'[1]End - Use Prices'!$A$6:$A$89,0)+MATCH($D189,'[1]End - Use Prices'!$B$9:$B$11,0)-1,MATCH(BC$1,'[1]End - Use Prices'!$C$7:$AL$7,0))</f>
        <v>32.03</v>
      </c>
      <c r="BD189" s="41">
        <f>INDEX('[1]End - Use Prices'!$C$6:$AL$89,MATCH($C189,'[1]End - Use Prices'!$A$6:$A$89,0)+MATCH($D189,'[1]End - Use Prices'!$B$9:$B$11,0)-1,MATCH(BD$1,'[1]End - Use Prices'!$C$7:$AL$7,0))</f>
        <v>32.020000000000003</v>
      </c>
      <c r="BE189" s="41">
        <f>INDEX('[1]End - Use Prices'!$C$6:$AL$89,MATCH($C189,'[1]End - Use Prices'!$A$6:$A$89,0)+MATCH($D189,'[1]End - Use Prices'!$B$9:$B$11,0)-1,MATCH(BE$1,'[1]End - Use Prices'!$C$7:$AL$7,0))</f>
        <v>31.97</v>
      </c>
      <c r="BF189" s="41">
        <f>INDEX('[1]End - Use Prices'!$C$6:$AL$89,MATCH($C189,'[1]End - Use Prices'!$A$6:$A$89,0)+MATCH($D189,'[1]End - Use Prices'!$B$9:$B$11,0)-1,MATCH(BF$1,'[1]End - Use Prices'!$C$7:$AL$7,0))</f>
        <v>31.93</v>
      </c>
      <c r="BG189" s="41">
        <f>INDEX('[1]End - Use Prices'!$C$6:$AL$89,MATCH($C189,'[1]End - Use Prices'!$A$6:$A$89,0)+MATCH($D189,'[1]End - Use Prices'!$B$9:$B$11,0)-1,MATCH(BG$1,'[1]End - Use Prices'!$C$7:$AL$7,0))</f>
        <v>31.87</v>
      </c>
      <c r="BR189" s="39"/>
      <c r="BS189" s="39"/>
      <c r="BT189" s="39"/>
      <c r="BU189" s="39"/>
      <c r="BV189" s="39"/>
      <c r="BW189" s="39"/>
      <c r="BX189" s="39"/>
      <c r="BY189" s="39"/>
      <c r="BZ189" s="39"/>
      <c r="CA189" s="39"/>
    </row>
    <row r="190" spans="1:79" x14ac:dyDescent="0.25">
      <c r="A190" s="5"/>
      <c r="B190" s="3"/>
      <c r="C190" s="25" t="s">
        <v>95</v>
      </c>
      <c r="D190" s="25" t="s">
        <v>280</v>
      </c>
      <c r="E190" s="25" t="s">
        <v>282</v>
      </c>
      <c r="F190" s="67" t="s">
        <v>279</v>
      </c>
      <c r="G190" s="53">
        <f t="shared" si="25"/>
        <v>26.74</v>
      </c>
      <c r="H190" s="34">
        <f t="shared" si="30"/>
        <v>26.74</v>
      </c>
      <c r="I190" s="34">
        <f t="shared" si="30"/>
        <v>28.81</v>
      </c>
      <c r="J190" s="34">
        <f t="shared" si="30"/>
        <v>28.29</v>
      </c>
      <c r="K190" s="34">
        <f t="shared" si="30"/>
        <v>36.4</v>
      </c>
      <c r="L190" s="34">
        <f t="shared" si="30"/>
        <v>31.63</v>
      </c>
      <c r="M190" s="34">
        <f t="shared" si="30"/>
        <v>31.1</v>
      </c>
      <c r="N190" s="34">
        <f t="shared" si="30"/>
        <v>31.09</v>
      </c>
      <c r="O190" s="34">
        <f t="shared" si="30"/>
        <v>30.93</v>
      </c>
      <c r="P190" s="53">
        <f t="shared" ref="P190:Q191" si="31">O190</f>
        <v>30.93</v>
      </c>
      <c r="Q190" s="53">
        <f t="shared" si="31"/>
        <v>30.93</v>
      </c>
      <c r="R190" s="38"/>
      <c r="X190" s="41">
        <f>INDEX('[1]End - Use Prices'!$C$6:$AL$89,MATCH($C190,'[1]End - Use Prices'!$A$6:$A$89,0)+MATCH($D190,'[1]End - Use Prices'!$B$9:$B$11,0)-1,MATCH(X$1,'[1]End - Use Prices'!$C$7:$AL$7,0))</f>
        <v>26.74</v>
      </c>
      <c r="Y190" s="41">
        <f>INDEX('[1]End - Use Prices'!$C$6:$AL$89,MATCH($C190,'[1]End - Use Prices'!$A$6:$A$89,0)+MATCH($D190,'[1]End - Use Prices'!$B$9:$B$11,0)-1,MATCH(Y$1,'[1]End - Use Prices'!$C$7:$AL$7,0))</f>
        <v>27.19</v>
      </c>
      <c r="Z190" s="41">
        <f>INDEX('[1]End - Use Prices'!$C$6:$AL$89,MATCH($C190,'[1]End - Use Prices'!$A$6:$A$89,0)+MATCH($D190,'[1]End - Use Prices'!$B$9:$B$11,0)-1,MATCH(Z$1,'[1]End - Use Prices'!$C$7:$AL$7,0))</f>
        <v>29.89</v>
      </c>
      <c r="AA190" s="41">
        <f>INDEX('[1]End - Use Prices'!$C$6:$AL$89,MATCH($C190,'[1]End - Use Prices'!$A$6:$A$89,0)+MATCH($D190,'[1]End - Use Prices'!$B$9:$B$11,0)-1,MATCH(AA$1,'[1]End - Use Prices'!$C$7:$AL$7,0))</f>
        <v>36.56</v>
      </c>
      <c r="AB190" s="41">
        <f>INDEX('[1]End - Use Prices'!$C$6:$AL$89,MATCH($C190,'[1]End - Use Prices'!$A$6:$A$89,0)+MATCH($D190,'[1]End - Use Prices'!$B$9:$B$11,0)-1,MATCH(AB$1,'[1]End - Use Prices'!$C$7:$AL$7,0))</f>
        <v>26.59</v>
      </c>
      <c r="AC190" s="41">
        <f>INDEX('[1]End - Use Prices'!$C$6:$AL$89,MATCH($C190,'[1]End - Use Prices'!$A$6:$A$89,0)+MATCH($D190,'[1]End - Use Prices'!$B$9:$B$11,0)-1,MATCH(AC$1,'[1]End - Use Prices'!$C$7:$AL$7,0))</f>
        <v>28.81</v>
      </c>
      <c r="AD190" s="41">
        <f>INDEX('[1]End - Use Prices'!$C$6:$AL$89,MATCH($C190,'[1]End - Use Prices'!$A$6:$A$89,0)+MATCH($D190,'[1]End - Use Prices'!$B$9:$B$11,0)-1,MATCH(AD$1,'[1]End - Use Prices'!$C$7:$AL$7,0))</f>
        <v>34.630000000000003</v>
      </c>
      <c r="AE190" s="41">
        <f>INDEX('[1]End - Use Prices'!$C$6:$AL$89,MATCH($C190,'[1]End - Use Prices'!$A$6:$A$89,0)+MATCH($D190,'[1]End - Use Prices'!$B$9:$B$11,0)-1,MATCH(AE$1,'[1]End - Use Prices'!$C$7:$AL$7,0))</f>
        <v>34.79</v>
      </c>
      <c r="AF190" s="41">
        <f>INDEX('[1]End - Use Prices'!$C$6:$AL$89,MATCH($C190,'[1]End - Use Prices'!$A$6:$A$89,0)+MATCH($D190,'[1]End - Use Prices'!$B$9:$B$11,0)-1,MATCH(AF$1,'[1]End - Use Prices'!$C$7:$AL$7,0))</f>
        <v>33.89</v>
      </c>
      <c r="AG190" s="41">
        <f>INDEX('[1]End - Use Prices'!$C$6:$AL$89,MATCH($C190,'[1]End - Use Prices'!$A$6:$A$89,0)+MATCH($D190,'[1]End - Use Prices'!$B$9:$B$11,0)-1,MATCH(AG$1,'[1]End - Use Prices'!$C$7:$AL$7,0))</f>
        <v>36.409999999999997</v>
      </c>
      <c r="AH190" s="41">
        <f>INDEX('[1]End - Use Prices'!$C$6:$AL$89,MATCH($C190,'[1]End - Use Prices'!$A$6:$A$89,0)+MATCH($D190,'[1]End - Use Prices'!$B$9:$B$11,0)-1,MATCH(AH$1,'[1]End - Use Prices'!$C$7:$AL$7,0))</f>
        <v>28.29</v>
      </c>
      <c r="AI190" s="41">
        <f>INDEX('[1]End - Use Prices'!$C$6:$AL$89,MATCH($C190,'[1]End - Use Prices'!$A$6:$A$89,0)+MATCH($D190,'[1]End - Use Prices'!$B$9:$B$11,0)-1,MATCH(AI$1,'[1]End - Use Prices'!$C$7:$AL$7,0))</f>
        <v>24.92</v>
      </c>
      <c r="AJ190" s="41">
        <f>INDEX('[1]End - Use Prices'!$C$6:$AL$89,MATCH($C190,'[1]End - Use Prices'!$A$6:$A$89,0)+MATCH($D190,'[1]End - Use Prices'!$B$9:$B$11,0)-1,MATCH(AJ$1,'[1]End - Use Prices'!$C$7:$AL$7,0))</f>
        <v>27.54</v>
      </c>
      <c r="AK190" s="41">
        <f>INDEX('[1]End - Use Prices'!$C$6:$AL$89,MATCH($C190,'[1]End - Use Prices'!$A$6:$A$89,0)+MATCH($D190,'[1]End - Use Prices'!$B$9:$B$11,0)-1,MATCH(AK$1,'[1]End - Use Prices'!$C$7:$AL$7,0))</f>
        <v>30.62</v>
      </c>
      <c r="AL190" s="41">
        <f>INDEX('[1]End - Use Prices'!$C$6:$AL$89,MATCH($C190,'[1]End - Use Prices'!$A$6:$A$89,0)+MATCH($D190,'[1]End - Use Prices'!$B$9:$B$11,0)-1,MATCH(AL$1,'[1]End - Use Prices'!$C$7:$AL$7,0))</f>
        <v>32.35</v>
      </c>
      <c r="AM190" s="41">
        <f>INDEX('[1]End - Use Prices'!$C$6:$AL$89,MATCH($C190,'[1]End - Use Prices'!$A$6:$A$89,0)+MATCH($D190,'[1]End - Use Prices'!$B$9:$B$11,0)-1,MATCH(AM$1,'[1]End - Use Prices'!$C$7:$AL$7,0))</f>
        <v>36.4</v>
      </c>
      <c r="AN190" s="41">
        <f>INDEX('[1]End - Use Prices'!$C$6:$AL$89,MATCH($C190,'[1]End - Use Prices'!$A$6:$A$89,0)+MATCH($D190,'[1]End - Use Prices'!$B$9:$B$11,0)-1,MATCH(AN$1,'[1]End - Use Prices'!$C$7:$AL$7,0))</f>
        <v>33.33</v>
      </c>
      <c r="AO190" s="41">
        <f>INDEX('[1]End - Use Prices'!$C$6:$AL$89,MATCH($C190,'[1]End - Use Prices'!$A$6:$A$89,0)+MATCH($D190,'[1]End - Use Prices'!$B$9:$B$11,0)-1,MATCH(AO$1,'[1]End - Use Prices'!$C$7:$AL$7,0))</f>
        <v>31.29</v>
      </c>
      <c r="AP190" s="41">
        <f>INDEX('[1]End - Use Prices'!$C$6:$AL$89,MATCH($C190,'[1]End - Use Prices'!$A$6:$A$89,0)+MATCH($D190,'[1]End - Use Prices'!$B$9:$B$11,0)-1,MATCH(AP$1,'[1]End - Use Prices'!$C$7:$AL$7,0))</f>
        <v>31.79</v>
      </c>
      <c r="AQ190" s="41">
        <f>INDEX('[1]End - Use Prices'!$C$6:$AL$89,MATCH($C190,'[1]End - Use Prices'!$A$6:$A$89,0)+MATCH($D190,'[1]End - Use Prices'!$B$9:$B$11,0)-1,MATCH(AQ$1,'[1]End - Use Prices'!$C$7:$AL$7,0))</f>
        <v>31.61</v>
      </c>
      <c r="AR190" s="41">
        <f>INDEX('[1]End - Use Prices'!$C$6:$AL$89,MATCH($C190,'[1]End - Use Prices'!$A$6:$A$89,0)+MATCH($D190,'[1]End - Use Prices'!$B$9:$B$11,0)-1,MATCH(AR$1,'[1]End - Use Prices'!$C$7:$AL$7,0))</f>
        <v>31.63</v>
      </c>
      <c r="AS190" s="41">
        <f>INDEX('[1]End - Use Prices'!$C$6:$AL$89,MATCH($C190,'[1]End - Use Prices'!$A$6:$A$89,0)+MATCH($D190,'[1]End - Use Prices'!$B$9:$B$11,0)-1,MATCH(AS$1,'[1]End - Use Prices'!$C$7:$AL$7,0))</f>
        <v>31.62</v>
      </c>
      <c r="AT190" s="41">
        <f>INDEX('[1]End - Use Prices'!$C$6:$AL$89,MATCH($C190,'[1]End - Use Prices'!$A$6:$A$89,0)+MATCH($D190,'[1]End - Use Prices'!$B$9:$B$11,0)-1,MATCH(AT$1,'[1]End - Use Prices'!$C$7:$AL$7,0))</f>
        <v>31.5</v>
      </c>
      <c r="AU190" s="41">
        <f>INDEX('[1]End - Use Prices'!$C$6:$AL$89,MATCH($C190,'[1]End - Use Prices'!$A$6:$A$89,0)+MATCH($D190,'[1]End - Use Prices'!$B$9:$B$11,0)-1,MATCH(AU$1,'[1]End - Use Prices'!$C$7:$AL$7,0))</f>
        <v>31.35</v>
      </c>
      <c r="AV190" s="41">
        <f>INDEX('[1]End - Use Prices'!$C$6:$AL$89,MATCH($C190,'[1]End - Use Prices'!$A$6:$A$89,0)+MATCH($D190,'[1]End - Use Prices'!$B$9:$B$11,0)-1,MATCH(AV$1,'[1]End - Use Prices'!$C$7:$AL$7,0))</f>
        <v>31.23</v>
      </c>
      <c r="AW190" s="41">
        <f>INDEX('[1]End - Use Prices'!$C$6:$AL$89,MATCH($C190,'[1]End - Use Prices'!$A$6:$A$89,0)+MATCH($D190,'[1]End - Use Prices'!$B$9:$B$11,0)-1,MATCH(AW$1,'[1]End - Use Prices'!$C$7:$AL$7,0))</f>
        <v>31.1</v>
      </c>
      <c r="AX190" s="41">
        <f>INDEX('[1]End - Use Prices'!$C$6:$AL$89,MATCH($C190,'[1]End - Use Prices'!$A$6:$A$89,0)+MATCH($D190,'[1]End - Use Prices'!$B$9:$B$11,0)-1,MATCH(AX$1,'[1]End - Use Prices'!$C$7:$AL$7,0))</f>
        <v>31.05</v>
      </c>
      <c r="AY190" s="41">
        <f>INDEX('[1]End - Use Prices'!$C$6:$AL$89,MATCH($C190,'[1]End - Use Prices'!$A$6:$A$89,0)+MATCH($D190,'[1]End - Use Prices'!$B$9:$B$11,0)-1,MATCH(AY$1,'[1]End - Use Prices'!$C$7:$AL$7,0))</f>
        <v>31.02</v>
      </c>
      <c r="AZ190" s="41">
        <f>INDEX('[1]End - Use Prices'!$C$6:$AL$89,MATCH($C190,'[1]End - Use Prices'!$A$6:$A$89,0)+MATCH($D190,'[1]End - Use Prices'!$B$9:$B$11,0)-1,MATCH(AZ$1,'[1]End - Use Prices'!$C$7:$AL$7,0))</f>
        <v>31.03</v>
      </c>
      <c r="BA190" s="41">
        <f>INDEX('[1]End - Use Prices'!$C$6:$AL$89,MATCH($C190,'[1]End - Use Prices'!$A$6:$A$89,0)+MATCH($D190,'[1]End - Use Prices'!$B$9:$B$11,0)-1,MATCH(BA$1,'[1]End - Use Prices'!$C$7:$AL$7,0))</f>
        <v>31.07</v>
      </c>
      <c r="BB190" s="41">
        <f>INDEX('[1]End - Use Prices'!$C$6:$AL$89,MATCH($C190,'[1]End - Use Prices'!$A$6:$A$89,0)+MATCH($D190,'[1]End - Use Prices'!$B$9:$B$11,0)-1,MATCH(BB$1,'[1]End - Use Prices'!$C$7:$AL$7,0))</f>
        <v>31.09</v>
      </c>
      <c r="BC190" s="41">
        <f>INDEX('[1]End - Use Prices'!$C$6:$AL$89,MATCH($C190,'[1]End - Use Prices'!$A$6:$A$89,0)+MATCH($D190,'[1]End - Use Prices'!$B$9:$B$11,0)-1,MATCH(BC$1,'[1]End - Use Prices'!$C$7:$AL$7,0))</f>
        <v>31.09</v>
      </c>
      <c r="BD190" s="41">
        <f>INDEX('[1]End - Use Prices'!$C$6:$AL$89,MATCH($C190,'[1]End - Use Prices'!$A$6:$A$89,0)+MATCH($D190,'[1]End - Use Prices'!$B$9:$B$11,0)-1,MATCH(BD$1,'[1]End - Use Prices'!$C$7:$AL$7,0))</f>
        <v>31.08</v>
      </c>
      <c r="BE190" s="41">
        <f>INDEX('[1]End - Use Prices'!$C$6:$AL$89,MATCH($C190,'[1]End - Use Prices'!$A$6:$A$89,0)+MATCH($D190,'[1]End - Use Prices'!$B$9:$B$11,0)-1,MATCH(BE$1,'[1]End - Use Prices'!$C$7:$AL$7,0))</f>
        <v>31.03</v>
      </c>
      <c r="BF190" s="41">
        <f>INDEX('[1]End - Use Prices'!$C$6:$AL$89,MATCH($C190,'[1]End - Use Prices'!$A$6:$A$89,0)+MATCH($D190,'[1]End - Use Prices'!$B$9:$B$11,0)-1,MATCH(BF$1,'[1]End - Use Prices'!$C$7:$AL$7,0))</f>
        <v>30.99</v>
      </c>
      <c r="BG190" s="41">
        <f>INDEX('[1]End - Use Prices'!$C$6:$AL$89,MATCH($C190,'[1]End - Use Prices'!$A$6:$A$89,0)+MATCH($D190,'[1]End - Use Prices'!$B$9:$B$11,0)-1,MATCH(BG$1,'[1]End - Use Prices'!$C$7:$AL$7,0))</f>
        <v>30.93</v>
      </c>
      <c r="BR190" s="39"/>
      <c r="BS190" s="39"/>
      <c r="BT190" s="39"/>
      <c r="BU190" s="39"/>
      <c r="BV190" s="39"/>
      <c r="BW190" s="39"/>
      <c r="BX190" s="39"/>
      <c r="BY190" s="39"/>
      <c r="BZ190" s="39"/>
      <c r="CA190" s="39"/>
    </row>
    <row r="191" spans="1:79" x14ac:dyDescent="0.25">
      <c r="A191" s="5"/>
      <c r="B191" s="3"/>
      <c r="C191" s="25" t="s">
        <v>94</v>
      </c>
      <c r="D191" s="25" t="s">
        <v>280</v>
      </c>
      <c r="E191" s="25" t="s">
        <v>282</v>
      </c>
      <c r="F191" s="67" t="s">
        <v>279</v>
      </c>
      <c r="G191" s="53">
        <f t="shared" si="25"/>
        <v>26.74</v>
      </c>
      <c r="H191" s="34">
        <f t="shared" si="30"/>
        <v>26.74</v>
      </c>
      <c r="I191" s="34">
        <f t="shared" si="30"/>
        <v>28.81</v>
      </c>
      <c r="J191" s="34">
        <f t="shared" si="30"/>
        <v>28.29</v>
      </c>
      <c r="K191" s="34">
        <f t="shared" si="30"/>
        <v>36.33</v>
      </c>
      <c r="L191" s="34">
        <f t="shared" si="30"/>
        <v>31.48</v>
      </c>
      <c r="M191" s="34">
        <f t="shared" si="30"/>
        <v>30.97</v>
      </c>
      <c r="N191" s="34">
        <f t="shared" si="30"/>
        <v>30.96</v>
      </c>
      <c r="O191" s="34">
        <f t="shared" si="30"/>
        <v>30.82</v>
      </c>
      <c r="P191" s="53">
        <f t="shared" si="31"/>
        <v>30.82</v>
      </c>
      <c r="Q191" s="53">
        <f t="shared" si="31"/>
        <v>30.82</v>
      </c>
      <c r="R191" s="38"/>
      <c r="X191" s="41">
        <f>INDEX('[1]End - Use Prices'!$C$6:$AL$89,MATCH($C191,'[1]End - Use Prices'!$A$6:$A$89,0)+MATCH($D191,'[1]End - Use Prices'!$B$9:$B$11,0)-1,MATCH(X$1,'[1]End - Use Prices'!$C$7:$AL$7,0))</f>
        <v>26.74</v>
      </c>
      <c r="Y191" s="41">
        <f>INDEX('[1]End - Use Prices'!$C$6:$AL$89,MATCH($C191,'[1]End - Use Prices'!$A$6:$A$89,0)+MATCH($D191,'[1]End - Use Prices'!$B$9:$B$11,0)-1,MATCH(Y$1,'[1]End - Use Prices'!$C$7:$AL$7,0))</f>
        <v>27.19</v>
      </c>
      <c r="Z191" s="41">
        <f>INDEX('[1]End - Use Prices'!$C$6:$AL$89,MATCH($C191,'[1]End - Use Prices'!$A$6:$A$89,0)+MATCH($D191,'[1]End - Use Prices'!$B$9:$B$11,0)-1,MATCH(Z$1,'[1]End - Use Prices'!$C$7:$AL$7,0))</f>
        <v>29.89</v>
      </c>
      <c r="AA191" s="41">
        <f>INDEX('[1]End - Use Prices'!$C$6:$AL$89,MATCH($C191,'[1]End - Use Prices'!$A$6:$A$89,0)+MATCH($D191,'[1]End - Use Prices'!$B$9:$B$11,0)-1,MATCH(AA$1,'[1]End - Use Prices'!$C$7:$AL$7,0))</f>
        <v>36.56</v>
      </c>
      <c r="AB191" s="41">
        <f>INDEX('[1]End - Use Prices'!$C$6:$AL$89,MATCH($C191,'[1]End - Use Prices'!$A$6:$A$89,0)+MATCH($D191,'[1]End - Use Prices'!$B$9:$B$11,0)-1,MATCH(AB$1,'[1]End - Use Prices'!$C$7:$AL$7,0))</f>
        <v>26.59</v>
      </c>
      <c r="AC191" s="41">
        <f>INDEX('[1]End - Use Prices'!$C$6:$AL$89,MATCH($C191,'[1]End - Use Prices'!$A$6:$A$89,0)+MATCH($D191,'[1]End - Use Prices'!$B$9:$B$11,0)-1,MATCH(AC$1,'[1]End - Use Prices'!$C$7:$AL$7,0))</f>
        <v>28.81</v>
      </c>
      <c r="AD191" s="41">
        <f>INDEX('[1]End - Use Prices'!$C$6:$AL$89,MATCH($C191,'[1]End - Use Prices'!$A$6:$A$89,0)+MATCH($D191,'[1]End - Use Prices'!$B$9:$B$11,0)-1,MATCH(AD$1,'[1]End - Use Prices'!$C$7:$AL$7,0))</f>
        <v>34.630000000000003</v>
      </c>
      <c r="AE191" s="41">
        <f>INDEX('[1]End - Use Prices'!$C$6:$AL$89,MATCH($C191,'[1]End - Use Prices'!$A$6:$A$89,0)+MATCH($D191,'[1]End - Use Prices'!$B$9:$B$11,0)-1,MATCH(AE$1,'[1]End - Use Prices'!$C$7:$AL$7,0))</f>
        <v>34.79</v>
      </c>
      <c r="AF191" s="41">
        <f>INDEX('[1]End - Use Prices'!$C$6:$AL$89,MATCH($C191,'[1]End - Use Prices'!$A$6:$A$89,0)+MATCH($D191,'[1]End - Use Prices'!$B$9:$B$11,0)-1,MATCH(AF$1,'[1]End - Use Prices'!$C$7:$AL$7,0))</f>
        <v>33.89</v>
      </c>
      <c r="AG191" s="41">
        <f>INDEX('[1]End - Use Prices'!$C$6:$AL$89,MATCH($C191,'[1]End - Use Prices'!$A$6:$A$89,0)+MATCH($D191,'[1]End - Use Prices'!$B$9:$B$11,0)-1,MATCH(AG$1,'[1]End - Use Prices'!$C$7:$AL$7,0))</f>
        <v>36.409999999999997</v>
      </c>
      <c r="AH191" s="41">
        <f>INDEX('[1]End - Use Prices'!$C$6:$AL$89,MATCH($C191,'[1]End - Use Prices'!$A$6:$A$89,0)+MATCH($D191,'[1]End - Use Prices'!$B$9:$B$11,0)-1,MATCH(AH$1,'[1]End - Use Prices'!$C$7:$AL$7,0))</f>
        <v>28.29</v>
      </c>
      <c r="AI191" s="41">
        <f>INDEX('[1]End - Use Prices'!$C$6:$AL$89,MATCH($C191,'[1]End - Use Prices'!$A$6:$A$89,0)+MATCH($D191,'[1]End - Use Prices'!$B$9:$B$11,0)-1,MATCH(AI$1,'[1]End - Use Prices'!$C$7:$AL$7,0))</f>
        <v>24.92</v>
      </c>
      <c r="AJ191" s="41">
        <f>INDEX('[1]End - Use Prices'!$C$6:$AL$89,MATCH($C191,'[1]End - Use Prices'!$A$6:$A$89,0)+MATCH($D191,'[1]End - Use Prices'!$B$9:$B$11,0)-1,MATCH(AJ$1,'[1]End - Use Prices'!$C$7:$AL$7,0))</f>
        <v>27.54</v>
      </c>
      <c r="AK191" s="41">
        <f>INDEX('[1]End - Use Prices'!$C$6:$AL$89,MATCH($C191,'[1]End - Use Prices'!$A$6:$A$89,0)+MATCH($D191,'[1]End - Use Prices'!$B$9:$B$11,0)-1,MATCH(AK$1,'[1]End - Use Prices'!$C$7:$AL$7,0))</f>
        <v>30.62</v>
      </c>
      <c r="AL191" s="41">
        <f>INDEX('[1]End - Use Prices'!$C$6:$AL$89,MATCH($C191,'[1]End - Use Prices'!$A$6:$A$89,0)+MATCH($D191,'[1]End - Use Prices'!$B$9:$B$11,0)-1,MATCH(AL$1,'[1]End - Use Prices'!$C$7:$AL$7,0))</f>
        <v>32.35</v>
      </c>
      <c r="AM191" s="41">
        <f>INDEX('[1]End - Use Prices'!$C$6:$AL$89,MATCH($C191,'[1]End - Use Prices'!$A$6:$A$89,0)+MATCH($D191,'[1]End - Use Prices'!$B$9:$B$11,0)-1,MATCH(AM$1,'[1]End - Use Prices'!$C$7:$AL$7,0))</f>
        <v>36.33</v>
      </c>
      <c r="AN191" s="41">
        <f>INDEX('[1]End - Use Prices'!$C$6:$AL$89,MATCH($C191,'[1]End - Use Prices'!$A$6:$A$89,0)+MATCH($D191,'[1]End - Use Prices'!$B$9:$B$11,0)-1,MATCH(AN$1,'[1]End - Use Prices'!$C$7:$AL$7,0))</f>
        <v>33.229999999999997</v>
      </c>
      <c r="AO191" s="41">
        <f>INDEX('[1]End - Use Prices'!$C$6:$AL$89,MATCH($C191,'[1]End - Use Prices'!$A$6:$A$89,0)+MATCH($D191,'[1]End - Use Prices'!$B$9:$B$11,0)-1,MATCH(AO$1,'[1]End - Use Prices'!$C$7:$AL$7,0))</f>
        <v>31.15</v>
      </c>
      <c r="AP191" s="41">
        <f>INDEX('[1]End - Use Prices'!$C$6:$AL$89,MATCH($C191,'[1]End - Use Prices'!$A$6:$A$89,0)+MATCH($D191,'[1]End - Use Prices'!$B$9:$B$11,0)-1,MATCH(AP$1,'[1]End - Use Prices'!$C$7:$AL$7,0))</f>
        <v>31.62</v>
      </c>
      <c r="AQ191" s="41">
        <f>INDEX('[1]End - Use Prices'!$C$6:$AL$89,MATCH($C191,'[1]End - Use Prices'!$A$6:$A$89,0)+MATCH($D191,'[1]End - Use Prices'!$B$9:$B$11,0)-1,MATCH(AQ$1,'[1]End - Use Prices'!$C$7:$AL$7,0))</f>
        <v>31.44</v>
      </c>
      <c r="AR191" s="41">
        <f>INDEX('[1]End - Use Prices'!$C$6:$AL$89,MATCH($C191,'[1]End - Use Prices'!$A$6:$A$89,0)+MATCH($D191,'[1]End - Use Prices'!$B$9:$B$11,0)-1,MATCH(AR$1,'[1]End - Use Prices'!$C$7:$AL$7,0))</f>
        <v>31.48</v>
      </c>
      <c r="AS191" s="41">
        <f>INDEX('[1]End - Use Prices'!$C$6:$AL$89,MATCH($C191,'[1]End - Use Prices'!$A$6:$A$89,0)+MATCH($D191,'[1]End - Use Prices'!$B$9:$B$11,0)-1,MATCH(AS$1,'[1]End - Use Prices'!$C$7:$AL$7,0))</f>
        <v>31.46</v>
      </c>
      <c r="AT191" s="41">
        <f>INDEX('[1]End - Use Prices'!$C$6:$AL$89,MATCH($C191,'[1]End - Use Prices'!$A$6:$A$89,0)+MATCH($D191,'[1]End - Use Prices'!$B$9:$B$11,0)-1,MATCH(AT$1,'[1]End - Use Prices'!$C$7:$AL$7,0))</f>
        <v>31.36</v>
      </c>
      <c r="AU191" s="41">
        <f>INDEX('[1]End - Use Prices'!$C$6:$AL$89,MATCH($C191,'[1]End - Use Prices'!$A$6:$A$89,0)+MATCH($D191,'[1]End - Use Prices'!$B$9:$B$11,0)-1,MATCH(AU$1,'[1]End - Use Prices'!$C$7:$AL$7,0))</f>
        <v>31.2</v>
      </c>
      <c r="AV191" s="41">
        <f>INDEX('[1]End - Use Prices'!$C$6:$AL$89,MATCH($C191,'[1]End - Use Prices'!$A$6:$A$89,0)+MATCH($D191,'[1]End - Use Prices'!$B$9:$B$11,0)-1,MATCH(AV$1,'[1]End - Use Prices'!$C$7:$AL$7,0))</f>
        <v>31.09</v>
      </c>
      <c r="AW191" s="41">
        <f>INDEX('[1]End - Use Prices'!$C$6:$AL$89,MATCH($C191,'[1]End - Use Prices'!$A$6:$A$89,0)+MATCH($D191,'[1]End - Use Prices'!$B$9:$B$11,0)-1,MATCH(AW$1,'[1]End - Use Prices'!$C$7:$AL$7,0))</f>
        <v>30.97</v>
      </c>
      <c r="AX191" s="41">
        <f>INDEX('[1]End - Use Prices'!$C$6:$AL$89,MATCH($C191,'[1]End - Use Prices'!$A$6:$A$89,0)+MATCH($D191,'[1]End - Use Prices'!$B$9:$B$11,0)-1,MATCH(AX$1,'[1]End - Use Prices'!$C$7:$AL$7,0))</f>
        <v>30.91</v>
      </c>
      <c r="AY191" s="41">
        <f>INDEX('[1]End - Use Prices'!$C$6:$AL$89,MATCH($C191,'[1]End - Use Prices'!$A$6:$A$89,0)+MATCH($D191,'[1]End - Use Prices'!$B$9:$B$11,0)-1,MATCH(AY$1,'[1]End - Use Prices'!$C$7:$AL$7,0))</f>
        <v>30.89</v>
      </c>
      <c r="AZ191" s="41">
        <f>INDEX('[1]End - Use Prices'!$C$6:$AL$89,MATCH($C191,'[1]End - Use Prices'!$A$6:$A$89,0)+MATCH($D191,'[1]End - Use Prices'!$B$9:$B$11,0)-1,MATCH(AZ$1,'[1]End - Use Prices'!$C$7:$AL$7,0))</f>
        <v>30.9</v>
      </c>
      <c r="BA191" s="41">
        <f>INDEX('[1]End - Use Prices'!$C$6:$AL$89,MATCH($C191,'[1]End - Use Prices'!$A$6:$A$89,0)+MATCH($D191,'[1]End - Use Prices'!$B$9:$B$11,0)-1,MATCH(BA$1,'[1]End - Use Prices'!$C$7:$AL$7,0))</f>
        <v>30.94</v>
      </c>
      <c r="BB191" s="41">
        <f>INDEX('[1]End - Use Prices'!$C$6:$AL$89,MATCH($C191,'[1]End - Use Prices'!$A$6:$A$89,0)+MATCH($D191,'[1]End - Use Prices'!$B$9:$B$11,0)-1,MATCH(BB$1,'[1]End - Use Prices'!$C$7:$AL$7,0))</f>
        <v>30.96</v>
      </c>
      <c r="BC191" s="41">
        <f>INDEX('[1]End - Use Prices'!$C$6:$AL$89,MATCH($C191,'[1]End - Use Prices'!$A$6:$A$89,0)+MATCH($D191,'[1]End - Use Prices'!$B$9:$B$11,0)-1,MATCH(BC$1,'[1]End - Use Prices'!$C$7:$AL$7,0))</f>
        <v>30.97</v>
      </c>
      <c r="BD191" s="41">
        <f>INDEX('[1]End - Use Prices'!$C$6:$AL$89,MATCH($C191,'[1]End - Use Prices'!$A$6:$A$89,0)+MATCH($D191,'[1]End - Use Prices'!$B$9:$B$11,0)-1,MATCH(BD$1,'[1]End - Use Prices'!$C$7:$AL$7,0))</f>
        <v>30.96</v>
      </c>
      <c r="BE191" s="41">
        <f>INDEX('[1]End - Use Prices'!$C$6:$AL$89,MATCH($C191,'[1]End - Use Prices'!$A$6:$A$89,0)+MATCH($D191,'[1]End - Use Prices'!$B$9:$B$11,0)-1,MATCH(BE$1,'[1]End - Use Prices'!$C$7:$AL$7,0))</f>
        <v>30.91</v>
      </c>
      <c r="BF191" s="41">
        <f>INDEX('[1]End - Use Prices'!$C$6:$AL$89,MATCH($C191,'[1]End - Use Prices'!$A$6:$A$89,0)+MATCH($D191,'[1]End - Use Prices'!$B$9:$B$11,0)-1,MATCH(BF$1,'[1]End - Use Prices'!$C$7:$AL$7,0))</f>
        <v>30.87</v>
      </c>
      <c r="BG191" s="41">
        <f>INDEX('[1]End - Use Prices'!$C$6:$AL$89,MATCH($C191,'[1]End - Use Prices'!$A$6:$A$89,0)+MATCH($D191,'[1]End - Use Prices'!$B$9:$B$11,0)-1,MATCH(BG$1,'[1]End - Use Prices'!$C$7:$AL$7,0))</f>
        <v>30.82</v>
      </c>
      <c r="BR191" s="39"/>
      <c r="BS191" s="39"/>
      <c r="BT191" s="39"/>
      <c r="BU191" s="39"/>
      <c r="BV191" s="39"/>
      <c r="BW191" s="39"/>
      <c r="BX191" s="39"/>
      <c r="BY191" s="39"/>
      <c r="BZ191" s="39"/>
      <c r="CA191" s="39"/>
    </row>
    <row r="192" spans="1:79" s="39" customFormat="1" x14ac:dyDescent="0.25">
      <c r="A192" s="5"/>
      <c r="B192" s="3"/>
      <c r="C192" s="3"/>
      <c r="D192" s="3"/>
      <c r="E192" s="3"/>
      <c r="F192" s="14"/>
      <c r="G192" s="3"/>
      <c r="H192" s="3"/>
      <c r="I192" s="3"/>
      <c r="J192" s="3"/>
      <c r="K192" s="34"/>
      <c r="L192" s="34"/>
      <c r="M192" s="34"/>
      <c r="N192" s="34"/>
      <c r="O192" s="34"/>
      <c r="P192" s="34"/>
      <c r="Q192" s="34"/>
      <c r="R192" s="38"/>
      <c r="BR192"/>
      <c r="BS192"/>
      <c r="BT192"/>
      <c r="BU192"/>
      <c r="BV192"/>
      <c r="BW192"/>
      <c r="BX192"/>
      <c r="BY192"/>
      <c r="BZ192"/>
      <c r="CA192"/>
    </row>
    <row r="193" spans="1:79" s="39" customFormat="1" x14ac:dyDescent="0.25">
      <c r="A193" s="5"/>
      <c r="B193" s="3"/>
      <c r="C193" s="3"/>
      <c r="D193" s="3"/>
      <c r="E193" s="3"/>
      <c r="F193" s="14"/>
      <c r="G193" s="3"/>
      <c r="H193" s="3"/>
      <c r="I193" s="3"/>
      <c r="J193" s="3"/>
      <c r="K193" s="34"/>
      <c r="L193" s="34"/>
      <c r="M193" s="34"/>
      <c r="N193" s="34"/>
      <c r="O193" s="34"/>
      <c r="P193" s="34"/>
      <c r="Q193" s="34"/>
      <c r="R193" s="38"/>
      <c r="BR193"/>
      <c r="BS193"/>
      <c r="BT193"/>
      <c r="BU193"/>
      <c r="BV193"/>
      <c r="BW193"/>
      <c r="BX193"/>
      <c r="BY193"/>
      <c r="BZ193"/>
      <c r="CA193"/>
    </row>
    <row r="194" spans="1:79" s="39" customFormat="1" x14ac:dyDescent="0.25">
      <c r="A194" s="5"/>
      <c r="B194" s="25"/>
      <c r="C194" s="25"/>
      <c r="D194" s="25"/>
      <c r="E194" s="25"/>
      <c r="F194" s="16"/>
      <c r="G194" s="31"/>
      <c r="H194" s="29"/>
      <c r="I194" s="29"/>
      <c r="J194" s="29"/>
      <c r="K194" s="29"/>
      <c r="L194" s="29"/>
      <c r="M194" s="29"/>
      <c r="N194" s="29"/>
      <c r="O194" s="29"/>
      <c r="P194" s="29"/>
      <c r="Q194" s="29"/>
      <c r="R194" s="38"/>
      <c r="BR194"/>
      <c r="BS194"/>
      <c r="BT194"/>
      <c r="BU194"/>
      <c r="BV194"/>
      <c r="BW194"/>
      <c r="BX194"/>
      <c r="BY194"/>
      <c r="BZ194"/>
      <c r="CA194"/>
    </row>
    <row r="195" spans="1:79" s="39" customFormat="1" x14ac:dyDescent="0.25">
      <c r="A195" s="5"/>
      <c r="B195" s="25"/>
      <c r="C195" s="25"/>
      <c r="D195" s="25"/>
      <c r="E195" s="25"/>
      <c r="F195" s="16"/>
      <c r="G195" s="31"/>
      <c r="H195" s="29"/>
      <c r="I195" s="29"/>
      <c r="J195" s="29"/>
      <c r="K195" s="29"/>
      <c r="L195" s="29"/>
      <c r="M195" s="29"/>
      <c r="N195" s="29"/>
      <c r="O195" s="29"/>
      <c r="P195" s="29"/>
      <c r="Q195" s="29"/>
      <c r="R195" s="38"/>
      <c r="BR195"/>
      <c r="BS195"/>
      <c r="BT195"/>
      <c r="BU195"/>
      <c r="BV195"/>
      <c r="BW195"/>
      <c r="BX195"/>
      <c r="BY195"/>
      <c r="BZ195"/>
      <c r="CA195"/>
    </row>
    <row r="196" spans="1:79" s="39" customFormat="1" x14ac:dyDescent="0.25">
      <c r="A196" s="5"/>
      <c r="B196" s="25"/>
      <c r="C196" s="25"/>
      <c r="D196" s="25"/>
      <c r="E196" s="25"/>
      <c r="F196" s="16"/>
      <c r="G196" s="31"/>
      <c r="H196" s="29"/>
      <c r="I196" s="29"/>
      <c r="J196" s="29"/>
      <c r="K196" s="29"/>
      <c r="L196" s="29"/>
      <c r="M196" s="29"/>
      <c r="N196" s="29"/>
      <c r="O196" s="29"/>
      <c r="P196" s="29"/>
      <c r="Q196" s="29"/>
      <c r="R196" s="38"/>
      <c r="BR196"/>
      <c r="BS196"/>
      <c r="BT196"/>
      <c r="BU196"/>
      <c r="BV196"/>
      <c r="BW196"/>
      <c r="BX196"/>
      <c r="BY196"/>
      <c r="BZ196"/>
      <c r="CA196"/>
    </row>
    <row r="197" spans="1:79" s="39" customFormat="1" x14ac:dyDescent="0.25">
      <c r="A197" s="5"/>
      <c r="B197" s="25"/>
      <c r="C197" s="25"/>
      <c r="D197" s="25"/>
      <c r="E197" s="25"/>
      <c r="F197" s="16"/>
      <c r="G197" s="31"/>
      <c r="H197" s="29"/>
      <c r="I197" s="29"/>
      <c r="J197" s="29"/>
      <c r="K197" s="29"/>
      <c r="L197" s="29"/>
      <c r="M197" s="29"/>
      <c r="N197" s="29"/>
      <c r="O197" s="29"/>
      <c r="P197" s="29"/>
      <c r="Q197" s="29"/>
      <c r="R197" s="38"/>
      <c r="BR197"/>
      <c r="BS197"/>
      <c r="BT197"/>
      <c r="BU197"/>
      <c r="BV197"/>
      <c r="BW197"/>
      <c r="BX197"/>
      <c r="BY197"/>
      <c r="BZ197"/>
      <c r="CA197"/>
    </row>
    <row r="198" spans="1:79" s="39" customFormat="1" x14ac:dyDescent="0.25">
      <c r="A198" s="5"/>
      <c r="B198" s="25"/>
      <c r="C198" s="25"/>
      <c r="D198" s="25"/>
      <c r="E198" s="25"/>
      <c r="F198" s="16"/>
      <c r="G198" s="31"/>
      <c r="H198" s="29"/>
      <c r="I198" s="29"/>
      <c r="J198" s="29"/>
      <c r="K198" s="29"/>
      <c r="L198" s="29"/>
      <c r="M198" s="29"/>
      <c r="N198" s="29"/>
      <c r="O198" s="29"/>
      <c r="P198" s="29"/>
      <c r="Q198" s="29"/>
      <c r="R198" s="38"/>
      <c r="BR198"/>
      <c r="BS198"/>
      <c r="BT198"/>
      <c r="BU198"/>
      <c r="BV198"/>
      <c r="BW198"/>
      <c r="BX198"/>
      <c r="BY198"/>
      <c r="BZ198"/>
      <c r="CA198"/>
    </row>
    <row r="199" spans="1:79" s="39" customFormat="1" x14ac:dyDescent="0.25">
      <c r="A199" s="5"/>
      <c r="B199" s="25"/>
      <c r="C199" s="25"/>
      <c r="D199" s="25"/>
      <c r="E199" s="25"/>
      <c r="F199" s="16"/>
      <c r="G199" s="31"/>
      <c r="H199" s="29"/>
      <c r="I199" s="29"/>
      <c r="J199" s="29"/>
      <c r="K199" s="29"/>
      <c r="L199" s="29"/>
      <c r="M199" s="29"/>
      <c r="N199" s="29"/>
      <c r="O199" s="29"/>
      <c r="P199" s="29"/>
      <c r="Q199" s="29"/>
      <c r="R199" s="38"/>
      <c r="BR199"/>
      <c r="BS199"/>
      <c r="BT199"/>
      <c r="BU199"/>
      <c r="BV199"/>
      <c r="BW199"/>
      <c r="BX199"/>
      <c r="BY199"/>
      <c r="BZ199"/>
      <c r="CA199"/>
    </row>
    <row r="200" spans="1:79" s="39" customFormat="1" x14ac:dyDescent="0.25">
      <c r="A200" s="5"/>
      <c r="B200" s="25"/>
      <c r="C200" s="25"/>
      <c r="D200" s="25"/>
      <c r="E200" s="25"/>
      <c r="F200" s="16"/>
      <c r="G200" s="31"/>
      <c r="H200" s="29"/>
      <c r="I200" s="29"/>
      <c r="J200" s="29"/>
      <c r="K200" s="29"/>
      <c r="L200" s="29"/>
      <c r="M200" s="29"/>
      <c r="N200" s="29"/>
      <c r="O200" s="29"/>
      <c r="P200" s="29"/>
      <c r="Q200" s="29"/>
      <c r="R200" s="38"/>
      <c r="BR200"/>
      <c r="BS200"/>
      <c r="BT200"/>
      <c r="BU200"/>
      <c r="BV200"/>
      <c r="BW200"/>
      <c r="BX200"/>
      <c r="BY200"/>
      <c r="BZ200"/>
      <c r="CA200"/>
    </row>
    <row r="201" spans="1:79" s="39" customFormat="1" x14ac:dyDescent="0.25">
      <c r="A201" s="5"/>
      <c r="B201" s="25"/>
      <c r="C201" s="25"/>
      <c r="D201" s="25"/>
      <c r="E201" s="25"/>
      <c r="F201" s="16"/>
      <c r="G201" s="31"/>
      <c r="H201" s="29"/>
      <c r="I201" s="29"/>
      <c r="J201" s="29"/>
      <c r="K201" s="29"/>
      <c r="L201" s="29"/>
      <c r="M201" s="29"/>
      <c r="N201" s="29"/>
      <c r="O201" s="29"/>
      <c r="P201" s="29"/>
      <c r="Q201" s="29"/>
      <c r="R201" s="38"/>
      <c r="BR201"/>
      <c r="BS201"/>
      <c r="BT201"/>
      <c r="BU201"/>
      <c r="BV201"/>
      <c r="BW201"/>
      <c r="BX201"/>
      <c r="BY201"/>
      <c r="BZ201"/>
      <c r="CA201"/>
    </row>
    <row r="202" spans="1:79" s="39" customFormat="1" x14ac:dyDescent="0.25">
      <c r="A202" s="5"/>
      <c r="B202" s="25"/>
      <c r="C202" s="25"/>
      <c r="D202" s="25"/>
      <c r="E202" s="25"/>
      <c r="F202" s="16"/>
      <c r="G202" s="31"/>
      <c r="H202" s="29"/>
      <c r="I202" s="29"/>
      <c r="J202" s="29"/>
      <c r="K202" s="29"/>
      <c r="L202" s="29"/>
      <c r="M202" s="29"/>
      <c r="N202" s="29"/>
      <c r="O202" s="29"/>
      <c r="P202" s="29"/>
      <c r="Q202" s="29"/>
      <c r="R202" s="38"/>
      <c r="BR202"/>
      <c r="BS202"/>
      <c r="BT202"/>
      <c r="BU202"/>
      <c r="BV202"/>
      <c r="BW202"/>
      <c r="BX202"/>
      <c r="BY202"/>
      <c r="BZ202"/>
      <c r="CA202"/>
    </row>
    <row r="203" spans="1:79" s="39" customFormat="1" x14ac:dyDescent="0.25">
      <c r="A203" s="5"/>
      <c r="B203" s="25"/>
      <c r="C203" s="25"/>
      <c r="D203" s="25"/>
      <c r="E203" s="25"/>
      <c r="F203" s="16"/>
      <c r="G203" s="31"/>
      <c r="H203" s="29"/>
      <c r="I203" s="29"/>
      <c r="J203" s="29"/>
      <c r="K203" s="29"/>
      <c r="L203" s="29"/>
      <c r="M203" s="29"/>
      <c r="N203" s="29"/>
      <c r="O203" s="29"/>
      <c r="P203" s="29"/>
      <c r="Q203" s="29"/>
      <c r="R203" s="38"/>
      <c r="BR203"/>
      <c r="BS203"/>
      <c r="BT203"/>
      <c r="BU203"/>
      <c r="BV203"/>
      <c r="BW203"/>
      <c r="BX203"/>
      <c r="BY203"/>
      <c r="BZ203"/>
      <c r="CA203"/>
    </row>
    <row r="204" spans="1:79" s="39" customFormat="1" x14ac:dyDescent="0.25">
      <c r="A204" s="5"/>
      <c r="B204" s="25"/>
      <c r="C204" s="25"/>
      <c r="D204" s="25"/>
      <c r="E204" s="25"/>
      <c r="F204" s="16"/>
      <c r="G204" s="31"/>
      <c r="H204" s="29"/>
      <c r="I204" s="29"/>
      <c r="J204" s="29"/>
      <c r="K204" s="29"/>
      <c r="L204" s="29"/>
      <c r="M204" s="29"/>
      <c r="N204" s="29"/>
      <c r="O204" s="29"/>
      <c r="P204" s="29"/>
      <c r="Q204" s="29"/>
      <c r="R204" s="38"/>
      <c r="BR204"/>
      <c r="BS204"/>
      <c r="BT204"/>
      <c r="BU204"/>
      <c r="BV204"/>
      <c r="BW204"/>
      <c r="BX204"/>
      <c r="BY204"/>
      <c r="BZ204"/>
      <c r="CA204"/>
    </row>
    <row r="205" spans="1:79" s="39" customFormat="1" x14ac:dyDescent="0.25">
      <c r="A205" s="5"/>
      <c r="B205" s="25"/>
      <c r="C205" s="25"/>
      <c r="D205" s="25"/>
      <c r="E205" s="25"/>
      <c r="F205" s="16"/>
      <c r="G205" s="31"/>
      <c r="H205" s="29"/>
      <c r="I205" s="29"/>
      <c r="J205" s="29"/>
      <c r="K205" s="29"/>
      <c r="L205" s="29"/>
      <c r="M205" s="29"/>
      <c r="N205" s="29"/>
      <c r="O205" s="29"/>
      <c r="P205" s="29"/>
      <c r="Q205" s="29"/>
      <c r="R205" s="38"/>
      <c r="BR205"/>
      <c r="BS205"/>
      <c r="BT205"/>
      <c r="BU205"/>
      <c r="BV205"/>
      <c r="BW205"/>
      <c r="BX205"/>
      <c r="BY205"/>
      <c r="BZ205"/>
      <c r="CA205"/>
    </row>
    <row r="206" spans="1:79" s="39" customFormat="1" x14ac:dyDescent="0.25">
      <c r="A206" s="5"/>
      <c r="B206" s="25"/>
      <c r="C206" s="25"/>
      <c r="D206" s="25"/>
      <c r="E206" s="25"/>
      <c r="F206" s="16"/>
      <c r="G206" s="31"/>
      <c r="H206" s="29"/>
      <c r="I206" s="29"/>
      <c r="J206" s="29"/>
      <c r="K206" s="29"/>
      <c r="L206" s="29"/>
      <c r="M206" s="29"/>
      <c r="N206" s="29"/>
      <c r="O206" s="29"/>
      <c r="P206" s="29"/>
      <c r="Q206" s="29"/>
      <c r="R206" s="38"/>
      <c r="BR206"/>
      <c r="BS206"/>
      <c r="BT206"/>
      <c r="BU206"/>
      <c r="BV206"/>
      <c r="BW206"/>
      <c r="BX206"/>
      <c r="BY206"/>
      <c r="BZ206"/>
      <c r="CA206"/>
    </row>
    <row r="207" spans="1:79" s="39" customFormat="1" x14ac:dyDescent="0.25">
      <c r="A207" s="5"/>
      <c r="B207" s="25"/>
      <c r="C207" s="25"/>
      <c r="D207" s="25"/>
      <c r="E207" s="25"/>
      <c r="F207" s="16"/>
      <c r="G207" s="31"/>
      <c r="H207" s="29"/>
      <c r="I207" s="29"/>
      <c r="J207" s="29"/>
      <c r="K207" s="29"/>
      <c r="L207" s="29"/>
      <c r="M207" s="29"/>
      <c r="N207" s="29"/>
      <c r="O207" s="29"/>
      <c r="P207" s="29"/>
      <c r="Q207" s="29"/>
      <c r="R207" s="38"/>
      <c r="BR207"/>
      <c r="BS207"/>
      <c r="BT207"/>
      <c r="BU207"/>
      <c r="BV207"/>
      <c r="BW207"/>
      <c r="BX207"/>
      <c r="BY207"/>
      <c r="BZ207"/>
      <c r="CA207"/>
    </row>
    <row r="208" spans="1:79" s="39" customFormat="1" x14ac:dyDescent="0.25">
      <c r="A208" s="5"/>
      <c r="B208" s="25"/>
      <c r="C208" s="25"/>
      <c r="D208" s="25"/>
      <c r="E208" s="25"/>
      <c r="F208" s="16"/>
      <c r="G208" s="31"/>
      <c r="H208" s="29"/>
      <c r="I208" s="29"/>
      <c r="J208" s="29"/>
      <c r="K208" s="29"/>
      <c r="L208" s="29"/>
      <c r="M208" s="29"/>
      <c r="N208" s="29"/>
      <c r="O208" s="29"/>
      <c r="P208" s="29"/>
      <c r="Q208" s="29"/>
      <c r="R208" s="38"/>
      <c r="BR208"/>
      <c r="BS208"/>
      <c r="BT208"/>
      <c r="BU208"/>
      <c r="BV208"/>
      <c r="BW208"/>
      <c r="BX208"/>
      <c r="BY208"/>
      <c r="BZ208"/>
      <c r="CA208"/>
    </row>
    <row r="209" spans="1:79" s="39" customFormat="1" x14ac:dyDescent="0.25">
      <c r="A209" s="5"/>
      <c r="B209" s="25"/>
      <c r="C209" s="25"/>
      <c r="D209" s="25"/>
      <c r="E209" s="25"/>
      <c r="F209" s="16"/>
      <c r="G209" s="31"/>
      <c r="H209" s="29"/>
      <c r="I209" s="29"/>
      <c r="J209" s="29"/>
      <c r="K209" s="29"/>
      <c r="L209" s="29"/>
      <c r="M209" s="29"/>
      <c r="N209" s="29"/>
      <c r="O209" s="29"/>
      <c r="P209" s="29"/>
      <c r="Q209" s="29"/>
      <c r="R209" s="38"/>
      <c r="BR209"/>
      <c r="BS209"/>
      <c r="BT209"/>
      <c r="BU209"/>
      <c r="BV209"/>
      <c r="BW209"/>
      <c r="BX209"/>
      <c r="BY209"/>
      <c r="BZ209"/>
      <c r="CA209"/>
    </row>
    <row r="210" spans="1:79" s="39" customFormat="1" x14ac:dyDescent="0.25">
      <c r="A210" s="5"/>
      <c r="B210" s="25"/>
      <c r="C210" s="25"/>
      <c r="D210" s="25"/>
      <c r="E210" s="25"/>
      <c r="F210" s="16"/>
      <c r="G210" s="31"/>
      <c r="H210" s="29"/>
      <c r="I210" s="29"/>
      <c r="J210" s="29"/>
      <c r="K210" s="29"/>
      <c r="L210" s="29"/>
      <c r="M210" s="29"/>
      <c r="N210" s="29"/>
      <c r="O210" s="29"/>
      <c r="P210" s="29"/>
      <c r="Q210" s="29"/>
      <c r="R210" s="38"/>
      <c r="BR210"/>
      <c r="BS210"/>
      <c r="BT210"/>
      <c r="BU210"/>
      <c r="BV210"/>
      <c r="BW210"/>
      <c r="BX210"/>
      <c r="BY210"/>
      <c r="BZ210"/>
      <c r="CA210"/>
    </row>
    <row r="211" spans="1:79" s="39" customFormat="1" x14ac:dyDescent="0.25">
      <c r="A211" s="5"/>
      <c r="B211" s="25"/>
      <c r="C211" s="25"/>
      <c r="D211" s="25"/>
      <c r="E211" s="25"/>
      <c r="F211" s="16"/>
      <c r="G211" s="31"/>
      <c r="H211" s="29"/>
      <c r="I211" s="29"/>
      <c r="J211" s="29"/>
      <c r="K211" s="29"/>
      <c r="L211" s="29"/>
      <c r="M211" s="29"/>
      <c r="N211" s="29"/>
      <c r="O211" s="29"/>
      <c r="P211" s="29"/>
      <c r="Q211" s="29"/>
      <c r="R211" s="38"/>
      <c r="BR211"/>
      <c r="BS211"/>
      <c r="BT211"/>
      <c r="BU211"/>
      <c r="BV211"/>
      <c r="BW211"/>
      <c r="BX211"/>
      <c r="BY211"/>
      <c r="BZ211"/>
      <c r="CA211"/>
    </row>
    <row r="212" spans="1:79" s="39" customFormat="1" x14ac:dyDescent="0.25">
      <c r="A212" s="5"/>
      <c r="B212" s="25"/>
      <c r="C212" s="25"/>
      <c r="D212" s="25"/>
      <c r="E212" s="25"/>
      <c r="F212" s="16"/>
      <c r="G212" s="31"/>
      <c r="H212" s="29"/>
      <c r="I212" s="29"/>
      <c r="J212" s="29"/>
      <c r="K212" s="29"/>
      <c r="L212" s="29"/>
      <c r="M212" s="29"/>
      <c r="N212" s="29"/>
      <c r="O212" s="29"/>
      <c r="P212" s="29"/>
      <c r="Q212" s="29"/>
      <c r="R212" s="38"/>
      <c r="BR212"/>
      <c r="BS212"/>
      <c r="BT212"/>
      <c r="BU212"/>
      <c r="BV212"/>
      <c r="BW212"/>
      <c r="BX212"/>
      <c r="BY212"/>
      <c r="BZ212"/>
      <c r="CA212"/>
    </row>
    <row r="213" spans="1:79" s="39" customFormat="1" x14ac:dyDescent="0.25">
      <c r="A213" s="5"/>
      <c r="B213" s="25"/>
      <c r="C213" s="25"/>
      <c r="D213" s="25"/>
      <c r="E213" s="25"/>
      <c r="F213" s="16"/>
      <c r="G213" s="31"/>
      <c r="H213" s="29"/>
      <c r="I213" s="29"/>
      <c r="J213" s="29"/>
      <c r="K213" s="29"/>
      <c r="L213" s="29"/>
      <c r="M213" s="29"/>
      <c r="N213" s="29"/>
      <c r="O213" s="29"/>
      <c r="P213" s="29"/>
      <c r="Q213" s="29"/>
      <c r="R213" s="38"/>
      <c r="BR213"/>
      <c r="BS213"/>
      <c r="BT213"/>
      <c r="BU213"/>
      <c r="BV213"/>
      <c r="BW213"/>
      <c r="BX213"/>
      <c r="BY213"/>
      <c r="BZ213"/>
      <c r="CA213"/>
    </row>
    <row r="214" spans="1:79" s="39" customFormat="1" x14ac:dyDescent="0.25">
      <c r="A214" s="5"/>
      <c r="B214" s="25"/>
      <c r="C214" s="25"/>
      <c r="D214" s="25"/>
      <c r="E214" s="25"/>
      <c r="F214" s="16"/>
      <c r="G214" s="31"/>
      <c r="H214" s="29"/>
      <c r="I214" s="29"/>
      <c r="J214" s="29"/>
      <c r="K214" s="29"/>
      <c r="L214" s="29"/>
      <c r="M214" s="29"/>
      <c r="N214" s="29"/>
      <c r="O214" s="29"/>
      <c r="P214" s="29"/>
      <c r="Q214" s="29"/>
      <c r="R214" s="38"/>
      <c r="BR214"/>
      <c r="BS214"/>
      <c r="BT214"/>
      <c r="BU214"/>
      <c r="BV214"/>
      <c r="BW214"/>
      <c r="BX214"/>
      <c r="BY214"/>
      <c r="BZ214"/>
      <c r="CA214"/>
    </row>
    <row r="215" spans="1:79" s="39" customFormat="1" x14ac:dyDescent="0.25">
      <c r="A215" s="5"/>
      <c r="B215" s="25"/>
      <c r="C215" s="25"/>
      <c r="D215" s="25"/>
      <c r="E215" s="25"/>
      <c r="F215" s="16"/>
      <c r="G215" s="31"/>
      <c r="H215" s="29"/>
      <c r="I215" s="29"/>
      <c r="J215" s="29"/>
      <c r="K215" s="29"/>
      <c r="L215" s="29"/>
      <c r="M215" s="29"/>
      <c r="N215" s="29"/>
      <c r="O215" s="29"/>
      <c r="P215" s="29"/>
      <c r="Q215" s="29"/>
      <c r="R215" s="38"/>
      <c r="BR215"/>
      <c r="BS215"/>
      <c r="BT215"/>
      <c r="BU215"/>
      <c r="BV215"/>
      <c r="BW215"/>
      <c r="BX215"/>
      <c r="BY215"/>
      <c r="BZ215"/>
      <c r="CA215"/>
    </row>
    <row r="216" spans="1:79" s="39" customFormat="1" x14ac:dyDescent="0.25">
      <c r="A216" s="5"/>
      <c r="B216" s="25"/>
      <c r="C216" s="25"/>
      <c r="D216" s="25"/>
      <c r="E216" s="25"/>
      <c r="F216" s="16"/>
      <c r="G216" s="31"/>
      <c r="H216" s="29"/>
      <c r="I216" s="29"/>
      <c r="J216" s="29"/>
      <c r="K216" s="29"/>
      <c r="L216" s="29"/>
      <c r="M216" s="29"/>
      <c r="N216" s="29"/>
      <c r="O216" s="29"/>
      <c r="P216" s="29"/>
      <c r="Q216" s="29"/>
      <c r="R216" s="38"/>
      <c r="BR216"/>
      <c r="BS216"/>
      <c r="BT216"/>
      <c r="BU216"/>
      <c r="BV216"/>
      <c r="BW216"/>
      <c r="BX216"/>
      <c r="BY216"/>
      <c r="BZ216"/>
      <c r="CA216"/>
    </row>
    <row r="217" spans="1:79" s="39" customFormat="1" x14ac:dyDescent="0.25">
      <c r="A217" s="5"/>
      <c r="B217" s="25"/>
      <c r="C217" s="25"/>
      <c r="D217" s="25"/>
      <c r="E217" s="25"/>
      <c r="F217" s="16"/>
      <c r="G217" s="31"/>
      <c r="H217" s="29"/>
      <c r="I217" s="29"/>
      <c r="J217" s="29"/>
      <c r="K217" s="29"/>
      <c r="L217" s="29"/>
      <c r="M217" s="29"/>
      <c r="N217" s="29"/>
      <c r="O217" s="29"/>
      <c r="P217" s="29"/>
      <c r="Q217" s="29"/>
      <c r="R217" s="38"/>
      <c r="BR217"/>
      <c r="BS217"/>
      <c r="BT217"/>
      <c r="BU217"/>
      <c r="BV217"/>
      <c r="BW217"/>
      <c r="BX217"/>
      <c r="BY217"/>
      <c r="BZ217"/>
      <c r="CA217"/>
    </row>
    <row r="218" spans="1:79" s="39" customFormat="1" x14ac:dyDescent="0.25">
      <c r="A218" s="5"/>
      <c r="B218" s="25"/>
      <c r="C218" s="25"/>
      <c r="D218" s="25"/>
      <c r="E218" s="25"/>
      <c r="F218" s="16"/>
      <c r="G218" s="31"/>
      <c r="H218" s="29"/>
      <c r="I218" s="29"/>
      <c r="J218" s="29"/>
      <c r="K218" s="29"/>
      <c r="L218" s="29"/>
      <c r="M218" s="29"/>
      <c r="N218" s="29"/>
      <c r="O218" s="29"/>
      <c r="P218" s="29"/>
      <c r="Q218" s="29"/>
      <c r="R218" s="38"/>
      <c r="BR218"/>
      <c r="BS218"/>
      <c r="BT218"/>
      <c r="BU218"/>
      <c r="BV218"/>
      <c r="BW218"/>
      <c r="BX218"/>
      <c r="BY218"/>
      <c r="BZ218"/>
      <c r="CA218"/>
    </row>
    <row r="219" spans="1:79" s="39" customFormat="1" x14ac:dyDescent="0.25">
      <c r="A219" s="5"/>
      <c r="B219" s="25"/>
      <c r="C219" s="25"/>
      <c r="D219" s="25"/>
      <c r="E219" s="25"/>
      <c r="F219" s="16"/>
      <c r="G219" s="31"/>
      <c r="H219" s="29"/>
      <c r="I219" s="29"/>
      <c r="J219" s="29"/>
      <c r="K219" s="29"/>
      <c r="L219" s="29"/>
      <c r="M219" s="29"/>
      <c r="N219" s="29"/>
      <c r="O219" s="29"/>
      <c r="P219" s="29"/>
      <c r="Q219" s="29"/>
      <c r="R219" s="38"/>
      <c r="BR219"/>
      <c r="BS219"/>
      <c r="BT219"/>
      <c r="BU219"/>
      <c r="BV219"/>
      <c r="BW219"/>
      <c r="BX219"/>
      <c r="BY219"/>
      <c r="BZ219"/>
      <c r="CA219"/>
    </row>
    <row r="220" spans="1:79" s="39" customFormat="1" x14ac:dyDescent="0.25">
      <c r="A220" s="5"/>
      <c r="B220" s="25"/>
      <c r="C220" s="25"/>
      <c r="D220" s="25"/>
      <c r="E220" s="25"/>
      <c r="F220" s="16"/>
      <c r="G220" s="31"/>
      <c r="H220" s="29"/>
      <c r="I220" s="29"/>
      <c r="J220" s="29"/>
      <c r="K220" s="29"/>
      <c r="L220" s="29"/>
      <c r="M220" s="29"/>
      <c r="N220" s="29"/>
      <c r="O220" s="29"/>
      <c r="P220" s="29"/>
      <c r="Q220" s="29"/>
      <c r="R220" s="38"/>
      <c r="BR220"/>
      <c r="BS220"/>
      <c r="BT220"/>
      <c r="BU220"/>
      <c r="BV220"/>
      <c r="BW220"/>
      <c r="BX220"/>
      <c r="BY220"/>
      <c r="BZ220"/>
      <c r="CA220"/>
    </row>
    <row r="221" spans="1:79" s="39" customFormat="1" x14ac:dyDescent="0.25">
      <c r="A221" s="5"/>
      <c r="B221" s="25"/>
      <c r="C221" s="25"/>
      <c r="D221" s="25"/>
      <c r="E221" s="25"/>
      <c r="F221" s="16"/>
      <c r="G221" s="31"/>
      <c r="H221" s="29"/>
      <c r="I221" s="29"/>
      <c r="J221" s="29"/>
      <c r="K221" s="29"/>
      <c r="L221" s="29"/>
      <c r="M221" s="29"/>
      <c r="N221" s="29"/>
      <c r="O221" s="29"/>
      <c r="P221" s="29"/>
      <c r="Q221" s="29"/>
      <c r="R221" s="38"/>
      <c r="BR221"/>
      <c r="BS221"/>
      <c r="BT221"/>
      <c r="BU221"/>
      <c r="BV221"/>
      <c r="BW221"/>
      <c r="BX221"/>
      <c r="BY221"/>
      <c r="BZ221"/>
      <c r="CA221"/>
    </row>
    <row r="222" spans="1:79" s="39" customFormat="1" x14ac:dyDescent="0.25">
      <c r="A222" s="5"/>
      <c r="B222" s="25"/>
      <c r="C222" s="25"/>
      <c r="D222" s="25"/>
      <c r="E222" s="25"/>
      <c r="F222" s="16"/>
      <c r="G222" s="31"/>
      <c r="H222" s="29"/>
      <c r="I222" s="29"/>
      <c r="J222" s="29"/>
      <c r="K222" s="29"/>
      <c r="L222" s="29"/>
      <c r="M222" s="29"/>
      <c r="N222" s="29"/>
      <c r="O222" s="29"/>
      <c r="P222" s="29"/>
      <c r="Q222" s="29"/>
      <c r="R222" s="38"/>
      <c r="BR222"/>
      <c r="BS222"/>
      <c r="BT222"/>
      <c r="BU222"/>
      <c r="BV222"/>
      <c r="BW222"/>
      <c r="BX222"/>
      <c r="BY222"/>
      <c r="BZ222"/>
      <c r="CA222"/>
    </row>
    <row r="223" spans="1:79" s="39" customFormat="1" x14ac:dyDescent="0.25">
      <c r="A223" s="5"/>
      <c r="B223" s="25"/>
      <c r="C223" s="25"/>
      <c r="D223" s="25"/>
      <c r="E223" s="25"/>
      <c r="F223" s="16"/>
      <c r="G223" s="31"/>
      <c r="H223" s="29"/>
      <c r="I223" s="29"/>
      <c r="J223" s="29"/>
      <c r="K223" s="29"/>
      <c r="L223" s="29"/>
      <c r="M223" s="29"/>
      <c r="N223" s="29"/>
      <c r="O223" s="29"/>
      <c r="P223" s="29"/>
      <c r="Q223" s="29"/>
      <c r="R223" s="38"/>
      <c r="BR223"/>
      <c r="BS223"/>
      <c r="BT223"/>
      <c r="BU223"/>
      <c r="BV223"/>
      <c r="BW223"/>
      <c r="BX223"/>
      <c r="BY223"/>
      <c r="BZ223"/>
      <c r="CA223"/>
    </row>
    <row r="224" spans="1:79" s="39" customFormat="1" x14ac:dyDescent="0.25">
      <c r="A224" s="5"/>
      <c r="B224" s="25"/>
      <c r="C224" s="25"/>
      <c r="D224" s="25"/>
      <c r="E224" s="25"/>
      <c r="F224" s="16"/>
      <c r="G224" s="31"/>
      <c r="H224" s="29"/>
      <c r="I224" s="29"/>
      <c r="J224" s="29"/>
      <c r="K224" s="29"/>
      <c r="L224" s="29"/>
      <c r="M224" s="29"/>
      <c r="N224" s="29"/>
      <c r="O224" s="29"/>
      <c r="P224" s="29"/>
      <c r="Q224" s="29"/>
      <c r="R224" s="38"/>
      <c r="BR224"/>
      <c r="BS224"/>
      <c r="BT224"/>
      <c r="BU224"/>
      <c r="BV224"/>
      <c r="BW224"/>
      <c r="BX224"/>
      <c r="BY224"/>
      <c r="BZ224"/>
      <c r="CA224"/>
    </row>
    <row r="225" spans="1:79" s="39" customFormat="1" x14ac:dyDescent="0.25">
      <c r="A225" s="5"/>
      <c r="B225" s="25"/>
      <c r="C225" s="25"/>
      <c r="D225" s="25"/>
      <c r="E225" s="25"/>
      <c r="F225" s="16"/>
      <c r="G225" s="31"/>
      <c r="H225" s="29"/>
      <c r="I225" s="29"/>
      <c r="J225" s="29"/>
      <c r="K225" s="29"/>
      <c r="L225" s="29"/>
      <c r="M225" s="29"/>
      <c r="N225" s="29"/>
      <c r="O225" s="29"/>
      <c r="P225" s="29"/>
      <c r="Q225" s="29"/>
      <c r="R225" s="38"/>
      <c r="BR225"/>
      <c r="BS225"/>
      <c r="BT225"/>
      <c r="BU225"/>
      <c r="BV225"/>
      <c r="BW225"/>
      <c r="BX225"/>
      <c r="BY225"/>
      <c r="BZ225"/>
      <c r="CA225"/>
    </row>
    <row r="226" spans="1:79" s="39" customFormat="1" x14ac:dyDescent="0.25">
      <c r="A226" s="5"/>
      <c r="B226" s="25"/>
      <c r="C226" s="25"/>
      <c r="D226" s="25"/>
      <c r="E226" s="25"/>
      <c r="F226" s="16"/>
      <c r="G226" s="31"/>
      <c r="H226" s="29"/>
      <c r="I226" s="29"/>
      <c r="J226" s="29"/>
      <c r="K226" s="29"/>
      <c r="L226" s="29"/>
      <c r="M226" s="29"/>
      <c r="N226" s="29"/>
      <c r="O226" s="29"/>
      <c r="P226" s="29"/>
      <c r="Q226" s="29"/>
      <c r="R226" s="38"/>
      <c r="BR226"/>
      <c r="BS226"/>
      <c r="BT226"/>
      <c r="BU226"/>
      <c r="BV226"/>
      <c r="BW226"/>
      <c r="BX226"/>
      <c r="BY226"/>
      <c r="BZ226"/>
      <c r="CA226"/>
    </row>
    <row r="227" spans="1:79" s="39" customFormat="1" x14ac:dyDescent="0.25">
      <c r="A227" s="5"/>
      <c r="B227" s="25"/>
      <c r="C227" s="25"/>
      <c r="D227" s="25"/>
      <c r="E227" s="25"/>
      <c r="F227" s="16"/>
      <c r="G227" s="31"/>
      <c r="H227" s="29"/>
      <c r="I227" s="29"/>
      <c r="J227" s="29"/>
      <c r="K227" s="29"/>
      <c r="L227" s="29"/>
      <c r="M227" s="29"/>
      <c r="N227" s="29"/>
      <c r="O227" s="29"/>
      <c r="P227" s="29"/>
      <c r="Q227" s="29"/>
      <c r="R227" s="38"/>
      <c r="BR227"/>
      <c r="BS227"/>
      <c r="BT227"/>
      <c r="BU227"/>
      <c r="BV227"/>
      <c r="BW227"/>
      <c r="BX227"/>
      <c r="BY227"/>
      <c r="BZ227"/>
      <c r="CA227"/>
    </row>
    <row r="228" spans="1:79" s="39" customFormat="1" x14ac:dyDescent="0.25">
      <c r="A228" s="5"/>
      <c r="B228" s="25"/>
      <c r="C228" s="25"/>
      <c r="D228" s="25"/>
      <c r="E228" s="25"/>
      <c r="F228" s="16"/>
      <c r="G228" s="31"/>
      <c r="H228" s="29"/>
      <c r="I228" s="29"/>
      <c r="J228" s="29"/>
      <c r="K228" s="29"/>
      <c r="L228" s="29"/>
      <c r="M228" s="29"/>
      <c r="N228" s="29"/>
      <c r="O228" s="29"/>
      <c r="P228" s="29"/>
      <c r="Q228" s="29"/>
      <c r="R228" s="38"/>
      <c r="BR228"/>
      <c r="BS228"/>
      <c r="BT228"/>
      <c r="BU228"/>
      <c r="BV228"/>
      <c r="BW228"/>
      <c r="BX228"/>
      <c r="BY228"/>
      <c r="BZ228"/>
      <c r="CA228"/>
    </row>
    <row r="229" spans="1:79" s="39" customFormat="1" x14ac:dyDescent="0.25">
      <c r="A229" s="5"/>
      <c r="B229" s="25"/>
      <c r="C229" s="25"/>
      <c r="D229" s="25"/>
      <c r="E229" s="25"/>
      <c r="F229" s="16"/>
      <c r="G229" s="31"/>
      <c r="H229" s="29"/>
      <c r="I229" s="29"/>
      <c r="J229" s="29"/>
      <c r="K229" s="29"/>
      <c r="L229" s="29"/>
      <c r="M229" s="29"/>
      <c r="N229" s="29"/>
      <c r="O229" s="29"/>
      <c r="P229" s="29"/>
      <c r="Q229" s="29"/>
      <c r="R229" s="38"/>
      <c r="BR229"/>
      <c r="BS229"/>
      <c r="BT229"/>
      <c r="BU229"/>
      <c r="BV229"/>
      <c r="BW229"/>
      <c r="BX229"/>
      <c r="BY229"/>
      <c r="BZ229"/>
      <c r="CA229"/>
    </row>
    <row r="230" spans="1:79" s="39" customFormat="1" x14ac:dyDescent="0.25">
      <c r="A230" s="5"/>
      <c r="B230" s="25"/>
      <c r="C230" s="25"/>
      <c r="D230" s="25"/>
      <c r="E230" s="25"/>
      <c r="F230" s="16"/>
      <c r="G230" s="31"/>
      <c r="H230" s="29"/>
      <c r="I230" s="29"/>
      <c r="J230" s="29"/>
      <c r="K230" s="29"/>
      <c r="L230" s="29"/>
      <c r="M230" s="29"/>
      <c r="N230" s="29"/>
      <c r="O230" s="29"/>
      <c r="P230" s="29"/>
      <c r="Q230" s="29"/>
      <c r="R230" s="38"/>
      <c r="BR230"/>
      <c r="BS230"/>
      <c r="BT230"/>
      <c r="BU230"/>
      <c r="BV230"/>
      <c r="BW230"/>
      <c r="BX230"/>
      <c r="BY230"/>
      <c r="BZ230"/>
      <c r="CA230"/>
    </row>
    <row r="231" spans="1:79" s="39" customFormat="1" x14ac:dyDescent="0.25">
      <c r="A231" s="5"/>
      <c r="B231" s="25"/>
      <c r="C231" s="25"/>
      <c r="D231" s="25"/>
      <c r="E231" s="25"/>
      <c r="F231" s="16"/>
      <c r="G231" s="31"/>
      <c r="H231" s="29"/>
      <c r="I231" s="29"/>
      <c r="J231" s="29"/>
      <c r="K231" s="29"/>
      <c r="L231" s="29"/>
      <c r="M231" s="29"/>
      <c r="N231" s="29"/>
      <c r="O231" s="29"/>
      <c r="P231" s="29"/>
      <c r="Q231" s="29"/>
      <c r="R231" s="38"/>
      <c r="BR231"/>
      <c r="BS231"/>
      <c r="BT231"/>
      <c r="BU231"/>
      <c r="BV231"/>
      <c r="BW231"/>
      <c r="BX231"/>
      <c r="BY231"/>
      <c r="BZ231"/>
      <c r="CA231"/>
    </row>
    <row r="232" spans="1:79" s="39" customFormat="1" x14ac:dyDescent="0.25">
      <c r="A232" s="5"/>
      <c r="B232" s="25"/>
      <c r="C232" s="25"/>
      <c r="D232" s="25"/>
      <c r="E232" s="25"/>
      <c r="F232" s="16"/>
      <c r="G232" s="31"/>
      <c r="H232" s="29"/>
      <c r="I232" s="29"/>
      <c r="J232" s="29"/>
      <c r="K232" s="29"/>
      <c r="L232" s="29"/>
      <c r="M232" s="29"/>
      <c r="N232" s="29"/>
      <c r="O232" s="29"/>
      <c r="P232" s="29"/>
      <c r="Q232" s="29"/>
      <c r="R232" s="38"/>
      <c r="BR232"/>
      <c r="BS232"/>
      <c r="BT232"/>
      <c r="BU232"/>
      <c r="BV232"/>
      <c r="BW232"/>
      <c r="BX232"/>
      <c r="BY232"/>
      <c r="BZ232"/>
      <c r="CA232"/>
    </row>
    <row r="233" spans="1:79" s="39" customFormat="1" x14ac:dyDescent="0.25">
      <c r="A233" s="5"/>
      <c r="B233" s="25"/>
      <c r="C233" s="25"/>
      <c r="D233" s="25"/>
      <c r="E233" s="25"/>
      <c r="F233" s="16"/>
      <c r="G233" s="31"/>
      <c r="H233" s="29"/>
      <c r="I233" s="29"/>
      <c r="J233" s="29"/>
      <c r="K233" s="29"/>
      <c r="L233" s="29"/>
      <c r="M233" s="29"/>
      <c r="N233" s="29"/>
      <c r="O233" s="29"/>
      <c r="P233" s="29"/>
      <c r="Q233" s="29"/>
      <c r="R233" s="38"/>
      <c r="BR233"/>
      <c r="BS233"/>
      <c r="BT233"/>
      <c r="BU233"/>
      <c r="BV233"/>
      <c r="BW233"/>
      <c r="BX233"/>
      <c r="BY233"/>
      <c r="BZ233"/>
      <c r="CA233"/>
    </row>
    <row r="234" spans="1:79" s="39" customFormat="1" x14ac:dyDescent="0.25">
      <c r="A234" s="5"/>
      <c r="B234" s="25"/>
      <c r="C234" s="25"/>
      <c r="D234" s="25"/>
      <c r="E234" s="25"/>
      <c r="F234" s="16"/>
      <c r="G234" s="31"/>
      <c r="H234" s="29"/>
      <c r="I234" s="29"/>
      <c r="J234" s="29"/>
      <c r="K234" s="29"/>
      <c r="L234" s="29"/>
      <c r="M234" s="29"/>
      <c r="N234" s="29"/>
      <c r="O234" s="29"/>
      <c r="P234" s="29"/>
      <c r="Q234" s="29"/>
      <c r="R234" s="38"/>
      <c r="BR234"/>
      <c r="BS234"/>
      <c r="BT234"/>
      <c r="BU234"/>
      <c r="BV234"/>
      <c r="BW234"/>
      <c r="BX234"/>
      <c r="BY234"/>
      <c r="BZ234"/>
      <c r="CA234"/>
    </row>
    <row r="235" spans="1:79" s="39" customFormat="1" x14ac:dyDescent="0.25">
      <c r="A235" s="5"/>
      <c r="B235" s="25"/>
      <c r="C235" s="25"/>
      <c r="D235" s="25"/>
      <c r="E235" s="25"/>
      <c r="F235" s="16"/>
      <c r="G235" s="31"/>
      <c r="H235" s="29"/>
      <c r="I235" s="29"/>
      <c r="J235" s="29"/>
      <c r="K235" s="29"/>
      <c r="L235" s="29"/>
      <c r="M235" s="29"/>
      <c r="N235" s="29"/>
      <c r="O235" s="29"/>
      <c r="P235" s="29"/>
      <c r="Q235" s="29"/>
      <c r="R235" s="38"/>
      <c r="BR235"/>
      <c r="BS235"/>
      <c r="BT235"/>
      <c r="BU235"/>
      <c r="BV235"/>
      <c r="BW235"/>
      <c r="BX235"/>
      <c r="BY235"/>
      <c r="BZ235"/>
      <c r="CA235"/>
    </row>
    <row r="236" spans="1:79" s="39" customFormat="1" x14ac:dyDescent="0.25">
      <c r="A236" s="5"/>
      <c r="B236" s="25"/>
      <c r="C236" s="25"/>
      <c r="D236" s="25"/>
      <c r="E236" s="25"/>
      <c r="F236" s="16"/>
      <c r="G236" s="31"/>
      <c r="H236" s="29"/>
      <c r="I236" s="29"/>
      <c r="J236" s="29"/>
      <c r="K236" s="29"/>
      <c r="L236" s="29"/>
      <c r="M236" s="29"/>
      <c r="N236" s="29"/>
      <c r="O236" s="29"/>
      <c r="P236" s="29"/>
      <c r="Q236" s="29"/>
      <c r="R236" s="38"/>
      <c r="BR236"/>
      <c r="BS236"/>
      <c r="BT236"/>
      <c r="BU236"/>
      <c r="BV236"/>
      <c r="BW236"/>
      <c r="BX236"/>
      <c r="BY236"/>
      <c r="BZ236"/>
      <c r="CA236"/>
    </row>
    <row r="237" spans="1:79" s="39" customFormat="1" x14ac:dyDescent="0.25">
      <c r="A237" s="5"/>
      <c r="B237" s="25"/>
      <c r="C237" s="25"/>
      <c r="D237" s="25"/>
      <c r="E237" s="25"/>
      <c r="F237" s="16"/>
      <c r="G237" s="31"/>
      <c r="H237" s="29"/>
      <c r="I237" s="29"/>
      <c r="J237" s="29"/>
      <c r="K237" s="29"/>
      <c r="L237" s="29"/>
      <c r="M237" s="29"/>
      <c r="N237" s="29"/>
      <c r="O237" s="29"/>
      <c r="P237" s="29"/>
      <c r="Q237" s="29"/>
      <c r="R237" s="38"/>
      <c r="BR237"/>
      <c r="BS237"/>
      <c r="BT237"/>
      <c r="BU237"/>
      <c r="BV237"/>
      <c r="BW237"/>
      <c r="BX237"/>
      <c r="BY237"/>
      <c r="BZ237"/>
      <c r="CA237"/>
    </row>
    <row r="238" spans="1:79" s="39" customFormat="1" x14ac:dyDescent="0.25">
      <c r="A238" s="5"/>
      <c r="B238" s="25"/>
      <c r="C238" s="25"/>
      <c r="D238" s="25"/>
      <c r="E238" s="25"/>
      <c r="F238" s="16"/>
      <c r="G238" s="31"/>
      <c r="H238" s="29"/>
      <c r="I238" s="29"/>
      <c r="J238" s="29"/>
      <c r="K238" s="29"/>
      <c r="L238" s="29"/>
      <c r="M238" s="29"/>
      <c r="N238" s="29"/>
      <c r="O238" s="29"/>
      <c r="P238" s="29"/>
      <c r="Q238" s="29"/>
      <c r="R238" s="38"/>
      <c r="BR238"/>
      <c r="BS238"/>
      <c r="BT238"/>
      <c r="BU238"/>
      <c r="BV238"/>
      <c r="BW238"/>
      <c r="BX238"/>
      <c r="BY238"/>
      <c r="BZ238"/>
      <c r="CA238"/>
    </row>
    <row r="239" spans="1:79" s="39" customFormat="1" x14ac:dyDescent="0.25">
      <c r="A239" s="5"/>
      <c r="B239" s="25"/>
      <c r="C239" s="25"/>
      <c r="D239" s="25"/>
      <c r="E239" s="25"/>
      <c r="F239" s="16"/>
      <c r="G239" s="31"/>
      <c r="H239" s="29"/>
      <c r="I239" s="29"/>
      <c r="J239" s="29"/>
      <c r="K239" s="29"/>
      <c r="L239" s="29"/>
      <c r="M239" s="29"/>
      <c r="N239" s="29"/>
      <c r="O239" s="29"/>
      <c r="P239" s="29"/>
      <c r="Q239" s="29"/>
      <c r="R239" s="38"/>
      <c r="BR239"/>
      <c r="BS239"/>
      <c r="BT239"/>
      <c r="BU239"/>
      <c r="BV239"/>
      <c r="BW239"/>
      <c r="BX239"/>
      <c r="BY239"/>
      <c r="BZ239"/>
      <c r="CA239"/>
    </row>
    <row r="240" spans="1:79" s="39" customFormat="1" x14ac:dyDescent="0.25">
      <c r="A240" s="5"/>
      <c r="B240" s="25"/>
      <c r="C240" s="25"/>
      <c r="D240" s="25"/>
      <c r="E240" s="25"/>
      <c r="F240" s="16"/>
      <c r="G240" s="31"/>
      <c r="H240" s="29"/>
      <c r="I240" s="29"/>
      <c r="J240" s="29"/>
      <c r="K240" s="29"/>
      <c r="L240" s="29"/>
      <c r="M240" s="29"/>
      <c r="N240" s="29"/>
      <c r="O240" s="29"/>
      <c r="P240" s="29"/>
      <c r="Q240" s="29"/>
      <c r="R240" s="38"/>
      <c r="BR240"/>
      <c r="BS240"/>
      <c r="BT240"/>
      <c r="BU240"/>
      <c r="BV240"/>
      <c r="BW240"/>
      <c r="BX240"/>
      <c r="BY240"/>
      <c r="BZ240"/>
      <c r="CA240"/>
    </row>
    <row r="241" spans="1:79" s="39" customFormat="1" x14ac:dyDescent="0.25">
      <c r="A241" s="5"/>
      <c r="B241" s="25"/>
      <c r="C241" s="25"/>
      <c r="D241" s="25"/>
      <c r="E241" s="25"/>
      <c r="F241" s="16"/>
      <c r="G241" s="31"/>
      <c r="H241" s="29"/>
      <c r="I241" s="29"/>
      <c r="J241" s="29"/>
      <c r="K241" s="29"/>
      <c r="L241" s="29"/>
      <c r="M241" s="29"/>
      <c r="N241" s="29"/>
      <c r="O241" s="29"/>
      <c r="P241" s="29"/>
      <c r="Q241" s="29"/>
      <c r="R241" s="38"/>
      <c r="BR241"/>
      <c r="BS241"/>
      <c r="BT241"/>
      <c r="BU241"/>
      <c r="BV241"/>
      <c r="BW241"/>
      <c r="BX241"/>
      <c r="BY241"/>
      <c r="BZ241"/>
      <c r="CA241"/>
    </row>
    <row r="242" spans="1:79" s="39" customFormat="1" x14ac:dyDescent="0.25">
      <c r="A242" s="5"/>
      <c r="B242" s="25"/>
      <c r="C242" s="25"/>
      <c r="D242" s="25"/>
      <c r="E242" s="25"/>
      <c r="F242" s="16"/>
      <c r="G242" s="31"/>
      <c r="H242" s="29"/>
      <c r="I242" s="29"/>
      <c r="J242" s="29"/>
      <c r="K242" s="29"/>
      <c r="L242" s="29"/>
      <c r="M242" s="29"/>
      <c r="N242" s="29"/>
      <c r="O242" s="29"/>
      <c r="P242" s="29"/>
      <c r="Q242" s="29"/>
      <c r="R242" s="38"/>
      <c r="BR242"/>
      <c r="BS242"/>
      <c r="BT242"/>
      <c r="BU242"/>
      <c r="BV242"/>
      <c r="BW242"/>
      <c r="BX242"/>
      <c r="BY242"/>
      <c r="BZ242"/>
      <c r="CA242"/>
    </row>
    <row r="243" spans="1:79" s="39" customFormat="1" x14ac:dyDescent="0.25">
      <c r="A243" s="5"/>
      <c r="B243" s="25"/>
      <c r="C243" s="25"/>
      <c r="D243" s="25"/>
      <c r="E243" s="25"/>
      <c r="F243" s="16"/>
      <c r="G243" s="31"/>
      <c r="H243" s="29"/>
      <c r="I243" s="29"/>
      <c r="J243" s="29"/>
      <c r="K243" s="29"/>
      <c r="L243" s="29"/>
      <c r="M243" s="29"/>
      <c r="N243" s="29"/>
      <c r="O243" s="29"/>
      <c r="P243" s="29"/>
      <c r="Q243" s="29"/>
      <c r="R243" s="38"/>
      <c r="BR243"/>
      <c r="BS243"/>
      <c r="BT243"/>
      <c r="BU243"/>
      <c r="BV243"/>
      <c r="BW243"/>
      <c r="BX243"/>
      <c r="BY243"/>
      <c r="BZ243"/>
      <c r="CA243"/>
    </row>
    <row r="244" spans="1:79" s="39" customFormat="1" x14ac:dyDescent="0.25">
      <c r="A244" s="5"/>
      <c r="B244" s="25"/>
      <c r="C244" s="25"/>
      <c r="D244" s="25"/>
      <c r="E244" s="25"/>
      <c r="F244" s="16"/>
      <c r="G244" s="31"/>
      <c r="H244" s="29"/>
      <c r="I244" s="29"/>
      <c r="J244" s="29"/>
      <c r="K244" s="29"/>
      <c r="L244" s="29"/>
      <c r="M244" s="29"/>
      <c r="N244" s="29"/>
      <c r="O244" s="29"/>
      <c r="P244" s="29"/>
      <c r="Q244" s="29"/>
      <c r="R244" s="38"/>
      <c r="BR244"/>
      <c r="BS244"/>
      <c r="BT244"/>
      <c r="BU244"/>
      <c r="BV244"/>
      <c r="BW244"/>
      <c r="BX244"/>
      <c r="BY244"/>
      <c r="BZ244"/>
      <c r="CA244"/>
    </row>
    <row r="245" spans="1:79" s="39" customFormat="1" x14ac:dyDescent="0.25">
      <c r="A245" s="5"/>
      <c r="B245" s="25"/>
      <c r="C245" s="25"/>
      <c r="D245" s="25"/>
      <c r="E245" s="25"/>
      <c r="F245" s="16"/>
      <c r="G245" s="31"/>
      <c r="H245" s="29"/>
      <c r="I245" s="29"/>
      <c r="J245" s="29"/>
      <c r="K245" s="29"/>
      <c r="L245" s="29"/>
      <c r="M245" s="29"/>
      <c r="N245" s="29"/>
      <c r="O245" s="29"/>
      <c r="P245" s="29"/>
      <c r="Q245" s="29"/>
      <c r="R245" s="38"/>
      <c r="BR245"/>
      <c r="BS245"/>
      <c r="BT245"/>
      <c r="BU245"/>
      <c r="BV245"/>
      <c r="BW245"/>
      <c r="BX245"/>
      <c r="BY245"/>
      <c r="BZ245"/>
      <c r="CA245"/>
    </row>
    <row r="246" spans="1:79" s="39" customFormat="1" x14ac:dyDescent="0.25">
      <c r="A246" s="5"/>
      <c r="B246" s="25"/>
      <c r="C246" s="25"/>
      <c r="D246" s="25"/>
      <c r="E246" s="25"/>
      <c r="F246" s="16"/>
      <c r="G246" s="31"/>
      <c r="H246" s="29"/>
      <c r="I246" s="29"/>
      <c r="J246" s="29"/>
      <c r="K246" s="29"/>
      <c r="L246" s="29"/>
      <c r="M246" s="29"/>
      <c r="N246" s="29"/>
      <c r="O246" s="29"/>
      <c r="P246" s="29"/>
      <c r="Q246" s="29"/>
      <c r="R246" s="38"/>
      <c r="BR246"/>
      <c r="BS246"/>
      <c r="BT246"/>
      <c r="BU246"/>
      <c r="BV246"/>
      <c r="BW246"/>
      <c r="BX246"/>
      <c r="BY246"/>
      <c r="BZ246"/>
      <c r="CA246"/>
    </row>
    <row r="247" spans="1:79" s="39" customFormat="1" x14ac:dyDescent="0.25">
      <c r="A247" s="5"/>
      <c r="B247" s="25"/>
      <c r="C247" s="25"/>
      <c r="D247" s="25"/>
      <c r="E247" s="25"/>
      <c r="F247" s="16"/>
      <c r="G247" s="31"/>
      <c r="H247" s="29"/>
      <c r="I247" s="29"/>
      <c r="J247" s="29"/>
      <c r="K247" s="29"/>
      <c r="L247" s="29"/>
      <c r="M247" s="29"/>
      <c r="N247" s="29"/>
      <c r="O247" s="29"/>
      <c r="P247" s="29"/>
      <c r="Q247" s="29"/>
      <c r="R247" s="38"/>
      <c r="BR247"/>
      <c r="BS247"/>
      <c r="BT247"/>
      <c r="BU247"/>
      <c r="BV247"/>
      <c r="BW247"/>
      <c r="BX247"/>
      <c r="BY247"/>
      <c r="BZ247"/>
      <c r="CA247"/>
    </row>
    <row r="248" spans="1:79" s="39" customFormat="1" x14ac:dyDescent="0.25">
      <c r="A248" s="5"/>
      <c r="B248" s="25"/>
      <c r="C248" s="25"/>
      <c r="D248" s="25"/>
      <c r="E248" s="25"/>
      <c r="F248" s="16"/>
      <c r="G248" s="31"/>
      <c r="H248" s="29"/>
      <c r="I248" s="29"/>
      <c r="J248" s="29"/>
      <c r="K248" s="29"/>
      <c r="L248" s="29"/>
      <c r="M248" s="29"/>
      <c r="N248" s="29"/>
      <c r="O248" s="29"/>
      <c r="P248" s="29"/>
      <c r="Q248" s="29"/>
      <c r="R248" s="38"/>
      <c r="BR248"/>
      <c r="BS248"/>
      <c r="BT248"/>
      <c r="BU248"/>
      <c r="BV248"/>
      <c r="BW248"/>
      <c r="BX248"/>
      <c r="BY248"/>
      <c r="BZ248"/>
      <c r="CA248"/>
    </row>
    <row r="249" spans="1:79" s="39" customFormat="1" x14ac:dyDescent="0.25">
      <c r="A249" s="5"/>
      <c r="B249" s="25"/>
      <c r="C249" s="25"/>
      <c r="D249" s="25"/>
      <c r="E249" s="25"/>
      <c r="F249" s="16"/>
      <c r="G249" s="31"/>
      <c r="H249" s="29"/>
      <c r="I249" s="29"/>
      <c r="J249" s="29"/>
      <c r="K249" s="29"/>
      <c r="L249" s="29"/>
      <c r="M249" s="29"/>
      <c r="N249" s="29"/>
      <c r="O249" s="29"/>
      <c r="P249" s="29"/>
      <c r="Q249" s="29"/>
      <c r="R249" s="38"/>
      <c r="BR249"/>
      <c r="BS249"/>
      <c r="BT249"/>
      <c r="BU249"/>
      <c r="BV249"/>
      <c r="BW249"/>
      <c r="BX249"/>
      <c r="BY249"/>
      <c r="BZ249"/>
      <c r="CA249"/>
    </row>
    <row r="250" spans="1:79" s="39" customFormat="1" x14ac:dyDescent="0.25">
      <c r="A250" s="5"/>
      <c r="B250" s="13"/>
      <c r="C250" s="13"/>
      <c r="D250" s="13"/>
      <c r="E250" s="13"/>
      <c r="F250" s="9"/>
      <c r="G250" s="29"/>
      <c r="H250" s="29"/>
      <c r="I250" s="29"/>
      <c r="J250" s="29"/>
      <c r="K250" s="29"/>
      <c r="L250" s="29"/>
      <c r="M250" s="29"/>
      <c r="N250" s="29"/>
      <c r="O250" s="29"/>
      <c r="P250" s="29"/>
      <c r="Q250" s="29"/>
      <c r="R250" s="38"/>
      <c r="BR250"/>
      <c r="BS250"/>
      <c r="BT250"/>
      <c r="BU250"/>
      <c r="BV250"/>
      <c r="BW250"/>
      <c r="BX250"/>
      <c r="BY250"/>
      <c r="BZ250"/>
      <c r="CA250"/>
    </row>
    <row r="251" spans="1:79" s="39" customFormat="1" x14ac:dyDescent="0.25">
      <c r="A251" s="5"/>
      <c r="B251" s="13"/>
      <c r="C251" s="13"/>
      <c r="D251" s="13"/>
      <c r="E251" s="13"/>
      <c r="F251" s="9"/>
      <c r="G251" s="29"/>
      <c r="H251" s="29"/>
      <c r="I251" s="29"/>
      <c r="J251" s="29"/>
      <c r="K251" s="29"/>
      <c r="L251" s="29"/>
      <c r="M251" s="29"/>
      <c r="N251" s="29"/>
      <c r="O251" s="29"/>
      <c r="P251" s="29"/>
      <c r="Q251" s="29"/>
      <c r="R251" s="38"/>
      <c r="BR251"/>
      <c r="BS251"/>
      <c r="BT251"/>
      <c r="BU251"/>
      <c r="BV251"/>
      <c r="BW251"/>
      <c r="BX251"/>
      <c r="BY251"/>
      <c r="BZ251"/>
      <c r="CA251"/>
    </row>
    <row r="252" spans="1:79" s="39" customFormat="1" x14ac:dyDescent="0.25">
      <c r="A252" s="5"/>
      <c r="B252" s="13"/>
      <c r="C252" s="13"/>
      <c r="D252" s="13"/>
      <c r="E252" s="13"/>
      <c r="F252" s="9"/>
      <c r="G252" s="29"/>
      <c r="H252" s="29"/>
      <c r="I252" s="29"/>
      <c r="J252" s="29"/>
      <c r="K252" s="29"/>
      <c r="L252" s="29"/>
      <c r="M252" s="29"/>
      <c r="N252" s="29"/>
      <c r="O252" s="29"/>
      <c r="P252" s="29"/>
      <c r="Q252" s="29"/>
      <c r="R252" s="38"/>
      <c r="BR252"/>
      <c r="BS252"/>
      <c r="BT252"/>
      <c r="BU252"/>
      <c r="BV252"/>
      <c r="BW252"/>
      <c r="BX252"/>
      <c r="BY252"/>
      <c r="BZ252"/>
      <c r="CA252"/>
    </row>
    <row r="253" spans="1:79" s="39" customFormat="1" x14ac:dyDescent="0.25">
      <c r="A253" s="5"/>
      <c r="B253" s="13"/>
      <c r="C253" s="13"/>
      <c r="D253" s="13"/>
      <c r="E253" s="13"/>
      <c r="F253" s="9"/>
      <c r="G253" s="29"/>
      <c r="H253" s="29"/>
      <c r="I253" s="29"/>
      <c r="J253" s="29"/>
      <c r="K253" s="29"/>
      <c r="L253" s="29"/>
      <c r="M253" s="29"/>
      <c r="N253" s="29"/>
      <c r="O253" s="29"/>
      <c r="P253" s="29"/>
      <c r="Q253" s="29"/>
      <c r="R253" s="38"/>
      <c r="BR253"/>
      <c r="BS253"/>
      <c r="BT253"/>
      <c r="BU253"/>
      <c r="BV253"/>
      <c r="BW253"/>
      <c r="BX253"/>
      <c r="BY253"/>
      <c r="BZ253"/>
      <c r="CA253"/>
    </row>
    <row r="254" spans="1:79" s="39" customFormat="1" x14ac:dyDescent="0.25">
      <c r="A254" s="5"/>
      <c r="B254" s="13"/>
      <c r="C254" s="13"/>
      <c r="D254" s="13"/>
      <c r="E254" s="13"/>
      <c r="F254" s="9"/>
      <c r="G254" s="29"/>
      <c r="H254" s="29"/>
      <c r="I254" s="29"/>
      <c r="J254" s="29"/>
      <c r="K254" s="29"/>
      <c r="L254" s="29"/>
      <c r="M254" s="29"/>
      <c r="N254" s="29"/>
      <c r="O254" s="29"/>
      <c r="P254" s="29"/>
      <c r="Q254" s="29"/>
      <c r="R254" s="38"/>
      <c r="BR254"/>
      <c r="BS254"/>
      <c r="BT254"/>
      <c r="BU254"/>
      <c r="BV254"/>
      <c r="BW254"/>
      <c r="BX254"/>
      <c r="BY254"/>
      <c r="BZ254"/>
      <c r="CA254"/>
    </row>
    <row r="255" spans="1:79" s="39" customFormat="1" x14ac:dyDescent="0.25">
      <c r="A255" s="5"/>
      <c r="B255" s="13"/>
      <c r="C255" s="13"/>
      <c r="D255" s="13"/>
      <c r="E255" s="13"/>
      <c r="F255" s="9"/>
      <c r="G255" s="29"/>
      <c r="H255" s="29"/>
      <c r="I255" s="29"/>
      <c r="J255" s="29"/>
      <c r="K255" s="29"/>
      <c r="L255" s="29"/>
      <c r="M255" s="29"/>
      <c r="N255" s="29"/>
      <c r="O255" s="29"/>
      <c r="P255" s="29"/>
      <c r="Q255" s="29"/>
      <c r="R255" s="38"/>
      <c r="BR255"/>
      <c r="BS255"/>
      <c r="BT255"/>
      <c r="BU255"/>
      <c r="BV255"/>
      <c r="BW255"/>
      <c r="BX255"/>
      <c r="BY255"/>
      <c r="BZ255"/>
      <c r="CA255"/>
    </row>
    <row r="256" spans="1:79" s="39" customFormat="1" x14ac:dyDescent="0.25">
      <c r="A256" s="5"/>
      <c r="B256" s="13"/>
      <c r="C256" s="13"/>
      <c r="D256" s="13"/>
      <c r="E256" s="13"/>
      <c r="F256" s="9"/>
      <c r="G256" s="29"/>
      <c r="H256" s="29"/>
      <c r="I256" s="29"/>
      <c r="J256" s="29"/>
      <c r="K256" s="29"/>
      <c r="L256" s="29"/>
      <c r="M256" s="29"/>
      <c r="N256" s="29"/>
      <c r="O256" s="29"/>
      <c r="P256" s="29"/>
      <c r="Q256" s="29"/>
      <c r="R256" s="38"/>
      <c r="BR256"/>
      <c r="BS256"/>
      <c r="BT256"/>
      <c r="BU256"/>
      <c r="BV256"/>
      <c r="BW256"/>
      <c r="BX256"/>
      <c r="BY256"/>
      <c r="BZ256"/>
      <c r="CA256"/>
    </row>
    <row r="257" spans="1:79" s="39" customFormat="1" x14ac:dyDescent="0.25">
      <c r="A257" s="5"/>
      <c r="B257" s="13"/>
      <c r="C257" s="13"/>
      <c r="D257" s="13"/>
      <c r="E257" s="13"/>
      <c r="F257" s="9"/>
      <c r="G257" s="29"/>
      <c r="H257" s="29"/>
      <c r="I257" s="29"/>
      <c r="J257" s="29"/>
      <c r="K257" s="29"/>
      <c r="L257" s="29"/>
      <c r="M257" s="29"/>
      <c r="N257" s="29"/>
      <c r="O257" s="29"/>
      <c r="P257" s="29"/>
      <c r="Q257" s="29"/>
      <c r="R257" s="38"/>
      <c r="BR257"/>
      <c r="BS257"/>
      <c r="BT257"/>
      <c r="BU257"/>
      <c r="BV257"/>
      <c r="BW257"/>
      <c r="BX257"/>
      <c r="BY257"/>
      <c r="BZ257"/>
      <c r="CA257"/>
    </row>
    <row r="258" spans="1:79" s="39" customFormat="1" x14ac:dyDescent="0.25">
      <c r="A258" s="5"/>
      <c r="B258" s="13"/>
      <c r="C258" s="13"/>
      <c r="D258" s="13"/>
      <c r="E258" s="13"/>
      <c r="F258" s="9"/>
      <c r="G258" s="29"/>
      <c r="H258" s="29"/>
      <c r="I258" s="29"/>
      <c r="J258" s="29"/>
      <c r="K258" s="29"/>
      <c r="L258" s="29"/>
      <c r="M258" s="29"/>
      <c r="N258" s="29"/>
      <c r="O258" s="29"/>
      <c r="P258" s="29"/>
      <c r="Q258" s="29"/>
      <c r="R258" s="38"/>
      <c r="BR258"/>
      <c r="BS258"/>
      <c r="BT258"/>
      <c r="BU258"/>
      <c r="BV258"/>
      <c r="BW258"/>
      <c r="BX258"/>
      <c r="BY258"/>
      <c r="BZ258"/>
      <c r="CA258"/>
    </row>
    <row r="259" spans="1:79" s="39" customFormat="1" x14ac:dyDescent="0.25">
      <c r="A259" s="5"/>
      <c r="B259" s="13"/>
      <c r="C259" s="13"/>
      <c r="D259" s="13"/>
      <c r="E259" s="13"/>
      <c r="F259" s="9"/>
      <c r="G259" s="29"/>
      <c r="H259" s="29"/>
      <c r="I259" s="29"/>
      <c r="J259" s="29"/>
      <c r="K259" s="29"/>
      <c r="L259" s="29"/>
      <c r="M259" s="29"/>
      <c r="N259" s="29"/>
      <c r="O259" s="29"/>
      <c r="P259" s="29"/>
      <c r="Q259" s="29"/>
      <c r="R259" s="38"/>
      <c r="BR259"/>
      <c r="BS259"/>
      <c r="BT259"/>
      <c r="BU259"/>
      <c r="BV259"/>
      <c r="BW259"/>
      <c r="BX259"/>
      <c r="BY259"/>
      <c r="BZ259"/>
      <c r="CA259"/>
    </row>
    <row r="260" spans="1:79" s="39" customFormat="1" x14ac:dyDescent="0.25">
      <c r="A260" s="5"/>
      <c r="B260" s="13"/>
      <c r="C260" s="13"/>
      <c r="D260" s="13"/>
      <c r="E260" s="13"/>
      <c r="F260" s="9"/>
      <c r="G260" s="29"/>
      <c r="H260" s="29"/>
      <c r="I260" s="29"/>
      <c r="J260" s="29"/>
      <c r="K260" s="29"/>
      <c r="L260" s="29"/>
      <c r="M260" s="29"/>
      <c r="N260" s="29"/>
      <c r="O260" s="29"/>
      <c r="P260" s="29"/>
      <c r="Q260" s="29"/>
      <c r="R260" s="38"/>
      <c r="BR260"/>
      <c r="BS260"/>
      <c r="BT260"/>
      <c r="BU260"/>
      <c r="BV260"/>
      <c r="BW260"/>
      <c r="BX260"/>
      <c r="BY260"/>
      <c r="BZ260"/>
      <c r="CA260"/>
    </row>
    <row r="261" spans="1:79" s="39" customFormat="1" x14ac:dyDescent="0.25">
      <c r="A261" s="5"/>
      <c r="B261" s="13"/>
      <c r="C261" s="13"/>
      <c r="D261" s="13"/>
      <c r="E261" s="13"/>
      <c r="F261" s="9"/>
      <c r="G261" s="29"/>
      <c r="H261" s="29"/>
      <c r="I261" s="29"/>
      <c r="J261" s="29"/>
      <c r="K261" s="29"/>
      <c r="L261" s="29"/>
      <c r="M261" s="29"/>
      <c r="N261" s="29"/>
      <c r="O261" s="29"/>
      <c r="P261" s="29"/>
      <c r="Q261" s="29"/>
      <c r="R261" s="38"/>
      <c r="BR261"/>
      <c r="BS261"/>
      <c r="BT261"/>
      <c r="BU261"/>
      <c r="BV261"/>
      <c r="BW261"/>
      <c r="BX261"/>
      <c r="BY261"/>
      <c r="BZ261"/>
      <c r="CA261"/>
    </row>
    <row r="262" spans="1:79" s="39" customFormat="1" x14ac:dyDescent="0.25">
      <c r="A262" s="5"/>
      <c r="B262" s="13"/>
      <c r="C262" s="13"/>
      <c r="D262" s="13"/>
      <c r="E262" s="13"/>
      <c r="F262" s="9"/>
      <c r="G262" s="29"/>
      <c r="H262" s="29"/>
      <c r="I262" s="29"/>
      <c r="J262" s="29"/>
      <c r="K262" s="29"/>
      <c r="L262" s="29"/>
      <c r="M262" s="29"/>
      <c r="N262" s="29"/>
      <c r="O262" s="29"/>
      <c r="P262" s="29"/>
      <c r="Q262" s="29"/>
      <c r="R262" s="38"/>
      <c r="BR262"/>
      <c r="BS262"/>
      <c r="BT262"/>
      <c r="BU262"/>
      <c r="BV262"/>
      <c r="BW262"/>
      <c r="BX262"/>
      <c r="BY262"/>
      <c r="BZ262"/>
      <c r="CA262"/>
    </row>
    <row r="263" spans="1:79" s="39" customFormat="1" x14ac:dyDescent="0.25">
      <c r="A263" s="5"/>
      <c r="B263" s="13"/>
      <c r="C263" s="13"/>
      <c r="D263" s="13"/>
      <c r="E263" s="13"/>
      <c r="F263" s="9"/>
      <c r="G263" s="29"/>
      <c r="H263" s="29"/>
      <c r="I263" s="29"/>
      <c r="J263" s="29"/>
      <c r="K263" s="29"/>
      <c r="L263" s="29"/>
      <c r="M263" s="29"/>
      <c r="N263" s="29"/>
      <c r="O263" s="29"/>
      <c r="P263" s="29"/>
      <c r="Q263" s="29"/>
      <c r="R263" s="38"/>
      <c r="BR263"/>
      <c r="BS263"/>
      <c r="BT263"/>
      <c r="BU263"/>
      <c r="BV263"/>
      <c r="BW263"/>
      <c r="BX263"/>
      <c r="BY263"/>
      <c r="BZ263"/>
      <c r="CA263"/>
    </row>
    <row r="264" spans="1:79" s="39" customFormat="1" x14ac:dyDescent="0.25">
      <c r="A264" s="5"/>
      <c r="B264" s="13"/>
      <c r="C264" s="13"/>
      <c r="D264" s="13"/>
      <c r="E264" s="13"/>
      <c r="F264" s="9"/>
      <c r="G264" s="29"/>
      <c r="H264" s="29"/>
      <c r="I264" s="29"/>
      <c r="J264" s="29"/>
      <c r="K264" s="29"/>
      <c r="L264" s="29"/>
      <c r="M264" s="29"/>
      <c r="N264" s="29"/>
      <c r="O264" s="29"/>
      <c r="P264" s="29"/>
      <c r="Q264" s="29"/>
      <c r="R264" s="38"/>
      <c r="BR264"/>
      <c r="BS264"/>
      <c r="BT264"/>
      <c r="BU264"/>
      <c r="BV264"/>
      <c r="BW264"/>
      <c r="BX264"/>
      <c r="BY264"/>
      <c r="BZ264"/>
      <c r="CA264"/>
    </row>
    <row r="265" spans="1:79" s="39" customFormat="1" x14ac:dyDescent="0.25">
      <c r="A265" s="5"/>
      <c r="B265" s="13"/>
      <c r="C265" s="13"/>
      <c r="D265" s="13"/>
      <c r="E265" s="13"/>
      <c r="F265" s="9"/>
      <c r="G265" s="29"/>
      <c r="H265" s="29"/>
      <c r="I265" s="29"/>
      <c r="J265" s="29"/>
      <c r="K265" s="29"/>
      <c r="L265" s="29"/>
      <c r="M265" s="29"/>
      <c r="N265" s="29"/>
      <c r="O265" s="29"/>
      <c r="P265" s="29"/>
      <c r="Q265" s="29"/>
      <c r="R265" s="38"/>
      <c r="BR265"/>
      <c r="BS265"/>
      <c r="BT265"/>
      <c r="BU265"/>
      <c r="BV265"/>
      <c r="BW265"/>
      <c r="BX265"/>
      <c r="BY265"/>
      <c r="BZ265"/>
      <c r="CA265"/>
    </row>
    <row r="266" spans="1:79" s="39" customFormat="1" x14ac:dyDescent="0.25">
      <c r="A266" s="5"/>
      <c r="B266" s="13"/>
      <c r="C266" s="13"/>
      <c r="D266" s="13"/>
      <c r="E266" s="13"/>
      <c r="F266" s="9"/>
      <c r="G266" s="29"/>
      <c r="H266" s="29"/>
      <c r="I266" s="29"/>
      <c r="J266" s="29"/>
      <c r="K266" s="29"/>
      <c r="L266" s="29"/>
      <c r="M266" s="29"/>
      <c r="N266" s="29"/>
      <c r="O266" s="29"/>
      <c r="P266" s="29"/>
      <c r="Q266" s="29"/>
      <c r="R266" s="38"/>
      <c r="BR266"/>
      <c r="BS266"/>
      <c r="BT266"/>
      <c r="BU266"/>
      <c r="BV266"/>
      <c r="BW266"/>
      <c r="BX266"/>
      <c r="BY266"/>
      <c r="BZ266"/>
      <c r="CA266"/>
    </row>
    <row r="267" spans="1:79" s="39" customFormat="1" x14ac:dyDescent="0.25">
      <c r="A267" s="5"/>
      <c r="B267" s="13"/>
      <c r="C267" s="13"/>
      <c r="D267" s="13"/>
      <c r="E267" s="13"/>
      <c r="F267" s="9"/>
      <c r="G267" s="29"/>
      <c r="H267" s="29"/>
      <c r="I267" s="29"/>
      <c r="J267" s="29"/>
      <c r="K267" s="29"/>
      <c r="L267" s="29"/>
      <c r="M267" s="29"/>
      <c r="N267" s="29"/>
      <c r="O267" s="29"/>
      <c r="P267" s="29"/>
      <c r="Q267" s="29"/>
      <c r="R267" s="38"/>
      <c r="BR267"/>
      <c r="BS267"/>
      <c r="BT267"/>
      <c r="BU267"/>
      <c r="BV267"/>
      <c r="BW267"/>
      <c r="BX267"/>
      <c r="BY267"/>
      <c r="BZ267"/>
      <c r="CA267"/>
    </row>
    <row r="268" spans="1:79" s="39" customFormat="1" x14ac:dyDescent="0.25">
      <c r="A268" s="5"/>
      <c r="B268" s="13"/>
      <c r="C268" s="13"/>
      <c r="D268" s="13"/>
      <c r="E268" s="13"/>
      <c r="F268" s="9"/>
      <c r="G268" s="29"/>
      <c r="H268" s="29"/>
      <c r="I268" s="29"/>
      <c r="J268" s="29"/>
      <c r="K268" s="29"/>
      <c r="L268" s="29"/>
      <c r="M268" s="29"/>
      <c r="N268" s="29"/>
      <c r="O268" s="29"/>
      <c r="P268" s="29"/>
      <c r="Q268" s="29"/>
      <c r="R268" s="38"/>
      <c r="BR268"/>
      <c r="BS268"/>
      <c r="BT268"/>
      <c r="BU268"/>
      <c r="BV268"/>
      <c r="BW268"/>
      <c r="BX268"/>
      <c r="BY268"/>
      <c r="BZ268"/>
      <c r="CA268"/>
    </row>
    <row r="269" spans="1:79" s="39" customFormat="1" x14ac:dyDescent="0.25">
      <c r="A269" s="5"/>
      <c r="B269" s="13"/>
      <c r="C269" s="13"/>
      <c r="D269" s="13"/>
      <c r="E269" s="13"/>
      <c r="F269" s="9"/>
      <c r="G269" s="29"/>
      <c r="H269" s="29"/>
      <c r="I269" s="29"/>
      <c r="J269" s="29"/>
      <c r="K269" s="29"/>
      <c r="L269" s="29"/>
      <c r="M269" s="29"/>
      <c r="N269" s="29"/>
      <c r="O269" s="29"/>
      <c r="P269" s="29"/>
      <c r="Q269" s="29"/>
      <c r="R269" s="38"/>
      <c r="BR269"/>
      <c r="BS269"/>
      <c r="BT269"/>
      <c r="BU269"/>
      <c r="BV269"/>
      <c r="BW269"/>
      <c r="BX269"/>
      <c r="BY269"/>
      <c r="BZ269"/>
      <c r="CA269"/>
    </row>
    <row r="270" spans="1:79" s="39" customFormat="1" x14ac:dyDescent="0.25">
      <c r="A270" s="5"/>
      <c r="B270" s="13"/>
      <c r="C270" s="13"/>
      <c r="D270" s="13"/>
      <c r="E270" s="13"/>
      <c r="F270" s="9"/>
      <c r="G270" s="29"/>
      <c r="H270" s="29"/>
      <c r="I270" s="29"/>
      <c r="J270" s="29"/>
      <c r="K270" s="29"/>
      <c r="L270" s="29"/>
      <c r="M270" s="29"/>
      <c r="N270" s="29"/>
      <c r="O270" s="29"/>
      <c r="P270" s="29"/>
      <c r="Q270" s="29"/>
      <c r="R270" s="38"/>
      <c r="BR270"/>
      <c r="BS270"/>
      <c r="BT270"/>
      <c r="BU270"/>
      <c r="BV270"/>
      <c r="BW270"/>
      <c r="BX270"/>
      <c r="BY270"/>
      <c r="BZ270"/>
      <c r="CA270"/>
    </row>
    <row r="271" spans="1:79" s="39" customFormat="1" x14ac:dyDescent="0.25">
      <c r="A271" s="5"/>
      <c r="B271" s="13"/>
      <c r="C271" s="13"/>
      <c r="D271" s="13"/>
      <c r="E271" s="13"/>
      <c r="F271" s="9"/>
      <c r="G271" s="29"/>
      <c r="H271" s="29"/>
      <c r="I271" s="29"/>
      <c r="J271" s="29"/>
      <c r="K271" s="29"/>
      <c r="L271" s="29"/>
      <c r="M271" s="29"/>
      <c r="N271" s="29"/>
      <c r="O271" s="29"/>
      <c r="P271" s="29"/>
      <c r="Q271" s="29"/>
      <c r="R271" s="38"/>
      <c r="BR271"/>
      <c r="BS271"/>
      <c r="BT271"/>
      <c r="BU271"/>
      <c r="BV271"/>
      <c r="BW271"/>
      <c r="BX271"/>
      <c r="BY271"/>
      <c r="BZ271"/>
      <c r="CA271"/>
    </row>
    <row r="272" spans="1:79" s="39" customFormat="1" x14ac:dyDescent="0.25">
      <c r="A272" s="5"/>
      <c r="B272" s="13"/>
      <c r="C272" s="13"/>
      <c r="D272" s="13"/>
      <c r="E272" s="13"/>
      <c r="F272" s="9"/>
      <c r="G272" s="29"/>
      <c r="H272" s="29"/>
      <c r="I272" s="29"/>
      <c r="J272" s="29"/>
      <c r="K272" s="29"/>
      <c r="L272" s="29"/>
      <c r="M272" s="29"/>
      <c r="N272" s="29"/>
      <c r="O272" s="29"/>
      <c r="P272" s="29"/>
      <c r="Q272" s="29"/>
      <c r="R272" s="38"/>
      <c r="BR272"/>
      <c r="BS272"/>
      <c r="BT272"/>
      <c r="BU272"/>
      <c r="BV272"/>
      <c r="BW272"/>
      <c r="BX272"/>
      <c r="BY272"/>
      <c r="BZ272"/>
      <c r="CA272"/>
    </row>
    <row r="273" spans="1:79" s="39" customFormat="1" x14ac:dyDescent="0.25">
      <c r="A273" s="5"/>
      <c r="B273" s="13"/>
      <c r="C273" s="13"/>
      <c r="D273" s="13"/>
      <c r="E273" s="13"/>
      <c r="F273" s="9"/>
      <c r="G273" s="29"/>
      <c r="H273" s="29"/>
      <c r="I273" s="29"/>
      <c r="J273" s="29"/>
      <c r="K273" s="29"/>
      <c r="L273" s="29"/>
      <c r="M273" s="29"/>
      <c r="N273" s="29"/>
      <c r="O273" s="29"/>
      <c r="P273" s="29"/>
      <c r="Q273" s="29"/>
      <c r="R273" s="38"/>
      <c r="BR273"/>
      <c r="BS273"/>
      <c r="BT273"/>
      <c r="BU273"/>
      <c r="BV273"/>
      <c r="BW273"/>
      <c r="BX273"/>
      <c r="BY273"/>
      <c r="BZ273"/>
      <c r="CA273"/>
    </row>
    <row r="274" spans="1:79" s="39" customFormat="1" x14ac:dyDescent="0.25">
      <c r="A274" s="5"/>
      <c r="B274" s="13"/>
      <c r="C274" s="13"/>
      <c r="D274" s="13"/>
      <c r="E274" s="13"/>
      <c r="F274" s="9"/>
      <c r="G274" s="29"/>
      <c r="H274" s="29"/>
      <c r="I274" s="29"/>
      <c r="J274" s="29"/>
      <c r="K274" s="29"/>
      <c r="L274" s="29"/>
      <c r="M274" s="29"/>
      <c r="N274" s="29"/>
      <c r="O274" s="29"/>
      <c r="P274" s="29"/>
      <c r="Q274" s="29"/>
      <c r="R274" s="38"/>
      <c r="BR274"/>
      <c r="BS274"/>
      <c r="BT274"/>
      <c r="BU274"/>
      <c r="BV274"/>
      <c r="BW274"/>
      <c r="BX274"/>
      <c r="BY274"/>
      <c r="BZ274"/>
      <c r="CA274"/>
    </row>
    <row r="275" spans="1:79" s="39" customFormat="1" x14ac:dyDescent="0.25">
      <c r="A275" s="5"/>
      <c r="B275" s="13"/>
      <c r="C275" s="13"/>
      <c r="D275" s="13"/>
      <c r="E275" s="13"/>
      <c r="F275" s="9"/>
      <c r="G275" s="29"/>
      <c r="H275" s="29"/>
      <c r="I275" s="29"/>
      <c r="J275" s="29"/>
      <c r="K275" s="29"/>
      <c r="L275" s="29"/>
      <c r="M275" s="29"/>
      <c r="N275" s="29"/>
      <c r="O275" s="29"/>
      <c r="P275" s="29"/>
      <c r="Q275" s="29"/>
      <c r="R275" s="38"/>
      <c r="BR275"/>
      <c r="BS275"/>
      <c r="BT275"/>
      <c r="BU275"/>
      <c r="BV275"/>
      <c r="BW275"/>
      <c r="BX275"/>
      <c r="BY275"/>
      <c r="BZ275"/>
      <c r="CA275"/>
    </row>
    <row r="276" spans="1:79" s="39" customFormat="1" x14ac:dyDescent="0.25">
      <c r="A276" s="5"/>
      <c r="B276" s="13"/>
      <c r="C276" s="13"/>
      <c r="D276" s="13"/>
      <c r="E276" s="13"/>
      <c r="F276" s="9"/>
      <c r="G276" s="29"/>
      <c r="H276" s="29"/>
      <c r="I276" s="29"/>
      <c r="J276" s="29"/>
      <c r="K276" s="29"/>
      <c r="L276" s="29"/>
      <c r="M276" s="29"/>
      <c r="N276" s="29"/>
      <c r="O276" s="29"/>
      <c r="P276" s="29"/>
      <c r="Q276" s="29"/>
      <c r="R276" s="38"/>
      <c r="BR276"/>
      <c r="BS276"/>
      <c r="BT276"/>
      <c r="BU276"/>
      <c r="BV276"/>
      <c r="BW276"/>
      <c r="BX276"/>
      <c r="BY276"/>
      <c r="BZ276"/>
      <c r="CA276"/>
    </row>
    <row r="277" spans="1:79" s="39" customFormat="1" x14ac:dyDescent="0.25">
      <c r="A277" s="5"/>
      <c r="B277" s="13"/>
      <c r="C277" s="13"/>
      <c r="D277" s="13"/>
      <c r="E277" s="13"/>
      <c r="F277" s="9"/>
      <c r="G277" s="29"/>
      <c r="H277" s="29"/>
      <c r="I277" s="29"/>
      <c r="J277" s="29"/>
      <c r="K277" s="29"/>
      <c r="L277" s="29"/>
      <c r="M277" s="29"/>
      <c r="N277" s="29"/>
      <c r="O277" s="29"/>
      <c r="P277" s="29"/>
      <c r="Q277" s="29"/>
      <c r="R277" s="38"/>
      <c r="BR277"/>
      <c r="BS277"/>
      <c r="BT277"/>
      <c r="BU277"/>
      <c r="BV277"/>
      <c r="BW277"/>
      <c r="BX277"/>
      <c r="BY277"/>
      <c r="BZ277"/>
      <c r="CA277"/>
    </row>
    <row r="278" spans="1:79" s="39" customFormat="1" x14ac:dyDescent="0.25">
      <c r="A278" s="5"/>
      <c r="B278" s="13"/>
      <c r="C278" s="13"/>
      <c r="D278" s="13"/>
      <c r="E278" s="13"/>
      <c r="F278" s="9"/>
      <c r="G278" s="29"/>
      <c r="H278" s="29"/>
      <c r="I278" s="29"/>
      <c r="J278" s="29"/>
      <c r="K278" s="29"/>
      <c r="L278" s="29"/>
      <c r="M278" s="29"/>
      <c r="N278" s="29"/>
      <c r="O278" s="29"/>
      <c r="P278" s="29"/>
      <c r="Q278" s="29"/>
      <c r="R278" s="38"/>
      <c r="BR278"/>
      <c r="BS278"/>
      <c r="BT278"/>
      <c r="BU278"/>
      <c r="BV278"/>
      <c r="BW278"/>
      <c r="BX278"/>
      <c r="BY278"/>
      <c r="BZ278"/>
      <c r="CA278"/>
    </row>
    <row r="279" spans="1:79" s="39" customFormat="1" x14ac:dyDescent="0.25">
      <c r="A279" s="5"/>
      <c r="B279" s="13"/>
      <c r="C279" s="13"/>
      <c r="D279" s="13"/>
      <c r="E279" s="13"/>
      <c r="F279" s="9"/>
      <c r="G279" s="29"/>
      <c r="H279" s="29"/>
      <c r="I279" s="29"/>
      <c r="J279" s="29"/>
      <c r="K279" s="29"/>
      <c r="L279" s="29"/>
      <c r="M279" s="29"/>
      <c r="N279" s="29"/>
      <c r="O279" s="29"/>
      <c r="P279" s="29"/>
      <c r="Q279" s="29"/>
      <c r="R279" s="38"/>
      <c r="BR279"/>
      <c r="BS279"/>
      <c r="BT279"/>
      <c r="BU279"/>
      <c r="BV279"/>
      <c r="BW279"/>
      <c r="BX279"/>
      <c r="BY279"/>
      <c r="BZ279"/>
      <c r="CA279"/>
    </row>
    <row r="280" spans="1:79" s="39" customFormat="1" x14ac:dyDescent="0.25">
      <c r="A280" s="5"/>
      <c r="B280" s="13"/>
      <c r="C280" s="13"/>
      <c r="D280" s="13"/>
      <c r="E280" s="13"/>
      <c r="F280" s="9"/>
      <c r="G280" s="29"/>
      <c r="H280" s="29"/>
      <c r="I280" s="29"/>
      <c r="J280" s="29"/>
      <c r="K280" s="29"/>
      <c r="L280" s="29"/>
      <c r="M280" s="29"/>
      <c r="N280" s="29"/>
      <c r="O280" s="29"/>
      <c r="P280" s="29"/>
      <c r="Q280" s="29"/>
      <c r="R280" s="38"/>
      <c r="BR280"/>
      <c r="BS280"/>
      <c r="BT280"/>
      <c r="BU280"/>
      <c r="BV280"/>
      <c r="BW280"/>
      <c r="BX280"/>
      <c r="BY280"/>
      <c r="BZ280"/>
      <c r="CA280"/>
    </row>
    <row r="281" spans="1:79" s="39" customFormat="1" x14ac:dyDescent="0.25">
      <c r="A281" s="5"/>
      <c r="B281" s="13"/>
      <c r="C281" s="13"/>
      <c r="D281" s="13"/>
      <c r="E281" s="13"/>
      <c r="F281" s="9"/>
      <c r="G281" s="29"/>
      <c r="H281" s="29"/>
      <c r="I281" s="29"/>
      <c r="J281" s="29"/>
      <c r="K281" s="29"/>
      <c r="L281" s="29"/>
      <c r="M281" s="29"/>
      <c r="N281" s="29"/>
      <c r="O281" s="29"/>
      <c r="P281" s="29"/>
      <c r="Q281" s="29"/>
      <c r="R281" s="38"/>
      <c r="BR281"/>
      <c r="BS281"/>
      <c r="BT281"/>
      <c r="BU281"/>
      <c r="BV281"/>
      <c r="BW281"/>
      <c r="BX281"/>
      <c r="BY281"/>
      <c r="BZ281"/>
      <c r="CA281"/>
    </row>
    <row r="282" spans="1:79" s="39" customFormat="1" x14ac:dyDescent="0.25">
      <c r="A282" s="5"/>
      <c r="B282" s="13"/>
      <c r="C282" s="13"/>
      <c r="D282" s="13"/>
      <c r="E282" s="13"/>
      <c r="F282" s="9"/>
      <c r="G282" s="29"/>
      <c r="H282" s="29"/>
      <c r="I282" s="29"/>
      <c r="J282" s="29"/>
      <c r="K282" s="29"/>
      <c r="L282" s="29"/>
      <c r="M282" s="29"/>
      <c r="N282" s="29"/>
      <c r="O282" s="29"/>
      <c r="P282" s="29"/>
      <c r="Q282" s="29"/>
      <c r="R282" s="38"/>
      <c r="BR282"/>
      <c r="BS282"/>
      <c r="BT282"/>
      <c r="BU282"/>
      <c r="BV282"/>
      <c r="BW282"/>
      <c r="BX282"/>
      <c r="BY282"/>
      <c r="BZ282"/>
      <c r="CA282"/>
    </row>
    <row r="283" spans="1:79" s="39" customFormat="1" x14ac:dyDescent="0.25">
      <c r="A283" s="5"/>
      <c r="B283" s="13"/>
      <c r="C283" s="13"/>
      <c r="D283" s="13"/>
      <c r="E283" s="13"/>
      <c r="F283" s="9"/>
      <c r="G283" s="32"/>
      <c r="H283" s="32"/>
      <c r="I283" s="32"/>
      <c r="J283" s="32"/>
      <c r="K283" s="29"/>
      <c r="L283" s="29"/>
      <c r="M283" s="29"/>
      <c r="N283" s="29"/>
      <c r="O283" s="29"/>
      <c r="P283" s="29"/>
      <c r="Q283" s="29"/>
      <c r="R283" s="38"/>
      <c r="BR283"/>
      <c r="BS283"/>
      <c r="BT283"/>
      <c r="BU283"/>
      <c r="BV283"/>
      <c r="BW283"/>
      <c r="BX283"/>
      <c r="BY283"/>
      <c r="BZ283"/>
      <c r="CA283"/>
    </row>
    <row r="284" spans="1:79" s="39" customFormat="1" x14ac:dyDescent="0.25">
      <c r="A284" s="5"/>
      <c r="B284" s="13"/>
      <c r="C284" s="13"/>
      <c r="D284" s="13"/>
      <c r="E284" s="13"/>
      <c r="F284" s="9"/>
      <c r="G284" s="32"/>
      <c r="H284" s="32"/>
      <c r="I284" s="32"/>
      <c r="J284" s="32"/>
      <c r="K284" s="29"/>
      <c r="L284" s="29"/>
      <c r="M284" s="29"/>
      <c r="N284" s="29"/>
      <c r="O284" s="29"/>
      <c r="P284" s="29"/>
      <c r="Q284" s="29"/>
      <c r="R284" s="38"/>
      <c r="BR284"/>
      <c r="BS284"/>
      <c r="BT284"/>
      <c r="BU284"/>
      <c r="BV284"/>
      <c r="BW284"/>
      <c r="BX284"/>
      <c r="BY284"/>
      <c r="BZ284"/>
      <c r="CA284"/>
    </row>
    <row r="285" spans="1:79" s="39" customFormat="1" x14ac:dyDescent="0.25">
      <c r="A285" s="5"/>
      <c r="B285" s="13"/>
      <c r="C285" s="13"/>
      <c r="D285" s="13"/>
      <c r="E285" s="13"/>
      <c r="F285" s="9"/>
      <c r="G285" s="32"/>
      <c r="H285" s="32"/>
      <c r="I285" s="32"/>
      <c r="J285" s="32"/>
      <c r="K285" s="29"/>
      <c r="L285" s="29"/>
      <c r="M285" s="29"/>
      <c r="N285" s="29"/>
      <c r="O285" s="29"/>
      <c r="P285" s="29"/>
      <c r="Q285" s="29"/>
      <c r="R285" s="38"/>
      <c r="BR285"/>
      <c r="BS285"/>
      <c r="BT285"/>
      <c r="BU285"/>
      <c r="BV285"/>
      <c r="BW285"/>
      <c r="BX285"/>
      <c r="BY285"/>
      <c r="BZ285"/>
      <c r="CA285"/>
    </row>
    <row r="286" spans="1:79" s="39" customFormat="1" x14ac:dyDescent="0.25">
      <c r="A286" s="5"/>
      <c r="B286" s="13"/>
      <c r="C286" s="13"/>
      <c r="D286" s="13"/>
      <c r="E286" s="13"/>
      <c r="F286" s="9"/>
      <c r="G286" s="32"/>
      <c r="H286" s="32"/>
      <c r="I286" s="32"/>
      <c r="J286" s="32"/>
      <c r="K286" s="29"/>
      <c r="L286" s="29"/>
      <c r="M286" s="29"/>
      <c r="N286" s="29"/>
      <c r="O286" s="29"/>
      <c r="P286" s="29"/>
      <c r="Q286" s="29"/>
      <c r="R286" s="38"/>
      <c r="BR286"/>
      <c r="BS286"/>
      <c r="BT286"/>
      <c r="BU286"/>
      <c r="BV286"/>
      <c r="BW286"/>
      <c r="BX286"/>
      <c r="BY286"/>
      <c r="BZ286"/>
      <c r="CA286"/>
    </row>
    <row r="287" spans="1:79" s="39" customFormat="1" x14ac:dyDescent="0.25">
      <c r="A287" s="5"/>
      <c r="B287" s="13"/>
      <c r="C287" s="13"/>
      <c r="D287" s="13"/>
      <c r="E287" s="13"/>
      <c r="F287" s="9"/>
      <c r="G287" s="32"/>
      <c r="H287" s="32"/>
      <c r="I287" s="32"/>
      <c r="J287" s="32"/>
      <c r="K287" s="29"/>
      <c r="L287" s="29"/>
      <c r="M287" s="29"/>
      <c r="N287" s="29"/>
      <c r="O287" s="29"/>
      <c r="P287" s="29"/>
      <c r="Q287" s="29"/>
      <c r="R287" s="38"/>
      <c r="BR287"/>
      <c r="BS287"/>
      <c r="BT287"/>
      <c r="BU287"/>
      <c r="BV287"/>
      <c r="BW287"/>
      <c r="BX287"/>
      <c r="BY287"/>
      <c r="BZ287"/>
      <c r="CA287"/>
    </row>
    <row r="288" spans="1:79" s="39" customFormat="1" x14ac:dyDescent="0.25">
      <c r="A288" s="5"/>
      <c r="B288" s="13"/>
      <c r="C288" s="13"/>
      <c r="D288" s="13"/>
      <c r="E288" s="13"/>
      <c r="F288" s="9"/>
      <c r="G288" s="32"/>
      <c r="H288" s="32"/>
      <c r="I288" s="32"/>
      <c r="J288" s="32"/>
      <c r="K288" s="29"/>
      <c r="L288" s="29"/>
      <c r="M288" s="29"/>
      <c r="N288" s="29"/>
      <c r="O288" s="29"/>
      <c r="P288" s="29"/>
      <c r="Q288" s="29"/>
      <c r="R288" s="38"/>
      <c r="BR288"/>
      <c r="BS288"/>
      <c r="BT288"/>
      <c r="BU288"/>
      <c r="BV288"/>
      <c r="BW288"/>
      <c r="BX288"/>
      <c r="BY288"/>
      <c r="BZ288"/>
      <c r="CA288"/>
    </row>
    <row r="289" spans="1:79" s="39" customFormat="1" x14ac:dyDescent="0.25">
      <c r="A289" s="5"/>
      <c r="B289" s="13"/>
      <c r="C289" s="13"/>
      <c r="D289" s="13"/>
      <c r="E289" s="13"/>
      <c r="F289" s="9"/>
      <c r="G289" s="32"/>
      <c r="H289" s="32"/>
      <c r="I289" s="32"/>
      <c r="J289" s="32"/>
      <c r="K289" s="29"/>
      <c r="L289" s="29"/>
      <c r="M289" s="29"/>
      <c r="N289" s="29"/>
      <c r="O289" s="29"/>
      <c r="P289" s="29"/>
      <c r="Q289" s="29"/>
      <c r="R289" s="38"/>
      <c r="BR289"/>
      <c r="BS289"/>
      <c r="BT289"/>
      <c r="BU289"/>
      <c r="BV289"/>
      <c r="BW289"/>
      <c r="BX289"/>
      <c r="BY289"/>
      <c r="BZ289"/>
      <c r="CA289"/>
    </row>
    <row r="290" spans="1:79" s="39" customFormat="1" x14ac:dyDescent="0.25">
      <c r="A290" s="5"/>
      <c r="B290" s="13"/>
      <c r="C290" s="13"/>
      <c r="D290" s="13"/>
      <c r="E290" s="13"/>
      <c r="F290" s="9"/>
      <c r="G290" s="32"/>
      <c r="H290" s="32"/>
      <c r="I290" s="32"/>
      <c r="J290" s="32"/>
      <c r="K290" s="29"/>
      <c r="L290" s="29"/>
      <c r="M290" s="29"/>
      <c r="N290" s="29"/>
      <c r="O290" s="29"/>
      <c r="P290" s="29"/>
      <c r="Q290" s="29"/>
      <c r="R290" s="38"/>
      <c r="BR290"/>
      <c r="BS290"/>
      <c r="BT290"/>
      <c r="BU290"/>
      <c r="BV290"/>
      <c r="BW290"/>
      <c r="BX290"/>
      <c r="BY290"/>
      <c r="BZ290"/>
      <c r="CA290"/>
    </row>
    <row r="291" spans="1:79" s="39" customFormat="1" x14ac:dyDescent="0.25">
      <c r="A291" s="5"/>
      <c r="B291" s="13"/>
      <c r="C291" s="13"/>
      <c r="D291" s="13"/>
      <c r="E291" s="13"/>
      <c r="F291" s="9"/>
      <c r="G291" s="32"/>
      <c r="H291" s="32"/>
      <c r="I291" s="32"/>
      <c r="J291" s="32"/>
      <c r="K291" s="29"/>
      <c r="L291" s="29"/>
      <c r="M291" s="29"/>
      <c r="N291" s="29"/>
      <c r="O291" s="29"/>
      <c r="P291" s="29"/>
      <c r="Q291" s="29"/>
      <c r="R291" s="38"/>
      <c r="BR291"/>
      <c r="BS291"/>
      <c r="BT291"/>
      <c r="BU291"/>
      <c r="BV291"/>
      <c r="BW291"/>
      <c r="BX291"/>
      <c r="BY291"/>
      <c r="BZ291"/>
      <c r="CA291"/>
    </row>
    <row r="292" spans="1:79" s="39" customFormat="1" x14ac:dyDescent="0.25">
      <c r="A292" s="5"/>
      <c r="B292" s="13"/>
      <c r="C292" s="13"/>
      <c r="D292" s="13"/>
      <c r="E292" s="13"/>
      <c r="F292" s="9"/>
      <c r="G292" s="32"/>
      <c r="H292" s="32"/>
      <c r="I292" s="32"/>
      <c r="J292" s="32"/>
      <c r="K292" s="29"/>
      <c r="L292" s="29"/>
      <c r="M292" s="29"/>
      <c r="N292" s="29"/>
      <c r="O292" s="29"/>
      <c r="P292" s="29"/>
      <c r="Q292" s="29"/>
      <c r="R292" s="38"/>
      <c r="BR292"/>
      <c r="BS292"/>
      <c r="BT292"/>
      <c r="BU292"/>
      <c r="BV292"/>
      <c r="BW292"/>
      <c r="BX292"/>
      <c r="BY292"/>
      <c r="BZ292"/>
      <c r="CA292"/>
    </row>
    <row r="293" spans="1:79" s="39" customFormat="1" x14ac:dyDescent="0.25">
      <c r="A293" s="5"/>
      <c r="B293" s="13"/>
      <c r="C293" s="13"/>
      <c r="D293" s="13"/>
      <c r="E293" s="13"/>
      <c r="F293" s="9"/>
      <c r="G293" s="32"/>
      <c r="H293" s="32"/>
      <c r="I293" s="32"/>
      <c r="J293" s="32"/>
      <c r="K293" s="29"/>
      <c r="L293" s="29"/>
      <c r="M293" s="29"/>
      <c r="N293" s="29"/>
      <c r="O293" s="29"/>
      <c r="P293" s="29"/>
      <c r="Q293" s="29"/>
      <c r="R293" s="38"/>
      <c r="BR293"/>
      <c r="BS293"/>
      <c r="BT293"/>
      <c r="BU293"/>
      <c r="BV293"/>
      <c r="BW293"/>
      <c r="BX293"/>
      <c r="BY293"/>
      <c r="BZ293"/>
      <c r="CA293"/>
    </row>
    <row r="294" spans="1:79" s="39" customFormat="1" x14ac:dyDescent="0.25">
      <c r="A294" s="5"/>
      <c r="B294" s="13"/>
      <c r="C294" s="13"/>
      <c r="D294" s="13"/>
      <c r="E294" s="13"/>
      <c r="F294" s="9"/>
      <c r="G294" s="32"/>
      <c r="H294" s="32"/>
      <c r="I294" s="32"/>
      <c r="J294" s="32"/>
      <c r="K294" s="29"/>
      <c r="L294" s="29"/>
      <c r="M294" s="29"/>
      <c r="N294" s="29"/>
      <c r="O294" s="29"/>
      <c r="P294" s="29"/>
      <c r="Q294" s="29"/>
      <c r="R294" s="38"/>
      <c r="BR294"/>
      <c r="BS294"/>
      <c r="BT294"/>
      <c r="BU294"/>
      <c r="BV294"/>
      <c r="BW294"/>
      <c r="BX294"/>
      <c r="BY294"/>
      <c r="BZ294"/>
      <c r="CA294"/>
    </row>
    <row r="295" spans="1:79" s="39" customFormat="1" x14ac:dyDescent="0.25">
      <c r="A295" s="5"/>
      <c r="B295" s="13"/>
      <c r="C295" s="13"/>
      <c r="D295" s="13"/>
      <c r="E295" s="13"/>
      <c r="F295" s="9"/>
      <c r="G295" s="32"/>
      <c r="H295" s="32"/>
      <c r="I295" s="32"/>
      <c r="J295" s="32"/>
      <c r="K295" s="29"/>
      <c r="L295" s="29"/>
      <c r="M295" s="29"/>
      <c r="N295" s="29"/>
      <c r="O295" s="29"/>
      <c r="P295" s="29"/>
      <c r="Q295" s="29"/>
      <c r="R295" s="38"/>
      <c r="BR295"/>
      <c r="BS295"/>
      <c r="BT295"/>
      <c r="BU295"/>
      <c r="BV295"/>
      <c r="BW295"/>
      <c r="BX295"/>
      <c r="BY295"/>
      <c r="BZ295"/>
      <c r="CA295"/>
    </row>
    <row r="296" spans="1:79" s="39" customFormat="1" x14ac:dyDescent="0.25">
      <c r="A296" s="5"/>
      <c r="B296" s="13"/>
      <c r="C296" s="13"/>
      <c r="D296" s="13"/>
      <c r="E296" s="13"/>
      <c r="F296" s="9"/>
      <c r="G296" s="32"/>
      <c r="H296" s="32"/>
      <c r="I296" s="32"/>
      <c r="J296" s="32"/>
      <c r="K296" s="29"/>
      <c r="L296" s="29"/>
      <c r="M296" s="29"/>
      <c r="N296" s="29"/>
      <c r="O296" s="29"/>
      <c r="P296" s="29"/>
      <c r="Q296" s="29"/>
      <c r="R296" s="38"/>
      <c r="BR296"/>
      <c r="BS296"/>
      <c r="BT296"/>
      <c r="BU296"/>
      <c r="BV296"/>
      <c r="BW296"/>
      <c r="BX296"/>
      <c r="BY296"/>
      <c r="BZ296"/>
      <c r="CA296"/>
    </row>
    <row r="297" spans="1:79" s="39" customFormat="1" x14ac:dyDescent="0.25">
      <c r="A297" s="5"/>
      <c r="B297" s="13"/>
      <c r="C297" s="13"/>
      <c r="D297" s="13"/>
      <c r="E297" s="13"/>
      <c r="F297" s="9"/>
      <c r="G297" s="32"/>
      <c r="H297" s="32"/>
      <c r="I297" s="32"/>
      <c r="J297" s="32"/>
      <c r="K297" s="29"/>
      <c r="L297" s="29"/>
      <c r="M297" s="29"/>
      <c r="N297" s="29"/>
      <c r="O297" s="29"/>
      <c r="P297" s="29"/>
      <c r="Q297" s="29"/>
      <c r="R297" s="38"/>
      <c r="BR297"/>
      <c r="BS297"/>
      <c r="BT297"/>
      <c r="BU297"/>
      <c r="BV297"/>
      <c r="BW297"/>
      <c r="BX297"/>
      <c r="BY297"/>
      <c r="BZ297"/>
      <c r="CA297"/>
    </row>
    <row r="298" spans="1:79" s="39" customFormat="1" x14ac:dyDescent="0.25">
      <c r="A298" s="5"/>
      <c r="B298" s="13"/>
      <c r="C298" s="13"/>
      <c r="D298" s="13"/>
      <c r="E298" s="13"/>
      <c r="F298" s="9"/>
      <c r="G298" s="32"/>
      <c r="H298" s="32"/>
      <c r="I298" s="32"/>
      <c r="J298" s="32"/>
      <c r="K298" s="29"/>
      <c r="L298" s="29"/>
      <c r="M298" s="29"/>
      <c r="N298" s="29"/>
      <c r="O298" s="29"/>
      <c r="P298" s="29"/>
      <c r="Q298" s="29"/>
      <c r="R298" s="38"/>
      <c r="BR298"/>
      <c r="BS298"/>
      <c r="BT298"/>
      <c r="BU298"/>
      <c r="BV298"/>
      <c r="BW298"/>
      <c r="BX298"/>
      <c r="BY298"/>
      <c r="BZ298"/>
      <c r="CA298"/>
    </row>
    <row r="299" spans="1:79" s="39" customFormat="1" x14ac:dyDescent="0.25">
      <c r="A299" s="5"/>
      <c r="B299" s="13"/>
      <c r="C299" s="13"/>
      <c r="D299" s="13"/>
      <c r="E299" s="13"/>
      <c r="F299" s="9"/>
      <c r="G299" s="32"/>
      <c r="H299" s="32"/>
      <c r="I299" s="32"/>
      <c r="J299" s="32"/>
      <c r="K299" s="29"/>
      <c r="L299" s="29"/>
      <c r="M299" s="29"/>
      <c r="N299" s="29"/>
      <c r="O299" s="29"/>
      <c r="P299" s="29"/>
      <c r="Q299" s="29"/>
      <c r="R299" s="38"/>
      <c r="BR299"/>
      <c r="BS299"/>
      <c r="BT299"/>
      <c r="BU299"/>
      <c r="BV299"/>
      <c r="BW299"/>
      <c r="BX299"/>
      <c r="BY299"/>
      <c r="BZ299"/>
      <c r="CA299"/>
    </row>
    <row r="300" spans="1:79" s="39" customFormat="1" x14ac:dyDescent="0.25">
      <c r="A300" s="5"/>
      <c r="B300" s="13"/>
      <c r="C300" s="13"/>
      <c r="D300" s="13"/>
      <c r="E300" s="13"/>
      <c r="F300" s="9"/>
      <c r="G300" s="32"/>
      <c r="H300" s="32"/>
      <c r="I300" s="32"/>
      <c r="J300" s="32"/>
      <c r="K300" s="29"/>
      <c r="L300" s="29"/>
      <c r="M300" s="29"/>
      <c r="N300" s="29"/>
      <c r="O300" s="29"/>
      <c r="P300" s="29"/>
      <c r="Q300" s="29"/>
      <c r="R300" s="38"/>
      <c r="BR300"/>
      <c r="BS300"/>
      <c r="BT300"/>
      <c r="BU300"/>
      <c r="BV300"/>
      <c r="BW300"/>
      <c r="BX300"/>
      <c r="BY300"/>
      <c r="BZ300"/>
      <c r="CA300"/>
    </row>
    <row r="301" spans="1:79" s="39" customFormat="1" x14ac:dyDescent="0.25">
      <c r="A301" s="5"/>
      <c r="B301" s="13"/>
      <c r="C301" s="13"/>
      <c r="D301" s="13"/>
      <c r="E301" s="13"/>
      <c r="F301" s="9"/>
      <c r="G301" s="32"/>
      <c r="H301" s="32"/>
      <c r="I301" s="32"/>
      <c r="J301" s="32"/>
      <c r="K301" s="29"/>
      <c r="L301" s="29"/>
      <c r="M301" s="29"/>
      <c r="N301" s="29"/>
      <c r="O301" s="29"/>
      <c r="P301" s="29"/>
      <c r="Q301" s="29"/>
      <c r="R301" s="38"/>
      <c r="BR301"/>
      <c r="BS301"/>
      <c r="BT301"/>
      <c r="BU301"/>
      <c r="BV301"/>
      <c r="BW301"/>
      <c r="BX301"/>
      <c r="BY301"/>
      <c r="BZ301"/>
      <c r="CA301"/>
    </row>
    <row r="302" spans="1:79" s="39" customFormat="1" x14ac:dyDescent="0.25">
      <c r="A302" s="5"/>
      <c r="B302" s="13"/>
      <c r="C302" s="13"/>
      <c r="D302" s="13"/>
      <c r="E302" s="13"/>
      <c r="F302" s="9"/>
      <c r="G302" s="32"/>
      <c r="H302" s="32"/>
      <c r="I302" s="32"/>
      <c r="J302" s="32"/>
      <c r="K302" s="29"/>
      <c r="L302" s="29"/>
      <c r="M302" s="29"/>
      <c r="N302" s="29"/>
      <c r="O302" s="29"/>
      <c r="P302" s="29"/>
      <c r="Q302" s="29"/>
      <c r="R302" s="38"/>
      <c r="BR302"/>
      <c r="BS302"/>
      <c r="BT302"/>
      <c r="BU302"/>
      <c r="BV302"/>
      <c r="BW302"/>
      <c r="BX302"/>
      <c r="BY302"/>
      <c r="BZ302"/>
      <c r="CA302"/>
    </row>
    <row r="303" spans="1:79" s="39" customFormat="1" x14ac:dyDescent="0.25">
      <c r="A303" s="5"/>
      <c r="B303" s="13"/>
      <c r="C303" s="13"/>
      <c r="D303" s="13"/>
      <c r="E303" s="13"/>
      <c r="F303" s="9"/>
      <c r="G303" s="32"/>
      <c r="H303" s="32"/>
      <c r="I303" s="32"/>
      <c r="J303" s="32"/>
      <c r="K303" s="29"/>
      <c r="L303" s="29"/>
      <c r="M303" s="29"/>
      <c r="N303" s="29"/>
      <c r="O303" s="29"/>
      <c r="P303" s="29"/>
      <c r="Q303" s="29"/>
      <c r="R303" s="38"/>
      <c r="BR303"/>
      <c r="BS303"/>
      <c r="BT303"/>
      <c r="BU303"/>
      <c r="BV303"/>
      <c r="BW303"/>
      <c r="BX303"/>
      <c r="BY303"/>
      <c r="BZ303"/>
      <c r="CA303"/>
    </row>
    <row r="304" spans="1:79" s="39" customFormat="1" x14ac:dyDescent="0.25">
      <c r="A304" s="5"/>
      <c r="B304" s="13"/>
      <c r="C304" s="13"/>
      <c r="D304" s="13"/>
      <c r="E304" s="13"/>
      <c r="F304" s="9"/>
      <c r="G304" s="32"/>
      <c r="H304" s="32"/>
      <c r="I304" s="32"/>
      <c r="J304" s="32"/>
      <c r="K304" s="29"/>
      <c r="L304" s="29"/>
      <c r="M304" s="29"/>
      <c r="N304" s="29"/>
      <c r="O304" s="29"/>
      <c r="P304" s="29"/>
      <c r="Q304" s="29"/>
      <c r="R304" s="38"/>
      <c r="BR304"/>
      <c r="BS304"/>
      <c r="BT304"/>
      <c r="BU304"/>
      <c r="BV304"/>
      <c r="BW304"/>
      <c r="BX304"/>
      <c r="BY304"/>
      <c r="BZ304"/>
      <c r="CA304"/>
    </row>
    <row r="305" spans="1:79" s="39" customFormat="1" x14ac:dyDescent="0.25">
      <c r="A305" s="5"/>
      <c r="B305" s="13"/>
      <c r="C305" s="13"/>
      <c r="D305" s="13"/>
      <c r="E305" s="13"/>
      <c r="F305" s="9"/>
      <c r="G305" s="32"/>
      <c r="H305" s="32"/>
      <c r="I305" s="32"/>
      <c r="J305" s="32"/>
      <c r="K305" s="29"/>
      <c r="L305" s="29"/>
      <c r="M305" s="29"/>
      <c r="N305" s="29"/>
      <c r="O305" s="29"/>
      <c r="P305" s="29"/>
      <c r="Q305" s="29"/>
      <c r="R305" s="38"/>
      <c r="BR305"/>
      <c r="BS305"/>
      <c r="BT305"/>
      <c r="BU305"/>
      <c r="BV305"/>
      <c r="BW305"/>
      <c r="BX305"/>
      <c r="BY305"/>
      <c r="BZ305"/>
      <c r="CA305"/>
    </row>
    <row r="306" spans="1:79" s="39" customFormat="1" x14ac:dyDescent="0.25">
      <c r="A306" s="5"/>
      <c r="B306" s="13"/>
      <c r="C306" s="13"/>
      <c r="D306" s="13"/>
      <c r="E306" s="13"/>
      <c r="F306" s="9"/>
      <c r="G306" s="32"/>
      <c r="H306" s="32"/>
      <c r="I306" s="32"/>
      <c r="J306" s="32"/>
      <c r="K306" s="29"/>
      <c r="L306" s="29"/>
      <c r="M306" s="29"/>
      <c r="N306" s="29"/>
      <c r="O306" s="29"/>
      <c r="P306" s="29"/>
      <c r="Q306" s="29"/>
      <c r="R306" s="38"/>
      <c r="BR306"/>
      <c r="BS306"/>
      <c r="BT306"/>
      <c r="BU306"/>
      <c r="BV306"/>
      <c r="BW306"/>
      <c r="BX306"/>
      <c r="BY306"/>
      <c r="BZ306"/>
      <c r="CA306"/>
    </row>
    <row r="307" spans="1:79" s="39" customFormat="1" x14ac:dyDescent="0.25">
      <c r="A307" s="5"/>
      <c r="B307" s="13"/>
      <c r="C307" s="13"/>
      <c r="D307" s="13"/>
      <c r="E307" s="13"/>
      <c r="F307" s="9"/>
      <c r="G307" s="32"/>
      <c r="H307" s="32"/>
      <c r="I307" s="32"/>
      <c r="J307" s="32"/>
      <c r="K307" s="29"/>
      <c r="L307" s="29"/>
      <c r="M307" s="29"/>
      <c r="N307" s="29"/>
      <c r="O307" s="29"/>
      <c r="P307" s="29"/>
      <c r="Q307" s="29"/>
      <c r="R307" s="38"/>
      <c r="BR307"/>
      <c r="BS307"/>
      <c r="BT307"/>
      <c r="BU307"/>
      <c r="BV307"/>
      <c r="BW307"/>
      <c r="BX307"/>
      <c r="BY307"/>
      <c r="BZ307"/>
      <c r="CA307"/>
    </row>
    <row r="308" spans="1:79" s="39" customFormat="1" x14ac:dyDescent="0.25">
      <c r="A308" s="5"/>
      <c r="B308" s="13"/>
      <c r="C308" s="13"/>
      <c r="D308" s="13"/>
      <c r="E308" s="13"/>
      <c r="F308" s="9"/>
      <c r="G308" s="32"/>
      <c r="H308" s="32"/>
      <c r="I308" s="32"/>
      <c r="J308" s="32"/>
      <c r="K308" s="29"/>
      <c r="L308" s="29"/>
      <c r="M308" s="29"/>
      <c r="N308" s="29"/>
      <c r="O308" s="29"/>
      <c r="P308" s="29"/>
      <c r="Q308" s="29"/>
      <c r="R308" s="38"/>
      <c r="BR308"/>
      <c r="BS308"/>
      <c r="BT308"/>
      <c r="BU308"/>
      <c r="BV308"/>
      <c r="BW308"/>
      <c r="BX308"/>
      <c r="BY308"/>
      <c r="BZ308"/>
      <c r="CA308"/>
    </row>
    <row r="309" spans="1:79" s="39" customFormat="1" x14ac:dyDescent="0.25">
      <c r="A309" s="5"/>
      <c r="B309" s="13"/>
      <c r="C309" s="13"/>
      <c r="D309" s="13"/>
      <c r="E309" s="13"/>
      <c r="F309" s="9"/>
      <c r="G309" s="32"/>
      <c r="H309" s="32"/>
      <c r="I309" s="32"/>
      <c r="J309" s="32"/>
      <c r="K309" s="29"/>
      <c r="L309" s="29"/>
      <c r="M309" s="29"/>
      <c r="N309" s="29"/>
      <c r="O309" s="29"/>
      <c r="P309" s="29"/>
      <c r="Q309" s="29"/>
      <c r="R309" s="38"/>
      <c r="BR309"/>
      <c r="BS309"/>
      <c r="BT309"/>
      <c r="BU309"/>
      <c r="BV309"/>
      <c r="BW309"/>
      <c r="BX309"/>
      <c r="BY309"/>
      <c r="BZ309"/>
      <c r="CA309"/>
    </row>
    <row r="310" spans="1:79" s="39" customFormat="1" x14ac:dyDescent="0.25">
      <c r="A310" s="5"/>
      <c r="B310" s="13"/>
      <c r="C310" s="13"/>
      <c r="D310" s="13"/>
      <c r="E310" s="13"/>
      <c r="F310" s="9"/>
      <c r="G310" s="32"/>
      <c r="H310" s="32"/>
      <c r="I310" s="32"/>
      <c r="J310" s="32"/>
      <c r="K310" s="29"/>
      <c r="L310" s="29"/>
      <c r="M310" s="29"/>
      <c r="N310" s="29"/>
      <c r="O310" s="29"/>
      <c r="P310" s="29"/>
      <c r="Q310" s="29"/>
      <c r="R310" s="38"/>
      <c r="BR310"/>
      <c r="BS310"/>
      <c r="BT310"/>
      <c r="BU310"/>
      <c r="BV310"/>
      <c r="BW310"/>
      <c r="BX310"/>
      <c r="BY310"/>
      <c r="BZ310"/>
      <c r="CA310"/>
    </row>
    <row r="311" spans="1:79" s="39" customFormat="1" x14ac:dyDescent="0.25">
      <c r="A311" s="5"/>
      <c r="B311" s="13"/>
      <c r="C311" s="13"/>
      <c r="D311" s="13"/>
      <c r="E311" s="13"/>
      <c r="F311" s="9"/>
      <c r="G311" s="32"/>
      <c r="H311" s="32"/>
      <c r="I311" s="32"/>
      <c r="J311" s="32"/>
      <c r="K311" s="29"/>
      <c r="L311" s="29"/>
      <c r="M311" s="29"/>
      <c r="N311" s="29"/>
      <c r="O311" s="29"/>
      <c r="P311" s="29"/>
      <c r="Q311" s="29"/>
      <c r="R311" s="38"/>
      <c r="BR311"/>
      <c r="BS311"/>
      <c r="BT311"/>
      <c r="BU311"/>
      <c r="BV311"/>
      <c r="BW311"/>
      <c r="BX311"/>
      <c r="BY311"/>
      <c r="BZ311"/>
      <c r="CA311"/>
    </row>
    <row r="312" spans="1:79" s="39" customFormat="1" x14ac:dyDescent="0.25">
      <c r="A312" s="5"/>
      <c r="B312" s="13"/>
      <c r="C312" s="13"/>
      <c r="D312" s="13"/>
      <c r="E312" s="13"/>
      <c r="F312" s="9"/>
      <c r="G312" s="32"/>
      <c r="H312" s="32"/>
      <c r="I312" s="32"/>
      <c r="J312" s="32"/>
      <c r="K312" s="29"/>
      <c r="L312" s="29"/>
      <c r="M312" s="29"/>
      <c r="N312" s="29"/>
      <c r="O312" s="29"/>
      <c r="P312" s="29"/>
      <c r="Q312" s="29"/>
      <c r="R312" s="38"/>
      <c r="BR312"/>
      <c r="BS312"/>
      <c r="BT312"/>
      <c r="BU312"/>
      <c r="BV312"/>
      <c r="BW312"/>
      <c r="BX312"/>
      <c r="BY312"/>
      <c r="BZ312"/>
      <c r="CA312"/>
    </row>
    <row r="313" spans="1:79" s="39" customFormat="1" x14ac:dyDescent="0.25">
      <c r="A313" s="5"/>
      <c r="B313" s="13"/>
      <c r="C313" s="13"/>
      <c r="D313" s="13"/>
      <c r="E313" s="13"/>
      <c r="F313" s="9"/>
      <c r="G313" s="32"/>
      <c r="H313" s="32"/>
      <c r="I313" s="32"/>
      <c r="J313" s="32"/>
      <c r="K313" s="29"/>
      <c r="L313" s="29"/>
      <c r="M313" s="29"/>
      <c r="N313" s="29"/>
      <c r="O313" s="29"/>
      <c r="P313" s="29"/>
      <c r="Q313" s="29"/>
      <c r="R313" s="38"/>
      <c r="BR313"/>
      <c r="BS313"/>
      <c r="BT313"/>
      <c r="BU313"/>
      <c r="BV313"/>
      <c r="BW313"/>
      <c r="BX313"/>
      <c r="BY313"/>
      <c r="BZ313"/>
      <c r="CA313"/>
    </row>
    <row r="314" spans="1:79" s="39" customFormat="1" x14ac:dyDescent="0.25">
      <c r="A314" s="5"/>
      <c r="B314" s="13"/>
      <c r="C314" s="13"/>
      <c r="D314" s="13"/>
      <c r="E314" s="13"/>
      <c r="F314" s="9"/>
      <c r="G314" s="32"/>
      <c r="H314" s="32"/>
      <c r="I314" s="32"/>
      <c r="J314" s="32"/>
      <c r="K314" s="29"/>
      <c r="L314" s="29"/>
      <c r="M314" s="29"/>
      <c r="N314" s="29"/>
      <c r="O314" s="29"/>
      <c r="P314" s="29"/>
      <c r="Q314" s="29"/>
      <c r="R314" s="38"/>
      <c r="BR314"/>
      <c r="BS314"/>
      <c r="BT314"/>
      <c r="BU314"/>
      <c r="BV314"/>
      <c r="BW314"/>
      <c r="BX314"/>
      <c r="BY314"/>
      <c r="BZ314"/>
      <c r="CA314"/>
    </row>
    <row r="315" spans="1:79" s="39" customFormat="1" x14ac:dyDescent="0.25">
      <c r="A315" s="5"/>
      <c r="B315" s="13"/>
      <c r="C315" s="13"/>
      <c r="D315" s="13"/>
      <c r="E315" s="13"/>
      <c r="F315" s="9"/>
      <c r="G315" s="32"/>
      <c r="H315" s="32"/>
      <c r="I315" s="32"/>
      <c r="J315" s="32"/>
      <c r="K315" s="29"/>
      <c r="L315" s="29"/>
      <c r="M315" s="29"/>
      <c r="N315" s="29"/>
      <c r="O315" s="29"/>
      <c r="P315" s="29"/>
      <c r="Q315" s="29"/>
      <c r="R315" s="38"/>
      <c r="BR315"/>
      <c r="BS315"/>
      <c r="BT315"/>
      <c r="BU315"/>
      <c r="BV315"/>
      <c r="BW315"/>
      <c r="BX315"/>
      <c r="BY315"/>
      <c r="BZ315"/>
      <c r="CA315"/>
    </row>
    <row r="316" spans="1:79" s="39" customFormat="1" x14ac:dyDescent="0.25">
      <c r="A316" s="5"/>
      <c r="B316" s="13"/>
      <c r="C316" s="13"/>
      <c r="D316" s="13"/>
      <c r="E316" s="13"/>
      <c r="F316" s="9"/>
      <c r="G316" s="32"/>
      <c r="H316" s="32"/>
      <c r="I316" s="32"/>
      <c r="J316" s="32"/>
      <c r="K316" s="29"/>
      <c r="L316" s="29"/>
      <c r="M316" s="29"/>
      <c r="N316" s="29"/>
      <c r="O316" s="29"/>
      <c r="P316" s="29"/>
      <c r="Q316" s="29"/>
      <c r="R316" s="38"/>
      <c r="BR316"/>
      <c r="BS316"/>
      <c r="BT316"/>
      <c r="BU316"/>
      <c r="BV316"/>
      <c r="BW316"/>
      <c r="BX316"/>
      <c r="BY316"/>
      <c r="BZ316"/>
      <c r="CA316"/>
    </row>
    <row r="317" spans="1:79" s="39" customFormat="1" x14ac:dyDescent="0.25">
      <c r="A317" s="5"/>
      <c r="B317" s="13"/>
      <c r="C317" s="13"/>
      <c r="D317" s="13"/>
      <c r="E317" s="13"/>
      <c r="F317" s="9"/>
      <c r="G317" s="32"/>
      <c r="H317" s="32"/>
      <c r="I317" s="32"/>
      <c r="J317" s="32"/>
      <c r="K317" s="29"/>
      <c r="L317" s="29"/>
      <c r="M317" s="29"/>
      <c r="N317" s="29"/>
      <c r="O317" s="29"/>
      <c r="P317" s="29"/>
      <c r="Q317" s="29"/>
      <c r="R317" s="38"/>
      <c r="BR317"/>
      <c r="BS317"/>
      <c r="BT317"/>
      <c r="BU317"/>
      <c r="BV317"/>
      <c r="BW317"/>
      <c r="BX317"/>
      <c r="BY317"/>
      <c r="BZ317"/>
      <c r="CA317"/>
    </row>
    <row r="318" spans="1:79" s="39" customFormat="1" x14ac:dyDescent="0.25">
      <c r="A318" s="5"/>
      <c r="B318" s="13"/>
      <c r="C318" s="13"/>
      <c r="D318" s="13"/>
      <c r="E318" s="13"/>
      <c r="F318" s="9"/>
      <c r="G318" s="32"/>
      <c r="H318" s="32"/>
      <c r="I318" s="32"/>
      <c r="J318" s="32"/>
      <c r="K318" s="29"/>
      <c r="L318" s="29"/>
      <c r="M318" s="29"/>
      <c r="N318" s="29"/>
      <c r="O318" s="29"/>
      <c r="P318" s="29"/>
      <c r="Q318" s="29"/>
      <c r="R318" s="38"/>
      <c r="BR318"/>
      <c r="BS318"/>
      <c r="BT318"/>
      <c r="BU318"/>
      <c r="BV318"/>
      <c r="BW318"/>
      <c r="BX318"/>
      <c r="BY318"/>
      <c r="BZ318"/>
      <c r="CA318"/>
    </row>
    <row r="319" spans="1:79" s="39" customFormat="1" x14ac:dyDescent="0.25">
      <c r="A319" s="5"/>
      <c r="B319" s="13"/>
      <c r="C319" s="13"/>
      <c r="D319" s="13"/>
      <c r="E319" s="13"/>
      <c r="F319" s="9"/>
      <c r="G319" s="32"/>
      <c r="H319" s="32"/>
      <c r="I319" s="32"/>
      <c r="J319" s="32"/>
      <c r="K319" s="29"/>
      <c r="L319" s="29"/>
      <c r="M319" s="29"/>
      <c r="N319" s="29"/>
      <c r="O319" s="29"/>
      <c r="P319" s="29"/>
      <c r="Q319" s="29"/>
      <c r="R319" s="38"/>
      <c r="BR319"/>
      <c r="BS319"/>
      <c r="BT319"/>
      <c r="BU319"/>
      <c r="BV319"/>
      <c r="BW319"/>
      <c r="BX319"/>
      <c r="BY319"/>
      <c r="BZ319"/>
      <c r="CA319"/>
    </row>
    <row r="320" spans="1:79" s="39" customFormat="1" x14ac:dyDescent="0.25">
      <c r="A320" s="5"/>
      <c r="B320" s="13"/>
      <c r="C320" s="13"/>
      <c r="D320" s="13"/>
      <c r="E320" s="13"/>
      <c r="F320" s="9"/>
      <c r="G320" s="32"/>
      <c r="H320" s="32"/>
      <c r="I320" s="32"/>
      <c r="J320" s="32"/>
      <c r="K320" s="29"/>
      <c r="L320" s="29"/>
      <c r="M320" s="29"/>
      <c r="N320" s="29"/>
      <c r="O320" s="29"/>
      <c r="P320" s="29"/>
      <c r="Q320" s="29"/>
      <c r="R320" s="38"/>
      <c r="BR320"/>
      <c r="BS320"/>
      <c r="BT320"/>
      <c r="BU320"/>
      <c r="BV320"/>
      <c r="BW320"/>
      <c r="BX320"/>
      <c r="BY320"/>
      <c r="BZ320"/>
      <c r="CA320"/>
    </row>
    <row r="321" spans="1:79" s="39" customFormat="1" x14ac:dyDescent="0.25">
      <c r="A321" s="5"/>
      <c r="B321" s="13"/>
      <c r="C321" s="13"/>
      <c r="D321" s="13"/>
      <c r="E321" s="13"/>
      <c r="F321" s="9"/>
      <c r="G321" s="32"/>
      <c r="H321" s="32"/>
      <c r="I321" s="32"/>
      <c r="J321" s="32"/>
      <c r="K321" s="29"/>
      <c r="L321" s="29"/>
      <c r="M321" s="29"/>
      <c r="N321" s="29"/>
      <c r="O321" s="29"/>
      <c r="P321" s="29"/>
      <c r="Q321" s="29"/>
      <c r="R321" s="38"/>
      <c r="BR321"/>
      <c r="BS321"/>
      <c r="BT321"/>
      <c r="BU321"/>
      <c r="BV321"/>
      <c r="BW321"/>
      <c r="BX321"/>
      <c r="BY321"/>
      <c r="BZ321"/>
      <c r="CA321"/>
    </row>
    <row r="322" spans="1:79" s="39" customFormat="1" x14ac:dyDescent="0.25">
      <c r="A322" s="5"/>
      <c r="B322" s="13"/>
      <c r="C322" s="13"/>
      <c r="D322" s="13"/>
      <c r="E322" s="13"/>
      <c r="F322" s="9"/>
      <c r="G322" s="32"/>
      <c r="H322" s="32"/>
      <c r="I322" s="32"/>
      <c r="J322" s="32"/>
      <c r="K322" s="29"/>
      <c r="L322" s="29"/>
      <c r="M322" s="29"/>
      <c r="N322" s="29"/>
      <c r="O322" s="29"/>
      <c r="P322" s="29"/>
      <c r="Q322" s="29"/>
      <c r="R322" s="38"/>
      <c r="BR322"/>
      <c r="BS322"/>
      <c r="BT322"/>
      <c r="BU322"/>
      <c r="BV322"/>
      <c r="BW322"/>
      <c r="BX322"/>
      <c r="BY322"/>
      <c r="BZ322"/>
      <c r="CA322"/>
    </row>
    <row r="323" spans="1:79" s="39" customFormat="1" x14ac:dyDescent="0.25">
      <c r="A323" s="5"/>
      <c r="B323" s="13"/>
      <c r="C323" s="13"/>
      <c r="D323" s="13"/>
      <c r="E323" s="13"/>
      <c r="F323" s="9"/>
      <c r="G323" s="32"/>
      <c r="H323" s="32"/>
      <c r="I323" s="32"/>
      <c r="J323" s="32"/>
      <c r="K323" s="29"/>
      <c r="L323" s="29"/>
      <c r="M323" s="29"/>
      <c r="N323" s="29"/>
      <c r="O323" s="29"/>
      <c r="P323" s="29"/>
      <c r="Q323" s="29"/>
      <c r="R323" s="38"/>
      <c r="BR323"/>
      <c r="BS323"/>
      <c r="BT323"/>
      <c r="BU323"/>
      <c r="BV323"/>
      <c r="BW323"/>
      <c r="BX323"/>
      <c r="BY323"/>
      <c r="BZ323"/>
      <c r="CA323"/>
    </row>
    <row r="324" spans="1:79" s="39" customFormat="1" x14ac:dyDescent="0.25">
      <c r="A324" s="5"/>
      <c r="B324" s="13"/>
      <c r="C324" s="13"/>
      <c r="D324" s="13"/>
      <c r="E324" s="13"/>
      <c r="F324" s="9"/>
      <c r="G324" s="32"/>
      <c r="H324" s="32"/>
      <c r="I324" s="32"/>
      <c r="J324" s="32"/>
      <c r="K324" s="29"/>
      <c r="L324" s="29"/>
      <c r="M324" s="29"/>
      <c r="N324" s="29"/>
      <c r="O324" s="29"/>
      <c r="P324" s="29"/>
      <c r="Q324" s="29"/>
      <c r="R324" s="38"/>
      <c r="BR324"/>
      <c r="BS324"/>
      <c r="BT324"/>
      <c r="BU324"/>
      <c r="BV324"/>
      <c r="BW324"/>
      <c r="BX324"/>
      <c r="BY324"/>
      <c r="BZ324"/>
      <c r="CA324"/>
    </row>
    <row r="325" spans="1:79" s="39" customFormat="1" x14ac:dyDescent="0.25">
      <c r="A325" s="5"/>
      <c r="B325" s="13"/>
      <c r="C325" s="13"/>
      <c r="D325" s="13"/>
      <c r="E325" s="13"/>
      <c r="F325" s="9"/>
      <c r="G325" s="32"/>
      <c r="H325" s="32"/>
      <c r="I325" s="32"/>
      <c r="J325" s="32"/>
      <c r="K325" s="29"/>
      <c r="L325" s="29"/>
      <c r="M325" s="29"/>
      <c r="N325" s="29"/>
      <c r="O325" s="29"/>
      <c r="P325" s="29"/>
      <c r="Q325" s="29"/>
      <c r="R325" s="38"/>
      <c r="BR325"/>
      <c r="BS325"/>
      <c r="BT325"/>
      <c r="BU325"/>
      <c r="BV325"/>
      <c r="BW325"/>
      <c r="BX325"/>
      <c r="BY325"/>
      <c r="BZ325"/>
      <c r="CA325"/>
    </row>
    <row r="326" spans="1:79" s="39" customFormat="1" x14ac:dyDescent="0.25">
      <c r="A326" s="5"/>
      <c r="B326" s="13"/>
      <c r="C326" s="13"/>
      <c r="D326" s="13"/>
      <c r="E326" s="13"/>
      <c r="F326" s="9"/>
      <c r="G326" s="32"/>
      <c r="H326" s="32"/>
      <c r="I326" s="32"/>
      <c r="J326" s="32"/>
      <c r="K326" s="29"/>
      <c r="L326" s="29"/>
      <c r="M326" s="29"/>
      <c r="N326" s="29"/>
      <c r="O326" s="29"/>
      <c r="P326" s="29"/>
      <c r="Q326" s="29"/>
      <c r="R326" s="38"/>
      <c r="BR326"/>
      <c r="BS326"/>
      <c r="BT326"/>
      <c r="BU326"/>
      <c r="BV326"/>
      <c r="BW326"/>
      <c r="BX326"/>
      <c r="BY326"/>
      <c r="BZ326"/>
      <c r="CA326"/>
    </row>
    <row r="327" spans="1:79" s="39" customFormat="1" x14ac:dyDescent="0.25">
      <c r="A327" s="5"/>
      <c r="B327" s="13"/>
      <c r="C327" s="13"/>
      <c r="D327" s="13"/>
      <c r="E327" s="13"/>
      <c r="F327" s="9"/>
      <c r="G327" s="32"/>
      <c r="H327" s="32"/>
      <c r="I327" s="32"/>
      <c r="J327" s="32"/>
      <c r="K327" s="29"/>
      <c r="L327" s="29"/>
      <c r="M327" s="29"/>
      <c r="N327" s="29"/>
      <c r="O327" s="29"/>
      <c r="P327" s="29"/>
      <c r="Q327" s="29"/>
      <c r="R327" s="38"/>
      <c r="BR327"/>
      <c r="BS327"/>
      <c r="BT327"/>
      <c r="BU327"/>
      <c r="BV327"/>
      <c r="BW327"/>
      <c r="BX327"/>
      <c r="BY327"/>
      <c r="BZ327"/>
      <c r="CA327"/>
    </row>
    <row r="328" spans="1:79" s="39" customFormat="1" x14ac:dyDescent="0.25">
      <c r="A328" s="5"/>
      <c r="B328" s="13"/>
      <c r="C328" s="13"/>
      <c r="D328" s="13"/>
      <c r="E328" s="13"/>
      <c r="F328" s="9"/>
      <c r="G328" s="32"/>
      <c r="H328" s="32"/>
      <c r="I328" s="32"/>
      <c r="J328" s="32"/>
      <c r="K328" s="29"/>
      <c r="L328" s="29"/>
      <c r="M328" s="29"/>
      <c r="N328" s="29"/>
      <c r="O328" s="29"/>
      <c r="P328" s="29"/>
      <c r="Q328" s="29"/>
      <c r="R328" s="38"/>
      <c r="BR328"/>
      <c r="BS328"/>
      <c r="BT328"/>
      <c r="BU328"/>
      <c r="BV328"/>
      <c r="BW328"/>
      <c r="BX328"/>
      <c r="BY328"/>
      <c r="BZ328"/>
      <c r="CA328"/>
    </row>
    <row r="329" spans="1:79" s="39" customFormat="1" x14ac:dyDescent="0.25">
      <c r="A329" s="5"/>
      <c r="B329" s="13"/>
      <c r="C329" s="13"/>
      <c r="D329" s="13"/>
      <c r="E329" s="13"/>
      <c r="F329" s="9"/>
      <c r="G329" s="32"/>
      <c r="H329" s="32"/>
      <c r="I329" s="32"/>
      <c r="J329" s="32"/>
      <c r="K329" s="29"/>
      <c r="L329" s="29"/>
      <c r="M329" s="29"/>
      <c r="N329" s="29"/>
      <c r="O329" s="29"/>
      <c r="P329" s="29"/>
      <c r="Q329" s="29"/>
      <c r="R329" s="38"/>
      <c r="BR329"/>
      <c r="BS329"/>
      <c r="BT329"/>
      <c r="BU329"/>
      <c r="BV329"/>
      <c r="BW329"/>
      <c r="BX329"/>
      <c r="BY329"/>
      <c r="BZ329"/>
      <c r="CA329"/>
    </row>
    <row r="330" spans="1:79" s="39" customFormat="1" x14ac:dyDescent="0.25">
      <c r="A330" s="5"/>
      <c r="B330" s="13"/>
      <c r="C330" s="13"/>
      <c r="D330" s="13"/>
      <c r="E330" s="13"/>
      <c r="F330" s="9"/>
      <c r="G330" s="32"/>
      <c r="H330" s="32"/>
      <c r="I330" s="32"/>
      <c r="J330" s="32"/>
      <c r="K330" s="29"/>
      <c r="L330" s="29"/>
      <c r="M330" s="29"/>
      <c r="N330" s="29"/>
      <c r="O330" s="29"/>
      <c r="P330" s="29"/>
      <c r="Q330" s="29"/>
      <c r="R330" s="38"/>
      <c r="BR330"/>
      <c r="BS330"/>
      <c r="BT330"/>
      <c r="BU330"/>
      <c r="BV330"/>
      <c r="BW330"/>
      <c r="BX330"/>
      <c r="BY330"/>
      <c r="BZ330"/>
      <c r="CA330"/>
    </row>
    <row r="331" spans="1:79" s="39" customFormat="1" x14ac:dyDescent="0.25">
      <c r="A331" s="5"/>
      <c r="B331" s="13"/>
      <c r="C331" s="13"/>
      <c r="D331" s="13"/>
      <c r="E331" s="13"/>
      <c r="F331" s="9"/>
      <c r="G331" s="32"/>
      <c r="H331" s="32"/>
      <c r="I331" s="32"/>
      <c r="J331" s="32"/>
      <c r="K331" s="29"/>
      <c r="L331" s="29"/>
      <c r="M331" s="29"/>
      <c r="N331" s="29"/>
      <c r="O331" s="29"/>
      <c r="P331" s="29"/>
      <c r="Q331" s="29"/>
      <c r="R331" s="38"/>
      <c r="BR331"/>
      <c r="BS331"/>
      <c r="BT331"/>
      <c r="BU331"/>
      <c r="BV331"/>
      <c r="BW331"/>
      <c r="BX331"/>
      <c r="BY331"/>
      <c r="BZ331"/>
      <c r="CA331"/>
    </row>
    <row r="332" spans="1:79" s="39" customFormat="1" x14ac:dyDescent="0.25">
      <c r="A332" s="5"/>
      <c r="B332" s="13"/>
      <c r="C332" s="13"/>
      <c r="D332" s="13"/>
      <c r="E332" s="13"/>
      <c r="F332" s="9"/>
      <c r="G332" s="32"/>
      <c r="H332" s="32"/>
      <c r="I332" s="32"/>
      <c r="J332" s="32"/>
      <c r="K332" s="29"/>
      <c r="L332" s="29"/>
      <c r="M332" s="29"/>
      <c r="N332" s="29"/>
      <c r="O332" s="29"/>
      <c r="P332" s="29"/>
      <c r="Q332" s="29"/>
      <c r="R332" s="38"/>
      <c r="BR332"/>
      <c r="BS332"/>
      <c r="BT332"/>
      <c r="BU332"/>
      <c r="BV332"/>
      <c r="BW332"/>
      <c r="BX332"/>
      <c r="BY332"/>
      <c r="BZ332"/>
      <c r="CA332"/>
    </row>
    <row r="333" spans="1:79" s="39" customFormat="1" x14ac:dyDescent="0.25">
      <c r="A333" s="5"/>
      <c r="B333" s="13"/>
      <c r="C333" s="13"/>
      <c r="D333" s="13"/>
      <c r="E333" s="13"/>
      <c r="F333" s="9"/>
      <c r="G333" s="32"/>
      <c r="H333" s="32"/>
      <c r="I333" s="32"/>
      <c r="J333" s="32"/>
      <c r="K333" s="29"/>
      <c r="L333" s="29"/>
      <c r="M333" s="29"/>
      <c r="N333" s="29"/>
      <c r="O333" s="29"/>
      <c r="P333" s="29"/>
      <c r="Q333" s="29"/>
      <c r="R333" s="38"/>
      <c r="BR333"/>
      <c r="BS333"/>
      <c r="BT333"/>
      <c r="BU333"/>
      <c r="BV333"/>
      <c r="BW333"/>
      <c r="BX333"/>
      <c r="BY333"/>
      <c r="BZ333"/>
      <c r="CA333"/>
    </row>
    <row r="334" spans="1:79" s="39" customFormat="1" x14ac:dyDescent="0.25">
      <c r="A334" s="5"/>
      <c r="B334" s="13"/>
      <c r="C334" s="13"/>
      <c r="D334" s="13"/>
      <c r="E334" s="13"/>
      <c r="F334" s="9"/>
      <c r="G334" s="32"/>
      <c r="H334" s="32"/>
      <c r="I334" s="32"/>
      <c r="J334" s="32"/>
      <c r="K334" s="29"/>
      <c r="L334" s="29"/>
      <c r="M334" s="29"/>
      <c r="N334" s="29"/>
      <c r="O334" s="29"/>
      <c r="P334" s="29"/>
      <c r="Q334" s="29"/>
      <c r="R334" s="38"/>
      <c r="BR334"/>
      <c r="BS334"/>
      <c r="BT334"/>
      <c r="BU334"/>
      <c r="BV334"/>
      <c r="BW334"/>
      <c r="BX334"/>
      <c r="BY334"/>
      <c r="BZ334"/>
      <c r="CA334"/>
    </row>
    <row r="335" spans="1:79" s="39" customFormat="1" x14ac:dyDescent="0.25">
      <c r="A335" s="5"/>
      <c r="B335" s="13"/>
      <c r="C335" s="13"/>
      <c r="D335" s="13"/>
      <c r="E335" s="13"/>
      <c r="F335" s="9"/>
      <c r="G335" s="32"/>
      <c r="H335" s="32"/>
      <c r="I335" s="32"/>
      <c r="J335" s="32"/>
      <c r="K335" s="29"/>
      <c r="L335" s="29"/>
      <c r="M335" s="29"/>
      <c r="N335" s="29"/>
      <c r="O335" s="29"/>
      <c r="P335" s="29"/>
      <c r="Q335" s="29"/>
      <c r="R335" s="38"/>
      <c r="BR335"/>
      <c r="BS335"/>
      <c r="BT335"/>
      <c r="BU335"/>
      <c r="BV335"/>
      <c r="BW335"/>
      <c r="BX335"/>
      <c r="BY335"/>
      <c r="BZ335"/>
      <c r="CA335"/>
    </row>
    <row r="336" spans="1:79" s="39" customFormat="1" x14ac:dyDescent="0.25">
      <c r="A336" s="5"/>
      <c r="B336" s="13"/>
      <c r="C336" s="13"/>
      <c r="D336" s="13"/>
      <c r="E336" s="13"/>
      <c r="F336" s="9"/>
      <c r="G336" s="32"/>
      <c r="H336" s="32"/>
      <c r="I336" s="32"/>
      <c r="J336" s="32"/>
      <c r="K336" s="29"/>
      <c r="L336" s="29"/>
      <c r="M336" s="29"/>
      <c r="N336" s="29"/>
      <c r="O336" s="29"/>
      <c r="P336" s="29"/>
      <c r="Q336" s="29"/>
      <c r="R336" s="38"/>
      <c r="BR336"/>
      <c r="BS336"/>
      <c r="BT336"/>
      <c r="BU336"/>
      <c r="BV336"/>
      <c r="BW336"/>
      <c r="BX336"/>
      <c r="BY336"/>
      <c r="BZ336"/>
      <c r="CA336"/>
    </row>
    <row r="337" spans="1:79" s="39" customFormat="1" x14ac:dyDescent="0.25">
      <c r="A337" s="5"/>
      <c r="B337" s="13"/>
      <c r="C337" s="13"/>
      <c r="D337" s="13"/>
      <c r="E337" s="13"/>
      <c r="F337" s="9"/>
      <c r="G337" s="32"/>
      <c r="H337" s="32"/>
      <c r="I337" s="32"/>
      <c r="J337" s="32"/>
      <c r="K337" s="29"/>
      <c r="L337" s="29"/>
      <c r="M337" s="29"/>
      <c r="N337" s="29"/>
      <c r="O337" s="29"/>
      <c r="P337" s="29"/>
      <c r="Q337" s="29"/>
      <c r="R337" s="38"/>
      <c r="BR337"/>
      <c r="BS337"/>
      <c r="BT337"/>
      <c r="BU337"/>
      <c r="BV337"/>
      <c r="BW337"/>
      <c r="BX337"/>
      <c r="BY337"/>
      <c r="BZ337"/>
      <c r="CA337"/>
    </row>
    <row r="338" spans="1:79" s="39" customFormat="1" x14ac:dyDescent="0.25">
      <c r="A338" s="5"/>
      <c r="B338" s="13"/>
      <c r="C338" s="13"/>
      <c r="D338" s="13"/>
      <c r="E338" s="13"/>
      <c r="F338" s="9"/>
      <c r="G338" s="32"/>
      <c r="H338" s="32"/>
      <c r="I338" s="32"/>
      <c r="J338" s="32"/>
      <c r="K338" s="29"/>
      <c r="L338" s="29"/>
      <c r="M338" s="29"/>
      <c r="N338" s="29"/>
      <c r="O338" s="29"/>
      <c r="P338" s="29"/>
      <c r="Q338" s="29"/>
      <c r="R338" s="38"/>
      <c r="BR338"/>
      <c r="BS338"/>
      <c r="BT338"/>
      <c r="BU338"/>
      <c r="BV338"/>
      <c r="BW338"/>
      <c r="BX338"/>
      <c r="BY338"/>
      <c r="BZ338"/>
      <c r="CA338"/>
    </row>
    <row r="339" spans="1:79" s="39" customFormat="1" x14ac:dyDescent="0.25">
      <c r="A339" s="5"/>
      <c r="B339" s="13"/>
      <c r="C339" s="13"/>
      <c r="D339" s="13"/>
      <c r="E339" s="13"/>
      <c r="F339" s="9"/>
      <c r="G339" s="32"/>
      <c r="H339" s="32"/>
      <c r="I339" s="32"/>
      <c r="J339" s="32"/>
      <c r="K339" s="29"/>
      <c r="L339" s="29"/>
      <c r="M339" s="29"/>
      <c r="N339" s="29"/>
      <c r="O339" s="29"/>
      <c r="P339" s="29"/>
      <c r="Q339" s="29"/>
      <c r="R339" s="38"/>
      <c r="BR339"/>
      <c r="BS339"/>
      <c r="BT339"/>
      <c r="BU339"/>
      <c r="BV339"/>
      <c r="BW339"/>
      <c r="BX339"/>
      <c r="BY339"/>
      <c r="BZ339"/>
      <c r="CA339"/>
    </row>
    <row r="340" spans="1:79" s="39" customFormat="1" x14ac:dyDescent="0.25">
      <c r="A340" s="5"/>
      <c r="B340" s="13"/>
      <c r="C340" s="13"/>
      <c r="D340" s="13"/>
      <c r="E340" s="13"/>
      <c r="F340" s="9"/>
      <c r="G340" s="32"/>
      <c r="H340" s="32"/>
      <c r="I340" s="32"/>
      <c r="J340" s="32"/>
      <c r="K340" s="29"/>
      <c r="L340" s="29"/>
      <c r="M340" s="29"/>
      <c r="N340" s="29"/>
      <c r="O340" s="29"/>
      <c r="P340" s="29"/>
      <c r="Q340" s="29"/>
      <c r="R340" s="38"/>
      <c r="BR340"/>
      <c r="BS340"/>
      <c r="BT340"/>
      <c r="BU340"/>
      <c r="BV340"/>
      <c r="BW340"/>
      <c r="BX340"/>
      <c r="BY340"/>
      <c r="BZ340"/>
      <c r="CA340"/>
    </row>
    <row r="341" spans="1:79" s="39" customFormat="1" x14ac:dyDescent="0.25">
      <c r="A341" s="5"/>
      <c r="B341" s="13"/>
      <c r="C341" s="13"/>
      <c r="D341" s="13"/>
      <c r="E341" s="13"/>
      <c r="F341" s="9"/>
      <c r="G341" s="32"/>
      <c r="H341" s="32"/>
      <c r="I341" s="32"/>
      <c r="J341" s="32"/>
      <c r="K341" s="29"/>
      <c r="L341" s="29"/>
      <c r="M341" s="29"/>
      <c r="N341" s="29"/>
      <c r="O341" s="29"/>
      <c r="P341" s="29"/>
      <c r="Q341" s="29"/>
      <c r="R341" s="38"/>
      <c r="BR341"/>
      <c r="BS341"/>
      <c r="BT341"/>
      <c r="BU341"/>
      <c r="BV341"/>
      <c r="BW341"/>
      <c r="BX341"/>
      <c r="BY341"/>
      <c r="BZ341"/>
      <c r="CA341"/>
    </row>
    <row r="342" spans="1:79" s="39" customFormat="1" x14ac:dyDescent="0.25">
      <c r="A342" s="5"/>
      <c r="B342" s="13"/>
      <c r="C342" s="13"/>
      <c r="D342" s="13"/>
      <c r="E342" s="13"/>
      <c r="F342" s="9"/>
      <c r="G342" s="32"/>
      <c r="H342" s="32"/>
      <c r="I342" s="32"/>
      <c r="J342" s="32"/>
      <c r="K342" s="29"/>
      <c r="L342" s="29"/>
      <c r="M342" s="29"/>
      <c r="N342" s="29"/>
      <c r="O342" s="29"/>
      <c r="P342" s="29"/>
      <c r="Q342" s="29"/>
      <c r="R342" s="38"/>
      <c r="BR342"/>
      <c r="BS342"/>
      <c r="BT342"/>
      <c r="BU342"/>
      <c r="BV342"/>
      <c r="BW342"/>
      <c r="BX342"/>
      <c r="BY342"/>
      <c r="BZ342"/>
      <c r="CA342"/>
    </row>
    <row r="343" spans="1:79" s="39" customFormat="1" x14ac:dyDescent="0.25">
      <c r="A343" s="5"/>
      <c r="B343" s="13"/>
      <c r="C343" s="13"/>
      <c r="D343" s="13"/>
      <c r="E343" s="13"/>
      <c r="F343" s="9"/>
      <c r="G343" s="32"/>
      <c r="H343" s="32"/>
      <c r="I343" s="32"/>
      <c r="J343" s="32"/>
      <c r="K343" s="29"/>
      <c r="L343" s="29"/>
      <c r="M343" s="29"/>
      <c r="N343" s="29"/>
      <c r="O343" s="29"/>
      <c r="P343" s="29"/>
      <c r="Q343" s="29"/>
      <c r="R343" s="38"/>
      <c r="BR343"/>
      <c r="BS343"/>
      <c r="BT343"/>
      <c r="BU343"/>
      <c r="BV343"/>
      <c r="BW343"/>
      <c r="BX343"/>
      <c r="BY343"/>
      <c r="BZ343"/>
      <c r="CA343"/>
    </row>
    <row r="344" spans="1:79" s="39" customFormat="1" x14ac:dyDescent="0.25">
      <c r="A344" s="5"/>
      <c r="B344" s="13"/>
      <c r="C344" s="13"/>
      <c r="D344" s="13"/>
      <c r="E344" s="13"/>
      <c r="F344" s="9"/>
      <c r="G344" s="32"/>
      <c r="H344" s="32"/>
      <c r="I344" s="32"/>
      <c r="J344" s="32"/>
      <c r="K344" s="29"/>
      <c r="L344" s="29"/>
      <c r="M344" s="29"/>
      <c r="N344" s="29"/>
      <c r="O344" s="29"/>
      <c r="P344" s="29"/>
      <c r="Q344" s="29"/>
      <c r="R344" s="38"/>
      <c r="BR344"/>
      <c r="BS344"/>
      <c r="BT344"/>
      <c r="BU344"/>
      <c r="BV344"/>
      <c r="BW344"/>
      <c r="BX344"/>
      <c r="BY344"/>
      <c r="BZ344"/>
      <c r="CA344"/>
    </row>
    <row r="345" spans="1:79" s="39" customFormat="1" x14ac:dyDescent="0.25">
      <c r="A345" s="5"/>
      <c r="B345" s="13"/>
      <c r="C345" s="13"/>
      <c r="D345" s="13"/>
      <c r="E345" s="13"/>
      <c r="F345" s="9"/>
      <c r="G345" s="32"/>
      <c r="H345" s="32"/>
      <c r="I345" s="32"/>
      <c r="J345" s="32"/>
      <c r="K345" s="29"/>
      <c r="L345" s="29"/>
      <c r="M345" s="29"/>
      <c r="N345" s="29"/>
      <c r="O345" s="29"/>
      <c r="P345" s="29"/>
      <c r="Q345" s="29"/>
      <c r="R345" s="38"/>
      <c r="BR345"/>
      <c r="BS345"/>
      <c r="BT345"/>
      <c r="BU345"/>
      <c r="BV345"/>
      <c r="BW345"/>
      <c r="BX345"/>
      <c r="BY345"/>
      <c r="BZ345"/>
      <c r="CA345"/>
    </row>
    <row r="346" spans="1:79" s="39" customFormat="1" x14ac:dyDescent="0.25">
      <c r="A346" s="5"/>
      <c r="B346" s="13"/>
      <c r="C346" s="13"/>
      <c r="D346" s="13"/>
      <c r="E346" s="13"/>
      <c r="F346" s="9"/>
      <c r="G346" s="32"/>
      <c r="H346" s="32"/>
      <c r="I346" s="32"/>
      <c r="J346" s="32"/>
      <c r="K346" s="29"/>
      <c r="L346" s="29"/>
      <c r="M346" s="29"/>
      <c r="N346" s="29"/>
      <c r="O346" s="29"/>
      <c r="P346" s="29"/>
      <c r="Q346" s="29"/>
      <c r="R346" s="38"/>
      <c r="BR346"/>
      <c r="BS346"/>
      <c r="BT346"/>
      <c r="BU346"/>
      <c r="BV346"/>
      <c r="BW346"/>
      <c r="BX346"/>
      <c r="BY346"/>
      <c r="BZ346"/>
      <c r="CA346"/>
    </row>
    <row r="347" spans="1:79" s="39" customFormat="1" x14ac:dyDescent="0.25">
      <c r="A347" s="5"/>
      <c r="B347" s="13"/>
      <c r="C347" s="13"/>
      <c r="D347" s="13"/>
      <c r="E347" s="13"/>
      <c r="F347" s="9"/>
      <c r="G347" s="32"/>
      <c r="H347" s="32"/>
      <c r="I347" s="32"/>
      <c r="J347" s="32"/>
      <c r="K347" s="29"/>
      <c r="L347" s="29"/>
      <c r="M347" s="29"/>
      <c r="N347" s="29"/>
      <c r="O347" s="29"/>
      <c r="P347" s="29"/>
      <c r="Q347" s="29"/>
      <c r="R347" s="38"/>
      <c r="BR347"/>
      <c r="BS347"/>
      <c r="BT347"/>
      <c r="BU347"/>
      <c r="BV347"/>
      <c r="BW347"/>
      <c r="BX347"/>
      <c r="BY347"/>
      <c r="BZ347"/>
      <c r="CA347"/>
    </row>
    <row r="348" spans="1:79" s="39" customFormat="1" x14ac:dyDescent="0.25">
      <c r="A348" s="5"/>
      <c r="B348" s="13"/>
      <c r="C348" s="13"/>
      <c r="D348" s="13"/>
      <c r="E348" s="13"/>
      <c r="F348" s="9"/>
      <c r="G348" s="32"/>
      <c r="H348" s="32"/>
      <c r="I348" s="32"/>
      <c r="J348" s="32"/>
      <c r="K348" s="29"/>
      <c r="L348" s="29"/>
      <c r="M348" s="29"/>
      <c r="N348" s="29"/>
      <c r="O348" s="29"/>
      <c r="P348" s="29"/>
      <c r="Q348" s="29"/>
      <c r="R348" s="38"/>
      <c r="BR348"/>
      <c r="BS348"/>
      <c r="BT348"/>
      <c r="BU348"/>
      <c r="BV348"/>
      <c r="BW348"/>
      <c r="BX348"/>
      <c r="BY348"/>
      <c r="BZ348"/>
      <c r="CA348"/>
    </row>
    <row r="349" spans="1:79" s="39" customFormat="1" x14ac:dyDescent="0.25">
      <c r="A349" s="5"/>
      <c r="B349" s="13"/>
      <c r="C349" s="13"/>
      <c r="D349" s="13"/>
      <c r="E349" s="13"/>
      <c r="F349" s="9"/>
      <c r="G349" s="32"/>
      <c r="H349" s="32"/>
      <c r="I349" s="32"/>
      <c r="J349" s="32"/>
      <c r="K349" s="29"/>
      <c r="L349" s="29"/>
      <c r="M349" s="29"/>
      <c r="N349" s="29"/>
      <c r="O349" s="29"/>
      <c r="P349" s="29"/>
      <c r="Q349" s="29"/>
      <c r="R349" s="38"/>
      <c r="BR349"/>
      <c r="BS349"/>
      <c r="BT349"/>
      <c r="BU349"/>
      <c r="BV349"/>
      <c r="BW349"/>
      <c r="BX349"/>
      <c r="BY349"/>
      <c r="BZ349"/>
      <c r="CA349"/>
    </row>
    <row r="350" spans="1:79" s="39" customFormat="1" x14ac:dyDescent="0.25">
      <c r="A350" s="5"/>
      <c r="B350" s="13"/>
      <c r="C350" s="13"/>
      <c r="D350" s="13"/>
      <c r="E350" s="13"/>
      <c r="F350" s="9"/>
      <c r="G350" s="32"/>
      <c r="H350" s="32"/>
      <c r="I350" s="32"/>
      <c r="J350" s="32"/>
      <c r="K350" s="29"/>
      <c r="L350" s="29"/>
      <c r="M350" s="29"/>
      <c r="N350" s="29"/>
      <c r="O350" s="29"/>
      <c r="P350" s="29"/>
      <c r="Q350" s="29"/>
      <c r="R350" s="38"/>
      <c r="BR350"/>
      <c r="BS350"/>
      <c r="BT350"/>
      <c r="BU350"/>
      <c r="BV350"/>
      <c r="BW350"/>
      <c r="BX350"/>
      <c r="BY350"/>
      <c r="BZ350"/>
      <c r="CA350"/>
    </row>
    <row r="351" spans="1:79" s="39" customFormat="1" x14ac:dyDescent="0.25">
      <c r="A351" s="5"/>
      <c r="B351" s="13"/>
      <c r="C351" s="13"/>
      <c r="D351" s="13"/>
      <c r="E351" s="13"/>
      <c r="F351" s="9"/>
      <c r="G351" s="32"/>
      <c r="H351" s="32"/>
      <c r="I351" s="32"/>
      <c r="J351" s="32"/>
      <c r="K351" s="29"/>
      <c r="L351" s="29"/>
      <c r="M351" s="29"/>
      <c r="N351" s="29"/>
      <c r="O351" s="29"/>
      <c r="P351" s="29"/>
      <c r="Q351" s="29"/>
      <c r="R351" s="38"/>
      <c r="BR351"/>
      <c r="BS351"/>
      <c r="BT351"/>
      <c r="BU351"/>
      <c r="BV351"/>
      <c r="BW351"/>
      <c r="BX351"/>
      <c r="BY351"/>
      <c r="BZ351"/>
      <c r="CA351"/>
    </row>
    <row r="352" spans="1:79" s="39" customFormat="1" x14ac:dyDescent="0.25">
      <c r="A352" s="5"/>
      <c r="B352" s="13"/>
      <c r="C352" s="13"/>
      <c r="D352" s="13"/>
      <c r="E352" s="13"/>
      <c r="F352" s="9"/>
      <c r="G352" s="32"/>
      <c r="H352" s="32"/>
      <c r="I352" s="32"/>
      <c r="J352" s="32"/>
      <c r="K352" s="29"/>
      <c r="L352" s="29"/>
      <c r="M352" s="29"/>
      <c r="N352" s="29"/>
      <c r="O352" s="29"/>
      <c r="P352" s="29"/>
      <c r="Q352" s="29"/>
      <c r="R352" s="38"/>
      <c r="BR352"/>
      <c r="BS352"/>
      <c r="BT352"/>
      <c r="BU352"/>
      <c r="BV352"/>
      <c r="BW352"/>
      <c r="BX352"/>
      <c r="BY352"/>
      <c r="BZ352"/>
      <c r="CA352"/>
    </row>
    <row r="353" spans="1:79" s="39" customFormat="1" x14ac:dyDescent="0.25">
      <c r="A353" s="5"/>
      <c r="B353" s="13"/>
      <c r="C353" s="13"/>
      <c r="D353" s="13"/>
      <c r="E353" s="13"/>
      <c r="F353" s="9"/>
      <c r="G353" s="32"/>
      <c r="H353" s="32"/>
      <c r="I353" s="32"/>
      <c r="J353" s="32"/>
      <c r="K353" s="29"/>
      <c r="L353" s="29"/>
      <c r="M353" s="29"/>
      <c r="N353" s="29"/>
      <c r="O353" s="29"/>
      <c r="P353" s="29"/>
      <c r="Q353" s="29"/>
      <c r="R353" s="38"/>
      <c r="BR353"/>
      <c r="BS353"/>
      <c r="BT353"/>
      <c r="BU353"/>
      <c r="BV353"/>
      <c r="BW353"/>
      <c r="BX353"/>
      <c r="BY353"/>
      <c r="BZ353"/>
      <c r="CA353"/>
    </row>
    <row r="354" spans="1:79" s="39" customFormat="1" x14ac:dyDescent="0.25">
      <c r="A354" s="5"/>
      <c r="B354" s="13"/>
      <c r="C354" s="13"/>
      <c r="D354" s="13"/>
      <c r="E354" s="13"/>
      <c r="F354" s="9"/>
      <c r="G354" s="32"/>
      <c r="H354" s="32"/>
      <c r="I354" s="32"/>
      <c r="J354" s="32"/>
      <c r="K354" s="29"/>
      <c r="L354" s="29"/>
      <c r="M354" s="29"/>
      <c r="N354" s="29"/>
      <c r="O354" s="29"/>
      <c r="P354" s="29"/>
      <c r="Q354" s="29"/>
      <c r="R354" s="38"/>
      <c r="BR354"/>
      <c r="BS354"/>
      <c r="BT354"/>
      <c r="BU354"/>
      <c r="BV354"/>
      <c r="BW354"/>
      <c r="BX354"/>
      <c r="BY354"/>
      <c r="BZ354"/>
      <c r="CA354"/>
    </row>
    <row r="355" spans="1:79" s="39" customFormat="1" x14ac:dyDescent="0.25">
      <c r="A355" s="5"/>
      <c r="B355" s="13"/>
      <c r="C355" s="13"/>
      <c r="D355" s="13"/>
      <c r="E355" s="13"/>
      <c r="F355" s="9"/>
      <c r="G355" s="32"/>
      <c r="H355" s="32"/>
      <c r="I355" s="32"/>
      <c r="J355" s="32"/>
      <c r="K355" s="29"/>
      <c r="L355" s="29"/>
      <c r="M355" s="29"/>
      <c r="N355" s="29"/>
      <c r="O355" s="29"/>
      <c r="P355" s="29"/>
      <c r="Q355" s="29"/>
      <c r="R355" s="38"/>
      <c r="BR355"/>
      <c r="BS355"/>
      <c r="BT355"/>
      <c r="BU355"/>
      <c r="BV355"/>
      <c r="BW355"/>
      <c r="BX355"/>
      <c r="BY355"/>
      <c r="BZ355"/>
      <c r="CA355"/>
    </row>
    <row r="356" spans="1:79" s="39" customFormat="1" x14ac:dyDescent="0.25">
      <c r="A356" s="5"/>
      <c r="B356" s="13"/>
      <c r="C356" s="13"/>
      <c r="D356" s="13"/>
      <c r="E356" s="13"/>
      <c r="F356" s="9"/>
      <c r="G356" s="32"/>
      <c r="H356" s="32"/>
      <c r="I356" s="32"/>
      <c r="J356" s="32"/>
      <c r="K356" s="29"/>
      <c r="L356" s="29"/>
      <c r="M356" s="29"/>
      <c r="N356" s="29"/>
      <c r="O356" s="29"/>
      <c r="P356" s="29"/>
      <c r="Q356" s="29"/>
      <c r="R356" s="38"/>
      <c r="BR356"/>
      <c r="BS356"/>
      <c r="BT356"/>
      <c r="BU356"/>
      <c r="BV356"/>
      <c r="BW356"/>
      <c r="BX356"/>
      <c r="BY356"/>
      <c r="BZ356"/>
      <c r="CA356"/>
    </row>
    <row r="357" spans="1:79" s="39" customFormat="1" x14ac:dyDescent="0.25">
      <c r="A357" s="5"/>
      <c r="B357" s="13"/>
      <c r="C357" s="13"/>
      <c r="D357" s="13"/>
      <c r="E357" s="13"/>
      <c r="F357" s="9"/>
      <c r="G357" s="32"/>
      <c r="H357" s="32"/>
      <c r="I357" s="32"/>
      <c r="J357" s="32"/>
      <c r="K357" s="29"/>
      <c r="L357" s="29"/>
      <c r="M357" s="29"/>
      <c r="N357" s="29"/>
      <c r="O357" s="29"/>
      <c r="P357" s="29"/>
      <c r="Q357" s="29"/>
      <c r="R357" s="38"/>
      <c r="BR357"/>
      <c r="BS357"/>
      <c r="BT357"/>
      <c r="BU357"/>
      <c r="BV357"/>
      <c r="BW357"/>
      <c r="BX357"/>
      <c r="BY357"/>
      <c r="BZ357"/>
      <c r="CA357"/>
    </row>
    <row r="358" spans="1:79" s="39" customFormat="1" x14ac:dyDescent="0.25">
      <c r="A358" s="5"/>
      <c r="B358" s="13"/>
      <c r="C358" s="13"/>
      <c r="D358" s="13"/>
      <c r="E358" s="13"/>
      <c r="F358" s="9"/>
      <c r="G358" s="32"/>
      <c r="H358" s="32"/>
      <c r="I358" s="32"/>
      <c r="J358" s="32"/>
      <c r="K358" s="29"/>
      <c r="L358" s="29"/>
      <c r="M358" s="29"/>
      <c r="N358" s="29"/>
      <c r="O358" s="29"/>
      <c r="P358" s="29"/>
      <c r="Q358" s="29"/>
      <c r="R358" s="38"/>
      <c r="BR358"/>
      <c r="BS358"/>
      <c r="BT358"/>
      <c r="BU358"/>
      <c r="BV358"/>
      <c r="BW358"/>
      <c r="BX358"/>
      <c r="BY358"/>
      <c r="BZ358"/>
      <c r="CA358"/>
    </row>
    <row r="359" spans="1:79" s="39" customFormat="1" x14ac:dyDescent="0.25">
      <c r="A359" s="5"/>
      <c r="B359" s="13"/>
      <c r="C359" s="13"/>
      <c r="D359" s="13"/>
      <c r="E359" s="13"/>
      <c r="F359" s="9"/>
      <c r="G359" s="32"/>
      <c r="H359" s="32"/>
      <c r="I359" s="32"/>
      <c r="J359" s="32"/>
      <c r="K359" s="29"/>
      <c r="L359" s="29"/>
      <c r="M359" s="29"/>
      <c r="N359" s="29"/>
      <c r="O359" s="29"/>
      <c r="P359" s="29"/>
      <c r="Q359" s="29"/>
      <c r="R359" s="38"/>
      <c r="BR359"/>
      <c r="BS359"/>
      <c r="BT359"/>
      <c r="BU359"/>
      <c r="BV359"/>
      <c r="BW359"/>
      <c r="BX359"/>
      <c r="BY359"/>
      <c r="BZ359"/>
      <c r="CA359"/>
    </row>
    <row r="360" spans="1:79" s="39" customFormat="1" x14ac:dyDescent="0.25">
      <c r="A360" s="5"/>
      <c r="B360" s="13"/>
      <c r="C360" s="13"/>
      <c r="D360" s="13"/>
      <c r="E360" s="13"/>
      <c r="F360" s="9"/>
      <c r="G360" s="32"/>
      <c r="H360" s="32"/>
      <c r="I360" s="32"/>
      <c r="J360" s="32"/>
      <c r="K360" s="29"/>
      <c r="L360" s="29"/>
      <c r="M360" s="29"/>
      <c r="N360" s="29"/>
      <c r="O360" s="29"/>
      <c r="P360" s="29"/>
      <c r="Q360" s="29"/>
      <c r="R360" s="38"/>
      <c r="BR360"/>
      <c r="BS360"/>
      <c r="BT360"/>
      <c r="BU360"/>
      <c r="BV360"/>
      <c r="BW360"/>
      <c r="BX360"/>
      <c r="BY360"/>
      <c r="BZ360"/>
      <c r="CA360"/>
    </row>
    <row r="361" spans="1:79" s="39" customFormat="1" x14ac:dyDescent="0.25">
      <c r="A361" s="5"/>
      <c r="B361" s="13"/>
      <c r="C361" s="13"/>
      <c r="D361" s="13"/>
      <c r="E361" s="13"/>
      <c r="F361" s="9"/>
      <c r="G361" s="32"/>
      <c r="H361" s="32"/>
      <c r="I361" s="32"/>
      <c r="J361" s="32"/>
      <c r="K361" s="29"/>
      <c r="L361" s="29"/>
      <c r="M361" s="29"/>
      <c r="N361" s="29"/>
      <c r="O361" s="29"/>
      <c r="P361" s="29"/>
      <c r="Q361" s="29"/>
      <c r="R361" s="38"/>
      <c r="BR361"/>
      <c r="BS361"/>
      <c r="BT361"/>
      <c r="BU361"/>
      <c r="BV361"/>
      <c r="BW361"/>
      <c r="BX361"/>
      <c r="BY361"/>
      <c r="BZ361"/>
      <c r="CA361"/>
    </row>
    <row r="362" spans="1:79" s="39" customFormat="1" x14ac:dyDescent="0.25">
      <c r="A362" s="5"/>
      <c r="B362" s="13"/>
      <c r="C362" s="13"/>
      <c r="D362" s="13"/>
      <c r="E362" s="13"/>
      <c r="F362" s="9"/>
      <c r="G362" s="32"/>
      <c r="H362" s="32"/>
      <c r="I362" s="32"/>
      <c r="J362" s="32"/>
      <c r="K362" s="29"/>
      <c r="L362" s="29"/>
      <c r="M362" s="29"/>
      <c r="N362" s="29"/>
      <c r="O362" s="29"/>
      <c r="P362" s="29"/>
      <c r="Q362" s="29"/>
      <c r="R362" s="38"/>
      <c r="BR362"/>
      <c r="BS362"/>
      <c r="BT362"/>
      <c r="BU362"/>
      <c r="BV362"/>
      <c r="BW362"/>
      <c r="BX362"/>
      <c r="BY362"/>
      <c r="BZ362"/>
      <c r="CA362"/>
    </row>
    <row r="363" spans="1:79" s="39" customFormat="1" x14ac:dyDescent="0.25">
      <c r="A363" s="5"/>
      <c r="B363" s="13"/>
      <c r="C363" s="13"/>
      <c r="D363" s="13"/>
      <c r="E363" s="13"/>
      <c r="F363" s="9"/>
      <c r="G363" s="32"/>
      <c r="H363" s="32"/>
      <c r="I363" s="32"/>
      <c r="J363" s="32"/>
      <c r="K363" s="29"/>
      <c r="L363" s="29"/>
      <c r="M363" s="29"/>
      <c r="N363" s="29"/>
      <c r="O363" s="29"/>
      <c r="P363" s="29"/>
      <c r="Q363" s="29"/>
      <c r="R363" s="38"/>
      <c r="BR363"/>
      <c r="BS363"/>
      <c r="BT363"/>
      <c r="BU363"/>
      <c r="BV363"/>
      <c r="BW363"/>
      <c r="BX363"/>
      <c r="BY363"/>
      <c r="BZ363"/>
      <c r="CA363"/>
    </row>
    <row r="364" spans="1:79" s="39" customFormat="1" x14ac:dyDescent="0.25">
      <c r="A364" s="5"/>
      <c r="B364" s="13"/>
      <c r="C364" s="13"/>
      <c r="D364" s="13"/>
      <c r="E364" s="13"/>
      <c r="F364" s="9"/>
      <c r="G364" s="32"/>
      <c r="H364" s="32"/>
      <c r="I364" s="32"/>
      <c r="J364" s="32"/>
      <c r="K364" s="29"/>
      <c r="L364" s="29"/>
      <c r="M364" s="29"/>
      <c r="N364" s="29"/>
      <c r="O364" s="29"/>
      <c r="P364" s="29"/>
      <c r="Q364" s="29"/>
      <c r="R364" s="38"/>
      <c r="BR364"/>
      <c r="BS364"/>
      <c r="BT364"/>
      <c r="BU364"/>
      <c r="BV364"/>
      <c r="BW364"/>
      <c r="BX364"/>
      <c r="BY364"/>
      <c r="BZ364"/>
      <c r="CA364"/>
    </row>
    <row r="365" spans="1:79" s="39" customFormat="1" x14ac:dyDescent="0.25">
      <c r="A365" s="5"/>
      <c r="B365" s="13"/>
      <c r="C365" s="13"/>
      <c r="D365" s="13"/>
      <c r="E365" s="13"/>
      <c r="F365" s="9"/>
      <c r="G365" s="32"/>
      <c r="H365" s="32"/>
      <c r="I365" s="32"/>
      <c r="J365" s="32"/>
      <c r="K365" s="29"/>
      <c r="L365" s="29"/>
      <c r="M365" s="29"/>
      <c r="N365" s="29"/>
      <c r="O365" s="29"/>
      <c r="P365" s="29"/>
      <c r="Q365" s="29"/>
      <c r="R365" s="38"/>
      <c r="BR365"/>
      <c r="BS365"/>
      <c r="BT365"/>
      <c r="BU365"/>
      <c r="BV365"/>
      <c r="BW365"/>
      <c r="BX365"/>
      <c r="BY365"/>
      <c r="BZ365"/>
      <c r="CA365"/>
    </row>
    <row r="366" spans="1:79" s="39" customFormat="1" x14ac:dyDescent="0.25">
      <c r="A366" s="5"/>
      <c r="B366" s="13"/>
      <c r="C366" s="13"/>
      <c r="D366" s="13"/>
      <c r="E366" s="13"/>
      <c r="F366" s="9"/>
      <c r="G366" s="32"/>
      <c r="H366" s="32"/>
      <c r="I366" s="32"/>
      <c r="J366" s="32"/>
      <c r="K366" s="29"/>
      <c r="L366" s="29"/>
      <c r="M366" s="29"/>
      <c r="N366" s="29"/>
      <c r="O366" s="29"/>
      <c r="P366" s="29"/>
      <c r="Q366" s="29"/>
      <c r="R366" s="38"/>
      <c r="BR366"/>
      <c r="BS366"/>
      <c r="BT366"/>
      <c r="BU366"/>
      <c r="BV366"/>
      <c r="BW366"/>
      <c r="BX366"/>
      <c r="BY366"/>
      <c r="BZ366"/>
      <c r="CA366"/>
    </row>
    <row r="367" spans="1:79" s="39" customFormat="1" x14ac:dyDescent="0.25">
      <c r="A367" s="5"/>
      <c r="B367" s="13"/>
      <c r="C367" s="13"/>
      <c r="D367" s="13"/>
      <c r="E367" s="13"/>
      <c r="F367" s="9"/>
      <c r="G367" s="32"/>
      <c r="H367" s="32"/>
      <c r="I367" s="32"/>
      <c r="J367" s="32"/>
      <c r="K367" s="29"/>
      <c r="L367" s="29"/>
      <c r="M367" s="29"/>
      <c r="N367" s="29"/>
      <c r="O367" s="29"/>
      <c r="P367" s="29"/>
      <c r="Q367" s="29"/>
      <c r="R367" s="38"/>
      <c r="BR367"/>
      <c r="BS367"/>
      <c r="BT367"/>
      <c r="BU367"/>
      <c r="BV367"/>
      <c r="BW367"/>
      <c r="BX367"/>
      <c r="BY367"/>
      <c r="BZ367"/>
      <c r="CA367"/>
    </row>
    <row r="368" spans="1:79" s="39" customFormat="1" x14ac:dyDescent="0.25">
      <c r="A368" s="5"/>
      <c r="B368" s="13"/>
      <c r="C368" s="13"/>
      <c r="D368" s="13"/>
      <c r="E368" s="13"/>
      <c r="F368" s="9"/>
      <c r="G368" s="32"/>
      <c r="H368" s="32"/>
      <c r="I368" s="32"/>
      <c r="J368" s="32"/>
      <c r="K368" s="29"/>
      <c r="L368" s="29"/>
      <c r="M368" s="29"/>
      <c r="N368" s="29"/>
      <c r="O368" s="29"/>
      <c r="P368" s="29"/>
      <c r="Q368" s="29"/>
      <c r="R368" s="38"/>
      <c r="BR368"/>
      <c r="BS368"/>
      <c r="BT368"/>
      <c r="BU368"/>
      <c r="BV368"/>
      <c r="BW368"/>
      <c r="BX368"/>
      <c r="BY368"/>
      <c r="BZ368"/>
      <c r="CA368"/>
    </row>
    <row r="369" spans="1:79" s="39" customFormat="1" x14ac:dyDescent="0.25">
      <c r="A369" s="5"/>
      <c r="B369" s="13"/>
      <c r="C369" s="13"/>
      <c r="D369" s="13"/>
      <c r="E369" s="13"/>
      <c r="F369" s="9"/>
      <c r="G369" s="32"/>
      <c r="H369" s="32"/>
      <c r="I369" s="32"/>
      <c r="J369" s="32"/>
      <c r="K369" s="29"/>
      <c r="L369" s="29"/>
      <c r="M369" s="29"/>
      <c r="N369" s="29"/>
      <c r="O369" s="29"/>
      <c r="P369" s="29"/>
      <c r="Q369" s="29"/>
      <c r="R369" s="38"/>
      <c r="BR369"/>
      <c r="BS369"/>
      <c r="BT369"/>
      <c r="BU369"/>
      <c r="BV369"/>
      <c r="BW369"/>
      <c r="BX369"/>
      <c r="BY369"/>
      <c r="BZ369"/>
      <c r="CA369"/>
    </row>
    <row r="370" spans="1:79" s="39" customFormat="1" x14ac:dyDescent="0.25">
      <c r="A370" s="5"/>
      <c r="B370" s="13"/>
      <c r="C370" s="13"/>
      <c r="D370" s="13"/>
      <c r="E370" s="13"/>
      <c r="F370" s="9"/>
      <c r="G370" s="32"/>
      <c r="H370" s="32"/>
      <c r="I370" s="32"/>
      <c r="J370" s="32"/>
      <c r="K370" s="29"/>
      <c r="L370" s="29"/>
      <c r="M370" s="29"/>
      <c r="N370" s="29"/>
      <c r="O370" s="29"/>
      <c r="P370" s="29"/>
      <c r="Q370" s="29"/>
      <c r="R370" s="38"/>
      <c r="BR370"/>
      <c r="BS370"/>
      <c r="BT370"/>
      <c r="BU370"/>
      <c r="BV370"/>
      <c r="BW370"/>
      <c r="BX370"/>
      <c r="BY370"/>
      <c r="BZ370"/>
      <c r="CA370"/>
    </row>
    <row r="371" spans="1:79" s="39" customFormat="1" x14ac:dyDescent="0.25">
      <c r="A371" s="5"/>
      <c r="B371" s="13"/>
      <c r="C371" s="13"/>
      <c r="D371" s="13"/>
      <c r="E371" s="13"/>
      <c r="F371" s="9"/>
      <c r="G371" s="32"/>
      <c r="H371" s="32"/>
      <c r="I371" s="32"/>
      <c r="J371" s="32"/>
      <c r="K371" s="29"/>
      <c r="L371" s="29"/>
      <c r="M371" s="29"/>
      <c r="N371" s="29"/>
      <c r="O371" s="29"/>
      <c r="P371" s="29"/>
      <c r="Q371" s="29"/>
      <c r="R371" s="38"/>
      <c r="BR371"/>
      <c r="BS371"/>
      <c r="BT371"/>
      <c r="BU371"/>
      <c r="BV371"/>
      <c r="BW371"/>
      <c r="BX371"/>
      <c r="BY371"/>
      <c r="BZ371"/>
      <c r="CA371"/>
    </row>
    <row r="372" spans="1:79" s="39" customFormat="1" x14ac:dyDescent="0.25">
      <c r="A372" s="5"/>
      <c r="B372" s="13"/>
      <c r="C372" s="13"/>
      <c r="D372" s="13"/>
      <c r="E372" s="13"/>
      <c r="F372" s="9"/>
      <c r="G372" s="32"/>
      <c r="H372" s="32"/>
      <c r="I372" s="32"/>
      <c r="J372" s="32"/>
      <c r="K372" s="29"/>
      <c r="L372" s="29"/>
      <c r="M372" s="29"/>
      <c r="N372" s="29"/>
      <c r="O372" s="29"/>
      <c r="P372" s="29"/>
      <c r="Q372" s="29"/>
      <c r="R372" s="38"/>
      <c r="BR372"/>
      <c r="BS372"/>
      <c r="BT372"/>
      <c r="BU372"/>
      <c r="BV372"/>
      <c r="BW372"/>
      <c r="BX372"/>
      <c r="BY372"/>
      <c r="BZ372"/>
      <c r="CA372"/>
    </row>
    <row r="373" spans="1:79" s="39" customFormat="1" x14ac:dyDescent="0.25">
      <c r="A373" s="5"/>
      <c r="B373" s="13"/>
      <c r="C373" s="13"/>
      <c r="D373" s="13"/>
      <c r="E373" s="13"/>
      <c r="F373" s="9"/>
      <c r="G373" s="32"/>
      <c r="H373" s="32"/>
      <c r="I373" s="32"/>
      <c r="J373" s="32"/>
      <c r="K373" s="29"/>
      <c r="L373" s="29"/>
      <c r="M373" s="29"/>
      <c r="N373" s="29"/>
      <c r="O373" s="29"/>
      <c r="P373" s="29"/>
      <c r="Q373" s="29"/>
      <c r="R373" s="38"/>
      <c r="BR373"/>
      <c r="BS373"/>
      <c r="BT373"/>
      <c r="BU373"/>
      <c r="BV373"/>
      <c r="BW373"/>
      <c r="BX373"/>
      <c r="BY373"/>
      <c r="BZ373"/>
      <c r="CA373"/>
    </row>
    <row r="374" spans="1:79" s="39" customFormat="1" x14ac:dyDescent="0.25">
      <c r="A374" s="5"/>
      <c r="B374" s="13"/>
      <c r="C374" s="13"/>
      <c r="D374" s="13"/>
      <c r="E374" s="13"/>
      <c r="F374" s="9"/>
      <c r="G374" s="32"/>
      <c r="H374" s="32"/>
      <c r="I374" s="32"/>
      <c r="J374" s="32"/>
      <c r="K374" s="29"/>
      <c r="L374" s="29"/>
      <c r="M374" s="29"/>
      <c r="N374" s="29"/>
      <c r="O374" s="29"/>
      <c r="P374" s="29"/>
      <c r="Q374" s="29"/>
      <c r="R374" s="38"/>
      <c r="BR374"/>
      <c r="BS374"/>
      <c r="BT374"/>
      <c r="BU374"/>
      <c r="BV374"/>
      <c r="BW374"/>
      <c r="BX374"/>
      <c r="BY374"/>
      <c r="BZ374"/>
      <c r="CA374"/>
    </row>
    <row r="375" spans="1:79" s="39" customFormat="1" x14ac:dyDescent="0.25">
      <c r="A375" s="5"/>
      <c r="B375" s="13"/>
      <c r="C375" s="13"/>
      <c r="D375" s="13"/>
      <c r="E375" s="13"/>
      <c r="F375" s="9"/>
      <c r="G375" s="32"/>
      <c r="H375" s="32"/>
      <c r="I375" s="32"/>
      <c r="J375" s="32"/>
      <c r="K375" s="29"/>
      <c r="L375" s="29"/>
      <c r="M375" s="29"/>
      <c r="N375" s="29"/>
      <c r="O375" s="29"/>
      <c r="P375" s="29"/>
      <c r="Q375" s="29"/>
      <c r="R375" s="38"/>
      <c r="BR375"/>
      <c r="BS375"/>
      <c r="BT375"/>
      <c r="BU375"/>
      <c r="BV375"/>
      <c r="BW375"/>
      <c r="BX375"/>
      <c r="BY375"/>
      <c r="BZ375"/>
      <c r="CA375"/>
    </row>
    <row r="376" spans="1:79" s="39" customFormat="1" x14ac:dyDescent="0.25">
      <c r="A376" s="5"/>
      <c r="B376" s="13"/>
      <c r="C376" s="13"/>
      <c r="D376" s="13"/>
      <c r="E376" s="13"/>
      <c r="F376" s="9"/>
      <c r="G376" s="32"/>
      <c r="H376" s="32"/>
      <c r="I376" s="32"/>
      <c r="J376" s="32"/>
      <c r="K376" s="29"/>
      <c r="L376" s="29"/>
      <c r="M376" s="29"/>
      <c r="N376" s="29"/>
      <c r="O376" s="29"/>
      <c r="P376" s="29"/>
      <c r="Q376" s="29"/>
      <c r="R376" s="38"/>
      <c r="BR376"/>
      <c r="BS376"/>
      <c r="BT376"/>
      <c r="BU376"/>
      <c r="BV376"/>
      <c r="BW376"/>
      <c r="BX376"/>
      <c r="BY376"/>
      <c r="BZ376"/>
      <c r="CA376"/>
    </row>
    <row r="377" spans="1:79" s="39" customFormat="1" x14ac:dyDescent="0.25">
      <c r="A377" s="5"/>
      <c r="B377" s="13"/>
      <c r="C377" s="13"/>
      <c r="D377" s="13"/>
      <c r="E377" s="13"/>
      <c r="F377" s="9"/>
      <c r="G377" s="32"/>
      <c r="H377" s="32"/>
      <c r="I377" s="32"/>
      <c r="J377" s="32"/>
      <c r="K377" s="29"/>
      <c r="L377" s="29"/>
      <c r="M377" s="29"/>
      <c r="N377" s="29"/>
      <c r="O377" s="29"/>
      <c r="P377" s="29"/>
      <c r="Q377" s="29"/>
      <c r="R377" s="38"/>
      <c r="BR377"/>
      <c r="BS377"/>
      <c r="BT377"/>
      <c r="BU377"/>
      <c r="BV377"/>
      <c r="BW377"/>
      <c r="BX377"/>
      <c r="BY377"/>
      <c r="BZ377"/>
      <c r="CA377"/>
    </row>
    <row r="378" spans="1:79" s="39" customFormat="1" x14ac:dyDescent="0.25">
      <c r="A378" s="5"/>
      <c r="B378" s="13"/>
      <c r="C378" s="13"/>
      <c r="D378" s="13"/>
      <c r="E378" s="13"/>
      <c r="F378" s="9"/>
      <c r="G378" s="32"/>
      <c r="H378" s="32"/>
      <c r="I378" s="32"/>
      <c r="J378" s="32"/>
      <c r="K378" s="29"/>
      <c r="L378" s="29"/>
      <c r="M378" s="29"/>
      <c r="N378" s="29"/>
      <c r="O378" s="29"/>
      <c r="P378" s="29"/>
      <c r="Q378" s="29"/>
      <c r="R378" s="38"/>
      <c r="BR378"/>
      <c r="BS378"/>
      <c r="BT378"/>
      <c r="BU378"/>
      <c r="BV378"/>
      <c r="BW378"/>
      <c r="BX378"/>
      <c r="BY378"/>
      <c r="BZ378"/>
      <c r="CA378"/>
    </row>
    <row r="379" spans="1:79" s="39" customFormat="1" x14ac:dyDescent="0.25">
      <c r="A379" s="5"/>
      <c r="B379" s="13"/>
      <c r="C379" s="13"/>
      <c r="D379" s="13"/>
      <c r="E379" s="13"/>
      <c r="F379" s="9"/>
      <c r="G379" s="32"/>
      <c r="H379" s="32"/>
      <c r="I379" s="32"/>
      <c r="J379" s="32"/>
      <c r="K379" s="29"/>
      <c r="L379" s="29"/>
      <c r="M379" s="29"/>
      <c r="N379" s="29"/>
      <c r="O379" s="29"/>
      <c r="P379" s="29"/>
      <c r="Q379" s="29"/>
      <c r="R379" s="38"/>
      <c r="BR379"/>
      <c r="BS379"/>
      <c r="BT379"/>
      <c r="BU379"/>
      <c r="BV379"/>
      <c r="BW379"/>
      <c r="BX379"/>
      <c r="BY379"/>
      <c r="BZ379"/>
      <c r="CA379"/>
    </row>
    <row r="380" spans="1:79" s="39" customFormat="1" x14ac:dyDescent="0.25">
      <c r="A380" s="5"/>
      <c r="B380" s="13"/>
      <c r="C380" s="13"/>
      <c r="D380" s="13"/>
      <c r="E380" s="13"/>
      <c r="F380" s="9"/>
      <c r="G380" s="32"/>
      <c r="H380" s="32"/>
      <c r="I380" s="32"/>
      <c r="J380" s="32"/>
      <c r="K380" s="29"/>
      <c r="L380" s="29"/>
      <c r="M380" s="29"/>
      <c r="N380" s="29"/>
      <c r="O380" s="29"/>
      <c r="P380" s="29"/>
      <c r="Q380" s="29"/>
      <c r="R380" s="38"/>
      <c r="BR380"/>
      <c r="BS380"/>
      <c r="BT380"/>
      <c r="BU380"/>
      <c r="BV380"/>
      <c r="BW380"/>
      <c r="BX380"/>
      <c r="BY380"/>
      <c r="BZ380"/>
      <c r="CA380"/>
    </row>
    <row r="381" spans="1:79" s="39" customFormat="1" x14ac:dyDescent="0.25">
      <c r="A381" s="5"/>
      <c r="B381" s="13"/>
      <c r="C381" s="13"/>
      <c r="D381" s="13"/>
      <c r="E381" s="13"/>
      <c r="F381" s="9"/>
      <c r="G381" s="32"/>
      <c r="H381" s="32"/>
      <c r="I381" s="32"/>
      <c r="J381" s="32"/>
      <c r="K381" s="29"/>
      <c r="L381" s="29"/>
      <c r="M381" s="29"/>
      <c r="N381" s="29"/>
      <c r="O381" s="29"/>
      <c r="P381" s="29"/>
      <c r="Q381" s="29"/>
      <c r="R381" s="38"/>
      <c r="BR381"/>
      <c r="BS381"/>
      <c r="BT381"/>
      <c r="BU381"/>
      <c r="BV381"/>
      <c r="BW381"/>
      <c r="BX381"/>
      <c r="BY381"/>
      <c r="BZ381"/>
      <c r="CA381"/>
    </row>
    <row r="382" spans="1:79" s="39" customFormat="1" x14ac:dyDescent="0.25">
      <c r="A382" s="5"/>
      <c r="B382" s="13"/>
      <c r="C382" s="13"/>
      <c r="D382" s="13"/>
      <c r="E382" s="13"/>
      <c r="F382" s="9"/>
      <c r="G382" s="32"/>
      <c r="H382" s="32"/>
      <c r="I382" s="32"/>
      <c r="J382" s="32"/>
      <c r="K382" s="29"/>
      <c r="L382" s="29"/>
      <c r="M382" s="29"/>
      <c r="N382" s="29"/>
      <c r="O382" s="29"/>
      <c r="P382" s="29"/>
      <c r="Q382" s="29"/>
      <c r="R382" s="38"/>
      <c r="BR382"/>
      <c r="BS382"/>
      <c r="BT382"/>
      <c r="BU382"/>
      <c r="BV382"/>
      <c r="BW382"/>
      <c r="BX382"/>
      <c r="BY382"/>
      <c r="BZ382"/>
      <c r="CA382"/>
    </row>
    <row r="383" spans="1:79" s="39" customFormat="1" x14ac:dyDescent="0.25">
      <c r="A383" s="5"/>
      <c r="B383" s="13"/>
      <c r="C383" s="13"/>
      <c r="D383" s="13"/>
      <c r="E383" s="13"/>
      <c r="F383" s="9"/>
      <c r="G383" s="32"/>
      <c r="H383" s="32"/>
      <c r="I383" s="32"/>
      <c r="J383" s="32"/>
      <c r="K383" s="29"/>
      <c r="L383" s="29"/>
      <c r="M383" s="29"/>
      <c r="N383" s="29"/>
      <c r="O383" s="29"/>
      <c r="P383" s="29"/>
      <c r="Q383" s="29"/>
      <c r="R383" s="38"/>
      <c r="BR383"/>
      <c r="BS383"/>
      <c r="BT383"/>
      <c r="BU383"/>
      <c r="BV383"/>
      <c r="BW383"/>
      <c r="BX383"/>
      <c r="BY383"/>
      <c r="BZ383"/>
      <c r="CA383"/>
    </row>
    <row r="384" spans="1:79" s="39" customFormat="1" x14ac:dyDescent="0.25">
      <c r="A384" s="5"/>
      <c r="B384" s="13"/>
      <c r="C384" s="13"/>
      <c r="D384" s="13"/>
      <c r="E384" s="13"/>
      <c r="F384" s="9"/>
      <c r="G384" s="32"/>
      <c r="H384" s="32"/>
      <c r="I384" s="32"/>
      <c r="J384" s="32"/>
      <c r="K384" s="29"/>
      <c r="L384" s="29"/>
      <c r="M384" s="29"/>
      <c r="N384" s="29"/>
      <c r="O384" s="29"/>
      <c r="P384" s="29"/>
      <c r="Q384" s="29"/>
      <c r="R384" s="38"/>
      <c r="BR384"/>
      <c r="BS384"/>
      <c r="BT384"/>
      <c r="BU384"/>
      <c r="BV384"/>
      <c r="BW384"/>
      <c r="BX384"/>
      <c r="BY384"/>
      <c r="BZ384"/>
      <c r="CA384"/>
    </row>
    <row r="385" spans="1:79" s="39" customFormat="1" x14ac:dyDescent="0.25">
      <c r="A385" s="5"/>
      <c r="B385" s="13"/>
      <c r="C385" s="13"/>
      <c r="D385" s="13"/>
      <c r="E385" s="13"/>
      <c r="F385" s="9"/>
      <c r="G385" s="32"/>
      <c r="H385" s="32"/>
      <c r="I385" s="32"/>
      <c r="J385" s="32"/>
      <c r="K385" s="29"/>
      <c r="L385" s="29"/>
      <c r="M385" s="29"/>
      <c r="N385" s="29"/>
      <c r="O385" s="29"/>
      <c r="P385" s="29"/>
      <c r="Q385" s="29"/>
      <c r="R385" s="38"/>
      <c r="BR385"/>
      <c r="BS385"/>
      <c r="BT385"/>
      <c r="BU385"/>
      <c r="BV385"/>
      <c r="BW385"/>
      <c r="BX385"/>
      <c r="BY385"/>
      <c r="BZ385"/>
      <c r="CA385"/>
    </row>
    <row r="386" spans="1:79" s="39" customFormat="1" x14ac:dyDescent="0.25">
      <c r="A386" s="5"/>
      <c r="B386" s="13"/>
      <c r="C386" s="13"/>
      <c r="D386" s="13"/>
      <c r="E386" s="13"/>
      <c r="F386" s="9"/>
      <c r="G386" s="32"/>
      <c r="H386" s="32"/>
      <c r="I386" s="32"/>
      <c r="J386" s="32"/>
      <c r="K386" s="29"/>
      <c r="L386" s="29"/>
      <c r="M386" s="29"/>
      <c r="N386" s="29"/>
      <c r="O386" s="29"/>
      <c r="P386" s="29"/>
      <c r="Q386" s="29"/>
      <c r="R386" s="38"/>
      <c r="BR386"/>
      <c r="BS386"/>
      <c r="BT386"/>
      <c r="BU386"/>
      <c r="BV386"/>
      <c r="BW386"/>
      <c r="BX386"/>
      <c r="BY386"/>
      <c r="BZ386"/>
      <c r="CA386"/>
    </row>
    <row r="387" spans="1:79" s="39" customFormat="1" x14ac:dyDescent="0.25">
      <c r="A387" s="5"/>
      <c r="B387" s="13"/>
      <c r="C387" s="13"/>
      <c r="D387" s="13"/>
      <c r="E387" s="13"/>
      <c r="F387" s="9"/>
      <c r="G387" s="32"/>
      <c r="H387" s="32"/>
      <c r="I387" s="32"/>
      <c r="J387" s="32"/>
      <c r="K387" s="29"/>
      <c r="L387" s="29"/>
      <c r="M387" s="29"/>
      <c r="N387" s="29"/>
      <c r="O387" s="29"/>
      <c r="P387" s="29"/>
      <c r="Q387" s="29"/>
      <c r="R387" s="38"/>
      <c r="BR387"/>
      <c r="BS387"/>
      <c r="BT387"/>
      <c r="BU387"/>
      <c r="BV387"/>
      <c r="BW387"/>
      <c r="BX387"/>
      <c r="BY387"/>
      <c r="BZ387"/>
      <c r="CA387"/>
    </row>
    <row r="388" spans="1:79" s="39" customFormat="1" x14ac:dyDescent="0.25">
      <c r="A388" s="5"/>
      <c r="B388" s="13"/>
      <c r="C388" s="13"/>
      <c r="D388" s="13"/>
      <c r="E388" s="13"/>
      <c r="F388" s="9"/>
      <c r="G388" s="32"/>
      <c r="H388" s="32"/>
      <c r="I388" s="32"/>
      <c r="J388" s="32"/>
      <c r="K388" s="29"/>
      <c r="L388" s="29"/>
      <c r="M388" s="29"/>
      <c r="N388" s="29"/>
      <c r="O388" s="29"/>
      <c r="P388" s="29"/>
      <c r="Q388" s="29"/>
      <c r="R388" s="38"/>
      <c r="BR388"/>
      <c r="BS388"/>
      <c r="BT388"/>
      <c r="BU388"/>
      <c r="BV388"/>
      <c r="BW388"/>
      <c r="BX388"/>
      <c r="BY388"/>
      <c r="BZ388"/>
      <c r="CA388"/>
    </row>
    <row r="389" spans="1:79" s="39" customFormat="1" x14ac:dyDescent="0.25">
      <c r="A389" s="5"/>
      <c r="B389" s="13"/>
      <c r="C389" s="13"/>
      <c r="D389" s="13"/>
      <c r="E389" s="13"/>
      <c r="F389" s="9"/>
      <c r="G389" s="32"/>
      <c r="H389" s="32"/>
      <c r="I389" s="32"/>
      <c r="J389" s="32"/>
      <c r="K389" s="29"/>
      <c r="L389" s="29"/>
      <c r="M389" s="29"/>
      <c r="N389" s="29"/>
      <c r="O389" s="29"/>
      <c r="P389" s="29"/>
      <c r="Q389" s="29"/>
      <c r="R389" s="38"/>
      <c r="BR389"/>
      <c r="BS389"/>
      <c r="BT389"/>
      <c r="BU389"/>
      <c r="BV389"/>
      <c r="BW389"/>
      <c r="BX389"/>
      <c r="BY389"/>
      <c r="BZ389"/>
      <c r="CA389"/>
    </row>
    <row r="390" spans="1:79" s="39" customFormat="1" x14ac:dyDescent="0.25">
      <c r="A390" s="5"/>
      <c r="B390" s="13"/>
      <c r="C390" s="13"/>
      <c r="D390" s="13"/>
      <c r="E390" s="13"/>
      <c r="F390" s="9"/>
      <c r="G390" s="32"/>
      <c r="H390" s="32"/>
      <c r="I390" s="32"/>
      <c r="J390" s="32"/>
      <c r="K390" s="29"/>
      <c r="L390" s="29"/>
      <c r="M390" s="29"/>
      <c r="N390" s="29"/>
      <c r="O390" s="29"/>
      <c r="P390" s="29"/>
      <c r="Q390" s="29"/>
      <c r="R390" s="38"/>
      <c r="BR390"/>
      <c r="BS390"/>
      <c r="BT390"/>
      <c r="BU390"/>
      <c r="BV390"/>
      <c r="BW390"/>
      <c r="BX390"/>
      <c r="BY390"/>
      <c r="BZ390"/>
      <c r="CA390"/>
    </row>
    <row r="391" spans="1:79" s="39" customFormat="1" x14ac:dyDescent="0.25">
      <c r="A391" s="5"/>
      <c r="B391" s="13"/>
      <c r="C391" s="13"/>
      <c r="D391" s="13"/>
      <c r="E391" s="13"/>
      <c r="F391" s="9"/>
      <c r="G391" s="32"/>
      <c r="H391" s="32"/>
      <c r="I391" s="32"/>
      <c r="J391" s="32"/>
      <c r="K391" s="29"/>
      <c r="L391" s="29"/>
      <c r="M391" s="29"/>
      <c r="N391" s="29"/>
      <c r="O391" s="29"/>
      <c r="P391" s="29"/>
      <c r="Q391" s="29"/>
      <c r="R391" s="38"/>
      <c r="BR391"/>
      <c r="BS391"/>
      <c r="BT391"/>
      <c r="BU391"/>
      <c r="BV391"/>
      <c r="BW391"/>
      <c r="BX391"/>
      <c r="BY391"/>
      <c r="BZ391"/>
      <c r="CA391"/>
    </row>
    <row r="392" spans="1:79" s="39" customFormat="1" x14ac:dyDescent="0.25">
      <c r="A392" s="5"/>
      <c r="B392" s="13"/>
      <c r="C392" s="13"/>
      <c r="D392" s="13"/>
      <c r="E392" s="13"/>
      <c r="F392" s="9"/>
      <c r="G392" s="32"/>
      <c r="H392" s="32"/>
      <c r="I392" s="32"/>
      <c r="J392" s="32"/>
      <c r="K392" s="29"/>
      <c r="L392" s="29"/>
      <c r="M392" s="29"/>
      <c r="N392" s="29"/>
      <c r="O392" s="29"/>
      <c r="P392" s="29"/>
      <c r="Q392" s="29"/>
      <c r="R392" s="38"/>
      <c r="BR392"/>
      <c r="BS392"/>
      <c r="BT392"/>
      <c r="BU392"/>
      <c r="BV392"/>
      <c r="BW392"/>
      <c r="BX392"/>
      <c r="BY392"/>
      <c r="BZ392"/>
      <c r="CA392"/>
    </row>
    <row r="393" spans="1:79" s="39" customFormat="1" x14ac:dyDescent="0.25">
      <c r="A393" s="5"/>
      <c r="B393" s="13"/>
      <c r="C393" s="13"/>
      <c r="D393" s="13"/>
      <c r="E393" s="13"/>
      <c r="F393" s="9"/>
      <c r="G393" s="32"/>
      <c r="H393" s="32"/>
      <c r="I393" s="32"/>
      <c r="J393" s="32"/>
      <c r="K393" s="29"/>
      <c r="L393" s="29"/>
      <c r="M393" s="29"/>
      <c r="N393" s="29"/>
      <c r="O393" s="29"/>
      <c r="P393" s="29"/>
      <c r="Q393" s="29"/>
      <c r="R393" s="38"/>
      <c r="BR393"/>
      <c r="BS393"/>
      <c r="BT393"/>
      <c r="BU393"/>
      <c r="BV393"/>
      <c r="BW393"/>
      <c r="BX393"/>
      <c r="BY393"/>
      <c r="BZ393"/>
      <c r="CA393"/>
    </row>
    <row r="394" spans="1:79" s="39" customFormat="1" x14ac:dyDescent="0.25">
      <c r="A394" s="5"/>
      <c r="B394" s="13"/>
      <c r="C394" s="13"/>
      <c r="D394" s="13"/>
      <c r="E394" s="13"/>
      <c r="F394" s="9"/>
      <c r="G394" s="32"/>
      <c r="H394" s="32"/>
      <c r="I394" s="32"/>
      <c r="J394" s="32"/>
      <c r="K394" s="29"/>
      <c r="L394" s="29"/>
      <c r="M394" s="29"/>
      <c r="N394" s="29"/>
      <c r="O394" s="29"/>
      <c r="P394" s="29"/>
      <c r="Q394" s="29"/>
      <c r="R394" s="38"/>
      <c r="BR394"/>
      <c r="BS394"/>
      <c r="BT394"/>
      <c r="BU394"/>
      <c r="BV394"/>
      <c r="BW394"/>
      <c r="BX394"/>
      <c r="BY394"/>
      <c r="BZ394"/>
      <c r="CA394"/>
    </row>
    <row r="395" spans="1:79" s="39" customFormat="1" x14ac:dyDescent="0.25">
      <c r="A395" s="5"/>
      <c r="B395" s="13"/>
      <c r="C395" s="13"/>
      <c r="D395" s="13"/>
      <c r="E395" s="13"/>
      <c r="F395" s="9"/>
      <c r="G395" s="32"/>
      <c r="H395" s="32"/>
      <c r="I395" s="32"/>
      <c r="J395" s="32"/>
      <c r="K395" s="29"/>
      <c r="L395" s="29"/>
      <c r="M395" s="29"/>
      <c r="N395" s="29"/>
      <c r="O395" s="29"/>
      <c r="P395" s="29"/>
      <c r="Q395" s="29"/>
      <c r="R395" s="38"/>
      <c r="BR395"/>
      <c r="BS395"/>
      <c r="BT395"/>
      <c r="BU395"/>
      <c r="BV395"/>
      <c r="BW395"/>
      <c r="BX395"/>
      <c r="BY395"/>
      <c r="BZ395"/>
      <c r="CA395"/>
    </row>
    <row r="396" spans="1:79" s="39" customFormat="1" x14ac:dyDescent="0.25">
      <c r="A396" s="5"/>
      <c r="B396" s="13"/>
      <c r="C396" s="13"/>
      <c r="D396" s="13"/>
      <c r="E396" s="13"/>
      <c r="F396" s="9"/>
      <c r="G396" s="32"/>
      <c r="H396" s="32"/>
      <c r="I396" s="32"/>
      <c r="J396" s="32"/>
      <c r="K396" s="29"/>
      <c r="L396" s="29"/>
      <c r="M396" s="29"/>
      <c r="N396" s="29"/>
      <c r="O396" s="29"/>
      <c r="P396" s="29"/>
      <c r="Q396" s="29"/>
      <c r="R396" s="38"/>
      <c r="BR396"/>
      <c r="BS396"/>
      <c r="BT396"/>
      <c r="BU396"/>
      <c r="BV396"/>
      <c r="BW396"/>
      <c r="BX396"/>
      <c r="BY396"/>
      <c r="BZ396"/>
      <c r="CA396"/>
    </row>
    <row r="397" spans="1:79" s="39" customFormat="1" x14ac:dyDescent="0.25">
      <c r="A397" s="5"/>
      <c r="B397" s="13"/>
      <c r="C397" s="13"/>
      <c r="D397" s="13"/>
      <c r="E397" s="13"/>
      <c r="F397" s="9"/>
      <c r="G397" s="32"/>
      <c r="H397" s="32"/>
      <c r="I397" s="32"/>
      <c r="J397" s="32"/>
      <c r="K397" s="29"/>
      <c r="L397" s="29"/>
      <c r="M397" s="29"/>
      <c r="N397" s="29"/>
      <c r="O397" s="29"/>
      <c r="P397" s="29"/>
      <c r="Q397" s="29"/>
      <c r="R397" s="38"/>
      <c r="BR397"/>
      <c r="BS397"/>
      <c r="BT397"/>
      <c r="BU397"/>
      <c r="BV397"/>
      <c r="BW397"/>
      <c r="BX397"/>
      <c r="BY397"/>
      <c r="BZ397"/>
      <c r="CA397"/>
    </row>
    <row r="398" spans="1:79" s="39" customFormat="1" x14ac:dyDescent="0.25">
      <c r="A398" s="5"/>
      <c r="B398" s="13"/>
      <c r="C398" s="13"/>
      <c r="D398" s="13"/>
      <c r="E398" s="13"/>
      <c r="F398" s="9"/>
      <c r="G398" s="32"/>
      <c r="H398" s="32"/>
      <c r="I398" s="32"/>
      <c r="J398" s="32"/>
      <c r="K398" s="29"/>
      <c r="L398" s="29"/>
      <c r="M398" s="29"/>
      <c r="N398" s="29"/>
      <c r="O398" s="29"/>
      <c r="P398" s="29"/>
      <c r="Q398" s="29"/>
      <c r="R398" s="38"/>
      <c r="BR398"/>
      <c r="BS398"/>
      <c r="BT398"/>
      <c r="BU398"/>
      <c r="BV398"/>
      <c r="BW398"/>
      <c r="BX398"/>
      <c r="BY398"/>
      <c r="BZ398"/>
      <c r="CA398"/>
    </row>
    <row r="399" spans="1:79" s="39" customFormat="1" x14ac:dyDescent="0.25">
      <c r="A399" s="5"/>
      <c r="B399" s="13"/>
      <c r="C399" s="13"/>
      <c r="D399" s="13"/>
      <c r="E399" s="13"/>
      <c r="F399" s="9"/>
      <c r="G399" s="32"/>
      <c r="H399" s="32"/>
      <c r="I399" s="32"/>
      <c r="J399" s="32"/>
      <c r="K399" s="29"/>
      <c r="L399" s="29"/>
      <c r="M399" s="29"/>
      <c r="N399" s="29"/>
      <c r="O399" s="29"/>
      <c r="P399" s="29"/>
      <c r="Q399" s="29"/>
      <c r="R399" s="38"/>
      <c r="BR399"/>
      <c r="BS399"/>
      <c r="BT399"/>
      <c r="BU399"/>
      <c r="BV399"/>
      <c r="BW399"/>
      <c r="BX399"/>
      <c r="BY399"/>
      <c r="BZ399"/>
      <c r="CA399"/>
    </row>
    <row r="400" spans="1:79" s="39" customFormat="1" x14ac:dyDescent="0.25">
      <c r="A400" s="5"/>
      <c r="B400" s="13"/>
      <c r="C400" s="13"/>
      <c r="D400" s="13"/>
      <c r="E400" s="13"/>
      <c r="F400" s="9"/>
      <c r="G400" s="32"/>
      <c r="H400" s="32"/>
      <c r="I400" s="32"/>
      <c r="J400" s="32"/>
      <c r="K400" s="29"/>
      <c r="L400" s="29"/>
      <c r="M400" s="29"/>
      <c r="N400" s="29"/>
      <c r="O400" s="29"/>
      <c r="P400" s="29"/>
      <c r="Q400" s="29"/>
      <c r="R400" s="38"/>
      <c r="BR400"/>
      <c r="BS400"/>
      <c r="BT400"/>
      <c r="BU400"/>
      <c r="BV400"/>
      <c r="BW400"/>
      <c r="BX400"/>
      <c r="BY400"/>
      <c r="BZ400"/>
      <c r="CA400"/>
    </row>
    <row r="401" spans="1:79" s="39" customFormat="1" x14ac:dyDescent="0.25">
      <c r="A401" s="5"/>
      <c r="B401" s="13"/>
      <c r="C401" s="13"/>
      <c r="D401" s="13"/>
      <c r="E401" s="13"/>
      <c r="F401" s="9"/>
      <c r="G401" s="32"/>
      <c r="H401" s="32"/>
      <c r="I401" s="32"/>
      <c r="J401" s="32"/>
      <c r="K401" s="29"/>
      <c r="L401" s="29"/>
      <c r="M401" s="29"/>
      <c r="N401" s="29"/>
      <c r="O401" s="29"/>
      <c r="P401" s="29"/>
      <c r="Q401" s="29"/>
      <c r="R401" s="38"/>
      <c r="BR401"/>
      <c r="BS401"/>
      <c r="BT401"/>
      <c r="BU401"/>
      <c r="BV401"/>
      <c r="BW401"/>
      <c r="BX401"/>
      <c r="BY401"/>
      <c r="BZ401"/>
      <c r="CA401"/>
    </row>
    <row r="402" spans="1:79" s="39" customFormat="1" x14ac:dyDescent="0.25">
      <c r="A402" s="5"/>
      <c r="B402" s="13"/>
      <c r="C402" s="13"/>
      <c r="D402" s="13"/>
      <c r="E402" s="13"/>
      <c r="F402" s="9"/>
      <c r="G402" s="32"/>
      <c r="H402" s="32"/>
      <c r="I402" s="32"/>
      <c r="J402" s="32"/>
      <c r="K402" s="29"/>
      <c r="L402" s="29"/>
      <c r="M402" s="29"/>
      <c r="N402" s="29"/>
      <c r="O402" s="29"/>
      <c r="P402" s="29"/>
      <c r="Q402" s="29"/>
      <c r="R402" s="38"/>
      <c r="BR402"/>
      <c r="BS402"/>
      <c r="BT402"/>
      <c r="BU402"/>
      <c r="BV402"/>
      <c r="BW402"/>
      <c r="BX402"/>
      <c r="BY402"/>
      <c r="BZ402"/>
      <c r="CA402"/>
    </row>
    <row r="403" spans="1:79" s="39" customFormat="1" x14ac:dyDescent="0.25">
      <c r="A403" s="5"/>
      <c r="B403" s="13"/>
      <c r="C403" s="13"/>
      <c r="D403" s="13"/>
      <c r="E403" s="13"/>
      <c r="F403" s="9"/>
      <c r="G403" s="32"/>
      <c r="H403" s="32"/>
      <c r="I403" s="32"/>
      <c r="J403" s="32"/>
      <c r="K403" s="29"/>
      <c r="L403" s="29"/>
      <c r="M403" s="29"/>
      <c r="N403" s="29"/>
      <c r="O403" s="29"/>
      <c r="P403" s="29"/>
      <c r="Q403" s="29"/>
      <c r="R403" s="38"/>
      <c r="BR403"/>
      <c r="BS403"/>
      <c r="BT403"/>
      <c r="BU403"/>
      <c r="BV403"/>
      <c r="BW403"/>
      <c r="BX403"/>
      <c r="BY403"/>
      <c r="BZ403"/>
      <c r="CA403"/>
    </row>
    <row r="404" spans="1:79" s="39" customFormat="1" x14ac:dyDescent="0.25">
      <c r="A404" s="5"/>
      <c r="B404" s="13"/>
      <c r="C404" s="13"/>
      <c r="D404" s="13"/>
      <c r="E404" s="13"/>
      <c r="F404" s="9"/>
      <c r="G404" s="32"/>
      <c r="H404" s="32"/>
      <c r="I404" s="32"/>
      <c r="J404" s="32"/>
      <c r="K404" s="29"/>
      <c r="L404" s="29"/>
      <c r="M404" s="29"/>
      <c r="N404" s="29"/>
      <c r="O404" s="29"/>
      <c r="P404" s="29"/>
      <c r="Q404" s="29"/>
      <c r="R404" s="38"/>
      <c r="BR404"/>
      <c r="BS404"/>
      <c r="BT404"/>
      <c r="BU404"/>
      <c r="BV404"/>
      <c r="BW404"/>
      <c r="BX404"/>
      <c r="BY404"/>
      <c r="BZ404"/>
      <c r="CA404"/>
    </row>
    <row r="405" spans="1:79" s="39" customFormat="1" x14ac:dyDescent="0.25">
      <c r="A405" s="5"/>
      <c r="B405" s="13"/>
      <c r="C405" s="13"/>
      <c r="D405" s="13"/>
      <c r="E405" s="13"/>
      <c r="F405" s="9"/>
      <c r="G405" s="32"/>
      <c r="H405" s="32"/>
      <c r="I405" s="32"/>
      <c r="J405" s="32"/>
      <c r="K405" s="29"/>
      <c r="L405" s="29"/>
      <c r="M405" s="29"/>
      <c r="N405" s="29"/>
      <c r="O405" s="29"/>
      <c r="P405" s="29"/>
      <c r="Q405" s="29"/>
      <c r="R405" s="38"/>
      <c r="BR405"/>
      <c r="BS405"/>
      <c r="BT405"/>
      <c r="BU405"/>
      <c r="BV405"/>
      <c r="BW405"/>
      <c r="BX405"/>
      <c r="BY405"/>
      <c r="BZ405"/>
      <c r="CA405"/>
    </row>
    <row r="406" spans="1:79" s="39" customFormat="1" x14ac:dyDescent="0.25">
      <c r="A406" s="5"/>
      <c r="B406" s="13"/>
      <c r="C406" s="13"/>
      <c r="D406" s="13"/>
      <c r="E406" s="13"/>
      <c r="F406" s="9"/>
      <c r="G406" s="32"/>
      <c r="H406" s="32"/>
      <c r="I406" s="32"/>
      <c r="J406" s="32"/>
      <c r="K406" s="29"/>
      <c r="L406" s="29"/>
      <c r="M406" s="29"/>
      <c r="N406" s="29"/>
      <c r="O406" s="29"/>
      <c r="P406" s="29"/>
      <c r="Q406" s="29"/>
      <c r="R406" s="38"/>
      <c r="BR406"/>
      <c r="BS406"/>
      <c r="BT406"/>
      <c r="BU406"/>
      <c r="BV406"/>
      <c r="BW406"/>
      <c r="BX406"/>
      <c r="BY406"/>
      <c r="BZ406"/>
      <c r="CA406"/>
    </row>
    <row r="407" spans="1:79" s="39" customFormat="1" x14ac:dyDescent="0.25">
      <c r="A407" s="5"/>
      <c r="B407" s="13"/>
      <c r="C407" s="13"/>
      <c r="D407" s="13"/>
      <c r="E407" s="13"/>
      <c r="F407" s="9"/>
      <c r="G407" s="32"/>
      <c r="H407" s="32"/>
      <c r="I407" s="32"/>
      <c r="J407" s="32"/>
      <c r="K407" s="29"/>
      <c r="L407" s="29"/>
      <c r="M407" s="29"/>
      <c r="N407" s="29"/>
      <c r="O407" s="29"/>
      <c r="P407" s="29"/>
      <c r="Q407" s="29"/>
      <c r="R407" s="38"/>
      <c r="BR407"/>
      <c r="BS407"/>
      <c r="BT407"/>
      <c r="BU407"/>
      <c r="BV407"/>
      <c r="BW407"/>
      <c r="BX407"/>
      <c r="BY407"/>
      <c r="BZ407"/>
      <c r="CA407"/>
    </row>
    <row r="408" spans="1:79" s="39" customFormat="1" x14ac:dyDescent="0.25">
      <c r="A408" s="5"/>
      <c r="B408" s="13"/>
      <c r="C408" s="13"/>
      <c r="D408" s="13"/>
      <c r="E408" s="13"/>
      <c r="F408" s="9"/>
      <c r="G408" s="32"/>
      <c r="H408" s="32"/>
      <c r="I408" s="32"/>
      <c r="J408" s="32"/>
      <c r="K408" s="29"/>
      <c r="L408" s="29"/>
      <c r="M408" s="29"/>
      <c r="N408" s="29"/>
      <c r="O408" s="29"/>
      <c r="P408" s="29"/>
      <c r="Q408" s="29"/>
      <c r="R408" s="38"/>
      <c r="BR408"/>
      <c r="BS408"/>
      <c r="BT408"/>
      <c r="BU408"/>
      <c r="BV408"/>
      <c r="BW408"/>
      <c r="BX408"/>
      <c r="BY408"/>
      <c r="BZ408"/>
      <c r="CA408"/>
    </row>
    <row r="409" spans="1:79" s="39" customFormat="1" x14ac:dyDescent="0.25">
      <c r="A409" s="5"/>
      <c r="B409" s="13"/>
      <c r="C409" s="13"/>
      <c r="D409" s="13"/>
      <c r="E409" s="13"/>
      <c r="F409" s="9"/>
      <c r="G409" s="32"/>
      <c r="H409" s="32"/>
      <c r="I409" s="32"/>
      <c r="J409" s="32"/>
      <c r="K409" s="29"/>
      <c r="L409" s="29"/>
      <c r="M409" s="29"/>
      <c r="N409" s="29"/>
      <c r="O409" s="29"/>
      <c r="P409" s="29"/>
      <c r="Q409" s="29"/>
      <c r="R409" s="38"/>
      <c r="BR409"/>
      <c r="BS409"/>
      <c r="BT409"/>
      <c r="BU409"/>
      <c r="BV409"/>
      <c r="BW409"/>
      <c r="BX409"/>
      <c r="BY409"/>
      <c r="BZ409"/>
      <c r="CA409"/>
    </row>
    <row r="410" spans="1:79" s="39" customFormat="1" x14ac:dyDescent="0.25">
      <c r="A410" s="5"/>
      <c r="B410" s="13"/>
      <c r="C410" s="13"/>
      <c r="D410" s="13"/>
      <c r="E410" s="13"/>
      <c r="F410" s="9"/>
      <c r="G410" s="32"/>
      <c r="H410" s="32"/>
      <c r="I410" s="32"/>
      <c r="J410" s="32"/>
      <c r="K410" s="29"/>
      <c r="L410" s="29"/>
      <c r="M410" s="29"/>
      <c r="N410" s="29"/>
      <c r="O410" s="29"/>
      <c r="P410" s="29"/>
      <c r="Q410" s="29"/>
      <c r="R410" s="38"/>
      <c r="BR410"/>
      <c r="BS410"/>
      <c r="BT410"/>
      <c r="BU410"/>
      <c r="BV410"/>
      <c r="BW410"/>
      <c r="BX410"/>
      <c r="BY410"/>
      <c r="BZ410"/>
      <c r="CA410"/>
    </row>
    <row r="411" spans="1:79" s="39" customFormat="1" x14ac:dyDescent="0.25">
      <c r="A411" s="5"/>
      <c r="B411" s="13"/>
      <c r="C411" s="13"/>
      <c r="D411" s="13"/>
      <c r="E411" s="13"/>
      <c r="F411" s="9"/>
      <c r="G411" s="32"/>
      <c r="H411" s="32"/>
      <c r="I411" s="32"/>
      <c r="J411" s="32"/>
      <c r="K411" s="29"/>
      <c r="L411" s="29"/>
      <c r="M411" s="29"/>
      <c r="N411" s="29"/>
      <c r="O411" s="29"/>
      <c r="P411" s="29"/>
      <c r="Q411" s="29"/>
      <c r="R411" s="38"/>
      <c r="BR411"/>
      <c r="BS411"/>
      <c r="BT411"/>
      <c r="BU411"/>
      <c r="BV411"/>
      <c r="BW411"/>
      <c r="BX411"/>
      <c r="BY411"/>
      <c r="BZ411"/>
      <c r="CA411"/>
    </row>
    <row r="412" spans="1:79" s="39" customFormat="1" x14ac:dyDescent="0.25">
      <c r="A412" s="5"/>
      <c r="B412" s="13"/>
      <c r="C412" s="13"/>
      <c r="D412" s="13"/>
      <c r="E412" s="13"/>
      <c r="F412" s="9"/>
      <c r="G412" s="32"/>
      <c r="H412" s="32"/>
      <c r="I412" s="32"/>
      <c r="J412" s="32"/>
      <c r="K412" s="29"/>
      <c r="L412" s="29"/>
      <c r="M412" s="29"/>
      <c r="N412" s="29"/>
      <c r="O412" s="29"/>
      <c r="P412" s="29"/>
      <c r="Q412" s="29"/>
      <c r="R412" s="38"/>
      <c r="BR412"/>
      <c r="BS412"/>
      <c r="BT412"/>
      <c r="BU412"/>
      <c r="BV412"/>
      <c r="BW412"/>
      <c r="BX412"/>
      <c r="BY412"/>
      <c r="BZ412"/>
      <c r="CA412"/>
    </row>
    <row r="413" spans="1:79" s="39" customFormat="1" x14ac:dyDescent="0.25">
      <c r="A413" s="5"/>
      <c r="B413" s="13"/>
      <c r="C413" s="13"/>
      <c r="D413" s="13"/>
      <c r="E413" s="13"/>
      <c r="F413" s="9"/>
      <c r="G413" s="32"/>
      <c r="H413" s="32"/>
      <c r="I413" s="32"/>
      <c r="J413" s="32"/>
      <c r="K413" s="29"/>
      <c r="L413" s="29"/>
      <c r="M413" s="29"/>
      <c r="N413" s="29"/>
      <c r="O413" s="29"/>
      <c r="P413" s="29"/>
      <c r="Q413" s="29"/>
      <c r="R413" s="38"/>
      <c r="BR413"/>
      <c r="BS413"/>
      <c r="BT413"/>
      <c r="BU413"/>
      <c r="BV413"/>
      <c r="BW413"/>
      <c r="BX413"/>
      <c r="BY413"/>
      <c r="BZ413"/>
      <c r="CA413"/>
    </row>
    <row r="414" spans="1:79" s="39" customFormat="1" x14ac:dyDescent="0.25">
      <c r="A414" s="5"/>
      <c r="B414" s="13"/>
      <c r="C414" s="13"/>
      <c r="D414" s="13"/>
      <c r="E414" s="13"/>
      <c r="F414" s="9"/>
      <c r="G414" s="32"/>
      <c r="H414" s="32"/>
      <c r="I414" s="32"/>
      <c r="J414" s="32"/>
      <c r="K414" s="29"/>
      <c r="L414" s="29"/>
      <c r="M414" s="29"/>
      <c r="N414" s="29"/>
      <c r="O414" s="29"/>
      <c r="P414" s="29"/>
      <c r="Q414" s="29"/>
      <c r="R414" s="38"/>
      <c r="BR414"/>
      <c r="BS414"/>
      <c r="BT414"/>
      <c r="BU414"/>
      <c r="BV414"/>
      <c r="BW414"/>
      <c r="BX414"/>
      <c r="BY414"/>
      <c r="BZ414"/>
      <c r="CA414"/>
    </row>
    <row r="415" spans="1:79" s="39" customFormat="1" x14ac:dyDescent="0.25">
      <c r="A415" s="5"/>
      <c r="B415" s="13"/>
      <c r="C415" s="13"/>
      <c r="D415" s="13"/>
      <c r="E415" s="13"/>
      <c r="F415" s="9"/>
      <c r="G415" s="32"/>
      <c r="H415" s="32"/>
      <c r="I415" s="32"/>
      <c r="J415" s="32"/>
      <c r="K415" s="29"/>
      <c r="L415" s="29"/>
      <c r="M415" s="29"/>
      <c r="N415" s="29"/>
      <c r="O415" s="29"/>
      <c r="P415" s="29"/>
      <c r="Q415" s="29"/>
      <c r="R415" s="38"/>
      <c r="BR415"/>
      <c r="BS415"/>
      <c r="BT415"/>
      <c r="BU415"/>
      <c r="BV415"/>
      <c r="BW415"/>
      <c r="BX415"/>
      <c r="BY415"/>
      <c r="BZ415"/>
      <c r="CA415"/>
    </row>
    <row r="416" spans="1:79" s="39" customFormat="1" x14ac:dyDescent="0.25">
      <c r="A416" s="5"/>
      <c r="B416" s="13"/>
      <c r="C416" s="13"/>
      <c r="D416" s="13"/>
      <c r="E416" s="13"/>
      <c r="F416" s="9"/>
      <c r="G416" s="32"/>
      <c r="H416" s="32"/>
      <c r="I416" s="32"/>
      <c r="J416" s="32"/>
      <c r="K416" s="29"/>
      <c r="L416" s="29"/>
      <c r="M416" s="29"/>
      <c r="N416" s="29"/>
      <c r="O416" s="29"/>
      <c r="P416" s="29"/>
      <c r="Q416" s="29"/>
      <c r="R416" s="38"/>
      <c r="BR416"/>
      <c r="BS416"/>
      <c r="BT416"/>
      <c r="BU416"/>
      <c r="BV416"/>
      <c r="BW416"/>
      <c r="BX416"/>
      <c r="BY416"/>
      <c r="BZ416"/>
      <c r="CA416"/>
    </row>
    <row r="417" spans="1:79" s="39" customFormat="1" x14ac:dyDescent="0.25">
      <c r="A417" s="5"/>
      <c r="B417" s="13"/>
      <c r="C417" s="13"/>
      <c r="D417" s="13"/>
      <c r="E417" s="13"/>
      <c r="F417" s="9"/>
      <c r="G417" s="32"/>
      <c r="H417" s="32"/>
      <c r="I417" s="32"/>
      <c r="J417" s="32"/>
      <c r="K417" s="29"/>
      <c r="L417" s="29"/>
      <c r="M417" s="29"/>
      <c r="N417" s="29"/>
      <c r="O417" s="29"/>
      <c r="P417" s="29"/>
      <c r="Q417" s="29"/>
      <c r="R417" s="38"/>
      <c r="BR417"/>
      <c r="BS417"/>
      <c r="BT417"/>
      <c r="BU417"/>
      <c r="BV417"/>
      <c r="BW417"/>
      <c r="BX417"/>
      <c r="BY417"/>
      <c r="BZ417"/>
      <c r="CA417"/>
    </row>
    <row r="418" spans="1:79" s="39" customFormat="1" x14ac:dyDescent="0.25">
      <c r="A418" s="5"/>
      <c r="B418" s="13"/>
      <c r="C418" s="13"/>
      <c r="D418" s="13"/>
      <c r="E418" s="13"/>
      <c r="F418" s="9"/>
      <c r="G418" s="32"/>
      <c r="H418" s="32"/>
      <c r="I418" s="32"/>
      <c r="J418" s="32"/>
      <c r="K418" s="29"/>
      <c r="L418" s="29"/>
      <c r="M418" s="29"/>
      <c r="N418" s="29"/>
      <c r="O418" s="29"/>
      <c r="P418" s="29"/>
      <c r="Q418" s="29"/>
      <c r="R418" s="38"/>
      <c r="BR418"/>
      <c r="BS418"/>
      <c r="BT418"/>
      <c r="BU418"/>
      <c r="BV418"/>
      <c r="BW418"/>
      <c r="BX418"/>
      <c r="BY418"/>
      <c r="BZ418"/>
      <c r="CA418"/>
    </row>
    <row r="419" spans="1:79" s="39" customFormat="1" x14ac:dyDescent="0.25">
      <c r="A419" s="5"/>
      <c r="B419" s="13"/>
      <c r="C419" s="13"/>
      <c r="D419" s="13"/>
      <c r="E419" s="13"/>
      <c r="F419" s="9"/>
      <c r="G419" s="32"/>
      <c r="H419" s="32"/>
      <c r="I419" s="32"/>
      <c r="J419" s="32"/>
      <c r="K419" s="29"/>
      <c r="L419" s="29"/>
      <c r="M419" s="29"/>
      <c r="N419" s="29"/>
      <c r="O419" s="29"/>
      <c r="P419" s="29"/>
      <c r="Q419" s="29"/>
      <c r="R419" s="38"/>
      <c r="BR419"/>
      <c r="BS419"/>
      <c r="BT419"/>
      <c r="BU419"/>
      <c r="BV419"/>
      <c r="BW419"/>
      <c r="BX419"/>
      <c r="BY419"/>
      <c r="BZ419"/>
      <c r="CA419"/>
    </row>
    <row r="420" spans="1:79" s="39" customFormat="1" x14ac:dyDescent="0.25">
      <c r="A420" s="5"/>
      <c r="B420" s="13"/>
      <c r="C420" s="13"/>
      <c r="D420" s="13"/>
      <c r="E420" s="13"/>
      <c r="F420" s="9"/>
      <c r="G420" s="32"/>
      <c r="H420" s="32"/>
      <c r="I420" s="32"/>
      <c r="J420" s="32"/>
      <c r="K420" s="29"/>
      <c r="L420" s="29"/>
      <c r="M420" s="29"/>
      <c r="N420" s="29"/>
      <c r="O420" s="29"/>
      <c r="P420" s="29"/>
      <c r="Q420" s="29"/>
      <c r="R420" s="38"/>
      <c r="BR420"/>
      <c r="BS420"/>
      <c r="BT420"/>
      <c r="BU420"/>
      <c r="BV420"/>
      <c r="BW420"/>
      <c r="BX420"/>
      <c r="BY420"/>
      <c r="BZ420"/>
      <c r="CA420"/>
    </row>
    <row r="421" spans="1:79" s="39" customFormat="1" x14ac:dyDescent="0.25">
      <c r="A421" s="5"/>
      <c r="B421" s="13"/>
      <c r="C421" s="13"/>
      <c r="D421" s="13"/>
      <c r="E421" s="13"/>
      <c r="F421" s="9"/>
      <c r="G421" s="32"/>
      <c r="H421" s="32"/>
      <c r="I421" s="32"/>
      <c r="J421" s="32"/>
      <c r="K421" s="29"/>
      <c r="L421" s="29"/>
      <c r="M421" s="29"/>
      <c r="N421" s="29"/>
      <c r="O421" s="29"/>
      <c r="P421" s="29"/>
      <c r="Q421" s="29"/>
      <c r="R421" s="38"/>
      <c r="BR421"/>
      <c r="BS421"/>
      <c r="BT421"/>
      <c r="BU421"/>
      <c r="BV421"/>
      <c r="BW421"/>
      <c r="BX421"/>
      <c r="BY421"/>
      <c r="BZ421"/>
      <c r="CA421"/>
    </row>
    <row r="422" spans="1:79" s="39" customFormat="1" x14ac:dyDescent="0.25">
      <c r="A422" s="5"/>
      <c r="B422" s="13"/>
      <c r="C422" s="13"/>
      <c r="D422" s="13"/>
      <c r="E422" s="13"/>
      <c r="F422" s="9"/>
      <c r="G422" s="32"/>
      <c r="H422" s="32"/>
      <c r="I422" s="32"/>
      <c r="J422" s="32"/>
      <c r="K422" s="29"/>
      <c r="L422" s="29"/>
      <c r="M422" s="29"/>
      <c r="N422" s="29"/>
      <c r="O422" s="29"/>
      <c r="P422" s="29"/>
      <c r="Q422" s="29"/>
      <c r="R422" s="38"/>
      <c r="BR422"/>
      <c r="BS422"/>
      <c r="BT422"/>
      <c r="BU422"/>
      <c r="BV422"/>
      <c r="BW422"/>
      <c r="BX422"/>
      <c r="BY422"/>
      <c r="BZ422"/>
      <c r="CA422"/>
    </row>
    <row r="423" spans="1:79" s="39" customFormat="1" x14ac:dyDescent="0.25">
      <c r="A423" s="5"/>
      <c r="B423" s="13"/>
      <c r="C423" s="13"/>
      <c r="D423" s="13"/>
      <c r="E423" s="13"/>
      <c r="F423" s="9"/>
      <c r="G423" s="32"/>
      <c r="H423" s="32"/>
      <c r="I423" s="32"/>
      <c r="J423" s="32"/>
      <c r="K423" s="29"/>
      <c r="L423" s="29"/>
      <c r="M423" s="29"/>
      <c r="N423" s="29"/>
      <c r="O423" s="29"/>
      <c r="P423" s="29"/>
      <c r="Q423" s="29"/>
      <c r="R423" s="38"/>
      <c r="BR423"/>
      <c r="BS423"/>
      <c r="BT423"/>
      <c r="BU423"/>
      <c r="BV423"/>
      <c r="BW423"/>
      <c r="BX423"/>
      <c r="BY423"/>
      <c r="BZ423"/>
      <c r="CA423"/>
    </row>
    <row r="424" spans="1:79" s="39" customFormat="1" x14ac:dyDescent="0.25">
      <c r="A424" s="5"/>
      <c r="B424" s="13"/>
      <c r="C424" s="13"/>
      <c r="D424" s="13"/>
      <c r="E424" s="13"/>
      <c r="F424" s="9"/>
      <c r="G424" s="32"/>
      <c r="H424" s="32"/>
      <c r="I424" s="32"/>
      <c r="J424" s="32"/>
      <c r="K424" s="29"/>
      <c r="L424" s="29"/>
      <c r="M424" s="29"/>
      <c r="N424" s="29"/>
      <c r="O424" s="29"/>
      <c r="P424" s="29"/>
      <c r="Q424" s="29"/>
      <c r="R424" s="38"/>
      <c r="BR424"/>
      <c r="BS424"/>
      <c r="BT424"/>
      <c r="BU424"/>
      <c r="BV424"/>
      <c r="BW424"/>
      <c r="BX424"/>
      <c r="BY424"/>
      <c r="BZ424"/>
      <c r="CA424"/>
    </row>
    <row r="425" spans="1:79" s="39" customFormat="1" x14ac:dyDescent="0.25">
      <c r="A425" s="5"/>
      <c r="B425" s="13"/>
      <c r="C425" s="13"/>
      <c r="D425" s="13"/>
      <c r="E425" s="13"/>
      <c r="F425" s="9"/>
      <c r="G425" s="32"/>
      <c r="H425" s="32"/>
      <c r="I425" s="32"/>
      <c r="J425" s="32"/>
      <c r="K425" s="29"/>
      <c r="L425" s="29"/>
      <c r="M425" s="29"/>
      <c r="N425" s="29"/>
      <c r="O425" s="29"/>
      <c r="P425" s="29"/>
      <c r="Q425" s="29"/>
      <c r="R425" s="38"/>
      <c r="BR425"/>
      <c r="BS425"/>
      <c r="BT425"/>
      <c r="BU425"/>
      <c r="BV425"/>
      <c r="BW425"/>
      <c r="BX425"/>
      <c r="BY425"/>
      <c r="BZ425"/>
      <c r="CA425"/>
    </row>
    <row r="426" spans="1:79" s="39" customFormat="1" x14ac:dyDescent="0.25">
      <c r="A426" s="5"/>
      <c r="B426" s="13"/>
      <c r="C426" s="13"/>
      <c r="D426" s="13"/>
      <c r="E426" s="13"/>
      <c r="F426" s="9"/>
      <c r="G426" s="32"/>
      <c r="H426" s="32"/>
      <c r="I426" s="32"/>
      <c r="J426" s="32"/>
      <c r="K426" s="29"/>
      <c r="L426" s="29"/>
      <c r="M426" s="29"/>
      <c r="N426" s="29"/>
      <c r="O426" s="29"/>
      <c r="P426" s="29"/>
      <c r="Q426" s="29"/>
      <c r="R426" s="38"/>
      <c r="BR426"/>
      <c r="BS426"/>
      <c r="BT426"/>
      <c r="BU426"/>
      <c r="BV426"/>
      <c r="BW426"/>
      <c r="BX426"/>
      <c r="BY426"/>
      <c r="BZ426"/>
      <c r="CA426"/>
    </row>
    <row r="427" spans="1:79" s="39" customFormat="1" x14ac:dyDescent="0.25">
      <c r="A427" s="5"/>
      <c r="B427" s="13"/>
      <c r="C427" s="13"/>
      <c r="D427" s="13"/>
      <c r="E427" s="13"/>
      <c r="F427" s="9"/>
      <c r="G427" s="32"/>
      <c r="H427" s="32"/>
      <c r="I427" s="32"/>
      <c r="J427" s="32"/>
      <c r="K427" s="29"/>
      <c r="L427" s="29"/>
      <c r="M427" s="29"/>
      <c r="N427" s="29"/>
      <c r="O427" s="29"/>
      <c r="P427" s="29"/>
      <c r="Q427" s="29"/>
      <c r="R427" s="38"/>
      <c r="BR427"/>
      <c r="BS427"/>
      <c r="BT427"/>
      <c r="BU427"/>
      <c r="BV427"/>
      <c r="BW427"/>
      <c r="BX427"/>
      <c r="BY427"/>
      <c r="BZ427"/>
      <c r="CA427"/>
    </row>
    <row r="428" spans="1:79" s="39" customFormat="1" x14ac:dyDescent="0.25">
      <c r="A428" s="5"/>
      <c r="B428" s="13"/>
      <c r="C428" s="13"/>
      <c r="D428" s="13"/>
      <c r="E428" s="13"/>
      <c r="F428" s="9"/>
      <c r="G428" s="32"/>
      <c r="H428" s="32"/>
      <c r="I428" s="32"/>
      <c r="J428" s="32"/>
      <c r="K428" s="29"/>
      <c r="L428" s="29"/>
      <c r="M428" s="29"/>
      <c r="N428" s="29"/>
      <c r="O428" s="29"/>
      <c r="P428" s="29"/>
      <c r="Q428" s="29"/>
      <c r="R428" s="38"/>
      <c r="BR428"/>
      <c r="BS428"/>
      <c r="BT428"/>
      <c r="BU428"/>
      <c r="BV428"/>
      <c r="BW428"/>
      <c r="BX428"/>
      <c r="BY428"/>
      <c r="BZ428"/>
      <c r="CA428"/>
    </row>
    <row r="429" spans="1:79" s="39" customFormat="1" x14ac:dyDescent="0.25">
      <c r="A429" s="5"/>
      <c r="B429" s="13"/>
      <c r="C429" s="13"/>
      <c r="D429" s="13"/>
      <c r="E429" s="13"/>
      <c r="F429" s="9"/>
      <c r="G429" s="32"/>
      <c r="H429" s="32"/>
      <c r="I429" s="32"/>
      <c r="J429" s="32"/>
      <c r="K429" s="29"/>
      <c r="L429" s="29"/>
      <c r="M429" s="29"/>
      <c r="N429" s="29"/>
      <c r="O429" s="29"/>
      <c r="P429" s="29"/>
      <c r="Q429" s="29"/>
      <c r="R429" s="38"/>
      <c r="BR429"/>
      <c r="BS429"/>
      <c r="BT429"/>
      <c r="BU429"/>
      <c r="BV429"/>
      <c r="BW429"/>
      <c r="BX429"/>
      <c r="BY429"/>
      <c r="BZ429"/>
      <c r="CA429"/>
    </row>
    <row r="430" spans="1:79" s="39" customFormat="1" x14ac:dyDescent="0.25">
      <c r="A430" s="5"/>
      <c r="B430" s="13"/>
      <c r="C430" s="13"/>
      <c r="D430" s="13"/>
      <c r="E430" s="13"/>
      <c r="F430" s="9"/>
      <c r="G430" s="32"/>
      <c r="H430" s="32"/>
      <c r="I430" s="32"/>
      <c r="J430" s="32"/>
      <c r="K430" s="29"/>
      <c r="L430" s="29"/>
      <c r="M430" s="29"/>
      <c r="N430" s="29"/>
      <c r="O430" s="29"/>
      <c r="P430" s="29"/>
      <c r="Q430" s="29"/>
      <c r="R430" s="38"/>
      <c r="BR430"/>
      <c r="BS430"/>
      <c r="BT430"/>
      <c r="BU430"/>
      <c r="BV430"/>
      <c r="BW430"/>
      <c r="BX430"/>
      <c r="BY430"/>
      <c r="BZ430"/>
      <c r="CA430"/>
    </row>
    <row r="431" spans="1:79" s="39" customFormat="1" x14ac:dyDescent="0.25">
      <c r="A431" s="5"/>
      <c r="B431" s="13"/>
      <c r="C431" s="13"/>
      <c r="D431" s="13"/>
      <c r="E431" s="13"/>
      <c r="F431" s="9"/>
      <c r="G431" s="32"/>
      <c r="H431" s="32"/>
      <c r="I431" s="32"/>
      <c r="J431" s="32"/>
      <c r="K431" s="29"/>
      <c r="L431" s="29"/>
      <c r="M431" s="29"/>
      <c r="N431" s="29"/>
      <c r="O431" s="29"/>
      <c r="P431" s="29"/>
      <c r="Q431" s="29"/>
      <c r="R431" s="38"/>
      <c r="BR431"/>
      <c r="BS431"/>
      <c r="BT431"/>
      <c r="BU431"/>
      <c r="BV431"/>
      <c r="BW431"/>
      <c r="BX431"/>
      <c r="BY431"/>
      <c r="BZ431"/>
      <c r="CA431"/>
    </row>
  </sheetData>
  <pageMargins left="0.7" right="0.7" top="0.75" bottom="0.75" header="0.3" footer="0.3"/>
  <pageSetup orientation="portrait" horizontalDpi="4294967293"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62EF04-A27D-4141-8132-0192A0DB5832}">
  <sheetPr codeName="Sheet2">
    <tabColor rgb="FF00B0F0"/>
    <outlinePr summaryBelow="0" summaryRight="0"/>
  </sheetPr>
  <dimension ref="A1:BZ446"/>
  <sheetViews>
    <sheetView zoomScale="70" zoomScaleNormal="70" workbookViewId="0">
      <pane xSplit="5" ySplit="1" topLeftCell="F2" activePane="bottomRight" state="frozen"/>
      <selection activeCell="G52" sqref="G52"/>
      <selection pane="topRight" activeCell="G52" sqref="G52"/>
      <selection pane="bottomLeft" activeCell="G52" sqref="G52"/>
      <selection pane="bottomRight" activeCell="C21" sqref="C21:H26"/>
    </sheetView>
    <sheetView zoomScale="70" zoomScaleNormal="70" workbookViewId="1"/>
  </sheetViews>
  <sheetFormatPr defaultRowHeight="15" outlineLevelRow="1" x14ac:dyDescent="0.25"/>
  <cols>
    <col min="1" max="1" width="2.7109375" style="2" customWidth="1"/>
    <col min="2" max="2" width="29.85546875" style="15" bestFit="1" customWidth="1"/>
    <col min="3" max="3" width="27.5703125" style="15" customWidth="1"/>
    <col min="4" max="4" width="43.140625" style="15" bestFit="1" customWidth="1"/>
    <col min="5" max="5" width="22.140625" style="26" customWidth="1"/>
    <col min="6" max="9" width="15.7109375" style="31" customWidth="1"/>
    <col min="10" max="16" width="15.7109375" style="30" customWidth="1"/>
    <col min="17" max="17" width="2.7109375" style="15" customWidth="1"/>
    <col min="18" max="68" width="10.28515625" style="39" bestFit="1" customWidth="1"/>
    <col min="69" max="78" width="10.28515625" bestFit="1" customWidth="1"/>
  </cols>
  <sheetData>
    <row r="1" spans="1:78" x14ac:dyDescent="0.25">
      <c r="A1" s="20"/>
      <c r="B1" s="24" t="s">
        <v>9</v>
      </c>
      <c r="C1" s="24" t="s">
        <v>9</v>
      </c>
      <c r="D1" s="24" t="s">
        <v>16</v>
      </c>
      <c r="E1" s="8" t="s">
        <v>77</v>
      </c>
      <c r="F1" s="33">
        <v>2000</v>
      </c>
      <c r="G1" s="33">
        <v>2005</v>
      </c>
      <c r="H1" s="33">
        <v>2010</v>
      </c>
      <c r="I1" s="33">
        <v>2015</v>
      </c>
      <c r="J1" s="33">
        <v>2020</v>
      </c>
      <c r="K1" s="33">
        <v>2025</v>
      </c>
      <c r="L1" s="33">
        <v>2030</v>
      </c>
      <c r="M1" s="33">
        <v>2035</v>
      </c>
      <c r="N1" s="33">
        <v>2040</v>
      </c>
      <c r="O1" s="33">
        <v>2045</v>
      </c>
      <c r="P1" s="33">
        <v>2050</v>
      </c>
      <c r="Q1" s="36"/>
      <c r="R1" s="33">
        <v>2000</v>
      </c>
      <c r="S1" s="33">
        <v>2001</v>
      </c>
      <c r="T1" s="33">
        <v>2002</v>
      </c>
      <c r="U1" s="33">
        <v>2003</v>
      </c>
      <c r="V1" s="33">
        <v>2004</v>
      </c>
      <c r="W1" s="33">
        <v>2005</v>
      </c>
      <c r="X1" s="33">
        <v>2006</v>
      </c>
      <c r="Y1" s="33">
        <v>2007</v>
      </c>
      <c r="Z1" s="33">
        <v>2008</v>
      </c>
      <c r="AA1" s="33">
        <v>2009</v>
      </c>
      <c r="AB1" s="33">
        <v>2010</v>
      </c>
      <c r="AC1" s="33">
        <v>2011</v>
      </c>
      <c r="AD1" s="33">
        <v>2012</v>
      </c>
      <c r="AE1" s="33">
        <v>2013</v>
      </c>
      <c r="AF1" s="33">
        <v>2014</v>
      </c>
      <c r="AG1" s="33">
        <v>2015</v>
      </c>
      <c r="AH1" s="33">
        <v>2016</v>
      </c>
      <c r="AI1" s="33">
        <v>2017</v>
      </c>
      <c r="AJ1" s="33">
        <v>2018</v>
      </c>
      <c r="AK1" s="33">
        <v>2019</v>
      </c>
      <c r="AL1" s="33">
        <v>2020</v>
      </c>
      <c r="AM1" s="33">
        <v>2021</v>
      </c>
      <c r="AN1" s="33">
        <v>2022</v>
      </c>
      <c r="AO1" s="33">
        <v>2023</v>
      </c>
      <c r="AP1" s="33">
        <v>2024</v>
      </c>
      <c r="AQ1" s="33">
        <v>2025</v>
      </c>
      <c r="AR1" s="33">
        <v>2026</v>
      </c>
      <c r="AS1" s="33">
        <v>2027</v>
      </c>
      <c r="AT1" s="33">
        <v>2028</v>
      </c>
      <c r="AU1" s="33">
        <v>2029</v>
      </c>
      <c r="AV1" s="33">
        <v>2030</v>
      </c>
      <c r="AW1" s="33">
        <v>2031</v>
      </c>
      <c r="AX1" s="33">
        <v>2032</v>
      </c>
      <c r="AY1" s="33">
        <v>2033</v>
      </c>
      <c r="AZ1" s="33">
        <v>2034</v>
      </c>
      <c r="BA1" s="33">
        <v>2035</v>
      </c>
      <c r="BB1" s="33">
        <v>2036</v>
      </c>
      <c r="BC1" s="33">
        <v>2037</v>
      </c>
      <c r="BD1" s="33">
        <v>2038</v>
      </c>
      <c r="BE1" s="33">
        <v>2039</v>
      </c>
      <c r="BF1" s="33">
        <v>2040</v>
      </c>
      <c r="BG1" s="33">
        <v>2041</v>
      </c>
      <c r="BH1" s="33">
        <v>2042</v>
      </c>
      <c r="BI1" s="33">
        <v>2043</v>
      </c>
      <c r="BJ1" s="33">
        <v>2044</v>
      </c>
      <c r="BK1" s="33">
        <v>2045</v>
      </c>
      <c r="BL1" s="33">
        <v>2046</v>
      </c>
      <c r="BM1" s="33">
        <v>2047</v>
      </c>
      <c r="BN1" s="33">
        <v>2048</v>
      </c>
      <c r="BO1" s="33">
        <v>2049</v>
      </c>
      <c r="BP1" s="33">
        <v>2050</v>
      </c>
      <c r="BQ1" s="33">
        <v>2051</v>
      </c>
      <c r="BR1" s="33">
        <v>2052</v>
      </c>
      <c r="BS1" s="33">
        <v>2053</v>
      </c>
      <c r="BT1" s="33">
        <v>2054</v>
      </c>
      <c r="BU1" s="33">
        <v>2055</v>
      </c>
      <c r="BV1" s="33">
        <v>2056</v>
      </c>
      <c r="BW1" s="33">
        <v>2057</v>
      </c>
      <c r="BX1" s="33">
        <v>2058</v>
      </c>
      <c r="BY1" s="33">
        <v>2059</v>
      </c>
      <c r="BZ1" s="33">
        <v>2060</v>
      </c>
    </row>
    <row r="2" spans="1:78" x14ac:dyDescent="0.25">
      <c r="A2" s="11"/>
      <c r="B2" s="13"/>
      <c r="C2" s="13"/>
      <c r="D2" s="13"/>
      <c r="E2" s="9"/>
      <c r="F2" s="28"/>
      <c r="G2" s="28"/>
      <c r="H2" s="28"/>
      <c r="I2" s="28"/>
      <c r="J2" s="28"/>
      <c r="K2" s="28"/>
      <c r="L2" s="28"/>
      <c r="M2" s="28"/>
      <c r="N2" s="28"/>
      <c r="O2" s="28"/>
      <c r="P2" s="28"/>
      <c r="Q2" s="37"/>
    </row>
    <row r="3" spans="1:78" x14ac:dyDescent="0.25">
      <c r="A3" s="5"/>
      <c r="B3" s="57" t="s">
        <v>109</v>
      </c>
      <c r="C3" s="25" t="s">
        <v>48</v>
      </c>
      <c r="D3" s="25" t="s">
        <v>106</v>
      </c>
      <c r="E3" s="27" t="s">
        <v>107</v>
      </c>
      <c r="F3" s="43">
        <f>$S3</f>
        <v>2.6</v>
      </c>
      <c r="G3" s="30">
        <f>linterp($S3:$AH3,$S$1:$AH$1,G$1)</f>
        <v>2.52</v>
      </c>
      <c r="H3" s="30">
        <f t="shared" ref="H3:I16" si="0">linterp($S3:$AH3,$S$1:$AH$1,H$1)</f>
        <v>2.5</v>
      </c>
      <c r="I3" s="30">
        <f t="shared" si="0"/>
        <v>2.42</v>
      </c>
      <c r="J3" s="43">
        <f>$AH3</f>
        <v>2.4</v>
      </c>
      <c r="K3" s="43">
        <f t="shared" ref="K3:P16" si="1">$AH3</f>
        <v>2.4</v>
      </c>
      <c r="L3" s="43">
        <f t="shared" si="1"/>
        <v>2.4</v>
      </c>
      <c r="M3" s="43">
        <f t="shared" si="1"/>
        <v>2.4</v>
      </c>
      <c r="N3" s="43">
        <f t="shared" si="1"/>
        <v>2.4</v>
      </c>
      <c r="O3" s="43">
        <f t="shared" si="1"/>
        <v>2.4</v>
      </c>
      <c r="P3" s="43">
        <f t="shared" si="1"/>
        <v>2.4</v>
      </c>
      <c r="Q3" s="38"/>
      <c r="R3" s="40"/>
      <c r="S3" s="40">
        <v>2.6</v>
      </c>
      <c r="T3" s="40"/>
      <c r="U3" s="40"/>
      <c r="V3" s="40"/>
      <c r="W3" s="40"/>
      <c r="X3" s="40">
        <v>2.5</v>
      </c>
      <c r="Y3" s="40"/>
      <c r="Z3" s="40"/>
      <c r="AA3" s="40"/>
      <c r="AB3" s="40"/>
      <c r="AC3" s="40">
        <v>2.5</v>
      </c>
      <c r="AD3" s="40"/>
      <c r="AE3" s="40"/>
      <c r="AF3" s="40"/>
      <c r="AG3" s="40"/>
      <c r="AH3" s="40">
        <v>2.4</v>
      </c>
      <c r="AI3" s="40"/>
      <c r="AJ3" s="40"/>
      <c r="AK3" s="40"/>
      <c r="AL3" s="40"/>
      <c r="AM3" s="40"/>
      <c r="AN3" s="40"/>
      <c r="AO3" s="40"/>
      <c r="AP3" s="40"/>
      <c r="AQ3" s="40"/>
      <c r="AR3" s="40"/>
      <c r="AS3" s="40"/>
      <c r="AT3" s="40"/>
      <c r="AU3" s="40"/>
      <c r="AV3" s="40"/>
      <c r="AW3" s="40"/>
      <c r="AX3" s="40"/>
      <c r="AY3" s="40"/>
      <c r="AZ3" s="40"/>
      <c r="BA3" s="40"/>
      <c r="BB3" s="40"/>
      <c r="BC3" s="40"/>
      <c r="BD3" s="40"/>
      <c r="BE3" s="40"/>
      <c r="BF3" s="40"/>
      <c r="BG3" s="40"/>
      <c r="BH3" s="40"/>
      <c r="BI3" s="40"/>
      <c r="BJ3" s="40"/>
      <c r="BK3" s="40"/>
      <c r="BL3" s="40"/>
      <c r="BM3" s="40"/>
      <c r="BN3" s="40"/>
      <c r="BO3" s="40"/>
      <c r="BP3" s="40"/>
      <c r="BQ3" s="40"/>
      <c r="BR3" s="40"/>
      <c r="BS3" s="40"/>
      <c r="BT3" s="40"/>
      <c r="BU3" s="40"/>
      <c r="BV3" s="40"/>
      <c r="BW3" s="40"/>
      <c r="BX3" s="40"/>
      <c r="BY3" s="40"/>
      <c r="BZ3" s="40"/>
    </row>
    <row r="4" spans="1:78" x14ac:dyDescent="0.25">
      <c r="A4" s="5"/>
      <c r="B4" s="13"/>
      <c r="C4" s="13" t="s">
        <v>85</v>
      </c>
      <c r="D4" s="25" t="s">
        <v>106</v>
      </c>
      <c r="E4" s="27" t="s">
        <v>107</v>
      </c>
      <c r="F4" s="43">
        <f t="shared" ref="F4:F16" si="2">$S4</f>
        <v>2.7</v>
      </c>
      <c r="G4" s="30">
        <f t="shared" ref="G4:G16" si="3">linterp($S4:$AH4,$S$1:$AH$1,G$1)</f>
        <v>2.54</v>
      </c>
      <c r="H4" s="30">
        <f t="shared" si="0"/>
        <v>2.42</v>
      </c>
      <c r="I4" s="30">
        <f t="shared" si="0"/>
        <v>2.3199999999999998</v>
      </c>
      <c r="J4" s="43">
        <f t="shared" ref="J4:J16" si="4">$AH4</f>
        <v>2.2999999999999998</v>
      </c>
      <c r="K4" s="43">
        <f t="shared" si="1"/>
        <v>2.2999999999999998</v>
      </c>
      <c r="L4" s="43">
        <f t="shared" si="1"/>
        <v>2.2999999999999998</v>
      </c>
      <c r="M4" s="43">
        <f t="shared" si="1"/>
        <v>2.2999999999999998</v>
      </c>
      <c r="N4" s="43">
        <f t="shared" si="1"/>
        <v>2.2999999999999998</v>
      </c>
      <c r="O4" s="43">
        <f t="shared" si="1"/>
        <v>2.2999999999999998</v>
      </c>
      <c r="P4" s="43">
        <f t="shared" si="1"/>
        <v>2.2999999999999998</v>
      </c>
      <c r="Q4" s="38"/>
      <c r="R4" s="40"/>
      <c r="S4" s="40">
        <v>2.7</v>
      </c>
      <c r="T4" s="40"/>
      <c r="U4" s="40"/>
      <c r="V4" s="40"/>
      <c r="W4" s="40"/>
      <c r="X4" s="40">
        <v>2.5</v>
      </c>
      <c r="Y4" s="40"/>
      <c r="Z4" s="40"/>
      <c r="AA4" s="40"/>
      <c r="AB4" s="40"/>
      <c r="AC4" s="40">
        <v>2.4</v>
      </c>
      <c r="AD4" s="40"/>
      <c r="AE4" s="40"/>
      <c r="AF4" s="40"/>
      <c r="AG4" s="40"/>
      <c r="AH4" s="40">
        <v>2.2999999999999998</v>
      </c>
      <c r="AI4" s="40"/>
      <c r="AJ4" s="40"/>
      <c r="AK4" s="40"/>
      <c r="AL4" s="40"/>
      <c r="AM4" s="40"/>
      <c r="AN4" s="40"/>
      <c r="AO4" s="40"/>
      <c r="AP4" s="40"/>
      <c r="AQ4" s="40"/>
      <c r="AR4" s="40"/>
      <c r="AS4" s="40"/>
      <c r="AT4" s="40"/>
      <c r="AU4" s="40"/>
      <c r="AV4" s="40"/>
      <c r="AW4" s="40"/>
      <c r="AX4" s="40"/>
      <c r="AY4" s="40"/>
      <c r="AZ4" s="40"/>
      <c r="BA4" s="40"/>
      <c r="BB4" s="40"/>
      <c r="BC4" s="40"/>
      <c r="BD4" s="40"/>
      <c r="BE4" s="40"/>
      <c r="BF4" s="40"/>
      <c r="BG4" s="40"/>
      <c r="BH4" s="40"/>
      <c r="BI4" s="40"/>
      <c r="BJ4" s="40"/>
      <c r="BK4" s="40"/>
      <c r="BL4" s="40"/>
      <c r="BM4" s="40"/>
      <c r="BN4" s="40"/>
      <c r="BO4" s="40"/>
      <c r="BP4" s="40"/>
      <c r="BQ4" s="40"/>
      <c r="BR4" s="40"/>
      <c r="BS4" s="40"/>
      <c r="BT4" s="40"/>
      <c r="BU4" s="40"/>
      <c r="BV4" s="40"/>
      <c r="BW4" s="40"/>
      <c r="BX4" s="40"/>
      <c r="BY4" s="40"/>
      <c r="BZ4" s="40"/>
    </row>
    <row r="5" spans="1:78" x14ac:dyDescent="0.25">
      <c r="A5" s="5"/>
      <c r="B5" s="25"/>
      <c r="C5" s="25" t="s">
        <v>86</v>
      </c>
      <c r="D5" s="25" t="s">
        <v>106</v>
      </c>
      <c r="E5" s="27" t="s">
        <v>107</v>
      </c>
      <c r="F5" s="43">
        <f t="shared" si="2"/>
        <v>2.6</v>
      </c>
      <c r="G5" s="30">
        <f t="shared" si="3"/>
        <v>2.52</v>
      </c>
      <c r="H5" s="30">
        <f t="shared" si="0"/>
        <v>2.42</v>
      </c>
      <c r="I5" s="30">
        <f t="shared" si="0"/>
        <v>2.3199999999999998</v>
      </c>
      <c r="J5" s="43">
        <f t="shared" si="4"/>
        <v>2.2999999999999998</v>
      </c>
      <c r="K5" s="43">
        <f t="shared" si="1"/>
        <v>2.2999999999999998</v>
      </c>
      <c r="L5" s="43">
        <f t="shared" si="1"/>
        <v>2.2999999999999998</v>
      </c>
      <c r="M5" s="43">
        <f t="shared" si="1"/>
        <v>2.2999999999999998</v>
      </c>
      <c r="N5" s="43">
        <f t="shared" si="1"/>
        <v>2.2999999999999998</v>
      </c>
      <c r="O5" s="43">
        <f t="shared" si="1"/>
        <v>2.2999999999999998</v>
      </c>
      <c r="P5" s="43">
        <f t="shared" si="1"/>
        <v>2.2999999999999998</v>
      </c>
      <c r="Q5" s="38"/>
      <c r="R5" s="40"/>
      <c r="S5" s="40">
        <v>2.6</v>
      </c>
      <c r="T5" s="40"/>
      <c r="U5" s="40"/>
      <c r="V5" s="40"/>
      <c r="W5" s="40"/>
      <c r="X5" s="40">
        <v>2.5</v>
      </c>
      <c r="Y5" s="40"/>
      <c r="Z5" s="40"/>
      <c r="AA5" s="40"/>
      <c r="AB5" s="40"/>
      <c r="AC5" s="40">
        <v>2.4</v>
      </c>
      <c r="AD5" s="40"/>
      <c r="AE5" s="40"/>
      <c r="AF5" s="40"/>
      <c r="AG5" s="40"/>
      <c r="AH5" s="40">
        <v>2.2999999999999998</v>
      </c>
      <c r="AI5" s="40"/>
      <c r="AJ5" s="40"/>
      <c r="AK5" s="40"/>
      <c r="AL5" s="40"/>
      <c r="AM5" s="40"/>
      <c r="AN5" s="40"/>
      <c r="AO5" s="40"/>
      <c r="AP5" s="40"/>
      <c r="AQ5" s="40"/>
      <c r="AR5" s="40"/>
      <c r="AS5" s="40"/>
      <c r="AT5" s="40"/>
      <c r="AU5" s="40"/>
      <c r="AV5" s="40"/>
      <c r="AW5" s="40"/>
      <c r="AX5" s="40"/>
      <c r="AY5" s="40"/>
      <c r="AZ5" s="40"/>
      <c r="BA5" s="40"/>
      <c r="BB5" s="40"/>
      <c r="BC5" s="40"/>
      <c r="BD5" s="40"/>
      <c r="BE5" s="40"/>
      <c r="BF5" s="40"/>
      <c r="BG5" s="40"/>
      <c r="BH5" s="40"/>
      <c r="BI5" s="40"/>
      <c r="BJ5" s="40"/>
      <c r="BK5" s="40"/>
      <c r="BL5" s="40"/>
      <c r="BM5" s="40"/>
      <c r="BN5" s="40"/>
      <c r="BO5" s="40"/>
      <c r="BP5" s="40"/>
      <c r="BQ5" s="40"/>
      <c r="BR5" s="40"/>
      <c r="BS5" s="40"/>
      <c r="BT5" s="40"/>
      <c r="BU5" s="40"/>
      <c r="BV5" s="40"/>
      <c r="BW5" s="40"/>
      <c r="BX5" s="40"/>
      <c r="BY5" s="40"/>
      <c r="BZ5" s="40"/>
    </row>
    <row r="6" spans="1:78" x14ac:dyDescent="0.25">
      <c r="A6" s="5"/>
      <c r="B6" s="25"/>
      <c r="C6" s="25" t="s">
        <v>87</v>
      </c>
      <c r="D6" s="25" t="s">
        <v>106</v>
      </c>
      <c r="E6" s="27" t="s">
        <v>107</v>
      </c>
      <c r="F6" s="43">
        <f t="shared" si="2"/>
        <v>2.5</v>
      </c>
      <c r="G6" s="30">
        <f t="shared" si="3"/>
        <v>2.42</v>
      </c>
      <c r="H6" s="30">
        <f t="shared" si="0"/>
        <v>2.3199999999999998</v>
      </c>
      <c r="I6" s="30">
        <f t="shared" si="0"/>
        <v>2.2999999999999998</v>
      </c>
      <c r="J6" s="43">
        <f t="shared" si="4"/>
        <v>2.2999999999999998</v>
      </c>
      <c r="K6" s="43">
        <f t="shared" si="1"/>
        <v>2.2999999999999998</v>
      </c>
      <c r="L6" s="43">
        <f t="shared" si="1"/>
        <v>2.2999999999999998</v>
      </c>
      <c r="M6" s="43">
        <f t="shared" si="1"/>
        <v>2.2999999999999998</v>
      </c>
      <c r="N6" s="43">
        <f t="shared" si="1"/>
        <v>2.2999999999999998</v>
      </c>
      <c r="O6" s="43">
        <f t="shared" si="1"/>
        <v>2.2999999999999998</v>
      </c>
      <c r="P6" s="43">
        <f t="shared" si="1"/>
        <v>2.2999999999999998</v>
      </c>
      <c r="Q6" s="38"/>
      <c r="R6" s="40"/>
      <c r="S6" s="40">
        <v>2.5</v>
      </c>
      <c r="T6" s="40"/>
      <c r="U6" s="40"/>
      <c r="V6" s="40"/>
      <c r="W6" s="40"/>
      <c r="X6" s="40">
        <v>2.4</v>
      </c>
      <c r="Y6" s="40"/>
      <c r="Z6" s="40"/>
      <c r="AA6" s="40"/>
      <c r="AB6" s="40"/>
      <c r="AC6" s="40">
        <v>2.2999999999999998</v>
      </c>
      <c r="AD6" s="40"/>
      <c r="AE6" s="40"/>
      <c r="AF6" s="40"/>
      <c r="AG6" s="40"/>
      <c r="AH6" s="40">
        <v>2.2999999999999998</v>
      </c>
      <c r="AI6" s="40"/>
      <c r="AJ6" s="40"/>
      <c r="AK6" s="40"/>
      <c r="AL6" s="40"/>
      <c r="AM6" s="40"/>
      <c r="AN6" s="40"/>
      <c r="AO6" s="40"/>
      <c r="AP6" s="40"/>
      <c r="AQ6" s="40"/>
      <c r="AR6" s="40"/>
      <c r="AS6" s="40"/>
      <c r="AT6" s="40"/>
      <c r="AU6" s="40"/>
      <c r="AV6" s="40"/>
      <c r="AW6" s="40"/>
      <c r="AX6" s="40"/>
      <c r="AY6" s="40"/>
      <c r="AZ6" s="40"/>
      <c r="BA6" s="40"/>
      <c r="BB6" s="40"/>
      <c r="BC6" s="40"/>
      <c r="BD6" s="40"/>
      <c r="BE6" s="40"/>
      <c r="BF6" s="40"/>
      <c r="BG6" s="40"/>
      <c r="BH6" s="40"/>
      <c r="BI6" s="40"/>
      <c r="BJ6" s="40"/>
      <c r="BK6" s="40"/>
      <c r="BL6" s="40"/>
      <c r="BM6" s="40"/>
      <c r="BN6" s="40"/>
      <c r="BO6" s="40"/>
      <c r="BP6" s="40"/>
      <c r="BQ6" s="40"/>
      <c r="BR6" s="40"/>
      <c r="BS6" s="40"/>
      <c r="BT6" s="40"/>
      <c r="BU6" s="40"/>
      <c r="BV6" s="40"/>
      <c r="BW6" s="40"/>
      <c r="BX6" s="40"/>
      <c r="BY6" s="40"/>
      <c r="BZ6" s="40"/>
    </row>
    <row r="7" spans="1:78" x14ac:dyDescent="0.25">
      <c r="A7" s="5"/>
      <c r="B7" s="25"/>
      <c r="C7" s="25" t="s">
        <v>88</v>
      </c>
      <c r="D7" s="25" t="s">
        <v>106</v>
      </c>
      <c r="E7" s="27" t="s">
        <v>107</v>
      </c>
      <c r="F7" s="43">
        <f t="shared" si="2"/>
        <v>2.5</v>
      </c>
      <c r="G7" s="30">
        <f t="shared" si="3"/>
        <v>2.42</v>
      </c>
      <c r="H7" s="30">
        <f t="shared" si="0"/>
        <v>2.3199999999999998</v>
      </c>
      <c r="I7" s="30">
        <f t="shared" si="0"/>
        <v>2.2999999999999998</v>
      </c>
      <c r="J7" s="43">
        <f t="shared" si="4"/>
        <v>2.2999999999999998</v>
      </c>
      <c r="K7" s="43">
        <f t="shared" si="1"/>
        <v>2.2999999999999998</v>
      </c>
      <c r="L7" s="43">
        <f t="shared" si="1"/>
        <v>2.2999999999999998</v>
      </c>
      <c r="M7" s="43">
        <f t="shared" si="1"/>
        <v>2.2999999999999998</v>
      </c>
      <c r="N7" s="43">
        <f t="shared" si="1"/>
        <v>2.2999999999999998</v>
      </c>
      <c r="O7" s="43">
        <f t="shared" si="1"/>
        <v>2.2999999999999998</v>
      </c>
      <c r="P7" s="43">
        <f t="shared" si="1"/>
        <v>2.2999999999999998</v>
      </c>
      <c r="Q7" s="38"/>
      <c r="R7" s="40"/>
      <c r="S7" s="40">
        <v>2.5</v>
      </c>
      <c r="T7" s="40"/>
      <c r="U7" s="40"/>
      <c r="V7" s="40"/>
      <c r="W7" s="40"/>
      <c r="X7" s="40">
        <v>2.4</v>
      </c>
      <c r="Y7" s="40"/>
      <c r="Z7" s="40"/>
      <c r="AA7" s="40"/>
      <c r="AB7" s="40"/>
      <c r="AC7" s="40">
        <v>2.2999999999999998</v>
      </c>
      <c r="AD7" s="40"/>
      <c r="AE7" s="40"/>
      <c r="AF7" s="40"/>
      <c r="AG7" s="40"/>
      <c r="AH7" s="40">
        <v>2.2999999999999998</v>
      </c>
      <c r="AI7" s="40"/>
      <c r="AJ7" s="40"/>
      <c r="AK7" s="40"/>
      <c r="AL7" s="40"/>
      <c r="AM7" s="40"/>
      <c r="AN7" s="40"/>
      <c r="AO7" s="40"/>
      <c r="AP7" s="40"/>
      <c r="AQ7" s="40"/>
      <c r="AR7" s="40"/>
      <c r="AS7" s="40"/>
      <c r="AT7" s="40"/>
      <c r="AU7" s="40"/>
      <c r="AV7" s="40"/>
      <c r="AW7" s="40"/>
      <c r="AX7" s="40"/>
      <c r="AY7" s="40"/>
      <c r="AZ7" s="40"/>
      <c r="BA7" s="40"/>
      <c r="BB7" s="40"/>
      <c r="BC7" s="40"/>
      <c r="BD7" s="40"/>
      <c r="BE7" s="40"/>
      <c r="BF7" s="40"/>
      <c r="BG7" s="40"/>
      <c r="BH7" s="40"/>
      <c r="BI7" s="40"/>
      <c r="BJ7" s="40"/>
      <c r="BK7" s="40"/>
      <c r="BL7" s="40"/>
      <c r="BM7" s="40"/>
      <c r="BN7" s="40"/>
      <c r="BO7" s="40"/>
      <c r="BP7" s="40"/>
      <c r="BQ7" s="40"/>
      <c r="BR7" s="40"/>
      <c r="BS7" s="40"/>
      <c r="BT7" s="40"/>
      <c r="BU7" s="40"/>
      <c r="BV7" s="40"/>
      <c r="BW7" s="40"/>
      <c r="BX7" s="40"/>
      <c r="BY7" s="40"/>
      <c r="BZ7" s="40"/>
    </row>
    <row r="8" spans="1:78" x14ac:dyDescent="0.25">
      <c r="A8" s="5"/>
      <c r="B8" s="25"/>
      <c r="C8" s="25" t="s">
        <v>89</v>
      </c>
      <c r="D8" s="25" t="s">
        <v>106</v>
      </c>
      <c r="E8" s="27" t="s">
        <v>107</v>
      </c>
      <c r="F8" s="43">
        <f t="shared" si="2"/>
        <v>2.4</v>
      </c>
      <c r="G8" s="30">
        <f t="shared" si="3"/>
        <v>2.3199999999999998</v>
      </c>
      <c r="H8" s="30">
        <f t="shared" si="0"/>
        <v>2.2999999999999998</v>
      </c>
      <c r="I8" s="30">
        <f t="shared" si="0"/>
        <v>2.2999999999999998</v>
      </c>
      <c r="J8" s="43">
        <f t="shared" si="4"/>
        <v>2.2999999999999998</v>
      </c>
      <c r="K8" s="43">
        <f t="shared" si="1"/>
        <v>2.2999999999999998</v>
      </c>
      <c r="L8" s="43">
        <f t="shared" si="1"/>
        <v>2.2999999999999998</v>
      </c>
      <c r="M8" s="43">
        <f t="shared" si="1"/>
        <v>2.2999999999999998</v>
      </c>
      <c r="N8" s="43">
        <f t="shared" si="1"/>
        <v>2.2999999999999998</v>
      </c>
      <c r="O8" s="43">
        <f t="shared" si="1"/>
        <v>2.2999999999999998</v>
      </c>
      <c r="P8" s="43">
        <f t="shared" si="1"/>
        <v>2.2999999999999998</v>
      </c>
      <c r="Q8" s="38"/>
      <c r="R8" s="40"/>
      <c r="S8" s="40">
        <v>2.4</v>
      </c>
      <c r="T8" s="40"/>
      <c r="U8" s="40"/>
      <c r="V8" s="40"/>
      <c r="W8" s="40"/>
      <c r="X8" s="40">
        <v>2.2999999999999998</v>
      </c>
      <c r="Y8" s="40"/>
      <c r="Z8" s="40"/>
      <c r="AA8" s="40"/>
      <c r="AB8" s="40"/>
      <c r="AC8" s="40">
        <v>2.2999999999999998</v>
      </c>
      <c r="AD8" s="40"/>
      <c r="AE8" s="40"/>
      <c r="AF8" s="40"/>
      <c r="AG8" s="40"/>
      <c r="AH8" s="40">
        <v>2.2999999999999998</v>
      </c>
      <c r="AI8" s="40"/>
      <c r="AJ8" s="40"/>
      <c r="AK8" s="40"/>
      <c r="AL8" s="40"/>
      <c r="AM8" s="40"/>
      <c r="AN8" s="40"/>
      <c r="AO8" s="40"/>
      <c r="AP8" s="40"/>
      <c r="AQ8" s="40"/>
      <c r="AR8" s="40"/>
      <c r="AS8" s="40"/>
      <c r="AT8" s="40"/>
      <c r="AU8" s="40"/>
      <c r="AV8" s="40"/>
      <c r="AW8" s="40"/>
      <c r="AX8" s="40"/>
      <c r="AY8" s="40"/>
      <c r="AZ8" s="40"/>
      <c r="BA8" s="40"/>
      <c r="BB8" s="40"/>
      <c r="BC8" s="40"/>
      <c r="BD8" s="40"/>
      <c r="BE8" s="40"/>
      <c r="BF8" s="40"/>
      <c r="BG8" s="40"/>
      <c r="BH8" s="40"/>
      <c r="BI8" s="40"/>
      <c r="BJ8" s="40"/>
      <c r="BK8" s="40"/>
      <c r="BL8" s="40"/>
      <c r="BM8" s="40"/>
      <c r="BN8" s="40"/>
      <c r="BO8" s="40"/>
      <c r="BP8" s="40"/>
      <c r="BQ8" s="40"/>
      <c r="BR8" s="40"/>
      <c r="BS8" s="40"/>
      <c r="BT8" s="40"/>
      <c r="BU8" s="40"/>
      <c r="BV8" s="40"/>
      <c r="BW8" s="40"/>
      <c r="BX8" s="40"/>
      <c r="BY8" s="40"/>
      <c r="BZ8" s="40"/>
    </row>
    <row r="9" spans="1:78" x14ac:dyDescent="0.25">
      <c r="A9" s="5"/>
      <c r="B9" s="25"/>
      <c r="C9" s="25" t="s">
        <v>90</v>
      </c>
      <c r="D9" s="25" t="s">
        <v>106</v>
      </c>
      <c r="E9" s="27" t="s">
        <v>107</v>
      </c>
      <c r="F9" s="43">
        <f t="shared" si="2"/>
        <v>2.7</v>
      </c>
      <c r="G9" s="30">
        <f t="shared" si="3"/>
        <v>2.62</v>
      </c>
      <c r="H9" s="30">
        <f t="shared" si="0"/>
        <v>2.6</v>
      </c>
      <c r="I9" s="30">
        <f t="shared" si="0"/>
        <v>2.6</v>
      </c>
      <c r="J9" s="43">
        <f t="shared" si="4"/>
        <v>2.6</v>
      </c>
      <c r="K9" s="43">
        <f t="shared" si="1"/>
        <v>2.6</v>
      </c>
      <c r="L9" s="43">
        <f t="shared" si="1"/>
        <v>2.6</v>
      </c>
      <c r="M9" s="43">
        <f t="shared" si="1"/>
        <v>2.6</v>
      </c>
      <c r="N9" s="43">
        <f t="shared" si="1"/>
        <v>2.6</v>
      </c>
      <c r="O9" s="43">
        <f t="shared" si="1"/>
        <v>2.6</v>
      </c>
      <c r="P9" s="43">
        <f t="shared" si="1"/>
        <v>2.6</v>
      </c>
      <c r="Q9" s="38"/>
      <c r="R9" s="40"/>
      <c r="S9" s="40">
        <v>2.7</v>
      </c>
      <c r="T9" s="40"/>
      <c r="U9" s="40"/>
      <c r="V9" s="40"/>
      <c r="W9" s="40"/>
      <c r="X9" s="40">
        <v>2.6</v>
      </c>
      <c r="Y9" s="40"/>
      <c r="Z9" s="40"/>
      <c r="AA9" s="40"/>
      <c r="AB9" s="40"/>
      <c r="AC9" s="40">
        <v>2.6</v>
      </c>
      <c r="AD9" s="40"/>
      <c r="AE9" s="40"/>
      <c r="AF9" s="40"/>
      <c r="AG9" s="40"/>
      <c r="AH9" s="40">
        <v>2.6</v>
      </c>
      <c r="AI9" s="40"/>
      <c r="AJ9" s="40"/>
      <c r="AK9" s="40"/>
      <c r="AL9" s="40"/>
      <c r="AM9" s="40"/>
      <c r="AN9" s="40"/>
      <c r="AO9" s="40"/>
      <c r="AP9" s="40"/>
      <c r="AQ9" s="40"/>
      <c r="AR9" s="40"/>
      <c r="AS9" s="40"/>
      <c r="AT9" s="40"/>
      <c r="AU9" s="40"/>
      <c r="AV9" s="40"/>
      <c r="AW9" s="40"/>
      <c r="AX9" s="40"/>
      <c r="AY9" s="40"/>
      <c r="AZ9" s="40"/>
      <c r="BA9" s="40"/>
      <c r="BB9" s="40"/>
      <c r="BC9" s="40"/>
      <c r="BD9" s="40"/>
      <c r="BE9" s="40"/>
      <c r="BF9" s="40"/>
      <c r="BG9" s="40"/>
      <c r="BH9" s="40"/>
      <c r="BI9" s="40"/>
      <c r="BJ9" s="40"/>
      <c r="BK9" s="40"/>
      <c r="BL9" s="40"/>
      <c r="BM9" s="40"/>
      <c r="BN9" s="40"/>
      <c r="BO9" s="40"/>
      <c r="BP9" s="40"/>
      <c r="BQ9" s="40"/>
      <c r="BR9" s="40"/>
      <c r="BS9" s="40"/>
      <c r="BT9" s="40"/>
      <c r="BU9" s="40"/>
      <c r="BV9" s="40"/>
      <c r="BW9" s="40"/>
      <c r="BX9" s="40"/>
      <c r="BY9" s="40"/>
      <c r="BZ9" s="40"/>
    </row>
    <row r="10" spans="1:78" x14ac:dyDescent="0.25">
      <c r="A10" s="5"/>
      <c r="B10" s="25"/>
      <c r="C10" s="25" t="s">
        <v>91</v>
      </c>
      <c r="D10" s="25" t="s">
        <v>106</v>
      </c>
      <c r="E10" s="27" t="s">
        <v>107</v>
      </c>
      <c r="F10" s="43">
        <f t="shared" si="2"/>
        <v>2.5</v>
      </c>
      <c r="G10" s="30">
        <f t="shared" si="3"/>
        <v>2.5</v>
      </c>
      <c r="H10" s="30">
        <f t="shared" si="0"/>
        <v>2.5</v>
      </c>
      <c r="I10" s="30">
        <f t="shared" si="0"/>
        <v>2.5</v>
      </c>
      <c r="J10" s="43">
        <f t="shared" si="4"/>
        <v>2.5</v>
      </c>
      <c r="K10" s="43">
        <f t="shared" si="1"/>
        <v>2.5</v>
      </c>
      <c r="L10" s="43">
        <f t="shared" si="1"/>
        <v>2.5</v>
      </c>
      <c r="M10" s="43">
        <f t="shared" si="1"/>
        <v>2.5</v>
      </c>
      <c r="N10" s="43">
        <f t="shared" si="1"/>
        <v>2.5</v>
      </c>
      <c r="O10" s="43">
        <f t="shared" si="1"/>
        <v>2.5</v>
      </c>
      <c r="P10" s="43">
        <f t="shared" si="1"/>
        <v>2.5</v>
      </c>
      <c r="Q10" s="38"/>
      <c r="R10" s="40"/>
      <c r="S10" s="40">
        <v>2.5</v>
      </c>
      <c r="T10" s="40"/>
      <c r="U10" s="40"/>
      <c r="V10" s="40"/>
      <c r="W10" s="40"/>
      <c r="X10" s="40">
        <v>2.5</v>
      </c>
      <c r="Y10" s="40"/>
      <c r="Z10" s="40"/>
      <c r="AA10" s="40"/>
      <c r="AB10" s="40"/>
      <c r="AC10" s="40">
        <v>2.5</v>
      </c>
      <c r="AD10" s="40"/>
      <c r="AE10" s="40"/>
      <c r="AF10" s="40"/>
      <c r="AG10" s="40"/>
      <c r="AH10" s="40">
        <v>2.5</v>
      </c>
      <c r="AI10" s="40"/>
      <c r="AJ10" s="40"/>
      <c r="AK10" s="40"/>
      <c r="AL10" s="40"/>
      <c r="AM10" s="40"/>
      <c r="AN10" s="40"/>
      <c r="AO10" s="40"/>
      <c r="AP10" s="40"/>
      <c r="AQ10" s="40"/>
      <c r="AR10" s="40"/>
      <c r="AS10" s="40"/>
      <c r="AT10" s="40"/>
      <c r="AU10" s="40"/>
      <c r="AV10" s="40"/>
      <c r="AW10" s="40"/>
      <c r="AX10" s="40"/>
      <c r="AY10" s="40"/>
      <c r="AZ10" s="40"/>
      <c r="BA10" s="40"/>
      <c r="BB10" s="40"/>
      <c r="BC10" s="40"/>
      <c r="BD10" s="40"/>
      <c r="BE10" s="40"/>
      <c r="BF10" s="40"/>
      <c r="BG10" s="40"/>
      <c r="BH10" s="40"/>
      <c r="BI10" s="40"/>
      <c r="BJ10" s="40"/>
      <c r="BK10" s="40"/>
      <c r="BL10" s="40"/>
      <c r="BM10" s="40"/>
      <c r="BN10" s="40"/>
      <c r="BO10" s="40"/>
      <c r="BP10" s="40"/>
      <c r="BQ10" s="40"/>
      <c r="BR10" s="40"/>
      <c r="BS10" s="40"/>
      <c r="BT10" s="40"/>
      <c r="BU10" s="40"/>
      <c r="BV10" s="40"/>
      <c r="BW10" s="40"/>
      <c r="BX10" s="40"/>
      <c r="BY10" s="40"/>
      <c r="BZ10" s="40"/>
    </row>
    <row r="11" spans="1:78" x14ac:dyDescent="0.25">
      <c r="A11" s="5"/>
      <c r="B11" s="25"/>
      <c r="C11" s="25" t="s">
        <v>92</v>
      </c>
      <c r="D11" s="25" t="s">
        <v>106</v>
      </c>
      <c r="E11" s="27" t="s">
        <v>107</v>
      </c>
      <c r="F11" s="43">
        <f t="shared" si="2"/>
        <v>2.5</v>
      </c>
      <c r="G11" s="30">
        <f t="shared" si="3"/>
        <v>2.42</v>
      </c>
      <c r="H11" s="30">
        <f t="shared" si="0"/>
        <v>2.48</v>
      </c>
      <c r="I11" s="30">
        <f t="shared" si="0"/>
        <v>2.5</v>
      </c>
      <c r="J11" s="43">
        <f t="shared" si="4"/>
        <v>2.5</v>
      </c>
      <c r="K11" s="43">
        <f t="shared" si="1"/>
        <v>2.5</v>
      </c>
      <c r="L11" s="43">
        <f t="shared" si="1"/>
        <v>2.5</v>
      </c>
      <c r="M11" s="43">
        <f t="shared" si="1"/>
        <v>2.5</v>
      </c>
      <c r="N11" s="43">
        <f t="shared" si="1"/>
        <v>2.5</v>
      </c>
      <c r="O11" s="43">
        <f t="shared" si="1"/>
        <v>2.5</v>
      </c>
      <c r="P11" s="43">
        <f t="shared" si="1"/>
        <v>2.5</v>
      </c>
      <c r="Q11" s="38"/>
      <c r="R11" s="40"/>
      <c r="S11" s="40">
        <v>2.5</v>
      </c>
      <c r="T11" s="40"/>
      <c r="U11" s="40"/>
      <c r="V11" s="40"/>
      <c r="W11" s="40"/>
      <c r="X11" s="40">
        <v>2.4</v>
      </c>
      <c r="Y11" s="40"/>
      <c r="Z11" s="40"/>
      <c r="AA11" s="40"/>
      <c r="AB11" s="40"/>
      <c r="AC11" s="40">
        <v>2.5</v>
      </c>
      <c r="AD11" s="40"/>
      <c r="AE11" s="40"/>
      <c r="AF11" s="40"/>
      <c r="AG11" s="40"/>
      <c r="AH11" s="40">
        <v>2.5</v>
      </c>
      <c r="AI11" s="40"/>
      <c r="AJ11" s="40"/>
      <c r="AK11" s="40"/>
      <c r="AL11" s="40"/>
      <c r="AM11" s="40"/>
      <c r="AN11" s="40"/>
      <c r="AO11" s="40"/>
      <c r="AP11" s="40"/>
      <c r="AQ11" s="40"/>
      <c r="AR11" s="40"/>
      <c r="AS11" s="40"/>
      <c r="AT11" s="40"/>
      <c r="AU11" s="40"/>
      <c r="AV11" s="40"/>
      <c r="AW11" s="40"/>
      <c r="AX11" s="40"/>
      <c r="AY11" s="40"/>
      <c r="AZ11" s="40"/>
      <c r="BA11" s="40"/>
      <c r="BB11" s="40"/>
      <c r="BC11" s="40"/>
      <c r="BD11" s="40"/>
      <c r="BE11" s="40"/>
      <c r="BF11" s="40"/>
      <c r="BG11" s="40"/>
      <c r="BH11" s="40"/>
      <c r="BI11" s="40"/>
      <c r="BJ11" s="40"/>
      <c r="BK11" s="40"/>
      <c r="BL11" s="40"/>
      <c r="BM11" s="40"/>
      <c r="BN11" s="40"/>
      <c r="BO11" s="40"/>
      <c r="BP11" s="40"/>
      <c r="BQ11" s="40"/>
      <c r="BR11" s="40"/>
      <c r="BS11" s="40"/>
      <c r="BT11" s="40"/>
      <c r="BU11" s="40"/>
      <c r="BV11" s="40"/>
      <c r="BW11" s="40"/>
      <c r="BX11" s="40"/>
      <c r="BY11" s="40"/>
      <c r="BZ11" s="40"/>
    </row>
    <row r="12" spans="1:78" x14ac:dyDescent="0.25">
      <c r="A12" s="5"/>
      <c r="B12" s="25"/>
      <c r="C12" s="25" t="s">
        <v>5</v>
      </c>
      <c r="D12" s="25" t="s">
        <v>106</v>
      </c>
      <c r="E12" s="27" t="s">
        <v>107</v>
      </c>
      <c r="F12" s="43">
        <f t="shared" si="2"/>
        <v>2.6</v>
      </c>
      <c r="G12" s="30">
        <f t="shared" si="3"/>
        <v>2.6</v>
      </c>
      <c r="H12" s="30">
        <f t="shared" si="0"/>
        <v>2.6</v>
      </c>
      <c r="I12" s="30">
        <f t="shared" si="0"/>
        <v>2.6</v>
      </c>
      <c r="J12" s="43">
        <f t="shared" si="4"/>
        <v>2.6</v>
      </c>
      <c r="K12" s="43">
        <f t="shared" si="1"/>
        <v>2.6</v>
      </c>
      <c r="L12" s="43">
        <f t="shared" si="1"/>
        <v>2.6</v>
      </c>
      <c r="M12" s="43">
        <f t="shared" si="1"/>
        <v>2.6</v>
      </c>
      <c r="N12" s="43">
        <f t="shared" si="1"/>
        <v>2.6</v>
      </c>
      <c r="O12" s="43">
        <f t="shared" si="1"/>
        <v>2.6</v>
      </c>
      <c r="P12" s="43">
        <f t="shared" si="1"/>
        <v>2.6</v>
      </c>
      <c r="Q12" s="38"/>
      <c r="R12" s="40"/>
      <c r="S12" s="40">
        <v>2.6</v>
      </c>
      <c r="T12" s="40"/>
      <c r="U12" s="40"/>
      <c r="V12" s="40"/>
      <c r="W12" s="40"/>
      <c r="X12" s="40">
        <v>2.6</v>
      </c>
      <c r="Y12" s="40"/>
      <c r="Z12" s="40"/>
      <c r="AA12" s="40"/>
      <c r="AB12" s="40"/>
      <c r="AC12" s="40">
        <v>2.6</v>
      </c>
      <c r="AD12" s="40"/>
      <c r="AE12" s="40"/>
      <c r="AF12" s="40"/>
      <c r="AG12" s="40"/>
      <c r="AH12" s="40">
        <v>2.6</v>
      </c>
      <c r="AI12" s="40"/>
      <c r="AJ12" s="40"/>
      <c r="AK12" s="40"/>
      <c r="AL12" s="40"/>
      <c r="AM12" s="40"/>
      <c r="AN12" s="40"/>
      <c r="AO12" s="40"/>
      <c r="AP12" s="40"/>
      <c r="AQ12" s="40"/>
      <c r="AR12" s="40"/>
      <c r="AS12" s="40"/>
      <c r="AT12" s="40"/>
      <c r="AU12" s="40"/>
      <c r="AV12" s="40"/>
      <c r="AW12" s="40"/>
      <c r="AX12" s="40"/>
      <c r="AY12" s="40"/>
      <c r="AZ12" s="40"/>
      <c r="BA12" s="40"/>
      <c r="BB12" s="40"/>
      <c r="BC12" s="40"/>
      <c r="BD12" s="40"/>
      <c r="BE12" s="40"/>
      <c r="BF12" s="40"/>
      <c r="BG12" s="40"/>
      <c r="BH12" s="40"/>
      <c r="BI12" s="40"/>
      <c r="BJ12" s="40"/>
      <c r="BK12" s="40"/>
      <c r="BL12" s="40"/>
      <c r="BM12" s="40"/>
      <c r="BN12" s="40"/>
      <c r="BO12" s="40"/>
      <c r="BP12" s="40"/>
      <c r="BQ12" s="40"/>
      <c r="BR12" s="40"/>
      <c r="BS12" s="40"/>
      <c r="BT12" s="40"/>
      <c r="BU12" s="40"/>
      <c r="BV12" s="40"/>
      <c r="BW12" s="40"/>
      <c r="BX12" s="40"/>
      <c r="BY12" s="40"/>
      <c r="BZ12" s="40"/>
    </row>
    <row r="13" spans="1:78" x14ac:dyDescent="0.25">
      <c r="A13" s="5"/>
      <c r="B13" s="25"/>
      <c r="C13" s="25" t="s">
        <v>61</v>
      </c>
      <c r="D13" s="25" t="s">
        <v>106</v>
      </c>
      <c r="E13" s="27" t="s">
        <v>107</v>
      </c>
      <c r="F13" s="43">
        <f t="shared" si="2"/>
        <v>2.5</v>
      </c>
      <c r="G13" s="30">
        <f t="shared" si="3"/>
        <v>2.5</v>
      </c>
      <c r="H13" s="30">
        <f t="shared" si="0"/>
        <v>2.5</v>
      </c>
      <c r="I13" s="30">
        <f t="shared" si="0"/>
        <v>2.42</v>
      </c>
      <c r="J13" s="43">
        <f t="shared" si="4"/>
        <v>2.4</v>
      </c>
      <c r="K13" s="43">
        <f t="shared" si="1"/>
        <v>2.4</v>
      </c>
      <c r="L13" s="43">
        <f t="shared" si="1"/>
        <v>2.4</v>
      </c>
      <c r="M13" s="43">
        <f t="shared" si="1"/>
        <v>2.4</v>
      </c>
      <c r="N13" s="43">
        <f t="shared" si="1"/>
        <v>2.4</v>
      </c>
      <c r="O13" s="43">
        <f t="shared" si="1"/>
        <v>2.4</v>
      </c>
      <c r="P13" s="43">
        <f t="shared" si="1"/>
        <v>2.4</v>
      </c>
      <c r="Q13" s="38"/>
      <c r="R13" s="40"/>
      <c r="S13" s="40">
        <v>2.5</v>
      </c>
      <c r="T13" s="40"/>
      <c r="U13" s="40"/>
      <c r="V13" s="40"/>
      <c r="W13" s="40"/>
      <c r="X13" s="40">
        <v>2.5</v>
      </c>
      <c r="Y13" s="40"/>
      <c r="Z13" s="40"/>
      <c r="AA13" s="40"/>
      <c r="AB13" s="40"/>
      <c r="AC13" s="40">
        <v>2.5</v>
      </c>
      <c r="AD13" s="40"/>
      <c r="AE13" s="40"/>
      <c r="AF13" s="40"/>
      <c r="AG13" s="40"/>
      <c r="AH13" s="40">
        <v>2.4</v>
      </c>
      <c r="AI13" s="40"/>
      <c r="AJ13" s="40"/>
      <c r="AK13" s="40"/>
      <c r="AL13" s="40"/>
      <c r="AM13" s="40"/>
      <c r="AN13" s="40"/>
      <c r="AO13" s="40"/>
      <c r="AP13" s="40"/>
      <c r="AQ13" s="40"/>
      <c r="AR13" s="40"/>
      <c r="AS13" s="40"/>
      <c r="AT13" s="40"/>
      <c r="AU13" s="40"/>
      <c r="AV13" s="40"/>
      <c r="AW13" s="40"/>
      <c r="AX13" s="40"/>
      <c r="AY13" s="40"/>
      <c r="AZ13" s="40"/>
      <c r="BA13" s="40"/>
      <c r="BB13" s="40"/>
      <c r="BC13" s="40"/>
      <c r="BD13" s="40"/>
      <c r="BE13" s="40"/>
      <c r="BF13" s="40"/>
      <c r="BG13" s="40"/>
      <c r="BH13" s="40"/>
      <c r="BI13" s="40"/>
      <c r="BJ13" s="40"/>
      <c r="BK13" s="40"/>
      <c r="BL13" s="40"/>
      <c r="BM13" s="40"/>
      <c r="BN13" s="40"/>
      <c r="BO13" s="40"/>
      <c r="BP13" s="40"/>
      <c r="BQ13" s="40"/>
      <c r="BR13" s="40"/>
      <c r="BS13" s="40"/>
      <c r="BT13" s="40"/>
      <c r="BU13" s="40"/>
      <c r="BV13" s="40"/>
      <c r="BW13" s="40"/>
      <c r="BX13" s="40"/>
      <c r="BY13" s="40"/>
      <c r="BZ13" s="40"/>
    </row>
    <row r="14" spans="1:78" x14ac:dyDescent="0.25">
      <c r="A14" s="5"/>
      <c r="B14" s="25"/>
      <c r="C14" s="25" t="s">
        <v>93</v>
      </c>
      <c r="D14" s="25" t="s">
        <v>106</v>
      </c>
      <c r="E14" s="27" t="s">
        <v>107</v>
      </c>
      <c r="F14" s="43">
        <f t="shared" si="2"/>
        <v>2.5</v>
      </c>
      <c r="G14" s="30">
        <f t="shared" si="3"/>
        <v>2.42</v>
      </c>
      <c r="H14" s="30">
        <f t="shared" si="0"/>
        <v>2.4</v>
      </c>
      <c r="I14" s="30">
        <f t="shared" si="0"/>
        <v>2.3199999999999998</v>
      </c>
      <c r="J14" s="43">
        <f t="shared" si="4"/>
        <v>2.2999999999999998</v>
      </c>
      <c r="K14" s="43">
        <f t="shared" si="1"/>
        <v>2.2999999999999998</v>
      </c>
      <c r="L14" s="43">
        <f t="shared" si="1"/>
        <v>2.2999999999999998</v>
      </c>
      <c r="M14" s="43">
        <f t="shared" si="1"/>
        <v>2.2999999999999998</v>
      </c>
      <c r="N14" s="43">
        <f t="shared" si="1"/>
        <v>2.2999999999999998</v>
      </c>
      <c r="O14" s="43">
        <f t="shared" si="1"/>
        <v>2.2999999999999998</v>
      </c>
      <c r="P14" s="43">
        <f t="shared" si="1"/>
        <v>2.2999999999999998</v>
      </c>
      <c r="Q14" s="38"/>
      <c r="R14" s="40"/>
      <c r="S14" s="40">
        <v>2.5</v>
      </c>
      <c r="T14" s="40"/>
      <c r="U14" s="40"/>
      <c r="V14" s="40"/>
      <c r="W14" s="40"/>
      <c r="X14" s="40">
        <v>2.4</v>
      </c>
      <c r="Y14" s="40"/>
      <c r="Z14" s="40"/>
      <c r="AA14" s="40"/>
      <c r="AB14" s="40"/>
      <c r="AC14" s="40">
        <v>2.4</v>
      </c>
      <c r="AD14" s="40"/>
      <c r="AE14" s="40"/>
      <c r="AF14" s="40"/>
      <c r="AG14" s="40"/>
      <c r="AH14" s="40">
        <v>2.2999999999999998</v>
      </c>
      <c r="AI14" s="40"/>
      <c r="AJ14" s="40"/>
      <c r="AK14" s="40"/>
      <c r="AL14" s="40"/>
      <c r="AM14" s="40"/>
      <c r="AN14" s="40"/>
      <c r="AO14" s="40"/>
      <c r="AP14" s="40"/>
      <c r="AQ14" s="40"/>
      <c r="AR14" s="40"/>
      <c r="AS14" s="40"/>
      <c r="AT14" s="40"/>
      <c r="AU14" s="40"/>
      <c r="AV14" s="40"/>
      <c r="AW14" s="40"/>
      <c r="AX14" s="40"/>
      <c r="AY14" s="40"/>
      <c r="AZ14" s="40"/>
      <c r="BA14" s="40"/>
      <c r="BB14" s="40"/>
      <c r="BC14" s="40"/>
      <c r="BD14" s="40"/>
      <c r="BE14" s="40"/>
      <c r="BF14" s="40"/>
      <c r="BG14" s="40"/>
      <c r="BH14" s="40"/>
      <c r="BI14" s="40"/>
      <c r="BJ14" s="40"/>
      <c r="BK14" s="40"/>
      <c r="BL14" s="40"/>
      <c r="BM14" s="40"/>
      <c r="BN14" s="40"/>
      <c r="BO14" s="40"/>
      <c r="BP14" s="40"/>
      <c r="BQ14" s="40"/>
      <c r="BR14" s="40"/>
      <c r="BS14" s="40"/>
      <c r="BT14" s="40"/>
      <c r="BU14" s="40"/>
      <c r="BV14" s="40"/>
      <c r="BW14" s="40"/>
      <c r="BX14" s="40"/>
      <c r="BY14" s="40"/>
      <c r="BZ14" s="40"/>
    </row>
    <row r="15" spans="1:78" x14ac:dyDescent="0.25">
      <c r="A15" s="5"/>
      <c r="B15" s="25"/>
      <c r="C15" s="25" t="s">
        <v>95</v>
      </c>
      <c r="D15" s="25" t="s">
        <v>106</v>
      </c>
      <c r="E15" s="27" t="s">
        <v>107</v>
      </c>
      <c r="F15" s="43">
        <f t="shared" si="2"/>
        <v>2.9</v>
      </c>
      <c r="G15" s="30">
        <f t="shared" si="3"/>
        <v>2.9</v>
      </c>
      <c r="H15" s="30">
        <f t="shared" si="0"/>
        <v>2.82</v>
      </c>
      <c r="I15" s="30">
        <f t="shared" si="0"/>
        <v>2.72</v>
      </c>
      <c r="J15" s="43">
        <f t="shared" si="4"/>
        <v>2.7</v>
      </c>
      <c r="K15" s="43">
        <f t="shared" si="1"/>
        <v>2.7</v>
      </c>
      <c r="L15" s="43">
        <f t="shared" si="1"/>
        <v>2.7</v>
      </c>
      <c r="M15" s="43">
        <f t="shared" si="1"/>
        <v>2.7</v>
      </c>
      <c r="N15" s="43">
        <f t="shared" si="1"/>
        <v>2.7</v>
      </c>
      <c r="O15" s="43">
        <f t="shared" si="1"/>
        <v>2.7</v>
      </c>
      <c r="P15" s="43">
        <f t="shared" si="1"/>
        <v>2.7</v>
      </c>
      <c r="Q15" s="38"/>
      <c r="R15" s="40"/>
      <c r="S15" s="40">
        <v>2.9</v>
      </c>
      <c r="T15" s="40"/>
      <c r="U15" s="40"/>
      <c r="V15" s="40"/>
      <c r="W15" s="40"/>
      <c r="X15" s="40">
        <v>2.9</v>
      </c>
      <c r="Y15" s="40"/>
      <c r="Z15" s="40"/>
      <c r="AA15" s="40"/>
      <c r="AB15" s="40"/>
      <c r="AC15" s="40">
        <v>2.8</v>
      </c>
      <c r="AD15" s="40"/>
      <c r="AE15" s="40"/>
      <c r="AF15" s="40"/>
      <c r="AG15" s="40"/>
      <c r="AH15" s="40">
        <v>2.7</v>
      </c>
      <c r="AI15" s="40"/>
      <c r="AJ15" s="40"/>
      <c r="AK15" s="40"/>
      <c r="AL15" s="40"/>
      <c r="AM15" s="40"/>
      <c r="AN15" s="40"/>
      <c r="AO15" s="40"/>
      <c r="AP15" s="40"/>
      <c r="AQ15" s="40"/>
      <c r="AR15" s="40"/>
      <c r="AS15" s="40"/>
      <c r="AT15" s="40"/>
      <c r="AU15" s="40"/>
      <c r="AV15" s="40"/>
      <c r="AW15" s="40"/>
      <c r="AX15" s="40"/>
      <c r="AY15" s="40"/>
      <c r="AZ15" s="40"/>
      <c r="BA15" s="40"/>
      <c r="BB15" s="40"/>
      <c r="BC15" s="40"/>
      <c r="BD15" s="40"/>
      <c r="BE15" s="40"/>
      <c r="BF15" s="40"/>
      <c r="BG15" s="40"/>
      <c r="BH15" s="40"/>
      <c r="BI15" s="40"/>
      <c r="BJ15" s="40"/>
      <c r="BK15" s="40"/>
      <c r="BL15" s="40"/>
      <c r="BM15" s="40"/>
      <c r="BN15" s="40"/>
      <c r="BO15" s="40"/>
      <c r="BP15" s="40"/>
      <c r="BQ15" s="40"/>
      <c r="BR15" s="40"/>
      <c r="BS15" s="40"/>
      <c r="BT15" s="40"/>
      <c r="BU15" s="40"/>
      <c r="BV15" s="40"/>
      <c r="BW15" s="40"/>
      <c r="BX15" s="40"/>
      <c r="BY15" s="40"/>
      <c r="BZ15" s="40"/>
    </row>
    <row r="16" spans="1:78" x14ac:dyDescent="0.25">
      <c r="A16" s="5"/>
      <c r="B16" s="25"/>
      <c r="C16" s="25" t="s">
        <v>94</v>
      </c>
      <c r="D16" s="25" t="s">
        <v>106</v>
      </c>
      <c r="E16" s="27" t="s">
        <v>107</v>
      </c>
      <c r="F16" s="43">
        <f t="shared" si="2"/>
        <v>3.7</v>
      </c>
      <c r="G16" s="30">
        <f t="shared" si="3"/>
        <v>3.7</v>
      </c>
      <c r="H16" s="30">
        <f t="shared" si="0"/>
        <v>3.7</v>
      </c>
      <c r="I16" s="30">
        <f t="shared" si="0"/>
        <v>3.62</v>
      </c>
      <c r="J16" s="43">
        <f t="shared" si="4"/>
        <v>3.6</v>
      </c>
      <c r="K16" s="43">
        <f t="shared" si="1"/>
        <v>3.6</v>
      </c>
      <c r="L16" s="43">
        <f t="shared" si="1"/>
        <v>3.6</v>
      </c>
      <c r="M16" s="43">
        <f t="shared" si="1"/>
        <v>3.6</v>
      </c>
      <c r="N16" s="43">
        <f t="shared" si="1"/>
        <v>3.6</v>
      </c>
      <c r="O16" s="43">
        <f t="shared" si="1"/>
        <v>3.6</v>
      </c>
      <c r="P16" s="43">
        <f t="shared" si="1"/>
        <v>3.6</v>
      </c>
      <c r="Q16" s="38"/>
      <c r="R16" s="40"/>
      <c r="S16" s="40">
        <v>3.7</v>
      </c>
      <c r="T16" s="40"/>
      <c r="U16" s="40"/>
      <c r="V16" s="40"/>
      <c r="W16" s="40"/>
      <c r="X16" s="40">
        <v>3.7</v>
      </c>
      <c r="Y16" s="40"/>
      <c r="Z16" s="40"/>
      <c r="AA16" s="40"/>
      <c r="AB16" s="40"/>
      <c r="AC16" s="40">
        <v>3.7</v>
      </c>
      <c r="AD16" s="40"/>
      <c r="AE16" s="40"/>
      <c r="AF16" s="40"/>
      <c r="AG16" s="40"/>
      <c r="AH16" s="40">
        <v>3.6</v>
      </c>
      <c r="AI16" s="40"/>
      <c r="AJ16" s="40"/>
      <c r="AK16" s="40"/>
      <c r="AL16" s="40"/>
      <c r="AM16" s="40"/>
      <c r="AN16" s="40"/>
      <c r="AO16" s="40"/>
      <c r="AP16" s="40"/>
      <c r="AQ16" s="40"/>
      <c r="AR16" s="40"/>
      <c r="AS16" s="40"/>
      <c r="AT16" s="40"/>
      <c r="AU16" s="40"/>
      <c r="AV16" s="40"/>
      <c r="AW16" s="40"/>
      <c r="AX16" s="40"/>
      <c r="AY16" s="40"/>
      <c r="AZ16" s="40"/>
      <c r="BA16" s="40"/>
      <c r="BB16" s="40"/>
      <c r="BC16" s="40"/>
      <c r="BD16" s="40"/>
      <c r="BE16" s="40"/>
      <c r="BF16" s="40"/>
      <c r="BG16" s="40"/>
      <c r="BH16" s="40"/>
      <c r="BI16" s="40"/>
      <c r="BJ16" s="40"/>
      <c r="BK16" s="40"/>
      <c r="BL16" s="40"/>
      <c r="BM16" s="40"/>
      <c r="BN16" s="40"/>
      <c r="BO16" s="40"/>
      <c r="BP16" s="40"/>
      <c r="BQ16" s="40"/>
      <c r="BR16" s="40"/>
      <c r="BS16" s="40"/>
      <c r="BT16" s="40"/>
      <c r="BU16" s="40"/>
      <c r="BV16" s="40"/>
      <c r="BW16" s="40"/>
      <c r="BX16" s="40"/>
      <c r="BY16" s="40"/>
      <c r="BZ16" s="40"/>
    </row>
    <row r="17" spans="1:78" x14ac:dyDescent="0.25">
      <c r="A17" s="5"/>
      <c r="B17" s="25"/>
      <c r="C17" s="25"/>
      <c r="D17" s="25"/>
      <c r="E17" s="16"/>
      <c r="F17" s="30"/>
      <c r="G17" s="30"/>
      <c r="H17" s="30"/>
      <c r="I17" s="30"/>
      <c r="Q17" s="38"/>
    </row>
    <row r="18" spans="1:78" x14ac:dyDescent="0.25">
      <c r="A18" s="5"/>
      <c r="B18" s="25"/>
      <c r="C18" s="25"/>
      <c r="D18" s="25"/>
      <c r="E18" s="16"/>
      <c r="F18" s="30"/>
      <c r="G18" s="30"/>
      <c r="H18" s="30"/>
      <c r="I18" s="30"/>
      <c r="Q18" s="38"/>
    </row>
    <row r="19" spans="1:78" x14ac:dyDescent="0.25">
      <c r="A19" s="5"/>
      <c r="B19" s="57" t="s">
        <v>81</v>
      </c>
      <c r="C19" s="25" t="s">
        <v>48</v>
      </c>
      <c r="D19" s="25" t="s">
        <v>81</v>
      </c>
      <c r="E19" s="16" t="s">
        <v>84</v>
      </c>
      <c r="F19" s="17">
        <f>Macro!G3/F3</f>
        <v>11802203.846153846</v>
      </c>
      <c r="G19" s="17">
        <f>Macro!H3/G3</f>
        <v>12795140.079365078</v>
      </c>
      <c r="H19" s="17">
        <f>Macro!I3/H3</f>
        <v>13601955.6</v>
      </c>
      <c r="I19" s="17">
        <f>Macro!J3/I3</f>
        <v>14753267.768595042</v>
      </c>
      <c r="J19" s="17">
        <f>Macro!K3/J3</f>
        <v>15780708.333333334</v>
      </c>
      <c r="K19" s="17">
        <f>Macro!L3/K3</f>
        <v>16630625</v>
      </c>
      <c r="L19" s="17">
        <f>Macro!M3/L3</f>
        <v>17453375</v>
      </c>
      <c r="M19" s="17">
        <f>Macro!N3/M3</f>
        <v>18231458.333333336</v>
      </c>
      <c r="N19" s="17">
        <f>Macro!O3/N3</f>
        <v>18961166.666666668</v>
      </c>
      <c r="O19" s="17">
        <f>Macro!P3/O3</f>
        <v>19648416.666666668</v>
      </c>
      <c r="P19" s="17">
        <f>Macro!Q3/P3</f>
        <v>20317958.333333336</v>
      </c>
      <c r="Q19" s="38"/>
      <c r="R19" s="40"/>
      <c r="S19" s="40"/>
      <c r="T19" s="40"/>
      <c r="U19" s="40"/>
      <c r="V19" s="40"/>
      <c r="W19" s="40"/>
      <c r="X19" s="40"/>
      <c r="Y19" s="40"/>
      <c r="Z19" s="40"/>
      <c r="AA19" s="40"/>
      <c r="AB19" s="40"/>
      <c r="AC19" s="40"/>
      <c r="AD19" s="40"/>
      <c r="AE19" s="40"/>
      <c r="AF19" s="40"/>
      <c r="AG19" s="40"/>
      <c r="AH19" s="40"/>
      <c r="AI19" s="40"/>
      <c r="AJ19" s="40"/>
      <c r="AK19" s="40"/>
      <c r="AL19" s="40"/>
      <c r="AM19" s="40"/>
      <c r="AN19" s="40"/>
      <c r="AO19" s="40"/>
      <c r="AP19" s="40"/>
      <c r="AQ19" s="40"/>
      <c r="AR19" s="40"/>
      <c r="AS19" s="40"/>
      <c r="AT19" s="40"/>
      <c r="AU19" s="40"/>
      <c r="AV19" s="40"/>
      <c r="AW19" s="40"/>
      <c r="AX19" s="40"/>
      <c r="AY19" s="40"/>
      <c r="AZ19" s="40"/>
      <c r="BA19" s="40"/>
      <c r="BB19" s="40"/>
      <c r="BC19" s="40"/>
      <c r="BD19" s="40"/>
      <c r="BE19" s="40"/>
      <c r="BF19" s="40"/>
      <c r="BG19" s="40"/>
      <c r="BH19" s="40"/>
      <c r="BI19" s="40"/>
      <c r="BJ19" s="40"/>
      <c r="BK19" s="40"/>
      <c r="BL19" s="40"/>
      <c r="BM19" s="40"/>
      <c r="BN19" s="40"/>
      <c r="BO19" s="40"/>
      <c r="BP19" s="40"/>
      <c r="BQ19" s="40"/>
      <c r="BR19" s="40"/>
      <c r="BS19" s="40"/>
      <c r="BT19" s="40"/>
      <c r="BU19" s="40"/>
      <c r="BV19" s="40"/>
      <c r="BW19" s="40"/>
      <c r="BX19" s="40"/>
      <c r="BY19" s="40"/>
      <c r="BZ19" s="40"/>
    </row>
    <row r="20" spans="1:78" x14ac:dyDescent="0.25">
      <c r="A20" s="5"/>
      <c r="B20" s="13"/>
      <c r="C20" s="13" t="s">
        <v>85</v>
      </c>
      <c r="D20" s="25" t="s">
        <v>81</v>
      </c>
      <c r="E20" s="16" t="s">
        <v>84</v>
      </c>
      <c r="F20" s="17">
        <f>Macro!G4/F4</f>
        <v>195542.96296296295</v>
      </c>
      <c r="G20" s="17">
        <f>Macro!H4/G4</f>
        <v>202492.91338582677</v>
      </c>
      <c r="H20" s="17">
        <f>Macro!I4/H4</f>
        <v>215706.19834710745</v>
      </c>
      <c r="I20" s="17">
        <f>Macro!J4/I4</f>
        <v>227636.63793103449</v>
      </c>
      <c r="J20" s="17">
        <f>Macro!K4/J4</f>
        <v>227086.95652173914</v>
      </c>
      <c r="K20" s="17">
        <f>Macro!L4/K4</f>
        <v>223217.39130434784</v>
      </c>
      <c r="L20" s="17">
        <f>Macro!M4/L4</f>
        <v>218260.86956521741</v>
      </c>
      <c r="M20" s="17">
        <f>Macro!N4/M4</f>
        <v>211913.04347826089</v>
      </c>
      <c r="N20" s="17">
        <f>Macro!O4/N4</f>
        <v>204391.30434782611</v>
      </c>
      <c r="O20" s="17">
        <f>Macro!P4/O4</f>
        <v>211799.49427529416</v>
      </c>
      <c r="P20" s="17">
        <f>Macro!Q4/P4</f>
        <v>219016.79777623297</v>
      </c>
      <c r="Q20" s="38"/>
      <c r="R20" s="40"/>
      <c r="S20" s="40"/>
      <c r="T20" s="40"/>
      <c r="U20" s="40"/>
      <c r="V20" s="40"/>
      <c r="W20" s="40"/>
      <c r="X20" s="40"/>
      <c r="Y20" s="40"/>
      <c r="Z20" s="40"/>
      <c r="AA20" s="40"/>
      <c r="AB20" s="40"/>
      <c r="AC20" s="40"/>
      <c r="AD20" s="40"/>
      <c r="AE20" s="40"/>
      <c r="AF20" s="40"/>
      <c r="AG20" s="40"/>
      <c r="AH20" s="40"/>
      <c r="AI20" s="40"/>
      <c r="AJ20" s="40"/>
      <c r="AK20" s="40"/>
      <c r="AL20" s="40"/>
      <c r="AM20" s="40"/>
      <c r="AN20" s="40"/>
      <c r="AO20" s="40"/>
      <c r="AP20" s="40"/>
      <c r="AQ20" s="40"/>
      <c r="AR20" s="40"/>
      <c r="AS20" s="40"/>
      <c r="AT20" s="40"/>
      <c r="AU20" s="40"/>
      <c r="AV20" s="40"/>
      <c r="AW20" s="40"/>
      <c r="AX20" s="40"/>
      <c r="AY20" s="40"/>
      <c r="AZ20" s="40"/>
      <c r="BA20" s="40"/>
      <c r="BB20" s="40"/>
      <c r="BC20" s="40"/>
      <c r="BD20" s="40"/>
      <c r="BE20" s="40"/>
      <c r="BF20" s="40"/>
      <c r="BG20" s="40"/>
      <c r="BH20" s="40"/>
      <c r="BI20" s="40"/>
      <c r="BJ20" s="40"/>
      <c r="BK20" s="40"/>
      <c r="BL20" s="40"/>
      <c r="BM20" s="40"/>
      <c r="BN20" s="40"/>
      <c r="BO20" s="40"/>
      <c r="BP20" s="40"/>
      <c r="BQ20" s="40"/>
      <c r="BR20" s="40"/>
      <c r="BS20" s="40"/>
      <c r="BT20" s="40"/>
      <c r="BU20" s="40"/>
      <c r="BV20" s="40"/>
      <c r="BW20" s="40"/>
      <c r="BX20" s="40"/>
      <c r="BY20" s="40"/>
      <c r="BZ20" s="40"/>
    </row>
    <row r="21" spans="1:78" x14ac:dyDescent="0.25">
      <c r="A21" s="5"/>
      <c r="B21" s="25"/>
      <c r="C21" s="25" t="s">
        <v>86</v>
      </c>
      <c r="D21" s="25" t="s">
        <v>81</v>
      </c>
      <c r="E21" s="16" t="s">
        <v>84</v>
      </c>
      <c r="F21" s="17">
        <f>Macro!G5/F5</f>
        <v>52488.461538461539</v>
      </c>
      <c r="G21" s="17">
        <f>Macro!H5/G5</f>
        <v>54787.30158730159</v>
      </c>
      <c r="H21" s="17">
        <f>Macro!I5/H5</f>
        <v>58534.710743801654</v>
      </c>
      <c r="I21" s="17">
        <f>Macro!J5/I5</f>
        <v>62304.310344827587</v>
      </c>
      <c r="J21" s="17">
        <f>Macro!K5/J5</f>
        <v>68434.782608695663</v>
      </c>
      <c r="K21" s="17">
        <f>Macro!L5/K5</f>
        <v>72956.521739130447</v>
      </c>
      <c r="L21" s="17">
        <f>Macro!M5/L5</f>
        <v>77217.391304347839</v>
      </c>
      <c r="M21" s="17">
        <f>Macro!N5/M5</f>
        <v>81000</v>
      </c>
      <c r="N21" s="17">
        <f>Macro!O5/N5</f>
        <v>84173.913043478271</v>
      </c>
      <c r="O21" s="17">
        <f>Macro!P5/O5</f>
        <v>87224.807682826955</v>
      </c>
      <c r="P21" s="17">
        <f>Macro!Q5/P5</f>
        <v>90197.090086106589</v>
      </c>
      <c r="Q21" s="38"/>
      <c r="R21" s="40"/>
      <c r="S21" s="40"/>
      <c r="T21" s="40"/>
      <c r="U21" s="40"/>
      <c r="V21" s="40"/>
      <c r="W21" s="40"/>
      <c r="X21" s="40"/>
      <c r="Y21" s="40"/>
      <c r="Z21" s="40"/>
      <c r="AA21" s="40"/>
      <c r="AB21" s="40"/>
      <c r="AC21" s="40"/>
      <c r="AD21" s="40"/>
      <c r="AE21" s="40"/>
      <c r="AF21" s="40"/>
      <c r="AG21" s="40"/>
      <c r="AH21" s="40"/>
      <c r="AI21" s="40"/>
      <c r="AJ21" s="40"/>
      <c r="AK21" s="40"/>
      <c r="AL21" s="40"/>
      <c r="AM21" s="40"/>
      <c r="AN21" s="40"/>
      <c r="AO21" s="40"/>
      <c r="AP21" s="40"/>
      <c r="AQ21" s="40"/>
      <c r="AR21" s="40"/>
      <c r="AS21" s="40"/>
      <c r="AT21" s="40"/>
      <c r="AU21" s="40"/>
      <c r="AV21" s="40"/>
      <c r="AW21" s="40"/>
      <c r="AX21" s="40"/>
      <c r="AY21" s="40"/>
      <c r="AZ21" s="40"/>
      <c r="BA21" s="40"/>
      <c r="BB21" s="40"/>
      <c r="BC21" s="40"/>
      <c r="BD21" s="40"/>
      <c r="BE21" s="40"/>
      <c r="BF21" s="40"/>
      <c r="BG21" s="40"/>
      <c r="BH21" s="40"/>
      <c r="BI21" s="40"/>
      <c r="BJ21" s="40"/>
      <c r="BK21" s="40"/>
      <c r="BL21" s="40"/>
      <c r="BM21" s="40"/>
      <c r="BN21" s="40"/>
      <c r="BO21" s="40"/>
      <c r="BP21" s="40"/>
      <c r="BQ21" s="40"/>
      <c r="BR21" s="40"/>
      <c r="BS21" s="40"/>
      <c r="BT21" s="40"/>
      <c r="BU21" s="40"/>
      <c r="BV21" s="40"/>
      <c r="BW21" s="40"/>
      <c r="BX21" s="40"/>
      <c r="BY21" s="40"/>
      <c r="BZ21" s="40"/>
    </row>
    <row r="22" spans="1:78" x14ac:dyDescent="0.25">
      <c r="A22" s="5"/>
      <c r="B22" s="25"/>
      <c r="C22" s="25" t="s">
        <v>87</v>
      </c>
      <c r="D22" s="25" t="s">
        <v>81</v>
      </c>
      <c r="E22" s="16" t="s">
        <v>84</v>
      </c>
      <c r="F22" s="17">
        <f>Macro!G6/F6</f>
        <v>373528.4</v>
      </c>
      <c r="G22" s="17">
        <f>Macro!H6/G6</f>
        <v>387572.72727272729</v>
      </c>
      <c r="H22" s="17">
        <f>Macro!I6/H6</f>
        <v>406080.60344827588</v>
      </c>
      <c r="I22" s="17">
        <f>Macro!J6/I6</f>
        <v>407184.78260869568</v>
      </c>
      <c r="J22" s="17">
        <f>Macro!K6/J6</f>
        <v>420478.26086956525</v>
      </c>
      <c r="K22" s="17">
        <f>Macro!L6/K6</f>
        <v>427782.60869565222</v>
      </c>
      <c r="L22" s="17">
        <f>Macro!M6/L6</f>
        <v>433086.95652173914</v>
      </c>
      <c r="M22" s="17">
        <f>Macro!N6/M6</f>
        <v>435304.34782608697</v>
      </c>
      <c r="N22" s="17">
        <f>Macro!O6/N6</f>
        <v>434217.39130434784</v>
      </c>
      <c r="O22" s="17">
        <f>Macro!P6/O6</f>
        <v>449955.65822747565</v>
      </c>
      <c r="P22" s="17">
        <f>Macro!Q6/P6</f>
        <v>465288.39808364998</v>
      </c>
      <c r="Q22" s="38"/>
      <c r="R22" s="40"/>
      <c r="S22" s="40"/>
      <c r="T22" s="40"/>
      <c r="U22" s="40"/>
      <c r="V22" s="40"/>
      <c r="W22" s="40"/>
      <c r="X22" s="40"/>
      <c r="Y22" s="40"/>
      <c r="Z22" s="40"/>
      <c r="AA22" s="40"/>
      <c r="AB22" s="40"/>
      <c r="AC22" s="40"/>
      <c r="AD22" s="40"/>
      <c r="AE22" s="40"/>
      <c r="AF22" s="40"/>
      <c r="AG22" s="40"/>
      <c r="AH22" s="40"/>
      <c r="AI22" s="40"/>
      <c r="AJ22" s="40"/>
      <c r="AK22" s="40"/>
      <c r="AL22" s="40"/>
      <c r="AM22" s="40"/>
      <c r="AN22" s="40"/>
      <c r="AO22" s="40"/>
      <c r="AP22" s="40"/>
      <c r="AQ22" s="40"/>
      <c r="AR22" s="40"/>
      <c r="AS22" s="40"/>
      <c r="AT22" s="40"/>
      <c r="AU22" s="40"/>
      <c r="AV22" s="40"/>
      <c r="AW22" s="40"/>
      <c r="AX22" s="40"/>
      <c r="AY22" s="40"/>
      <c r="AZ22" s="40"/>
      <c r="BA22" s="40"/>
      <c r="BB22" s="40"/>
      <c r="BC22" s="40"/>
      <c r="BD22" s="40"/>
      <c r="BE22" s="40"/>
      <c r="BF22" s="40"/>
      <c r="BG22" s="40"/>
      <c r="BH22" s="40"/>
      <c r="BI22" s="40"/>
      <c r="BJ22" s="40"/>
      <c r="BK22" s="40"/>
      <c r="BL22" s="40"/>
      <c r="BM22" s="40"/>
      <c r="BN22" s="40"/>
      <c r="BO22" s="40"/>
      <c r="BP22" s="40"/>
      <c r="BQ22" s="40"/>
      <c r="BR22" s="40"/>
      <c r="BS22" s="40"/>
      <c r="BT22" s="40"/>
      <c r="BU22" s="40"/>
      <c r="BV22" s="40"/>
      <c r="BW22" s="40"/>
      <c r="BX22" s="40"/>
      <c r="BY22" s="40"/>
      <c r="BZ22" s="40"/>
    </row>
    <row r="23" spans="1:78" x14ac:dyDescent="0.25">
      <c r="A23" s="5"/>
      <c r="B23" s="25"/>
      <c r="C23" s="25" t="s">
        <v>88</v>
      </c>
      <c r="D23" s="25" t="s">
        <v>81</v>
      </c>
      <c r="E23" s="16" t="s">
        <v>84</v>
      </c>
      <c r="F23" s="17">
        <f>Macro!G7/F7</f>
        <v>300206.8</v>
      </c>
      <c r="G23" s="17">
        <f>Macro!H7/G7</f>
        <v>309114.46280991734</v>
      </c>
      <c r="H23" s="17">
        <f>Macro!I7/H7</f>
        <v>324584.05172413797</v>
      </c>
      <c r="I23" s="17">
        <f>Macro!J7/I7</f>
        <v>329931.30434782611</v>
      </c>
      <c r="J23" s="17">
        <f>Macro!K7/J7</f>
        <v>337217.39130434784</v>
      </c>
      <c r="K23" s="17">
        <f>Macro!L7/K7</f>
        <v>342478.26086956525</v>
      </c>
      <c r="L23" s="17">
        <f>Macro!M7/L7</f>
        <v>346347.82608695654</v>
      </c>
      <c r="M23" s="17">
        <f>Macro!N7/M7</f>
        <v>347956.52173913049</v>
      </c>
      <c r="N23" s="17">
        <f>Macro!O7/N7</f>
        <v>347000</v>
      </c>
      <c r="O23" s="17">
        <f>Macro!P7/O7</f>
        <v>359577.06101066218</v>
      </c>
      <c r="P23" s="17">
        <f>Macro!Q7/P7</f>
        <v>371830.04957500857</v>
      </c>
      <c r="Q23" s="38"/>
      <c r="R23" s="40"/>
      <c r="S23" s="40"/>
      <c r="T23" s="40"/>
      <c r="U23" s="40"/>
      <c r="V23" s="40"/>
      <c r="W23" s="40"/>
      <c r="X23" s="40"/>
      <c r="Y23" s="40"/>
      <c r="Z23" s="40"/>
      <c r="AA23" s="40"/>
      <c r="AB23" s="40"/>
      <c r="AC23" s="40"/>
      <c r="AD23" s="40"/>
      <c r="AE23" s="40"/>
      <c r="AF23" s="40"/>
      <c r="AG23" s="40"/>
      <c r="AH23" s="40"/>
      <c r="AI23" s="40"/>
      <c r="AJ23" s="40"/>
      <c r="AK23" s="40"/>
      <c r="AL23" s="40"/>
      <c r="AM23" s="40"/>
      <c r="AN23" s="40"/>
      <c r="AO23" s="40"/>
      <c r="AP23" s="40"/>
      <c r="AQ23" s="40"/>
      <c r="AR23" s="40"/>
      <c r="AS23" s="40"/>
      <c r="AT23" s="40"/>
      <c r="AU23" s="40"/>
      <c r="AV23" s="40"/>
      <c r="AW23" s="40"/>
      <c r="AX23" s="40"/>
      <c r="AY23" s="40"/>
      <c r="AZ23" s="40"/>
      <c r="BA23" s="40"/>
      <c r="BB23" s="40"/>
      <c r="BC23" s="40"/>
      <c r="BD23" s="40"/>
      <c r="BE23" s="40"/>
      <c r="BF23" s="40"/>
      <c r="BG23" s="40"/>
      <c r="BH23" s="40"/>
      <c r="BI23" s="40"/>
      <c r="BJ23" s="40"/>
      <c r="BK23" s="40"/>
      <c r="BL23" s="40"/>
      <c r="BM23" s="40"/>
      <c r="BN23" s="40"/>
      <c r="BO23" s="40"/>
      <c r="BP23" s="40"/>
      <c r="BQ23" s="40"/>
      <c r="BR23" s="40"/>
      <c r="BS23" s="40"/>
      <c r="BT23" s="40"/>
      <c r="BU23" s="40"/>
      <c r="BV23" s="40"/>
      <c r="BW23" s="40"/>
      <c r="BX23" s="40"/>
      <c r="BY23" s="40"/>
      <c r="BZ23" s="40"/>
    </row>
    <row r="24" spans="1:78" x14ac:dyDescent="0.25">
      <c r="A24" s="5"/>
      <c r="B24" s="25"/>
      <c r="C24" s="25" t="s">
        <v>89</v>
      </c>
      <c r="D24" s="25" t="s">
        <v>81</v>
      </c>
      <c r="E24" s="16" t="s">
        <v>84</v>
      </c>
      <c r="F24" s="17">
        <f>Macro!G8/F8</f>
        <v>3065396.25</v>
      </c>
      <c r="G24" s="17">
        <f>Macro!H8/G8</f>
        <v>3267877.5862068967</v>
      </c>
      <c r="H24" s="17">
        <f>Macro!I8/H8</f>
        <v>3447487.826086957</v>
      </c>
      <c r="I24" s="17">
        <f>Macro!J8/I8</f>
        <v>3554466.086956522</v>
      </c>
      <c r="J24" s="17">
        <f>Macro!K8/J8</f>
        <v>3693260.8695652178</v>
      </c>
      <c r="K24" s="17">
        <f>Macro!L8/K8</f>
        <v>3799347.826086957</v>
      </c>
      <c r="L24" s="17">
        <f>Macro!M8/L8</f>
        <v>3895173.9130434785</v>
      </c>
      <c r="M24" s="17">
        <f>Macro!N8/M8</f>
        <v>3982217.3913043481</v>
      </c>
      <c r="N24" s="17">
        <f>Macro!O8/N8</f>
        <v>4066565.2173913047</v>
      </c>
      <c r="O24" s="17">
        <f>Macro!P8/O8</f>
        <v>4213958.4129041778</v>
      </c>
      <c r="P24" s="17">
        <f>Macro!Q8/P8</f>
        <v>4357553.7359729521</v>
      </c>
      <c r="Q24" s="38"/>
      <c r="R24" s="40"/>
      <c r="S24" s="40"/>
      <c r="T24" s="40"/>
      <c r="U24" s="40"/>
      <c r="V24" s="40"/>
      <c r="W24" s="40"/>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40"/>
      <c r="AW24" s="40"/>
      <c r="AX24" s="40"/>
      <c r="AY24" s="40"/>
      <c r="AZ24" s="40"/>
      <c r="BA24" s="40"/>
      <c r="BB24" s="40"/>
      <c r="BC24" s="40"/>
      <c r="BD24" s="40"/>
      <c r="BE24" s="40"/>
      <c r="BF24" s="40"/>
      <c r="BG24" s="40"/>
      <c r="BH24" s="40"/>
      <c r="BI24" s="40"/>
      <c r="BJ24" s="40"/>
      <c r="BK24" s="40"/>
      <c r="BL24" s="40"/>
      <c r="BM24" s="40"/>
      <c r="BN24" s="40"/>
      <c r="BO24" s="40"/>
      <c r="BP24" s="40"/>
      <c r="BQ24" s="40"/>
      <c r="BR24" s="40"/>
      <c r="BS24" s="40"/>
      <c r="BT24" s="40"/>
      <c r="BU24" s="40"/>
      <c r="BV24" s="40"/>
      <c r="BW24" s="40"/>
      <c r="BX24" s="40"/>
      <c r="BY24" s="40"/>
      <c r="BZ24" s="40"/>
    </row>
    <row r="25" spans="1:78" x14ac:dyDescent="0.25">
      <c r="A25" s="5"/>
      <c r="B25" s="25"/>
      <c r="C25" s="25" t="s">
        <v>90</v>
      </c>
      <c r="D25" s="25" t="s">
        <v>81</v>
      </c>
      <c r="E25" s="16" t="s">
        <v>84</v>
      </c>
      <c r="F25" s="17">
        <f>Macro!G9/F9</f>
        <v>4327144.444444444</v>
      </c>
      <c r="G25" s="17">
        <f>Macro!H9/G9</f>
        <v>4781932.4427480912</v>
      </c>
      <c r="H25" s="17">
        <f>Macro!I9/H9</f>
        <v>5052222.307692308</v>
      </c>
      <c r="I25" s="17">
        <f>Macro!J9/I9</f>
        <v>5271968.461538461</v>
      </c>
      <c r="J25" s="17">
        <f>Macro!K9/J9</f>
        <v>5645346.153846154</v>
      </c>
      <c r="K25" s="17">
        <f>Macro!L9/K9</f>
        <v>5985230.769230769</v>
      </c>
      <c r="L25" s="17">
        <f>Macro!M9/L9</f>
        <v>6312153.8461538451</v>
      </c>
      <c r="M25" s="17">
        <f>Macro!N9/M9</f>
        <v>6613500</v>
      </c>
      <c r="N25" s="17">
        <f>Macro!O9/N9</f>
        <v>6881538.461538461</v>
      </c>
      <c r="O25" s="17">
        <f>Macro!P9/O9</f>
        <v>7130960.7355384259</v>
      </c>
      <c r="P25" s="17">
        <f>Macro!Q9/P9</f>
        <v>7373956.1593837878</v>
      </c>
      <c r="Q25" s="38"/>
      <c r="R25" s="40"/>
      <c r="S25" s="40"/>
      <c r="T25" s="40"/>
      <c r="U25" s="40"/>
      <c r="V25" s="40"/>
      <c r="W25" s="40"/>
      <c r="X25" s="40"/>
      <c r="Y25" s="40"/>
      <c r="Z25" s="40"/>
      <c r="AA25" s="40"/>
      <c r="AB25" s="40"/>
      <c r="AC25" s="40"/>
      <c r="AD25" s="40"/>
      <c r="AE25" s="40"/>
      <c r="AF25" s="40"/>
      <c r="AG25" s="40"/>
      <c r="AH25" s="40"/>
      <c r="AI25" s="40"/>
      <c r="AJ25" s="40"/>
      <c r="AK25" s="40"/>
      <c r="AL25" s="40"/>
      <c r="AM25" s="40"/>
      <c r="AN25" s="40"/>
      <c r="AO25" s="40"/>
      <c r="AP25" s="40"/>
      <c r="AQ25" s="40"/>
      <c r="AR25" s="40"/>
      <c r="AS25" s="40"/>
      <c r="AT25" s="40"/>
      <c r="AU25" s="40"/>
      <c r="AV25" s="40"/>
      <c r="AW25" s="40"/>
      <c r="AX25" s="40"/>
      <c r="AY25" s="40"/>
      <c r="AZ25" s="40"/>
      <c r="BA25" s="40"/>
      <c r="BB25" s="40"/>
      <c r="BC25" s="40"/>
      <c r="BD25" s="40"/>
      <c r="BE25" s="40"/>
      <c r="BF25" s="40"/>
      <c r="BG25" s="40"/>
      <c r="BH25" s="40"/>
      <c r="BI25" s="40"/>
      <c r="BJ25" s="40"/>
      <c r="BK25" s="40"/>
      <c r="BL25" s="40"/>
      <c r="BM25" s="40"/>
      <c r="BN25" s="40"/>
      <c r="BO25" s="40"/>
      <c r="BP25" s="40"/>
      <c r="BQ25" s="40"/>
      <c r="BR25" s="40"/>
      <c r="BS25" s="40"/>
      <c r="BT25" s="40"/>
      <c r="BU25" s="40"/>
      <c r="BV25" s="40"/>
      <c r="BW25" s="40"/>
      <c r="BX25" s="40"/>
      <c r="BY25" s="40"/>
      <c r="BZ25" s="40"/>
    </row>
    <row r="26" spans="1:78" x14ac:dyDescent="0.25">
      <c r="A26" s="5"/>
      <c r="B26" s="25"/>
      <c r="C26" s="25" t="s">
        <v>91</v>
      </c>
      <c r="D26" s="25" t="s">
        <v>81</v>
      </c>
      <c r="E26" s="16" t="s">
        <v>84</v>
      </c>
      <c r="F26" s="17">
        <f>Macro!G10/F10</f>
        <v>458925.2</v>
      </c>
      <c r="G26" s="17">
        <f>Macro!H10/G10</f>
        <v>471305.6</v>
      </c>
      <c r="H26" s="17">
        <f>Macro!I10/H10</f>
        <v>488312</v>
      </c>
      <c r="I26" s="17">
        <f>Macro!J10/I10</f>
        <v>516890.8</v>
      </c>
      <c r="J26" s="17">
        <f>Macro!K10/J10</f>
        <v>552760</v>
      </c>
      <c r="K26" s="17">
        <f>Macro!L10/K10</f>
        <v>583120</v>
      </c>
      <c r="L26" s="17">
        <f>Macro!M10/L10</f>
        <v>613920</v>
      </c>
      <c r="M26" s="17">
        <f>Macro!N10/M10</f>
        <v>645120</v>
      </c>
      <c r="N26" s="17">
        <f>Macro!O10/N10</f>
        <v>677000</v>
      </c>
      <c r="O26" s="17">
        <f>Macro!P10/O10</f>
        <v>701537.95476719958</v>
      </c>
      <c r="P26" s="17">
        <f>Macro!Q10/P10</f>
        <v>725443.64138985821</v>
      </c>
      <c r="Q26" s="38"/>
      <c r="R26" s="40"/>
      <c r="S26" s="40"/>
      <c r="T26" s="40"/>
      <c r="U26" s="40"/>
      <c r="V26" s="40"/>
      <c r="W26" s="40"/>
      <c r="X26" s="40"/>
      <c r="Y26" s="40"/>
      <c r="Z26" s="40"/>
      <c r="AA26" s="40"/>
      <c r="AB26" s="40"/>
      <c r="AC26" s="40"/>
      <c r="AD26" s="40"/>
      <c r="AE26" s="40"/>
      <c r="AF26" s="40"/>
      <c r="AG26" s="40"/>
      <c r="AH26" s="40"/>
      <c r="AI26" s="40"/>
      <c r="AJ26" s="40"/>
      <c r="AK26" s="40"/>
      <c r="AL26" s="40"/>
      <c r="AM26" s="40"/>
      <c r="AN26" s="40"/>
      <c r="AO26" s="40"/>
      <c r="AP26" s="40"/>
      <c r="AQ26" s="40"/>
      <c r="AR26" s="40"/>
      <c r="AS26" s="40"/>
      <c r="AT26" s="40"/>
      <c r="AU26" s="40"/>
      <c r="AV26" s="40"/>
      <c r="AW26" s="40"/>
      <c r="AX26" s="40"/>
      <c r="AY26" s="40"/>
      <c r="AZ26" s="40"/>
      <c r="BA26" s="40"/>
      <c r="BB26" s="40"/>
      <c r="BC26" s="40"/>
      <c r="BD26" s="40"/>
      <c r="BE26" s="40"/>
      <c r="BF26" s="40"/>
      <c r="BG26" s="40"/>
      <c r="BH26" s="40"/>
      <c r="BI26" s="40"/>
      <c r="BJ26" s="40"/>
      <c r="BK26" s="40"/>
      <c r="BL26" s="40"/>
      <c r="BM26" s="40"/>
      <c r="BN26" s="40"/>
      <c r="BO26" s="40"/>
      <c r="BP26" s="40"/>
      <c r="BQ26" s="40"/>
      <c r="BR26" s="40"/>
      <c r="BS26" s="40"/>
      <c r="BT26" s="40"/>
      <c r="BU26" s="40"/>
      <c r="BV26" s="40"/>
      <c r="BW26" s="40"/>
      <c r="BX26" s="40"/>
      <c r="BY26" s="40"/>
      <c r="BZ26" s="40"/>
    </row>
    <row r="27" spans="1:78" x14ac:dyDescent="0.25">
      <c r="A27" s="5"/>
      <c r="B27" s="25"/>
      <c r="C27" s="25" t="s">
        <v>92</v>
      </c>
      <c r="D27" s="25" t="s">
        <v>81</v>
      </c>
      <c r="E27" s="16" t="s">
        <v>84</v>
      </c>
      <c r="F27" s="17">
        <f>Macro!G11/F11</f>
        <v>403026</v>
      </c>
      <c r="G27" s="17">
        <f>Macro!H11/G11</f>
        <v>410537.19008264464</v>
      </c>
      <c r="H27" s="17">
        <f>Macro!I11/H11</f>
        <v>423968.95161290321</v>
      </c>
      <c r="I27" s="17">
        <f>Macro!J11/I11</f>
        <v>448386.8</v>
      </c>
      <c r="J27" s="17">
        <f>Macro!K11/J11</f>
        <v>478040</v>
      </c>
      <c r="K27" s="17">
        <f>Macro!L11/K11</f>
        <v>514800</v>
      </c>
      <c r="L27" s="17">
        <f>Macro!M11/L11</f>
        <v>552160</v>
      </c>
      <c r="M27" s="17">
        <f>Macro!N11/M11</f>
        <v>587520</v>
      </c>
      <c r="N27" s="17">
        <f>Macro!O11/N11</f>
        <v>619480</v>
      </c>
      <c r="O27" s="17">
        <f>Macro!P11/O11</f>
        <v>641933.13474030257</v>
      </c>
      <c r="P27" s="17">
        <f>Macro!Q11/P11</f>
        <v>663807.72078019113</v>
      </c>
      <c r="Q27" s="38"/>
      <c r="R27" s="40"/>
      <c r="S27" s="40"/>
      <c r="T27" s="40"/>
      <c r="U27" s="40"/>
      <c r="V27" s="40"/>
      <c r="W27" s="40"/>
      <c r="X27" s="40"/>
      <c r="Y27" s="40"/>
      <c r="Z27" s="40"/>
      <c r="AA27" s="40"/>
      <c r="AB27" s="40"/>
      <c r="AC27" s="40"/>
      <c r="AD27" s="40"/>
      <c r="AE27" s="40"/>
      <c r="AF27" s="40"/>
      <c r="AG27" s="40"/>
      <c r="AH27" s="40"/>
      <c r="AI27" s="40"/>
      <c r="AJ27" s="40"/>
      <c r="AK27" s="40"/>
      <c r="AL27" s="40"/>
      <c r="AM27" s="40"/>
      <c r="AN27" s="40"/>
      <c r="AO27" s="40"/>
      <c r="AP27" s="40"/>
      <c r="AQ27" s="40"/>
      <c r="AR27" s="40"/>
      <c r="AS27" s="40"/>
      <c r="AT27" s="40"/>
      <c r="AU27" s="40"/>
      <c r="AV27" s="40"/>
      <c r="AW27" s="40"/>
      <c r="AX27" s="40"/>
      <c r="AY27" s="40"/>
      <c r="AZ27" s="40"/>
      <c r="BA27" s="40"/>
      <c r="BB27" s="40"/>
      <c r="BC27" s="40"/>
      <c r="BD27" s="40"/>
      <c r="BE27" s="40"/>
      <c r="BF27" s="40"/>
      <c r="BG27" s="40"/>
      <c r="BH27" s="40"/>
      <c r="BI27" s="40"/>
      <c r="BJ27" s="40"/>
      <c r="BK27" s="40"/>
      <c r="BL27" s="40"/>
      <c r="BM27" s="40"/>
      <c r="BN27" s="40"/>
      <c r="BO27" s="40"/>
      <c r="BP27" s="40"/>
      <c r="BQ27" s="40"/>
      <c r="BR27" s="40"/>
      <c r="BS27" s="40"/>
      <c r="BT27" s="40"/>
      <c r="BU27" s="40"/>
      <c r="BV27" s="40"/>
      <c r="BW27" s="40"/>
      <c r="BX27" s="40"/>
      <c r="BY27" s="40"/>
      <c r="BZ27" s="40"/>
    </row>
    <row r="28" spans="1:78" x14ac:dyDescent="0.25">
      <c r="A28" s="5"/>
      <c r="B28" s="25"/>
      <c r="C28" s="25" t="s">
        <v>5</v>
      </c>
      <c r="D28" s="25" t="s">
        <v>81</v>
      </c>
      <c r="E28" s="16" t="s">
        <v>84</v>
      </c>
      <c r="F28" s="17">
        <f>Macro!G12/F12</f>
        <v>1155460.7692307692</v>
      </c>
      <c r="G28" s="17">
        <f>Macro!H12/G12</f>
        <v>1277603.076923077</v>
      </c>
      <c r="H28" s="17">
        <f>Macro!I12/H12</f>
        <v>1435416.1538461538</v>
      </c>
      <c r="I28" s="17">
        <f>Macro!J12/I12</f>
        <v>1594035</v>
      </c>
      <c r="J28" s="17">
        <f>Macro!K12/J12</f>
        <v>1720307.6923076923</v>
      </c>
      <c r="K28" s="17">
        <f>Macro!L12/K12</f>
        <v>1887884.6153846153</v>
      </c>
      <c r="L28" s="17">
        <f>Macro!M12/L12</f>
        <v>2061730.7692307692</v>
      </c>
      <c r="M28" s="17">
        <f>Macro!N12/M12</f>
        <v>2242307.692307692</v>
      </c>
      <c r="N28" s="17">
        <f>Macro!O12/N12</f>
        <v>2429923.076923077</v>
      </c>
      <c r="O28" s="17">
        <f>Macro!P12/O12</f>
        <v>2517995.9610431846</v>
      </c>
      <c r="P28" s="17">
        <f>Macro!Q12/P12</f>
        <v>2603799.4759532134</v>
      </c>
      <c r="Q28" s="38"/>
      <c r="R28" s="40"/>
      <c r="S28" s="40"/>
      <c r="T28" s="40"/>
      <c r="U28" s="40"/>
      <c r="V28" s="40"/>
      <c r="W28" s="40"/>
      <c r="X28" s="40"/>
      <c r="Y28" s="40"/>
      <c r="Z28" s="40"/>
      <c r="AA28" s="40"/>
      <c r="AB28" s="40"/>
      <c r="AC28" s="40"/>
      <c r="AD28" s="40"/>
      <c r="AE28" s="40"/>
      <c r="AF28" s="40"/>
      <c r="AG28" s="40"/>
      <c r="AH28" s="40"/>
      <c r="AI28" s="40"/>
      <c r="AJ28" s="40"/>
      <c r="AK28" s="40"/>
      <c r="AL28" s="40"/>
      <c r="AM28" s="40"/>
      <c r="AN28" s="40"/>
      <c r="AO28" s="40"/>
      <c r="AP28" s="40"/>
      <c r="AQ28" s="40"/>
      <c r="AR28" s="40"/>
      <c r="AS28" s="40"/>
      <c r="AT28" s="40"/>
      <c r="AU28" s="40"/>
      <c r="AV28" s="40"/>
      <c r="AW28" s="40"/>
      <c r="AX28" s="40"/>
      <c r="AY28" s="40"/>
      <c r="AZ28" s="40"/>
      <c r="BA28" s="40"/>
      <c r="BB28" s="40"/>
      <c r="BC28" s="40"/>
      <c r="BD28" s="40"/>
      <c r="BE28" s="40"/>
      <c r="BF28" s="40"/>
      <c r="BG28" s="40"/>
      <c r="BH28" s="40"/>
      <c r="BI28" s="40"/>
      <c r="BJ28" s="40"/>
      <c r="BK28" s="40"/>
      <c r="BL28" s="40"/>
      <c r="BM28" s="40"/>
      <c r="BN28" s="40"/>
      <c r="BO28" s="40"/>
      <c r="BP28" s="40"/>
      <c r="BQ28" s="40"/>
      <c r="BR28" s="40"/>
      <c r="BS28" s="40"/>
      <c r="BT28" s="40"/>
      <c r="BU28" s="40"/>
      <c r="BV28" s="40"/>
      <c r="BW28" s="40"/>
      <c r="BX28" s="40"/>
      <c r="BY28" s="40"/>
      <c r="BZ28" s="40"/>
    </row>
    <row r="29" spans="1:78" x14ac:dyDescent="0.25">
      <c r="A29" s="5"/>
      <c r="B29" s="25"/>
      <c r="C29" s="25" t="s">
        <v>61</v>
      </c>
      <c r="D29" s="25" t="s">
        <v>81</v>
      </c>
      <c r="E29" s="16" t="s">
        <v>84</v>
      </c>
      <c r="F29" s="17">
        <f>Macro!G13/F13</f>
        <v>1615692</v>
      </c>
      <c r="G29" s="17">
        <f>Macro!H13/G13</f>
        <v>1678424.8</v>
      </c>
      <c r="H29" s="17">
        <f>Macro!I13/H13</f>
        <v>1786218.4</v>
      </c>
      <c r="I29" s="17">
        <f>Macro!J13/I13</f>
        <v>1973714.0495867769</v>
      </c>
      <c r="J29" s="17">
        <f>Macro!K13/J13</f>
        <v>2126458.3333333335</v>
      </c>
      <c r="K29" s="17">
        <f>Macro!L13/K13</f>
        <v>2239916.666666667</v>
      </c>
      <c r="L29" s="17">
        <f>Macro!M13/L13</f>
        <v>2347041.666666667</v>
      </c>
      <c r="M29" s="17">
        <f>Macro!N13/M13</f>
        <v>2447041.666666667</v>
      </c>
      <c r="N29" s="17">
        <f>Macro!O13/N13</f>
        <v>2540166.666666667</v>
      </c>
      <c r="O29" s="17">
        <f>Macro!P13/O13</f>
        <v>2632235.3443148425</v>
      </c>
      <c r="P29" s="17">
        <f>Macro!Q13/P13</f>
        <v>2721931.6933586486</v>
      </c>
      <c r="Q29" s="38"/>
      <c r="R29" s="40"/>
      <c r="S29" s="40"/>
      <c r="T29" s="40"/>
      <c r="U29" s="40"/>
      <c r="V29" s="40"/>
      <c r="W29" s="40"/>
      <c r="X29" s="40"/>
      <c r="Y29" s="40"/>
      <c r="Z29" s="40"/>
      <c r="AA29" s="40"/>
      <c r="AB29" s="40"/>
      <c r="AC29" s="40"/>
      <c r="AD29" s="40"/>
      <c r="AE29" s="40"/>
      <c r="AF29" s="40"/>
      <c r="AG29" s="40"/>
      <c r="AH29" s="40"/>
      <c r="AI29" s="40"/>
      <c r="AJ29" s="40"/>
      <c r="AK29" s="40"/>
      <c r="AL29" s="40"/>
      <c r="AM29" s="40"/>
      <c r="AN29" s="40"/>
      <c r="AO29" s="40"/>
      <c r="AP29" s="40"/>
      <c r="AQ29" s="40"/>
      <c r="AR29" s="40"/>
      <c r="AS29" s="40"/>
      <c r="AT29" s="40"/>
      <c r="AU29" s="40"/>
      <c r="AV29" s="40"/>
      <c r="AW29" s="40"/>
      <c r="AX29" s="40"/>
      <c r="AY29" s="40"/>
      <c r="AZ29" s="40"/>
      <c r="BA29" s="40"/>
      <c r="BB29" s="40"/>
      <c r="BC29" s="40"/>
      <c r="BD29" s="40"/>
      <c r="BE29" s="40"/>
      <c r="BF29" s="40"/>
      <c r="BG29" s="40"/>
      <c r="BH29" s="40"/>
      <c r="BI29" s="40"/>
      <c r="BJ29" s="40"/>
      <c r="BK29" s="40"/>
      <c r="BL29" s="40"/>
      <c r="BM29" s="40"/>
      <c r="BN29" s="40"/>
      <c r="BO29" s="40"/>
      <c r="BP29" s="40"/>
      <c r="BQ29" s="40"/>
      <c r="BR29" s="40"/>
      <c r="BS29" s="40"/>
      <c r="BT29" s="40"/>
      <c r="BU29" s="40"/>
      <c r="BV29" s="40"/>
      <c r="BW29" s="40"/>
      <c r="BX29" s="40"/>
      <c r="BY29" s="40"/>
      <c r="BZ29" s="40"/>
    </row>
    <row r="30" spans="1:78" x14ac:dyDescent="0.25">
      <c r="A30" s="5"/>
      <c r="B30" s="25"/>
      <c r="C30" s="25" t="s">
        <v>93</v>
      </c>
      <c r="D30" s="25" t="s">
        <v>81</v>
      </c>
      <c r="E30" s="16" t="s">
        <v>84</v>
      </c>
      <c r="F30" s="17">
        <f>Macro!G14/F14</f>
        <v>12172.4</v>
      </c>
      <c r="G30" s="17">
        <f>Macro!H14/G14</f>
        <v>13182.644628099173</v>
      </c>
      <c r="H30" s="17">
        <f>Macro!I14/H14</f>
        <v>14415</v>
      </c>
      <c r="I30" s="17">
        <f>Macro!J14/I14</f>
        <v>16245.689655172415</v>
      </c>
      <c r="J30" s="17">
        <f>Macro!K14/J14</f>
        <v>17956.521739130436</v>
      </c>
      <c r="K30" s="17">
        <f>Macro!L14/K14</f>
        <v>18913.043478260872</v>
      </c>
      <c r="L30" s="17">
        <f>Macro!M14/L14</f>
        <v>19739.130434782612</v>
      </c>
      <c r="M30" s="17">
        <f>Macro!N14/M14</f>
        <v>20434.782608695652</v>
      </c>
      <c r="N30" s="17">
        <f>Macro!O14/N14</f>
        <v>21000</v>
      </c>
      <c r="O30" s="17">
        <f>Macro!P14/O14</f>
        <v>21761.147784506931</v>
      </c>
      <c r="P30" s="17">
        <f>Macro!Q14/P14</f>
        <v>22502.683115490436</v>
      </c>
      <c r="Q30" s="38"/>
      <c r="R30" s="40"/>
      <c r="S30" s="40"/>
      <c r="T30" s="40"/>
      <c r="U30" s="40"/>
      <c r="V30" s="40"/>
      <c r="W30" s="40"/>
      <c r="X30" s="40"/>
      <c r="Y30" s="40"/>
      <c r="Z30" s="40"/>
      <c r="AA30" s="40"/>
      <c r="AB30" s="40"/>
      <c r="AC30" s="40"/>
      <c r="AD30" s="40"/>
      <c r="AE30" s="40"/>
      <c r="AF30" s="40"/>
      <c r="AG30" s="40"/>
      <c r="AH30" s="40"/>
      <c r="AI30" s="40"/>
      <c r="AJ30" s="40"/>
      <c r="AK30" s="40"/>
      <c r="AL30" s="40"/>
      <c r="AM30" s="40"/>
      <c r="AN30" s="40"/>
      <c r="AO30" s="40"/>
      <c r="AP30" s="40"/>
      <c r="AQ30" s="40"/>
      <c r="AR30" s="40"/>
      <c r="AS30" s="40"/>
      <c r="AT30" s="40"/>
      <c r="AU30" s="40"/>
      <c r="AV30" s="40"/>
      <c r="AW30" s="40"/>
      <c r="AX30" s="40"/>
      <c r="AY30" s="40"/>
      <c r="AZ30" s="40"/>
      <c r="BA30" s="40"/>
      <c r="BB30" s="40"/>
      <c r="BC30" s="40"/>
      <c r="BD30" s="40"/>
      <c r="BE30" s="40"/>
      <c r="BF30" s="40"/>
      <c r="BG30" s="40"/>
      <c r="BH30" s="40"/>
      <c r="BI30" s="40"/>
      <c r="BJ30" s="40"/>
      <c r="BK30" s="40"/>
      <c r="BL30" s="40"/>
      <c r="BM30" s="40"/>
      <c r="BN30" s="40"/>
      <c r="BO30" s="40"/>
      <c r="BP30" s="40"/>
      <c r="BQ30" s="40"/>
      <c r="BR30" s="40"/>
      <c r="BS30" s="40"/>
      <c r="BT30" s="40"/>
      <c r="BU30" s="40"/>
      <c r="BV30" s="40"/>
      <c r="BW30" s="40"/>
      <c r="BX30" s="40"/>
      <c r="BY30" s="40"/>
      <c r="BZ30" s="40"/>
    </row>
    <row r="31" spans="1:78" x14ac:dyDescent="0.25">
      <c r="A31" s="5"/>
      <c r="B31" s="25"/>
      <c r="C31" s="25" t="s">
        <v>95</v>
      </c>
      <c r="D31" s="25" t="s">
        <v>81</v>
      </c>
      <c r="E31" s="16" t="s">
        <v>84</v>
      </c>
      <c r="F31" s="17">
        <f>Macro!G15/F15</f>
        <v>13958.620689655172</v>
      </c>
      <c r="G31" s="17">
        <f>Macro!H15/G15</f>
        <v>14965.517241379312</v>
      </c>
      <c r="H31" s="17">
        <f>Macro!I15/H15</f>
        <v>15349.290780141844</v>
      </c>
      <c r="I31" s="17">
        <f>Macro!J15/I15</f>
        <v>16263.60294117647</v>
      </c>
      <c r="J31" s="17">
        <f>Macro!K15/J15</f>
        <v>16703.703703703704</v>
      </c>
      <c r="K31" s="17">
        <f>Macro!L15/K15</f>
        <v>17185.185185185182</v>
      </c>
      <c r="L31" s="17">
        <f>Macro!M15/L15</f>
        <v>17555.555555555555</v>
      </c>
      <c r="M31" s="17">
        <f>Macro!N15/M15</f>
        <v>17851.85185185185</v>
      </c>
      <c r="N31" s="17">
        <f>Macro!O15/N15</f>
        <v>18000</v>
      </c>
      <c r="O31" s="17">
        <f>Macro!P15/O15</f>
        <v>18652.412386720225</v>
      </c>
      <c r="P31" s="17">
        <f>Macro!Q15/P15</f>
        <v>19288.014098991796</v>
      </c>
      <c r="Q31" s="38"/>
      <c r="R31" s="40"/>
      <c r="S31" s="40"/>
      <c r="T31" s="40"/>
      <c r="U31" s="40"/>
      <c r="V31" s="40"/>
      <c r="W31" s="40"/>
      <c r="X31" s="40"/>
      <c r="Y31" s="40"/>
      <c r="Z31" s="40"/>
      <c r="AA31" s="40"/>
      <c r="AB31" s="40"/>
      <c r="AC31" s="40"/>
      <c r="AD31" s="40"/>
      <c r="AE31" s="40"/>
      <c r="AF31" s="40"/>
      <c r="AG31" s="40"/>
      <c r="AH31" s="40"/>
      <c r="AI31" s="40"/>
      <c r="AJ31" s="40"/>
      <c r="AK31" s="40"/>
      <c r="AL31" s="40"/>
      <c r="AM31" s="40"/>
      <c r="AN31" s="40"/>
      <c r="AO31" s="40"/>
      <c r="AP31" s="40"/>
      <c r="AQ31" s="40"/>
      <c r="AR31" s="40"/>
      <c r="AS31" s="40"/>
      <c r="AT31" s="40"/>
      <c r="AU31" s="40"/>
      <c r="AV31" s="40"/>
      <c r="AW31" s="40"/>
      <c r="AX31" s="40"/>
      <c r="AY31" s="40"/>
      <c r="AZ31" s="40"/>
      <c r="BA31" s="40"/>
      <c r="BB31" s="40"/>
      <c r="BC31" s="40"/>
      <c r="BD31" s="40"/>
      <c r="BE31" s="40"/>
      <c r="BF31" s="40"/>
      <c r="BG31" s="40"/>
      <c r="BH31" s="40"/>
      <c r="BI31" s="40"/>
      <c r="BJ31" s="40"/>
      <c r="BK31" s="40"/>
      <c r="BL31" s="40"/>
      <c r="BM31" s="40"/>
      <c r="BN31" s="40"/>
      <c r="BO31" s="40"/>
      <c r="BP31" s="40"/>
      <c r="BQ31" s="40"/>
      <c r="BR31" s="40"/>
      <c r="BS31" s="40"/>
      <c r="BT31" s="40"/>
      <c r="BU31" s="40"/>
      <c r="BV31" s="40"/>
      <c r="BW31" s="40"/>
      <c r="BX31" s="40"/>
      <c r="BY31" s="40"/>
      <c r="BZ31" s="40"/>
    </row>
    <row r="32" spans="1:78" x14ac:dyDescent="0.25">
      <c r="A32" s="5"/>
      <c r="B32" s="25"/>
      <c r="C32" s="25" t="s">
        <v>94</v>
      </c>
      <c r="D32" s="25" t="s">
        <v>81</v>
      </c>
      <c r="E32" s="16" t="s">
        <v>84</v>
      </c>
      <c r="F32" s="17">
        <f>Macro!G16/F16</f>
        <v>7431.8918918918916</v>
      </c>
      <c r="G32" s="17">
        <f>Macro!H16/G16</f>
        <v>8199.72972972973</v>
      </c>
      <c r="H32" s="17">
        <f>Macro!I16/H16</f>
        <v>9014.0540540540533</v>
      </c>
      <c r="I32" s="17">
        <f>Macro!J16/I16</f>
        <v>10079.558011049723</v>
      </c>
      <c r="J32" s="17">
        <f>Macro!K16/J16</f>
        <v>10916.666666666666</v>
      </c>
      <c r="K32" s="17">
        <f>Macro!L16/K16</f>
        <v>11555.555555555555</v>
      </c>
      <c r="L32" s="17">
        <f>Macro!M16/L16</f>
        <v>12194.444444444443</v>
      </c>
      <c r="M32" s="17">
        <f>Macro!N16/M16</f>
        <v>12888.888888888889</v>
      </c>
      <c r="N32" s="17">
        <f>Macro!O16/N16</f>
        <v>13555.555555555555</v>
      </c>
      <c r="O32" s="17">
        <f>Macro!P16/O16</f>
        <v>14046.878464073256</v>
      </c>
      <c r="P32" s="17">
        <f>Macro!Q16/P16</f>
        <v>14525.541481956787</v>
      </c>
      <c r="Q32" s="38"/>
      <c r="R32" s="40"/>
      <c r="S32" s="40"/>
      <c r="T32" s="40"/>
      <c r="U32" s="40"/>
      <c r="V32" s="40"/>
      <c r="W32" s="40"/>
      <c r="X32" s="40"/>
      <c r="Y32" s="40"/>
      <c r="Z32" s="40"/>
      <c r="AA32" s="40"/>
      <c r="AB32" s="40"/>
      <c r="AC32" s="40"/>
      <c r="AD32" s="40"/>
      <c r="AE32" s="40"/>
      <c r="AF32" s="40"/>
      <c r="AG32" s="40"/>
      <c r="AH32" s="40"/>
      <c r="AI32" s="40"/>
      <c r="AJ32" s="40"/>
      <c r="AK32" s="40"/>
      <c r="AL32" s="40"/>
      <c r="AM32" s="40"/>
      <c r="AN32" s="40"/>
      <c r="AO32" s="40"/>
      <c r="AP32" s="40"/>
      <c r="AQ32" s="40"/>
      <c r="AR32" s="40"/>
      <c r="AS32" s="40"/>
      <c r="AT32" s="40"/>
      <c r="AU32" s="40"/>
      <c r="AV32" s="40"/>
      <c r="AW32" s="40"/>
      <c r="AX32" s="40"/>
      <c r="AY32" s="40"/>
      <c r="AZ32" s="40"/>
      <c r="BA32" s="40"/>
      <c r="BB32" s="40"/>
      <c r="BC32" s="40"/>
      <c r="BD32" s="40"/>
      <c r="BE32" s="40"/>
      <c r="BF32" s="40"/>
      <c r="BG32" s="40"/>
      <c r="BH32" s="40"/>
      <c r="BI32" s="40"/>
      <c r="BJ32" s="40"/>
      <c r="BK32" s="40"/>
      <c r="BL32" s="40"/>
      <c r="BM32" s="40"/>
      <c r="BN32" s="40"/>
      <c r="BO32" s="40"/>
      <c r="BP32" s="40"/>
      <c r="BQ32" s="40"/>
      <c r="BR32" s="40"/>
      <c r="BS32" s="40"/>
      <c r="BT32" s="40"/>
      <c r="BU32" s="40"/>
      <c r="BV32" s="40"/>
      <c r="BW32" s="40"/>
      <c r="BX32" s="40"/>
      <c r="BY32" s="40"/>
      <c r="BZ32" s="40"/>
    </row>
    <row r="33" spans="1:34" x14ac:dyDescent="0.25">
      <c r="A33" s="5"/>
      <c r="B33" s="25"/>
      <c r="C33" s="25"/>
      <c r="D33" s="25"/>
      <c r="E33" s="16"/>
      <c r="F33" s="30"/>
      <c r="G33" s="30"/>
      <c r="H33" s="30"/>
      <c r="I33" s="30"/>
      <c r="Q33" s="38"/>
    </row>
    <row r="34" spans="1:34" x14ac:dyDescent="0.25">
      <c r="A34" s="5"/>
      <c r="B34" s="25"/>
      <c r="C34" s="25"/>
      <c r="D34" s="25"/>
      <c r="E34" s="16"/>
      <c r="F34" s="30"/>
      <c r="G34" s="30"/>
      <c r="H34" s="30"/>
      <c r="I34" s="30"/>
      <c r="Q34" s="38"/>
    </row>
    <row r="35" spans="1:34" x14ac:dyDescent="0.25">
      <c r="A35" s="5"/>
      <c r="B35" s="57" t="s">
        <v>126</v>
      </c>
      <c r="C35" s="25"/>
      <c r="D35" s="25"/>
      <c r="E35" s="16"/>
      <c r="F35" s="30"/>
      <c r="G35" s="30"/>
      <c r="H35" s="30"/>
      <c r="I35" s="30"/>
      <c r="Q35" s="38"/>
    </row>
    <row r="36" spans="1:34" outlineLevel="1" x14ac:dyDescent="0.25">
      <c r="A36" s="5"/>
      <c r="B36" s="25" t="s">
        <v>128</v>
      </c>
      <c r="C36" s="25" t="s">
        <v>48</v>
      </c>
      <c r="D36" s="25" t="s">
        <v>127</v>
      </c>
      <c r="E36" s="27" t="s">
        <v>80</v>
      </c>
      <c r="F36" s="30">
        <f t="shared" ref="F36:I51" si="5">INDEX($R36:$BZ36,MATCH(F$1,$R$1:$BZ$1,0))</f>
        <v>0</v>
      </c>
      <c r="G36" s="30">
        <f t="shared" si="5"/>
        <v>0</v>
      </c>
      <c r="H36" s="30">
        <f t="shared" si="5"/>
        <v>0</v>
      </c>
      <c r="I36" s="30">
        <f t="shared" si="5"/>
        <v>0</v>
      </c>
      <c r="J36" s="43">
        <f t="shared" ref="J36:P72" si="6">$AH36</f>
        <v>0</v>
      </c>
      <c r="K36" s="43">
        <f t="shared" si="6"/>
        <v>0</v>
      </c>
      <c r="L36" s="43">
        <f t="shared" si="6"/>
        <v>0</v>
      </c>
      <c r="M36" s="43">
        <f t="shared" si="6"/>
        <v>0</v>
      </c>
      <c r="N36" s="43">
        <f t="shared" si="6"/>
        <v>0</v>
      </c>
      <c r="O36" s="43">
        <f t="shared" si="6"/>
        <v>0</v>
      </c>
      <c r="P36" s="43">
        <f t="shared" si="6"/>
        <v>0</v>
      </c>
      <c r="Q36" s="38"/>
    </row>
    <row r="37" spans="1:34" outlineLevel="1" x14ac:dyDescent="0.25">
      <c r="A37" s="5"/>
      <c r="B37" s="25" t="s">
        <v>128</v>
      </c>
      <c r="C37" s="13" t="s">
        <v>85</v>
      </c>
      <c r="D37" s="25" t="s">
        <v>127</v>
      </c>
      <c r="E37" s="27" t="s">
        <v>80</v>
      </c>
      <c r="F37" s="30">
        <f t="shared" si="5"/>
        <v>0</v>
      </c>
      <c r="G37" s="30">
        <f t="shared" si="5"/>
        <v>0</v>
      </c>
      <c r="H37" s="30">
        <f t="shared" si="5"/>
        <v>0</v>
      </c>
      <c r="I37" s="30">
        <f t="shared" si="5"/>
        <v>0</v>
      </c>
      <c r="J37" s="43">
        <f t="shared" si="6"/>
        <v>0</v>
      </c>
      <c r="K37" s="43">
        <f t="shared" si="6"/>
        <v>0</v>
      </c>
      <c r="L37" s="43">
        <f t="shared" si="6"/>
        <v>0</v>
      </c>
      <c r="M37" s="43">
        <f t="shared" si="6"/>
        <v>0</v>
      </c>
      <c r="N37" s="43">
        <f t="shared" si="6"/>
        <v>0</v>
      </c>
      <c r="O37" s="43">
        <f t="shared" si="6"/>
        <v>0</v>
      </c>
      <c r="P37" s="43">
        <f t="shared" si="6"/>
        <v>0</v>
      </c>
      <c r="Q37" s="38"/>
    </row>
    <row r="38" spans="1:34" outlineLevel="1" x14ac:dyDescent="0.25">
      <c r="A38" s="5"/>
      <c r="B38" s="25" t="s">
        <v>128</v>
      </c>
      <c r="C38" s="25" t="s">
        <v>86</v>
      </c>
      <c r="D38" s="25" t="s">
        <v>127</v>
      </c>
      <c r="E38" s="27" t="s">
        <v>80</v>
      </c>
      <c r="F38" s="30">
        <f t="shared" si="5"/>
        <v>0</v>
      </c>
      <c r="G38" s="30">
        <f t="shared" si="5"/>
        <v>0</v>
      </c>
      <c r="H38" s="30">
        <f t="shared" si="5"/>
        <v>0</v>
      </c>
      <c r="I38" s="30">
        <f t="shared" si="5"/>
        <v>0</v>
      </c>
      <c r="J38" s="43">
        <f t="shared" si="6"/>
        <v>0</v>
      </c>
      <c r="K38" s="43">
        <f t="shared" si="6"/>
        <v>0</v>
      </c>
      <c r="L38" s="43">
        <f t="shared" si="6"/>
        <v>0</v>
      </c>
      <c r="M38" s="43">
        <f t="shared" si="6"/>
        <v>0</v>
      </c>
      <c r="N38" s="43">
        <f t="shared" si="6"/>
        <v>0</v>
      </c>
      <c r="O38" s="43">
        <f t="shared" si="6"/>
        <v>0</v>
      </c>
      <c r="P38" s="43">
        <f t="shared" si="6"/>
        <v>0</v>
      </c>
      <c r="Q38" s="38"/>
    </row>
    <row r="39" spans="1:34" outlineLevel="1" x14ac:dyDescent="0.25">
      <c r="A39" s="5"/>
      <c r="B39" s="25" t="s">
        <v>128</v>
      </c>
      <c r="C39" s="25" t="s">
        <v>87</v>
      </c>
      <c r="D39" s="25" t="s">
        <v>127</v>
      </c>
      <c r="E39" s="27" t="s">
        <v>80</v>
      </c>
      <c r="F39" s="30">
        <f t="shared" si="5"/>
        <v>0</v>
      </c>
      <c r="G39" s="30">
        <f t="shared" si="5"/>
        <v>0</v>
      </c>
      <c r="H39" s="30">
        <f t="shared" si="5"/>
        <v>0</v>
      </c>
      <c r="I39" s="30">
        <f t="shared" si="5"/>
        <v>0</v>
      </c>
      <c r="J39" s="43">
        <f t="shared" si="6"/>
        <v>0</v>
      </c>
      <c r="K39" s="43">
        <f t="shared" si="6"/>
        <v>0</v>
      </c>
      <c r="L39" s="43">
        <f t="shared" si="6"/>
        <v>0</v>
      </c>
      <c r="M39" s="43">
        <f t="shared" si="6"/>
        <v>0</v>
      </c>
      <c r="N39" s="43">
        <f t="shared" si="6"/>
        <v>0</v>
      </c>
      <c r="O39" s="43">
        <f t="shared" si="6"/>
        <v>0</v>
      </c>
      <c r="P39" s="43">
        <f t="shared" si="6"/>
        <v>0</v>
      </c>
      <c r="Q39" s="38"/>
    </row>
    <row r="40" spans="1:34" outlineLevel="1" x14ac:dyDescent="0.25">
      <c r="A40" s="5"/>
      <c r="B40" s="25" t="s">
        <v>128</v>
      </c>
      <c r="C40" s="25" t="s">
        <v>88</v>
      </c>
      <c r="D40" s="25" t="s">
        <v>127</v>
      </c>
      <c r="E40" s="27" t="s">
        <v>80</v>
      </c>
      <c r="F40" s="30">
        <f t="shared" si="5"/>
        <v>0</v>
      </c>
      <c r="G40" s="30">
        <f t="shared" si="5"/>
        <v>0</v>
      </c>
      <c r="H40" s="30">
        <f t="shared" si="5"/>
        <v>0</v>
      </c>
      <c r="I40" s="30">
        <f t="shared" si="5"/>
        <v>0</v>
      </c>
      <c r="J40" s="43">
        <f t="shared" si="6"/>
        <v>0</v>
      </c>
      <c r="K40" s="43">
        <f t="shared" si="6"/>
        <v>0</v>
      </c>
      <c r="L40" s="43">
        <f t="shared" si="6"/>
        <v>0</v>
      </c>
      <c r="M40" s="43">
        <f t="shared" si="6"/>
        <v>0</v>
      </c>
      <c r="N40" s="43">
        <f t="shared" si="6"/>
        <v>0</v>
      </c>
      <c r="O40" s="43">
        <f t="shared" si="6"/>
        <v>0</v>
      </c>
      <c r="P40" s="43">
        <f t="shared" si="6"/>
        <v>0</v>
      </c>
      <c r="Q40" s="38"/>
    </row>
    <row r="41" spans="1:34" outlineLevel="1" x14ac:dyDescent="0.25">
      <c r="A41" s="5"/>
      <c r="B41" s="25" t="s">
        <v>128</v>
      </c>
      <c r="C41" s="25" t="s">
        <v>89</v>
      </c>
      <c r="D41" s="25" t="s">
        <v>127</v>
      </c>
      <c r="E41" s="27" t="s">
        <v>80</v>
      </c>
      <c r="F41" s="30">
        <f t="shared" si="5"/>
        <v>0</v>
      </c>
      <c r="G41" s="30">
        <f t="shared" si="5"/>
        <v>0</v>
      </c>
      <c r="H41" s="30">
        <f t="shared" si="5"/>
        <v>0</v>
      </c>
      <c r="I41" s="30">
        <f t="shared" si="5"/>
        <v>0</v>
      </c>
      <c r="J41" s="43">
        <f t="shared" si="6"/>
        <v>0</v>
      </c>
      <c r="K41" s="43">
        <f t="shared" si="6"/>
        <v>0</v>
      </c>
      <c r="L41" s="43">
        <f t="shared" si="6"/>
        <v>0</v>
      </c>
      <c r="M41" s="43">
        <f t="shared" si="6"/>
        <v>0</v>
      </c>
      <c r="N41" s="43">
        <f t="shared" si="6"/>
        <v>0</v>
      </c>
      <c r="O41" s="43">
        <f t="shared" si="6"/>
        <v>0</v>
      </c>
      <c r="P41" s="43">
        <f t="shared" si="6"/>
        <v>0</v>
      </c>
      <c r="Q41" s="38"/>
    </row>
    <row r="42" spans="1:34" outlineLevel="1" x14ac:dyDescent="0.25">
      <c r="A42" s="5"/>
      <c r="B42" s="25" t="s">
        <v>128</v>
      </c>
      <c r="C42" s="25" t="s">
        <v>90</v>
      </c>
      <c r="D42" s="25" t="s">
        <v>127</v>
      </c>
      <c r="E42" s="27" t="s">
        <v>80</v>
      </c>
      <c r="F42" s="30">
        <f t="shared" si="5"/>
        <v>0</v>
      </c>
      <c r="G42" s="30">
        <f t="shared" si="5"/>
        <v>0</v>
      </c>
      <c r="H42" s="30">
        <f t="shared" si="5"/>
        <v>0</v>
      </c>
      <c r="I42" s="30">
        <f t="shared" si="5"/>
        <v>0</v>
      </c>
      <c r="J42" s="43">
        <f t="shared" si="6"/>
        <v>0</v>
      </c>
      <c r="K42" s="43">
        <f t="shared" si="6"/>
        <v>0</v>
      </c>
      <c r="L42" s="43">
        <f t="shared" si="6"/>
        <v>0</v>
      </c>
      <c r="M42" s="43">
        <f t="shared" si="6"/>
        <v>0</v>
      </c>
      <c r="N42" s="43">
        <f t="shared" si="6"/>
        <v>0</v>
      </c>
      <c r="O42" s="43">
        <f t="shared" si="6"/>
        <v>0</v>
      </c>
      <c r="P42" s="43">
        <f t="shared" si="6"/>
        <v>0</v>
      </c>
      <c r="Q42" s="38"/>
    </row>
    <row r="43" spans="1:34" outlineLevel="1" x14ac:dyDescent="0.25">
      <c r="A43" s="5"/>
      <c r="B43" s="25" t="s">
        <v>128</v>
      </c>
      <c r="C43" s="25" t="s">
        <v>91</v>
      </c>
      <c r="D43" s="25" t="s">
        <v>127</v>
      </c>
      <c r="E43" s="27" t="s">
        <v>80</v>
      </c>
      <c r="F43" s="30">
        <f t="shared" si="5"/>
        <v>0</v>
      </c>
      <c r="G43" s="30">
        <f t="shared" si="5"/>
        <v>0</v>
      </c>
      <c r="H43" s="30">
        <f t="shared" si="5"/>
        <v>0</v>
      </c>
      <c r="I43" s="30">
        <f t="shared" si="5"/>
        <v>0</v>
      </c>
      <c r="J43" s="43">
        <f t="shared" si="6"/>
        <v>0</v>
      </c>
      <c r="K43" s="43">
        <f t="shared" si="6"/>
        <v>0</v>
      </c>
      <c r="L43" s="43">
        <f t="shared" si="6"/>
        <v>0</v>
      </c>
      <c r="M43" s="43">
        <f t="shared" si="6"/>
        <v>0</v>
      </c>
      <c r="N43" s="43">
        <f t="shared" si="6"/>
        <v>0</v>
      </c>
      <c r="O43" s="43">
        <f t="shared" si="6"/>
        <v>0</v>
      </c>
      <c r="P43" s="43">
        <f t="shared" si="6"/>
        <v>0</v>
      </c>
      <c r="Q43" s="38"/>
    </row>
    <row r="44" spans="1:34" outlineLevel="1" x14ac:dyDescent="0.25">
      <c r="A44" s="5"/>
      <c r="B44" s="25" t="s">
        <v>128</v>
      </c>
      <c r="C44" s="25" t="s">
        <v>92</v>
      </c>
      <c r="D44" s="25" t="s">
        <v>127</v>
      </c>
      <c r="E44" s="27" t="s">
        <v>80</v>
      </c>
      <c r="F44" s="30">
        <f t="shared" si="5"/>
        <v>0</v>
      </c>
      <c r="G44" s="30">
        <f t="shared" si="5"/>
        <v>0</v>
      </c>
      <c r="H44" s="30">
        <f t="shared" si="5"/>
        <v>0</v>
      </c>
      <c r="I44" s="30">
        <f t="shared" si="5"/>
        <v>0</v>
      </c>
      <c r="J44" s="43">
        <f t="shared" si="6"/>
        <v>0</v>
      </c>
      <c r="K44" s="43">
        <f t="shared" si="6"/>
        <v>0</v>
      </c>
      <c r="L44" s="43">
        <f t="shared" si="6"/>
        <v>0</v>
      </c>
      <c r="M44" s="43">
        <f t="shared" si="6"/>
        <v>0</v>
      </c>
      <c r="N44" s="43">
        <f t="shared" si="6"/>
        <v>0</v>
      </c>
      <c r="O44" s="43">
        <f t="shared" si="6"/>
        <v>0</v>
      </c>
      <c r="P44" s="43">
        <f t="shared" si="6"/>
        <v>0</v>
      </c>
      <c r="Q44" s="38"/>
    </row>
    <row r="45" spans="1:34" outlineLevel="1" x14ac:dyDescent="0.25">
      <c r="A45" s="5"/>
      <c r="B45" s="25" t="s">
        <v>128</v>
      </c>
      <c r="C45" s="25" t="s">
        <v>5</v>
      </c>
      <c r="D45" s="25" t="s">
        <v>127</v>
      </c>
      <c r="E45" s="27" t="s">
        <v>80</v>
      </c>
      <c r="F45" s="30">
        <f t="shared" si="5"/>
        <v>736.77800000000002</v>
      </c>
      <c r="G45" s="30">
        <f t="shared" si="5"/>
        <v>835.74400000000003</v>
      </c>
      <c r="H45" s="30">
        <f t="shared" si="5"/>
        <v>933.23800000000006</v>
      </c>
      <c r="I45" s="30">
        <f t="shared" si="5"/>
        <v>1005.0069999999999</v>
      </c>
      <c r="J45" s="43">
        <f t="shared" si="6"/>
        <v>1014.869</v>
      </c>
      <c r="K45" s="43">
        <f t="shared" si="6"/>
        <v>1014.869</v>
      </c>
      <c r="L45" s="43">
        <f t="shared" si="6"/>
        <v>1014.869</v>
      </c>
      <c r="M45" s="43">
        <f t="shared" si="6"/>
        <v>1014.869</v>
      </c>
      <c r="N45" s="43">
        <f t="shared" si="6"/>
        <v>1014.869</v>
      </c>
      <c r="O45" s="43">
        <f t="shared" si="6"/>
        <v>1014.869</v>
      </c>
      <c r="P45" s="43">
        <f t="shared" si="6"/>
        <v>1014.869</v>
      </c>
      <c r="Q45" s="38"/>
      <c r="R45" s="40">
        <v>736.77800000000002</v>
      </c>
      <c r="S45" s="40">
        <v>753.15700000000004</v>
      </c>
      <c r="T45" s="40">
        <v>772.95600000000002</v>
      </c>
      <c r="U45" s="40">
        <v>793.77599999999995</v>
      </c>
      <c r="V45" s="40">
        <v>813.49900000000002</v>
      </c>
      <c r="W45" s="40">
        <v>835.74400000000003</v>
      </c>
      <c r="X45" s="40">
        <v>858.995</v>
      </c>
      <c r="Y45" s="40">
        <v>884.875</v>
      </c>
      <c r="Z45" s="40">
        <v>904.78599999999994</v>
      </c>
      <c r="AA45" s="40">
        <v>917.19799999999998</v>
      </c>
      <c r="AB45" s="40">
        <v>933.23800000000006</v>
      </c>
      <c r="AC45" s="40">
        <v>946.41800000000001</v>
      </c>
      <c r="AD45" s="40">
        <v>959.68299999999999</v>
      </c>
      <c r="AE45" s="40">
        <v>975.59699999999998</v>
      </c>
      <c r="AF45" s="40">
        <v>992.43600000000004</v>
      </c>
      <c r="AG45" s="40">
        <v>1005.0069999999999</v>
      </c>
      <c r="AH45" s="40">
        <v>1014.869</v>
      </c>
    </row>
    <row r="46" spans="1:34" outlineLevel="1" x14ac:dyDescent="0.25">
      <c r="A46" s="5"/>
      <c r="B46" s="25" t="s">
        <v>128</v>
      </c>
      <c r="C46" s="25" t="s">
        <v>61</v>
      </c>
      <c r="D46" s="25" t="s">
        <v>127</v>
      </c>
      <c r="E46" s="27" t="s">
        <v>80</v>
      </c>
      <c r="F46" s="30">
        <f t="shared" si="5"/>
        <v>0</v>
      </c>
      <c r="G46" s="30">
        <f t="shared" si="5"/>
        <v>0</v>
      </c>
      <c r="H46" s="30">
        <f t="shared" si="5"/>
        <v>0</v>
      </c>
      <c r="I46" s="30">
        <f t="shared" si="5"/>
        <v>0</v>
      </c>
      <c r="J46" s="43">
        <f t="shared" si="6"/>
        <v>0</v>
      </c>
      <c r="K46" s="43">
        <f t="shared" si="6"/>
        <v>0</v>
      </c>
      <c r="L46" s="43">
        <f t="shared" si="6"/>
        <v>0</v>
      </c>
      <c r="M46" s="43">
        <f t="shared" si="6"/>
        <v>0</v>
      </c>
      <c r="N46" s="43">
        <f t="shared" si="6"/>
        <v>0</v>
      </c>
      <c r="O46" s="43">
        <f t="shared" si="6"/>
        <v>0</v>
      </c>
      <c r="P46" s="43">
        <f t="shared" si="6"/>
        <v>0</v>
      </c>
      <c r="Q46" s="38"/>
      <c r="R46" s="40"/>
      <c r="S46" s="40"/>
      <c r="T46" s="40"/>
      <c r="U46" s="40"/>
      <c r="V46" s="40"/>
      <c r="W46" s="40"/>
      <c r="X46" s="40"/>
      <c r="Y46" s="40"/>
      <c r="Z46" s="40"/>
      <c r="AA46" s="40"/>
      <c r="AB46" s="40"/>
      <c r="AC46" s="40"/>
      <c r="AD46" s="40"/>
      <c r="AE46" s="40"/>
      <c r="AF46" s="40"/>
      <c r="AG46" s="40"/>
      <c r="AH46" s="40"/>
    </row>
    <row r="47" spans="1:34" outlineLevel="1" x14ac:dyDescent="0.25">
      <c r="A47" s="5"/>
      <c r="B47" s="25" t="s">
        <v>128</v>
      </c>
      <c r="C47" s="25" t="s">
        <v>93</v>
      </c>
      <c r="D47" s="25" t="s">
        <v>127</v>
      </c>
      <c r="E47" s="27" t="s">
        <v>80</v>
      </c>
      <c r="F47" s="30">
        <f t="shared" si="5"/>
        <v>0</v>
      </c>
      <c r="G47" s="30">
        <f t="shared" si="5"/>
        <v>0</v>
      </c>
      <c r="H47" s="30">
        <f t="shared" si="5"/>
        <v>0</v>
      </c>
      <c r="I47" s="30">
        <f t="shared" si="5"/>
        <v>0</v>
      </c>
      <c r="J47" s="43">
        <f t="shared" si="6"/>
        <v>0</v>
      </c>
      <c r="K47" s="43">
        <f t="shared" si="6"/>
        <v>0</v>
      </c>
      <c r="L47" s="43">
        <f t="shared" si="6"/>
        <v>0</v>
      </c>
      <c r="M47" s="43">
        <f t="shared" si="6"/>
        <v>0</v>
      </c>
      <c r="N47" s="43">
        <f t="shared" si="6"/>
        <v>0</v>
      </c>
      <c r="O47" s="43">
        <f t="shared" si="6"/>
        <v>0</v>
      </c>
      <c r="P47" s="43">
        <f t="shared" si="6"/>
        <v>0</v>
      </c>
      <c r="Q47" s="38"/>
      <c r="R47" s="40"/>
      <c r="S47" s="40"/>
      <c r="T47" s="40"/>
      <c r="U47" s="40"/>
      <c r="V47" s="40"/>
      <c r="W47" s="40"/>
      <c r="X47" s="40"/>
      <c r="Y47" s="40"/>
      <c r="Z47" s="40"/>
      <c r="AA47" s="40"/>
      <c r="AB47" s="40"/>
      <c r="AC47" s="40"/>
      <c r="AD47" s="40"/>
      <c r="AE47" s="40"/>
      <c r="AF47" s="40"/>
      <c r="AG47" s="40"/>
      <c r="AH47" s="40"/>
    </row>
    <row r="48" spans="1:34" outlineLevel="1" x14ac:dyDescent="0.25">
      <c r="A48" s="5"/>
      <c r="B48" s="25" t="s">
        <v>128</v>
      </c>
      <c r="C48" s="25" t="s">
        <v>95</v>
      </c>
      <c r="D48" s="25" t="s">
        <v>127</v>
      </c>
      <c r="E48" s="27" t="s">
        <v>80</v>
      </c>
      <c r="F48" s="30">
        <f t="shared" si="5"/>
        <v>0</v>
      </c>
      <c r="G48" s="30">
        <f t="shared" si="5"/>
        <v>0</v>
      </c>
      <c r="H48" s="30">
        <f t="shared" si="5"/>
        <v>0</v>
      </c>
      <c r="I48" s="30">
        <f t="shared" si="5"/>
        <v>0</v>
      </c>
      <c r="J48" s="43">
        <f t="shared" si="6"/>
        <v>0</v>
      </c>
      <c r="K48" s="43">
        <f t="shared" si="6"/>
        <v>0</v>
      </c>
      <c r="L48" s="43">
        <f t="shared" si="6"/>
        <v>0</v>
      </c>
      <c r="M48" s="43">
        <f t="shared" si="6"/>
        <v>0</v>
      </c>
      <c r="N48" s="43">
        <f t="shared" si="6"/>
        <v>0</v>
      </c>
      <c r="O48" s="43">
        <f t="shared" si="6"/>
        <v>0</v>
      </c>
      <c r="P48" s="43">
        <f t="shared" si="6"/>
        <v>0</v>
      </c>
      <c r="Q48" s="38"/>
      <c r="R48" s="40"/>
      <c r="S48" s="40"/>
      <c r="T48" s="40"/>
      <c r="U48" s="40"/>
      <c r="V48" s="40"/>
      <c r="W48" s="40"/>
      <c r="X48" s="40"/>
      <c r="Y48" s="40"/>
      <c r="Z48" s="40"/>
      <c r="AA48" s="40"/>
      <c r="AB48" s="40"/>
      <c r="AC48" s="40"/>
      <c r="AD48" s="40"/>
      <c r="AE48" s="40"/>
      <c r="AF48" s="40"/>
      <c r="AG48" s="40"/>
      <c r="AH48" s="40"/>
    </row>
    <row r="49" spans="1:34" outlineLevel="1" x14ac:dyDescent="0.25">
      <c r="A49" s="5"/>
      <c r="B49" s="25" t="s">
        <v>128</v>
      </c>
      <c r="C49" s="25" t="s">
        <v>94</v>
      </c>
      <c r="D49" s="25" t="s">
        <v>127</v>
      </c>
      <c r="E49" s="27" t="s">
        <v>80</v>
      </c>
      <c r="F49" s="30">
        <f t="shared" si="5"/>
        <v>0</v>
      </c>
      <c r="G49" s="30">
        <f t="shared" si="5"/>
        <v>0</v>
      </c>
      <c r="H49" s="30">
        <f t="shared" si="5"/>
        <v>0</v>
      </c>
      <c r="I49" s="30">
        <f t="shared" si="5"/>
        <v>0</v>
      </c>
      <c r="J49" s="43">
        <f t="shared" si="6"/>
        <v>0</v>
      </c>
      <c r="K49" s="43">
        <f t="shared" si="6"/>
        <v>0</v>
      </c>
      <c r="L49" s="43">
        <f t="shared" si="6"/>
        <v>0</v>
      </c>
      <c r="M49" s="43">
        <f t="shared" si="6"/>
        <v>0</v>
      </c>
      <c r="N49" s="43">
        <f t="shared" si="6"/>
        <v>0</v>
      </c>
      <c r="O49" s="43">
        <f t="shared" si="6"/>
        <v>0</v>
      </c>
      <c r="P49" s="43">
        <f t="shared" si="6"/>
        <v>0</v>
      </c>
      <c r="Q49" s="38"/>
    </row>
    <row r="50" spans="1:34" outlineLevel="1" x14ac:dyDescent="0.25">
      <c r="A50" s="5"/>
      <c r="B50" s="25" t="s">
        <v>129</v>
      </c>
      <c r="C50" s="25" t="s">
        <v>48</v>
      </c>
      <c r="D50" s="25" t="s">
        <v>127</v>
      </c>
      <c r="E50" s="27" t="s">
        <v>80</v>
      </c>
      <c r="F50" s="30">
        <f t="shared" si="5"/>
        <v>0</v>
      </c>
      <c r="G50" s="30">
        <f t="shared" si="5"/>
        <v>0</v>
      </c>
      <c r="H50" s="30">
        <f t="shared" si="5"/>
        <v>0</v>
      </c>
      <c r="I50" s="30">
        <f t="shared" si="5"/>
        <v>0</v>
      </c>
      <c r="J50" s="43">
        <f t="shared" si="6"/>
        <v>0</v>
      </c>
      <c r="K50" s="43">
        <f t="shared" si="6"/>
        <v>0</v>
      </c>
      <c r="L50" s="43">
        <f t="shared" si="6"/>
        <v>0</v>
      </c>
      <c r="M50" s="43">
        <f t="shared" si="6"/>
        <v>0</v>
      </c>
      <c r="N50" s="43">
        <f t="shared" si="6"/>
        <v>0</v>
      </c>
      <c r="O50" s="43">
        <f t="shared" si="6"/>
        <v>0</v>
      </c>
      <c r="P50" s="43">
        <f t="shared" si="6"/>
        <v>0</v>
      </c>
      <c r="Q50" s="38"/>
    </row>
    <row r="51" spans="1:34" outlineLevel="1" x14ac:dyDescent="0.25">
      <c r="A51" s="5"/>
      <c r="B51" s="25" t="s">
        <v>129</v>
      </c>
      <c r="C51" s="13" t="s">
        <v>85</v>
      </c>
      <c r="D51" s="25" t="s">
        <v>127</v>
      </c>
      <c r="E51" s="27" t="s">
        <v>80</v>
      </c>
      <c r="F51" s="30">
        <f t="shared" si="5"/>
        <v>0</v>
      </c>
      <c r="G51" s="30">
        <f t="shared" si="5"/>
        <v>0</v>
      </c>
      <c r="H51" s="30">
        <f t="shared" si="5"/>
        <v>0</v>
      </c>
      <c r="I51" s="30">
        <f t="shared" si="5"/>
        <v>0</v>
      </c>
      <c r="J51" s="43">
        <f t="shared" si="6"/>
        <v>0</v>
      </c>
      <c r="K51" s="43">
        <f t="shared" si="6"/>
        <v>0</v>
      </c>
      <c r="L51" s="43">
        <f t="shared" si="6"/>
        <v>0</v>
      </c>
      <c r="M51" s="43">
        <f t="shared" si="6"/>
        <v>0</v>
      </c>
      <c r="N51" s="43">
        <f t="shared" si="6"/>
        <v>0</v>
      </c>
      <c r="O51" s="43">
        <f t="shared" si="6"/>
        <v>0</v>
      </c>
      <c r="P51" s="43">
        <f t="shared" si="6"/>
        <v>0</v>
      </c>
      <c r="Q51" s="38"/>
    </row>
    <row r="52" spans="1:34" outlineLevel="1" x14ac:dyDescent="0.25">
      <c r="A52" s="5"/>
      <c r="B52" s="25" t="s">
        <v>129</v>
      </c>
      <c r="C52" s="25" t="s">
        <v>86</v>
      </c>
      <c r="D52" s="25" t="s">
        <v>127</v>
      </c>
      <c r="E52" s="27" t="s">
        <v>80</v>
      </c>
      <c r="F52" s="30">
        <f t="shared" ref="F52:I67" si="7">INDEX($R52:$BZ52,MATCH(F$1,$R$1:$BZ$1,0))</f>
        <v>0</v>
      </c>
      <c r="G52" s="30">
        <f t="shared" si="7"/>
        <v>0</v>
      </c>
      <c r="H52" s="30">
        <f t="shared" si="7"/>
        <v>0</v>
      </c>
      <c r="I52" s="30">
        <f t="shared" si="7"/>
        <v>0</v>
      </c>
      <c r="J52" s="43">
        <f t="shared" si="6"/>
        <v>0</v>
      </c>
      <c r="K52" s="43">
        <f t="shared" si="6"/>
        <v>0</v>
      </c>
      <c r="L52" s="43">
        <f t="shared" si="6"/>
        <v>0</v>
      </c>
      <c r="M52" s="43">
        <f t="shared" si="6"/>
        <v>0</v>
      </c>
      <c r="N52" s="43">
        <f t="shared" si="6"/>
        <v>0</v>
      </c>
      <c r="O52" s="43">
        <f t="shared" si="6"/>
        <v>0</v>
      </c>
      <c r="P52" s="43">
        <f t="shared" si="6"/>
        <v>0</v>
      </c>
      <c r="Q52" s="38"/>
    </row>
    <row r="53" spans="1:34" outlineLevel="1" x14ac:dyDescent="0.25">
      <c r="A53" s="5"/>
      <c r="B53" s="25" t="s">
        <v>129</v>
      </c>
      <c r="C53" s="25" t="s">
        <v>87</v>
      </c>
      <c r="D53" s="25" t="s">
        <v>127</v>
      </c>
      <c r="E53" s="27" t="s">
        <v>80</v>
      </c>
      <c r="F53" s="30">
        <f t="shared" si="7"/>
        <v>0</v>
      </c>
      <c r="G53" s="30">
        <f t="shared" si="7"/>
        <v>0</v>
      </c>
      <c r="H53" s="30">
        <f t="shared" si="7"/>
        <v>0</v>
      </c>
      <c r="I53" s="30">
        <f t="shared" si="7"/>
        <v>0</v>
      </c>
      <c r="J53" s="43">
        <f t="shared" si="6"/>
        <v>0</v>
      </c>
      <c r="K53" s="43">
        <f t="shared" si="6"/>
        <v>0</v>
      </c>
      <c r="L53" s="43">
        <f t="shared" si="6"/>
        <v>0</v>
      </c>
      <c r="M53" s="43">
        <f t="shared" si="6"/>
        <v>0</v>
      </c>
      <c r="N53" s="43">
        <f t="shared" si="6"/>
        <v>0</v>
      </c>
      <c r="O53" s="43">
        <f t="shared" si="6"/>
        <v>0</v>
      </c>
      <c r="P53" s="43">
        <f t="shared" si="6"/>
        <v>0</v>
      </c>
      <c r="Q53" s="38"/>
    </row>
    <row r="54" spans="1:34" outlineLevel="1" x14ac:dyDescent="0.25">
      <c r="A54" s="5"/>
      <c r="B54" s="25" t="s">
        <v>129</v>
      </c>
      <c r="C54" s="25" t="s">
        <v>88</v>
      </c>
      <c r="D54" s="25" t="s">
        <v>127</v>
      </c>
      <c r="E54" s="27" t="s">
        <v>80</v>
      </c>
      <c r="F54" s="30">
        <f t="shared" si="7"/>
        <v>0</v>
      </c>
      <c r="G54" s="30">
        <f t="shared" si="7"/>
        <v>0</v>
      </c>
      <c r="H54" s="30">
        <f t="shared" si="7"/>
        <v>0</v>
      </c>
      <c r="I54" s="30">
        <f t="shared" si="7"/>
        <v>0</v>
      </c>
      <c r="J54" s="43">
        <f t="shared" si="6"/>
        <v>0</v>
      </c>
      <c r="K54" s="43">
        <f t="shared" si="6"/>
        <v>0</v>
      </c>
      <c r="L54" s="43">
        <f t="shared" si="6"/>
        <v>0</v>
      </c>
      <c r="M54" s="43">
        <f t="shared" si="6"/>
        <v>0</v>
      </c>
      <c r="N54" s="43">
        <f t="shared" si="6"/>
        <v>0</v>
      </c>
      <c r="O54" s="43">
        <f t="shared" si="6"/>
        <v>0</v>
      </c>
      <c r="P54" s="43">
        <f t="shared" si="6"/>
        <v>0</v>
      </c>
      <c r="Q54" s="38"/>
    </row>
    <row r="55" spans="1:34" outlineLevel="1" x14ac:dyDescent="0.25">
      <c r="A55" s="5"/>
      <c r="B55" s="25" t="s">
        <v>129</v>
      </c>
      <c r="C55" s="25" t="s">
        <v>89</v>
      </c>
      <c r="D55" s="25" t="s">
        <v>127</v>
      </c>
      <c r="E55" s="27" t="s">
        <v>80</v>
      </c>
      <c r="F55" s="30">
        <f t="shared" si="7"/>
        <v>0</v>
      </c>
      <c r="G55" s="30">
        <f t="shared" si="7"/>
        <v>0</v>
      </c>
      <c r="H55" s="30">
        <f t="shared" si="7"/>
        <v>0</v>
      </c>
      <c r="I55" s="30">
        <f t="shared" si="7"/>
        <v>0</v>
      </c>
      <c r="J55" s="43">
        <f t="shared" si="6"/>
        <v>0</v>
      </c>
      <c r="K55" s="43">
        <f t="shared" si="6"/>
        <v>0</v>
      </c>
      <c r="L55" s="43">
        <f t="shared" si="6"/>
        <v>0</v>
      </c>
      <c r="M55" s="43">
        <f t="shared" si="6"/>
        <v>0</v>
      </c>
      <c r="N55" s="43">
        <f t="shared" si="6"/>
        <v>0</v>
      </c>
      <c r="O55" s="43">
        <f t="shared" si="6"/>
        <v>0</v>
      </c>
      <c r="P55" s="43">
        <f t="shared" si="6"/>
        <v>0</v>
      </c>
      <c r="Q55" s="38"/>
    </row>
    <row r="56" spans="1:34" outlineLevel="1" x14ac:dyDescent="0.25">
      <c r="A56" s="5"/>
      <c r="B56" s="25" t="s">
        <v>129</v>
      </c>
      <c r="C56" s="25" t="s">
        <v>90</v>
      </c>
      <c r="D56" s="25" t="s">
        <v>127</v>
      </c>
      <c r="E56" s="27" t="s">
        <v>80</v>
      </c>
      <c r="F56" s="30">
        <f t="shared" si="7"/>
        <v>0</v>
      </c>
      <c r="G56" s="30">
        <f t="shared" si="7"/>
        <v>0</v>
      </c>
      <c r="H56" s="30">
        <f t="shared" si="7"/>
        <v>0</v>
      </c>
      <c r="I56" s="30">
        <f t="shared" si="7"/>
        <v>0</v>
      </c>
      <c r="J56" s="43">
        <f t="shared" si="6"/>
        <v>0</v>
      </c>
      <c r="K56" s="43">
        <f t="shared" si="6"/>
        <v>0</v>
      </c>
      <c r="L56" s="43">
        <f t="shared" si="6"/>
        <v>0</v>
      </c>
      <c r="M56" s="43">
        <f t="shared" si="6"/>
        <v>0</v>
      </c>
      <c r="N56" s="43">
        <f t="shared" si="6"/>
        <v>0</v>
      </c>
      <c r="O56" s="43">
        <f t="shared" si="6"/>
        <v>0</v>
      </c>
      <c r="P56" s="43">
        <f t="shared" si="6"/>
        <v>0</v>
      </c>
      <c r="Q56" s="38"/>
    </row>
    <row r="57" spans="1:34" outlineLevel="1" x14ac:dyDescent="0.25">
      <c r="A57" s="5"/>
      <c r="B57" s="25" t="s">
        <v>129</v>
      </c>
      <c r="C57" s="25" t="s">
        <v>91</v>
      </c>
      <c r="D57" s="25" t="s">
        <v>127</v>
      </c>
      <c r="E57" s="27" t="s">
        <v>80</v>
      </c>
      <c r="F57" s="30">
        <f t="shared" si="7"/>
        <v>0</v>
      </c>
      <c r="G57" s="30">
        <f t="shared" si="7"/>
        <v>0</v>
      </c>
      <c r="H57" s="30">
        <f t="shared" si="7"/>
        <v>0</v>
      </c>
      <c r="I57" s="30">
        <f t="shared" si="7"/>
        <v>0</v>
      </c>
      <c r="J57" s="43">
        <f t="shared" si="6"/>
        <v>0</v>
      </c>
      <c r="K57" s="43">
        <f t="shared" si="6"/>
        <v>0</v>
      </c>
      <c r="L57" s="43">
        <f t="shared" si="6"/>
        <v>0</v>
      </c>
      <c r="M57" s="43">
        <f t="shared" si="6"/>
        <v>0</v>
      </c>
      <c r="N57" s="43">
        <f t="shared" si="6"/>
        <v>0</v>
      </c>
      <c r="O57" s="43">
        <f t="shared" si="6"/>
        <v>0</v>
      </c>
      <c r="P57" s="43">
        <f t="shared" si="6"/>
        <v>0</v>
      </c>
      <c r="Q57" s="38"/>
    </row>
    <row r="58" spans="1:34" outlineLevel="1" x14ac:dyDescent="0.25">
      <c r="A58" s="5"/>
      <c r="B58" s="25" t="s">
        <v>129</v>
      </c>
      <c r="C58" s="25" t="s">
        <v>92</v>
      </c>
      <c r="D58" s="25" t="s">
        <v>127</v>
      </c>
      <c r="E58" s="27" t="s">
        <v>80</v>
      </c>
      <c r="F58" s="30">
        <f t="shared" si="7"/>
        <v>0</v>
      </c>
      <c r="G58" s="30">
        <f t="shared" si="7"/>
        <v>0</v>
      </c>
      <c r="H58" s="30">
        <f t="shared" si="7"/>
        <v>0</v>
      </c>
      <c r="I58" s="30">
        <f t="shared" si="7"/>
        <v>0</v>
      </c>
      <c r="J58" s="43">
        <f t="shared" si="6"/>
        <v>0</v>
      </c>
      <c r="K58" s="43">
        <f t="shared" si="6"/>
        <v>0</v>
      </c>
      <c r="L58" s="43">
        <f t="shared" si="6"/>
        <v>0</v>
      </c>
      <c r="M58" s="43">
        <f t="shared" si="6"/>
        <v>0</v>
      </c>
      <c r="N58" s="43">
        <f t="shared" si="6"/>
        <v>0</v>
      </c>
      <c r="O58" s="43">
        <f t="shared" si="6"/>
        <v>0</v>
      </c>
      <c r="P58" s="43">
        <f t="shared" si="6"/>
        <v>0</v>
      </c>
      <c r="Q58" s="38"/>
    </row>
    <row r="59" spans="1:34" outlineLevel="1" x14ac:dyDescent="0.25">
      <c r="A59" s="5"/>
      <c r="B59" s="25" t="s">
        <v>129</v>
      </c>
      <c r="C59" s="25" t="s">
        <v>5</v>
      </c>
      <c r="D59" s="25" t="s">
        <v>127</v>
      </c>
      <c r="E59" s="27" t="s">
        <v>80</v>
      </c>
      <c r="F59" s="30">
        <f t="shared" si="7"/>
        <v>131.429</v>
      </c>
      <c r="G59" s="30">
        <f t="shared" si="7"/>
        <v>154.642</v>
      </c>
      <c r="H59" s="30">
        <f t="shared" si="7"/>
        <v>182.791</v>
      </c>
      <c r="I59" s="30">
        <f t="shared" si="7"/>
        <v>219.446</v>
      </c>
      <c r="J59" s="43">
        <f t="shared" si="6"/>
        <v>225.62</v>
      </c>
      <c r="K59" s="43">
        <f t="shared" si="6"/>
        <v>225.62</v>
      </c>
      <c r="L59" s="43">
        <f t="shared" si="6"/>
        <v>225.62</v>
      </c>
      <c r="M59" s="43">
        <f t="shared" si="6"/>
        <v>225.62</v>
      </c>
      <c r="N59" s="43">
        <f t="shared" si="6"/>
        <v>225.62</v>
      </c>
      <c r="O59" s="43">
        <f t="shared" si="6"/>
        <v>225.62</v>
      </c>
      <c r="P59" s="43">
        <f t="shared" si="6"/>
        <v>225.62</v>
      </c>
      <c r="Q59" s="38"/>
      <c r="R59" s="40">
        <v>131.429</v>
      </c>
      <c r="S59" s="40">
        <v>134.709</v>
      </c>
      <c r="T59" s="40">
        <v>139.124</v>
      </c>
      <c r="U59" s="40">
        <v>143.988</v>
      </c>
      <c r="V59" s="40">
        <v>149.423</v>
      </c>
      <c r="W59" s="40">
        <v>154.642</v>
      </c>
      <c r="X59" s="40">
        <v>159.93</v>
      </c>
      <c r="Y59" s="40">
        <v>166.21299999999999</v>
      </c>
      <c r="Z59" s="40">
        <v>172.97900000000001</v>
      </c>
      <c r="AA59" s="40">
        <v>177.61099999999999</v>
      </c>
      <c r="AB59" s="40">
        <v>182.791</v>
      </c>
      <c r="AC59" s="40">
        <v>187.78200000000001</v>
      </c>
      <c r="AD59" s="40">
        <v>193.565</v>
      </c>
      <c r="AE59" s="40">
        <v>201.55099999999999</v>
      </c>
      <c r="AF59" s="40">
        <v>210.89500000000001</v>
      </c>
      <c r="AG59" s="40">
        <v>219.446</v>
      </c>
      <c r="AH59" s="40">
        <v>225.62</v>
      </c>
    </row>
    <row r="60" spans="1:34" outlineLevel="1" x14ac:dyDescent="0.25">
      <c r="A60" s="5"/>
      <c r="B60" s="25" t="s">
        <v>129</v>
      </c>
      <c r="C60" s="25" t="s">
        <v>61</v>
      </c>
      <c r="D60" s="25" t="s">
        <v>127</v>
      </c>
      <c r="E60" s="27" t="s">
        <v>80</v>
      </c>
      <c r="F60" s="30">
        <f t="shared" si="7"/>
        <v>0</v>
      </c>
      <c r="G60" s="30">
        <f t="shared" si="7"/>
        <v>0</v>
      </c>
      <c r="H60" s="30">
        <f t="shared" si="7"/>
        <v>0</v>
      </c>
      <c r="I60" s="30">
        <f t="shared" si="7"/>
        <v>0</v>
      </c>
      <c r="J60" s="43">
        <f t="shared" si="6"/>
        <v>0</v>
      </c>
      <c r="K60" s="43">
        <f t="shared" si="6"/>
        <v>0</v>
      </c>
      <c r="L60" s="43">
        <f t="shared" si="6"/>
        <v>0</v>
      </c>
      <c r="M60" s="43">
        <f t="shared" si="6"/>
        <v>0</v>
      </c>
      <c r="N60" s="43">
        <f t="shared" si="6"/>
        <v>0</v>
      </c>
      <c r="O60" s="43">
        <f t="shared" si="6"/>
        <v>0</v>
      </c>
      <c r="P60" s="43">
        <f t="shared" si="6"/>
        <v>0</v>
      </c>
      <c r="Q60" s="38"/>
      <c r="R60" s="40"/>
      <c r="S60" s="40"/>
      <c r="T60" s="40"/>
      <c r="U60" s="40"/>
      <c r="V60" s="40"/>
      <c r="W60" s="40"/>
      <c r="X60" s="40"/>
      <c r="Y60" s="40"/>
      <c r="Z60" s="40"/>
      <c r="AA60" s="40"/>
      <c r="AB60" s="40"/>
      <c r="AC60" s="40"/>
      <c r="AD60" s="40"/>
      <c r="AE60" s="40"/>
      <c r="AF60" s="40"/>
      <c r="AG60" s="40"/>
      <c r="AH60" s="40"/>
    </row>
    <row r="61" spans="1:34" outlineLevel="1" x14ac:dyDescent="0.25">
      <c r="A61" s="5"/>
      <c r="B61" s="25" t="s">
        <v>129</v>
      </c>
      <c r="C61" s="25" t="s">
        <v>93</v>
      </c>
      <c r="D61" s="25" t="s">
        <v>127</v>
      </c>
      <c r="E61" s="27" t="s">
        <v>80</v>
      </c>
      <c r="F61" s="30">
        <f t="shared" si="7"/>
        <v>0</v>
      </c>
      <c r="G61" s="30">
        <f t="shared" si="7"/>
        <v>0</v>
      </c>
      <c r="H61" s="30">
        <f t="shared" si="7"/>
        <v>0</v>
      </c>
      <c r="I61" s="30">
        <f t="shared" si="7"/>
        <v>0</v>
      </c>
      <c r="J61" s="43">
        <f t="shared" si="6"/>
        <v>0</v>
      </c>
      <c r="K61" s="43">
        <f t="shared" si="6"/>
        <v>0</v>
      </c>
      <c r="L61" s="43">
        <f t="shared" si="6"/>
        <v>0</v>
      </c>
      <c r="M61" s="43">
        <f t="shared" si="6"/>
        <v>0</v>
      </c>
      <c r="N61" s="43">
        <f t="shared" si="6"/>
        <v>0</v>
      </c>
      <c r="O61" s="43">
        <f t="shared" si="6"/>
        <v>0</v>
      </c>
      <c r="P61" s="43">
        <f t="shared" si="6"/>
        <v>0</v>
      </c>
      <c r="Q61" s="38"/>
      <c r="R61" s="40"/>
      <c r="S61" s="40"/>
      <c r="T61" s="40"/>
      <c r="U61" s="40"/>
      <c r="V61" s="40"/>
      <c r="W61" s="40"/>
      <c r="X61" s="40"/>
      <c r="Y61" s="40"/>
      <c r="Z61" s="40"/>
      <c r="AA61" s="40"/>
      <c r="AB61" s="40"/>
      <c r="AC61" s="40"/>
      <c r="AD61" s="40"/>
      <c r="AE61" s="40"/>
      <c r="AF61" s="40"/>
      <c r="AG61" s="40"/>
      <c r="AH61" s="40"/>
    </row>
    <row r="62" spans="1:34" outlineLevel="1" x14ac:dyDescent="0.25">
      <c r="A62" s="5"/>
      <c r="B62" s="25" t="s">
        <v>129</v>
      </c>
      <c r="C62" s="25" t="s">
        <v>95</v>
      </c>
      <c r="D62" s="25" t="s">
        <v>127</v>
      </c>
      <c r="E62" s="27" t="s">
        <v>80</v>
      </c>
      <c r="F62" s="30">
        <f t="shared" si="7"/>
        <v>0</v>
      </c>
      <c r="G62" s="30">
        <f t="shared" si="7"/>
        <v>0</v>
      </c>
      <c r="H62" s="30">
        <f t="shared" si="7"/>
        <v>0</v>
      </c>
      <c r="I62" s="30">
        <f t="shared" si="7"/>
        <v>0</v>
      </c>
      <c r="J62" s="43">
        <f t="shared" si="6"/>
        <v>0</v>
      </c>
      <c r="K62" s="43">
        <f t="shared" si="6"/>
        <v>0</v>
      </c>
      <c r="L62" s="43">
        <f t="shared" si="6"/>
        <v>0</v>
      </c>
      <c r="M62" s="43">
        <f t="shared" si="6"/>
        <v>0</v>
      </c>
      <c r="N62" s="43">
        <f t="shared" si="6"/>
        <v>0</v>
      </c>
      <c r="O62" s="43">
        <f t="shared" si="6"/>
        <v>0</v>
      </c>
      <c r="P62" s="43">
        <f t="shared" si="6"/>
        <v>0</v>
      </c>
      <c r="Q62" s="38"/>
      <c r="R62" s="40"/>
      <c r="S62" s="40"/>
      <c r="T62" s="40"/>
      <c r="U62" s="40"/>
      <c r="V62" s="40"/>
      <c r="W62" s="40"/>
      <c r="X62" s="40"/>
      <c r="Y62" s="40"/>
      <c r="Z62" s="40"/>
      <c r="AA62" s="40"/>
      <c r="AB62" s="40"/>
      <c r="AC62" s="40"/>
      <c r="AD62" s="40"/>
      <c r="AE62" s="40"/>
      <c r="AF62" s="40"/>
      <c r="AG62" s="40"/>
      <c r="AH62" s="40"/>
    </row>
    <row r="63" spans="1:34" outlineLevel="1" x14ac:dyDescent="0.25">
      <c r="A63" s="5"/>
      <c r="B63" s="25" t="s">
        <v>129</v>
      </c>
      <c r="C63" s="25" t="s">
        <v>94</v>
      </c>
      <c r="D63" s="25" t="s">
        <v>127</v>
      </c>
      <c r="E63" s="27" t="s">
        <v>80</v>
      </c>
      <c r="F63" s="30">
        <f t="shared" si="7"/>
        <v>0</v>
      </c>
      <c r="G63" s="30">
        <f t="shared" si="7"/>
        <v>0</v>
      </c>
      <c r="H63" s="30">
        <f t="shared" si="7"/>
        <v>0</v>
      </c>
      <c r="I63" s="30">
        <f t="shared" si="7"/>
        <v>0</v>
      </c>
      <c r="J63" s="43">
        <f t="shared" si="6"/>
        <v>0</v>
      </c>
      <c r="K63" s="43">
        <f t="shared" si="6"/>
        <v>0</v>
      </c>
      <c r="L63" s="43">
        <f t="shared" si="6"/>
        <v>0</v>
      </c>
      <c r="M63" s="43">
        <f t="shared" si="6"/>
        <v>0</v>
      </c>
      <c r="N63" s="43">
        <f t="shared" si="6"/>
        <v>0</v>
      </c>
      <c r="O63" s="43">
        <f t="shared" si="6"/>
        <v>0</v>
      </c>
      <c r="P63" s="43">
        <f t="shared" si="6"/>
        <v>0</v>
      </c>
      <c r="Q63" s="38"/>
    </row>
    <row r="64" spans="1:34" outlineLevel="1" x14ac:dyDescent="0.25">
      <c r="A64" s="5"/>
      <c r="B64" s="25" t="s">
        <v>25</v>
      </c>
      <c r="C64" s="25" t="s">
        <v>48</v>
      </c>
      <c r="D64" s="25" t="s">
        <v>127</v>
      </c>
      <c r="E64" s="27" t="s">
        <v>80</v>
      </c>
      <c r="F64" s="30">
        <f t="shared" si="7"/>
        <v>0</v>
      </c>
      <c r="G64" s="30">
        <f t="shared" si="7"/>
        <v>0</v>
      </c>
      <c r="H64" s="30">
        <f t="shared" si="7"/>
        <v>0</v>
      </c>
      <c r="I64" s="30">
        <f t="shared" si="7"/>
        <v>0</v>
      </c>
      <c r="J64" s="43">
        <f t="shared" si="6"/>
        <v>0</v>
      </c>
      <c r="K64" s="43">
        <f t="shared" si="6"/>
        <v>0</v>
      </c>
      <c r="L64" s="43">
        <f t="shared" si="6"/>
        <v>0</v>
      </c>
      <c r="M64" s="43">
        <f t="shared" si="6"/>
        <v>0</v>
      </c>
      <c r="N64" s="43">
        <f t="shared" si="6"/>
        <v>0</v>
      </c>
      <c r="O64" s="43">
        <f t="shared" si="6"/>
        <v>0</v>
      </c>
      <c r="P64" s="43">
        <f t="shared" si="6"/>
        <v>0</v>
      </c>
      <c r="Q64" s="38"/>
    </row>
    <row r="65" spans="1:34" outlineLevel="1" x14ac:dyDescent="0.25">
      <c r="A65" s="5"/>
      <c r="B65" s="25" t="s">
        <v>25</v>
      </c>
      <c r="C65" s="13" t="s">
        <v>85</v>
      </c>
      <c r="D65" s="25" t="s">
        <v>127</v>
      </c>
      <c r="E65" s="27" t="s">
        <v>80</v>
      </c>
      <c r="F65" s="30">
        <f t="shared" si="7"/>
        <v>0</v>
      </c>
      <c r="G65" s="30">
        <f t="shared" si="7"/>
        <v>0</v>
      </c>
      <c r="H65" s="30">
        <f t="shared" si="7"/>
        <v>0</v>
      </c>
      <c r="I65" s="30">
        <f t="shared" si="7"/>
        <v>0</v>
      </c>
      <c r="J65" s="43">
        <f t="shared" si="6"/>
        <v>0</v>
      </c>
      <c r="K65" s="43">
        <f t="shared" si="6"/>
        <v>0</v>
      </c>
      <c r="L65" s="43">
        <f t="shared" si="6"/>
        <v>0</v>
      </c>
      <c r="M65" s="43">
        <f t="shared" si="6"/>
        <v>0</v>
      </c>
      <c r="N65" s="43">
        <f t="shared" si="6"/>
        <v>0</v>
      </c>
      <c r="O65" s="43">
        <f t="shared" si="6"/>
        <v>0</v>
      </c>
      <c r="P65" s="43">
        <f t="shared" si="6"/>
        <v>0</v>
      </c>
      <c r="Q65" s="38"/>
    </row>
    <row r="66" spans="1:34" outlineLevel="1" x14ac:dyDescent="0.25">
      <c r="A66" s="5"/>
      <c r="B66" s="25" t="s">
        <v>25</v>
      </c>
      <c r="C66" s="25" t="s">
        <v>86</v>
      </c>
      <c r="D66" s="25" t="s">
        <v>127</v>
      </c>
      <c r="E66" s="27" t="s">
        <v>80</v>
      </c>
      <c r="F66" s="30">
        <f t="shared" si="7"/>
        <v>0</v>
      </c>
      <c r="G66" s="30">
        <f t="shared" si="7"/>
        <v>0</v>
      </c>
      <c r="H66" s="30">
        <f t="shared" si="7"/>
        <v>0</v>
      </c>
      <c r="I66" s="30">
        <f t="shared" si="7"/>
        <v>0</v>
      </c>
      <c r="J66" s="43">
        <f t="shared" si="6"/>
        <v>0</v>
      </c>
      <c r="K66" s="43">
        <f t="shared" si="6"/>
        <v>0</v>
      </c>
      <c r="L66" s="43">
        <f t="shared" si="6"/>
        <v>0</v>
      </c>
      <c r="M66" s="43">
        <f t="shared" si="6"/>
        <v>0</v>
      </c>
      <c r="N66" s="43">
        <f t="shared" si="6"/>
        <v>0</v>
      </c>
      <c r="O66" s="43">
        <f t="shared" si="6"/>
        <v>0</v>
      </c>
      <c r="P66" s="43">
        <f t="shared" si="6"/>
        <v>0</v>
      </c>
      <c r="Q66" s="38"/>
    </row>
    <row r="67" spans="1:34" outlineLevel="1" x14ac:dyDescent="0.25">
      <c r="A67" s="5"/>
      <c r="B67" s="25" t="s">
        <v>25</v>
      </c>
      <c r="C67" s="25" t="s">
        <v>87</v>
      </c>
      <c r="D67" s="25" t="s">
        <v>127</v>
      </c>
      <c r="E67" s="27" t="s">
        <v>80</v>
      </c>
      <c r="F67" s="30">
        <f t="shared" si="7"/>
        <v>0</v>
      </c>
      <c r="G67" s="30">
        <f t="shared" si="7"/>
        <v>0</v>
      </c>
      <c r="H67" s="30">
        <f t="shared" si="7"/>
        <v>0</v>
      </c>
      <c r="I67" s="30">
        <f t="shared" si="7"/>
        <v>0</v>
      </c>
      <c r="J67" s="43">
        <f t="shared" si="6"/>
        <v>0</v>
      </c>
      <c r="K67" s="43">
        <f t="shared" si="6"/>
        <v>0</v>
      </c>
      <c r="L67" s="43">
        <f t="shared" si="6"/>
        <v>0</v>
      </c>
      <c r="M67" s="43">
        <f t="shared" si="6"/>
        <v>0</v>
      </c>
      <c r="N67" s="43">
        <f t="shared" si="6"/>
        <v>0</v>
      </c>
      <c r="O67" s="43">
        <f t="shared" si="6"/>
        <v>0</v>
      </c>
      <c r="P67" s="43">
        <f t="shared" si="6"/>
        <v>0</v>
      </c>
      <c r="Q67" s="38"/>
    </row>
    <row r="68" spans="1:34" outlineLevel="1" x14ac:dyDescent="0.25">
      <c r="A68" s="5"/>
      <c r="B68" s="25" t="s">
        <v>25</v>
      </c>
      <c r="C68" s="25" t="s">
        <v>88</v>
      </c>
      <c r="D68" s="25" t="s">
        <v>127</v>
      </c>
      <c r="E68" s="27" t="s">
        <v>80</v>
      </c>
      <c r="F68" s="30">
        <f t="shared" ref="F68:I83" si="8">INDEX($R68:$BZ68,MATCH(F$1,$R$1:$BZ$1,0))</f>
        <v>0</v>
      </c>
      <c r="G68" s="30">
        <f t="shared" si="8"/>
        <v>0</v>
      </c>
      <c r="H68" s="30">
        <f t="shared" si="8"/>
        <v>0</v>
      </c>
      <c r="I68" s="30">
        <f t="shared" si="8"/>
        <v>0</v>
      </c>
      <c r="J68" s="43">
        <f t="shared" si="6"/>
        <v>0</v>
      </c>
      <c r="K68" s="43">
        <f t="shared" si="6"/>
        <v>0</v>
      </c>
      <c r="L68" s="43">
        <f t="shared" si="6"/>
        <v>0</v>
      </c>
      <c r="M68" s="43">
        <f t="shared" si="6"/>
        <v>0</v>
      </c>
      <c r="N68" s="43">
        <f t="shared" si="6"/>
        <v>0</v>
      </c>
      <c r="O68" s="43">
        <f t="shared" si="6"/>
        <v>0</v>
      </c>
      <c r="P68" s="43">
        <f t="shared" si="6"/>
        <v>0</v>
      </c>
      <c r="Q68" s="38"/>
    </row>
    <row r="69" spans="1:34" outlineLevel="1" x14ac:dyDescent="0.25">
      <c r="A69" s="5"/>
      <c r="B69" s="25" t="s">
        <v>25</v>
      </c>
      <c r="C69" s="25" t="s">
        <v>89</v>
      </c>
      <c r="D69" s="25" t="s">
        <v>127</v>
      </c>
      <c r="E69" s="27" t="s">
        <v>80</v>
      </c>
      <c r="F69" s="30">
        <f t="shared" si="8"/>
        <v>0</v>
      </c>
      <c r="G69" s="30">
        <f t="shared" si="8"/>
        <v>0</v>
      </c>
      <c r="H69" s="30">
        <f t="shared" si="8"/>
        <v>0</v>
      </c>
      <c r="I69" s="30">
        <f t="shared" si="8"/>
        <v>0</v>
      </c>
      <c r="J69" s="43">
        <f t="shared" si="6"/>
        <v>0</v>
      </c>
      <c r="K69" s="43">
        <f t="shared" si="6"/>
        <v>0</v>
      </c>
      <c r="L69" s="43">
        <f t="shared" si="6"/>
        <v>0</v>
      </c>
      <c r="M69" s="43">
        <f t="shared" si="6"/>
        <v>0</v>
      </c>
      <c r="N69" s="43">
        <f t="shared" si="6"/>
        <v>0</v>
      </c>
      <c r="O69" s="43">
        <f t="shared" si="6"/>
        <v>0</v>
      </c>
      <c r="P69" s="43">
        <f t="shared" si="6"/>
        <v>0</v>
      </c>
      <c r="Q69" s="38"/>
    </row>
    <row r="70" spans="1:34" outlineLevel="1" x14ac:dyDescent="0.25">
      <c r="A70" s="5"/>
      <c r="B70" s="25" t="s">
        <v>25</v>
      </c>
      <c r="C70" s="25" t="s">
        <v>90</v>
      </c>
      <c r="D70" s="25" t="s">
        <v>127</v>
      </c>
      <c r="E70" s="27" t="s">
        <v>80</v>
      </c>
      <c r="F70" s="30">
        <f t="shared" si="8"/>
        <v>0</v>
      </c>
      <c r="G70" s="30">
        <f t="shared" si="8"/>
        <v>0</v>
      </c>
      <c r="H70" s="30">
        <f t="shared" si="8"/>
        <v>0</v>
      </c>
      <c r="I70" s="30">
        <f t="shared" si="8"/>
        <v>0</v>
      </c>
      <c r="J70" s="43">
        <f t="shared" si="6"/>
        <v>0</v>
      </c>
      <c r="K70" s="43">
        <f t="shared" si="6"/>
        <v>0</v>
      </c>
      <c r="L70" s="43">
        <f t="shared" si="6"/>
        <v>0</v>
      </c>
      <c r="M70" s="43">
        <f t="shared" si="6"/>
        <v>0</v>
      </c>
      <c r="N70" s="43">
        <f t="shared" si="6"/>
        <v>0</v>
      </c>
      <c r="O70" s="43">
        <f t="shared" si="6"/>
        <v>0</v>
      </c>
      <c r="P70" s="43">
        <f t="shared" si="6"/>
        <v>0</v>
      </c>
      <c r="Q70" s="38"/>
    </row>
    <row r="71" spans="1:34" outlineLevel="1" x14ac:dyDescent="0.25">
      <c r="A71" s="5"/>
      <c r="B71" s="25" t="s">
        <v>25</v>
      </c>
      <c r="C71" s="25" t="s">
        <v>91</v>
      </c>
      <c r="D71" s="25" t="s">
        <v>127</v>
      </c>
      <c r="E71" s="27" t="s">
        <v>80</v>
      </c>
      <c r="F71" s="30">
        <f t="shared" si="8"/>
        <v>0</v>
      </c>
      <c r="G71" s="30">
        <f t="shared" si="8"/>
        <v>0</v>
      </c>
      <c r="H71" s="30">
        <f t="shared" si="8"/>
        <v>0</v>
      </c>
      <c r="I71" s="30">
        <f t="shared" si="8"/>
        <v>0</v>
      </c>
      <c r="J71" s="43">
        <f t="shared" si="6"/>
        <v>0</v>
      </c>
      <c r="K71" s="43">
        <f t="shared" si="6"/>
        <v>0</v>
      </c>
      <c r="L71" s="43">
        <f t="shared" si="6"/>
        <v>0</v>
      </c>
      <c r="M71" s="43">
        <f t="shared" si="6"/>
        <v>0</v>
      </c>
      <c r="N71" s="43">
        <f t="shared" si="6"/>
        <v>0</v>
      </c>
      <c r="O71" s="43">
        <f t="shared" si="6"/>
        <v>0</v>
      </c>
      <c r="P71" s="43">
        <f t="shared" si="6"/>
        <v>0</v>
      </c>
      <c r="Q71" s="38"/>
    </row>
    <row r="72" spans="1:34" outlineLevel="1" x14ac:dyDescent="0.25">
      <c r="A72" s="5"/>
      <c r="B72" s="25" t="s">
        <v>25</v>
      </c>
      <c r="C72" s="25" t="s">
        <v>92</v>
      </c>
      <c r="D72" s="25" t="s">
        <v>127</v>
      </c>
      <c r="E72" s="27" t="s">
        <v>80</v>
      </c>
      <c r="F72" s="30">
        <f t="shared" si="8"/>
        <v>0</v>
      </c>
      <c r="G72" s="30">
        <f t="shared" si="8"/>
        <v>0</v>
      </c>
      <c r="H72" s="30">
        <f t="shared" si="8"/>
        <v>0</v>
      </c>
      <c r="I72" s="30">
        <f t="shared" si="8"/>
        <v>0</v>
      </c>
      <c r="J72" s="43">
        <f t="shared" si="6"/>
        <v>0</v>
      </c>
      <c r="K72" s="43">
        <f t="shared" si="6"/>
        <v>0</v>
      </c>
      <c r="L72" s="43">
        <f t="shared" si="6"/>
        <v>0</v>
      </c>
      <c r="M72" s="43">
        <f t="shared" ref="J72:P91" si="9">$AH72</f>
        <v>0</v>
      </c>
      <c r="N72" s="43">
        <f t="shared" si="9"/>
        <v>0</v>
      </c>
      <c r="O72" s="43">
        <f t="shared" si="9"/>
        <v>0</v>
      </c>
      <c r="P72" s="43">
        <f t="shared" si="9"/>
        <v>0</v>
      </c>
      <c r="Q72" s="38"/>
    </row>
    <row r="73" spans="1:34" outlineLevel="1" x14ac:dyDescent="0.25">
      <c r="A73" s="5"/>
      <c r="B73" s="25" t="s">
        <v>25</v>
      </c>
      <c r="C73" s="25" t="s">
        <v>5</v>
      </c>
      <c r="D73" s="25" t="s">
        <v>127</v>
      </c>
      <c r="E73" s="27" t="s">
        <v>80</v>
      </c>
      <c r="F73" s="30">
        <f t="shared" si="8"/>
        <v>240.845</v>
      </c>
      <c r="G73" s="30">
        <f t="shared" si="8"/>
        <v>274.08699999999999</v>
      </c>
      <c r="H73" s="30">
        <f t="shared" si="8"/>
        <v>312.69900000000001</v>
      </c>
      <c r="I73" s="30">
        <f t="shared" si="8"/>
        <v>356.34800000000001</v>
      </c>
      <c r="J73" s="43">
        <f t="shared" si="9"/>
        <v>363.14299999999997</v>
      </c>
      <c r="K73" s="43">
        <f t="shared" si="9"/>
        <v>363.14299999999997</v>
      </c>
      <c r="L73" s="43">
        <f t="shared" si="9"/>
        <v>363.14299999999997</v>
      </c>
      <c r="M73" s="43">
        <f t="shared" si="9"/>
        <v>363.14299999999997</v>
      </c>
      <c r="N73" s="43">
        <f t="shared" si="9"/>
        <v>363.14299999999997</v>
      </c>
      <c r="O73" s="43">
        <f t="shared" si="9"/>
        <v>363.14299999999997</v>
      </c>
      <c r="P73" s="43">
        <f t="shared" si="9"/>
        <v>363.14299999999997</v>
      </c>
      <c r="Q73" s="38"/>
      <c r="R73" s="40">
        <v>240.845</v>
      </c>
      <c r="S73" s="40">
        <v>246.12899999999999</v>
      </c>
      <c r="T73" s="40">
        <v>251.79599999999999</v>
      </c>
      <c r="U73" s="40">
        <v>259.47800000000001</v>
      </c>
      <c r="V73" s="40">
        <v>267.27999999999997</v>
      </c>
      <c r="W73" s="40">
        <v>274.08699999999999</v>
      </c>
      <c r="X73" s="40">
        <v>281.55500000000001</v>
      </c>
      <c r="Y73" s="40">
        <v>287.86399999999998</v>
      </c>
      <c r="Z73" s="40">
        <v>297.70299999999997</v>
      </c>
      <c r="AA73" s="40">
        <v>306.57499999999999</v>
      </c>
      <c r="AB73" s="40">
        <v>312.69900000000001</v>
      </c>
      <c r="AC73" s="40">
        <v>316.55099999999999</v>
      </c>
      <c r="AD73" s="40">
        <v>321.52199999999999</v>
      </c>
      <c r="AE73" s="40">
        <v>331</v>
      </c>
      <c r="AF73" s="40">
        <v>342.41699999999997</v>
      </c>
      <c r="AG73" s="40">
        <v>356.34800000000001</v>
      </c>
      <c r="AH73" s="40">
        <v>363.14299999999997</v>
      </c>
    </row>
    <row r="74" spans="1:34" outlineLevel="1" x14ac:dyDescent="0.25">
      <c r="A74" s="5"/>
      <c r="B74" s="25" t="s">
        <v>25</v>
      </c>
      <c r="C74" s="25" t="s">
        <v>61</v>
      </c>
      <c r="D74" s="25" t="s">
        <v>127</v>
      </c>
      <c r="E74" s="27" t="s">
        <v>80</v>
      </c>
      <c r="F74" s="30">
        <f t="shared" si="8"/>
        <v>0</v>
      </c>
      <c r="G74" s="30">
        <f t="shared" si="8"/>
        <v>0</v>
      </c>
      <c r="H74" s="30">
        <f t="shared" si="8"/>
        <v>0</v>
      </c>
      <c r="I74" s="30">
        <f t="shared" si="8"/>
        <v>0</v>
      </c>
      <c r="J74" s="43">
        <f t="shared" si="9"/>
        <v>0</v>
      </c>
      <c r="K74" s="43">
        <f t="shared" si="9"/>
        <v>0</v>
      </c>
      <c r="L74" s="43">
        <f t="shared" si="9"/>
        <v>0</v>
      </c>
      <c r="M74" s="43">
        <f t="shared" si="9"/>
        <v>0</v>
      </c>
      <c r="N74" s="43">
        <f t="shared" si="9"/>
        <v>0</v>
      </c>
      <c r="O74" s="43">
        <f t="shared" si="9"/>
        <v>0</v>
      </c>
      <c r="P74" s="43">
        <f t="shared" si="9"/>
        <v>0</v>
      </c>
      <c r="Q74" s="38"/>
      <c r="R74" s="40"/>
      <c r="S74" s="40"/>
      <c r="T74" s="40"/>
      <c r="U74" s="40"/>
      <c r="V74" s="40"/>
      <c r="W74" s="40"/>
      <c r="X74" s="40"/>
      <c r="Y74" s="40"/>
      <c r="Z74" s="40"/>
      <c r="AA74" s="40"/>
      <c r="AB74" s="40"/>
      <c r="AC74" s="40"/>
      <c r="AD74" s="40"/>
      <c r="AE74" s="40"/>
      <c r="AF74" s="40"/>
      <c r="AG74" s="40"/>
      <c r="AH74" s="40"/>
    </row>
    <row r="75" spans="1:34" outlineLevel="1" x14ac:dyDescent="0.25">
      <c r="A75" s="5"/>
      <c r="B75" s="25" t="s">
        <v>25</v>
      </c>
      <c r="C75" s="25" t="s">
        <v>93</v>
      </c>
      <c r="D75" s="25" t="s">
        <v>127</v>
      </c>
      <c r="E75" s="27" t="s">
        <v>80</v>
      </c>
      <c r="F75" s="30">
        <f t="shared" si="8"/>
        <v>0</v>
      </c>
      <c r="G75" s="30">
        <f t="shared" si="8"/>
        <v>0</v>
      </c>
      <c r="H75" s="30">
        <f t="shared" si="8"/>
        <v>0</v>
      </c>
      <c r="I75" s="30">
        <f t="shared" si="8"/>
        <v>0</v>
      </c>
      <c r="J75" s="43">
        <f t="shared" si="9"/>
        <v>0</v>
      </c>
      <c r="K75" s="43">
        <f t="shared" si="9"/>
        <v>0</v>
      </c>
      <c r="L75" s="43">
        <f t="shared" si="9"/>
        <v>0</v>
      </c>
      <c r="M75" s="43">
        <f t="shared" si="9"/>
        <v>0</v>
      </c>
      <c r="N75" s="43">
        <f t="shared" si="9"/>
        <v>0</v>
      </c>
      <c r="O75" s="43">
        <f t="shared" si="9"/>
        <v>0</v>
      </c>
      <c r="P75" s="43">
        <f t="shared" si="9"/>
        <v>0</v>
      </c>
      <c r="Q75" s="38"/>
      <c r="R75" s="40"/>
      <c r="S75" s="40"/>
      <c r="T75" s="40"/>
      <c r="U75" s="40"/>
      <c r="V75" s="40"/>
      <c r="W75" s="40"/>
      <c r="X75" s="40"/>
      <c r="Y75" s="40"/>
      <c r="Z75" s="40"/>
      <c r="AA75" s="40"/>
      <c r="AB75" s="40"/>
      <c r="AC75" s="40"/>
      <c r="AD75" s="40"/>
      <c r="AE75" s="40"/>
      <c r="AF75" s="40"/>
      <c r="AG75" s="40"/>
      <c r="AH75" s="40"/>
    </row>
    <row r="76" spans="1:34" outlineLevel="1" x14ac:dyDescent="0.25">
      <c r="A76" s="5"/>
      <c r="B76" s="25" t="s">
        <v>25</v>
      </c>
      <c r="C76" s="25" t="s">
        <v>95</v>
      </c>
      <c r="D76" s="25" t="s">
        <v>127</v>
      </c>
      <c r="E76" s="27" t="s">
        <v>80</v>
      </c>
      <c r="F76" s="30">
        <f t="shared" si="8"/>
        <v>0</v>
      </c>
      <c r="G76" s="30">
        <f t="shared" si="8"/>
        <v>0</v>
      </c>
      <c r="H76" s="30">
        <f t="shared" si="8"/>
        <v>0</v>
      </c>
      <c r="I76" s="30">
        <f t="shared" si="8"/>
        <v>0</v>
      </c>
      <c r="J76" s="43">
        <f t="shared" si="9"/>
        <v>0</v>
      </c>
      <c r="K76" s="43">
        <f t="shared" si="9"/>
        <v>0</v>
      </c>
      <c r="L76" s="43">
        <f t="shared" si="9"/>
        <v>0</v>
      </c>
      <c r="M76" s="43">
        <f t="shared" si="9"/>
        <v>0</v>
      </c>
      <c r="N76" s="43">
        <f t="shared" si="9"/>
        <v>0</v>
      </c>
      <c r="O76" s="43">
        <f t="shared" si="9"/>
        <v>0</v>
      </c>
      <c r="P76" s="43">
        <f t="shared" si="9"/>
        <v>0</v>
      </c>
      <c r="Q76" s="38"/>
      <c r="R76" s="40"/>
      <c r="S76" s="40"/>
      <c r="T76" s="40"/>
      <c r="U76" s="40"/>
      <c r="V76" s="40"/>
      <c r="W76" s="40"/>
      <c r="X76" s="40"/>
      <c r="Y76" s="40"/>
      <c r="Z76" s="40"/>
      <c r="AA76" s="40"/>
      <c r="AB76" s="40"/>
      <c r="AC76" s="40"/>
      <c r="AD76" s="40"/>
      <c r="AE76" s="40"/>
      <c r="AF76" s="40"/>
      <c r="AG76" s="40"/>
      <c r="AH76" s="40"/>
    </row>
    <row r="77" spans="1:34" outlineLevel="1" x14ac:dyDescent="0.25">
      <c r="A77" s="5"/>
      <c r="B77" s="25" t="s">
        <v>25</v>
      </c>
      <c r="C77" s="25" t="s">
        <v>94</v>
      </c>
      <c r="D77" s="25" t="s">
        <v>127</v>
      </c>
      <c r="E77" s="27" t="s">
        <v>80</v>
      </c>
      <c r="F77" s="30">
        <f t="shared" si="8"/>
        <v>0</v>
      </c>
      <c r="G77" s="30">
        <f t="shared" si="8"/>
        <v>0</v>
      </c>
      <c r="H77" s="30">
        <f t="shared" si="8"/>
        <v>0</v>
      </c>
      <c r="I77" s="30">
        <f t="shared" si="8"/>
        <v>0</v>
      </c>
      <c r="J77" s="43">
        <f t="shared" si="9"/>
        <v>0</v>
      </c>
      <c r="K77" s="43">
        <f t="shared" si="9"/>
        <v>0</v>
      </c>
      <c r="L77" s="43">
        <f t="shared" si="9"/>
        <v>0</v>
      </c>
      <c r="M77" s="43">
        <f t="shared" si="9"/>
        <v>0</v>
      </c>
      <c r="N77" s="43">
        <f t="shared" si="9"/>
        <v>0</v>
      </c>
      <c r="O77" s="43">
        <f t="shared" si="9"/>
        <v>0</v>
      </c>
      <c r="P77" s="43">
        <f t="shared" si="9"/>
        <v>0</v>
      </c>
      <c r="Q77" s="38"/>
    </row>
    <row r="78" spans="1:34" outlineLevel="1" x14ac:dyDescent="0.25">
      <c r="A78" s="5"/>
      <c r="B78" s="25" t="s">
        <v>26</v>
      </c>
      <c r="C78" s="25" t="s">
        <v>48</v>
      </c>
      <c r="D78" s="25" t="s">
        <v>127</v>
      </c>
      <c r="E78" s="27" t="s">
        <v>80</v>
      </c>
      <c r="F78" s="30">
        <f t="shared" si="8"/>
        <v>0</v>
      </c>
      <c r="G78" s="30">
        <f t="shared" si="8"/>
        <v>0</v>
      </c>
      <c r="H78" s="30">
        <f t="shared" si="8"/>
        <v>0</v>
      </c>
      <c r="I78" s="30">
        <f t="shared" si="8"/>
        <v>0</v>
      </c>
      <c r="J78" s="43">
        <f t="shared" si="9"/>
        <v>0</v>
      </c>
      <c r="K78" s="43">
        <f t="shared" si="9"/>
        <v>0</v>
      </c>
      <c r="L78" s="43">
        <f t="shared" si="9"/>
        <v>0</v>
      </c>
      <c r="M78" s="43">
        <f t="shared" si="9"/>
        <v>0</v>
      </c>
      <c r="N78" s="43">
        <f t="shared" si="9"/>
        <v>0</v>
      </c>
      <c r="O78" s="43">
        <f t="shared" si="9"/>
        <v>0</v>
      </c>
      <c r="P78" s="43">
        <f t="shared" si="9"/>
        <v>0</v>
      </c>
      <c r="Q78" s="38"/>
    </row>
    <row r="79" spans="1:34" outlineLevel="1" x14ac:dyDescent="0.25">
      <c r="A79" s="5"/>
      <c r="B79" s="25" t="s">
        <v>26</v>
      </c>
      <c r="C79" s="13" t="s">
        <v>85</v>
      </c>
      <c r="D79" s="25" t="s">
        <v>127</v>
      </c>
      <c r="E79" s="27" t="s">
        <v>80</v>
      </c>
      <c r="F79" s="30">
        <f t="shared" si="8"/>
        <v>0</v>
      </c>
      <c r="G79" s="30">
        <f t="shared" si="8"/>
        <v>0</v>
      </c>
      <c r="H79" s="30">
        <f t="shared" si="8"/>
        <v>0</v>
      </c>
      <c r="I79" s="30">
        <f t="shared" si="8"/>
        <v>0</v>
      </c>
      <c r="J79" s="43">
        <f t="shared" si="9"/>
        <v>0</v>
      </c>
      <c r="K79" s="43">
        <f t="shared" si="9"/>
        <v>0</v>
      </c>
      <c r="L79" s="43">
        <f t="shared" si="9"/>
        <v>0</v>
      </c>
      <c r="M79" s="43">
        <f t="shared" si="9"/>
        <v>0</v>
      </c>
      <c r="N79" s="43">
        <f t="shared" si="9"/>
        <v>0</v>
      </c>
      <c r="O79" s="43">
        <f t="shared" si="9"/>
        <v>0</v>
      </c>
      <c r="P79" s="43">
        <f t="shared" si="9"/>
        <v>0</v>
      </c>
      <c r="Q79" s="38"/>
    </row>
    <row r="80" spans="1:34" outlineLevel="1" x14ac:dyDescent="0.25">
      <c r="A80" s="5"/>
      <c r="B80" s="25" t="s">
        <v>26</v>
      </c>
      <c r="C80" s="25" t="s">
        <v>86</v>
      </c>
      <c r="D80" s="25" t="s">
        <v>127</v>
      </c>
      <c r="E80" s="27" t="s">
        <v>80</v>
      </c>
      <c r="F80" s="30">
        <f t="shared" si="8"/>
        <v>0</v>
      </c>
      <c r="G80" s="30">
        <f t="shared" si="8"/>
        <v>0</v>
      </c>
      <c r="H80" s="30">
        <f t="shared" si="8"/>
        <v>0</v>
      </c>
      <c r="I80" s="30">
        <f t="shared" si="8"/>
        <v>0</v>
      </c>
      <c r="J80" s="43">
        <f t="shared" si="9"/>
        <v>0</v>
      </c>
      <c r="K80" s="43">
        <f t="shared" si="9"/>
        <v>0</v>
      </c>
      <c r="L80" s="43">
        <f t="shared" si="9"/>
        <v>0</v>
      </c>
      <c r="M80" s="43">
        <f t="shared" si="9"/>
        <v>0</v>
      </c>
      <c r="N80" s="43">
        <f t="shared" si="9"/>
        <v>0</v>
      </c>
      <c r="O80" s="43">
        <f t="shared" si="9"/>
        <v>0</v>
      </c>
      <c r="P80" s="43">
        <f t="shared" si="9"/>
        <v>0</v>
      </c>
      <c r="Q80" s="38"/>
    </row>
    <row r="81" spans="1:34" outlineLevel="1" x14ac:dyDescent="0.25">
      <c r="A81" s="5"/>
      <c r="B81" s="25" t="s">
        <v>26</v>
      </c>
      <c r="C81" s="25" t="s">
        <v>87</v>
      </c>
      <c r="D81" s="25" t="s">
        <v>127</v>
      </c>
      <c r="E81" s="27" t="s">
        <v>80</v>
      </c>
      <c r="F81" s="30">
        <f t="shared" si="8"/>
        <v>0</v>
      </c>
      <c r="G81" s="30">
        <f t="shared" si="8"/>
        <v>0</v>
      </c>
      <c r="H81" s="30">
        <f t="shared" si="8"/>
        <v>0</v>
      </c>
      <c r="I81" s="30">
        <f t="shared" si="8"/>
        <v>0</v>
      </c>
      <c r="J81" s="43">
        <f t="shared" si="9"/>
        <v>0</v>
      </c>
      <c r="K81" s="43">
        <f t="shared" si="9"/>
        <v>0</v>
      </c>
      <c r="L81" s="43">
        <f t="shared" si="9"/>
        <v>0</v>
      </c>
      <c r="M81" s="43">
        <f t="shared" si="9"/>
        <v>0</v>
      </c>
      <c r="N81" s="43">
        <f t="shared" si="9"/>
        <v>0</v>
      </c>
      <c r="O81" s="43">
        <f t="shared" si="9"/>
        <v>0</v>
      </c>
      <c r="P81" s="43">
        <f t="shared" si="9"/>
        <v>0</v>
      </c>
      <c r="Q81" s="38"/>
    </row>
    <row r="82" spans="1:34" outlineLevel="1" x14ac:dyDescent="0.25">
      <c r="A82" s="5"/>
      <c r="B82" s="25" t="s">
        <v>26</v>
      </c>
      <c r="C82" s="25" t="s">
        <v>88</v>
      </c>
      <c r="D82" s="25" t="s">
        <v>127</v>
      </c>
      <c r="E82" s="27" t="s">
        <v>80</v>
      </c>
      <c r="F82" s="30">
        <f t="shared" si="8"/>
        <v>0</v>
      </c>
      <c r="G82" s="30">
        <f t="shared" si="8"/>
        <v>0</v>
      </c>
      <c r="H82" s="30">
        <f t="shared" si="8"/>
        <v>0</v>
      </c>
      <c r="I82" s="30">
        <f t="shared" si="8"/>
        <v>0</v>
      </c>
      <c r="J82" s="43">
        <f t="shared" si="9"/>
        <v>0</v>
      </c>
      <c r="K82" s="43">
        <f t="shared" si="9"/>
        <v>0</v>
      </c>
      <c r="L82" s="43">
        <f t="shared" si="9"/>
        <v>0</v>
      </c>
      <c r="M82" s="43">
        <f t="shared" si="9"/>
        <v>0</v>
      </c>
      <c r="N82" s="43">
        <f t="shared" si="9"/>
        <v>0</v>
      </c>
      <c r="O82" s="43">
        <f t="shared" si="9"/>
        <v>0</v>
      </c>
      <c r="P82" s="43">
        <f t="shared" si="9"/>
        <v>0</v>
      </c>
      <c r="Q82" s="38"/>
    </row>
    <row r="83" spans="1:34" outlineLevel="1" x14ac:dyDescent="0.25">
      <c r="A83" s="5"/>
      <c r="B83" s="25" t="s">
        <v>26</v>
      </c>
      <c r="C83" s="25" t="s">
        <v>89</v>
      </c>
      <c r="D83" s="25" t="s">
        <v>127</v>
      </c>
      <c r="E83" s="27" t="s">
        <v>80</v>
      </c>
      <c r="F83" s="30">
        <f t="shared" si="8"/>
        <v>0</v>
      </c>
      <c r="G83" s="30">
        <f t="shared" si="8"/>
        <v>0</v>
      </c>
      <c r="H83" s="30">
        <f t="shared" si="8"/>
        <v>0</v>
      </c>
      <c r="I83" s="30">
        <f t="shared" si="8"/>
        <v>0</v>
      </c>
      <c r="J83" s="43">
        <f t="shared" si="9"/>
        <v>0</v>
      </c>
      <c r="K83" s="43">
        <f t="shared" si="9"/>
        <v>0</v>
      </c>
      <c r="L83" s="43">
        <f t="shared" si="9"/>
        <v>0</v>
      </c>
      <c r="M83" s="43">
        <f t="shared" si="9"/>
        <v>0</v>
      </c>
      <c r="N83" s="43">
        <f t="shared" si="9"/>
        <v>0</v>
      </c>
      <c r="O83" s="43">
        <f t="shared" si="9"/>
        <v>0</v>
      </c>
      <c r="P83" s="43">
        <f t="shared" si="9"/>
        <v>0</v>
      </c>
      <c r="Q83" s="38"/>
    </row>
    <row r="84" spans="1:34" outlineLevel="1" x14ac:dyDescent="0.25">
      <c r="A84" s="5"/>
      <c r="B84" s="25" t="s">
        <v>26</v>
      </c>
      <c r="C84" s="25" t="s">
        <v>90</v>
      </c>
      <c r="D84" s="25" t="s">
        <v>127</v>
      </c>
      <c r="E84" s="27" t="s">
        <v>80</v>
      </c>
      <c r="F84" s="30">
        <f t="shared" ref="F84:I91" si="10">INDEX($R84:$BZ84,MATCH(F$1,$R$1:$BZ$1,0))</f>
        <v>0</v>
      </c>
      <c r="G84" s="30">
        <f t="shared" si="10"/>
        <v>0</v>
      </c>
      <c r="H84" s="30">
        <f t="shared" si="10"/>
        <v>0</v>
      </c>
      <c r="I84" s="30">
        <f t="shared" si="10"/>
        <v>0</v>
      </c>
      <c r="J84" s="43">
        <f t="shared" si="9"/>
        <v>0</v>
      </c>
      <c r="K84" s="43">
        <f t="shared" si="9"/>
        <v>0</v>
      </c>
      <c r="L84" s="43">
        <f t="shared" si="9"/>
        <v>0</v>
      </c>
      <c r="M84" s="43">
        <f t="shared" si="9"/>
        <v>0</v>
      </c>
      <c r="N84" s="43">
        <f t="shared" si="9"/>
        <v>0</v>
      </c>
      <c r="O84" s="43">
        <f t="shared" si="9"/>
        <v>0</v>
      </c>
      <c r="P84" s="43">
        <f t="shared" si="9"/>
        <v>0</v>
      </c>
      <c r="Q84" s="38"/>
    </row>
    <row r="85" spans="1:34" outlineLevel="1" x14ac:dyDescent="0.25">
      <c r="A85" s="5"/>
      <c r="B85" s="25" t="s">
        <v>26</v>
      </c>
      <c r="C85" s="25" t="s">
        <v>91</v>
      </c>
      <c r="D85" s="25" t="s">
        <v>127</v>
      </c>
      <c r="E85" s="27" t="s">
        <v>80</v>
      </c>
      <c r="F85" s="30">
        <f t="shared" si="10"/>
        <v>0</v>
      </c>
      <c r="G85" s="30">
        <f t="shared" si="10"/>
        <v>0</v>
      </c>
      <c r="H85" s="30">
        <f t="shared" si="10"/>
        <v>0</v>
      </c>
      <c r="I85" s="30">
        <f t="shared" si="10"/>
        <v>0</v>
      </c>
      <c r="J85" s="43">
        <f t="shared" si="9"/>
        <v>0</v>
      </c>
      <c r="K85" s="43">
        <f t="shared" si="9"/>
        <v>0</v>
      </c>
      <c r="L85" s="43">
        <f t="shared" si="9"/>
        <v>0</v>
      </c>
      <c r="M85" s="43">
        <f t="shared" si="9"/>
        <v>0</v>
      </c>
      <c r="N85" s="43">
        <f t="shared" si="9"/>
        <v>0</v>
      </c>
      <c r="O85" s="43">
        <f t="shared" si="9"/>
        <v>0</v>
      </c>
      <c r="P85" s="43">
        <f t="shared" si="9"/>
        <v>0</v>
      </c>
      <c r="Q85" s="38"/>
    </row>
    <row r="86" spans="1:34" outlineLevel="1" x14ac:dyDescent="0.25">
      <c r="A86" s="5"/>
      <c r="B86" s="25" t="s">
        <v>26</v>
      </c>
      <c r="C86" s="25" t="s">
        <v>92</v>
      </c>
      <c r="D86" s="25" t="s">
        <v>127</v>
      </c>
      <c r="E86" s="27" t="s">
        <v>80</v>
      </c>
      <c r="F86" s="30">
        <f t="shared" si="10"/>
        <v>0</v>
      </c>
      <c r="G86" s="30">
        <f t="shared" si="10"/>
        <v>0</v>
      </c>
      <c r="H86" s="30">
        <f t="shared" si="10"/>
        <v>0</v>
      </c>
      <c r="I86" s="30">
        <f t="shared" si="10"/>
        <v>0</v>
      </c>
      <c r="J86" s="43">
        <f t="shared" si="9"/>
        <v>0</v>
      </c>
      <c r="K86" s="43">
        <f t="shared" si="9"/>
        <v>0</v>
      </c>
      <c r="L86" s="43">
        <f t="shared" si="9"/>
        <v>0</v>
      </c>
      <c r="M86" s="43">
        <f t="shared" si="9"/>
        <v>0</v>
      </c>
      <c r="N86" s="43">
        <f t="shared" si="9"/>
        <v>0</v>
      </c>
      <c r="O86" s="43">
        <f t="shared" si="9"/>
        <v>0</v>
      </c>
      <c r="P86" s="43">
        <f t="shared" si="9"/>
        <v>0</v>
      </c>
      <c r="Q86" s="38"/>
    </row>
    <row r="87" spans="1:34" outlineLevel="1" x14ac:dyDescent="0.25">
      <c r="A87" s="5"/>
      <c r="B87" s="25" t="s">
        <v>26</v>
      </c>
      <c r="C87" s="25" t="s">
        <v>5</v>
      </c>
      <c r="D87" s="25" t="s">
        <v>127</v>
      </c>
      <c r="E87" s="27" t="s">
        <v>80</v>
      </c>
      <c r="F87" s="30">
        <f t="shared" si="10"/>
        <v>51.143999999999998</v>
      </c>
      <c r="G87" s="30">
        <f t="shared" si="10"/>
        <v>58.040999999999997</v>
      </c>
      <c r="H87" s="30">
        <f t="shared" si="10"/>
        <v>64.87</v>
      </c>
      <c r="I87" s="30">
        <f t="shared" si="10"/>
        <v>70.494</v>
      </c>
      <c r="J87" s="43">
        <f t="shared" si="9"/>
        <v>71.623999999999995</v>
      </c>
      <c r="K87" s="43">
        <f t="shared" si="9"/>
        <v>71.623999999999995</v>
      </c>
      <c r="L87" s="43">
        <f t="shared" si="9"/>
        <v>71.623999999999995</v>
      </c>
      <c r="M87" s="43">
        <f t="shared" si="9"/>
        <v>71.623999999999995</v>
      </c>
      <c r="N87" s="43">
        <f t="shared" si="9"/>
        <v>71.623999999999995</v>
      </c>
      <c r="O87" s="43">
        <f t="shared" si="9"/>
        <v>71.623999999999995</v>
      </c>
      <c r="P87" s="43">
        <f t="shared" si="9"/>
        <v>71.623999999999995</v>
      </c>
      <c r="Q87" s="38"/>
      <c r="R87" s="40">
        <v>51.143999999999998</v>
      </c>
      <c r="S87" s="40">
        <v>52.281999999999996</v>
      </c>
      <c r="T87" s="40">
        <v>53.66</v>
      </c>
      <c r="U87" s="40">
        <v>55.110999999999997</v>
      </c>
      <c r="V87" s="40">
        <v>56.487000000000002</v>
      </c>
      <c r="W87" s="40">
        <v>58.040999999999997</v>
      </c>
      <c r="X87" s="40">
        <v>59.667000000000002</v>
      </c>
      <c r="Y87" s="40">
        <v>61.478000000000002</v>
      </c>
      <c r="Z87" s="40">
        <v>62.872999999999998</v>
      </c>
      <c r="AA87" s="40">
        <v>63.744</v>
      </c>
      <c r="AB87" s="40">
        <v>64.87</v>
      </c>
      <c r="AC87" s="40">
        <v>66.188000000000002</v>
      </c>
      <c r="AD87" s="40">
        <v>67.120999999999995</v>
      </c>
      <c r="AE87" s="40">
        <v>68.241</v>
      </c>
      <c r="AF87" s="40">
        <v>69.427999999999997</v>
      </c>
      <c r="AG87" s="40">
        <v>70.494</v>
      </c>
      <c r="AH87" s="40">
        <v>71.623999999999995</v>
      </c>
    </row>
    <row r="88" spans="1:34" outlineLevel="1" x14ac:dyDescent="0.25">
      <c r="A88" s="5"/>
      <c r="B88" s="25" t="s">
        <v>26</v>
      </c>
      <c r="C88" s="25" t="s">
        <v>61</v>
      </c>
      <c r="D88" s="25" t="s">
        <v>127</v>
      </c>
      <c r="E88" s="27" t="s">
        <v>80</v>
      </c>
      <c r="F88" s="30">
        <f t="shared" si="10"/>
        <v>0</v>
      </c>
      <c r="G88" s="30">
        <f t="shared" si="10"/>
        <v>0</v>
      </c>
      <c r="H88" s="30">
        <f t="shared" si="10"/>
        <v>0</v>
      </c>
      <c r="I88" s="30">
        <f t="shared" si="10"/>
        <v>0</v>
      </c>
      <c r="J88" s="43">
        <f t="shared" si="9"/>
        <v>0</v>
      </c>
      <c r="K88" s="43">
        <f t="shared" si="9"/>
        <v>0</v>
      </c>
      <c r="L88" s="43">
        <f t="shared" si="9"/>
        <v>0</v>
      </c>
      <c r="M88" s="43">
        <f t="shared" si="9"/>
        <v>0</v>
      </c>
      <c r="N88" s="43">
        <f t="shared" si="9"/>
        <v>0</v>
      </c>
      <c r="O88" s="43">
        <f t="shared" si="9"/>
        <v>0</v>
      </c>
      <c r="P88" s="43">
        <f t="shared" si="9"/>
        <v>0</v>
      </c>
      <c r="Q88" s="38"/>
      <c r="R88" s="40"/>
      <c r="S88" s="40"/>
      <c r="T88" s="40"/>
      <c r="U88" s="40"/>
      <c r="V88" s="40"/>
      <c r="W88" s="40"/>
      <c r="X88" s="40"/>
      <c r="Y88" s="40"/>
      <c r="Z88" s="40"/>
      <c r="AA88" s="40"/>
      <c r="AB88" s="40"/>
      <c r="AC88" s="40"/>
      <c r="AD88" s="40"/>
      <c r="AE88" s="40"/>
      <c r="AF88" s="40"/>
      <c r="AG88" s="40"/>
      <c r="AH88" s="40"/>
    </row>
    <row r="89" spans="1:34" outlineLevel="1" x14ac:dyDescent="0.25">
      <c r="A89" s="5"/>
      <c r="B89" s="25" t="s">
        <v>26</v>
      </c>
      <c r="C89" s="25" t="s">
        <v>93</v>
      </c>
      <c r="D89" s="25" t="s">
        <v>127</v>
      </c>
      <c r="E89" s="27" t="s">
        <v>80</v>
      </c>
      <c r="F89" s="30">
        <f t="shared" si="10"/>
        <v>0</v>
      </c>
      <c r="G89" s="30">
        <f t="shared" si="10"/>
        <v>0</v>
      </c>
      <c r="H89" s="30">
        <f t="shared" si="10"/>
        <v>0</v>
      </c>
      <c r="I89" s="30">
        <f t="shared" si="10"/>
        <v>0</v>
      </c>
      <c r="J89" s="43">
        <f t="shared" si="9"/>
        <v>0</v>
      </c>
      <c r="K89" s="43">
        <f t="shared" si="9"/>
        <v>0</v>
      </c>
      <c r="L89" s="43">
        <f t="shared" si="9"/>
        <v>0</v>
      </c>
      <c r="M89" s="43">
        <f t="shared" si="9"/>
        <v>0</v>
      </c>
      <c r="N89" s="43">
        <f t="shared" si="9"/>
        <v>0</v>
      </c>
      <c r="O89" s="43">
        <f t="shared" si="9"/>
        <v>0</v>
      </c>
      <c r="P89" s="43">
        <f t="shared" si="9"/>
        <v>0</v>
      </c>
      <c r="Q89" s="38"/>
      <c r="R89" s="40"/>
      <c r="S89" s="40"/>
      <c r="T89" s="40"/>
      <c r="U89" s="40"/>
      <c r="V89" s="40"/>
      <c r="W89" s="40"/>
      <c r="X89" s="40"/>
      <c r="Y89" s="40"/>
      <c r="Z89" s="40"/>
      <c r="AA89" s="40"/>
      <c r="AB89" s="40"/>
      <c r="AC89" s="40"/>
      <c r="AD89" s="40"/>
      <c r="AE89" s="40"/>
      <c r="AF89" s="40"/>
      <c r="AG89" s="40"/>
      <c r="AH89" s="40"/>
    </row>
    <row r="90" spans="1:34" outlineLevel="1" x14ac:dyDescent="0.25">
      <c r="A90" s="5"/>
      <c r="B90" s="25" t="s">
        <v>26</v>
      </c>
      <c r="C90" s="25" t="s">
        <v>95</v>
      </c>
      <c r="D90" s="25" t="s">
        <v>127</v>
      </c>
      <c r="E90" s="27" t="s">
        <v>80</v>
      </c>
      <c r="F90" s="30">
        <f t="shared" si="10"/>
        <v>0</v>
      </c>
      <c r="G90" s="30">
        <f t="shared" si="10"/>
        <v>0</v>
      </c>
      <c r="H90" s="30">
        <f t="shared" si="10"/>
        <v>0</v>
      </c>
      <c r="I90" s="30">
        <f t="shared" si="10"/>
        <v>0</v>
      </c>
      <c r="J90" s="43">
        <f t="shared" si="9"/>
        <v>0</v>
      </c>
      <c r="K90" s="43">
        <f t="shared" si="9"/>
        <v>0</v>
      </c>
      <c r="L90" s="43">
        <f t="shared" si="9"/>
        <v>0</v>
      </c>
      <c r="M90" s="43">
        <f t="shared" si="9"/>
        <v>0</v>
      </c>
      <c r="N90" s="43">
        <f t="shared" si="9"/>
        <v>0</v>
      </c>
      <c r="O90" s="43">
        <f t="shared" si="9"/>
        <v>0</v>
      </c>
      <c r="P90" s="43">
        <f t="shared" si="9"/>
        <v>0</v>
      </c>
      <c r="Q90" s="38"/>
      <c r="R90" s="40"/>
      <c r="S90" s="40"/>
      <c r="T90" s="40"/>
      <c r="U90" s="40"/>
      <c r="V90" s="40"/>
      <c r="W90" s="40"/>
      <c r="X90" s="40"/>
      <c r="Y90" s="40"/>
      <c r="Z90" s="40"/>
      <c r="AA90" s="40"/>
      <c r="AB90" s="40"/>
      <c r="AC90" s="40"/>
      <c r="AD90" s="40"/>
      <c r="AE90" s="40"/>
      <c r="AF90" s="40"/>
      <c r="AG90" s="40"/>
      <c r="AH90" s="40"/>
    </row>
    <row r="91" spans="1:34" outlineLevel="1" x14ac:dyDescent="0.25">
      <c r="A91" s="5"/>
      <c r="B91" s="25" t="s">
        <v>26</v>
      </c>
      <c r="C91" s="25" t="s">
        <v>94</v>
      </c>
      <c r="D91" s="25" t="s">
        <v>127</v>
      </c>
      <c r="E91" s="27" t="s">
        <v>80</v>
      </c>
      <c r="F91" s="30">
        <f t="shared" si="10"/>
        <v>0</v>
      </c>
      <c r="G91" s="30">
        <f t="shared" si="10"/>
        <v>0</v>
      </c>
      <c r="H91" s="30">
        <f t="shared" si="10"/>
        <v>0</v>
      </c>
      <c r="I91" s="30">
        <f t="shared" si="10"/>
        <v>0</v>
      </c>
      <c r="J91" s="43">
        <f t="shared" si="9"/>
        <v>0</v>
      </c>
      <c r="K91" s="43">
        <f t="shared" si="9"/>
        <v>0</v>
      </c>
      <c r="L91" s="43">
        <f t="shared" si="9"/>
        <v>0</v>
      </c>
      <c r="M91" s="43">
        <f t="shared" si="9"/>
        <v>0</v>
      </c>
      <c r="N91" s="43">
        <f t="shared" si="9"/>
        <v>0</v>
      </c>
      <c r="O91" s="43">
        <f t="shared" si="9"/>
        <v>0</v>
      </c>
      <c r="P91" s="43">
        <f t="shared" si="9"/>
        <v>0</v>
      </c>
      <c r="Q91" s="38"/>
    </row>
    <row r="92" spans="1:34" x14ac:dyDescent="0.25">
      <c r="A92" s="5"/>
      <c r="B92" s="25"/>
      <c r="C92" s="25"/>
      <c r="D92" s="25"/>
      <c r="E92" s="16"/>
      <c r="F92" s="30"/>
      <c r="G92" s="30"/>
      <c r="H92" s="30"/>
      <c r="I92" s="30"/>
      <c r="Q92" s="38"/>
    </row>
    <row r="93" spans="1:34" x14ac:dyDescent="0.25">
      <c r="A93" s="5"/>
      <c r="B93" s="25"/>
      <c r="C93" s="25"/>
      <c r="D93" s="25"/>
      <c r="E93" s="16"/>
      <c r="F93" s="30"/>
      <c r="G93" s="30"/>
      <c r="H93" s="30"/>
      <c r="I93" s="30"/>
      <c r="Q93" s="38"/>
    </row>
    <row r="94" spans="1:34" x14ac:dyDescent="0.25">
      <c r="A94" s="5"/>
      <c r="B94" s="57" t="s">
        <v>73</v>
      </c>
      <c r="C94" s="25"/>
      <c r="D94" s="25"/>
      <c r="E94" s="16"/>
      <c r="F94" s="30"/>
      <c r="G94" s="30"/>
      <c r="H94" s="30"/>
      <c r="I94" s="30"/>
      <c r="Q94" s="38"/>
    </row>
    <row r="95" spans="1:34" outlineLevel="1" x14ac:dyDescent="0.25">
      <c r="A95" s="5"/>
      <c r="B95" s="25" t="s">
        <v>128</v>
      </c>
      <c r="C95" s="25" t="s">
        <v>48</v>
      </c>
      <c r="D95" s="25" t="s">
        <v>79</v>
      </c>
      <c r="E95" s="27" t="s">
        <v>80</v>
      </c>
      <c r="F95" s="30">
        <f t="shared" ref="F95:I110" si="11">INDEX($R95:$BZ95,MATCH(F$1,$R$1:$BZ$1,0))</f>
        <v>0</v>
      </c>
      <c r="G95" s="30">
        <f t="shared" si="11"/>
        <v>0</v>
      </c>
      <c r="H95" s="30">
        <f t="shared" si="11"/>
        <v>0</v>
      </c>
      <c r="I95" s="30">
        <f t="shared" si="11"/>
        <v>0</v>
      </c>
      <c r="J95" s="43">
        <f t="shared" ref="J95:P131" si="12">$AH95</f>
        <v>0</v>
      </c>
      <c r="K95" s="43">
        <f t="shared" si="12"/>
        <v>0</v>
      </c>
      <c r="L95" s="43">
        <f t="shared" si="12"/>
        <v>0</v>
      </c>
      <c r="M95" s="43">
        <f t="shared" si="12"/>
        <v>0</v>
      </c>
      <c r="N95" s="43">
        <f t="shared" si="12"/>
        <v>0</v>
      </c>
      <c r="O95" s="43">
        <f t="shared" si="12"/>
        <v>0</v>
      </c>
      <c r="P95" s="43">
        <f t="shared" si="12"/>
        <v>0</v>
      </c>
      <c r="Q95" s="38"/>
    </row>
    <row r="96" spans="1:34" outlineLevel="1" x14ac:dyDescent="0.25">
      <c r="A96" s="5"/>
      <c r="B96" s="25" t="s">
        <v>128</v>
      </c>
      <c r="C96" s="13" t="s">
        <v>85</v>
      </c>
      <c r="D96" s="25" t="s">
        <v>79</v>
      </c>
      <c r="E96" s="27" t="s">
        <v>80</v>
      </c>
      <c r="F96" s="30">
        <f t="shared" si="11"/>
        <v>0</v>
      </c>
      <c r="G96" s="30">
        <f t="shared" si="11"/>
        <v>0</v>
      </c>
      <c r="H96" s="30">
        <f t="shared" si="11"/>
        <v>0</v>
      </c>
      <c r="I96" s="30">
        <f t="shared" si="11"/>
        <v>0</v>
      </c>
      <c r="J96" s="43">
        <f t="shared" si="12"/>
        <v>0</v>
      </c>
      <c r="K96" s="43">
        <f t="shared" si="12"/>
        <v>0</v>
      </c>
      <c r="L96" s="43">
        <f t="shared" si="12"/>
        <v>0</v>
      </c>
      <c r="M96" s="43">
        <f t="shared" si="12"/>
        <v>0</v>
      </c>
      <c r="N96" s="43">
        <f t="shared" si="12"/>
        <v>0</v>
      </c>
      <c r="O96" s="43">
        <f t="shared" si="12"/>
        <v>0</v>
      </c>
      <c r="P96" s="43">
        <f t="shared" si="12"/>
        <v>0</v>
      </c>
      <c r="Q96" s="38"/>
    </row>
    <row r="97" spans="1:34" outlineLevel="1" x14ac:dyDescent="0.25">
      <c r="A97" s="5"/>
      <c r="B97" s="25" t="s">
        <v>128</v>
      </c>
      <c r="C97" s="25" t="s">
        <v>86</v>
      </c>
      <c r="D97" s="25" t="s">
        <v>79</v>
      </c>
      <c r="E97" s="27" t="s">
        <v>80</v>
      </c>
      <c r="F97" s="30">
        <f t="shared" si="11"/>
        <v>0</v>
      </c>
      <c r="G97" s="30">
        <f t="shared" si="11"/>
        <v>0</v>
      </c>
      <c r="H97" s="30">
        <f t="shared" si="11"/>
        <v>0</v>
      </c>
      <c r="I97" s="30">
        <f t="shared" si="11"/>
        <v>0</v>
      </c>
      <c r="J97" s="43">
        <f t="shared" si="12"/>
        <v>0</v>
      </c>
      <c r="K97" s="43">
        <f t="shared" si="12"/>
        <v>0</v>
      </c>
      <c r="L97" s="43">
        <f t="shared" si="12"/>
        <v>0</v>
      </c>
      <c r="M97" s="43">
        <f t="shared" si="12"/>
        <v>0</v>
      </c>
      <c r="N97" s="43">
        <f t="shared" si="12"/>
        <v>0</v>
      </c>
      <c r="O97" s="43">
        <f t="shared" si="12"/>
        <v>0</v>
      </c>
      <c r="P97" s="43">
        <f t="shared" si="12"/>
        <v>0</v>
      </c>
      <c r="Q97" s="38"/>
    </row>
    <row r="98" spans="1:34" outlineLevel="1" x14ac:dyDescent="0.25">
      <c r="A98" s="5"/>
      <c r="B98" s="25" t="s">
        <v>128</v>
      </c>
      <c r="C98" s="25" t="s">
        <v>87</v>
      </c>
      <c r="D98" s="25" t="s">
        <v>79</v>
      </c>
      <c r="E98" s="27" t="s">
        <v>80</v>
      </c>
      <c r="F98" s="30">
        <f t="shared" si="11"/>
        <v>0</v>
      </c>
      <c r="G98" s="30">
        <f t="shared" si="11"/>
        <v>0</v>
      </c>
      <c r="H98" s="30">
        <f t="shared" si="11"/>
        <v>0</v>
      </c>
      <c r="I98" s="30">
        <f t="shared" si="11"/>
        <v>0</v>
      </c>
      <c r="J98" s="43">
        <f t="shared" si="12"/>
        <v>0</v>
      </c>
      <c r="K98" s="43">
        <f t="shared" si="12"/>
        <v>0</v>
      </c>
      <c r="L98" s="43">
        <f t="shared" si="12"/>
        <v>0</v>
      </c>
      <c r="M98" s="43">
        <f t="shared" si="12"/>
        <v>0</v>
      </c>
      <c r="N98" s="43">
        <f t="shared" si="12"/>
        <v>0</v>
      </c>
      <c r="O98" s="43">
        <f t="shared" si="12"/>
        <v>0</v>
      </c>
      <c r="P98" s="43">
        <f t="shared" si="12"/>
        <v>0</v>
      </c>
      <c r="Q98" s="38"/>
    </row>
    <row r="99" spans="1:34" outlineLevel="1" x14ac:dyDescent="0.25">
      <c r="A99" s="5"/>
      <c r="B99" s="25" t="s">
        <v>128</v>
      </c>
      <c r="C99" s="25" t="s">
        <v>88</v>
      </c>
      <c r="D99" s="25" t="s">
        <v>79</v>
      </c>
      <c r="E99" s="27" t="s">
        <v>80</v>
      </c>
      <c r="F99" s="30">
        <f t="shared" si="11"/>
        <v>0</v>
      </c>
      <c r="G99" s="30">
        <f t="shared" si="11"/>
        <v>0</v>
      </c>
      <c r="H99" s="30">
        <f t="shared" si="11"/>
        <v>0</v>
      </c>
      <c r="I99" s="30">
        <f t="shared" si="11"/>
        <v>0</v>
      </c>
      <c r="J99" s="43">
        <f t="shared" si="12"/>
        <v>0</v>
      </c>
      <c r="K99" s="43">
        <f t="shared" si="12"/>
        <v>0</v>
      </c>
      <c r="L99" s="43">
        <f t="shared" si="12"/>
        <v>0</v>
      </c>
      <c r="M99" s="43">
        <f t="shared" si="12"/>
        <v>0</v>
      </c>
      <c r="N99" s="43">
        <f t="shared" si="12"/>
        <v>0</v>
      </c>
      <c r="O99" s="43">
        <f t="shared" si="12"/>
        <v>0</v>
      </c>
      <c r="P99" s="43">
        <f t="shared" si="12"/>
        <v>0</v>
      </c>
      <c r="Q99" s="38"/>
    </row>
    <row r="100" spans="1:34" outlineLevel="1" x14ac:dyDescent="0.25">
      <c r="A100" s="5"/>
      <c r="B100" s="25" t="s">
        <v>128</v>
      </c>
      <c r="C100" s="25" t="s">
        <v>89</v>
      </c>
      <c r="D100" s="25" t="s">
        <v>79</v>
      </c>
      <c r="E100" s="27" t="s">
        <v>80</v>
      </c>
      <c r="F100" s="30">
        <f t="shared" si="11"/>
        <v>0</v>
      </c>
      <c r="G100" s="30">
        <f t="shared" si="11"/>
        <v>0</v>
      </c>
      <c r="H100" s="30">
        <f t="shared" si="11"/>
        <v>0</v>
      </c>
      <c r="I100" s="30">
        <f t="shared" si="11"/>
        <v>0</v>
      </c>
      <c r="J100" s="43">
        <f t="shared" si="12"/>
        <v>0</v>
      </c>
      <c r="K100" s="43">
        <f t="shared" si="12"/>
        <v>0</v>
      </c>
      <c r="L100" s="43">
        <f t="shared" si="12"/>
        <v>0</v>
      </c>
      <c r="M100" s="43">
        <f t="shared" si="12"/>
        <v>0</v>
      </c>
      <c r="N100" s="43">
        <f t="shared" si="12"/>
        <v>0</v>
      </c>
      <c r="O100" s="43">
        <f t="shared" si="12"/>
        <v>0</v>
      </c>
      <c r="P100" s="43">
        <f t="shared" si="12"/>
        <v>0</v>
      </c>
      <c r="Q100" s="38"/>
    </row>
    <row r="101" spans="1:34" outlineLevel="1" x14ac:dyDescent="0.25">
      <c r="A101" s="5"/>
      <c r="B101" s="25" t="s">
        <v>128</v>
      </c>
      <c r="C101" s="25" t="s">
        <v>90</v>
      </c>
      <c r="D101" s="25" t="s">
        <v>79</v>
      </c>
      <c r="E101" s="27" t="s">
        <v>80</v>
      </c>
      <c r="F101" s="30">
        <f t="shared" si="11"/>
        <v>0</v>
      </c>
      <c r="G101" s="30">
        <f t="shared" si="11"/>
        <v>0</v>
      </c>
      <c r="H101" s="30">
        <f t="shared" si="11"/>
        <v>0</v>
      </c>
      <c r="I101" s="30">
        <f t="shared" si="11"/>
        <v>0</v>
      </c>
      <c r="J101" s="43">
        <f t="shared" si="12"/>
        <v>0</v>
      </c>
      <c r="K101" s="43">
        <f t="shared" si="12"/>
        <v>0</v>
      </c>
      <c r="L101" s="43">
        <f t="shared" si="12"/>
        <v>0</v>
      </c>
      <c r="M101" s="43">
        <f t="shared" si="12"/>
        <v>0</v>
      </c>
      <c r="N101" s="43">
        <f t="shared" si="12"/>
        <v>0</v>
      </c>
      <c r="O101" s="43">
        <f t="shared" si="12"/>
        <v>0</v>
      </c>
      <c r="P101" s="43">
        <f t="shared" si="12"/>
        <v>0</v>
      </c>
      <c r="Q101" s="38"/>
    </row>
    <row r="102" spans="1:34" outlineLevel="1" x14ac:dyDescent="0.25">
      <c r="A102" s="5"/>
      <c r="B102" s="25" t="s">
        <v>128</v>
      </c>
      <c r="C102" s="25" t="s">
        <v>91</v>
      </c>
      <c r="D102" s="25" t="s">
        <v>79</v>
      </c>
      <c r="E102" s="27" t="s">
        <v>80</v>
      </c>
      <c r="F102" s="30">
        <f t="shared" si="11"/>
        <v>0</v>
      </c>
      <c r="G102" s="30">
        <f t="shared" si="11"/>
        <v>0</v>
      </c>
      <c r="H102" s="30">
        <f t="shared" si="11"/>
        <v>0</v>
      </c>
      <c r="I102" s="30">
        <f t="shared" si="11"/>
        <v>0</v>
      </c>
      <c r="J102" s="43">
        <f t="shared" si="12"/>
        <v>0</v>
      </c>
      <c r="K102" s="43">
        <f t="shared" si="12"/>
        <v>0</v>
      </c>
      <c r="L102" s="43">
        <f t="shared" si="12"/>
        <v>0</v>
      </c>
      <c r="M102" s="43">
        <f t="shared" si="12"/>
        <v>0</v>
      </c>
      <c r="N102" s="43">
        <f t="shared" si="12"/>
        <v>0</v>
      </c>
      <c r="O102" s="43">
        <f t="shared" si="12"/>
        <v>0</v>
      </c>
      <c r="P102" s="43">
        <f t="shared" si="12"/>
        <v>0</v>
      </c>
      <c r="Q102" s="38"/>
    </row>
    <row r="103" spans="1:34" outlineLevel="1" x14ac:dyDescent="0.25">
      <c r="A103" s="5"/>
      <c r="B103" s="25" t="s">
        <v>128</v>
      </c>
      <c r="C103" s="25" t="s">
        <v>92</v>
      </c>
      <c r="D103" s="25" t="s">
        <v>79</v>
      </c>
      <c r="E103" s="27" t="s">
        <v>80</v>
      </c>
      <c r="F103" s="30">
        <f t="shared" si="11"/>
        <v>0</v>
      </c>
      <c r="G103" s="30">
        <f t="shared" si="11"/>
        <v>0</v>
      </c>
      <c r="H103" s="30">
        <f t="shared" si="11"/>
        <v>0</v>
      </c>
      <c r="I103" s="30">
        <f t="shared" si="11"/>
        <v>0</v>
      </c>
      <c r="J103" s="43">
        <f t="shared" si="12"/>
        <v>0</v>
      </c>
      <c r="K103" s="43">
        <f t="shared" si="12"/>
        <v>0</v>
      </c>
      <c r="L103" s="43">
        <f t="shared" si="12"/>
        <v>0</v>
      </c>
      <c r="M103" s="43">
        <f t="shared" si="12"/>
        <v>0</v>
      </c>
      <c r="N103" s="43">
        <f t="shared" si="12"/>
        <v>0</v>
      </c>
      <c r="O103" s="43">
        <f t="shared" si="12"/>
        <v>0</v>
      </c>
      <c r="P103" s="43">
        <f t="shared" si="12"/>
        <v>0</v>
      </c>
      <c r="Q103" s="38"/>
    </row>
    <row r="104" spans="1:34" outlineLevel="1" x14ac:dyDescent="0.25">
      <c r="A104" s="5"/>
      <c r="B104" s="25" t="s">
        <v>128</v>
      </c>
      <c r="C104" s="25" t="s">
        <v>5</v>
      </c>
      <c r="D104" s="25" t="s">
        <v>79</v>
      </c>
      <c r="E104" s="27" t="s">
        <v>80</v>
      </c>
      <c r="F104" s="30">
        <f t="shared" si="11"/>
        <v>102.056</v>
      </c>
      <c r="G104" s="30">
        <f t="shared" si="11"/>
        <v>117.857</v>
      </c>
      <c r="H104" s="30">
        <f t="shared" si="11"/>
        <v>134.34399999999999</v>
      </c>
      <c r="I104" s="30">
        <f t="shared" si="11"/>
        <v>146.977</v>
      </c>
      <c r="J104" s="43">
        <f t="shared" si="12"/>
        <v>148.864</v>
      </c>
      <c r="K104" s="43">
        <f t="shared" si="12"/>
        <v>148.864</v>
      </c>
      <c r="L104" s="43">
        <f t="shared" si="12"/>
        <v>148.864</v>
      </c>
      <c r="M104" s="43">
        <f t="shared" si="12"/>
        <v>148.864</v>
      </c>
      <c r="N104" s="43">
        <f t="shared" si="12"/>
        <v>148.864</v>
      </c>
      <c r="O104" s="43">
        <f t="shared" si="12"/>
        <v>148.864</v>
      </c>
      <c r="P104" s="43">
        <f t="shared" si="12"/>
        <v>148.864</v>
      </c>
      <c r="Q104" s="38"/>
      <c r="R104" s="40">
        <v>102.056</v>
      </c>
      <c r="S104" s="40">
        <v>104.72199999999999</v>
      </c>
      <c r="T104" s="40">
        <v>107.886</v>
      </c>
      <c r="U104" s="40">
        <v>111.19499999999999</v>
      </c>
      <c r="V104" s="40">
        <v>114.343</v>
      </c>
      <c r="W104" s="40">
        <v>117.857</v>
      </c>
      <c r="X104" s="40">
        <v>121.78400000000001</v>
      </c>
      <c r="Y104" s="40">
        <v>126.12</v>
      </c>
      <c r="Z104" s="40">
        <v>129.46100000000001</v>
      </c>
      <c r="AA104" s="40">
        <v>131.619</v>
      </c>
      <c r="AB104" s="40">
        <v>134.34399999999999</v>
      </c>
      <c r="AC104" s="40">
        <v>136.792</v>
      </c>
      <c r="AD104" s="40">
        <v>139.107</v>
      </c>
      <c r="AE104" s="40">
        <v>141.86600000000001</v>
      </c>
      <c r="AF104" s="40">
        <v>144.78100000000001</v>
      </c>
      <c r="AG104" s="40">
        <v>146.977</v>
      </c>
      <c r="AH104" s="40">
        <v>148.864</v>
      </c>
    </row>
    <row r="105" spans="1:34" outlineLevel="1" x14ac:dyDescent="0.25">
      <c r="A105" s="5"/>
      <c r="B105" s="25" t="s">
        <v>128</v>
      </c>
      <c r="C105" s="25" t="s">
        <v>61</v>
      </c>
      <c r="D105" s="25" t="s">
        <v>79</v>
      </c>
      <c r="E105" s="27" t="s">
        <v>80</v>
      </c>
      <c r="F105" s="30">
        <f t="shared" si="11"/>
        <v>0</v>
      </c>
      <c r="G105" s="30">
        <f t="shared" si="11"/>
        <v>0</v>
      </c>
      <c r="H105" s="30">
        <f t="shared" si="11"/>
        <v>0</v>
      </c>
      <c r="I105" s="30">
        <f t="shared" si="11"/>
        <v>0</v>
      </c>
      <c r="J105" s="43">
        <f t="shared" si="12"/>
        <v>0</v>
      </c>
      <c r="K105" s="43">
        <f t="shared" si="12"/>
        <v>0</v>
      </c>
      <c r="L105" s="43">
        <f t="shared" si="12"/>
        <v>0</v>
      </c>
      <c r="M105" s="43">
        <f t="shared" si="12"/>
        <v>0</v>
      </c>
      <c r="N105" s="43">
        <f t="shared" si="12"/>
        <v>0</v>
      </c>
      <c r="O105" s="43">
        <f t="shared" si="12"/>
        <v>0</v>
      </c>
      <c r="P105" s="43">
        <f t="shared" si="12"/>
        <v>0</v>
      </c>
      <c r="Q105" s="38"/>
      <c r="R105" s="40"/>
      <c r="S105" s="40"/>
      <c r="T105" s="40"/>
      <c r="U105" s="40"/>
      <c r="V105" s="40"/>
      <c r="W105" s="40"/>
      <c r="X105" s="40"/>
      <c r="Y105" s="40"/>
      <c r="Z105" s="40"/>
      <c r="AA105" s="40"/>
      <c r="AB105" s="40"/>
      <c r="AC105" s="40"/>
      <c r="AD105" s="40"/>
      <c r="AE105" s="40"/>
      <c r="AF105" s="40"/>
      <c r="AG105" s="40"/>
      <c r="AH105" s="40"/>
    </row>
    <row r="106" spans="1:34" outlineLevel="1" x14ac:dyDescent="0.25">
      <c r="A106" s="5"/>
      <c r="B106" s="25" t="s">
        <v>128</v>
      </c>
      <c r="C106" s="25" t="s">
        <v>93</v>
      </c>
      <c r="D106" s="25" t="s">
        <v>79</v>
      </c>
      <c r="E106" s="27" t="s">
        <v>80</v>
      </c>
      <c r="F106" s="30">
        <f t="shared" si="11"/>
        <v>0</v>
      </c>
      <c r="G106" s="30">
        <f t="shared" si="11"/>
        <v>0</v>
      </c>
      <c r="H106" s="30">
        <f t="shared" si="11"/>
        <v>0</v>
      </c>
      <c r="I106" s="30">
        <f t="shared" si="11"/>
        <v>0</v>
      </c>
      <c r="J106" s="43">
        <f t="shared" si="12"/>
        <v>0</v>
      </c>
      <c r="K106" s="43">
        <f t="shared" si="12"/>
        <v>0</v>
      </c>
      <c r="L106" s="43">
        <f t="shared" si="12"/>
        <v>0</v>
      </c>
      <c r="M106" s="43">
        <f t="shared" si="12"/>
        <v>0</v>
      </c>
      <c r="N106" s="43">
        <f t="shared" si="12"/>
        <v>0</v>
      </c>
      <c r="O106" s="43">
        <f t="shared" si="12"/>
        <v>0</v>
      </c>
      <c r="P106" s="43">
        <f t="shared" si="12"/>
        <v>0</v>
      </c>
      <c r="Q106" s="38"/>
      <c r="R106" s="40"/>
      <c r="S106" s="40"/>
      <c r="T106" s="40"/>
      <c r="U106" s="40"/>
      <c r="V106" s="40"/>
      <c r="W106" s="40"/>
      <c r="X106" s="40"/>
      <c r="Y106" s="40"/>
      <c r="Z106" s="40"/>
      <c r="AA106" s="40"/>
      <c r="AB106" s="40"/>
      <c r="AC106" s="40"/>
      <c r="AD106" s="40"/>
      <c r="AE106" s="40"/>
      <c r="AF106" s="40"/>
      <c r="AG106" s="40"/>
      <c r="AH106" s="40"/>
    </row>
    <row r="107" spans="1:34" outlineLevel="1" x14ac:dyDescent="0.25">
      <c r="A107" s="5"/>
      <c r="B107" s="25" t="s">
        <v>128</v>
      </c>
      <c r="C107" s="25" t="s">
        <v>95</v>
      </c>
      <c r="D107" s="25" t="s">
        <v>79</v>
      </c>
      <c r="E107" s="27" t="s">
        <v>80</v>
      </c>
      <c r="F107" s="30">
        <f t="shared" si="11"/>
        <v>0</v>
      </c>
      <c r="G107" s="30">
        <f t="shared" si="11"/>
        <v>0</v>
      </c>
      <c r="H107" s="30">
        <f t="shared" si="11"/>
        <v>0</v>
      </c>
      <c r="I107" s="30">
        <f t="shared" si="11"/>
        <v>0</v>
      </c>
      <c r="J107" s="43">
        <f t="shared" si="12"/>
        <v>0</v>
      </c>
      <c r="K107" s="43">
        <f t="shared" si="12"/>
        <v>0</v>
      </c>
      <c r="L107" s="43">
        <f t="shared" si="12"/>
        <v>0</v>
      </c>
      <c r="M107" s="43">
        <f t="shared" si="12"/>
        <v>0</v>
      </c>
      <c r="N107" s="43">
        <f t="shared" si="12"/>
        <v>0</v>
      </c>
      <c r="O107" s="43">
        <f t="shared" si="12"/>
        <v>0</v>
      </c>
      <c r="P107" s="43">
        <f t="shared" si="12"/>
        <v>0</v>
      </c>
      <c r="Q107" s="38"/>
      <c r="R107" s="40"/>
      <c r="S107" s="40"/>
      <c r="T107" s="40"/>
      <c r="U107" s="40"/>
      <c r="V107" s="40"/>
      <c r="W107" s="40"/>
      <c r="X107" s="40"/>
      <c r="Y107" s="40"/>
      <c r="Z107" s="40"/>
      <c r="AA107" s="40"/>
      <c r="AB107" s="40"/>
      <c r="AC107" s="40"/>
      <c r="AD107" s="40"/>
      <c r="AE107" s="40"/>
      <c r="AF107" s="40"/>
      <c r="AG107" s="40"/>
      <c r="AH107" s="40"/>
    </row>
    <row r="108" spans="1:34" outlineLevel="1" x14ac:dyDescent="0.25">
      <c r="A108" s="5"/>
      <c r="B108" s="25" t="s">
        <v>128</v>
      </c>
      <c r="C108" s="25" t="s">
        <v>94</v>
      </c>
      <c r="D108" s="25" t="s">
        <v>79</v>
      </c>
      <c r="E108" s="27" t="s">
        <v>80</v>
      </c>
      <c r="F108" s="30">
        <f t="shared" si="11"/>
        <v>0</v>
      </c>
      <c r="G108" s="30">
        <f t="shared" si="11"/>
        <v>0</v>
      </c>
      <c r="H108" s="30">
        <f t="shared" si="11"/>
        <v>0</v>
      </c>
      <c r="I108" s="30">
        <f t="shared" si="11"/>
        <v>0</v>
      </c>
      <c r="J108" s="43">
        <f t="shared" si="12"/>
        <v>0</v>
      </c>
      <c r="K108" s="43">
        <f t="shared" si="12"/>
        <v>0</v>
      </c>
      <c r="L108" s="43">
        <f t="shared" si="12"/>
        <v>0</v>
      </c>
      <c r="M108" s="43">
        <f t="shared" si="12"/>
        <v>0</v>
      </c>
      <c r="N108" s="43">
        <f t="shared" si="12"/>
        <v>0</v>
      </c>
      <c r="O108" s="43">
        <f t="shared" si="12"/>
        <v>0</v>
      </c>
      <c r="P108" s="43">
        <f t="shared" si="12"/>
        <v>0</v>
      </c>
      <c r="Q108" s="38"/>
    </row>
    <row r="109" spans="1:34" outlineLevel="1" x14ac:dyDescent="0.25">
      <c r="A109" s="5"/>
      <c r="B109" s="25" t="s">
        <v>129</v>
      </c>
      <c r="C109" s="25" t="s">
        <v>48</v>
      </c>
      <c r="D109" s="25" t="s">
        <v>79</v>
      </c>
      <c r="E109" s="27" t="s">
        <v>80</v>
      </c>
      <c r="F109" s="30">
        <f t="shared" si="11"/>
        <v>0</v>
      </c>
      <c r="G109" s="30">
        <f t="shared" si="11"/>
        <v>0</v>
      </c>
      <c r="H109" s="30">
        <f t="shared" si="11"/>
        <v>0</v>
      </c>
      <c r="I109" s="30">
        <f t="shared" si="11"/>
        <v>0</v>
      </c>
      <c r="J109" s="43">
        <f t="shared" si="12"/>
        <v>0</v>
      </c>
      <c r="K109" s="43">
        <f t="shared" si="12"/>
        <v>0</v>
      </c>
      <c r="L109" s="43">
        <f t="shared" si="12"/>
        <v>0</v>
      </c>
      <c r="M109" s="43">
        <f t="shared" si="12"/>
        <v>0</v>
      </c>
      <c r="N109" s="43">
        <f t="shared" si="12"/>
        <v>0</v>
      </c>
      <c r="O109" s="43">
        <f t="shared" si="12"/>
        <v>0</v>
      </c>
      <c r="P109" s="43">
        <f t="shared" si="12"/>
        <v>0</v>
      </c>
      <c r="Q109" s="38"/>
    </row>
    <row r="110" spans="1:34" outlineLevel="1" x14ac:dyDescent="0.25">
      <c r="A110" s="5"/>
      <c r="B110" s="25" t="s">
        <v>129</v>
      </c>
      <c r="C110" s="13" t="s">
        <v>85</v>
      </c>
      <c r="D110" s="25" t="s">
        <v>79</v>
      </c>
      <c r="E110" s="27" t="s">
        <v>80</v>
      </c>
      <c r="F110" s="30">
        <f t="shared" si="11"/>
        <v>0</v>
      </c>
      <c r="G110" s="30">
        <f t="shared" si="11"/>
        <v>0</v>
      </c>
      <c r="H110" s="30">
        <f t="shared" si="11"/>
        <v>0</v>
      </c>
      <c r="I110" s="30">
        <f t="shared" si="11"/>
        <v>0</v>
      </c>
      <c r="J110" s="43">
        <f t="shared" si="12"/>
        <v>0</v>
      </c>
      <c r="K110" s="43">
        <f t="shared" si="12"/>
        <v>0</v>
      </c>
      <c r="L110" s="43">
        <f t="shared" si="12"/>
        <v>0</v>
      </c>
      <c r="M110" s="43">
        <f t="shared" si="12"/>
        <v>0</v>
      </c>
      <c r="N110" s="43">
        <f t="shared" si="12"/>
        <v>0</v>
      </c>
      <c r="O110" s="43">
        <f t="shared" si="12"/>
        <v>0</v>
      </c>
      <c r="P110" s="43">
        <f t="shared" si="12"/>
        <v>0</v>
      </c>
      <c r="Q110" s="38"/>
    </row>
    <row r="111" spans="1:34" outlineLevel="1" x14ac:dyDescent="0.25">
      <c r="A111" s="5"/>
      <c r="B111" s="25" t="s">
        <v>129</v>
      </c>
      <c r="C111" s="25" t="s">
        <v>86</v>
      </c>
      <c r="D111" s="25" t="s">
        <v>79</v>
      </c>
      <c r="E111" s="27" t="s">
        <v>80</v>
      </c>
      <c r="F111" s="30">
        <f t="shared" ref="F111:I126" si="13">INDEX($R111:$BZ111,MATCH(F$1,$R$1:$BZ$1,0))</f>
        <v>0</v>
      </c>
      <c r="G111" s="30">
        <f t="shared" si="13"/>
        <v>0</v>
      </c>
      <c r="H111" s="30">
        <f t="shared" si="13"/>
        <v>0</v>
      </c>
      <c r="I111" s="30">
        <f t="shared" si="13"/>
        <v>0</v>
      </c>
      <c r="J111" s="43">
        <f t="shared" si="12"/>
        <v>0</v>
      </c>
      <c r="K111" s="43">
        <f t="shared" si="12"/>
        <v>0</v>
      </c>
      <c r="L111" s="43">
        <f t="shared" si="12"/>
        <v>0</v>
      </c>
      <c r="M111" s="43">
        <f t="shared" si="12"/>
        <v>0</v>
      </c>
      <c r="N111" s="43">
        <f t="shared" si="12"/>
        <v>0</v>
      </c>
      <c r="O111" s="43">
        <f t="shared" si="12"/>
        <v>0</v>
      </c>
      <c r="P111" s="43">
        <f t="shared" si="12"/>
        <v>0</v>
      </c>
      <c r="Q111" s="38"/>
    </row>
    <row r="112" spans="1:34" outlineLevel="1" x14ac:dyDescent="0.25">
      <c r="A112" s="5"/>
      <c r="B112" s="25" t="s">
        <v>129</v>
      </c>
      <c r="C112" s="25" t="s">
        <v>87</v>
      </c>
      <c r="D112" s="25" t="s">
        <v>79</v>
      </c>
      <c r="E112" s="27" t="s">
        <v>80</v>
      </c>
      <c r="F112" s="30">
        <f t="shared" si="13"/>
        <v>0</v>
      </c>
      <c r="G112" s="30">
        <f t="shared" si="13"/>
        <v>0</v>
      </c>
      <c r="H112" s="30">
        <f t="shared" si="13"/>
        <v>0</v>
      </c>
      <c r="I112" s="30">
        <f t="shared" si="13"/>
        <v>0</v>
      </c>
      <c r="J112" s="43">
        <f t="shared" si="12"/>
        <v>0</v>
      </c>
      <c r="K112" s="43">
        <f t="shared" si="12"/>
        <v>0</v>
      </c>
      <c r="L112" s="43">
        <f t="shared" si="12"/>
        <v>0</v>
      </c>
      <c r="M112" s="43">
        <f t="shared" si="12"/>
        <v>0</v>
      </c>
      <c r="N112" s="43">
        <f t="shared" si="12"/>
        <v>0</v>
      </c>
      <c r="O112" s="43">
        <f t="shared" si="12"/>
        <v>0</v>
      </c>
      <c r="P112" s="43">
        <f t="shared" si="12"/>
        <v>0</v>
      </c>
      <c r="Q112" s="38"/>
    </row>
    <row r="113" spans="1:34" outlineLevel="1" x14ac:dyDescent="0.25">
      <c r="A113" s="5"/>
      <c r="B113" s="25" t="s">
        <v>129</v>
      </c>
      <c r="C113" s="25" t="s">
        <v>88</v>
      </c>
      <c r="D113" s="25" t="s">
        <v>79</v>
      </c>
      <c r="E113" s="27" t="s">
        <v>80</v>
      </c>
      <c r="F113" s="30">
        <f t="shared" si="13"/>
        <v>0</v>
      </c>
      <c r="G113" s="30">
        <f t="shared" si="13"/>
        <v>0</v>
      </c>
      <c r="H113" s="30">
        <f t="shared" si="13"/>
        <v>0</v>
      </c>
      <c r="I113" s="30">
        <f t="shared" si="13"/>
        <v>0</v>
      </c>
      <c r="J113" s="43">
        <f t="shared" si="12"/>
        <v>0</v>
      </c>
      <c r="K113" s="43">
        <f t="shared" si="12"/>
        <v>0</v>
      </c>
      <c r="L113" s="43">
        <f t="shared" si="12"/>
        <v>0</v>
      </c>
      <c r="M113" s="43">
        <f t="shared" si="12"/>
        <v>0</v>
      </c>
      <c r="N113" s="43">
        <f t="shared" si="12"/>
        <v>0</v>
      </c>
      <c r="O113" s="43">
        <f t="shared" si="12"/>
        <v>0</v>
      </c>
      <c r="P113" s="43">
        <f t="shared" si="12"/>
        <v>0</v>
      </c>
      <c r="Q113" s="38"/>
    </row>
    <row r="114" spans="1:34" outlineLevel="1" x14ac:dyDescent="0.25">
      <c r="A114" s="5"/>
      <c r="B114" s="25" t="s">
        <v>129</v>
      </c>
      <c r="C114" s="25" t="s">
        <v>89</v>
      </c>
      <c r="D114" s="25" t="s">
        <v>79</v>
      </c>
      <c r="E114" s="27" t="s">
        <v>80</v>
      </c>
      <c r="F114" s="30">
        <f t="shared" si="13"/>
        <v>0</v>
      </c>
      <c r="G114" s="30">
        <f t="shared" si="13"/>
        <v>0</v>
      </c>
      <c r="H114" s="30">
        <f t="shared" si="13"/>
        <v>0</v>
      </c>
      <c r="I114" s="30">
        <f t="shared" si="13"/>
        <v>0</v>
      </c>
      <c r="J114" s="43">
        <f t="shared" si="12"/>
        <v>0</v>
      </c>
      <c r="K114" s="43">
        <f t="shared" si="12"/>
        <v>0</v>
      </c>
      <c r="L114" s="43">
        <f t="shared" si="12"/>
        <v>0</v>
      </c>
      <c r="M114" s="43">
        <f t="shared" si="12"/>
        <v>0</v>
      </c>
      <c r="N114" s="43">
        <f t="shared" si="12"/>
        <v>0</v>
      </c>
      <c r="O114" s="43">
        <f t="shared" si="12"/>
        <v>0</v>
      </c>
      <c r="P114" s="43">
        <f t="shared" si="12"/>
        <v>0</v>
      </c>
      <c r="Q114" s="38"/>
    </row>
    <row r="115" spans="1:34" outlineLevel="1" x14ac:dyDescent="0.25">
      <c r="A115" s="5"/>
      <c r="B115" s="25" t="s">
        <v>129</v>
      </c>
      <c r="C115" s="25" t="s">
        <v>90</v>
      </c>
      <c r="D115" s="25" t="s">
        <v>79</v>
      </c>
      <c r="E115" s="27" t="s">
        <v>80</v>
      </c>
      <c r="F115" s="30">
        <f t="shared" si="13"/>
        <v>0</v>
      </c>
      <c r="G115" s="30">
        <f t="shared" si="13"/>
        <v>0</v>
      </c>
      <c r="H115" s="30">
        <f t="shared" si="13"/>
        <v>0</v>
      </c>
      <c r="I115" s="30">
        <f t="shared" si="13"/>
        <v>0</v>
      </c>
      <c r="J115" s="43">
        <f t="shared" si="12"/>
        <v>0</v>
      </c>
      <c r="K115" s="43">
        <f t="shared" si="12"/>
        <v>0</v>
      </c>
      <c r="L115" s="43">
        <f t="shared" si="12"/>
        <v>0</v>
      </c>
      <c r="M115" s="43">
        <f t="shared" si="12"/>
        <v>0</v>
      </c>
      <c r="N115" s="43">
        <f t="shared" si="12"/>
        <v>0</v>
      </c>
      <c r="O115" s="43">
        <f t="shared" si="12"/>
        <v>0</v>
      </c>
      <c r="P115" s="43">
        <f t="shared" si="12"/>
        <v>0</v>
      </c>
      <c r="Q115" s="38"/>
    </row>
    <row r="116" spans="1:34" outlineLevel="1" x14ac:dyDescent="0.25">
      <c r="A116" s="5"/>
      <c r="B116" s="25" t="s">
        <v>129</v>
      </c>
      <c r="C116" s="25" t="s">
        <v>91</v>
      </c>
      <c r="D116" s="25" t="s">
        <v>79</v>
      </c>
      <c r="E116" s="27" t="s">
        <v>80</v>
      </c>
      <c r="F116" s="30">
        <f t="shared" si="13"/>
        <v>0</v>
      </c>
      <c r="G116" s="30">
        <f t="shared" si="13"/>
        <v>0</v>
      </c>
      <c r="H116" s="30">
        <f t="shared" si="13"/>
        <v>0</v>
      </c>
      <c r="I116" s="30">
        <f t="shared" si="13"/>
        <v>0</v>
      </c>
      <c r="J116" s="43">
        <f t="shared" si="12"/>
        <v>0</v>
      </c>
      <c r="K116" s="43">
        <f t="shared" si="12"/>
        <v>0</v>
      </c>
      <c r="L116" s="43">
        <f t="shared" si="12"/>
        <v>0</v>
      </c>
      <c r="M116" s="43">
        <f t="shared" si="12"/>
        <v>0</v>
      </c>
      <c r="N116" s="43">
        <f t="shared" si="12"/>
        <v>0</v>
      </c>
      <c r="O116" s="43">
        <f t="shared" si="12"/>
        <v>0</v>
      </c>
      <c r="P116" s="43">
        <f t="shared" si="12"/>
        <v>0</v>
      </c>
      <c r="Q116" s="38"/>
    </row>
    <row r="117" spans="1:34" outlineLevel="1" x14ac:dyDescent="0.25">
      <c r="A117" s="5"/>
      <c r="B117" s="25" t="s">
        <v>129</v>
      </c>
      <c r="C117" s="25" t="s">
        <v>92</v>
      </c>
      <c r="D117" s="25" t="s">
        <v>79</v>
      </c>
      <c r="E117" s="27" t="s">
        <v>80</v>
      </c>
      <c r="F117" s="30">
        <f t="shared" si="13"/>
        <v>0</v>
      </c>
      <c r="G117" s="30">
        <f t="shared" si="13"/>
        <v>0</v>
      </c>
      <c r="H117" s="30">
        <f t="shared" si="13"/>
        <v>0</v>
      </c>
      <c r="I117" s="30">
        <f t="shared" si="13"/>
        <v>0</v>
      </c>
      <c r="J117" s="43">
        <f t="shared" si="12"/>
        <v>0</v>
      </c>
      <c r="K117" s="43">
        <f t="shared" si="12"/>
        <v>0</v>
      </c>
      <c r="L117" s="43">
        <f t="shared" si="12"/>
        <v>0</v>
      </c>
      <c r="M117" s="43">
        <f t="shared" si="12"/>
        <v>0</v>
      </c>
      <c r="N117" s="43">
        <f t="shared" si="12"/>
        <v>0</v>
      </c>
      <c r="O117" s="43">
        <f t="shared" si="12"/>
        <v>0</v>
      </c>
      <c r="P117" s="43">
        <f t="shared" si="12"/>
        <v>0</v>
      </c>
      <c r="Q117" s="38"/>
    </row>
    <row r="118" spans="1:34" outlineLevel="1" x14ac:dyDescent="0.25">
      <c r="A118" s="5"/>
      <c r="B118" s="25" t="s">
        <v>129</v>
      </c>
      <c r="C118" s="25" t="s">
        <v>5</v>
      </c>
      <c r="D118" s="25" t="s">
        <v>79</v>
      </c>
      <c r="E118" s="27" t="s">
        <v>80</v>
      </c>
      <c r="F118" s="30">
        <f t="shared" si="13"/>
        <v>14.111000000000001</v>
      </c>
      <c r="G118" s="30">
        <f t="shared" si="13"/>
        <v>17.201000000000001</v>
      </c>
      <c r="H118" s="30">
        <f t="shared" si="13"/>
        <v>21.187999999999999</v>
      </c>
      <c r="I118" s="30">
        <f t="shared" si="13"/>
        <v>26.67</v>
      </c>
      <c r="J118" s="43">
        <f t="shared" si="12"/>
        <v>27.663</v>
      </c>
      <c r="K118" s="43">
        <f t="shared" si="12"/>
        <v>27.663</v>
      </c>
      <c r="L118" s="43">
        <f t="shared" si="12"/>
        <v>27.663</v>
      </c>
      <c r="M118" s="43">
        <f t="shared" si="12"/>
        <v>27.663</v>
      </c>
      <c r="N118" s="43">
        <f t="shared" si="12"/>
        <v>27.663</v>
      </c>
      <c r="O118" s="43">
        <f t="shared" si="12"/>
        <v>27.663</v>
      </c>
      <c r="P118" s="43">
        <f t="shared" si="12"/>
        <v>27.663</v>
      </c>
      <c r="Q118" s="38"/>
      <c r="R118" s="40">
        <v>14.111000000000001</v>
      </c>
      <c r="S118" s="40">
        <v>14.555999999999999</v>
      </c>
      <c r="T118" s="40">
        <v>15.145</v>
      </c>
      <c r="U118" s="40">
        <v>15.792</v>
      </c>
      <c r="V118" s="40">
        <v>16.510999999999999</v>
      </c>
      <c r="W118" s="40">
        <v>17.201000000000001</v>
      </c>
      <c r="X118" s="40">
        <v>17.952000000000002</v>
      </c>
      <c r="Y118" s="40">
        <v>18.838999999999999</v>
      </c>
      <c r="Z118" s="40">
        <v>19.792999999999999</v>
      </c>
      <c r="AA118" s="40">
        <v>20.452999999999999</v>
      </c>
      <c r="AB118" s="40">
        <v>21.187999999999999</v>
      </c>
      <c r="AC118" s="40">
        <v>21.949000000000002</v>
      </c>
      <c r="AD118" s="40">
        <v>22.815999999999999</v>
      </c>
      <c r="AE118" s="40">
        <v>24.007000000000001</v>
      </c>
      <c r="AF118" s="40">
        <v>25.396999999999998</v>
      </c>
      <c r="AG118" s="40">
        <v>26.67</v>
      </c>
      <c r="AH118" s="40">
        <v>27.663</v>
      </c>
    </row>
    <row r="119" spans="1:34" outlineLevel="1" x14ac:dyDescent="0.25">
      <c r="A119" s="5"/>
      <c r="B119" s="25" t="s">
        <v>129</v>
      </c>
      <c r="C119" s="25" t="s">
        <v>61</v>
      </c>
      <c r="D119" s="25" t="s">
        <v>79</v>
      </c>
      <c r="E119" s="27" t="s">
        <v>80</v>
      </c>
      <c r="F119" s="30">
        <f t="shared" si="13"/>
        <v>0</v>
      </c>
      <c r="G119" s="30">
        <f t="shared" si="13"/>
        <v>0</v>
      </c>
      <c r="H119" s="30">
        <f t="shared" si="13"/>
        <v>0</v>
      </c>
      <c r="I119" s="30">
        <f t="shared" si="13"/>
        <v>0</v>
      </c>
      <c r="J119" s="43">
        <f t="shared" si="12"/>
        <v>0</v>
      </c>
      <c r="K119" s="43">
        <f t="shared" si="12"/>
        <v>0</v>
      </c>
      <c r="L119" s="43">
        <f t="shared" si="12"/>
        <v>0</v>
      </c>
      <c r="M119" s="43">
        <f t="shared" si="12"/>
        <v>0</v>
      </c>
      <c r="N119" s="43">
        <f t="shared" si="12"/>
        <v>0</v>
      </c>
      <c r="O119" s="43">
        <f t="shared" si="12"/>
        <v>0</v>
      </c>
      <c r="P119" s="43">
        <f t="shared" si="12"/>
        <v>0</v>
      </c>
      <c r="Q119" s="38"/>
      <c r="R119" s="40"/>
      <c r="S119" s="40"/>
      <c r="T119" s="40"/>
      <c r="U119" s="40"/>
      <c r="V119" s="40"/>
      <c r="W119" s="40"/>
      <c r="X119" s="40"/>
      <c r="Y119" s="40"/>
      <c r="Z119" s="40"/>
      <c r="AA119" s="40"/>
      <c r="AB119" s="40"/>
      <c r="AC119" s="40"/>
      <c r="AD119" s="40"/>
      <c r="AE119" s="40"/>
      <c r="AF119" s="40"/>
      <c r="AG119" s="40"/>
      <c r="AH119" s="40"/>
    </row>
    <row r="120" spans="1:34" outlineLevel="1" x14ac:dyDescent="0.25">
      <c r="A120" s="5"/>
      <c r="B120" s="25" t="s">
        <v>129</v>
      </c>
      <c r="C120" s="25" t="s">
        <v>93</v>
      </c>
      <c r="D120" s="25" t="s">
        <v>79</v>
      </c>
      <c r="E120" s="27" t="s">
        <v>80</v>
      </c>
      <c r="F120" s="30">
        <f t="shared" si="13"/>
        <v>0</v>
      </c>
      <c r="G120" s="30">
        <f t="shared" si="13"/>
        <v>0</v>
      </c>
      <c r="H120" s="30">
        <f t="shared" si="13"/>
        <v>0</v>
      </c>
      <c r="I120" s="30">
        <f t="shared" si="13"/>
        <v>0</v>
      </c>
      <c r="J120" s="43">
        <f t="shared" si="12"/>
        <v>0</v>
      </c>
      <c r="K120" s="43">
        <f t="shared" si="12"/>
        <v>0</v>
      </c>
      <c r="L120" s="43">
        <f t="shared" si="12"/>
        <v>0</v>
      </c>
      <c r="M120" s="43">
        <f t="shared" si="12"/>
        <v>0</v>
      </c>
      <c r="N120" s="43">
        <f t="shared" si="12"/>
        <v>0</v>
      </c>
      <c r="O120" s="43">
        <f t="shared" si="12"/>
        <v>0</v>
      </c>
      <c r="P120" s="43">
        <f t="shared" si="12"/>
        <v>0</v>
      </c>
      <c r="Q120" s="38"/>
      <c r="R120" s="40"/>
      <c r="S120" s="40"/>
      <c r="T120" s="40"/>
      <c r="U120" s="40"/>
      <c r="V120" s="40"/>
      <c r="W120" s="40"/>
      <c r="X120" s="40"/>
      <c r="Y120" s="40"/>
      <c r="Z120" s="40"/>
      <c r="AA120" s="40"/>
      <c r="AB120" s="40"/>
      <c r="AC120" s="40"/>
      <c r="AD120" s="40"/>
      <c r="AE120" s="40"/>
      <c r="AF120" s="40"/>
      <c r="AG120" s="40"/>
      <c r="AH120" s="40"/>
    </row>
    <row r="121" spans="1:34" outlineLevel="1" x14ac:dyDescent="0.25">
      <c r="A121" s="5"/>
      <c r="B121" s="25" t="s">
        <v>129</v>
      </c>
      <c r="C121" s="25" t="s">
        <v>95</v>
      </c>
      <c r="D121" s="25" t="s">
        <v>79</v>
      </c>
      <c r="E121" s="27" t="s">
        <v>80</v>
      </c>
      <c r="F121" s="30">
        <f t="shared" si="13"/>
        <v>0</v>
      </c>
      <c r="G121" s="30">
        <f t="shared" si="13"/>
        <v>0</v>
      </c>
      <c r="H121" s="30">
        <f t="shared" si="13"/>
        <v>0</v>
      </c>
      <c r="I121" s="30">
        <f t="shared" si="13"/>
        <v>0</v>
      </c>
      <c r="J121" s="43">
        <f t="shared" si="12"/>
        <v>0</v>
      </c>
      <c r="K121" s="43">
        <f t="shared" si="12"/>
        <v>0</v>
      </c>
      <c r="L121" s="43">
        <f t="shared" si="12"/>
        <v>0</v>
      </c>
      <c r="M121" s="43">
        <f t="shared" si="12"/>
        <v>0</v>
      </c>
      <c r="N121" s="43">
        <f t="shared" si="12"/>
        <v>0</v>
      </c>
      <c r="O121" s="43">
        <f t="shared" si="12"/>
        <v>0</v>
      </c>
      <c r="P121" s="43">
        <f t="shared" si="12"/>
        <v>0</v>
      </c>
      <c r="Q121" s="38"/>
      <c r="R121" s="40"/>
      <c r="S121" s="40"/>
      <c r="T121" s="40"/>
      <c r="U121" s="40"/>
      <c r="V121" s="40"/>
      <c r="W121" s="40"/>
      <c r="X121" s="40"/>
      <c r="Y121" s="40"/>
      <c r="Z121" s="40"/>
      <c r="AA121" s="40"/>
      <c r="AB121" s="40"/>
      <c r="AC121" s="40"/>
      <c r="AD121" s="40"/>
      <c r="AE121" s="40"/>
      <c r="AF121" s="40"/>
      <c r="AG121" s="40"/>
      <c r="AH121" s="40"/>
    </row>
    <row r="122" spans="1:34" outlineLevel="1" x14ac:dyDescent="0.25">
      <c r="A122" s="5"/>
      <c r="B122" s="25" t="s">
        <v>129</v>
      </c>
      <c r="C122" s="25" t="s">
        <v>94</v>
      </c>
      <c r="D122" s="25" t="s">
        <v>79</v>
      </c>
      <c r="E122" s="27" t="s">
        <v>80</v>
      </c>
      <c r="F122" s="30">
        <f t="shared" si="13"/>
        <v>0</v>
      </c>
      <c r="G122" s="30">
        <f t="shared" si="13"/>
        <v>0</v>
      </c>
      <c r="H122" s="30">
        <f t="shared" si="13"/>
        <v>0</v>
      </c>
      <c r="I122" s="30">
        <f t="shared" si="13"/>
        <v>0</v>
      </c>
      <c r="J122" s="43">
        <f t="shared" si="12"/>
        <v>0</v>
      </c>
      <c r="K122" s="43">
        <f t="shared" si="12"/>
        <v>0</v>
      </c>
      <c r="L122" s="43">
        <f t="shared" si="12"/>
        <v>0</v>
      </c>
      <c r="M122" s="43">
        <f t="shared" si="12"/>
        <v>0</v>
      </c>
      <c r="N122" s="43">
        <f t="shared" si="12"/>
        <v>0</v>
      </c>
      <c r="O122" s="43">
        <f t="shared" si="12"/>
        <v>0</v>
      </c>
      <c r="P122" s="43">
        <f t="shared" si="12"/>
        <v>0</v>
      </c>
      <c r="Q122" s="38"/>
    </row>
    <row r="123" spans="1:34" outlineLevel="1" x14ac:dyDescent="0.25">
      <c r="A123" s="5"/>
      <c r="B123" s="25" t="s">
        <v>25</v>
      </c>
      <c r="C123" s="25" t="s">
        <v>48</v>
      </c>
      <c r="D123" s="25" t="s">
        <v>79</v>
      </c>
      <c r="E123" s="27" t="s">
        <v>80</v>
      </c>
      <c r="F123" s="30">
        <f t="shared" si="13"/>
        <v>0</v>
      </c>
      <c r="G123" s="30">
        <f t="shared" si="13"/>
        <v>0</v>
      </c>
      <c r="H123" s="30">
        <f t="shared" si="13"/>
        <v>0</v>
      </c>
      <c r="I123" s="30">
        <f t="shared" si="13"/>
        <v>0</v>
      </c>
      <c r="J123" s="43">
        <f t="shared" si="12"/>
        <v>0</v>
      </c>
      <c r="K123" s="43">
        <f t="shared" si="12"/>
        <v>0</v>
      </c>
      <c r="L123" s="43">
        <f t="shared" si="12"/>
        <v>0</v>
      </c>
      <c r="M123" s="43">
        <f t="shared" si="12"/>
        <v>0</v>
      </c>
      <c r="N123" s="43">
        <f t="shared" si="12"/>
        <v>0</v>
      </c>
      <c r="O123" s="43">
        <f t="shared" si="12"/>
        <v>0</v>
      </c>
      <c r="P123" s="43">
        <f t="shared" si="12"/>
        <v>0</v>
      </c>
      <c r="Q123" s="38"/>
    </row>
    <row r="124" spans="1:34" outlineLevel="1" x14ac:dyDescent="0.25">
      <c r="A124" s="5"/>
      <c r="B124" s="25" t="s">
        <v>25</v>
      </c>
      <c r="C124" s="13" t="s">
        <v>85</v>
      </c>
      <c r="D124" s="25" t="s">
        <v>79</v>
      </c>
      <c r="E124" s="27" t="s">
        <v>80</v>
      </c>
      <c r="F124" s="30">
        <f t="shared" si="13"/>
        <v>0</v>
      </c>
      <c r="G124" s="30">
        <f t="shared" si="13"/>
        <v>0</v>
      </c>
      <c r="H124" s="30">
        <f t="shared" si="13"/>
        <v>0</v>
      </c>
      <c r="I124" s="30">
        <f t="shared" si="13"/>
        <v>0</v>
      </c>
      <c r="J124" s="43">
        <f t="shared" si="12"/>
        <v>0</v>
      </c>
      <c r="K124" s="43">
        <f t="shared" si="12"/>
        <v>0</v>
      </c>
      <c r="L124" s="43">
        <f t="shared" si="12"/>
        <v>0</v>
      </c>
      <c r="M124" s="43">
        <f t="shared" si="12"/>
        <v>0</v>
      </c>
      <c r="N124" s="43">
        <f t="shared" si="12"/>
        <v>0</v>
      </c>
      <c r="O124" s="43">
        <f t="shared" si="12"/>
        <v>0</v>
      </c>
      <c r="P124" s="43">
        <f t="shared" si="12"/>
        <v>0</v>
      </c>
      <c r="Q124" s="38"/>
    </row>
    <row r="125" spans="1:34" outlineLevel="1" x14ac:dyDescent="0.25">
      <c r="A125" s="5"/>
      <c r="B125" s="25" t="s">
        <v>25</v>
      </c>
      <c r="C125" s="25" t="s">
        <v>86</v>
      </c>
      <c r="D125" s="25" t="s">
        <v>79</v>
      </c>
      <c r="E125" s="27" t="s">
        <v>80</v>
      </c>
      <c r="F125" s="30">
        <f t="shared" si="13"/>
        <v>0</v>
      </c>
      <c r="G125" s="30">
        <f t="shared" si="13"/>
        <v>0</v>
      </c>
      <c r="H125" s="30">
        <f t="shared" si="13"/>
        <v>0</v>
      </c>
      <c r="I125" s="30">
        <f t="shared" si="13"/>
        <v>0</v>
      </c>
      <c r="J125" s="43">
        <f t="shared" si="12"/>
        <v>0</v>
      </c>
      <c r="K125" s="43">
        <f t="shared" si="12"/>
        <v>0</v>
      </c>
      <c r="L125" s="43">
        <f t="shared" si="12"/>
        <v>0</v>
      </c>
      <c r="M125" s="43">
        <f t="shared" si="12"/>
        <v>0</v>
      </c>
      <c r="N125" s="43">
        <f t="shared" si="12"/>
        <v>0</v>
      </c>
      <c r="O125" s="43">
        <f t="shared" si="12"/>
        <v>0</v>
      </c>
      <c r="P125" s="43">
        <f t="shared" si="12"/>
        <v>0</v>
      </c>
      <c r="Q125" s="38"/>
    </row>
    <row r="126" spans="1:34" outlineLevel="1" x14ac:dyDescent="0.25">
      <c r="A126" s="5"/>
      <c r="B126" s="25" t="s">
        <v>25</v>
      </c>
      <c r="C126" s="25" t="s">
        <v>87</v>
      </c>
      <c r="D126" s="25" t="s">
        <v>79</v>
      </c>
      <c r="E126" s="27" t="s">
        <v>80</v>
      </c>
      <c r="F126" s="30">
        <f t="shared" si="13"/>
        <v>0</v>
      </c>
      <c r="G126" s="30">
        <f t="shared" si="13"/>
        <v>0</v>
      </c>
      <c r="H126" s="30">
        <f t="shared" si="13"/>
        <v>0</v>
      </c>
      <c r="I126" s="30">
        <f t="shared" si="13"/>
        <v>0</v>
      </c>
      <c r="J126" s="43">
        <f t="shared" si="12"/>
        <v>0</v>
      </c>
      <c r="K126" s="43">
        <f t="shared" si="12"/>
        <v>0</v>
      </c>
      <c r="L126" s="43">
        <f t="shared" si="12"/>
        <v>0</v>
      </c>
      <c r="M126" s="43">
        <f t="shared" si="12"/>
        <v>0</v>
      </c>
      <c r="N126" s="43">
        <f t="shared" si="12"/>
        <v>0</v>
      </c>
      <c r="O126" s="43">
        <f t="shared" si="12"/>
        <v>0</v>
      </c>
      <c r="P126" s="43">
        <f t="shared" si="12"/>
        <v>0</v>
      </c>
      <c r="Q126" s="38"/>
    </row>
    <row r="127" spans="1:34" outlineLevel="1" x14ac:dyDescent="0.25">
      <c r="A127" s="5"/>
      <c r="B127" s="25" t="s">
        <v>25</v>
      </c>
      <c r="C127" s="25" t="s">
        <v>88</v>
      </c>
      <c r="D127" s="25" t="s">
        <v>79</v>
      </c>
      <c r="E127" s="27" t="s">
        <v>80</v>
      </c>
      <c r="F127" s="30">
        <f t="shared" ref="F127:I142" si="14">INDEX($R127:$BZ127,MATCH(F$1,$R$1:$BZ$1,0))</f>
        <v>0</v>
      </c>
      <c r="G127" s="30">
        <f t="shared" si="14"/>
        <v>0</v>
      </c>
      <c r="H127" s="30">
        <f t="shared" si="14"/>
        <v>0</v>
      </c>
      <c r="I127" s="30">
        <f t="shared" si="14"/>
        <v>0</v>
      </c>
      <c r="J127" s="43">
        <f t="shared" si="12"/>
        <v>0</v>
      </c>
      <c r="K127" s="43">
        <f t="shared" si="12"/>
        <v>0</v>
      </c>
      <c r="L127" s="43">
        <f t="shared" si="12"/>
        <v>0</v>
      </c>
      <c r="M127" s="43">
        <f t="shared" si="12"/>
        <v>0</v>
      </c>
      <c r="N127" s="43">
        <f t="shared" si="12"/>
        <v>0</v>
      </c>
      <c r="O127" s="43">
        <f t="shared" si="12"/>
        <v>0</v>
      </c>
      <c r="P127" s="43">
        <f t="shared" si="12"/>
        <v>0</v>
      </c>
      <c r="Q127" s="38"/>
    </row>
    <row r="128" spans="1:34" outlineLevel="1" x14ac:dyDescent="0.25">
      <c r="A128" s="5"/>
      <c r="B128" s="25" t="s">
        <v>25</v>
      </c>
      <c r="C128" s="25" t="s">
        <v>89</v>
      </c>
      <c r="D128" s="25" t="s">
        <v>79</v>
      </c>
      <c r="E128" s="27" t="s">
        <v>80</v>
      </c>
      <c r="F128" s="30">
        <f t="shared" si="14"/>
        <v>0</v>
      </c>
      <c r="G128" s="30">
        <f t="shared" si="14"/>
        <v>0</v>
      </c>
      <c r="H128" s="30">
        <f t="shared" si="14"/>
        <v>0</v>
      </c>
      <c r="I128" s="30">
        <f t="shared" si="14"/>
        <v>0</v>
      </c>
      <c r="J128" s="43">
        <f t="shared" si="12"/>
        <v>0</v>
      </c>
      <c r="K128" s="43">
        <f t="shared" si="12"/>
        <v>0</v>
      </c>
      <c r="L128" s="43">
        <f t="shared" si="12"/>
        <v>0</v>
      </c>
      <c r="M128" s="43">
        <f t="shared" si="12"/>
        <v>0</v>
      </c>
      <c r="N128" s="43">
        <f t="shared" si="12"/>
        <v>0</v>
      </c>
      <c r="O128" s="43">
        <f t="shared" si="12"/>
        <v>0</v>
      </c>
      <c r="P128" s="43">
        <f t="shared" si="12"/>
        <v>0</v>
      </c>
      <c r="Q128" s="38"/>
    </row>
    <row r="129" spans="1:34" outlineLevel="1" x14ac:dyDescent="0.25">
      <c r="A129" s="5"/>
      <c r="B129" s="25" t="s">
        <v>25</v>
      </c>
      <c r="C129" s="25" t="s">
        <v>90</v>
      </c>
      <c r="D129" s="25" t="s">
        <v>79</v>
      </c>
      <c r="E129" s="27" t="s">
        <v>80</v>
      </c>
      <c r="F129" s="30">
        <f t="shared" si="14"/>
        <v>0</v>
      </c>
      <c r="G129" s="30">
        <f t="shared" si="14"/>
        <v>0</v>
      </c>
      <c r="H129" s="30">
        <f t="shared" si="14"/>
        <v>0</v>
      </c>
      <c r="I129" s="30">
        <f t="shared" si="14"/>
        <v>0</v>
      </c>
      <c r="J129" s="43">
        <f t="shared" si="12"/>
        <v>0</v>
      </c>
      <c r="K129" s="43">
        <f t="shared" si="12"/>
        <v>0</v>
      </c>
      <c r="L129" s="43">
        <f t="shared" si="12"/>
        <v>0</v>
      </c>
      <c r="M129" s="43">
        <f t="shared" si="12"/>
        <v>0</v>
      </c>
      <c r="N129" s="43">
        <f t="shared" si="12"/>
        <v>0</v>
      </c>
      <c r="O129" s="43">
        <f t="shared" si="12"/>
        <v>0</v>
      </c>
      <c r="P129" s="43">
        <f t="shared" si="12"/>
        <v>0</v>
      </c>
      <c r="Q129" s="38"/>
    </row>
    <row r="130" spans="1:34" outlineLevel="1" x14ac:dyDescent="0.25">
      <c r="A130" s="5"/>
      <c r="B130" s="25" t="s">
        <v>25</v>
      </c>
      <c r="C130" s="25" t="s">
        <v>91</v>
      </c>
      <c r="D130" s="25" t="s">
        <v>79</v>
      </c>
      <c r="E130" s="27" t="s">
        <v>80</v>
      </c>
      <c r="F130" s="30">
        <f t="shared" si="14"/>
        <v>0</v>
      </c>
      <c r="G130" s="30">
        <f t="shared" si="14"/>
        <v>0</v>
      </c>
      <c r="H130" s="30">
        <f t="shared" si="14"/>
        <v>0</v>
      </c>
      <c r="I130" s="30">
        <f t="shared" si="14"/>
        <v>0</v>
      </c>
      <c r="J130" s="43">
        <f t="shared" si="12"/>
        <v>0</v>
      </c>
      <c r="K130" s="43">
        <f t="shared" si="12"/>
        <v>0</v>
      </c>
      <c r="L130" s="43">
        <f t="shared" si="12"/>
        <v>0</v>
      </c>
      <c r="M130" s="43">
        <f t="shared" si="12"/>
        <v>0</v>
      </c>
      <c r="N130" s="43">
        <f t="shared" si="12"/>
        <v>0</v>
      </c>
      <c r="O130" s="43">
        <f t="shared" si="12"/>
        <v>0</v>
      </c>
      <c r="P130" s="43">
        <f t="shared" si="12"/>
        <v>0</v>
      </c>
      <c r="Q130" s="38"/>
    </row>
    <row r="131" spans="1:34" outlineLevel="1" x14ac:dyDescent="0.25">
      <c r="A131" s="5"/>
      <c r="B131" s="25" t="s">
        <v>25</v>
      </c>
      <c r="C131" s="25" t="s">
        <v>92</v>
      </c>
      <c r="D131" s="25" t="s">
        <v>79</v>
      </c>
      <c r="E131" s="27" t="s">
        <v>80</v>
      </c>
      <c r="F131" s="30">
        <f t="shared" si="14"/>
        <v>0</v>
      </c>
      <c r="G131" s="30">
        <f t="shared" si="14"/>
        <v>0</v>
      </c>
      <c r="H131" s="30">
        <f t="shared" si="14"/>
        <v>0</v>
      </c>
      <c r="I131" s="30">
        <f t="shared" si="14"/>
        <v>0</v>
      </c>
      <c r="J131" s="43">
        <f t="shared" si="12"/>
        <v>0</v>
      </c>
      <c r="K131" s="43">
        <f t="shared" si="12"/>
        <v>0</v>
      </c>
      <c r="L131" s="43">
        <f t="shared" si="12"/>
        <v>0</v>
      </c>
      <c r="M131" s="43">
        <f t="shared" ref="J131:P150" si="15">$AH131</f>
        <v>0</v>
      </c>
      <c r="N131" s="43">
        <f t="shared" si="15"/>
        <v>0</v>
      </c>
      <c r="O131" s="43">
        <f t="shared" si="15"/>
        <v>0</v>
      </c>
      <c r="P131" s="43">
        <f t="shared" si="15"/>
        <v>0</v>
      </c>
      <c r="Q131" s="38"/>
    </row>
    <row r="132" spans="1:34" outlineLevel="1" x14ac:dyDescent="0.25">
      <c r="A132" s="5"/>
      <c r="B132" s="25" t="s">
        <v>25</v>
      </c>
      <c r="C132" s="25" t="s">
        <v>5</v>
      </c>
      <c r="D132" s="25" t="s">
        <v>79</v>
      </c>
      <c r="E132" s="27" t="s">
        <v>80</v>
      </c>
      <c r="F132" s="30">
        <f t="shared" si="14"/>
        <v>20.414000000000001</v>
      </c>
      <c r="G132" s="30">
        <f t="shared" si="14"/>
        <v>24.308</v>
      </c>
      <c r="H132" s="30">
        <f t="shared" si="14"/>
        <v>29.071000000000002</v>
      </c>
      <c r="I132" s="30">
        <f t="shared" si="14"/>
        <v>34.631</v>
      </c>
      <c r="J132" s="43">
        <f t="shared" si="15"/>
        <v>35.563000000000002</v>
      </c>
      <c r="K132" s="43">
        <f t="shared" si="15"/>
        <v>35.563000000000002</v>
      </c>
      <c r="L132" s="43">
        <f t="shared" si="15"/>
        <v>35.563000000000002</v>
      </c>
      <c r="M132" s="43">
        <f t="shared" si="15"/>
        <v>35.563000000000002</v>
      </c>
      <c r="N132" s="43">
        <f t="shared" si="15"/>
        <v>35.563000000000002</v>
      </c>
      <c r="O132" s="43">
        <f t="shared" si="15"/>
        <v>35.563000000000002</v>
      </c>
      <c r="P132" s="43">
        <f t="shared" si="15"/>
        <v>35.563000000000002</v>
      </c>
      <c r="Q132" s="38"/>
      <c r="R132" s="40">
        <v>20.414000000000001</v>
      </c>
      <c r="S132" s="40">
        <v>21.052</v>
      </c>
      <c r="T132" s="40">
        <v>21.728000000000002</v>
      </c>
      <c r="U132" s="40">
        <v>22.617999999999999</v>
      </c>
      <c r="V132" s="40">
        <v>23.516999999999999</v>
      </c>
      <c r="W132" s="40">
        <v>24.308</v>
      </c>
      <c r="X132" s="40">
        <v>25.233000000000001</v>
      </c>
      <c r="Y132" s="40">
        <v>26.024999999999999</v>
      </c>
      <c r="Z132" s="40">
        <v>27.22</v>
      </c>
      <c r="AA132" s="40">
        <v>28.303000000000001</v>
      </c>
      <c r="AB132" s="40">
        <v>29.071000000000002</v>
      </c>
      <c r="AC132" s="40">
        <v>29.616</v>
      </c>
      <c r="AD132" s="40">
        <v>30.26</v>
      </c>
      <c r="AE132" s="40">
        <v>31.456</v>
      </c>
      <c r="AF132" s="40">
        <v>32.889000000000003</v>
      </c>
      <c r="AG132" s="40">
        <v>34.631</v>
      </c>
      <c r="AH132" s="40">
        <v>35.563000000000002</v>
      </c>
    </row>
    <row r="133" spans="1:34" outlineLevel="1" x14ac:dyDescent="0.25">
      <c r="A133" s="5"/>
      <c r="B133" s="25" t="s">
        <v>25</v>
      </c>
      <c r="C133" s="25" t="s">
        <v>61</v>
      </c>
      <c r="D133" s="25" t="s">
        <v>79</v>
      </c>
      <c r="E133" s="27" t="s">
        <v>80</v>
      </c>
      <c r="F133" s="30">
        <f t="shared" si="14"/>
        <v>0</v>
      </c>
      <c r="G133" s="30">
        <f t="shared" si="14"/>
        <v>0</v>
      </c>
      <c r="H133" s="30">
        <f t="shared" si="14"/>
        <v>0</v>
      </c>
      <c r="I133" s="30">
        <f t="shared" si="14"/>
        <v>0</v>
      </c>
      <c r="J133" s="43">
        <f t="shared" si="15"/>
        <v>0</v>
      </c>
      <c r="K133" s="43">
        <f t="shared" si="15"/>
        <v>0</v>
      </c>
      <c r="L133" s="43">
        <f t="shared" si="15"/>
        <v>0</v>
      </c>
      <c r="M133" s="43">
        <f t="shared" si="15"/>
        <v>0</v>
      </c>
      <c r="N133" s="43">
        <f t="shared" si="15"/>
        <v>0</v>
      </c>
      <c r="O133" s="43">
        <f t="shared" si="15"/>
        <v>0</v>
      </c>
      <c r="P133" s="43">
        <f t="shared" si="15"/>
        <v>0</v>
      </c>
      <c r="Q133" s="38"/>
      <c r="R133" s="40"/>
      <c r="S133" s="40"/>
      <c r="T133" s="40"/>
      <c r="U133" s="40"/>
      <c r="V133" s="40"/>
      <c r="W133" s="40"/>
      <c r="X133" s="40"/>
      <c r="Y133" s="40"/>
      <c r="Z133" s="40"/>
      <c r="AA133" s="40"/>
      <c r="AB133" s="40"/>
      <c r="AC133" s="40"/>
      <c r="AD133" s="40"/>
      <c r="AE133" s="40"/>
      <c r="AF133" s="40"/>
      <c r="AG133" s="40"/>
      <c r="AH133" s="40"/>
    </row>
    <row r="134" spans="1:34" outlineLevel="1" x14ac:dyDescent="0.25">
      <c r="A134" s="5"/>
      <c r="B134" s="25" t="s">
        <v>25</v>
      </c>
      <c r="C134" s="25" t="s">
        <v>93</v>
      </c>
      <c r="D134" s="25" t="s">
        <v>79</v>
      </c>
      <c r="E134" s="27" t="s">
        <v>80</v>
      </c>
      <c r="F134" s="30">
        <f t="shared" si="14"/>
        <v>0</v>
      </c>
      <c r="G134" s="30">
        <f t="shared" si="14"/>
        <v>0</v>
      </c>
      <c r="H134" s="30">
        <f t="shared" si="14"/>
        <v>0</v>
      </c>
      <c r="I134" s="30">
        <f t="shared" si="14"/>
        <v>0</v>
      </c>
      <c r="J134" s="43">
        <f t="shared" si="15"/>
        <v>0</v>
      </c>
      <c r="K134" s="43">
        <f t="shared" si="15"/>
        <v>0</v>
      </c>
      <c r="L134" s="43">
        <f t="shared" si="15"/>
        <v>0</v>
      </c>
      <c r="M134" s="43">
        <f t="shared" si="15"/>
        <v>0</v>
      </c>
      <c r="N134" s="43">
        <f t="shared" si="15"/>
        <v>0</v>
      </c>
      <c r="O134" s="43">
        <f t="shared" si="15"/>
        <v>0</v>
      </c>
      <c r="P134" s="43">
        <f t="shared" si="15"/>
        <v>0</v>
      </c>
      <c r="Q134" s="38"/>
      <c r="R134" s="40"/>
      <c r="S134" s="40"/>
      <c r="T134" s="40"/>
      <c r="U134" s="40"/>
      <c r="V134" s="40"/>
      <c r="W134" s="40"/>
      <c r="X134" s="40"/>
      <c r="Y134" s="40"/>
      <c r="Z134" s="40"/>
      <c r="AA134" s="40"/>
      <c r="AB134" s="40"/>
      <c r="AC134" s="40"/>
      <c r="AD134" s="40"/>
      <c r="AE134" s="40"/>
      <c r="AF134" s="40"/>
      <c r="AG134" s="40"/>
      <c r="AH134" s="40"/>
    </row>
    <row r="135" spans="1:34" outlineLevel="1" x14ac:dyDescent="0.25">
      <c r="A135" s="5"/>
      <c r="B135" s="25" t="s">
        <v>25</v>
      </c>
      <c r="C135" s="25" t="s">
        <v>95</v>
      </c>
      <c r="D135" s="25" t="s">
        <v>79</v>
      </c>
      <c r="E135" s="27" t="s">
        <v>80</v>
      </c>
      <c r="F135" s="30">
        <f t="shared" si="14"/>
        <v>0</v>
      </c>
      <c r="G135" s="30">
        <f t="shared" si="14"/>
        <v>0</v>
      </c>
      <c r="H135" s="30">
        <f t="shared" si="14"/>
        <v>0</v>
      </c>
      <c r="I135" s="30">
        <f t="shared" si="14"/>
        <v>0</v>
      </c>
      <c r="J135" s="43">
        <f t="shared" si="15"/>
        <v>0</v>
      </c>
      <c r="K135" s="43">
        <f t="shared" si="15"/>
        <v>0</v>
      </c>
      <c r="L135" s="43">
        <f t="shared" si="15"/>
        <v>0</v>
      </c>
      <c r="M135" s="43">
        <f t="shared" si="15"/>
        <v>0</v>
      </c>
      <c r="N135" s="43">
        <f t="shared" si="15"/>
        <v>0</v>
      </c>
      <c r="O135" s="43">
        <f t="shared" si="15"/>
        <v>0</v>
      </c>
      <c r="P135" s="43">
        <f t="shared" si="15"/>
        <v>0</v>
      </c>
      <c r="Q135" s="38"/>
      <c r="R135" s="40"/>
      <c r="S135" s="40"/>
      <c r="T135" s="40"/>
      <c r="U135" s="40"/>
      <c r="V135" s="40"/>
      <c r="W135" s="40"/>
      <c r="X135" s="40"/>
      <c r="Y135" s="40"/>
      <c r="Z135" s="40"/>
      <c r="AA135" s="40"/>
      <c r="AB135" s="40"/>
      <c r="AC135" s="40"/>
      <c r="AD135" s="40"/>
      <c r="AE135" s="40"/>
      <c r="AF135" s="40"/>
      <c r="AG135" s="40"/>
      <c r="AH135" s="40"/>
    </row>
    <row r="136" spans="1:34" outlineLevel="1" x14ac:dyDescent="0.25">
      <c r="A136" s="5"/>
      <c r="B136" s="25" t="s">
        <v>25</v>
      </c>
      <c r="C136" s="25" t="s">
        <v>94</v>
      </c>
      <c r="D136" s="25" t="s">
        <v>79</v>
      </c>
      <c r="E136" s="27" t="s">
        <v>80</v>
      </c>
      <c r="F136" s="30">
        <f t="shared" si="14"/>
        <v>0</v>
      </c>
      <c r="G136" s="30">
        <f t="shared" si="14"/>
        <v>0</v>
      </c>
      <c r="H136" s="30">
        <f t="shared" si="14"/>
        <v>0</v>
      </c>
      <c r="I136" s="30">
        <f t="shared" si="14"/>
        <v>0</v>
      </c>
      <c r="J136" s="43">
        <f t="shared" si="15"/>
        <v>0</v>
      </c>
      <c r="K136" s="43">
        <f t="shared" si="15"/>
        <v>0</v>
      </c>
      <c r="L136" s="43">
        <f t="shared" si="15"/>
        <v>0</v>
      </c>
      <c r="M136" s="43">
        <f t="shared" si="15"/>
        <v>0</v>
      </c>
      <c r="N136" s="43">
        <f t="shared" si="15"/>
        <v>0</v>
      </c>
      <c r="O136" s="43">
        <f t="shared" si="15"/>
        <v>0</v>
      </c>
      <c r="P136" s="43">
        <f t="shared" si="15"/>
        <v>0</v>
      </c>
      <c r="Q136" s="38"/>
    </row>
    <row r="137" spans="1:34" outlineLevel="1" x14ac:dyDescent="0.25">
      <c r="A137" s="5"/>
      <c r="B137" s="25" t="s">
        <v>26</v>
      </c>
      <c r="C137" s="25" t="s">
        <v>48</v>
      </c>
      <c r="D137" s="25" t="s">
        <v>79</v>
      </c>
      <c r="E137" s="27" t="s">
        <v>80</v>
      </c>
      <c r="F137" s="30">
        <f t="shared" si="14"/>
        <v>0</v>
      </c>
      <c r="G137" s="30">
        <f t="shared" si="14"/>
        <v>0</v>
      </c>
      <c r="H137" s="30">
        <f t="shared" si="14"/>
        <v>0</v>
      </c>
      <c r="I137" s="30">
        <f t="shared" si="14"/>
        <v>0</v>
      </c>
      <c r="J137" s="43">
        <f t="shared" si="15"/>
        <v>0</v>
      </c>
      <c r="K137" s="43">
        <f t="shared" si="15"/>
        <v>0</v>
      </c>
      <c r="L137" s="43">
        <f t="shared" si="15"/>
        <v>0</v>
      </c>
      <c r="M137" s="43">
        <f t="shared" si="15"/>
        <v>0</v>
      </c>
      <c r="N137" s="43">
        <f t="shared" si="15"/>
        <v>0</v>
      </c>
      <c r="O137" s="43">
        <f t="shared" si="15"/>
        <v>0</v>
      </c>
      <c r="P137" s="43">
        <f t="shared" si="15"/>
        <v>0</v>
      </c>
      <c r="Q137" s="38"/>
    </row>
    <row r="138" spans="1:34" outlineLevel="1" x14ac:dyDescent="0.25">
      <c r="A138" s="5"/>
      <c r="B138" s="25" t="s">
        <v>26</v>
      </c>
      <c r="C138" s="13" t="s">
        <v>85</v>
      </c>
      <c r="D138" s="25" t="s">
        <v>79</v>
      </c>
      <c r="E138" s="27" t="s">
        <v>80</v>
      </c>
      <c r="F138" s="30">
        <f t="shared" si="14"/>
        <v>0</v>
      </c>
      <c r="G138" s="30">
        <f t="shared" si="14"/>
        <v>0</v>
      </c>
      <c r="H138" s="30">
        <f t="shared" si="14"/>
        <v>0</v>
      </c>
      <c r="I138" s="30">
        <f t="shared" si="14"/>
        <v>0</v>
      </c>
      <c r="J138" s="43">
        <f t="shared" si="15"/>
        <v>0</v>
      </c>
      <c r="K138" s="43">
        <f t="shared" si="15"/>
        <v>0</v>
      </c>
      <c r="L138" s="43">
        <f t="shared" si="15"/>
        <v>0</v>
      </c>
      <c r="M138" s="43">
        <f t="shared" si="15"/>
        <v>0</v>
      </c>
      <c r="N138" s="43">
        <f t="shared" si="15"/>
        <v>0</v>
      </c>
      <c r="O138" s="43">
        <f t="shared" si="15"/>
        <v>0</v>
      </c>
      <c r="P138" s="43">
        <f t="shared" si="15"/>
        <v>0</v>
      </c>
      <c r="Q138" s="38"/>
    </row>
    <row r="139" spans="1:34" outlineLevel="1" x14ac:dyDescent="0.25">
      <c r="A139" s="5"/>
      <c r="B139" s="25" t="s">
        <v>26</v>
      </c>
      <c r="C139" s="25" t="s">
        <v>86</v>
      </c>
      <c r="D139" s="25" t="s">
        <v>79</v>
      </c>
      <c r="E139" s="27" t="s">
        <v>80</v>
      </c>
      <c r="F139" s="30">
        <f t="shared" si="14"/>
        <v>0</v>
      </c>
      <c r="G139" s="30">
        <f t="shared" si="14"/>
        <v>0</v>
      </c>
      <c r="H139" s="30">
        <f t="shared" si="14"/>
        <v>0</v>
      </c>
      <c r="I139" s="30">
        <f t="shared" si="14"/>
        <v>0</v>
      </c>
      <c r="J139" s="43">
        <f t="shared" si="15"/>
        <v>0</v>
      </c>
      <c r="K139" s="43">
        <f t="shared" si="15"/>
        <v>0</v>
      </c>
      <c r="L139" s="43">
        <f t="shared" si="15"/>
        <v>0</v>
      </c>
      <c r="M139" s="43">
        <f t="shared" si="15"/>
        <v>0</v>
      </c>
      <c r="N139" s="43">
        <f t="shared" si="15"/>
        <v>0</v>
      </c>
      <c r="O139" s="43">
        <f t="shared" si="15"/>
        <v>0</v>
      </c>
      <c r="P139" s="43">
        <f t="shared" si="15"/>
        <v>0</v>
      </c>
      <c r="Q139" s="38"/>
    </row>
    <row r="140" spans="1:34" outlineLevel="1" x14ac:dyDescent="0.25">
      <c r="A140" s="5"/>
      <c r="B140" s="25" t="s">
        <v>26</v>
      </c>
      <c r="C140" s="25" t="s">
        <v>87</v>
      </c>
      <c r="D140" s="25" t="s">
        <v>79</v>
      </c>
      <c r="E140" s="27" t="s">
        <v>80</v>
      </c>
      <c r="F140" s="30">
        <f t="shared" si="14"/>
        <v>0</v>
      </c>
      <c r="G140" s="30">
        <f t="shared" si="14"/>
        <v>0</v>
      </c>
      <c r="H140" s="30">
        <f t="shared" si="14"/>
        <v>0</v>
      </c>
      <c r="I140" s="30">
        <f t="shared" si="14"/>
        <v>0</v>
      </c>
      <c r="J140" s="43">
        <f t="shared" si="15"/>
        <v>0</v>
      </c>
      <c r="K140" s="43">
        <f t="shared" si="15"/>
        <v>0</v>
      </c>
      <c r="L140" s="43">
        <f t="shared" si="15"/>
        <v>0</v>
      </c>
      <c r="M140" s="43">
        <f t="shared" si="15"/>
        <v>0</v>
      </c>
      <c r="N140" s="43">
        <f t="shared" si="15"/>
        <v>0</v>
      </c>
      <c r="O140" s="43">
        <f t="shared" si="15"/>
        <v>0</v>
      </c>
      <c r="P140" s="43">
        <f t="shared" si="15"/>
        <v>0</v>
      </c>
      <c r="Q140" s="38"/>
    </row>
    <row r="141" spans="1:34" outlineLevel="1" x14ac:dyDescent="0.25">
      <c r="A141" s="5"/>
      <c r="B141" s="25" t="s">
        <v>26</v>
      </c>
      <c r="C141" s="25" t="s">
        <v>88</v>
      </c>
      <c r="D141" s="25" t="s">
        <v>79</v>
      </c>
      <c r="E141" s="27" t="s">
        <v>80</v>
      </c>
      <c r="F141" s="30">
        <f t="shared" si="14"/>
        <v>0</v>
      </c>
      <c r="G141" s="30">
        <f t="shared" si="14"/>
        <v>0</v>
      </c>
      <c r="H141" s="30">
        <f t="shared" si="14"/>
        <v>0</v>
      </c>
      <c r="I141" s="30">
        <f t="shared" si="14"/>
        <v>0</v>
      </c>
      <c r="J141" s="43">
        <f t="shared" si="15"/>
        <v>0</v>
      </c>
      <c r="K141" s="43">
        <f t="shared" si="15"/>
        <v>0</v>
      </c>
      <c r="L141" s="43">
        <f t="shared" si="15"/>
        <v>0</v>
      </c>
      <c r="M141" s="43">
        <f t="shared" si="15"/>
        <v>0</v>
      </c>
      <c r="N141" s="43">
        <f t="shared" si="15"/>
        <v>0</v>
      </c>
      <c r="O141" s="43">
        <f t="shared" si="15"/>
        <v>0</v>
      </c>
      <c r="P141" s="43">
        <f t="shared" si="15"/>
        <v>0</v>
      </c>
      <c r="Q141" s="38"/>
    </row>
    <row r="142" spans="1:34" outlineLevel="1" x14ac:dyDescent="0.25">
      <c r="A142" s="5"/>
      <c r="B142" s="25" t="s">
        <v>26</v>
      </c>
      <c r="C142" s="25" t="s">
        <v>89</v>
      </c>
      <c r="D142" s="25" t="s">
        <v>79</v>
      </c>
      <c r="E142" s="27" t="s">
        <v>80</v>
      </c>
      <c r="F142" s="30">
        <f t="shared" si="14"/>
        <v>0</v>
      </c>
      <c r="G142" s="30">
        <f t="shared" si="14"/>
        <v>0</v>
      </c>
      <c r="H142" s="30">
        <f t="shared" si="14"/>
        <v>0</v>
      </c>
      <c r="I142" s="30">
        <f t="shared" si="14"/>
        <v>0</v>
      </c>
      <c r="J142" s="43">
        <f t="shared" si="15"/>
        <v>0</v>
      </c>
      <c r="K142" s="43">
        <f t="shared" si="15"/>
        <v>0</v>
      </c>
      <c r="L142" s="43">
        <f t="shared" si="15"/>
        <v>0</v>
      </c>
      <c r="M142" s="43">
        <f t="shared" si="15"/>
        <v>0</v>
      </c>
      <c r="N142" s="43">
        <f t="shared" si="15"/>
        <v>0</v>
      </c>
      <c r="O142" s="43">
        <f t="shared" si="15"/>
        <v>0</v>
      </c>
      <c r="P142" s="43">
        <f t="shared" si="15"/>
        <v>0</v>
      </c>
      <c r="Q142" s="38"/>
    </row>
    <row r="143" spans="1:34" outlineLevel="1" x14ac:dyDescent="0.25">
      <c r="A143" s="5"/>
      <c r="B143" s="25" t="s">
        <v>26</v>
      </c>
      <c r="C143" s="25" t="s">
        <v>90</v>
      </c>
      <c r="D143" s="25" t="s">
        <v>79</v>
      </c>
      <c r="E143" s="27" t="s">
        <v>80</v>
      </c>
      <c r="F143" s="30">
        <f t="shared" ref="F143:I150" si="16">INDEX($R143:$BZ143,MATCH(F$1,$R$1:$BZ$1,0))</f>
        <v>0</v>
      </c>
      <c r="G143" s="30">
        <f t="shared" si="16"/>
        <v>0</v>
      </c>
      <c r="H143" s="30">
        <f t="shared" si="16"/>
        <v>0</v>
      </c>
      <c r="I143" s="30">
        <f t="shared" si="16"/>
        <v>0</v>
      </c>
      <c r="J143" s="43">
        <f t="shared" si="15"/>
        <v>0</v>
      </c>
      <c r="K143" s="43">
        <f t="shared" si="15"/>
        <v>0</v>
      </c>
      <c r="L143" s="43">
        <f t="shared" si="15"/>
        <v>0</v>
      </c>
      <c r="M143" s="43">
        <f t="shared" si="15"/>
        <v>0</v>
      </c>
      <c r="N143" s="43">
        <f t="shared" si="15"/>
        <v>0</v>
      </c>
      <c r="O143" s="43">
        <f t="shared" si="15"/>
        <v>0</v>
      </c>
      <c r="P143" s="43">
        <f t="shared" si="15"/>
        <v>0</v>
      </c>
      <c r="Q143" s="38"/>
    </row>
    <row r="144" spans="1:34" outlineLevel="1" x14ac:dyDescent="0.25">
      <c r="A144" s="5"/>
      <c r="B144" s="25" t="s">
        <v>26</v>
      </c>
      <c r="C144" s="25" t="s">
        <v>91</v>
      </c>
      <c r="D144" s="25" t="s">
        <v>79</v>
      </c>
      <c r="E144" s="27" t="s">
        <v>80</v>
      </c>
      <c r="F144" s="30">
        <f t="shared" si="16"/>
        <v>0</v>
      </c>
      <c r="G144" s="30">
        <f t="shared" si="16"/>
        <v>0</v>
      </c>
      <c r="H144" s="30">
        <f t="shared" si="16"/>
        <v>0</v>
      </c>
      <c r="I144" s="30">
        <f t="shared" si="16"/>
        <v>0</v>
      </c>
      <c r="J144" s="43">
        <f t="shared" si="15"/>
        <v>0</v>
      </c>
      <c r="K144" s="43">
        <f t="shared" si="15"/>
        <v>0</v>
      </c>
      <c r="L144" s="43">
        <f t="shared" si="15"/>
        <v>0</v>
      </c>
      <c r="M144" s="43">
        <f t="shared" si="15"/>
        <v>0</v>
      </c>
      <c r="N144" s="43">
        <f t="shared" si="15"/>
        <v>0</v>
      </c>
      <c r="O144" s="43">
        <f t="shared" si="15"/>
        <v>0</v>
      </c>
      <c r="P144" s="43">
        <f t="shared" si="15"/>
        <v>0</v>
      </c>
      <c r="Q144" s="38"/>
    </row>
    <row r="145" spans="1:34" outlineLevel="1" x14ac:dyDescent="0.25">
      <c r="A145" s="5"/>
      <c r="B145" s="25" t="s">
        <v>26</v>
      </c>
      <c r="C145" s="25" t="s">
        <v>92</v>
      </c>
      <c r="D145" s="25" t="s">
        <v>79</v>
      </c>
      <c r="E145" s="27" t="s">
        <v>80</v>
      </c>
      <c r="F145" s="30">
        <f t="shared" si="16"/>
        <v>0</v>
      </c>
      <c r="G145" s="30">
        <f t="shared" si="16"/>
        <v>0</v>
      </c>
      <c r="H145" s="30">
        <f t="shared" si="16"/>
        <v>0</v>
      </c>
      <c r="I145" s="30">
        <f t="shared" si="16"/>
        <v>0</v>
      </c>
      <c r="J145" s="43">
        <f t="shared" si="15"/>
        <v>0</v>
      </c>
      <c r="K145" s="43">
        <f t="shared" si="15"/>
        <v>0</v>
      </c>
      <c r="L145" s="43">
        <f t="shared" si="15"/>
        <v>0</v>
      </c>
      <c r="M145" s="43">
        <f t="shared" si="15"/>
        <v>0</v>
      </c>
      <c r="N145" s="43">
        <f t="shared" si="15"/>
        <v>0</v>
      </c>
      <c r="O145" s="43">
        <f t="shared" si="15"/>
        <v>0</v>
      </c>
      <c r="P145" s="43">
        <f t="shared" si="15"/>
        <v>0</v>
      </c>
      <c r="Q145" s="38"/>
    </row>
    <row r="146" spans="1:34" outlineLevel="1" x14ac:dyDescent="0.25">
      <c r="A146" s="5"/>
      <c r="B146" s="25" t="s">
        <v>26</v>
      </c>
      <c r="C146" s="25" t="s">
        <v>5</v>
      </c>
      <c r="D146" s="25" t="s">
        <v>79</v>
      </c>
      <c r="E146" s="27" t="s">
        <v>80</v>
      </c>
      <c r="F146" s="30">
        <f t="shared" si="16"/>
        <v>4.6909999999999998</v>
      </c>
      <c r="G146" s="30">
        <f t="shared" si="16"/>
        <v>5.3550000000000004</v>
      </c>
      <c r="H146" s="30">
        <f t="shared" si="16"/>
        <v>6.0590000000000002</v>
      </c>
      <c r="I146" s="30">
        <f t="shared" si="16"/>
        <v>6.6749999999999998</v>
      </c>
      <c r="J146" s="43">
        <f t="shared" si="15"/>
        <v>6.8070000000000004</v>
      </c>
      <c r="K146" s="43">
        <f t="shared" si="15"/>
        <v>6.8070000000000004</v>
      </c>
      <c r="L146" s="43">
        <f t="shared" si="15"/>
        <v>6.8070000000000004</v>
      </c>
      <c r="M146" s="43">
        <f t="shared" si="15"/>
        <v>6.8070000000000004</v>
      </c>
      <c r="N146" s="43">
        <f t="shared" si="15"/>
        <v>6.8070000000000004</v>
      </c>
      <c r="O146" s="43">
        <f t="shared" si="15"/>
        <v>6.8070000000000004</v>
      </c>
      <c r="P146" s="43">
        <f t="shared" si="15"/>
        <v>6.8070000000000004</v>
      </c>
      <c r="Q146" s="38"/>
      <c r="R146" s="40">
        <v>4.6909999999999998</v>
      </c>
      <c r="S146" s="40">
        <v>4.8019999999999996</v>
      </c>
      <c r="T146" s="40">
        <v>4.9349999999999996</v>
      </c>
      <c r="U146" s="40">
        <v>5.0750000000000002</v>
      </c>
      <c r="V146" s="40">
        <v>5.2069999999999999</v>
      </c>
      <c r="W146" s="40">
        <v>5.3550000000000004</v>
      </c>
      <c r="X146" s="40">
        <v>5.5220000000000002</v>
      </c>
      <c r="Y146" s="40">
        <v>5.7069999999999999</v>
      </c>
      <c r="Z146" s="40">
        <v>5.851</v>
      </c>
      <c r="AA146" s="40">
        <v>5.9429999999999996</v>
      </c>
      <c r="AB146" s="40">
        <v>6.0590000000000002</v>
      </c>
      <c r="AC146" s="40">
        <v>6.2050000000000001</v>
      </c>
      <c r="AD146" s="40">
        <v>6.3079999999999998</v>
      </c>
      <c r="AE146" s="40">
        <v>6.43</v>
      </c>
      <c r="AF146" s="40">
        <v>6.5590000000000002</v>
      </c>
      <c r="AG146" s="40">
        <v>6.6749999999999998</v>
      </c>
      <c r="AH146" s="40">
        <v>6.8070000000000004</v>
      </c>
    </row>
    <row r="147" spans="1:34" outlineLevel="1" x14ac:dyDescent="0.25">
      <c r="A147" s="5"/>
      <c r="B147" s="25" t="s">
        <v>26</v>
      </c>
      <c r="C147" s="25" t="s">
        <v>61</v>
      </c>
      <c r="D147" s="25" t="s">
        <v>79</v>
      </c>
      <c r="E147" s="27" t="s">
        <v>80</v>
      </c>
      <c r="F147" s="30">
        <f t="shared" si="16"/>
        <v>0</v>
      </c>
      <c r="G147" s="30">
        <f t="shared" si="16"/>
        <v>0</v>
      </c>
      <c r="H147" s="30">
        <f t="shared" si="16"/>
        <v>0</v>
      </c>
      <c r="I147" s="30">
        <f t="shared" si="16"/>
        <v>0</v>
      </c>
      <c r="J147" s="43">
        <f t="shared" si="15"/>
        <v>0</v>
      </c>
      <c r="K147" s="43">
        <f t="shared" si="15"/>
        <v>0</v>
      </c>
      <c r="L147" s="43">
        <f t="shared" si="15"/>
        <v>0</v>
      </c>
      <c r="M147" s="43">
        <f t="shared" si="15"/>
        <v>0</v>
      </c>
      <c r="N147" s="43">
        <f t="shared" si="15"/>
        <v>0</v>
      </c>
      <c r="O147" s="43">
        <f t="shared" si="15"/>
        <v>0</v>
      </c>
      <c r="P147" s="43">
        <f t="shared" si="15"/>
        <v>0</v>
      </c>
      <c r="Q147" s="38"/>
      <c r="R147" s="40"/>
      <c r="S147" s="40"/>
      <c r="T147" s="40"/>
      <c r="U147" s="40"/>
      <c r="V147" s="40"/>
      <c r="W147" s="40"/>
      <c r="X147" s="40"/>
      <c r="Y147" s="40"/>
      <c r="Z147" s="40"/>
      <c r="AA147" s="40"/>
      <c r="AB147" s="40"/>
      <c r="AC147" s="40"/>
      <c r="AD147" s="40"/>
      <c r="AE147" s="40"/>
      <c r="AF147" s="40"/>
      <c r="AG147" s="40"/>
      <c r="AH147" s="40"/>
    </row>
    <row r="148" spans="1:34" outlineLevel="1" x14ac:dyDescent="0.25">
      <c r="A148" s="5"/>
      <c r="B148" s="25" t="s">
        <v>26</v>
      </c>
      <c r="C148" s="25" t="s">
        <v>93</v>
      </c>
      <c r="D148" s="25" t="s">
        <v>79</v>
      </c>
      <c r="E148" s="27" t="s">
        <v>80</v>
      </c>
      <c r="F148" s="30">
        <f t="shared" si="16"/>
        <v>0</v>
      </c>
      <c r="G148" s="30">
        <f t="shared" si="16"/>
        <v>0</v>
      </c>
      <c r="H148" s="30">
        <f t="shared" si="16"/>
        <v>0</v>
      </c>
      <c r="I148" s="30">
        <f t="shared" si="16"/>
        <v>0</v>
      </c>
      <c r="J148" s="43">
        <f t="shared" si="15"/>
        <v>0</v>
      </c>
      <c r="K148" s="43">
        <f t="shared" si="15"/>
        <v>0</v>
      </c>
      <c r="L148" s="43">
        <f t="shared" si="15"/>
        <v>0</v>
      </c>
      <c r="M148" s="43">
        <f t="shared" si="15"/>
        <v>0</v>
      </c>
      <c r="N148" s="43">
        <f t="shared" si="15"/>
        <v>0</v>
      </c>
      <c r="O148" s="43">
        <f t="shared" si="15"/>
        <v>0</v>
      </c>
      <c r="P148" s="43">
        <f t="shared" si="15"/>
        <v>0</v>
      </c>
      <c r="Q148" s="38"/>
      <c r="R148" s="40"/>
      <c r="S148" s="40"/>
      <c r="T148" s="40"/>
      <c r="U148" s="40"/>
      <c r="V148" s="40"/>
      <c r="W148" s="40"/>
      <c r="X148" s="40"/>
      <c r="Y148" s="40"/>
      <c r="Z148" s="40"/>
      <c r="AA148" s="40"/>
      <c r="AB148" s="40"/>
      <c r="AC148" s="40"/>
      <c r="AD148" s="40"/>
      <c r="AE148" s="40"/>
      <c r="AF148" s="40"/>
      <c r="AG148" s="40"/>
      <c r="AH148" s="40"/>
    </row>
    <row r="149" spans="1:34" outlineLevel="1" x14ac:dyDescent="0.25">
      <c r="A149" s="5"/>
      <c r="B149" s="25" t="s">
        <v>26</v>
      </c>
      <c r="C149" s="25" t="s">
        <v>95</v>
      </c>
      <c r="D149" s="25" t="s">
        <v>79</v>
      </c>
      <c r="E149" s="27" t="s">
        <v>80</v>
      </c>
      <c r="F149" s="30">
        <f t="shared" si="16"/>
        <v>0</v>
      </c>
      <c r="G149" s="30">
        <f t="shared" si="16"/>
        <v>0</v>
      </c>
      <c r="H149" s="30">
        <f t="shared" si="16"/>
        <v>0</v>
      </c>
      <c r="I149" s="30">
        <f t="shared" si="16"/>
        <v>0</v>
      </c>
      <c r="J149" s="43">
        <f t="shared" si="15"/>
        <v>0</v>
      </c>
      <c r="K149" s="43">
        <f t="shared" si="15"/>
        <v>0</v>
      </c>
      <c r="L149" s="43">
        <f t="shared" si="15"/>
        <v>0</v>
      </c>
      <c r="M149" s="43">
        <f t="shared" si="15"/>
        <v>0</v>
      </c>
      <c r="N149" s="43">
        <f t="shared" si="15"/>
        <v>0</v>
      </c>
      <c r="O149" s="43">
        <f t="shared" si="15"/>
        <v>0</v>
      </c>
      <c r="P149" s="43">
        <f t="shared" si="15"/>
        <v>0</v>
      </c>
      <c r="Q149" s="38"/>
      <c r="R149" s="40"/>
      <c r="S149" s="40"/>
      <c r="T149" s="40"/>
      <c r="U149" s="40"/>
      <c r="V149" s="40"/>
      <c r="W149" s="40"/>
      <c r="X149" s="40"/>
      <c r="Y149" s="40"/>
      <c r="Z149" s="40"/>
      <c r="AA149" s="40"/>
      <c r="AB149" s="40"/>
      <c r="AC149" s="40"/>
      <c r="AD149" s="40"/>
      <c r="AE149" s="40"/>
      <c r="AF149" s="40"/>
      <c r="AG149" s="40"/>
      <c r="AH149" s="40"/>
    </row>
    <row r="150" spans="1:34" outlineLevel="1" x14ac:dyDescent="0.25">
      <c r="A150" s="5"/>
      <c r="B150" s="25" t="s">
        <v>26</v>
      </c>
      <c r="C150" s="25" t="s">
        <v>94</v>
      </c>
      <c r="D150" s="25" t="s">
        <v>79</v>
      </c>
      <c r="E150" s="27" t="s">
        <v>80</v>
      </c>
      <c r="F150" s="30">
        <f t="shared" si="16"/>
        <v>0</v>
      </c>
      <c r="G150" s="30">
        <f t="shared" si="16"/>
        <v>0</v>
      </c>
      <c r="H150" s="30">
        <f t="shared" si="16"/>
        <v>0</v>
      </c>
      <c r="I150" s="30">
        <f t="shared" si="16"/>
        <v>0</v>
      </c>
      <c r="J150" s="43">
        <f t="shared" si="15"/>
        <v>0</v>
      </c>
      <c r="K150" s="43">
        <f t="shared" si="15"/>
        <v>0</v>
      </c>
      <c r="L150" s="43">
        <f t="shared" si="15"/>
        <v>0</v>
      </c>
      <c r="M150" s="43">
        <f t="shared" si="15"/>
        <v>0</v>
      </c>
      <c r="N150" s="43">
        <f t="shared" si="15"/>
        <v>0</v>
      </c>
      <c r="O150" s="43">
        <f t="shared" si="15"/>
        <v>0</v>
      </c>
      <c r="P150" s="43">
        <f t="shared" si="15"/>
        <v>0</v>
      </c>
      <c r="Q150" s="38"/>
    </row>
    <row r="151" spans="1:34" x14ac:dyDescent="0.25">
      <c r="A151" s="5"/>
      <c r="B151" s="25"/>
      <c r="C151" s="25"/>
      <c r="D151" s="25"/>
      <c r="E151" s="16"/>
      <c r="G151" s="29"/>
      <c r="H151" s="29"/>
      <c r="I151" s="29"/>
      <c r="J151" s="29"/>
      <c r="K151" s="29"/>
      <c r="L151" s="29"/>
      <c r="M151" s="29"/>
      <c r="N151" s="29"/>
      <c r="O151" s="29"/>
      <c r="P151" s="29"/>
      <c r="Q151" s="38"/>
    </row>
    <row r="152" spans="1:34" x14ac:dyDescent="0.25">
      <c r="A152" s="5"/>
      <c r="B152" s="25"/>
      <c r="C152" s="25"/>
      <c r="D152" s="25"/>
      <c r="E152" s="16"/>
      <c r="G152" s="29"/>
      <c r="H152" s="29"/>
      <c r="I152" s="29"/>
      <c r="J152" s="29"/>
      <c r="K152" s="29"/>
      <c r="L152" s="29"/>
      <c r="M152" s="29"/>
      <c r="N152" s="29"/>
      <c r="O152" s="29"/>
      <c r="P152" s="29"/>
      <c r="Q152" s="38"/>
    </row>
    <row r="153" spans="1:34" x14ac:dyDescent="0.25">
      <c r="A153" s="5"/>
      <c r="B153" s="25"/>
      <c r="C153" s="25"/>
      <c r="D153" s="25"/>
      <c r="E153" s="16"/>
      <c r="G153" s="29"/>
      <c r="H153" s="29"/>
      <c r="I153" s="29"/>
      <c r="J153" s="29"/>
      <c r="K153" s="29"/>
      <c r="L153" s="29"/>
      <c r="M153" s="29"/>
      <c r="N153" s="29"/>
      <c r="O153" s="29"/>
      <c r="P153" s="29"/>
      <c r="Q153" s="38"/>
    </row>
    <row r="154" spans="1:34" x14ac:dyDescent="0.25">
      <c r="A154" s="5"/>
      <c r="B154" s="25"/>
      <c r="C154" s="25"/>
      <c r="D154" s="25"/>
      <c r="E154" s="16"/>
      <c r="G154" s="29"/>
      <c r="H154" s="29"/>
      <c r="I154" s="29"/>
      <c r="J154" s="29"/>
      <c r="K154" s="29"/>
      <c r="L154" s="29"/>
      <c r="M154" s="29"/>
      <c r="N154" s="29"/>
      <c r="O154" s="29"/>
      <c r="P154" s="29"/>
      <c r="Q154" s="38"/>
    </row>
    <row r="155" spans="1:34" x14ac:dyDescent="0.25">
      <c r="A155" s="5"/>
      <c r="B155" s="25"/>
      <c r="C155" s="25"/>
      <c r="D155" s="25"/>
      <c r="E155" s="16"/>
      <c r="G155" s="29"/>
      <c r="H155" s="29"/>
      <c r="I155" s="29"/>
      <c r="J155" s="29"/>
      <c r="K155" s="29"/>
      <c r="L155" s="29"/>
      <c r="M155" s="29"/>
      <c r="N155" s="29"/>
      <c r="O155" s="29"/>
      <c r="P155" s="29"/>
      <c r="Q155" s="38"/>
    </row>
    <row r="156" spans="1:34" x14ac:dyDescent="0.25">
      <c r="A156" s="5"/>
      <c r="B156" s="25"/>
      <c r="C156" s="25"/>
      <c r="D156" s="25"/>
      <c r="E156" s="16"/>
      <c r="G156" s="29"/>
      <c r="H156" s="29"/>
      <c r="I156" s="29"/>
      <c r="J156" s="29"/>
      <c r="K156" s="29"/>
      <c r="L156" s="29"/>
      <c r="M156" s="29"/>
      <c r="N156" s="29"/>
      <c r="O156" s="29"/>
      <c r="P156" s="29"/>
      <c r="Q156" s="38"/>
    </row>
    <row r="157" spans="1:34" x14ac:dyDescent="0.25">
      <c r="A157" s="5"/>
      <c r="B157" s="25"/>
      <c r="C157" s="25"/>
      <c r="D157" s="25"/>
      <c r="E157" s="16"/>
      <c r="G157" s="29"/>
      <c r="H157" s="29"/>
      <c r="I157" s="29"/>
      <c r="J157" s="29"/>
      <c r="K157" s="29"/>
      <c r="L157" s="29"/>
      <c r="M157" s="29"/>
      <c r="N157" s="29"/>
      <c r="O157" s="29"/>
      <c r="P157" s="29"/>
      <c r="Q157" s="38"/>
    </row>
    <row r="158" spans="1:34" x14ac:dyDescent="0.25">
      <c r="A158" s="5"/>
      <c r="B158" s="25"/>
      <c r="C158" s="25"/>
      <c r="D158" s="25"/>
      <c r="E158" s="16"/>
      <c r="G158" s="29"/>
      <c r="H158" s="29"/>
      <c r="I158" s="29"/>
      <c r="J158" s="29"/>
      <c r="K158" s="29"/>
      <c r="L158" s="29"/>
      <c r="M158" s="29"/>
      <c r="N158" s="29"/>
      <c r="O158" s="29"/>
      <c r="P158" s="29"/>
      <c r="Q158" s="38"/>
    </row>
    <row r="159" spans="1:34" x14ac:dyDescent="0.25">
      <c r="A159" s="5"/>
      <c r="B159" s="25"/>
      <c r="C159" s="25"/>
      <c r="D159" s="25"/>
      <c r="E159" s="16"/>
      <c r="G159" s="29"/>
      <c r="H159" s="29"/>
      <c r="I159" s="29"/>
      <c r="J159" s="29"/>
      <c r="K159" s="29"/>
      <c r="L159" s="29"/>
      <c r="M159" s="29"/>
      <c r="N159" s="29"/>
      <c r="O159" s="29"/>
      <c r="P159" s="29"/>
      <c r="Q159" s="38"/>
    </row>
    <row r="160" spans="1:34" x14ac:dyDescent="0.25">
      <c r="A160" s="5"/>
      <c r="B160" s="25"/>
      <c r="C160" s="25"/>
      <c r="D160" s="25"/>
      <c r="E160" s="16"/>
      <c r="G160" s="29"/>
      <c r="H160" s="29"/>
      <c r="I160" s="29"/>
      <c r="J160" s="29"/>
      <c r="K160" s="29"/>
      <c r="L160" s="29"/>
      <c r="M160" s="29"/>
      <c r="N160" s="29"/>
      <c r="O160" s="29"/>
      <c r="P160" s="29"/>
      <c r="Q160" s="38"/>
    </row>
    <row r="161" spans="1:17" x14ac:dyDescent="0.25">
      <c r="A161" s="5"/>
      <c r="B161" s="25"/>
      <c r="C161" s="25"/>
      <c r="D161" s="25"/>
      <c r="E161" s="16"/>
      <c r="G161" s="29"/>
      <c r="H161" s="29"/>
      <c r="I161" s="29"/>
      <c r="J161" s="29"/>
      <c r="K161" s="29"/>
      <c r="L161" s="29"/>
      <c r="M161" s="29"/>
      <c r="N161" s="29"/>
      <c r="O161" s="29"/>
      <c r="P161" s="29"/>
      <c r="Q161" s="38"/>
    </row>
    <row r="162" spans="1:17" x14ac:dyDescent="0.25">
      <c r="A162" s="5"/>
      <c r="B162" s="25"/>
      <c r="C162" s="25"/>
      <c r="D162" s="25"/>
      <c r="E162" s="16"/>
      <c r="G162" s="29"/>
      <c r="H162" s="29"/>
      <c r="I162" s="29"/>
      <c r="J162" s="29"/>
      <c r="K162" s="29"/>
      <c r="L162" s="29"/>
      <c r="M162" s="29"/>
      <c r="N162" s="29"/>
      <c r="O162" s="29"/>
      <c r="P162" s="29"/>
      <c r="Q162" s="38"/>
    </row>
    <row r="163" spans="1:17" x14ac:dyDescent="0.25">
      <c r="A163" s="5"/>
      <c r="B163" s="25"/>
      <c r="C163" s="25"/>
      <c r="D163" s="25"/>
      <c r="E163" s="16"/>
      <c r="G163" s="29"/>
      <c r="H163" s="29"/>
      <c r="I163" s="29"/>
      <c r="J163" s="29"/>
      <c r="K163" s="29"/>
      <c r="L163" s="29"/>
      <c r="M163" s="29"/>
      <c r="N163" s="29"/>
      <c r="O163" s="29"/>
      <c r="P163" s="29"/>
      <c r="Q163" s="38"/>
    </row>
    <row r="164" spans="1:17" x14ac:dyDescent="0.25">
      <c r="A164" s="5"/>
      <c r="B164" s="25"/>
      <c r="C164" s="25"/>
      <c r="D164" s="25"/>
      <c r="E164" s="16"/>
      <c r="G164" s="29"/>
      <c r="H164" s="29"/>
      <c r="I164" s="29"/>
      <c r="J164" s="29"/>
      <c r="K164" s="29"/>
      <c r="L164" s="29"/>
      <c r="M164" s="29"/>
      <c r="N164" s="29"/>
      <c r="O164" s="29"/>
      <c r="P164" s="29"/>
      <c r="Q164" s="38"/>
    </row>
    <row r="165" spans="1:17" x14ac:dyDescent="0.25">
      <c r="A165" s="5"/>
      <c r="B165" s="25"/>
      <c r="C165" s="25"/>
      <c r="D165" s="25"/>
      <c r="E165" s="16"/>
      <c r="G165" s="29"/>
      <c r="H165" s="29"/>
      <c r="I165" s="29"/>
      <c r="J165" s="29"/>
      <c r="K165" s="29"/>
      <c r="L165" s="29"/>
      <c r="M165" s="29"/>
      <c r="N165" s="29"/>
      <c r="O165" s="29"/>
      <c r="P165" s="29"/>
      <c r="Q165" s="38"/>
    </row>
    <row r="166" spans="1:17" x14ac:dyDescent="0.25">
      <c r="A166" s="5"/>
      <c r="B166" s="25"/>
      <c r="C166" s="25"/>
      <c r="D166" s="25"/>
      <c r="E166" s="16"/>
      <c r="G166" s="29"/>
      <c r="H166" s="29"/>
      <c r="I166" s="29"/>
      <c r="J166" s="29"/>
      <c r="K166" s="29"/>
      <c r="L166" s="29"/>
      <c r="M166" s="29"/>
      <c r="N166" s="29"/>
      <c r="O166" s="29"/>
      <c r="P166" s="29"/>
      <c r="Q166" s="38"/>
    </row>
    <row r="167" spans="1:17" x14ac:dyDescent="0.25">
      <c r="A167" s="5"/>
      <c r="B167" s="25"/>
      <c r="C167" s="25"/>
      <c r="D167" s="25"/>
      <c r="E167" s="16"/>
      <c r="G167" s="29"/>
      <c r="H167" s="29"/>
      <c r="I167" s="29"/>
      <c r="J167" s="29"/>
      <c r="K167" s="29"/>
      <c r="L167" s="29"/>
      <c r="M167" s="29"/>
      <c r="N167" s="29"/>
      <c r="O167" s="29"/>
      <c r="P167" s="29"/>
      <c r="Q167" s="38"/>
    </row>
    <row r="168" spans="1:17" x14ac:dyDescent="0.25">
      <c r="A168" s="5"/>
      <c r="B168" s="25"/>
      <c r="C168" s="25"/>
      <c r="D168" s="25"/>
      <c r="E168" s="16"/>
      <c r="G168" s="29"/>
      <c r="H168" s="29"/>
      <c r="I168" s="29"/>
      <c r="J168" s="29"/>
      <c r="K168" s="29"/>
      <c r="L168" s="29"/>
      <c r="M168" s="29"/>
      <c r="N168" s="29"/>
      <c r="O168" s="29"/>
      <c r="P168" s="29"/>
      <c r="Q168" s="38"/>
    </row>
    <row r="169" spans="1:17" x14ac:dyDescent="0.25">
      <c r="A169" s="5"/>
      <c r="B169" s="25"/>
      <c r="C169" s="25"/>
      <c r="D169" s="25"/>
      <c r="E169" s="16"/>
      <c r="G169" s="29"/>
      <c r="H169" s="29"/>
      <c r="I169" s="29"/>
      <c r="J169" s="29"/>
      <c r="K169" s="29"/>
      <c r="L169" s="29"/>
      <c r="M169" s="29"/>
      <c r="N169" s="29"/>
      <c r="O169" s="29"/>
      <c r="P169" s="29"/>
      <c r="Q169" s="38"/>
    </row>
    <row r="170" spans="1:17" x14ac:dyDescent="0.25">
      <c r="A170" s="5"/>
      <c r="B170" s="25"/>
      <c r="C170" s="25"/>
      <c r="D170" s="25"/>
      <c r="E170" s="16"/>
      <c r="G170" s="29"/>
      <c r="H170" s="29"/>
      <c r="I170" s="29"/>
      <c r="J170" s="29"/>
      <c r="K170" s="29"/>
      <c r="L170" s="29"/>
      <c r="M170" s="29"/>
      <c r="N170" s="29"/>
      <c r="O170" s="29"/>
      <c r="P170" s="29"/>
      <c r="Q170" s="38"/>
    </row>
    <row r="171" spans="1:17" x14ac:dyDescent="0.25">
      <c r="A171" s="5"/>
      <c r="B171" s="25"/>
      <c r="C171" s="25"/>
      <c r="D171" s="25"/>
      <c r="E171" s="16"/>
      <c r="G171" s="29"/>
      <c r="H171" s="29"/>
      <c r="I171" s="29"/>
      <c r="J171" s="29"/>
      <c r="K171" s="29"/>
      <c r="L171" s="29"/>
      <c r="M171" s="29"/>
      <c r="N171" s="29"/>
      <c r="O171" s="29"/>
      <c r="P171" s="29"/>
      <c r="Q171" s="38"/>
    </row>
    <row r="172" spans="1:17" x14ac:dyDescent="0.25">
      <c r="A172" s="5"/>
      <c r="B172" s="25"/>
      <c r="C172" s="25"/>
      <c r="D172" s="25"/>
      <c r="E172" s="16"/>
      <c r="G172" s="29"/>
      <c r="H172" s="29"/>
      <c r="I172" s="29"/>
      <c r="J172" s="29"/>
      <c r="K172" s="29"/>
      <c r="L172" s="29"/>
      <c r="M172" s="29"/>
      <c r="N172" s="29"/>
      <c r="O172" s="29"/>
      <c r="P172" s="29"/>
      <c r="Q172" s="38"/>
    </row>
    <row r="173" spans="1:17" x14ac:dyDescent="0.25">
      <c r="A173" s="5"/>
      <c r="B173" s="25"/>
      <c r="C173" s="25"/>
      <c r="D173" s="25"/>
      <c r="E173" s="16"/>
      <c r="G173" s="29"/>
      <c r="H173" s="29"/>
      <c r="I173" s="29"/>
      <c r="J173" s="29"/>
      <c r="K173" s="29"/>
      <c r="L173" s="29"/>
      <c r="M173" s="29"/>
      <c r="N173" s="29"/>
      <c r="O173" s="29"/>
      <c r="P173" s="29"/>
      <c r="Q173" s="38"/>
    </row>
    <row r="174" spans="1:17" x14ac:dyDescent="0.25">
      <c r="A174" s="5"/>
      <c r="B174" s="25"/>
      <c r="C174" s="25"/>
      <c r="D174" s="25"/>
      <c r="E174" s="16"/>
      <c r="G174" s="29"/>
      <c r="H174" s="29"/>
      <c r="I174" s="29"/>
      <c r="J174" s="29"/>
      <c r="K174" s="29"/>
      <c r="L174" s="29"/>
      <c r="M174" s="29"/>
      <c r="N174" s="29"/>
      <c r="O174" s="29"/>
      <c r="P174" s="29"/>
      <c r="Q174" s="38"/>
    </row>
    <row r="175" spans="1:17" x14ac:dyDescent="0.25">
      <c r="A175" s="5"/>
      <c r="B175" s="25"/>
      <c r="C175" s="25"/>
      <c r="D175" s="25"/>
      <c r="E175" s="16"/>
      <c r="G175" s="29"/>
      <c r="H175" s="29"/>
      <c r="I175" s="29"/>
      <c r="J175" s="29"/>
      <c r="K175" s="29"/>
      <c r="L175" s="29"/>
      <c r="M175" s="29"/>
      <c r="N175" s="29"/>
      <c r="O175" s="29"/>
      <c r="P175" s="29"/>
      <c r="Q175" s="38"/>
    </row>
    <row r="176" spans="1:17" x14ac:dyDescent="0.25">
      <c r="A176" s="5"/>
      <c r="B176" s="25"/>
      <c r="C176" s="25"/>
      <c r="D176" s="25"/>
      <c r="E176" s="16"/>
      <c r="G176" s="29"/>
      <c r="H176" s="29"/>
      <c r="I176" s="29"/>
      <c r="J176" s="29"/>
      <c r="K176" s="29"/>
      <c r="L176" s="29"/>
      <c r="M176" s="29"/>
      <c r="N176" s="29"/>
      <c r="O176" s="29"/>
      <c r="P176" s="29"/>
      <c r="Q176" s="38"/>
    </row>
    <row r="177" spans="1:17" x14ac:dyDescent="0.25">
      <c r="A177" s="5"/>
      <c r="B177" s="25"/>
      <c r="C177" s="25"/>
      <c r="D177" s="25"/>
      <c r="E177" s="16"/>
      <c r="G177" s="29"/>
      <c r="H177" s="29"/>
      <c r="I177" s="29"/>
      <c r="J177" s="29"/>
      <c r="K177" s="29"/>
      <c r="L177" s="29"/>
      <c r="M177" s="29"/>
      <c r="N177" s="29"/>
      <c r="O177" s="29"/>
      <c r="P177" s="29"/>
      <c r="Q177" s="38"/>
    </row>
    <row r="178" spans="1:17" x14ac:dyDescent="0.25">
      <c r="A178" s="5"/>
      <c r="B178" s="25"/>
      <c r="C178" s="25"/>
      <c r="D178" s="25"/>
      <c r="E178" s="16"/>
      <c r="G178" s="29"/>
      <c r="H178" s="29"/>
      <c r="I178" s="29"/>
      <c r="J178" s="29"/>
      <c r="K178" s="29"/>
      <c r="L178" s="29"/>
      <c r="M178" s="29"/>
      <c r="N178" s="29"/>
      <c r="O178" s="29"/>
      <c r="P178" s="29"/>
      <c r="Q178" s="38"/>
    </row>
    <row r="179" spans="1:17" x14ac:dyDescent="0.25">
      <c r="A179" s="5"/>
      <c r="B179" s="13"/>
      <c r="C179" s="13"/>
      <c r="D179" s="13"/>
      <c r="E179" s="9"/>
      <c r="F179" s="29"/>
      <c r="G179" s="29"/>
      <c r="H179" s="29"/>
      <c r="I179" s="29"/>
      <c r="J179" s="29"/>
      <c r="K179" s="29"/>
      <c r="L179" s="29"/>
      <c r="M179" s="29"/>
      <c r="N179" s="29"/>
      <c r="O179" s="29"/>
      <c r="P179" s="29"/>
      <c r="Q179" s="38"/>
    </row>
    <row r="180" spans="1:17" x14ac:dyDescent="0.25">
      <c r="A180" s="5"/>
      <c r="B180" s="13"/>
      <c r="C180" s="13"/>
      <c r="D180" s="13"/>
      <c r="E180" s="9"/>
      <c r="F180" s="29"/>
      <c r="G180" s="29"/>
      <c r="H180" s="29"/>
      <c r="I180" s="29"/>
      <c r="J180" s="29"/>
      <c r="K180" s="29"/>
      <c r="L180" s="29"/>
      <c r="M180" s="29"/>
      <c r="N180" s="29"/>
      <c r="O180" s="29"/>
      <c r="P180" s="29"/>
      <c r="Q180" s="38"/>
    </row>
    <row r="181" spans="1:17" x14ac:dyDescent="0.25">
      <c r="A181" s="5"/>
      <c r="B181" s="25"/>
      <c r="C181" s="25"/>
      <c r="D181" s="25"/>
      <c r="E181" s="16"/>
      <c r="G181" s="29"/>
      <c r="H181" s="29"/>
      <c r="I181" s="29"/>
      <c r="J181" s="29"/>
      <c r="K181" s="29"/>
      <c r="L181" s="29"/>
      <c r="M181" s="29"/>
      <c r="N181" s="29"/>
      <c r="O181" s="29"/>
      <c r="P181" s="29"/>
      <c r="Q181" s="38"/>
    </row>
    <row r="182" spans="1:17" x14ac:dyDescent="0.25">
      <c r="A182" s="5"/>
      <c r="B182" s="25"/>
      <c r="C182" s="25"/>
      <c r="D182" s="25"/>
      <c r="E182" s="16"/>
      <c r="G182" s="29"/>
      <c r="H182" s="29"/>
      <c r="I182" s="29"/>
      <c r="J182" s="29"/>
      <c r="K182" s="29"/>
      <c r="L182" s="29"/>
      <c r="M182" s="29"/>
      <c r="N182" s="29"/>
      <c r="O182" s="29"/>
      <c r="P182" s="29"/>
      <c r="Q182" s="38"/>
    </row>
    <row r="183" spans="1:17" x14ac:dyDescent="0.25">
      <c r="A183" s="5"/>
      <c r="B183" s="25"/>
      <c r="C183" s="25"/>
      <c r="D183" s="25"/>
      <c r="E183" s="16"/>
      <c r="G183" s="29"/>
      <c r="H183" s="29"/>
      <c r="I183" s="29"/>
      <c r="J183" s="29"/>
      <c r="K183" s="29"/>
      <c r="L183" s="29"/>
      <c r="M183" s="29"/>
      <c r="N183" s="29"/>
      <c r="O183" s="29"/>
      <c r="P183" s="29"/>
      <c r="Q183" s="38"/>
    </row>
    <row r="184" spans="1:17" x14ac:dyDescent="0.25">
      <c r="A184" s="5"/>
      <c r="B184" s="25"/>
      <c r="C184" s="25"/>
      <c r="D184" s="25"/>
      <c r="E184" s="16"/>
      <c r="G184" s="29"/>
      <c r="H184" s="29"/>
      <c r="I184" s="29"/>
      <c r="J184" s="29"/>
      <c r="K184" s="29"/>
      <c r="L184" s="29"/>
      <c r="M184" s="29"/>
      <c r="N184" s="29"/>
      <c r="O184" s="29"/>
      <c r="P184" s="29"/>
      <c r="Q184" s="38"/>
    </row>
    <row r="185" spans="1:17" x14ac:dyDescent="0.25">
      <c r="A185" s="5"/>
      <c r="B185" s="25"/>
      <c r="C185" s="25"/>
      <c r="D185" s="25"/>
      <c r="E185" s="16"/>
      <c r="G185" s="29"/>
      <c r="H185" s="29"/>
      <c r="I185" s="29"/>
      <c r="J185" s="29"/>
      <c r="K185" s="29"/>
      <c r="L185" s="29"/>
      <c r="M185" s="29"/>
      <c r="N185" s="29"/>
      <c r="O185" s="29"/>
      <c r="P185" s="29"/>
      <c r="Q185" s="38"/>
    </row>
    <row r="186" spans="1:17" x14ac:dyDescent="0.25">
      <c r="A186" s="5"/>
      <c r="B186" s="25"/>
      <c r="C186" s="25"/>
      <c r="D186" s="25"/>
      <c r="E186" s="16"/>
      <c r="G186" s="29"/>
      <c r="H186" s="29"/>
      <c r="I186" s="29"/>
      <c r="J186" s="29"/>
      <c r="K186" s="29"/>
      <c r="L186" s="29"/>
      <c r="M186" s="29"/>
      <c r="N186" s="29"/>
      <c r="O186" s="29"/>
      <c r="P186" s="29"/>
      <c r="Q186" s="38"/>
    </row>
    <row r="187" spans="1:17" x14ac:dyDescent="0.25">
      <c r="A187" s="5"/>
      <c r="B187" s="25"/>
      <c r="C187" s="25"/>
      <c r="D187" s="25"/>
      <c r="E187" s="16"/>
      <c r="G187" s="29"/>
      <c r="H187" s="29"/>
      <c r="I187" s="29"/>
      <c r="J187" s="29"/>
      <c r="K187" s="29"/>
      <c r="L187" s="29"/>
      <c r="M187" s="29"/>
      <c r="N187" s="29"/>
      <c r="O187" s="29"/>
      <c r="P187" s="29"/>
      <c r="Q187" s="38"/>
    </row>
    <row r="188" spans="1:17" x14ac:dyDescent="0.25">
      <c r="A188" s="5"/>
      <c r="B188" s="25"/>
      <c r="C188" s="25"/>
      <c r="D188" s="25"/>
      <c r="E188" s="16"/>
      <c r="G188" s="29"/>
      <c r="H188" s="29"/>
      <c r="I188" s="29"/>
      <c r="J188" s="29"/>
      <c r="K188" s="29"/>
      <c r="L188" s="29"/>
      <c r="M188" s="29"/>
      <c r="N188" s="29"/>
      <c r="O188" s="29"/>
      <c r="P188" s="29"/>
      <c r="Q188" s="38"/>
    </row>
    <row r="189" spans="1:17" x14ac:dyDescent="0.25">
      <c r="A189" s="5"/>
      <c r="B189" s="25"/>
      <c r="C189" s="25"/>
      <c r="D189" s="25"/>
      <c r="E189" s="16"/>
      <c r="G189" s="29"/>
      <c r="H189" s="29"/>
      <c r="I189" s="29"/>
      <c r="J189" s="29"/>
      <c r="K189" s="29"/>
      <c r="L189" s="29"/>
      <c r="M189" s="29"/>
      <c r="N189" s="29"/>
      <c r="O189" s="29"/>
      <c r="P189" s="29"/>
      <c r="Q189" s="38"/>
    </row>
    <row r="190" spans="1:17" x14ac:dyDescent="0.25">
      <c r="A190" s="5"/>
      <c r="B190" s="25"/>
      <c r="C190" s="25"/>
      <c r="D190" s="25"/>
      <c r="E190" s="16"/>
      <c r="G190" s="29"/>
      <c r="H190" s="29"/>
      <c r="I190" s="29"/>
      <c r="J190" s="29"/>
      <c r="K190" s="29"/>
      <c r="L190" s="29"/>
      <c r="M190" s="29"/>
      <c r="N190" s="29"/>
      <c r="O190" s="29"/>
      <c r="P190" s="29"/>
      <c r="Q190" s="38"/>
    </row>
    <row r="191" spans="1:17" x14ac:dyDescent="0.25">
      <c r="A191" s="5"/>
      <c r="B191" s="25"/>
      <c r="C191" s="25"/>
      <c r="D191" s="25"/>
      <c r="E191" s="16"/>
      <c r="G191" s="29"/>
      <c r="H191" s="29"/>
      <c r="I191" s="29"/>
      <c r="J191" s="29"/>
      <c r="K191" s="29"/>
      <c r="L191" s="29"/>
      <c r="M191" s="29"/>
      <c r="N191" s="29"/>
      <c r="O191" s="29"/>
      <c r="P191" s="29"/>
      <c r="Q191" s="38"/>
    </row>
    <row r="192" spans="1:17" x14ac:dyDescent="0.25">
      <c r="A192" s="5"/>
      <c r="B192" s="25"/>
      <c r="C192" s="25"/>
      <c r="D192" s="25"/>
      <c r="E192" s="16"/>
      <c r="G192" s="29"/>
      <c r="H192" s="29"/>
      <c r="I192" s="29"/>
      <c r="J192" s="29"/>
      <c r="K192" s="29"/>
      <c r="L192" s="29"/>
      <c r="M192" s="29"/>
      <c r="N192" s="29"/>
      <c r="O192" s="29"/>
      <c r="P192" s="29"/>
      <c r="Q192" s="38"/>
    </row>
    <row r="193" spans="1:17" x14ac:dyDescent="0.25">
      <c r="A193" s="5"/>
      <c r="B193" s="25"/>
      <c r="C193" s="25"/>
      <c r="D193" s="25"/>
      <c r="E193" s="16"/>
      <c r="G193" s="29"/>
      <c r="H193" s="29"/>
      <c r="I193" s="29"/>
      <c r="J193" s="29"/>
      <c r="K193" s="29"/>
      <c r="L193" s="29"/>
      <c r="M193" s="29"/>
      <c r="N193" s="29"/>
      <c r="O193" s="29"/>
      <c r="P193" s="29"/>
      <c r="Q193" s="38"/>
    </row>
    <row r="194" spans="1:17" x14ac:dyDescent="0.25">
      <c r="A194" s="5"/>
      <c r="B194" s="25"/>
      <c r="C194" s="25"/>
      <c r="D194" s="25"/>
      <c r="E194" s="16"/>
      <c r="G194" s="29"/>
      <c r="H194" s="29"/>
      <c r="I194" s="29"/>
      <c r="J194" s="29"/>
      <c r="K194" s="29"/>
      <c r="L194" s="29"/>
      <c r="M194" s="29"/>
      <c r="N194" s="29"/>
      <c r="O194" s="29"/>
      <c r="P194" s="29"/>
      <c r="Q194" s="38"/>
    </row>
    <row r="195" spans="1:17" x14ac:dyDescent="0.25">
      <c r="A195" s="5"/>
      <c r="B195" s="25"/>
      <c r="C195" s="25"/>
      <c r="D195" s="25"/>
      <c r="E195" s="16"/>
      <c r="G195" s="29"/>
      <c r="H195" s="29"/>
      <c r="I195" s="29"/>
      <c r="J195" s="29"/>
      <c r="K195" s="29"/>
      <c r="L195" s="29"/>
      <c r="M195" s="29"/>
      <c r="N195" s="29"/>
      <c r="O195" s="29"/>
      <c r="P195" s="29"/>
      <c r="Q195" s="38"/>
    </row>
    <row r="196" spans="1:17" x14ac:dyDescent="0.25">
      <c r="A196" s="5"/>
      <c r="B196" s="25"/>
      <c r="C196" s="25"/>
      <c r="D196" s="25"/>
      <c r="E196" s="16"/>
      <c r="G196" s="29"/>
      <c r="H196" s="29"/>
      <c r="I196" s="29"/>
      <c r="J196" s="29"/>
      <c r="K196" s="29"/>
      <c r="L196" s="29"/>
      <c r="M196" s="29"/>
      <c r="N196" s="29"/>
      <c r="O196" s="29"/>
      <c r="P196" s="29"/>
      <c r="Q196" s="38"/>
    </row>
    <row r="197" spans="1:17" x14ac:dyDescent="0.25">
      <c r="A197" s="5"/>
      <c r="B197" s="25"/>
      <c r="C197" s="25"/>
      <c r="D197" s="25"/>
      <c r="E197" s="16"/>
      <c r="G197" s="29"/>
      <c r="H197" s="29"/>
      <c r="I197" s="29"/>
      <c r="J197" s="29"/>
      <c r="K197" s="29"/>
      <c r="L197" s="29"/>
      <c r="M197" s="29"/>
      <c r="N197" s="29"/>
      <c r="O197" s="29"/>
      <c r="P197" s="29"/>
      <c r="Q197" s="38"/>
    </row>
    <row r="198" spans="1:17" x14ac:dyDescent="0.25">
      <c r="A198" s="5"/>
      <c r="B198" s="25"/>
      <c r="C198" s="25"/>
      <c r="D198" s="25"/>
      <c r="E198" s="16"/>
      <c r="G198" s="29"/>
      <c r="H198" s="29"/>
      <c r="I198" s="29"/>
      <c r="J198" s="29"/>
      <c r="K198" s="29"/>
      <c r="L198" s="29"/>
      <c r="M198" s="29"/>
      <c r="N198" s="29"/>
      <c r="O198" s="29"/>
      <c r="P198" s="29"/>
      <c r="Q198" s="38"/>
    </row>
    <row r="199" spans="1:17" x14ac:dyDescent="0.25">
      <c r="A199" s="5"/>
      <c r="B199" s="25"/>
      <c r="C199" s="25"/>
      <c r="D199" s="25"/>
      <c r="E199" s="16"/>
      <c r="G199" s="29"/>
      <c r="H199" s="29"/>
      <c r="I199" s="29"/>
      <c r="J199" s="29"/>
      <c r="K199" s="29"/>
      <c r="L199" s="29"/>
      <c r="M199" s="29"/>
      <c r="N199" s="29"/>
      <c r="O199" s="29"/>
      <c r="P199" s="29"/>
      <c r="Q199" s="38"/>
    </row>
    <row r="200" spans="1:17" x14ac:dyDescent="0.25">
      <c r="A200" s="5"/>
      <c r="B200" s="25"/>
      <c r="C200" s="25"/>
      <c r="D200" s="25"/>
      <c r="E200" s="16"/>
      <c r="G200" s="29"/>
      <c r="H200" s="29"/>
      <c r="I200" s="29"/>
      <c r="J200" s="29"/>
      <c r="K200" s="29"/>
      <c r="L200" s="29"/>
      <c r="M200" s="29"/>
      <c r="N200" s="29"/>
      <c r="O200" s="29"/>
      <c r="P200" s="29"/>
      <c r="Q200" s="38"/>
    </row>
    <row r="201" spans="1:17" x14ac:dyDescent="0.25">
      <c r="A201" s="5"/>
      <c r="B201" s="25"/>
      <c r="C201" s="25"/>
      <c r="D201" s="25"/>
      <c r="E201" s="16"/>
      <c r="G201" s="29"/>
      <c r="H201" s="29"/>
      <c r="I201" s="29"/>
      <c r="J201" s="29"/>
      <c r="K201" s="29"/>
      <c r="L201" s="29"/>
      <c r="M201" s="29"/>
      <c r="N201" s="29"/>
      <c r="O201" s="29"/>
      <c r="P201" s="29"/>
      <c r="Q201" s="38"/>
    </row>
    <row r="202" spans="1:17" x14ac:dyDescent="0.25">
      <c r="A202" s="5"/>
      <c r="B202" s="25"/>
      <c r="C202" s="25"/>
      <c r="D202" s="25"/>
      <c r="E202" s="16"/>
      <c r="G202" s="29"/>
      <c r="H202" s="29"/>
      <c r="I202" s="29"/>
      <c r="J202" s="29"/>
      <c r="K202" s="29"/>
      <c r="L202" s="29"/>
      <c r="M202" s="29"/>
      <c r="N202" s="29"/>
      <c r="O202" s="29"/>
      <c r="P202" s="29"/>
      <c r="Q202" s="38"/>
    </row>
    <row r="203" spans="1:17" x14ac:dyDescent="0.25">
      <c r="A203" s="5"/>
      <c r="B203" s="25"/>
      <c r="C203" s="25"/>
      <c r="D203" s="25"/>
      <c r="E203" s="16"/>
      <c r="G203" s="29"/>
      <c r="H203" s="29"/>
      <c r="I203" s="29"/>
      <c r="J203" s="29"/>
      <c r="K203" s="29"/>
      <c r="L203" s="29"/>
      <c r="M203" s="29"/>
      <c r="N203" s="29"/>
      <c r="O203" s="29"/>
      <c r="P203" s="29"/>
      <c r="Q203" s="38"/>
    </row>
    <row r="204" spans="1:17" x14ac:dyDescent="0.25">
      <c r="A204" s="5"/>
      <c r="B204" s="25"/>
      <c r="C204" s="25"/>
      <c r="D204" s="25"/>
      <c r="E204" s="16"/>
      <c r="G204" s="29"/>
      <c r="H204" s="29"/>
      <c r="I204" s="29"/>
      <c r="J204" s="29"/>
      <c r="K204" s="29"/>
      <c r="L204" s="29"/>
      <c r="M204" s="29"/>
      <c r="N204" s="29"/>
      <c r="O204" s="29"/>
      <c r="P204" s="29"/>
      <c r="Q204" s="38"/>
    </row>
    <row r="205" spans="1:17" x14ac:dyDescent="0.25">
      <c r="A205" s="5"/>
      <c r="B205" s="25"/>
      <c r="C205" s="25"/>
      <c r="D205" s="25"/>
      <c r="E205" s="16"/>
      <c r="G205" s="29"/>
      <c r="H205" s="29"/>
      <c r="I205" s="29"/>
      <c r="J205" s="29"/>
      <c r="K205" s="29"/>
      <c r="L205" s="29"/>
      <c r="M205" s="29"/>
      <c r="N205" s="29"/>
      <c r="O205" s="29"/>
      <c r="P205" s="29"/>
      <c r="Q205" s="38"/>
    </row>
    <row r="206" spans="1:17" x14ac:dyDescent="0.25">
      <c r="A206" s="5"/>
      <c r="B206" s="25"/>
      <c r="C206" s="25"/>
      <c r="D206" s="25"/>
      <c r="E206" s="16"/>
      <c r="G206" s="29"/>
      <c r="H206" s="29"/>
      <c r="I206" s="29"/>
      <c r="J206" s="29"/>
      <c r="K206" s="29"/>
      <c r="L206" s="29"/>
      <c r="M206" s="29"/>
      <c r="N206" s="29"/>
      <c r="O206" s="29"/>
      <c r="P206" s="29"/>
      <c r="Q206" s="38"/>
    </row>
    <row r="207" spans="1:17" x14ac:dyDescent="0.25">
      <c r="A207" s="5"/>
      <c r="B207" s="13"/>
      <c r="C207" s="13"/>
      <c r="D207" s="13"/>
      <c r="E207" s="9"/>
      <c r="F207" s="29"/>
      <c r="G207" s="29"/>
      <c r="H207" s="29"/>
      <c r="I207" s="29"/>
      <c r="J207" s="29"/>
      <c r="K207" s="29"/>
      <c r="L207" s="29"/>
      <c r="M207" s="29"/>
      <c r="N207" s="29"/>
      <c r="O207" s="29"/>
      <c r="P207" s="29"/>
      <c r="Q207" s="38"/>
    </row>
    <row r="208" spans="1:17" x14ac:dyDescent="0.25">
      <c r="A208" s="5"/>
      <c r="B208" s="13"/>
      <c r="C208" s="13"/>
      <c r="D208" s="13"/>
      <c r="E208" s="9"/>
      <c r="F208" s="29"/>
      <c r="G208" s="29"/>
      <c r="H208" s="29"/>
      <c r="I208" s="29"/>
      <c r="J208" s="29"/>
      <c r="K208" s="29"/>
      <c r="L208" s="29"/>
      <c r="M208" s="29"/>
      <c r="N208" s="29"/>
      <c r="O208" s="29"/>
      <c r="P208" s="29"/>
      <c r="Q208" s="38"/>
    </row>
    <row r="209" spans="1:17" x14ac:dyDescent="0.25">
      <c r="A209" s="5"/>
      <c r="B209" s="25"/>
      <c r="C209" s="25"/>
      <c r="D209" s="25"/>
      <c r="E209" s="16"/>
      <c r="G209" s="29"/>
      <c r="H209" s="29"/>
      <c r="I209" s="29"/>
      <c r="J209" s="29"/>
      <c r="K209" s="29"/>
      <c r="L209" s="29"/>
      <c r="M209" s="29"/>
      <c r="N209" s="29"/>
      <c r="O209" s="29"/>
      <c r="P209" s="29"/>
      <c r="Q209" s="38"/>
    </row>
    <row r="210" spans="1:17" x14ac:dyDescent="0.25">
      <c r="A210" s="5"/>
      <c r="B210" s="25"/>
      <c r="C210" s="25"/>
      <c r="D210" s="25"/>
      <c r="E210" s="16"/>
      <c r="G210" s="29"/>
      <c r="H210" s="29"/>
      <c r="I210" s="29"/>
      <c r="J210" s="29"/>
      <c r="K210" s="29"/>
      <c r="L210" s="29"/>
      <c r="M210" s="29"/>
      <c r="N210" s="29"/>
      <c r="O210" s="29"/>
      <c r="P210" s="29"/>
      <c r="Q210" s="38"/>
    </row>
    <row r="211" spans="1:17" x14ac:dyDescent="0.25">
      <c r="A211" s="5"/>
      <c r="B211" s="25"/>
      <c r="C211" s="25"/>
      <c r="D211" s="25"/>
      <c r="E211" s="16"/>
      <c r="G211" s="29"/>
      <c r="H211" s="29"/>
      <c r="I211" s="29"/>
      <c r="J211" s="29"/>
      <c r="K211" s="29"/>
      <c r="L211" s="29"/>
      <c r="M211" s="29"/>
      <c r="N211" s="29"/>
      <c r="O211" s="29"/>
      <c r="P211" s="29"/>
      <c r="Q211" s="38"/>
    </row>
    <row r="212" spans="1:17" x14ac:dyDescent="0.25">
      <c r="A212" s="5"/>
      <c r="B212" s="25"/>
      <c r="C212" s="25"/>
      <c r="D212" s="25"/>
      <c r="E212" s="16"/>
      <c r="G212" s="29"/>
      <c r="H212" s="29"/>
      <c r="I212" s="29"/>
      <c r="J212" s="29"/>
      <c r="K212" s="29"/>
      <c r="L212" s="29"/>
      <c r="M212" s="29"/>
      <c r="N212" s="29"/>
      <c r="O212" s="29"/>
      <c r="P212" s="29"/>
      <c r="Q212" s="38"/>
    </row>
    <row r="213" spans="1:17" x14ac:dyDescent="0.25">
      <c r="A213" s="5"/>
      <c r="B213" s="25"/>
      <c r="C213" s="25"/>
      <c r="D213" s="25"/>
      <c r="E213" s="16"/>
      <c r="G213" s="29"/>
      <c r="H213" s="29"/>
      <c r="I213" s="29"/>
      <c r="J213" s="29"/>
      <c r="K213" s="29"/>
      <c r="L213" s="29"/>
      <c r="M213" s="29"/>
      <c r="N213" s="29"/>
      <c r="O213" s="29"/>
      <c r="P213" s="29"/>
      <c r="Q213" s="38"/>
    </row>
    <row r="214" spans="1:17" x14ac:dyDescent="0.25">
      <c r="A214" s="5"/>
      <c r="B214" s="25"/>
      <c r="C214" s="25"/>
      <c r="D214" s="25"/>
      <c r="E214" s="16"/>
      <c r="G214" s="29"/>
      <c r="H214" s="29"/>
      <c r="I214" s="29"/>
      <c r="J214" s="29"/>
      <c r="K214" s="29"/>
      <c r="L214" s="29"/>
      <c r="M214" s="29"/>
      <c r="N214" s="29"/>
      <c r="O214" s="29"/>
      <c r="P214" s="29"/>
      <c r="Q214" s="38"/>
    </row>
    <row r="215" spans="1:17" x14ac:dyDescent="0.25">
      <c r="A215" s="5"/>
      <c r="B215" s="25"/>
      <c r="C215" s="25"/>
      <c r="D215" s="25"/>
      <c r="E215" s="16"/>
      <c r="G215" s="29"/>
      <c r="H215" s="29"/>
      <c r="I215" s="29"/>
      <c r="J215" s="29"/>
      <c r="K215" s="29"/>
      <c r="L215" s="29"/>
      <c r="M215" s="29"/>
      <c r="N215" s="29"/>
      <c r="O215" s="29"/>
      <c r="P215" s="29"/>
      <c r="Q215" s="38"/>
    </row>
    <row r="216" spans="1:17" x14ac:dyDescent="0.25">
      <c r="A216" s="5"/>
      <c r="B216" s="25"/>
      <c r="C216" s="25"/>
      <c r="D216" s="25"/>
      <c r="E216" s="16"/>
      <c r="G216" s="29"/>
      <c r="H216" s="29"/>
      <c r="I216" s="29"/>
      <c r="J216" s="29"/>
      <c r="K216" s="29"/>
      <c r="L216" s="29"/>
      <c r="M216" s="29"/>
      <c r="N216" s="29"/>
      <c r="O216" s="29"/>
      <c r="P216" s="29"/>
      <c r="Q216" s="38"/>
    </row>
    <row r="217" spans="1:17" x14ac:dyDescent="0.25">
      <c r="A217" s="5"/>
      <c r="B217" s="25"/>
      <c r="C217" s="25"/>
      <c r="D217" s="25"/>
      <c r="E217" s="16"/>
      <c r="G217" s="29"/>
      <c r="H217" s="29"/>
      <c r="I217" s="29"/>
      <c r="J217" s="29"/>
      <c r="K217" s="29"/>
      <c r="L217" s="29"/>
      <c r="M217" s="29"/>
      <c r="N217" s="29"/>
      <c r="O217" s="29"/>
      <c r="P217" s="29"/>
      <c r="Q217" s="38"/>
    </row>
    <row r="218" spans="1:17" x14ac:dyDescent="0.25">
      <c r="A218" s="5"/>
      <c r="B218" s="25"/>
      <c r="C218" s="25"/>
      <c r="D218" s="25"/>
      <c r="E218" s="16"/>
      <c r="G218" s="29"/>
      <c r="H218" s="29"/>
      <c r="I218" s="29"/>
      <c r="J218" s="29"/>
      <c r="K218" s="29"/>
      <c r="L218" s="29"/>
      <c r="M218" s="29"/>
      <c r="N218" s="29"/>
      <c r="O218" s="29"/>
      <c r="P218" s="29"/>
      <c r="Q218" s="38"/>
    </row>
    <row r="219" spans="1:17" x14ac:dyDescent="0.25">
      <c r="A219" s="5"/>
      <c r="B219" s="25"/>
      <c r="C219" s="25"/>
      <c r="D219" s="25"/>
      <c r="E219" s="16"/>
      <c r="G219" s="29"/>
      <c r="H219" s="29"/>
      <c r="I219" s="29"/>
      <c r="J219" s="29"/>
      <c r="K219" s="29"/>
      <c r="L219" s="29"/>
      <c r="M219" s="29"/>
      <c r="N219" s="29"/>
      <c r="O219" s="29"/>
      <c r="P219" s="29"/>
      <c r="Q219" s="38"/>
    </row>
    <row r="220" spans="1:17" x14ac:dyDescent="0.25">
      <c r="A220" s="5"/>
      <c r="B220" s="25"/>
      <c r="C220" s="25"/>
      <c r="D220" s="25"/>
      <c r="E220" s="16"/>
      <c r="G220" s="29"/>
      <c r="H220" s="29"/>
      <c r="I220" s="29"/>
      <c r="J220" s="29"/>
      <c r="K220" s="29"/>
      <c r="L220" s="29"/>
      <c r="M220" s="29"/>
      <c r="N220" s="29"/>
      <c r="O220" s="29"/>
      <c r="P220" s="29"/>
      <c r="Q220" s="38"/>
    </row>
    <row r="221" spans="1:17" x14ac:dyDescent="0.25">
      <c r="A221" s="5"/>
      <c r="B221" s="25"/>
      <c r="C221" s="25"/>
      <c r="D221" s="25"/>
      <c r="E221" s="16"/>
      <c r="G221" s="29"/>
      <c r="H221" s="29"/>
      <c r="I221" s="29"/>
      <c r="J221" s="29"/>
      <c r="K221" s="29"/>
      <c r="L221" s="29"/>
      <c r="M221" s="29"/>
      <c r="N221" s="29"/>
      <c r="O221" s="29"/>
      <c r="P221" s="29"/>
      <c r="Q221" s="38"/>
    </row>
    <row r="222" spans="1:17" x14ac:dyDescent="0.25">
      <c r="A222" s="5"/>
      <c r="B222" s="25"/>
      <c r="C222" s="25"/>
      <c r="D222" s="25"/>
      <c r="E222" s="16"/>
      <c r="G222" s="29"/>
      <c r="H222" s="29"/>
      <c r="I222" s="29"/>
      <c r="J222" s="29"/>
      <c r="K222" s="29"/>
      <c r="L222" s="29"/>
      <c r="M222" s="29"/>
      <c r="N222" s="29"/>
      <c r="O222" s="29"/>
      <c r="P222" s="29"/>
      <c r="Q222" s="38"/>
    </row>
    <row r="223" spans="1:17" x14ac:dyDescent="0.25">
      <c r="A223" s="5"/>
      <c r="B223" s="25"/>
      <c r="C223" s="25"/>
      <c r="D223" s="25"/>
      <c r="E223" s="16"/>
      <c r="G223" s="29"/>
      <c r="H223" s="29"/>
      <c r="I223" s="29"/>
      <c r="J223" s="29"/>
      <c r="K223" s="29"/>
      <c r="L223" s="29"/>
      <c r="M223" s="29"/>
      <c r="N223" s="29"/>
      <c r="O223" s="29"/>
      <c r="P223" s="29"/>
      <c r="Q223" s="38"/>
    </row>
    <row r="224" spans="1:17" x14ac:dyDescent="0.25">
      <c r="A224" s="5"/>
      <c r="B224" s="25"/>
      <c r="C224" s="25"/>
      <c r="D224" s="25"/>
      <c r="E224" s="16"/>
      <c r="G224" s="29"/>
      <c r="H224" s="29"/>
      <c r="I224" s="29"/>
      <c r="J224" s="29"/>
      <c r="K224" s="29"/>
      <c r="L224" s="29"/>
      <c r="M224" s="29"/>
      <c r="N224" s="29"/>
      <c r="O224" s="29"/>
      <c r="P224" s="29"/>
      <c r="Q224" s="38"/>
    </row>
    <row r="225" spans="1:17" x14ac:dyDescent="0.25">
      <c r="A225" s="5"/>
      <c r="B225" s="25"/>
      <c r="C225" s="25"/>
      <c r="D225" s="25"/>
      <c r="E225" s="16"/>
      <c r="G225" s="29"/>
      <c r="H225" s="29"/>
      <c r="I225" s="29"/>
      <c r="J225" s="29"/>
      <c r="K225" s="29"/>
      <c r="L225" s="29"/>
      <c r="M225" s="29"/>
      <c r="N225" s="29"/>
      <c r="O225" s="29"/>
      <c r="P225" s="29"/>
      <c r="Q225" s="38"/>
    </row>
    <row r="226" spans="1:17" x14ac:dyDescent="0.25">
      <c r="A226" s="5"/>
      <c r="B226" s="25"/>
      <c r="C226" s="25"/>
      <c r="D226" s="25"/>
      <c r="E226" s="16"/>
      <c r="G226" s="29"/>
      <c r="H226" s="29"/>
      <c r="I226" s="29"/>
      <c r="J226" s="29"/>
      <c r="K226" s="29"/>
      <c r="L226" s="29"/>
      <c r="M226" s="29"/>
      <c r="N226" s="29"/>
      <c r="O226" s="29"/>
      <c r="P226" s="29"/>
      <c r="Q226" s="38"/>
    </row>
    <row r="227" spans="1:17" x14ac:dyDescent="0.25">
      <c r="A227" s="5"/>
      <c r="B227" s="25"/>
      <c r="C227" s="25"/>
      <c r="D227" s="25"/>
      <c r="E227" s="16"/>
      <c r="G227" s="29"/>
      <c r="H227" s="29"/>
      <c r="I227" s="29"/>
      <c r="J227" s="29"/>
      <c r="K227" s="29"/>
      <c r="L227" s="29"/>
      <c r="M227" s="29"/>
      <c r="N227" s="29"/>
      <c r="O227" s="29"/>
      <c r="P227" s="29"/>
      <c r="Q227" s="38"/>
    </row>
    <row r="228" spans="1:17" x14ac:dyDescent="0.25">
      <c r="A228" s="5"/>
      <c r="B228" s="25"/>
      <c r="C228" s="25"/>
      <c r="D228" s="25"/>
      <c r="E228" s="16"/>
      <c r="G228" s="29"/>
      <c r="H228" s="29"/>
      <c r="I228" s="29"/>
      <c r="J228" s="29"/>
      <c r="K228" s="29"/>
      <c r="L228" s="29"/>
      <c r="M228" s="29"/>
      <c r="N228" s="29"/>
      <c r="O228" s="29"/>
      <c r="P228" s="29"/>
      <c r="Q228" s="38"/>
    </row>
    <row r="229" spans="1:17" x14ac:dyDescent="0.25">
      <c r="A229" s="5"/>
      <c r="B229" s="25"/>
      <c r="C229" s="25"/>
      <c r="D229" s="25"/>
      <c r="E229" s="16"/>
      <c r="G229" s="29"/>
      <c r="H229" s="29"/>
      <c r="I229" s="29"/>
      <c r="J229" s="29"/>
      <c r="K229" s="29"/>
      <c r="L229" s="29"/>
      <c r="M229" s="29"/>
      <c r="N229" s="29"/>
      <c r="O229" s="29"/>
      <c r="P229" s="29"/>
      <c r="Q229" s="38"/>
    </row>
    <row r="230" spans="1:17" x14ac:dyDescent="0.25">
      <c r="A230" s="5"/>
      <c r="B230" s="25"/>
      <c r="C230" s="25"/>
      <c r="D230" s="25"/>
      <c r="E230" s="16"/>
      <c r="G230" s="29"/>
      <c r="H230" s="29"/>
      <c r="I230" s="29"/>
      <c r="J230" s="29"/>
      <c r="K230" s="29"/>
      <c r="L230" s="29"/>
      <c r="M230" s="29"/>
      <c r="N230" s="29"/>
      <c r="O230" s="29"/>
      <c r="P230" s="29"/>
      <c r="Q230" s="38"/>
    </row>
    <row r="231" spans="1:17" x14ac:dyDescent="0.25">
      <c r="A231" s="5"/>
      <c r="B231" s="25"/>
      <c r="C231" s="25"/>
      <c r="D231" s="25"/>
      <c r="E231" s="16"/>
      <c r="G231" s="29"/>
      <c r="H231" s="29"/>
      <c r="I231" s="29"/>
      <c r="J231" s="29"/>
      <c r="K231" s="29"/>
      <c r="L231" s="29"/>
      <c r="M231" s="29"/>
      <c r="N231" s="29"/>
      <c r="O231" s="29"/>
      <c r="P231" s="29"/>
      <c r="Q231" s="38"/>
    </row>
    <row r="232" spans="1:17" x14ac:dyDescent="0.25">
      <c r="A232" s="5"/>
      <c r="B232" s="25"/>
      <c r="C232" s="25"/>
      <c r="D232" s="25"/>
      <c r="E232" s="16"/>
      <c r="G232" s="29"/>
      <c r="H232" s="29"/>
      <c r="I232" s="29"/>
      <c r="J232" s="29"/>
      <c r="K232" s="29"/>
      <c r="L232" s="29"/>
      <c r="M232" s="29"/>
      <c r="N232" s="29"/>
      <c r="O232" s="29"/>
      <c r="P232" s="29"/>
      <c r="Q232" s="38"/>
    </row>
    <row r="233" spans="1:17" x14ac:dyDescent="0.25">
      <c r="A233" s="5"/>
      <c r="B233" s="25"/>
      <c r="C233" s="25"/>
      <c r="D233" s="25"/>
      <c r="E233" s="16"/>
      <c r="G233" s="29"/>
      <c r="H233" s="29"/>
      <c r="I233" s="29"/>
      <c r="J233" s="29"/>
      <c r="K233" s="29"/>
      <c r="L233" s="29"/>
      <c r="M233" s="29"/>
      <c r="N233" s="29"/>
      <c r="O233" s="29"/>
      <c r="P233" s="29"/>
      <c r="Q233" s="38"/>
    </row>
    <row r="234" spans="1:17" x14ac:dyDescent="0.25">
      <c r="A234" s="5"/>
      <c r="B234" s="25"/>
      <c r="C234" s="25"/>
      <c r="D234" s="25"/>
      <c r="E234" s="16"/>
      <c r="G234" s="29"/>
      <c r="H234" s="29"/>
      <c r="I234" s="29"/>
      <c r="J234" s="29"/>
      <c r="K234" s="29"/>
      <c r="L234" s="29"/>
      <c r="M234" s="29"/>
      <c r="N234" s="29"/>
      <c r="O234" s="29"/>
      <c r="P234" s="29"/>
      <c r="Q234" s="38"/>
    </row>
    <row r="235" spans="1:17" x14ac:dyDescent="0.25">
      <c r="A235" s="5"/>
      <c r="B235" s="25"/>
      <c r="C235" s="25"/>
      <c r="D235" s="25"/>
      <c r="E235" s="16"/>
      <c r="G235" s="29"/>
      <c r="H235" s="29"/>
      <c r="I235" s="29"/>
      <c r="J235" s="29"/>
      <c r="K235" s="29"/>
      <c r="L235" s="29"/>
      <c r="M235" s="29"/>
      <c r="N235" s="29"/>
      <c r="O235" s="29"/>
      <c r="P235" s="29"/>
      <c r="Q235" s="38"/>
    </row>
    <row r="236" spans="1:17" x14ac:dyDescent="0.25">
      <c r="A236" s="5"/>
      <c r="B236" s="25"/>
      <c r="C236" s="25"/>
      <c r="D236" s="25"/>
      <c r="E236" s="16"/>
      <c r="G236" s="29"/>
      <c r="H236" s="29"/>
      <c r="I236" s="29"/>
      <c r="J236" s="29"/>
      <c r="K236" s="29"/>
      <c r="L236" s="29"/>
      <c r="M236" s="29"/>
      <c r="N236" s="29"/>
      <c r="O236" s="29"/>
      <c r="P236" s="29"/>
      <c r="Q236" s="38"/>
    </row>
    <row r="237" spans="1:17" x14ac:dyDescent="0.25">
      <c r="A237" s="5"/>
      <c r="B237" s="25"/>
      <c r="C237" s="25"/>
      <c r="D237" s="25"/>
      <c r="E237" s="16"/>
      <c r="G237" s="29"/>
      <c r="H237" s="29"/>
      <c r="I237" s="29"/>
      <c r="J237" s="29"/>
      <c r="K237" s="29"/>
      <c r="L237" s="29"/>
      <c r="M237" s="29"/>
      <c r="N237" s="29"/>
      <c r="O237" s="29"/>
      <c r="P237" s="29"/>
      <c r="Q237" s="38"/>
    </row>
    <row r="238" spans="1:17" x14ac:dyDescent="0.25">
      <c r="A238" s="5"/>
      <c r="B238" s="25"/>
      <c r="C238" s="25"/>
      <c r="D238" s="25"/>
      <c r="E238" s="16"/>
      <c r="G238" s="29"/>
      <c r="H238" s="29"/>
      <c r="I238" s="29"/>
      <c r="J238" s="29"/>
      <c r="K238" s="29"/>
      <c r="L238" s="29"/>
      <c r="M238" s="29"/>
      <c r="N238" s="29"/>
      <c r="O238" s="29"/>
      <c r="P238" s="29"/>
      <c r="Q238" s="38"/>
    </row>
    <row r="239" spans="1:17" x14ac:dyDescent="0.25">
      <c r="A239" s="5"/>
      <c r="B239" s="25"/>
      <c r="C239" s="25"/>
      <c r="D239" s="25"/>
      <c r="E239" s="16"/>
      <c r="G239" s="29"/>
      <c r="H239" s="29"/>
      <c r="I239" s="29"/>
      <c r="J239" s="29"/>
      <c r="K239" s="29"/>
      <c r="L239" s="29"/>
      <c r="M239" s="29"/>
      <c r="N239" s="29"/>
      <c r="O239" s="29"/>
      <c r="P239" s="29"/>
      <c r="Q239" s="38"/>
    </row>
    <row r="240" spans="1:17" x14ac:dyDescent="0.25">
      <c r="A240" s="5"/>
      <c r="B240" s="25"/>
      <c r="C240" s="25"/>
      <c r="D240" s="25"/>
      <c r="E240" s="16"/>
      <c r="G240" s="29"/>
      <c r="H240" s="29"/>
      <c r="I240" s="29"/>
      <c r="J240" s="29"/>
      <c r="K240" s="29"/>
      <c r="L240" s="29"/>
      <c r="M240" s="29"/>
      <c r="N240" s="29"/>
      <c r="O240" s="29"/>
      <c r="P240" s="29"/>
      <c r="Q240" s="38"/>
    </row>
    <row r="241" spans="1:17" x14ac:dyDescent="0.25">
      <c r="A241" s="5"/>
      <c r="B241" s="25"/>
      <c r="C241" s="25"/>
      <c r="D241" s="25"/>
      <c r="E241" s="16"/>
      <c r="G241" s="29"/>
      <c r="H241" s="29"/>
      <c r="I241" s="29"/>
      <c r="J241" s="29"/>
      <c r="K241" s="29"/>
      <c r="L241" s="29"/>
      <c r="M241" s="29"/>
      <c r="N241" s="29"/>
      <c r="O241" s="29"/>
      <c r="P241" s="29"/>
      <c r="Q241" s="38"/>
    </row>
    <row r="242" spans="1:17" x14ac:dyDescent="0.25">
      <c r="A242" s="5"/>
      <c r="B242" s="25"/>
      <c r="C242" s="25"/>
      <c r="D242" s="25"/>
      <c r="E242" s="16"/>
      <c r="G242" s="29"/>
      <c r="H242" s="29"/>
      <c r="I242" s="29"/>
      <c r="J242" s="29"/>
      <c r="K242" s="29"/>
      <c r="L242" s="29"/>
      <c r="M242" s="29"/>
      <c r="N242" s="29"/>
      <c r="O242" s="29"/>
      <c r="P242" s="29"/>
      <c r="Q242" s="38"/>
    </row>
    <row r="243" spans="1:17" x14ac:dyDescent="0.25">
      <c r="A243" s="5"/>
      <c r="B243" s="25"/>
      <c r="C243" s="25"/>
      <c r="D243" s="25"/>
      <c r="E243" s="16"/>
      <c r="G243" s="29"/>
      <c r="H243" s="29"/>
      <c r="I243" s="29"/>
      <c r="J243" s="29"/>
      <c r="K243" s="29"/>
      <c r="L243" s="29"/>
      <c r="M243" s="29"/>
      <c r="N243" s="29"/>
      <c r="O243" s="29"/>
      <c r="P243" s="29"/>
      <c r="Q243" s="38"/>
    </row>
    <row r="244" spans="1:17" x14ac:dyDescent="0.25">
      <c r="A244" s="5"/>
      <c r="B244" s="25"/>
      <c r="C244" s="25"/>
      <c r="D244" s="25"/>
      <c r="E244" s="16"/>
      <c r="G244" s="29"/>
      <c r="H244" s="29"/>
      <c r="I244" s="29"/>
      <c r="J244" s="29"/>
      <c r="K244" s="29"/>
      <c r="L244" s="29"/>
      <c r="M244" s="29"/>
      <c r="N244" s="29"/>
      <c r="O244" s="29"/>
      <c r="P244" s="29"/>
      <c r="Q244" s="38"/>
    </row>
    <row r="245" spans="1:17" x14ac:dyDescent="0.25">
      <c r="A245" s="5"/>
      <c r="B245" s="25"/>
      <c r="C245" s="25"/>
      <c r="D245" s="25"/>
      <c r="E245" s="16"/>
      <c r="G245" s="29"/>
      <c r="H245" s="29"/>
      <c r="I245" s="29"/>
      <c r="J245" s="29"/>
      <c r="K245" s="29"/>
      <c r="L245" s="29"/>
      <c r="M245" s="29"/>
      <c r="N245" s="29"/>
      <c r="O245" s="29"/>
      <c r="P245" s="29"/>
      <c r="Q245" s="38"/>
    </row>
    <row r="246" spans="1:17" x14ac:dyDescent="0.25">
      <c r="A246" s="5"/>
      <c r="B246" s="25"/>
      <c r="C246" s="25"/>
      <c r="D246" s="25"/>
      <c r="E246" s="16"/>
      <c r="G246" s="29"/>
      <c r="H246" s="29"/>
      <c r="I246" s="29"/>
      <c r="J246" s="29"/>
      <c r="K246" s="29"/>
      <c r="L246" s="29"/>
      <c r="M246" s="29"/>
      <c r="N246" s="29"/>
      <c r="O246" s="29"/>
      <c r="P246" s="29"/>
      <c r="Q246" s="38"/>
    </row>
    <row r="247" spans="1:17" x14ac:dyDescent="0.25">
      <c r="A247" s="5"/>
      <c r="B247" s="25"/>
      <c r="C247" s="25"/>
      <c r="D247" s="25"/>
      <c r="E247" s="16"/>
      <c r="G247" s="29"/>
      <c r="H247" s="29"/>
      <c r="I247" s="29"/>
      <c r="J247" s="29"/>
      <c r="K247" s="29"/>
      <c r="L247" s="29"/>
      <c r="M247" s="29"/>
      <c r="N247" s="29"/>
      <c r="O247" s="29"/>
      <c r="P247" s="29"/>
      <c r="Q247" s="38"/>
    </row>
    <row r="248" spans="1:17" x14ac:dyDescent="0.25">
      <c r="A248" s="5"/>
      <c r="B248" s="25"/>
      <c r="C248" s="25"/>
      <c r="D248" s="25"/>
      <c r="E248" s="16"/>
      <c r="G248" s="29"/>
      <c r="H248" s="29"/>
      <c r="I248" s="29"/>
      <c r="J248" s="29"/>
      <c r="K248" s="29"/>
      <c r="L248" s="29"/>
      <c r="M248" s="29"/>
      <c r="N248" s="29"/>
      <c r="O248" s="29"/>
      <c r="P248" s="29"/>
      <c r="Q248" s="38"/>
    </row>
    <row r="249" spans="1:17" x14ac:dyDescent="0.25">
      <c r="A249" s="5"/>
      <c r="B249" s="25"/>
      <c r="C249" s="25"/>
      <c r="D249" s="25"/>
      <c r="E249" s="16"/>
      <c r="G249" s="29"/>
      <c r="H249" s="29"/>
      <c r="I249" s="29"/>
      <c r="J249" s="29"/>
      <c r="K249" s="29"/>
      <c r="L249" s="29"/>
      <c r="M249" s="29"/>
      <c r="N249" s="29"/>
      <c r="O249" s="29"/>
      <c r="P249" s="29"/>
      <c r="Q249" s="38"/>
    </row>
    <row r="250" spans="1:17" x14ac:dyDescent="0.25">
      <c r="A250" s="5"/>
      <c r="B250" s="25"/>
      <c r="C250" s="25"/>
      <c r="D250" s="25"/>
      <c r="E250" s="16"/>
      <c r="G250" s="29"/>
      <c r="H250" s="29"/>
      <c r="I250" s="29"/>
      <c r="J250" s="29"/>
      <c r="K250" s="29"/>
      <c r="L250" s="29"/>
      <c r="M250" s="29"/>
      <c r="N250" s="29"/>
      <c r="O250" s="29"/>
      <c r="P250" s="29"/>
      <c r="Q250" s="38"/>
    </row>
    <row r="251" spans="1:17" x14ac:dyDescent="0.25">
      <c r="A251" s="5"/>
      <c r="B251" s="25"/>
      <c r="C251" s="25"/>
      <c r="D251" s="25"/>
      <c r="E251" s="16"/>
      <c r="G251" s="29"/>
      <c r="H251" s="29"/>
      <c r="I251" s="29"/>
      <c r="J251" s="29"/>
      <c r="K251" s="29"/>
      <c r="L251" s="29"/>
      <c r="M251" s="29"/>
      <c r="N251" s="29"/>
      <c r="O251" s="29"/>
      <c r="P251" s="29"/>
      <c r="Q251" s="38"/>
    </row>
    <row r="252" spans="1:17" x14ac:dyDescent="0.25">
      <c r="A252" s="5"/>
      <c r="B252" s="25"/>
      <c r="C252" s="25"/>
      <c r="D252" s="25"/>
      <c r="E252" s="16"/>
      <c r="G252" s="29"/>
      <c r="H252" s="29"/>
      <c r="I252" s="29"/>
      <c r="J252" s="29"/>
      <c r="K252" s="29"/>
      <c r="L252" s="29"/>
      <c r="M252" s="29"/>
      <c r="N252" s="29"/>
      <c r="O252" s="29"/>
      <c r="P252" s="29"/>
      <c r="Q252" s="38"/>
    </row>
    <row r="253" spans="1:17" x14ac:dyDescent="0.25">
      <c r="A253" s="5"/>
      <c r="B253" s="25"/>
      <c r="C253" s="25"/>
      <c r="D253" s="25"/>
      <c r="E253" s="16"/>
      <c r="G253" s="29"/>
      <c r="H253" s="29"/>
      <c r="I253" s="29"/>
      <c r="J253" s="29"/>
      <c r="K253" s="29"/>
      <c r="L253" s="29"/>
      <c r="M253" s="29"/>
      <c r="N253" s="29"/>
      <c r="O253" s="29"/>
      <c r="P253" s="29"/>
      <c r="Q253" s="38"/>
    </row>
    <row r="254" spans="1:17" x14ac:dyDescent="0.25">
      <c r="A254" s="5"/>
      <c r="B254" s="25"/>
      <c r="C254" s="25"/>
      <c r="D254" s="25"/>
      <c r="E254" s="16"/>
      <c r="G254" s="29"/>
      <c r="H254" s="29"/>
      <c r="I254" s="29"/>
      <c r="J254" s="29"/>
      <c r="K254" s="29"/>
      <c r="L254" s="29"/>
      <c r="M254" s="29"/>
      <c r="N254" s="29"/>
      <c r="O254" s="29"/>
      <c r="P254" s="29"/>
      <c r="Q254" s="38"/>
    </row>
    <row r="255" spans="1:17" x14ac:dyDescent="0.25">
      <c r="A255" s="5"/>
      <c r="B255" s="25"/>
      <c r="C255" s="25"/>
      <c r="D255" s="25"/>
      <c r="E255" s="16"/>
      <c r="G255" s="29"/>
      <c r="H255" s="29"/>
      <c r="I255" s="29"/>
      <c r="J255" s="29"/>
      <c r="K255" s="29"/>
      <c r="L255" s="29"/>
      <c r="M255" s="29"/>
      <c r="N255" s="29"/>
      <c r="O255" s="29"/>
      <c r="P255" s="29"/>
      <c r="Q255" s="38"/>
    </row>
    <row r="256" spans="1:17" x14ac:dyDescent="0.25">
      <c r="A256" s="5"/>
      <c r="B256" s="25"/>
      <c r="C256" s="25"/>
      <c r="D256" s="25"/>
      <c r="E256" s="16"/>
      <c r="G256" s="29"/>
      <c r="H256" s="29"/>
      <c r="I256" s="29"/>
      <c r="J256" s="29"/>
      <c r="K256" s="29"/>
      <c r="L256" s="29"/>
      <c r="M256" s="29"/>
      <c r="N256" s="29"/>
      <c r="O256" s="29"/>
      <c r="P256" s="29"/>
      <c r="Q256" s="38"/>
    </row>
    <row r="257" spans="1:17" x14ac:dyDescent="0.25">
      <c r="A257" s="5"/>
      <c r="B257" s="25"/>
      <c r="C257" s="25"/>
      <c r="D257" s="25"/>
      <c r="E257" s="16"/>
      <c r="G257" s="29"/>
      <c r="H257" s="29"/>
      <c r="I257" s="29"/>
      <c r="J257" s="29"/>
      <c r="K257" s="29"/>
      <c r="L257" s="29"/>
      <c r="M257" s="29"/>
      <c r="N257" s="29"/>
      <c r="O257" s="29"/>
      <c r="P257" s="29"/>
      <c r="Q257" s="38"/>
    </row>
    <row r="258" spans="1:17" x14ac:dyDescent="0.25">
      <c r="A258" s="5"/>
      <c r="B258" s="25"/>
      <c r="C258" s="25"/>
      <c r="D258" s="25"/>
      <c r="E258" s="16"/>
      <c r="G258" s="29"/>
      <c r="H258" s="29"/>
      <c r="I258" s="29"/>
      <c r="J258" s="29"/>
      <c r="K258" s="29"/>
      <c r="L258" s="29"/>
      <c r="M258" s="29"/>
      <c r="N258" s="29"/>
      <c r="O258" s="29"/>
      <c r="P258" s="29"/>
      <c r="Q258" s="38"/>
    </row>
    <row r="259" spans="1:17" x14ac:dyDescent="0.25">
      <c r="A259" s="5"/>
      <c r="B259" s="25"/>
      <c r="C259" s="25"/>
      <c r="D259" s="25"/>
      <c r="E259" s="16"/>
      <c r="G259" s="29"/>
      <c r="H259" s="29"/>
      <c r="I259" s="29"/>
      <c r="J259" s="29"/>
      <c r="K259" s="29"/>
      <c r="L259" s="29"/>
      <c r="M259" s="29"/>
      <c r="N259" s="29"/>
      <c r="O259" s="29"/>
      <c r="P259" s="29"/>
      <c r="Q259" s="38"/>
    </row>
    <row r="260" spans="1:17" x14ac:dyDescent="0.25">
      <c r="A260" s="5"/>
      <c r="B260" s="25"/>
      <c r="C260" s="25"/>
      <c r="D260" s="25"/>
      <c r="E260" s="16"/>
      <c r="G260" s="29"/>
      <c r="H260" s="29"/>
      <c r="I260" s="29"/>
      <c r="J260" s="29"/>
      <c r="K260" s="29"/>
      <c r="L260" s="29"/>
      <c r="M260" s="29"/>
      <c r="N260" s="29"/>
      <c r="O260" s="29"/>
      <c r="P260" s="29"/>
      <c r="Q260" s="38"/>
    </row>
    <row r="261" spans="1:17" x14ac:dyDescent="0.25">
      <c r="A261" s="5"/>
      <c r="B261" s="25"/>
      <c r="C261" s="25"/>
      <c r="D261" s="25"/>
      <c r="E261" s="16"/>
      <c r="G261" s="29"/>
      <c r="H261" s="29"/>
      <c r="I261" s="29"/>
      <c r="J261" s="29"/>
      <c r="K261" s="29"/>
      <c r="L261" s="29"/>
      <c r="M261" s="29"/>
      <c r="N261" s="29"/>
      <c r="O261" s="29"/>
      <c r="P261" s="29"/>
      <c r="Q261" s="38"/>
    </row>
    <row r="262" spans="1:17" x14ac:dyDescent="0.25">
      <c r="A262" s="5"/>
      <c r="B262" s="25"/>
      <c r="C262" s="25"/>
      <c r="D262" s="25"/>
      <c r="E262" s="16"/>
      <c r="G262" s="29"/>
      <c r="H262" s="29"/>
      <c r="I262" s="29"/>
      <c r="J262" s="29"/>
      <c r="K262" s="29"/>
      <c r="L262" s="29"/>
      <c r="M262" s="29"/>
      <c r="N262" s="29"/>
      <c r="O262" s="29"/>
      <c r="P262" s="29"/>
      <c r="Q262" s="38"/>
    </row>
    <row r="263" spans="1:17" x14ac:dyDescent="0.25">
      <c r="A263" s="5"/>
      <c r="B263" s="25"/>
      <c r="C263" s="25"/>
      <c r="D263" s="25"/>
      <c r="E263" s="16"/>
      <c r="G263" s="29"/>
      <c r="H263" s="29"/>
      <c r="I263" s="29"/>
      <c r="J263" s="29"/>
      <c r="K263" s="29"/>
      <c r="L263" s="29"/>
      <c r="M263" s="29"/>
      <c r="N263" s="29"/>
      <c r="O263" s="29"/>
      <c r="P263" s="29"/>
      <c r="Q263" s="38"/>
    </row>
    <row r="264" spans="1:17" x14ac:dyDescent="0.25">
      <c r="A264" s="5"/>
      <c r="B264" s="25"/>
      <c r="C264" s="25"/>
      <c r="D264" s="25"/>
      <c r="E264" s="16"/>
      <c r="G264" s="29"/>
      <c r="H264" s="29"/>
      <c r="I264" s="29"/>
      <c r="J264" s="29"/>
      <c r="K264" s="29"/>
      <c r="L264" s="29"/>
      <c r="M264" s="29"/>
      <c r="N264" s="29"/>
      <c r="O264" s="29"/>
      <c r="P264" s="29"/>
      <c r="Q264" s="38"/>
    </row>
    <row r="265" spans="1:17" x14ac:dyDescent="0.25">
      <c r="A265" s="5"/>
      <c r="B265" s="13"/>
      <c r="C265" s="13"/>
      <c r="D265" s="13"/>
      <c r="E265" s="9"/>
      <c r="F265" s="29"/>
      <c r="G265" s="29"/>
      <c r="H265" s="29"/>
      <c r="I265" s="29"/>
      <c r="J265" s="29"/>
      <c r="K265" s="29"/>
      <c r="L265" s="29"/>
      <c r="M265" s="29"/>
      <c r="N265" s="29"/>
      <c r="O265" s="29"/>
      <c r="P265" s="29"/>
      <c r="Q265" s="38"/>
    </row>
    <row r="266" spans="1:17" x14ac:dyDescent="0.25">
      <c r="A266" s="5"/>
      <c r="B266" s="13"/>
      <c r="C266" s="13"/>
      <c r="D266" s="13"/>
      <c r="E266" s="9"/>
      <c r="F266" s="29"/>
      <c r="G266" s="29"/>
      <c r="H266" s="29"/>
      <c r="I266" s="29"/>
      <c r="J266" s="29"/>
      <c r="K266" s="29"/>
      <c r="L266" s="29"/>
      <c r="M266" s="29"/>
      <c r="N266" s="29"/>
      <c r="O266" s="29"/>
      <c r="P266" s="29"/>
      <c r="Q266" s="38"/>
    </row>
    <row r="267" spans="1:17" x14ac:dyDescent="0.25">
      <c r="A267" s="5"/>
      <c r="B267" s="13"/>
      <c r="C267" s="13"/>
      <c r="D267" s="13"/>
      <c r="E267" s="9"/>
      <c r="F267" s="29"/>
      <c r="G267" s="29"/>
      <c r="H267" s="29"/>
      <c r="I267" s="29"/>
      <c r="J267" s="29"/>
      <c r="K267" s="29"/>
      <c r="L267" s="29"/>
      <c r="M267" s="29"/>
      <c r="N267" s="29"/>
      <c r="O267" s="29"/>
      <c r="P267" s="29"/>
      <c r="Q267" s="38"/>
    </row>
    <row r="268" spans="1:17" x14ac:dyDescent="0.25">
      <c r="A268" s="5"/>
      <c r="B268" s="13"/>
      <c r="C268" s="13"/>
      <c r="D268" s="13"/>
      <c r="E268" s="9"/>
      <c r="F268" s="29"/>
      <c r="G268" s="29"/>
      <c r="H268" s="29"/>
      <c r="I268" s="29"/>
      <c r="J268" s="29"/>
      <c r="K268" s="29"/>
      <c r="L268" s="29"/>
      <c r="M268" s="29"/>
      <c r="N268" s="29"/>
      <c r="O268" s="29"/>
      <c r="P268" s="29"/>
      <c r="Q268" s="38"/>
    </row>
    <row r="269" spans="1:17" x14ac:dyDescent="0.25">
      <c r="A269" s="5"/>
      <c r="B269" s="13"/>
      <c r="C269" s="13"/>
      <c r="D269" s="13"/>
      <c r="E269" s="9"/>
      <c r="F269" s="29"/>
      <c r="G269" s="29"/>
      <c r="H269" s="29"/>
      <c r="I269" s="29"/>
      <c r="J269" s="29"/>
      <c r="K269" s="29"/>
      <c r="L269" s="29"/>
      <c r="M269" s="29"/>
      <c r="N269" s="29"/>
      <c r="O269" s="29"/>
      <c r="P269" s="29"/>
      <c r="Q269" s="38"/>
    </row>
    <row r="270" spans="1:17" x14ac:dyDescent="0.25">
      <c r="A270" s="5"/>
      <c r="B270" s="13"/>
      <c r="C270" s="13"/>
      <c r="D270" s="13"/>
      <c r="E270" s="9"/>
      <c r="F270" s="29"/>
      <c r="G270" s="29"/>
      <c r="H270" s="29"/>
      <c r="I270" s="29"/>
      <c r="J270" s="29"/>
      <c r="K270" s="29"/>
      <c r="L270" s="29"/>
      <c r="M270" s="29"/>
      <c r="N270" s="29"/>
      <c r="O270" s="29"/>
      <c r="P270" s="29"/>
      <c r="Q270" s="38"/>
    </row>
    <row r="271" spans="1:17" x14ac:dyDescent="0.25">
      <c r="A271" s="5"/>
      <c r="B271" s="13"/>
      <c r="C271" s="13"/>
      <c r="D271" s="13"/>
      <c r="E271" s="9"/>
      <c r="F271" s="29"/>
      <c r="G271" s="29"/>
      <c r="H271" s="29"/>
      <c r="I271" s="29"/>
      <c r="J271" s="29"/>
      <c r="K271" s="29"/>
      <c r="L271" s="29"/>
      <c r="M271" s="29"/>
      <c r="N271" s="29"/>
      <c r="O271" s="29"/>
      <c r="P271" s="29"/>
      <c r="Q271" s="38"/>
    </row>
    <row r="272" spans="1:17" x14ac:dyDescent="0.25">
      <c r="A272" s="5"/>
      <c r="B272" s="13"/>
      <c r="C272" s="13"/>
      <c r="D272" s="13"/>
      <c r="E272" s="9"/>
      <c r="F272" s="29"/>
      <c r="G272" s="29"/>
      <c r="H272" s="29"/>
      <c r="I272" s="29"/>
      <c r="J272" s="29"/>
      <c r="K272" s="29"/>
      <c r="L272" s="29"/>
      <c r="M272" s="29"/>
      <c r="N272" s="29"/>
      <c r="O272" s="29"/>
      <c r="P272" s="29"/>
      <c r="Q272" s="38"/>
    </row>
    <row r="273" spans="1:17" x14ac:dyDescent="0.25">
      <c r="A273" s="5"/>
      <c r="B273" s="13"/>
      <c r="C273" s="13"/>
      <c r="D273" s="13"/>
      <c r="E273" s="9"/>
      <c r="F273" s="29"/>
      <c r="G273" s="29"/>
      <c r="H273" s="29"/>
      <c r="I273" s="29"/>
      <c r="J273" s="29"/>
      <c r="K273" s="29"/>
      <c r="L273" s="29"/>
      <c r="M273" s="29"/>
      <c r="N273" s="29"/>
      <c r="O273" s="29"/>
      <c r="P273" s="29"/>
      <c r="Q273" s="38"/>
    </row>
    <row r="274" spans="1:17" x14ac:dyDescent="0.25">
      <c r="A274" s="5"/>
      <c r="B274" s="13"/>
      <c r="C274" s="13"/>
      <c r="D274" s="13"/>
      <c r="E274" s="9"/>
      <c r="F274" s="29"/>
      <c r="G274" s="29"/>
      <c r="H274" s="29"/>
      <c r="I274" s="29"/>
      <c r="J274" s="29"/>
      <c r="K274" s="29"/>
      <c r="L274" s="29"/>
      <c r="M274" s="29"/>
      <c r="N274" s="29"/>
      <c r="O274" s="29"/>
      <c r="P274" s="29"/>
      <c r="Q274" s="38"/>
    </row>
    <row r="275" spans="1:17" x14ac:dyDescent="0.25">
      <c r="A275" s="5"/>
      <c r="B275" s="13"/>
      <c r="C275" s="13"/>
      <c r="D275" s="13"/>
      <c r="E275" s="9"/>
      <c r="F275" s="29"/>
      <c r="G275" s="29"/>
      <c r="H275" s="29"/>
      <c r="I275" s="29"/>
      <c r="J275" s="29"/>
      <c r="K275" s="29"/>
      <c r="L275" s="29"/>
      <c r="M275" s="29"/>
      <c r="N275" s="29"/>
      <c r="O275" s="29"/>
      <c r="P275" s="29"/>
      <c r="Q275" s="38"/>
    </row>
    <row r="276" spans="1:17" x14ac:dyDescent="0.25">
      <c r="A276" s="5"/>
      <c r="B276" s="13"/>
      <c r="C276" s="13"/>
      <c r="D276" s="13"/>
      <c r="E276" s="9"/>
      <c r="F276" s="29"/>
      <c r="G276" s="29"/>
      <c r="H276" s="29"/>
      <c r="I276" s="29"/>
      <c r="J276" s="29"/>
      <c r="K276" s="29"/>
      <c r="L276" s="29"/>
      <c r="M276" s="29"/>
      <c r="N276" s="29"/>
      <c r="O276" s="29"/>
      <c r="P276" s="29"/>
      <c r="Q276" s="38"/>
    </row>
    <row r="277" spans="1:17" x14ac:dyDescent="0.25">
      <c r="A277" s="5"/>
      <c r="B277" s="13"/>
      <c r="C277" s="13"/>
      <c r="D277" s="13"/>
      <c r="E277" s="9"/>
      <c r="F277" s="29"/>
      <c r="G277" s="29"/>
      <c r="H277" s="29"/>
      <c r="I277" s="29"/>
      <c r="J277" s="29"/>
      <c r="K277" s="29"/>
      <c r="L277" s="29"/>
      <c r="M277" s="29"/>
      <c r="N277" s="29"/>
      <c r="O277" s="29"/>
      <c r="P277" s="29"/>
      <c r="Q277" s="38"/>
    </row>
    <row r="278" spans="1:17" x14ac:dyDescent="0.25">
      <c r="A278" s="5"/>
      <c r="B278" s="13"/>
      <c r="C278" s="13"/>
      <c r="D278" s="13"/>
      <c r="E278" s="9"/>
      <c r="F278" s="29"/>
      <c r="G278" s="29"/>
      <c r="H278" s="29"/>
      <c r="I278" s="29"/>
      <c r="J278" s="29"/>
      <c r="K278" s="29"/>
      <c r="L278" s="29"/>
      <c r="M278" s="29"/>
      <c r="N278" s="29"/>
      <c r="O278" s="29"/>
      <c r="P278" s="29"/>
      <c r="Q278" s="38"/>
    </row>
    <row r="279" spans="1:17" x14ac:dyDescent="0.25">
      <c r="A279" s="5"/>
      <c r="B279" s="13"/>
      <c r="C279" s="13"/>
      <c r="D279" s="13"/>
      <c r="E279" s="9"/>
      <c r="F279" s="29"/>
      <c r="G279" s="29"/>
      <c r="H279" s="29"/>
      <c r="I279" s="29"/>
      <c r="J279" s="29"/>
      <c r="K279" s="29"/>
      <c r="L279" s="29"/>
      <c r="M279" s="29"/>
      <c r="N279" s="29"/>
      <c r="O279" s="29"/>
      <c r="P279" s="29"/>
      <c r="Q279" s="38"/>
    </row>
    <row r="280" spans="1:17" x14ac:dyDescent="0.25">
      <c r="A280" s="5"/>
      <c r="B280" s="13"/>
      <c r="C280" s="13"/>
      <c r="D280" s="13"/>
      <c r="E280" s="9"/>
      <c r="F280" s="29"/>
      <c r="G280" s="29"/>
      <c r="H280" s="29"/>
      <c r="I280" s="29"/>
      <c r="J280" s="29"/>
      <c r="K280" s="29"/>
      <c r="L280" s="29"/>
      <c r="M280" s="29"/>
      <c r="N280" s="29"/>
      <c r="O280" s="29"/>
      <c r="P280" s="29"/>
      <c r="Q280" s="38"/>
    </row>
    <row r="281" spans="1:17" x14ac:dyDescent="0.25">
      <c r="A281" s="5"/>
      <c r="B281" s="13"/>
      <c r="C281" s="13"/>
      <c r="D281" s="13"/>
      <c r="E281" s="9"/>
      <c r="F281" s="29"/>
      <c r="G281" s="29"/>
      <c r="H281" s="29"/>
      <c r="I281" s="29"/>
      <c r="J281" s="29"/>
      <c r="K281" s="29"/>
      <c r="L281" s="29"/>
      <c r="M281" s="29"/>
      <c r="N281" s="29"/>
      <c r="O281" s="29"/>
      <c r="P281" s="29"/>
      <c r="Q281" s="38"/>
    </row>
    <row r="282" spans="1:17" x14ac:dyDescent="0.25">
      <c r="A282" s="5"/>
      <c r="B282" s="13"/>
      <c r="C282" s="13"/>
      <c r="D282" s="13"/>
      <c r="E282" s="9"/>
      <c r="F282" s="29"/>
      <c r="G282" s="29"/>
      <c r="H282" s="29"/>
      <c r="I282" s="29"/>
      <c r="J282" s="29"/>
      <c r="K282" s="29"/>
      <c r="L282" s="29"/>
      <c r="M282" s="29"/>
      <c r="N282" s="29"/>
      <c r="O282" s="29"/>
      <c r="P282" s="29"/>
      <c r="Q282" s="38"/>
    </row>
    <row r="283" spans="1:17" x14ac:dyDescent="0.25">
      <c r="A283" s="5"/>
      <c r="B283" s="13"/>
      <c r="C283" s="13"/>
      <c r="D283" s="13"/>
      <c r="E283" s="9"/>
      <c r="F283" s="29"/>
      <c r="G283" s="29"/>
      <c r="H283" s="29"/>
      <c r="I283" s="29"/>
      <c r="J283" s="29"/>
      <c r="K283" s="29"/>
      <c r="L283" s="29"/>
      <c r="M283" s="29"/>
      <c r="N283" s="29"/>
      <c r="O283" s="29"/>
      <c r="P283" s="29"/>
      <c r="Q283" s="38"/>
    </row>
    <row r="284" spans="1:17" x14ac:dyDescent="0.25">
      <c r="A284" s="5"/>
      <c r="B284" s="13"/>
      <c r="C284" s="13"/>
      <c r="D284" s="13"/>
      <c r="E284" s="9"/>
      <c r="F284" s="29"/>
      <c r="G284" s="29"/>
      <c r="H284" s="29"/>
      <c r="I284" s="29"/>
      <c r="J284" s="29"/>
      <c r="K284" s="29"/>
      <c r="L284" s="29"/>
      <c r="M284" s="29"/>
      <c r="N284" s="29"/>
      <c r="O284" s="29"/>
      <c r="P284" s="29"/>
      <c r="Q284" s="38"/>
    </row>
    <row r="285" spans="1:17" x14ac:dyDescent="0.25">
      <c r="A285" s="5"/>
      <c r="B285" s="13"/>
      <c r="C285" s="13"/>
      <c r="D285" s="13"/>
      <c r="E285" s="9"/>
      <c r="F285" s="29"/>
      <c r="G285" s="29"/>
      <c r="H285" s="29"/>
      <c r="I285" s="29"/>
      <c r="J285" s="29"/>
      <c r="K285" s="29"/>
      <c r="L285" s="29"/>
      <c r="M285" s="29"/>
      <c r="N285" s="29"/>
      <c r="O285" s="29"/>
      <c r="P285" s="29"/>
      <c r="Q285" s="38"/>
    </row>
    <row r="286" spans="1:17" x14ac:dyDescent="0.25">
      <c r="A286" s="5"/>
      <c r="B286" s="13"/>
      <c r="C286" s="13"/>
      <c r="D286" s="13"/>
      <c r="E286" s="9"/>
      <c r="F286" s="29"/>
      <c r="G286" s="29"/>
      <c r="H286" s="29"/>
      <c r="I286" s="29"/>
      <c r="J286" s="29"/>
      <c r="K286" s="29"/>
      <c r="L286" s="29"/>
      <c r="M286" s="29"/>
      <c r="N286" s="29"/>
      <c r="O286" s="29"/>
      <c r="P286" s="29"/>
      <c r="Q286" s="38"/>
    </row>
    <row r="287" spans="1:17" x14ac:dyDescent="0.25">
      <c r="A287" s="5"/>
      <c r="B287" s="13"/>
      <c r="C287" s="13"/>
      <c r="D287" s="13"/>
      <c r="E287" s="9"/>
      <c r="F287" s="29"/>
      <c r="G287" s="29"/>
      <c r="H287" s="29"/>
      <c r="I287" s="29"/>
      <c r="J287" s="29"/>
      <c r="K287" s="29"/>
      <c r="L287" s="29"/>
      <c r="M287" s="29"/>
      <c r="N287" s="29"/>
      <c r="O287" s="29"/>
      <c r="P287" s="29"/>
      <c r="Q287" s="38"/>
    </row>
    <row r="288" spans="1:17" x14ac:dyDescent="0.25">
      <c r="A288" s="5"/>
      <c r="B288" s="13"/>
      <c r="C288" s="13"/>
      <c r="D288" s="13"/>
      <c r="E288" s="9"/>
      <c r="F288" s="29"/>
      <c r="G288" s="29"/>
      <c r="H288" s="29"/>
      <c r="I288" s="29"/>
      <c r="J288" s="29"/>
      <c r="K288" s="29"/>
      <c r="L288" s="29"/>
      <c r="M288" s="29"/>
      <c r="N288" s="29"/>
      <c r="O288" s="29"/>
      <c r="P288" s="29"/>
      <c r="Q288" s="38"/>
    </row>
    <row r="289" spans="1:17" x14ac:dyDescent="0.25">
      <c r="A289" s="5"/>
      <c r="B289" s="13"/>
      <c r="C289" s="13"/>
      <c r="D289" s="13"/>
      <c r="E289" s="9"/>
      <c r="F289" s="29"/>
      <c r="G289" s="29"/>
      <c r="H289" s="29"/>
      <c r="I289" s="29"/>
      <c r="J289" s="29"/>
      <c r="K289" s="29"/>
      <c r="L289" s="29"/>
      <c r="M289" s="29"/>
      <c r="N289" s="29"/>
      <c r="O289" s="29"/>
      <c r="P289" s="29"/>
      <c r="Q289" s="38"/>
    </row>
    <row r="290" spans="1:17" x14ac:dyDescent="0.25">
      <c r="A290" s="5"/>
      <c r="B290" s="13"/>
      <c r="C290" s="13"/>
      <c r="D290" s="13"/>
      <c r="E290" s="9"/>
      <c r="F290" s="29"/>
      <c r="G290" s="29"/>
      <c r="H290" s="29"/>
      <c r="I290" s="29"/>
      <c r="J290" s="29"/>
      <c r="K290" s="29"/>
      <c r="L290" s="29"/>
      <c r="M290" s="29"/>
      <c r="N290" s="29"/>
      <c r="O290" s="29"/>
      <c r="P290" s="29"/>
      <c r="Q290" s="38"/>
    </row>
    <row r="291" spans="1:17" x14ac:dyDescent="0.25">
      <c r="A291" s="5"/>
      <c r="B291" s="13"/>
      <c r="C291" s="13"/>
      <c r="D291" s="13"/>
      <c r="E291" s="9"/>
      <c r="F291" s="29"/>
      <c r="G291" s="29"/>
      <c r="H291" s="29"/>
      <c r="I291" s="29"/>
      <c r="J291" s="29"/>
      <c r="K291" s="29"/>
      <c r="L291" s="29"/>
      <c r="M291" s="29"/>
      <c r="N291" s="29"/>
      <c r="O291" s="29"/>
      <c r="P291" s="29"/>
      <c r="Q291" s="38"/>
    </row>
    <row r="292" spans="1:17" x14ac:dyDescent="0.25">
      <c r="A292" s="5"/>
      <c r="B292" s="13"/>
      <c r="C292" s="13"/>
      <c r="D292" s="13"/>
      <c r="E292" s="9"/>
      <c r="F292" s="29"/>
      <c r="G292" s="29"/>
      <c r="H292" s="29"/>
      <c r="I292" s="29"/>
      <c r="J292" s="29"/>
      <c r="K292" s="29"/>
      <c r="L292" s="29"/>
      <c r="M292" s="29"/>
      <c r="N292" s="29"/>
      <c r="O292" s="29"/>
      <c r="P292" s="29"/>
      <c r="Q292" s="38"/>
    </row>
    <row r="293" spans="1:17" x14ac:dyDescent="0.25">
      <c r="A293" s="5"/>
      <c r="B293" s="13"/>
      <c r="C293" s="13"/>
      <c r="D293" s="13"/>
      <c r="E293" s="9"/>
      <c r="F293" s="29"/>
      <c r="G293" s="29"/>
      <c r="H293" s="29"/>
      <c r="I293" s="29"/>
      <c r="J293" s="29"/>
      <c r="K293" s="29"/>
      <c r="L293" s="29"/>
      <c r="M293" s="29"/>
      <c r="N293" s="29"/>
      <c r="O293" s="29"/>
      <c r="P293" s="29"/>
      <c r="Q293" s="38"/>
    </row>
    <row r="294" spans="1:17" x14ac:dyDescent="0.25">
      <c r="A294" s="5"/>
      <c r="B294" s="13"/>
      <c r="C294" s="13"/>
      <c r="D294" s="13"/>
      <c r="E294" s="9"/>
      <c r="F294" s="29"/>
      <c r="G294" s="29"/>
      <c r="H294" s="29"/>
      <c r="I294" s="29"/>
      <c r="J294" s="29"/>
      <c r="K294" s="29"/>
      <c r="L294" s="29"/>
      <c r="M294" s="29"/>
      <c r="N294" s="29"/>
      <c r="O294" s="29"/>
      <c r="P294" s="29"/>
      <c r="Q294" s="38"/>
    </row>
    <row r="295" spans="1:17" x14ac:dyDescent="0.25">
      <c r="A295" s="5"/>
      <c r="B295" s="13"/>
      <c r="C295" s="13"/>
      <c r="D295" s="13"/>
      <c r="E295" s="9"/>
      <c r="F295" s="29"/>
      <c r="G295" s="29"/>
      <c r="H295" s="29"/>
      <c r="I295" s="29"/>
      <c r="J295" s="29"/>
      <c r="K295" s="29"/>
      <c r="L295" s="29"/>
      <c r="M295" s="29"/>
      <c r="N295" s="29"/>
      <c r="O295" s="29"/>
      <c r="P295" s="29"/>
      <c r="Q295" s="38"/>
    </row>
    <row r="296" spans="1:17" x14ac:dyDescent="0.25">
      <c r="A296" s="5"/>
      <c r="B296" s="13"/>
      <c r="C296" s="13"/>
      <c r="D296" s="13"/>
      <c r="E296" s="9"/>
      <c r="F296" s="29"/>
      <c r="G296" s="29"/>
      <c r="H296" s="29"/>
      <c r="I296" s="29"/>
      <c r="J296" s="29"/>
      <c r="K296" s="29"/>
      <c r="L296" s="29"/>
      <c r="M296" s="29"/>
      <c r="N296" s="29"/>
      <c r="O296" s="29"/>
      <c r="P296" s="29"/>
      <c r="Q296" s="38"/>
    </row>
    <row r="297" spans="1:17" x14ac:dyDescent="0.25">
      <c r="A297" s="5"/>
      <c r="B297" s="13"/>
      <c r="C297" s="13"/>
      <c r="D297" s="13"/>
      <c r="E297" s="9"/>
      <c r="F297" s="29"/>
      <c r="G297" s="29"/>
      <c r="H297" s="29"/>
      <c r="I297" s="29"/>
      <c r="J297" s="29"/>
      <c r="K297" s="29"/>
      <c r="L297" s="29"/>
      <c r="M297" s="29"/>
      <c r="N297" s="29"/>
      <c r="O297" s="29"/>
      <c r="P297" s="29"/>
      <c r="Q297" s="38"/>
    </row>
    <row r="298" spans="1:17" x14ac:dyDescent="0.25">
      <c r="A298" s="5"/>
      <c r="B298" s="13"/>
      <c r="C298" s="13"/>
      <c r="D298" s="13"/>
      <c r="E298" s="9"/>
      <c r="F298" s="32"/>
      <c r="G298" s="32"/>
      <c r="H298" s="32"/>
      <c r="I298" s="32"/>
      <c r="J298" s="29"/>
      <c r="K298" s="29"/>
      <c r="L298" s="29"/>
      <c r="M298" s="29"/>
      <c r="N298" s="29"/>
      <c r="O298" s="29"/>
      <c r="P298" s="29"/>
      <c r="Q298" s="38"/>
    </row>
    <row r="299" spans="1:17" x14ac:dyDescent="0.25">
      <c r="A299" s="5"/>
      <c r="B299" s="13"/>
      <c r="C299" s="13"/>
      <c r="D299" s="13"/>
      <c r="E299" s="9"/>
      <c r="F299" s="32"/>
      <c r="G299" s="32"/>
      <c r="H299" s="32"/>
      <c r="I299" s="32"/>
      <c r="J299" s="29"/>
      <c r="K299" s="29"/>
      <c r="L299" s="29"/>
      <c r="M299" s="29"/>
      <c r="N299" s="29"/>
      <c r="O299" s="29"/>
      <c r="P299" s="29"/>
      <c r="Q299" s="38"/>
    </row>
    <row r="300" spans="1:17" x14ac:dyDescent="0.25">
      <c r="A300" s="5"/>
      <c r="B300" s="13"/>
      <c r="C300" s="13"/>
      <c r="D300" s="13"/>
      <c r="E300" s="9"/>
      <c r="F300" s="32"/>
      <c r="G300" s="32"/>
      <c r="H300" s="32"/>
      <c r="I300" s="32"/>
      <c r="J300" s="29"/>
      <c r="K300" s="29"/>
      <c r="L300" s="29"/>
      <c r="M300" s="29"/>
      <c r="N300" s="29"/>
      <c r="O300" s="29"/>
      <c r="P300" s="29"/>
      <c r="Q300" s="38"/>
    </row>
    <row r="301" spans="1:17" x14ac:dyDescent="0.25">
      <c r="A301" s="5"/>
      <c r="B301" s="13"/>
      <c r="C301" s="13"/>
      <c r="D301" s="13"/>
      <c r="E301" s="9"/>
      <c r="F301" s="32"/>
      <c r="G301" s="32"/>
      <c r="H301" s="32"/>
      <c r="I301" s="32"/>
      <c r="J301" s="29"/>
      <c r="K301" s="29"/>
      <c r="L301" s="29"/>
      <c r="M301" s="29"/>
      <c r="N301" s="29"/>
      <c r="O301" s="29"/>
      <c r="P301" s="29"/>
      <c r="Q301" s="38"/>
    </row>
    <row r="302" spans="1:17" x14ac:dyDescent="0.25">
      <c r="A302" s="5"/>
      <c r="B302" s="13"/>
      <c r="C302" s="13"/>
      <c r="D302" s="13"/>
      <c r="E302" s="9"/>
      <c r="F302" s="32"/>
      <c r="G302" s="32"/>
      <c r="H302" s="32"/>
      <c r="I302" s="32"/>
      <c r="J302" s="29"/>
      <c r="K302" s="29"/>
      <c r="L302" s="29"/>
      <c r="M302" s="29"/>
      <c r="N302" s="29"/>
      <c r="O302" s="29"/>
      <c r="P302" s="29"/>
      <c r="Q302" s="38"/>
    </row>
    <row r="303" spans="1:17" x14ac:dyDescent="0.25">
      <c r="A303" s="5"/>
      <c r="B303" s="13"/>
      <c r="C303" s="13"/>
      <c r="D303" s="13"/>
      <c r="E303" s="9"/>
      <c r="F303" s="32"/>
      <c r="G303" s="32"/>
      <c r="H303" s="32"/>
      <c r="I303" s="32"/>
      <c r="J303" s="29"/>
      <c r="K303" s="29"/>
      <c r="L303" s="29"/>
      <c r="M303" s="29"/>
      <c r="N303" s="29"/>
      <c r="O303" s="29"/>
      <c r="P303" s="29"/>
      <c r="Q303" s="38"/>
    </row>
    <row r="304" spans="1:17" x14ac:dyDescent="0.25">
      <c r="A304" s="5"/>
      <c r="B304" s="13"/>
      <c r="C304" s="13"/>
      <c r="D304" s="13"/>
      <c r="E304" s="9"/>
      <c r="F304" s="32"/>
      <c r="G304" s="32"/>
      <c r="H304" s="32"/>
      <c r="I304" s="32"/>
      <c r="J304" s="29"/>
      <c r="K304" s="29"/>
      <c r="L304" s="29"/>
      <c r="M304" s="29"/>
      <c r="N304" s="29"/>
      <c r="O304" s="29"/>
      <c r="P304" s="29"/>
      <c r="Q304" s="38"/>
    </row>
    <row r="305" spans="1:17" x14ac:dyDescent="0.25">
      <c r="A305" s="5"/>
      <c r="B305" s="13"/>
      <c r="C305" s="13"/>
      <c r="D305" s="13"/>
      <c r="E305" s="9"/>
      <c r="F305" s="32"/>
      <c r="G305" s="32"/>
      <c r="H305" s="32"/>
      <c r="I305" s="32"/>
      <c r="J305" s="29"/>
      <c r="K305" s="29"/>
      <c r="L305" s="29"/>
      <c r="M305" s="29"/>
      <c r="N305" s="29"/>
      <c r="O305" s="29"/>
      <c r="P305" s="29"/>
      <c r="Q305" s="38"/>
    </row>
    <row r="306" spans="1:17" x14ac:dyDescent="0.25">
      <c r="A306" s="5"/>
      <c r="B306" s="13"/>
      <c r="C306" s="13"/>
      <c r="D306" s="13"/>
      <c r="E306" s="9"/>
      <c r="F306" s="32"/>
      <c r="G306" s="32"/>
      <c r="H306" s="32"/>
      <c r="I306" s="32"/>
      <c r="J306" s="29"/>
      <c r="K306" s="29"/>
      <c r="L306" s="29"/>
      <c r="M306" s="29"/>
      <c r="N306" s="29"/>
      <c r="O306" s="29"/>
      <c r="P306" s="29"/>
      <c r="Q306" s="38"/>
    </row>
    <row r="307" spans="1:17" x14ac:dyDescent="0.25">
      <c r="A307" s="5"/>
      <c r="B307" s="13"/>
      <c r="C307" s="13"/>
      <c r="D307" s="13"/>
      <c r="E307" s="9"/>
      <c r="F307" s="32"/>
      <c r="G307" s="32"/>
      <c r="H307" s="32"/>
      <c r="I307" s="32"/>
      <c r="J307" s="29"/>
      <c r="K307" s="29"/>
      <c r="L307" s="29"/>
      <c r="M307" s="29"/>
      <c r="N307" s="29"/>
      <c r="O307" s="29"/>
      <c r="P307" s="29"/>
      <c r="Q307" s="38"/>
    </row>
    <row r="308" spans="1:17" x14ac:dyDescent="0.25">
      <c r="A308" s="5"/>
      <c r="B308" s="13"/>
      <c r="C308" s="13"/>
      <c r="D308" s="13"/>
      <c r="E308" s="9"/>
      <c r="F308" s="32"/>
      <c r="G308" s="32"/>
      <c r="H308" s="32"/>
      <c r="I308" s="32"/>
      <c r="J308" s="29"/>
      <c r="K308" s="29"/>
      <c r="L308" s="29"/>
      <c r="M308" s="29"/>
      <c r="N308" s="29"/>
      <c r="O308" s="29"/>
      <c r="P308" s="29"/>
      <c r="Q308" s="38"/>
    </row>
    <row r="309" spans="1:17" x14ac:dyDescent="0.25">
      <c r="A309" s="5"/>
      <c r="B309" s="13"/>
      <c r="C309" s="13"/>
      <c r="D309" s="13"/>
      <c r="E309" s="9"/>
      <c r="F309" s="32"/>
      <c r="G309" s="32"/>
      <c r="H309" s="32"/>
      <c r="I309" s="32"/>
      <c r="J309" s="29"/>
      <c r="K309" s="29"/>
      <c r="L309" s="29"/>
      <c r="M309" s="29"/>
      <c r="N309" s="29"/>
      <c r="O309" s="29"/>
      <c r="P309" s="29"/>
      <c r="Q309" s="38"/>
    </row>
    <row r="310" spans="1:17" x14ac:dyDescent="0.25">
      <c r="A310" s="5"/>
      <c r="B310" s="13"/>
      <c r="C310" s="13"/>
      <c r="D310" s="13"/>
      <c r="E310" s="9"/>
      <c r="F310" s="32"/>
      <c r="G310" s="32"/>
      <c r="H310" s="32"/>
      <c r="I310" s="32"/>
      <c r="J310" s="29"/>
      <c r="K310" s="29"/>
      <c r="L310" s="29"/>
      <c r="M310" s="29"/>
      <c r="N310" s="29"/>
      <c r="O310" s="29"/>
      <c r="P310" s="29"/>
      <c r="Q310" s="38"/>
    </row>
    <row r="311" spans="1:17" x14ac:dyDescent="0.25">
      <c r="A311" s="5"/>
      <c r="B311" s="13"/>
      <c r="C311" s="13"/>
      <c r="D311" s="13"/>
      <c r="E311" s="9"/>
      <c r="F311" s="32"/>
      <c r="G311" s="32"/>
      <c r="H311" s="32"/>
      <c r="I311" s="32"/>
      <c r="J311" s="29"/>
      <c r="K311" s="29"/>
      <c r="L311" s="29"/>
      <c r="M311" s="29"/>
      <c r="N311" s="29"/>
      <c r="O311" s="29"/>
      <c r="P311" s="29"/>
      <c r="Q311" s="38"/>
    </row>
    <row r="312" spans="1:17" x14ac:dyDescent="0.25">
      <c r="A312" s="5"/>
      <c r="B312" s="13"/>
      <c r="C312" s="13"/>
      <c r="D312" s="13"/>
      <c r="E312" s="9"/>
      <c r="F312" s="32"/>
      <c r="G312" s="32"/>
      <c r="H312" s="32"/>
      <c r="I312" s="32"/>
      <c r="J312" s="29"/>
      <c r="K312" s="29"/>
      <c r="L312" s="29"/>
      <c r="M312" s="29"/>
      <c r="N312" s="29"/>
      <c r="O312" s="29"/>
      <c r="P312" s="29"/>
      <c r="Q312" s="38"/>
    </row>
    <row r="313" spans="1:17" x14ac:dyDescent="0.25">
      <c r="A313" s="5"/>
      <c r="B313" s="13"/>
      <c r="C313" s="13"/>
      <c r="D313" s="13"/>
      <c r="E313" s="9"/>
      <c r="F313" s="32"/>
      <c r="G313" s="32"/>
      <c r="H313" s="32"/>
      <c r="I313" s="32"/>
      <c r="J313" s="29"/>
      <c r="K313" s="29"/>
      <c r="L313" s="29"/>
      <c r="M313" s="29"/>
      <c r="N313" s="29"/>
      <c r="O313" s="29"/>
      <c r="P313" s="29"/>
      <c r="Q313" s="38"/>
    </row>
    <row r="314" spans="1:17" x14ac:dyDescent="0.25">
      <c r="A314" s="5"/>
      <c r="B314" s="13"/>
      <c r="C314" s="13"/>
      <c r="D314" s="13"/>
      <c r="E314" s="9"/>
      <c r="F314" s="32"/>
      <c r="G314" s="32"/>
      <c r="H314" s="32"/>
      <c r="I314" s="32"/>
      <c r="J314" s="29"/>
      <c r="K314" s="29"/>
      <c r="L314" s="29"/>
      <c r="M314" s="29"/>
      <c r="N314" s="29"/>
      <c r="O314" s="29"/>
      <c r="P314" s="29"/>
      <c r="Q314" s="38"/>
    </row>
    <row r="315" spans="1:17" x14ac:dyDescent="0.25">
      <c r="A315" s="5"/>
      <c r="B315" s="13"/>
      <c r="C315" s="13"/>
      <c r="D315" s="13"/>
      <c r="E315" s="9"/>
      <c r="F315" s="32"/>
      <c r="G315" s="32"/>
      <c r="H315" s="32"/>
      <c r="I315" s="32"/>
      <c r="J315" s="29"/>
      <c r="K315" s="29"/>
      <c r="L315" s="29"/>
      <c r="M315" s="29"/>
      <c r="N315" s="29"/>
      <c r="O315" s="29"/>
      <c r="P315" s="29"/>
      <c r="Q315" s="38"/>
    </row>
    <row r="316" spans="1:17" x14ac:dyDescent="0.25">
      <c r="A316" s="5"/>
      <c r="B316" s="13"/>
      <c r="C316" s="13"/>
      <c r="D316" s="13"/>
      <c r="E316" s="9"/>
      <c r="F316" s="32"/>
      <c r="G316" s="32"/>
      <c r="H316" s="32"/>
      <c r="I316" s="32"/>
      <c r="J316" s="29"/>
      <c r="K316" s="29"/>
      <c r="L316" s="29"/>
      <c r="M316" s="29"/>
      <c r="N316" s="29"/>
      <c r="O316" s="29"/>
      <c r="P316" s="29"/>
      <c r="Q316" s="38"/>
    </row>
    <row r="317" spans="1:17" x14ac:dyDescent="0.25">
      <c r="A317" s="5"/>
      <c r="B317" s="13"/>
      <c r="C317" s="13"/>
      <c r="D317" s="13"/>
      <c r="E317" s="9"/>
      <c r="F317" s="32"/>
      <c r="G317" s="32"/>
      <c r="H317" s="32"/>
      <c r="I317" s="32"/>
      <c r="J317" s="29"/>
      <c r="K317" s="29"/>
      <c r="L317" s="29"/>
      <c r="M317" s="29"/>
      <c r="N317" s="29"/>
      <c r="O317" s="29"/>
      <c r="P317" s="29"/>
      <c r="Q317" s="38"/>
    </row>
    <row r="318" spans="1:17" x14ac:dyDescent="0.25">
      <c r="A318" s="5"/>
      <c r="B318" s="13"/>
      <c r="C318" s="13"/>
      <c r="D318" s="13"/>
      <c r="E318" s="9"/>
      <c r="F318" s="32"/>
      <c r="G318" s="32"/>
      <c r="H318" s="32"/>
      <c r="I318" s="32"/>
      <c r="J318" s="29"/>
      <c r="K318" s="29"/>
      <c r="L318" s="29"/>
      <c r="M318" s="29"/>
      <c r="N318" s="29"/>
      <c r="O318" s="29"/>
      <c r="P318" s="29"/>
      <c r="Q318" s="38"/>
    </row>
    <row r="319" spans="1:17" x14ac:dyDescent="0.25">
      <c r="A319" s="5"/>
      <c r="B319" s="13"/>
      <c r="C319" s="13"/>
      <c r="D319" s="13"/>
      <c r="E319" s="9"/>
      <c r="F319" s="32"/>
      <c r="G319" s="32"/>
      <c r="H319" s="32"/>
      <c r="I319" s="32"/>
      <c r="J319" s="29"/>
      <c r="K319" s="29"/>
      <c r="L319" s="29"/>
      <c r="M319" s="29"/>
      <c r="N319" s="29"/>
      <c r="O319" s="29"/>
      <c r="P319" s="29"/>
      <c r="Q319" s="38"/>
    </row>
    <row r="320" spans="1:17" x14ac:dyDescent="0.25">
      <c r="A320" s="5"/>
      <c r="B320" s="13"/>
      <c r="C320" s="13"/>
      <c r="D320" s="13"/>
      <c r="E320" s="9"/>
      <c r="F320" s="32"/>
      <c r="G320" s="32"/>
      <c r="H320" s="32"/>
      <c r="I320" s="32"/>
      <c r="J320" s="29"/>
      <c r="K320" s="29"/>
      <c r="L320" s="29"/>
      <c r="M320" s="29"/>
      <c r="N320" s="29"/>
      <c r="O320" s="29"/>
      <c r="P320" s="29"/>
      <c r="Q320" s="38"/>
    </row>
    <row r="321" spans="1:17" x14ac:dyDescent="0.25">
      <c r="A321" s="5"/>
      <c r="B321" s="13"/>
      <c r="C321" s="13"/>
      <c r="D321" s="13"/>
      <c r="E321" s="9"/>
      <c r="F321" s="32"/>
      <c r="G321" s="32"/>
      <c r="H321" s="32"/>
      <c r="I321" s="32"/>
      <c r="J321" s="29"/>
      <c r="K321" s="29"/>
      <c r="L321" s="29"/>
      <c r="M321" s="29"/>
      <c r="N321" s="29"/>
      <c r="O321" s="29"/>
      <c r="P321" s="29"/>
      <c r="Q321" s="38"/>
    </row>
    <row r="322" spans="1:17" x14ac:dyDescent="0.25">
      <c r="A322" s="5"/>
      <c r="B322" s="13"/>
      <c r="C322" s="13"/>
      <c r="D322" s="13"/>
      <c r="E322" s="9"/>
      <c r="F322" s="32"/>
      <c r="G322" s="32"/>
      <c r="H322" s="32"/>
      <c r="I322" s="32"/>
      <c r="J322" s="29"/>
      <c r="K322" s="29"/>
      <c r="L322" s="29"/>
      <c r="M322" s="29"/>
      <c r="N322" s="29"/>
      <c r="O322" s="29"/>
      <c r="P322" s="29"/>
      <c r="Q322" s="38"/>
    </row>
    <row r="323" spans="1:17" x14ac:dyDescent="0.25">
      <c r="A323" s="5"/>
      <c r="B323" s="13"/>
      <c r="C323" s="13"/>
      <c r="D323" s="13"/>
      <c r="E323" s="9"/>
      <c r="F323" s="32"/>
      <c r="G323" s="32"/>
      <c r="H323" s="32"/>
      <c r="I323" s="32"/>
      <c r="J323" s="29"/>
      <c r="K323" s="29"/>
      <c r="L323" s="29"/>
      <c r="M323" s="29"/>
      <c r="N323" s="29"/>
      <c r="O323" s="29"/>
      <c r="P323" s="29"/>
      <c r="Q323" s="38"/>
    </row>
    <row r="324" spans="1:17" x14ac:dyDescent="0.25">
      <c r="A324" s="5"/>
      <c r="B324" s="13"/>
      <c r="C324" s="13"/>
      <c r="D324" s="13"/>
      <c r="E324" s="9"/>
      <c r="F324" s="32"/>
      <c r="G324" s="32"/>
      <c r="H324" s="32"/>
      <c r="I324" s="32"/>
      <c r="J324" s="29"/>
      <c r="K324" s="29"/>
      <c r="L324" s="29"/>
      <c r="M324" s="29"/>
      <c r="N324" s="29"/>
      <c r="O324" s="29"/>
      <c r="P324" s="29"/>
      <c r="Q324" s="38"/>
    </row>
    <row r="325" spans="1:17" x14ac:dyDescent="0.25">
      <c r="A325" s="5"/>
      <c r="B325" s="13"/>
      <c r="C325" s="13"/>
      <c r="D325" s="13"/>
      <c r="E325" s="9"/>
      <c r="F325" s="32"/>
      <c r="G325" s="32"/>
      <c r="H325" s="32"/>
      <c r="I325" s="32"/>
      <c r="J325" s="29"/>
      <c r="K325" s="29"/>
      <c r="L325" s="29"/>
      <c r="M325" s="29"/>
      <c r="N325" s="29"/>
      <c r="O325" s="29"/>
      <c r="P325" s="29"/>
      <c r="Q325" s="38"/>
    </row>
    <row r="326" spans="1:17" x14ac:dyDescent="0.25">
      <c r="A326" s="5"/>
      <c r="B326" s="13"/>
      <c r="C326" s="13"/>
      <c r="D326" s="13"/>
      <c r="E326" s="9"/>
      <c r="F326" s="32"/>
      <c r="G326" s="32"/>
      <c r="H326" s="32"/>
      <c r="I326" s="32"/>
      <c r="J326" s="29"/>
      <c r="K326" s="29"/>
      <c r="L326" s="29"/>
      <c r="M326" s="29"/>
      <c r="N326" s="29"/>
      <c r="O326" s="29"/>
      <c r="P326" s="29"/>
      <c r="Q326" s="38"/>
    </row>
    <row r="327" spans="1:17" x14ac:dyDescent="0.25">
      <c r="A327" s="5"/>
      <c r="B327" s="13"/>
      <c r="C327" s="13"/>
      <c r="D327" s="13"/>
      <c r="E327" s="9"/>
      <c r="F327" s="32"/>
      <c r="G327" s="32"/>
      <c r="H327" s="32"/>
      <c r="I327" s="32"/>
      <c r="J327" s="29"/>
      <c r="K327" s="29"/>
      <c r="L327" s="29"/>
      <c r="M327" s="29"/>
      <c r="N327" s="29"/>
      <c r="O327" s="29"/>
      <c r="P327" s="29"/>
      <c r="Q327" s="38"/>
    </row>
    <row r="328" spans="1:17" x14ac:dyDescent="0.25">
      <c r="A328" s="5"/>
      <c r="B328" s="13"/>
      <c r="C328" s="13"/>
      <c r="D328" s="13"/>
      <c r="E328" s="9"/>
      <c r="F328" s="32"/>
      <c r="G328" s="32"/>
      <c r="H328" s="32"/>
      <c r="I328" s="32"/>
      <c r="J328" s="29"/>
      <c r="K328" s="29"/>
      <c r="L328" s="29"/>
      <c r="M328" s="29"/>
      <c r="N328" s="29"/>
      <c r="O328" s="29"/>
      <c r="P328" s="29"/>
      <c r="Q328" s="38"/>
    </row>
    <row r="329" spans="1:17" x14ac:dyDescent="0.25">
      <c r="A329" s="5"/>
      <c r="B329" s="13"/>
      <c r="C329" s="13"/>
      <c r="D329" s="13"/>
      <c r="E329" s="9"/>
      <c r="F329" s="32"/>
      <c r="G329" s="32"/>
      <c r="H329" s="32"/>
      <c r="I329" s="32"/>
      <c r="J329" s="29"/>
      <c r="K329" s="29"/>
      <c r="L329" s="29"/>
      <c r="M329" s="29"/>
      <c r="N329" s="29"/>
      <c r="O329" s="29"/>
      <c r="P329" s="29"/>
      <c r="Q329" s="38"/>
    </row>
    <row r="330" spans="1:17" x14ac:dyDescent="0.25">
      <c r="A330" s="5"/>
      <c r="B330" s="13"/>
      <c r="C330" s="13"/>
      <c r="D330" s="13"/>
      <c r="E330" s="9"/>
      <c r="F330" s="32"/>
      <c r="G330" s="32"/>
      <c r="H330" s="32"/>
      <c r="I330" s="32"/>
      <c r="J330" s="29"/>
      <c r="K330" s="29"/>
      <c r="L330" s="29"/>
      <c r="M330" s="29"/>
      <c r="N330" s="29"/>
      <c r="O330" s="29"/>
      <c r="P330" s="29"/>
      <c r="Q330" s="38"/>
    </row>
    <row r="331" spans="1:17" x14ac:dyDescent="0.25">
      <c r="A331" s="5"/>
      <c r="B331" s="13"/>
      <c r="C331" s="13"/>
      <c r="D331" s="13"/>
      <c r="E331" s="9"/>
      <c r="F331" s="32"/>
      <c r="G331" s="32"/>
      <c r="H331" s="32"/>
      <c r="I331" s="32"/>
      <c r="J331" s="29"/>
      <c r="K331" s="29"/>
      <c r="L331" s="29"/>
      <c r="M331" s="29"/>
      <c r="N331" s="29"/>
      <c r="O331" s="29"/>
      <c r="P331" s="29"/>
      <c r="Q331" s="38"/>
    </row>
    <row r="332" spans="1:17" x14ac:dyDescent="0.25">
      <c r="A332" s="5"/>
      <c r="B332" s="13"/>
      <c r="C332" s="13"/>
      <c r="D332" s="13"/>
      <c r="E332" s="9"/>
      <c r="F332" s="32"/>
      <c r="G332" s="32"/>
      <c r="H332" s="32"/>
      <c r="I332" s="32"/>
      <c r="J332" s="29"/>
      <c r="K332" s="29"/>
      <c r="L332" s="29"/>
      <c r="M332" s="29"/>
      <c r="N332" s="29"/>
      <c r="O332" s="29"/>
      <c r="P332" s="29"/>
      <c r="Q332" s="38"/>
    </row>
    <row r="333" spans="1:17" x14ac:dyDescent="0.25">
      <c r="A333" s="5"/>
      <c r="B333" s="13"/>
      <c r="C333" s="13"/>
      <c r="D333" s="13"/>
      <c r="E333" s="9"/>
      <c r="F333" s="32"/>
      <c r="G333" s="32"/>
      <c r="H333" s="32"/>
      <c r="I333" s="32"/>
      <c r="J333" s="29"/>
      <c r="K333" s="29"/>
      <c r="L333" s="29"/>
      <c r="M333" s="29"/>
      <c r="N333" s="29"/>
      <c r="O333" s="29"/>
      <c r="P333" s="29"/>
      <c r="Q333" s="38"/>
    </row>
    <row r="334" spans="1:17" x14ac:dyDescent="0.25">
      <c r="A334" s="5"/>
      <c r="B334" s="13"/>
      <c r="C334" s="13"/>
      <c r="D334" s="13"/>
      <c r="E334" s="9"/>
      <c r="F334" s="32"/>
      <c r="G334" s="32"/>
      <c r="H334" s="32"/>
      <c r="I334" s="32"/>
      <c r="J334" s="29"/>
      <c r="K334" s="29"/>
      <c r="L334" s="29"/>
      <c r="M334" s="29"/>
      <c r="N334" s="29"/>
      <c r="O334" s="29"/>
      <c r="P334" s="29"/>
      <c r="Q334" s="38"/>
    </row>
    <row r="335" spans="1:17" x14ac:dyDescent="0.25">
      <c r="A335" s="5"/>
      <c r="B335" s="13"/>
      <c r="C335" s="13"/>
      <c r="D335" s="13"/>
      <c r="E335" s="9"/>
      <c r="F335" s="32"/>
      <c r="G335" s="32"/>
      <c r="H335" s="32"/>
      <c r="I335" s="32"/>
      <c r="J335" s="29"/>
      <c r="K335" s="29"/>
      <c r="L335" s="29"/>
      <c r="M335" s="29"/>
      <c r="N335" s="29"/>
      <c r="O335" s="29"/>
      <c r="P335" s="29"/>
      <c r="Q335" s="38"/>
    </row>
    <row r="336" spans="1:17" x14ac:dyDescent="0.25">
      <c r="A336" s="5"/>
      <c r="B336" s="13"/>
      <c r="C336" s="13"/>
      <c r="D336" s="13"/>
      <c r="E336" s="9"/>
      <c r="F336" s="32"/>
      <c r="G336" s="32"/>
      <c r="H336" s="32"/>
      <c r="I336" s="32"/>
      <c r="J336" s="29"/>
      <c r="K336" s="29"/>
      <c r="L336" s="29"/>
      <c r="M336" s="29"/>
      <c r="N336" s="29"/>
      <c r="O336" s="29"/>
      <c r="P336" s="29"/>
      <c r="Q336" s="38"/>
    </row>
    <row r="337" spans="1:17" x14ac:dyDescent="0.25">
      <c r="A337" s="5"/>
      <c r="B337" s="13"/>
      <c r="C337" s="13"/>
      <c r="D337" s="13"/>
      <c r="E337" s="9"/>
      <c r="F337" s="32"/>
      <c r="G337" s="32"/>
      <c r="H337" s="32"/>
      <c r="I337" s="32"/>
      <c r="J337" s="29"/>
      <c r="K337" s="29"/>
      <c r="L337" s="29"/>
      <c r="M337" s="29"/>
      <c r="N337" s="29"/>
      <c r="O337" s="29"/>
      <c r="P337" s="29"/>
      <c r="Q337" s="38"/>
    </row>
    <row r="338" spans="1:17" x14ac:dyDescent="0.25">
      <c r="A338" s="5"/>
      <c r="B338" s="13"/>
      <c r="C338" s="13"/>
      <c r="D338" s="13"/>
      <c r="E338" s="9"/>
      <c r="F338" s="32"/>
      <c r="G338" s="32"/>
      <c r="H338" s="32"/>
      <c r="I338" s="32"/>
      <c r="J338" s="29"/>
      <c r="K338" s="29"/>
      <c r="L338" s="29"/>
      <c r="M338" s="29"/>
      <c r="N338" s="29"/>
      <c r="O338" s="29"/>
      <c r="P338" s="29"/>
      <c r="Q338" s="38"/>
    </row>
    <row r="339" spans="1:17" x14ac:dyDescent="0.25">
      <c r="A339" s="5"/>
      <c r="B339" s="13"/>
      <c r="C339" s="13"/>
      <c r="D339" s="13"/>
      <c r="E339" s="9"/>
      <c r="F339" s="32"/>
      <c r="G339" s="32"/>
      <c r="H339" s="32"/>
      <c r="I339" s="32"/>
      <c r="J339" s="29"/>
      <c r="K339" s="29"/>
      <c r="L339" s="29"/>
      <c r="M339" s="29"/>
      <c r="N339" s="29"/>
      <c r="O339" s="29"/>
      <c r="P339" s="29"/>
      <c r="Q339" s="38"/>
    </row>
    <row r="340" spans="1:17" x14ac:dyDescent="0.25">
      <c r="A340" s="5"/>
      <c r="B340" s="13"/>
      <c r="C340" s="13"/>
      <c r="D340" s="13"/>
      <c r="E340" s="9"/>
      <c r="F340" s="32"/>
      <c r="G340" s="32"/>
      <c r="H340" s="32"/>
      <c r="I340" s="32"/>
      <c r="J340" s="29"/>
      <c r="K340" s="29"/>
      <c r="L340" s="29"/>
      <c r="M340" s="29"/>
      <c r="N340" s="29"/>
      <c r="O340" s="29"/>
      <c r="P340" s="29"/>
      <c r="Q340" s="38"/>
    </row>
    <row r="341" spans="1:17" x14ac:dyDescent="0.25">
      <c r="A341" s="5"/>
      <c r="B341" s="13"/>
      <c r="C341" s="13"/>
      <c r="D341" s="13"/>
      <c r="E341" s="9"/>
      <c r="F341" s="32"/>
      <c r="G341" s="32"/>
      <c r="H341" s="32"/>
      <c r="I341" s="32"/>
      <c r="J341" s="29"/>
      <c r="K341" s="29"/>
      <c r="L341" s="29"/>
      <c r="M341" s="29"/>
      <c r="N341" s="29"/>
      <c r="O341" s="29"/>
      <c r="P341" s="29"/>
      <c r="Q341" s="38"/>
    </row>
    <row r="342" spans="1:17" x14ac:dyDescent="0.25">
      <c r="A342" s="5"/>
      <c r="B342" s="13"/>
      <c r="C342" s="13"/>
      <c r="D342" s="13"/>
      <c r="E342" s="9"/>
      <c r="F342" s="32"/>
      <c r="G342" s="32"/>
      <c r="H342" s="32"/>
      <c r="I342" s="32"/>
      <c r="J342" s="29"/>
      <c r="K342" s="29"/>
      <c r="L342" s="29"/>
      <c r="M342" s="29"/>
      <c r="N342" s="29"/>
      <c r="O342" s="29"/>
      <c r="P342" s="29"/>
      <c r="Q342" s="38"/>
    </row>
    <row r="343" spans="1:17" x14ac:dyDescent="0.25">
      <c r="A343" s="5"/>
      <c r="B343" s="13"/>
      <c r="C343" s="13"/>
      <c r="D343" s="13"/>
      <c r="E343" s="9"/>
      <c r="F343" s="32"/>
      <c r="G343" s="32"/>
      <c r="H343" s="32"/>
      <c r="I343" s="32"/>
      <c r="J343" s="29"/>
      <c r="K343" s="29"/>
      <c r="L343" s="29"/>
      <c r="M343" s="29"/>
      <c r="N343" s="29"/>
      <c r="O343" s="29"/>
      <c r="P343" s="29"/>
      <c r="Q343" s="38"/>
    </row>
    <row r="344" spans="1:17" x14ac:dyDescent="0.25">
      <c r="A344" s="5"/>
      <c r="B344" s="13"/>
      <c r="C344" s="13"/>
      <c r="D344" s="13"/>
      <c r="E344" s="9"/>
      <c r="F344" s="32"/>
      <c r="G344" s="32"/>
      <c r="H344" s="32"/>
      <c r="I344" s="32"/>
      <c r="J344" s="29"/>
      <c r="K344" s="29"/>
      <c r="L344" s="29"/>
      <c r="M344" s="29"/>
      <c r="N344" s="29"/>
      <c r="O344" s="29"/>
      <c r="P344" s="29"/>
      <c r="Q344" s="38"/>
    </row>
    <row r="345" spans="1:17" x14ac:dyDescent="0.25">
      <c r="A345" s="5"/>
      <c r="B345" s="13"/>
      <c r="C345" s="13"/>
      <c r="D345" s="13"/>
      <c r="E345" s="9"/>
      <c r="F345" s="32"/>
      <c r="G345" s="32"/>
      <c r="H345" s="32"/>
      <c r="I345" s="32"/>
      <c r="J345" s="29"/>
      <c r="K345" s="29"/>
      <c r="L345" s="29"/>
      <c r="M345" s="29"/>
      <c r="N345" s="29"/>
      <c r="O345" s="29"/>
      <c r="P345" s="29"/>
      <c r="Q345" s="38"/>
    </row>
    <row r="346" spans="1:17" x14ac:dyDescent="0.25">
      <c r="A346" s="5"/>
      <c r="B346" s="13"/>
      <c r="C346" s="13"/>
      <c r="D346" s="13"/>
      <c r="E346" s="9"/>
      <c r="F346" s="32"/>
      <c r="G346" s="32"/>
      <c r="H346" s="32"/>
      <c r="I346" s="32"/>
      <c r="J346" s="29"/>
      <c r="K346" s="29"/>
      <c r="L346" s="29"/>
      <c r="M346" s="29"/>
      <c r="N346" s="29"/>
      <c r="O346" s="29"/>
      <c r="P346" s="29"/>
      <c r="Q346" s="38"/>
    </row>
    <row r="347" spans="1:17" x14ac:dyDescent="0.25">
      <c r="A347" s="5"/>
      <c r="B347" s="13"/>
      <c r="C347" s="13"/>
      <c r="D347" s="13"/>
      <c r="E347" s="9"/>
      <c r="F347" s="32"/>
      <c r="G347" s="32"/>
      <c r="H347" s="32"/>
      <c r="I347" s="32"/>
      <c r="J347" s="29"/>
      <c r="K347" s="29"/>
      <c r="L347" s="29"/>
      <c r="M347" s="29"/>
      <c r="N347" s="29"/>
      <c r="O347" s="29"/>
      <c r="P347" s="29"/>
      <c r="Q347" s="38"/>
    </row>
    <row r="348" spans="1:17" x14ac:dyDescent="0.25">
      <c r="A348" s="5"/>
      <c r="B348" s="13"/>
      <c r="C348" s="13"/>
      <c r="D348" s="13"/>
      <c r="E348" s="9"/>
      <c r="F348" s="32"/>
      <c r="G348" s="32"/>
      <c r="H348" s="32"/>
      <c r="I348" s="32"/>
      <c r="J348" s="29"/>
      <c r="K348" s="29"/>
      <c r="L348" s="29"/>
      <c r="M348" s="29"/>
      <c r="N348" s="29"/>
      <c r="O348" s="29"/>
      <c r="P348" s="29"/>
      <c r="Q348" s="38"/>
    </row>
    <row r="349" spans="1:17" x14ac:dyDescent="0.25">
      <c r="A349" s="5"/>
      <c r="B349" s="13"/>
      <c r="C349" s="13"/>
      <c r="D349" s="13"/>
      <c r="E349" s="9"/>
      <c r="F349" s="32"/>
      <c r="G349" s="32"/>
      <c r="H349" s="32"/>
      <c r="I349" s="32"/>
      <c r="J349" s="29"/>
      <c r="K349" s="29"/>
      <c r="L349" s="29"/>
      <c r="M349" s="29"/>
      <c r="N349" s="29"/>
      <c r="O349" s="29"/>
      <c r="P349" s="29"/>
      <c r="Q349" s="38"/>
    </row>
    <row r="350" spans="1:17" x14ac:dyDescent="0.25">
      <c r="A350" s="5"/>
      <c r="B350" s="13"/>
      <c r="C350" s="13"/>
      <c r="D350" s="13"/>
      <c r="E350" s="9"/>
      <c r="F350" s="32"/>
      <c r="G350" s="32"/>
      <c r="H350" s="32"/>
      <c r="I350" s="32"/>
      <c r="J350" s="29"/>
      <c r="K350" s="29"/>
      <c r="L350" s="29"/>
      <c r="M350" s="29"/>
      <c r="N350" s="29"/>
      <c r="O350" s="29"/>
      <c r="P350" s="29"/>
      <c r="Q350" s="38"/>
    </row>
    <row r="351" spans="1:17" x14ac:dyDescent="0.25">
      <c r="A351" s="5"/>
      <c r="B351" s="13"/>
      <c r="C351" s="13"/>
      <c r="D351" s="13"/>
      <c r="E351" s="9"/>
      <c r="F351" s="32"/>
      <c r="G351" s="32"/>
      <c r="H351" s="32"/>
      <c r="I351" s="32"/>
      <c r="J351" s="29"/>
      <c r="K351" s="29"/>
      <c r="L351" s="29"/>
      <c r="M351" s="29"/>
      <c r="N351" s="29"/>
      <c r="O351" s="29"/>
      <c r="P351" s="29"/>
      <c r="Q351" s="38"/>
    </row>
    <row r="352" spans="1:17" x14ac:dyDescent="0.25">
      <c r="A352" s="5"/>
      <c r="B352" s="13"/>
      <c r="C352" s="13"/>
      <c r="D352" s="13"/>
      <c r="E352" s="9"/>
      <c r="F352" s="32"/>
      <c r="G352" s="32"/>
      <c r="H352" s="32"/>
      <c r="I352" s="32"/>
      <c r="J352" s="29"/>
      <c r="K352" s="29"/>
      <c r="L352" s="29"/>
      <c r="M352" s="29"/>
      <c r="N352" s="29"/>
      <c r="O352" s="29"/>
      <c r="P352" s="29"/>
      <c r="Q352" s="38"/>
    </row>
    <row r="353" spans="1:17" x14ac:dyDescent="0.25">
      <c r="A353" s="5"/>
      <c r="B353" s="13"/>
      <c r="C353" s="13"/>
      <c r="D353" s="13"/>
      <c r="E353" s="9"/>
      <c r="F353" s="32"/>
      <c r="G353" s="32"/>
      <c r="H353" s="32"/>
      <c r="I353" s="32"/>
      <c r="J353" s="29"/>
      <c r="K353" s="29"/>
      <c r="L353" s="29"/>
      <c r="M353" s="29"/>
      <c r="N353" s="29"/>
      <c r="O353" s="29"/>
      <c r="P353" s="29"/>
      <c r="Q353" s="38"/>
    </row>
    <row r="354" spans="1:17" x14ac:dyDescent="0.25">
      <c r="A354" s="5"/>
      <c r="B354" s="13"/>
      <c r="C354" s="13"/>
      <c r="D354" s="13"/>
      <c r="E354" s="9"/>
      <c r="F354" s="32"/>
      <c r="G354" s="32"/>
      <c r="H354" s="32"/>
      <c r="I354" s="32"/>
      <c r="J354" s="29"/>
      <c r="K354" s="29"/>
      <c r="L354" s="29"/>
      <c r="M354" s="29"/>
      <c r="N354" s="29"/>
      <c r="O354" s="29"/>
      <c r="P354" s="29"/>
      <c r="Q354" s="38"/>
    </row>
    <row r="355" spans="1:17" x14ac:dyDescent="0.25">
      <c r="A355" s="5"/>
      <c r="B355" s="13"/>
      <c r="C355" s="13"/>
      <c r="D355" s="13"/>
      <c r="E355" s="9"/>
      <c r="F355" s="32"/>
      <c r="G355" s="32"/>
      <c r="H355" s="32"/>
      <c r="I355" s="32"/>
      <c r="J355" s="29"/>
      <c r="K355" s="29"/>
      <c r="L355" s="29"/>
      <c r="M355" s="29"/>
      <c r="N355" s="29"/>
      <c r="O355" s="29"/>
      <c r="P355" s="29"/>
      <c r="Q355" s="38"/>
    </row>
    <row r="356" spans="1:17" x14ac:dyDescent="0.25">
      <c r="A356" s="5"/>
      <c r="B356" s="13"/>
      <c r="C356" s="13"/>
      <c r="D356" s="13"/>
      <c r="E356" s="9"/>
      <c r="F356" s="32"/>
      <c r="G356" s="32"/>
      <c r="H356" s="32"/>
      <c r="I356" s="32"/>
      <c r="J356" s="29"/>
      <c r="K356" s="29"/>
      <c r="L356" s="29"/>
      <c r="M356" s="29"/>
      <c r="N356" s="29"/>
      <c r="O356" s="29"/>
      <c r="P356" s="29"/>
      <c r="Q356" s="38"/>
    </row>
    <row r="357" spans="1:17" x14ac:dyDescent="0.25">
      <c r="A357" s="5"/>
      <c r="B357" s="13"/>
      <c r="C357" s="13"/>
      <c r="D357" s="13"/>
      <c r="E357" s="9"/>
      <c r="F357" s="32"/>
      <c r="G357" s="32"/>
      <c r="H357" s="32"/>
      <c r="I357" s="32"/>
      <c r="J357" s="29"/>
      <c r="K357" s="29"/>
      <c r="L357" s="29"/>
      <c r="M357" s="29"/>
      <c r="N357" s="29"/>
      <c r="O357" s="29"/>
      <c r="P357" s="29"/>
      <c r="Q357" s="38"/>
    </row>
    <row r="358" spans="1:17" x14ac:dyDescent="0.25">
      <c r="A358" s="5"/>
      <c r="B358" s="13"/>
      <c r="C358" s="13"/>
      <c r="D358" s="13"/>
      <c r="E358" s="9"/>
      <c r="F358" s="32"/>
      <c r="G358" s="32"/>
      <c r="H358" s="32"/>
      <c r="I358" s="32"/>
      <c r="J358" s="29"/>
      <c r="K358" s="29"/>
      <c r="L358" s="29"/>
      <c r="M358" s="29"/>
      <c r="N358" s="29"/>
      <c r="O358" s="29"/>
      <c r="P358" s="29"/>
      <c r="Q358" s="38"/>
    </row>
    <row r="359" spans="1:17" x14ac:dyDescent="0.25">
      <c r="A359" s="5"/>
      <c r="B359" s="13"/>
      <c r="C359" s="13"/>
      <c r="D359" s="13"/>
      <c r="E359" s="9"/>
      <c r="F359" s="32"/>
      <c r="G359" s="32"/>
      <c r="H359" s="32"/>
      <c r="I359" s="32"/>
      <c r="J359" s="29"/>
      <c r="K359" s="29"/>
      <c r="L359" s="29"/>
      <c r="M359" s="29"/>
      <c r="N359" s="29"/>
      <c r="O359" s="29"/>
      <c r="P359" s="29"/>
      <c r="Q359" s="38"/>
    </row>
    <row r="360" spans="1:17" x14ac:dyDescent="0.25">
      <c r="A360" s="5"/>
      <c r="B360" s="13"/>
      <c r="C360" s="13"/>
      <c r="D360" s="13"/>
      <c r="E360" s="9"/>
      <c r="F360" s="32"/>
      <c r="G360" s="32"/>
      <c r="H360" s="32"/>
      <c r="I360" s="32"/>
      <c r="J360" s="29"/>
      <c r="K360" s="29"/>
      <c r="L360" s="29"/>
      <c r="M360" s="29"/>
      <c r="N360" s="29"/>
      <c r="O360" s="29"/>
      <c r="P360" s="29"/>
      <c r="Q360" s="38"/>
    </row>
    <row r="361" spans="1:17" x14ac:dyDescent="0.25">
      <c r="A361" s="5"/>
      <c r="B361" s="13"/>
      <c r="C361" s="13"/>
      <c r="D361" s="13"/>
      <c r="E361" s="9"/>
      <c r="F361" s="32"/>
      <c r="G361" s="32"/>
      <c r="H361" s="32"/>
      <c r="I361" s="32"/>
      <c r="J361" s="29"/>
      <c r="K361" s="29"/>
      <c r="L361" s="29"/>
      <c r="M361" s="29"/>
      <c r="N361" s="29"/>
      <c r="O361" s="29"/>
      <c r="P361" s="29"/>
      <c r="Q361" s="38"/>
    </row>
    <row r="362" spans="1:17" x14ac:dyDescent="0.25">
      <c r="A362" s="5"/>
      <c r="B362" s="13"/>
      <c r="C362" s="13"/>
      <c r="D362" s="13"/>
      <c r="E362" s="9"/>
      <c r="F362" s="32"/>
      <c r="G362" s="32"/>
      <c r="H362" s="32"/>
      <c r="I362" s="32"/>
      <c r="J362" s="29"/>
      <c r="K362" s="29"/>
      <c r="L362" s="29"/>
      <c r="M362" s="29"/>
      <c r="N362" s="29"/>
      <c r="O362" s="29"/>
      <c r="P362" s="29"/>
      <c r="Q362" s="38"/>
    </row>
    <row r="363" spans="1:17" x14ac:dyDescent="0.25">
      <c r="A363" s="5"/>
      <c r="B363" s="13"/>
      <c r="C363" s="13"/>
      <c r="D363" s="13"/>
      <c r="E363" s="9"/>
      <c r="F363" s="32"/>
      <c r="G363" s="32"/>
      <c r="H363" s="32"/>
      <c r="I363" s="32"/>
      <c r="J363" s="29"/>
      <c r="K363" s="29"/>
      <c r="L363" s="29"/>
      <c r="M363" s="29"/>
      <c r="N363" s="29"/>
      <c r="O363" s="29"/>
      <c r="P363" s="29"/>
      <c r="Q363" s="38"/>
    </row>
    <row r="364" spans="1:17" x14ac:dyDescent="0.25">
      <c r="A364" s="5"/>
      <c r="B364" s="13"/>
      <c r="C364" s="13"/>
      <c r="D364" s="13"/>
      <c r="E364" s="9"/>
      <c r="F364" s="32"/>
      <c r="G364" s="32"/>
      <c r="H364" s="32"/>
      <c r="I364" s="32"/>
      <c r="J364" s="29"/>
      <c r="K364" s="29"/>
      <c r="L364" s="29"/>
      <c r="M364" s="29"/>
      <c r="N364" s="29"/>
      <c r="O364" s="29"/>
      <c r="P364" s="29"/>
      <c r="Q364" s="38"/>
    </row>
    <row r="365" spans="1:17" x14ac:dyDescent="0.25">
      <c r="A365" s="5"/>
      <c r="B365" s="13"/>
      <c r="C365" s="13"/>
      <c r="D365" s="13"/>
      <c r="E365" s="9"/>
      <c r="F365" s="32"/>
      <c r="G365" s="32"/>
      <c r="H365" s="32"/>
      <c r="I365" s="32"/>
      <c r="J365" s="29"/>
      <c r="K365" s="29"/>
      <c r="L365" s="29"/>
      <c r="M365" s="29"/>
      <c r="N365" s="29"/>
      <c r="O365" s="29"/>
      <c r="P365" s="29"/>
      <c r="Q365" s="38"/>
    </row>
    <row r="366" spans="1:17" x14ac:dyDescent="0.25">
      <c r="A366" s="5"/>
      <c r="B366" s="13"/>
      <c r="C366" s="13"/>
      <c r="D366" s="13"/>
      <c r="E366" s="9"/>
      <c r="F366" s="32"/>
      <c r="G366" s="32"/>
      <c r="H366" s="32"/>
      <c r="I366" s="32"/>
      <c r="J366" s="29"/>
      <c r="K366" s="29"/>
      <c r="L366" s="29"/>
      <c r="M366" s="29"/>
      <c r="N366" s="29"/>
      <c r="O366" s="29"/>
      <c r="P366" s="29"/>
      <c r="Q366" s="38"/>
    </row>
    <row r="367" spans="1:17" x14ac:dyDescent="0.25">
      <c r="A367" s="5"/>
      <c r="B367" s="13"/>
      <c r="C367" s="13"/>
      <c r="D367" s="13"/>
      <c r="E367" s="9"/>
      <c r="F367" s="32"/>
      <c r="G367" s="32"/>
      <c r="H367" s="32"/>
      <c r="I367" s="32"/>
      <c r="J367" s="29"/>
      <c r="K367" s="29"/>
      <c r="L367" s="29"/>
      <c r="M367" s="29"/>
      <c r="N367" s="29"/>
      <c r="O367" s="29"/>
      <c r="P367" s="29"/>
      <c r="Q367" s="38"/>
    </row>
    <row r="368" spans="1:17" x14ac:dyDescent="0.25">
      <c r="A368" s="5"/>
      <c r="B368" s="13"/>
      <c r="C368" s="13"/>
      <c r="D368" s="13"/>
      <c r="E368" s="9"/>
      <c r="F368" s="32"/>
      <c r="G368" s="32"/>
      <c r="H368" s="32"/>
      <c r="I368" s="32"/>
      <c r="J368" s="29"/>
      <c r="K368" s="29"/>
      <c r="L368" s="29"/>
      <c r="M368" s="29"/>
      <c r="N368" s="29"/>
      <c r="O368" s="29"/>
      <c r="P368" s="29"/>
      <c r="Q368" s="38"/>
    </row>
    <row r="369" spans="1:17" x14ac:dyDescent="0.25">
      <c r="A369" s="5"/>
      <c r="B369" s="13"/>
      <c r="C369" s="13"/>
      <c r="D369" s="13"/>
      <c r="E369" s="9"/>
      <c r="F369" s="32"/>
      <c r="G369" s="32"/>
      <c r="H369" s="32"/>
      <c r="I369" s="32"/>
      <c r="J369" s="29"/>
      <c r="K369" s="29"/>
      <c r="L369" s="29"/>
      <c r="M369" s="29"/>
      <c r="N369" s="29"/>
      <c r="O369" s="29"/>
      <c r="P369" s="29"/>
      <c r="Q369" s="38"/>
    </row>
    <row r="370" spans="1:17" x14ac:dyDescent="0.25">
      <c r="A370" s="5"/>
      <c r="B370" s="13"/>
      <c r="C370" s="13"/>
      <c r="D370" s="13"/>
      <c r="E370" s="9"/>
      <c r="F370" s="32"/>
      <c r="G370" s="32"/>
      <c r="H370" s="32"/>
      <c r="I370" s="32"/>
      <c r="J370" s="29"/>
      <c r="K370" s="29"/>
      <c r="L370" s="29"/>
      <c r="M370" s="29"/>
      <c r="N370" s="29"/>
      <c r="O370" s="29"/>
      <c r="P370" s="29"/>
      <c r="Q370" s="38"/>
    </row>
    <row r="371" spans="1:17" x14ac:dyDescent="0.25">
      <c r="A371" s="5"/>
      <c r="B371" s="13"/>
      <c r="C371" s="13"/>
      <c r="D371" s="13"/>
      <c r="E371" s="9"/>
      <c r="F371" s="32"/>
      <c r="G371" s="32"/>
      <c r="H371" s="32"/>
      <c r="I371" s="32"/>
      <c r="J371" s="29"/>
      <c r="K371" s="29"/>
      <c r="L371" s="29"/>
      <c r="M371" s="29"/>
      <c r="N371" s="29"/>
      <c r="O371" s="29"/>
      <c r="P371" s="29"/>
      <c r="Q371" s="38"/>
    </row>
    <row r="372" spans="1:17" x14ac:dyDescent="0.25">
      <c r="A372" s="5"/>
      <c r="B372" s="13"/>
      <c r="C372" s="13"/>
      <c r="D372" s="13"/>
      <c r="E372" s="9"/>
      <c r="F372" s="32"/>
      <c r="G372" s="32"/>
      <c r="H372" s="32"/>
      <c r="I372" s="32"/>
      <c r="J372" s="29"/>
      <c r="K372" s="29"/>
      <c r="L372" s="29"/>
      <c r="M372" s="29"/>
      <c r="N372" s="29"/>
      <c r="O372" s="29"/>
      <c r="P372" s="29"/>
      <c r="Q372" s="38"/>
    </row>
    <row r="373" spans="1:17" x14ac:dyDescent="0.25">
      <c r="A373" s="5"/>
      <c r="B373" s="13"/>
      <c r="C373" s="13"/>
      <c r="D373" s="13"/>
      <c r="E373" s="9"/>
      <c r="F373" s="32"/>
      <c r="G373" s="32"/>
      <c r="H373" s="32"/>
      <c r="I373" s="32"/>
      <c r="J373" s="29"/>
      <c r="K373" s="29"/>
      <c r="L373" s="29"/>
      <c r="M373" s="29"/>
      <c r="N373" s="29"/>
      <c r="O373" s="29"/>
      <c r="P373" s="29"/>
      <c r="Q373" s="38"/>
    </row>
    <row r="374" spans="1:17" x14ac:dyDescent="0.25">
      <c r="A374" s="5"/>
      <c r="B374" s="13"/>
      <c r="C374" s="13"/>
      <c r="D374" s="13"/>
      <c r="E374" s="9"/>
      <c r="F374" s="32"/>
      <c r="G374" s="32"/>
      <c r="H374" s="32"/>
      <c r="I374" s="32"/>
      <c r="J374" s="29"/>
      <c r="K374" s="29"/>
      <c r="L374" s="29"/>
      <c r="M374" s="29"/>
      <c r="N374" s="29"/>
      <c r="O374" s="29"/>
      <c r="P374" s="29"/>
      <c r="Q374" s="38"/>
    </row>
    <row r="375" spans="1:17" x14ac:dyDescent="0.25">
      <c r="A375" s="5"/>
      <c r="B375" s="13"/>
      <c r="C375" s="13"/>
      <c r="D375" s="13"/>
      <c r="E375" s="9"/>
      <c r="F375" s="32"/>
      <c r="G375" s="32"/>
      <c r="H375" s="32"/>
      <c r="I375" s="32"/>
      <c r="J375" s="29"/>
      <c r="K375" s="29"/>
      <c r="L375" s="29"/>
      <c r="M375" s="29"/>
      <c r="N375" s="29"/>
      <c r="O375" s="29"/>
      <c r="P375" s="29"/>
      <c r="Q375" s="38"/>
    </row>
    <row r="376" spans="1:17" x14ac:dyDescent="0.25">
      <c r="A376" s="5"/>
      <c r="B376" s="13"/>
      <c r="C376" s="13"/>
      <c r="D376" s="13"/>
      <c r="E376" s="9"/>
      <c r="F376" s="32"/>
      <c r="G376" s="32"/>
      <c r="H376" s="32"/>
      <c r="I376" s="32"/>
      <c r="J376" s="29"/>
      <c r="K376" s="29"/>
      <c r="L376" s="29"/>
      <c r="M376" s="29"/>
      <c r="N376" s="29"/>
      <c r="O376" s="29"/>
      <c r="P376" s="29"/>
      <c r="Q376" s="38"/>
    </row>
    <row r="377" spans="1:17" x14ac:dyDescent="0.25">
      <c r="A377" s="5"/>
      <c r="B377" s="13"/>
      <c r="C377" s="13"/>
      <c r="D377" s="13"/>
      <c r="E377" s="9"/>
      <c r="F377" s="32"/>
      <c r="G377" s="32"/>
      <c r="H377" s="32"/>
      <c r="I377" s="32"/>
      <c r="J377" s="29"/>
      <c r="K377" s="29"/>
      <c r="L377" s="29"/>
      <c r="M377" s="29"/>
      <c r="N377" s="29"/>
      <c r="O377" s="29"/>
      <c r="P377" s="29"/>
      <c r="Q377" s="38"/>
    </row>
    <row r="378" spans="1:17" x14ac:dyDescent="0.25">
      <c r="A378" s="5"/>
      <c r="B378" s="13"/>
      <c r="C378" s="13"/>
      <c r="D378" s="13"/>
      <c r="E378" s="9"/>
      <c r="F378" s="32"/>
      <c r="G378" s="32"/>
      <c r="H378" s="32"/>
      <c r="I378" s="32"/>
      <c r="J378" s="29"/>
      <c r="K378" s="29"/>
      <c r="L378" s="29"/>
      <c r="M378" s="29"/>
      <c r="N378" s="29"/>
      <c r="O378" s="29"/>
      <c r="P378" s="29"/>
      <c r="Q378" s="38"/>
    </row>
    <row r="379" spans="1:17" x14ac:dyDescent="0.25">
      <c r="A379" s="5"/>
      <c r="B379" s="13"/>
      <c r="C379" s="13"/>
      <c r="D379" s="13"/>
      <c r="E379" s="9"/>
      <c r="F379" s="32"/>
      <c r="G379" s="32"/>
      <c r="H379" s="32"/>
      <c r="I379" s="32"/>
      <c r="J379" s="29"/>
      <c r="K379" s="29"/>
      <c r="L379" s="29"/>
      <c r="M379" s="29"/>
      <c r="N379" s="29"/>
      <c r="O379" s="29"/>
      <c r="P379" s="29"/>
      <c r="Q379" s="38"/>
    </row>
    <row r="380" spans="1:17" x14ac:dyDescent="0.25">
      <c r="A380" s="5"/>
      <c r="B380" s="13"/>
      <c r="C380" s="13"/>
      <c r="D380" s="13"/>
      <c r="E380" s="9"/>
      <c r="F380" s="32"/>
      <c r="G380" s="32"/>
      <c r="H380" s="32"/>
      <c r="I380" s="32"/>
      <c r="J380" s="29"/>
      <c r="K380" s="29"/>
      <c r="L380" s="29"/>
      <c r="M380" s="29"/>
      <c r="N380" s="29"/>
      <c r="O380" s="29"/>
      <c r="P380" s="29"/>
      <c r="Q380" s="38"/>
    </row>
    <row r="381" spans="1:17" x14ac:dyDescent="0.25">
      <c r="A381" s="5"/>
      <c r="B381" s="13"/>
      <c r="C381" s="13"/>
      <c r="D381" s="13"/>
      <c r="E381" s="9"/>
      <c r="F381" s="32"/>
      <c r="G381" s="32"/>
      <c r="H381" s="32"/>
      <c r="I381" s="32"/>
      <c r="J381" s="29"/>
      <c r="K381" s="29"/>
      <c r="L381" s="29"/>
      <c r="M381" s="29"/>
      <c r="N381" s="29"/>
      <c r="O381" s="29"/>
      <c r="P381" s="29"/>
      <c r="Q381" s="38"/>
    </row>
    <row r="382" spans="1:17" x14ac:dyDescent="0.25">
      <c r="A382" s="5"/>
      <c r="B382" s="13"/>
      <c r="C382" s="13"/>
      <c r="D382" s="13"/>
      <c r="E382" s="9"/>
      <c r="F382" s="32"/>
      <c r="G382" s="32"/>
      <c r="H382" s="32"/>
      <c r="I382" s="32"/>
      <c r="J382" s="29"/>
      <c r="K382" s="29"/>
      <c r="L382" s="29"/>
      <c r="M382" s="29"/>
      <c r="N382" s="29"/>
      <c r="O382" s="29"/>
      <c r="P382" s="29"/>
      <c r="Q382" s="38"/>
    </row>
    <row r="383" spans="1:17" x14ac:dyDescent="0.25">
      <c r="A383" s="5"/>
      <c r="B383" s="13"/>
      <c r="C383" s="13"/>
      <c r="D383" s="13"/>
      <c r="E383" s="9"/>
      <c r="F383" s="32"/>
      <c r="G383" s="32"/>
      <c r="H383" s="32"/>
      <c r="I383" s="32"/>
      <c r="J383" s="29"/>
      <c r="K383" s="29"/>
      <c r="L383" s="29"/>
      <c r="M383" s="29"/>
      <c r="N383" s="29"/>
      <c r="O383" s="29"/>
      <c r="P383" s="29"/>
      <c r="Q383" s="38"/>
    </row>
    <row r="384" spans="1:17" x14ac:dyDescent="0.25">
      <c r="A384" s="5"/>
      <c r="B384" s="13"/>
      <c r="C384" s="13"/>
      <c r="D384" s="13"/>
      <c r="E384" s="9"/>
      <c r="F384" s="32"/>
      <c r="G384" s="32"/>
      <c r="H384" s="32"/>
      <c r="I384" s="32"/>
      <c r="J384" s="29"/>
      <c r="K384" s="29"/>
      <c r="L384" s="29"/>
      <c r="M384" s="29"/>
      <c r="N384" s="29"/>
      <c r="O384" s="29"/>
      <c r="P384" s="29"/>
      <c r="Q384" s="38"/>
    </row>
    <row r="385" spans="1:17" x14ac:dyDescent="0.25">
      <c r="A385" s="5"/>
      <c r="B385" s="13"/>
      <c r="C385" s="13"/>
      <c r="D385" s="13"/>
      <c r="E385" s="9"/>
      <c r="F385" s="32"/>
      <c r="G385" s="32"/>
      <c r="H385" s="32"/>
      <c r="I385" s="32"/>
      <c r="J385" s="29"/>
      <c r="K385" s="29"/>
      <c r="L385" s="29"/>
      <c r="M385" s="29"/>
      <c r="N385" s="29"/>
      <c r="O385" s="29"/>
      <c r="P385" s="29"/>
      <c r="Q385" s="38"/>
    </row>
    <row r="386" spans="1:17" x14ac:dyDescent="0.25">
      <c r="A386" s="5"/>
      <c r="B386" s="13"/>
      <c r="C386" s="13"/>
      <c r="D386" s="13"/>
      <c r="E386" s="9"/>
      <c r="F386" s="32"/>
      <c r="G386" s="32"/>
      <c r="H386" s="32"/>
      <c r="I386" s="32"/>
      <c r="J386" s="29"/>
      <c r="K386" s="29"/>
      <c r="L386" s="29"/>
      <c r="M386" s="29"/>
      <c r="N386" s="29"/>
      <c r="O386" s="29"/>
      <c r="P386" s="29"/>
      <c r="Q386" s="38"/>
    </row>
    <row r="387" spans="1:17" x14ac:dyDescent="0.25">
      <c r="A387" s="5"/>
      <c r="B387" s="13"/>
      <c r="C387" s="13"/>
      <c r="D387" s="13"/>
      <c r="E387" s="9"/>
      <c r="F387" s="32"/>
      <c r="G387" s="32"/>
      <c r="H387" s="32"/>
      <c r="I387" s="32"/>
      <c r="J387" s="29"/>
      <c r="K387" s="29"/>
      <c r="L387" s="29"/>
      <c r="M387" s="29"/>
      <c r="N387" s="29"/>
      <c r="O387" s="29"/>
      <c r="P387" s="29"/>
      <c r="Q387" s="38"/>
    </row>
    <row r="388" spans="1:17" x14ac:dyDescent="0.25">
      <c r="A388" s="5"/>
      <c r="B388" s="13"/>
      <c r="C388" s="13"/>
      <c r="D388" s="13"/>
      <c r="E388" s="9"/>
      <c r="F388" s="32"/>
      <c r="G388" s="32"/>
      <c r="H388" s="32"/>
      <c r="I388" s="32"/>
      <c r="J388" s="29"/>
      <c r="K388" s="29"/>
      <c r="L388" s="29"/>
      <c r="M388" s="29"/>
      <c r="N388" s="29"/>
      <c r="O388" s="29"/>
      <c r="P388" s="29"/>
      <c r="Q388" s="38"/>
    </row>
    <row r="389" spans="1:17" x14ac:dyDescent="0.25">
      <c r="A389" s="5"/>
      <c r="B389" s="13"/>
      <c r="C389" s="13"/>
      <c r="D389" s="13"/>
      <c r="E389" s="9"/>
      <c r="F389" s="32"/>
      <c r="G389" s="32"/>
      <c r="H389" s="32"/>
      <c r="I389" s="32"/>
      <c r="J389" s="29"/>
      <c r="K389" s="29"/>
      <c r="L389" s="29"/>
      <c r="M389" s="29"/>
      <c r="N389" s="29"/>
      <c r="O389" s="29"/>
      <c r="P389" s="29"/>
      <c r="Q389" s="38"/>
    </row>
    <row r="390" spans="1:17" x14ac:dyDescent="0.25">
      <c r="A390" s="5"/>
      <c r="B390" s="13"/>
      <c r="C390" s="13"/>
      <c r="D390" s="13"/>
      <c r="E390" s="9"/>
      <c r="F390" s="32"/>
      <c r="G390" s="32"/>
      <c r="H390" s="32"/>
      <c r="I390" s="32"/>
      <c r="J390" s="29"/>
      <c r="K390" s="29"/>
      <c r="L390" s="29"/>
      <c r="M390" s="29"/>
      <c r="N390" s="29"/>
      <c r="O390" s="29"/>
      <c r="P390" s="29"/>
      <c r="Q390" s="38"/>
    </row>
    <row r="391" spans="1:17" x14ac:dyDescent="0.25">
      <c r="A391" s="5"/>
      <c r="B391" s="13"/>
      <c r="C391" s="13"/>
      <c r="D391" s="13"/>
      <c r="E391" s="9"/>
      <c r="F391" s="32"/>
      <c r="G391" s="32"/>
      <c r="H391" s="32"/>
      <c r="I391" s="32"/>
      <c r="J391" s="29"/>
      <c r="K391" s="29"/>
      <c r="L391" s="29"/>
      <c r="M391" s="29"/>
      <c r="N391" s="29"/>
      <c r="O391" s="29"/>
      <c r="P391" s="29"/>
      <c r="Q391" s="38"/>
    </row>
    <row r="392" spans="1:17" x14ac:dyDescent="0.25">
      <c r="A392" s="5"/>
      <c r="B392" s="13"/>
      <c r="C392" s="13"/>
      <c r="D392" s="13"/>
      <c r="E392" s="9"/>
      <c r="F392" s="32"/>
      <c r="G392" s="32"/>
      <c r="H392" s="32"/>
      <c r="I392" s="32"/>
      <c r="J392" s="29"/>
      <c r="K392" s="29"/>
      <c r="L392" s="29"/>
      <c r="M392" s="29"/>
      <c r="N392" s="29"/>
      <c r="O392" s="29"/>
      <c r="P392" s="29"/>
      <c r="Q392" s="38"/>
    </row>
    <row r="393" spans="1:17" x14ac:dyDescent="0.25">
      <c r="A393" s="5"/>
      <c r="B393" s="13"/>
      <c r="C393" s="13"/>
      <c r="D393" s="13"/>
      <c r="E393" s="9"/>
      <c r="F393" s="32"/>
      <c r="G393" s="32"/>
      <c r="H393" s="32"/>
      <c r="I393" s="32"/>
      <c r="J393" s="29"/>
      <c r="K393" s="29"/>
      <c r="L393" s="29"/>
      <c r="M393" s="29"/>
      <c r="N393" s="29"/>
      <c r="O393" s="29"/>
      <c r="P393" s="29"/>
      <c r="Q393" s="38"/>
    </row>
    <row r="394" spans="1:17" x14ac:dyDescent="0.25">
      <c r="A394" s="5"/>
      <c r="B394" s="13"/>
      <c r="C394" s="13"/>
      <c r="D394" s="13"/>
      <c r="E394" s="9"/>
      <c r="F394" s="32"/>
      <c r="G394" s="32"/>
      <c r="H394" s="32"/>
      <c r="I394" s="32"/>
      <c r="J394" s="29"/>
      <c r="K394" s="29"/>
      <c r="L394" s="29"/>
      <c r="M394" s="29"/>
      <c r="N394" s="29"/>
      <c r="O394" s="29"/>
      <c r="P394" s="29"/>
      <c r="Q394" s="38"/>
    </row>
    <row r="395" spans="1:17" x14ac:dyDescent="0.25">
      <c r="A395" s="5"/>
      <c r="B395" s="13"/>
      <c r="C395" s="13"/>
      <c r="D395" s="13"/>
      <c r="E395" s="9"/>
      <c r="F395" s="32"/>
      <c r="G395" s="32"/>
      <c r="H395" s="32"/>
      <c r="I395" s="32"/>
      <c r="J395" s="29"/>
      <c r="K395" s="29"/>
      <c r="L395" s="29"/>
      <c r="M395" s="29"/>
      <c r="N395" s="29"/>
      <c r="O395" s="29"/>
      <c r="P395" s="29"/>
      <c r="Q395" s="38"/>
    </row>
    <row r="396" spans="1:17" x14ac:dyDescent="0.25">
      <c r="A396" s="5"/>
      <c r="B396" s="13"/>
      <c r="C396" s="13"/>
      <c r="D396" s="13"/>
      <c r="E396" s="9"/>
      <c r="F396" s="32"/>
      <c r="G396" s="32"/>
      <c r="H396" s="32"/>
      <c r="I396" s="32"/>
      <c r="J396" s="29"/>
      <c r="K396" s="29"/>
      <c r="L396" s="29"/>
      <c r="M396" s="29"/>
      <c r="N396" s="29"/>
      <c r="O396" s="29"/>
      <c r="P396" s="29"/>
      <c r="Q396" s="38"/>
    </row>
    <row r="397" spans="1:17" x14ac:dyDescent="0.25">
      <c r="A397" s="5"/>
      <c r="B397" s="13"/>
      <c r="C397" s="13"/>
      <c r="D397" s="13"/>
      <c r="E397" s="9"/>
      <c r="F397" s="32"/>
      <c r="G397" s="32"/>
      <c r="H397" s="32"/>
      <c r="I397" s="32"/>
      <c r="J397" s="29"/>
      <c r="K397" s="29"/>
      <c r="L397" s="29"/>
      <c r="M397" s="29"/>
      <c r="N397" s="29"/>
      <c r="O397" s="29"/>
      <c r="P397" s="29"/>
      <c r="Q397" s="38"/>
    </row>
    <row r="398" spans="1:17" x14ac:dyDescent="0.25">
      <c r="A398" s="5"/>
      <c r="B398" s="13"/>
      <c r="C398" s="13"/>
      <c r="D398" s="13"/>
      <c r="E398" s="9"/>
      <c r="F398" s="32"/>
      <c r="G398" s="32"/>
      <c r="H398" s="32"/>
      <c r="I398" s="32"/>
      <c r="J398" s="29"/>
      <c r="K398" s="29"/>
      <c r="L398" s="29"/>
      <c r="M398" s="29"/>
      <c r="N398" s="29"/>
      <c r="O398" s="29"/>
      <c r="P398" s="29"/>
      <c r="Q398" s="38"/>
    </row>
    <row r="399" spans="1:17" x14ac:dyDescent="0.25">
      <c r="A399" s="5"/>
      <c r="B399" s="13"/>
      <c r="C399" s="13"/>
      <c r="D399" s="13"/>
      <c r="E399" s="9"/>
      <c r="F399" s="32"/>
      <c r="G399" s="32"/>
      <c r="H399" s="32"/>
      <c r="I399" s="32"/>
      <c r="J399" s="29"/>
      <c r="K399" s="29"/>
      <c r="L399" s="29"/>
      <c r="M399" s="29"/>
      <c r="N399" s="29"/>
      <c r="O399" s="29"/>
      <c r="P399" s="29"/>
      <c r="Q399" s="38"/>
    </row>
    <row r="400" spans="1:17" x14ac:dyDescent="0.25">
      <c r="A400" s="5"/>
      <c r="B400" s="13"/>
      <c r="C400" s="13"/>
      <c r="D400" s="13"/>
      <c r="E400" s="9"/>
      <c r="F400" s="32"/>
      <c r="G400" s="32"/>
      <c r="H400" s="32"/>
      <c r="I400" s="32"/>
      <c r="J400" s="29"/>
      <c r="K400" s="29"/>
      <c r="L400" s="29"/>
      <c r="M400" s="29"/>
      <c r="N400" s="29"/>
      <c r="O400" s="29"/>
      <c r="P400" s="29"/>
      <c r="Q400" s="38"/>
    </row>
    <row r="401" spans="1:17" x14ac:dyDescent="0.25">
      <c r="A401" s="5"/>
      <c r="B401" s="13"/>
      <c r="C401" s="13"/>
      <c r="D401" s="13"/>
      <c r="E401" s="9"/>
      <c r="F401" s="32"/>
      <c r="G401" s="32"/>
      <c r="H401" s="32"/>
      <c r="I401" s="32"/>
      <c r="J401" s="29"/>
      <c r="K401" s="29"/>
      <c r="L401" s="29"/>
      <c r="M401" s="29"/>
      <c r="N401" s="29"/>
      <c r="O401" s="29"/>
      <c r="P401" s="29"/>
      <c r="Q401" s="38"/>
    </row>
    <row r="402" spans="1:17" x14ac:dyDescent="0.25">
      <c r="A402" s="5"/>
      <c r="B402" s="13"/>
      <c r="C402" s="13"/>
      <c r="D402" s="13"/>
      <c r="E402" s="9"/>
      <c r="F402" s="32"/>
      <c r="G402" s="32"/>
      <c r="H402" s="32"/>
      <c r="I402" s="32"/>
      <c r="J402" s="29"/>
      <c r="K402" s="29"/>
      <c r="L402" s="29"/>
      <c r="M402" s="29"/>
      <c r="N402" s="29"/>
      <c r="O402" s="29"/>
      <c r="P402" s="29"/>
      <c r="Q402" s="38"/>
    </row>
    <row r="403" spans="1:17" x14ac:dyDescent="0.25">
      <c r="A403" s="5"/>
      <c r="B403" s="13"/>
      <c r="C403" s="13"/>
      <c r="D403" s="13"/>
      <c r="E403" s="9"/>
      <c r="F403" s="32"/>
      <c r="G403" s="32"/>
      <c r="H403" s="32"/>
      <c r="I403" s="32"/>
      <c r="J403" s="29"/>
      <c r="K403" s="29"/>
      <c r="L403" s="29"/>
      <c r="M403" s="29"/>
      <c r="N403" s="29"/>
      <c r="O403" s="29"/>
      <c r="P403" s="29"/>
      <c r="Q403" s="38"/>
    </row>
    <row r="404" spans="1:17" x14ac:dyDescent="0.25">
      <c r="A404" s="5"/>
      <c r="B404" s="13"/>
      <c r="C404" s="13"/>
      <c r="D404" s="13"/>
      <c r="E404" s="9"/>
      <c r="F404" s="32"/>
      <c r="G404" s="32"/>
      <c r="H404" s="32"/>
      <c r="I404" s="32"/>
      <c r="J404" s="29"/>
      <c r="K404" s="29"/>
      <c r="L404" s="29"/>
      <c r="M404" s="29"/>
      <c r="N404" s="29"/>
      <c r="O404" s="29"/>
      <c r="P404" s="29"/>
      <c r="Q404" s="38"/>
    </row>
    <row r="405" spans="1:17" x14ac:dyDescent="0.25">
      <c r="A405" s="5"/>
      <c r="B405" s="13"/>
      <c r="C405" s="13"/>
      <c r="D405" s="13"/>
      <c r="E405" s="9"/>
      <c r="F405" s="32"/>
      <c r="G405" s="32"/>
      <c r="H405" s="32"/>
      <c r="I405" s="32"/>
      <c r="J405" s="29"/>
      <c r="K405" s="29"/>
      <c r="L405" s="29"/>
      <c r="M405" s="29"/>
      <c r="N405" s="29"/>
      <c r="O405" s="29"/>
      <c r="P405" s="29"/>
      <c r="Q405" s="38"/>
    </row>
    <row r="406" spans="1:17" x14ac:dyDescent="0.25">
      <c r="A406" s="5"/>
      <c r="B406" s="13"/>
      <c r="C406" s="13"/>
      <c r="D406" s="13"/>
      <c r="E406" s="9"/>
      <c r="F406" s="32"/>
      <c r="G406" s="32"/>
      <c r="H406" s="32"/>
      <c r="I406" s="32"/>
      <c r="J406" s="29"/>
      <c r="K406" s="29"/>
      <c r="L406" s="29"/>
      <c r="M406" s="29"/>
      <c r="N406" s="29"/>
      <c r="O406" s="29"/>
      <c r="P406" s="29"/>
      <c r="Q406" s="38"/>
    </row>
    <row r="407" spans="1:17" x14ac:dyDescent="0.25">
      <c r="A407" s="5"/>
      <c r="B407" s="13"/>
      <c r="C407" s="13"/>
      <c r="D407" s="13"/>
      <c r="E407" s="9"/>
      <c r="F407" s="32"/>
      <c r="G407" s="32"/>
      <c r="H407" s="32"/>
      <c r="I407" s="32"/>
      <c r="J407" s="29"/>
      <c r="K407" s="29"/>
      <c r="L407" s="29"/>
      <c r="M407" s="29"/>
      <c r="N407" s="29"/>
      <c r="O407" s="29"/>
      <c r="P407" s="29"/>
      <c r="Q407" s="38"/>
    </row>
    <row r="408" spans="1:17" x14ac:dyDescent="0.25">
      <c r="A408" s="5"/>
      <c r="B408" s="13"/>
      <c r="C408" s="13"/>
      <c r="D408" s="13"/>
      <c r="E408" s="9"/>
      <c r="F408" s="32"/>
      <c r="G408" s="32"/>
      <c r="H408" s="32"/>
      <c r="I408" s="32"/>
      <c r="J408" s="29"/>
      <c r="K408" s="29"/>
      <c r="L408" s="29"/>
      <c r="M408" s="29"/>
      <c r="N408" s="29"/>
      <c r="O408" s="29"/>
      <c r="P408" s="29"/>
      <c r="Q408" s="38"/>
    </row>
    <row r="409" spans="1:17" x14ac:dyDescent="0.25">
      <c r="A409" s="5"/>
      <c r="B409" s="13"/>
      <c r="C409" s="13"/>
      <c r="D409" s="13"/>
      <c r="E409" s="9"/>
      <c r="F409" s="32"/>
      <c r="G409" s="32"/>
      <c r="H409" s="32"/>
      <c r="I409" s="32"/>
      <c r="J409" s="29"/>
      <c r="K409" s="29"/>
      <c r="L409" s="29"/>
      <c r="M409" s="29"/>
      <c r="N409" s="29"/>
      <c r="O409" s="29"/>
      <c r="P409" s="29"/>
      <c r="Q409" s="38"/>
    </row>
    <row r="410" spans="1:17" x14ac:dyDescent="0.25">
      <c r="A410" s="5"/>
      <c r="B410" s="13"/>
      <c r="C410" s="13"/>
      <c r="D410" s="13"/>
      <c r="E410" s="9"/>
      <c r="F410" s="32"/>
      <c r="G410" s="32"/>
      <c r="H410" s="32"/>
      <c r="I410" s="32"/>
      <c r="J410" s="29"/>
      <c r="K410" s="29"/>
      <c r="L410" s="29"/>
      <c r="M410" s="29"/>
      <c r="N410" s="29"/>
      <c r="O410" s="29"/>
      <c r="P410" s="29"/>
      <c r="Q410" s="38"/>
    </row>
    <row r="411" spans="1:17" x14ac:dyDescent="0.25">
      <c r="A411" s="5"/>
      <c r="B411" s="13"/>
      <c r="C411" s="13"/>
      <c r="D411" s="13"/>
      <c r="E411" s="9"/>
      <c r="F411" s="32"/>
      <c r="G411" s="32"/>
      <c r="H411" s="32"/>
      <c r="I411" s="32"/>
      <c r="J411" s="29"/>
      <c r="K411" s="29"/>
      <c r="L411" s="29"/>
      <c r="M411" s="29"/>
      <c r="N411" s="29"/>
      <c r="O411" s="29"/>
      <c r="P411" s="29"/>
      <c r="Q411" s="38"/>
    </row>
    <row r="412" spans="1:17" x14ac:dyDescent="0.25">
      <c r="A412" s="5"/>
      <c r="B412" s="13"/>
      <c r="C412" s="13"/>
      <c r="D412" s="13"/>
      <c r="E412" s="9"/>
      <c r="F412" s="32"/>
      <c r="G412" s="32"/>
      <c r="H412" s="32"/>
      <c r="I412" s="32"/>
      <c r="J412" s="29"/>
      <c r="K412" s="29"/>
      <c r="L412" s="29"/>
      <c r="M412" s="29"/>
      <c r="N412" s="29"/>
      <c r="O412" s="29"/>
      <c r="P412" s="29"/>
      <c r="Q412" s="38"/>
    </row>
    <row r="413" spans="1:17" x14ac:dyDescent="0.25">
      <c r="A413" s="5"/>
      <c r="B413" s="13"/>
      <c r="C413" s="13"/>
      <c r="D413" s="13"/>
      <c r="E413" s="9"/>
      <c r="F413" s="32"/>
      <c r="G413" s="32"/>
      <c r="H413" s="32"/>
      <c r="I413" s="32"/>
      <c r="J413" s="29"/>
      <c r="K413" s="29"/>
      <c r="L413" s="29"/>
      <c r="M413" s="29"/>
      <c r="N413" s="29"/>
      <c r="O413" s="29"/>
      <c r="P413" s="29"/>
      <c r="Q413" s="38"/>
    </row>
    <row r="414" spans="1:17" x14ac:dyDescent="0.25">
      <c r="A414" s="5"/>
      <c r="B414" s="13"/>
      <c r="C414" s="13"/>
      <c r="D414" s="13"/>
      <c r="E414" s="9"/>
      <c r="F414" s="32"/>
      <c r="G414" s="32"/>
      <c r="H414" s="32"/>
      <c r="I414" s="32"/>
      <c r="J414" s="29"/>
      <c r="K414" s="29"/>
      <c r="L414" s="29"/>
      <c r="M414" s="29"/>
      <c r="N414" s="29"/>
      <c r="O414" s="29"/>
      <c r="P414" s="29"/>
      <c r="Q414" s="38"/>
    </row>
    <row r="415" spans="1:17" x14ac:dyDescent="0.25">
      <c r="A415" s="5"/>
      <c r="B415" s="13"/>
      <c r="C415" s="13"/>
      <c r="D415" s="13"/>
      <c r="E415" s="9"/>
      <c r="F415" s="32"/>
      <c r="G415" s="32"/>
      <c r="H415" s="32"/>
      <c r="I415" s="32"/>
      <c r="J415" s="29"/>
      <c r="K415" s="29"/>
      <c r="L415" s="29"/>
      <c r="M415" s="29"/>
      <c r="N415" s="29"/>
      <c r="O415" s="29"/>
      <c r="P415" s="29"/>
      <c r="Q415" s="38"/>
    </row>
    <row r="416" spans="1:17" x14ac:dyDescent="0.25">
      <c r="A416" s="5"/>
      <c r="B416" s="13"/>
      <c r="C416" s="13"/>
      <c r="D416" s="13"/>
      <c r="E416" s="9"/>
      <c r="F416" s="32"/>
      <c r="G416" s="32"/>
      <c r="H416" s="32"/>
      <c r="I416" s="32"/>
      <c r="J416" s="29"/>
      <c r="K416" s="29"/>
      <c r="L416" s="29"/>
      <c r="M416" s="29"/>
      <c r="N416" s="29"/>
      <c r="O416" s="29"/>
      <c r="P416" s="29"/>
      <c r="Q416" s="38"/>
    </row>
    <row r="417" spans="1:17" x14ac:dyDescent="0.25">
      <c r="A417" s="5"/>
      <c r="B417" s="13"/>
      <c r="C417" s="13"/>
      <c r="D417" s="13"/>
      <c r="E417" s="9"/>
      <c r="F417" s="32"/>
      <c r="G417" s="32"/>
      <c r="H417" s="32"/>
      <c r="I417" s="32"/>
      <c r="J417" s="29"/>
      <c r="K417" s="29"/>
      <c r="L417" s="29"/>
      <c r="M417" s="29"/>
      <c r="N417" s="29"/>
      <c r="O417" s="29"/>
      <c r="P417" s="29"/>
      <c r="Q417" s="38"/>
    </row>
    <row r="418" spans="1:17" x14ac:dyDescent="0.25">
      <c r="A418" s="5"/>
      <c r="B418" s="13"/>
      <c r="C418" s="13"/>
      <c r="D418" s="13"/>
      <c r="E418" s="9"/>
      <c r="F418" s="32"/>
      <c r="G418" s="32"/>
      <c r="H418" s="32"/>
      <c r="I418" s="32"/>
      <c r="J418" s="29"/>
      <c r="K418" s="29"/>
      <c r="L418" s="29"/>
      <c r="M418" s="29"/>
      <c r="N418" s="29"/>
      <c r="O418" s="29"/>
      <c r="P418" s="29"/>
      <c r="Q418" s="38"/>
    </row>
    <row r="419" spans="1:17" x14ac:dyDescent="0.25">
      <c r="A419" s="5"/>
      <c r="B419" s="13"/>
      <c r="C419" s="13"/>
      <c r="D419" s="13"/>
      <c r="E419" s="9"/>
      <c r="F419" s="32"/>
      <c r="G419" s="32"/>
      <c r="H419" s="32"/>
      <c r="I419" s="32"/>
      <c r="J419" s="29"/>
      <c r="K419" s="29"/>
      <c r="L419" s="29"/>
      <c r="M419" s="29"/>
      <c r="N419" s="29"/>
      <c r="O419" s="29"/>
      <c r="P419" s="29"/>
      <c r="Q419" s="38"/>
    </row>
    <row r="420" spans="1:17" x14ac:dyDescent="0.25">
      <c r="A420" s="5"/>
      <c r="B420" s="13"/>
      <c r="C420" s="13"/>
      <c r="D420" s="13"/>
      <c r="E420" s="9"/>
      <c r="F420" s="32"/>
      <c r="G420" s="32"/>
      <c r="H420" s="32"/>
      <c r="I420" s="32"/>
      <c r="J420" s="29"/>
      <c r="K420" s="29"/>
      <c r="L420" s="29"/>
      <c r="M420" s="29"/>
      <c r="N420" s="29"/>
      <c r="O420" s="29"/>
      <c r="P420" s="29"/>
      <c r="Q420" s="38"/>
    </row>
    <row r="421" spans="1:17" x14ac:dyDescent="0.25">
      <c r="A421" s="5"/>
      <c r="B421" s="13"/>
      <c r="C421" s="13"/>
      <c r="D421" s="13"/>
      <c r="E421" s="9"/>
      <c r="F421" s="32"/>
      <c r="G421" s="32"/>
      <c r="H421" s="32"/>
      <c r="I421" s="32"/>
      <c r="J421" s="29"/>
      <c r="K421" s="29"/>
      <c r="L421" s="29"/>
      <c r="M421" s="29"/>
      <c r="N421" s="29"/>
      <c r="O421" s="29"/>
      <c r="P421" s="29"/>
      <c r="Q421" s="38"/>
    </row>
    <row r="422" spans="1:17" x14ac:dyDescent="0.25">
      <c r="A422" s="5"/>
      <c r="B422" s="13"/>
      <c r="C422" s="13"/>
      <c r="D422" s="13"/>
      <c r="E422" s="9"/>
      <c r="F422" s="32"/>
      <c r="G422" s="32"/>
      <c r="H422" s="32"/>
      <c r="I422" s="32"/>
      <c r="J422" s="29"/>
      <c r="K422" s="29"/>
      <c r="L422" s="29"/>
      <c r="M422" s="29"/>
      <c r="N422" s="29"/>
      <c r="O422" s="29"/>
      <c r="P422" s="29"/>
      <c r="Q422" s="38"/>
    </row>
    <row r="423" spans="1:17" x14ac:dyDescent="0.25">
      <c r="A423" s="5"/>
      <c r="B423" s="13"/>
      <c r="C423" s="13"/>
      <c r="D423" s="13"/>
      <c r="E423" s="9"/>
      <c r="F423" s="32"/>
      <c r="G423" s="32"/>
      <c r="H423" s="32"/>
      <c r="I423" s="32"/>
      <c r="J423" s="29"/>
      <c r="K423" s="29"/>
      <c r="L423" s="29"/>
      <c r="M423" s="29"/>
      <c r="N423" s="29"/>
      <c r="O423" s="29"/>
      <c r="P423" s="29"/>
      <c r="Q423" s="38"/>
    </row>
    <row r="424" spans="1:17" x14ac:dyDescent="0.25">
      <c r="A424" s="5"/>
      <c r="B424" s="13"/>
      <c r="C424" s="13"/>
      <c r="D424" s="13"/>
      <c r="E424" s="9"/>
      <c r="F424" s="32"/>
      <c r="G424" s="32"/>
      <c r="H424" s="32"/>
      <c r="I424" s="32"/>
      <c r="J424" s="29"/>
      <c r="K424" s="29"/>
      <c r="L424" s="29"/>
      <c r="M424" s="29"/>
      <c r="N424" s="29"/>
      <c r="O424" s="29"/>
      <c r="P424" s="29"/>
      <c r="Q424" s="38"/>
    </row>
    <row r="425" spans="1:17" x14ac:dyDescent="0.25">
      <c r="A425" s="5"/>
      <c r="B425" s="13"/>
      <c r="C425" s="13"/>
      <c r="D425" s="13"/>
      <c r="E425" s="9"/>
      <c r="F425" s="32"/>
      <c r="G425" s="32"/>
      <c r="H425" s="32"/>
      <c r="I425" s="32"/>
      <c r="J425" s="29"/>
      <c r="K425" s="29"/>
      <c r="L425" s="29"/>
      <c r="M425" s="29"/>
      <c r="N425" s="29"/>
      <c r="O425" s="29"/>
      <c r="P425" s="29"/>
      <c r="Q425" s="38"/>
    </row>
    <row r="426" spans="1:17" x14ac:dyDescent="0.25">
      <c r="A426" s="5"/>
      <c r="B426" s="13"/>
      <c r="C426" s="13"/>
      <c r="D426" s="13"/>
      <c r="E426" s="9"/>
      <c r="F426" s="32"/>
      <c r="G426" s="32"/>
      <c r="H426" s="32"/>
      <c r="I426" s="32"/>
      <c r="J426" s="29"/>
      <c r="K426" s="29"/>
      <c r="L426" s="29"/>
      <c r="M426" s="29"/>
      <c r="N426" s="29"/>
      <c r="O426" s="29"/>
      <c r="P426" s="29"/>
      <c r="Q426" s="38"/>
    </row>
    <row r="427" spans="1:17" x14ac:dyDescent="0.25">
      <c r="A427" s="5"/>
      <c r="B427" s="13"/>
      <c r="C427" s="13"/>
      <c r="D427" s="13"/>
      <c r="E427" s="9"/>
      <c r="F427" s="32"/>
      <c r="G427" s="32"/>
      <c r="H427" s="32"/>
      <c r="I427" s="32"/>
      <c r="J427" s="29"/>
      <c r="K427" s="29"/>
      <c r="L427" s="29"/>
      <c r="M427" s="29"/>
      <c r="N427" s="29"/>
      <c r="O427" s="29"/>
      <c r="P427" s="29"/>
      <c r="Q427" s="38"/>
    </row>
    <row r="428" spans="1:17" x14ac:dyDescent="0.25">
      <c r="A428" s="5"/>
      <c r="B428" s="13"/>
      <c r="C428" s="13"/>
      <c r="D428" s="13"/>
      <c r="E428" s="9"/>
      <c r="F428" s="32"/>
      <c r="G428" s="32"/>
      <c r="H428" s="32"/>
      <c r="I428" s="32"/>
      <c r="J428" s="29"/>
      <c r="K428" s="29"/>
      <c r="L428" s="29"/>
      <c r="M428" s="29"/>
      <c r="N428" s="29"/>
      <c r="O428" s="29"/>
      <c r="P428" s="29"/>
      <c r="Q428" s="38"/>
    </row>
    <row r="429" spans="1:17" x14ac:dyDescent="0.25">
      <c r="A429" s="5"/>
      <c r="B429" s="13"/>
      <c r="C429" s="13"/>
      <c r="D429" s="13"/>
      <c r="E429" s="9"/>
      <c r="F429" s="32"/>
      <c r="G429" s="32"/>
      <c r="H429" s="32"/>
      <c r="I429" s="32"/>
      <c r="J429" s="29"/>
      <c r="K429" s="29"/>
      <c r="L429" s="29"/>
      <c r="M429" s="29"/>
      <c r="N429" s="29"/>
      <c r="O429" s="29"/>
      <c r="P429" s="29"/>
      <c r="Q429" s="38"/>
    </row>
    <row r="430" spans="1:17" x14ac:dyDescent="0.25">
      <c r="A430" s="5"/>
      <c r="B430" s="13"/>
      <c r="C430" s="13"/>
      <c r="D430" s="13"/>
      <c r="E430" s="9"/>
      <c r="F430" s="32"/>
      <c r="G430" s="32"/>
      <c r="H430" s="32"/>
      <c r="I430" s="32"/>
      <c r="J430" s="29"/>
      <c r="K430" s="29"/>
      <c r="L430" s="29"/>
      <c r="M430" s="29"/>
      <c r="N430" s="29"/>
      <c r="O430" s="29"/>
      <c r="P430" s="29"/>
      <c r="Q430" s="38"/>
    </row>
    <row r="431" spans="1:17" x14ac:dyDescent="0.25">
      <c r="A431" s="5"/>
      <c r="B431" s="13"/>
      <c r="C431" s="13"/>
      <c r="D431" s="13"/>
      <c r="E431" s="9"/>
      <c r="F431" s="32"/>
      <c r="G431" s="32"/>
      <c r="H431" s="32"/>
      <c r="I431" s="32"/>
      <c r="J431" s="29"/>
      <c r="K431" s="29"/>
      <c r="L431" s="29"/>
      <c r="M431" s="29"/>
      <c r="N431" s="29"/>
      <c r="O431" s="29"/>
      <c r="P431" s="29"/>
      <c r="Q431" s="38"/>
    </row>
    <row r="432" spans="1:17" x14ac:dyDescent="0.25">
      <c r="A432" s="5"/>
      <c r="B432" s="13"/>
      <c r="C432" s="13"/>
      <c r="D432" s="13"/>
      <c r="E432" s="9"/>
      <c r="F432" s="32"/>
      <c r="G432" s="32"/>
      <c r="H432" s="32"/>
      <c r="I432" s="32"/>
      <c r="J432" s="29"/>
      <c r="K432" s="29"/>
      <c r="L432" s="29"/>
      <c r="M432" s="29"/>
      <c r="N432" s="29"/>
      <c r="O432" s="29"/>
      <c r="P432" s="29"/>
      <c r="Q432" s="38"/>
    </row>
    <row r="433" spans="1:17" x14ac:dyDescent="0.25">
      <c r="A433" s="5"/>
      <c r="B433" s="13"/>
      <c r="C433" s="13"/>
      <c r="D433" s="13"/>
      <c r="E433" s="9"/>
      <c r="F433" s="32"/>
      <c r="G433" s="32"/>
      <c r="H433" s="32"/>
      <c r="I433" s="32"/>
      <c r="J433" s="29"/>
      <c r="K433" s="29"/>
      <c r="L433" s="29"/>
      <c r="M433" s="29"/>
      <c r="N433" s="29"/>
      <c r="O433" s="29"/>
      <c r="P433" s="29"/>
      <c r="Q433" s="38"/>
    </row>
    <row r="434" spans="1:17" x14ac:dyDescent="0.25">
      <c r="A434" s="5"/>
      <c r="B434" s="13"/>
      <c r="C434" s="13"/>
      <c r="D434" s="13"/>
      <c r="E434" s="9"/>
      <c r="F434" s="32"/>
      <c r="G434" s="32"/>
      <c r="H434" s="32"/>
      <c r="I434" s="32"/>
      <c r="J434" s="29"/>
      <c r="K434" s="29"/>
      <c r="L434" s="29"/>
      <c r="M434" s="29"/>
      <c r="N434" s="29"/>
      <c r="O434" s="29"/>
      <c r="P434" s="29"/>
      <c r="Q434" s="38"/>
    </row>
    <row r="435" spans="1:17" x14ac:dyDescent="0.25">
      <c r="A435" s="5"/>
      <c r="B435" s="13"/>
      <c r="C435" s="13"/>
      <c r="D435" s="13"/>
      <c r="E435" s="9"/>
      <c r="F435" s="32"/>
      <c r="G435" s="32"/>
      <c r="H435" s="32"/>
      <c r="I435" s="32"/>
      <c r="J435" s="29"/>
      <c r="K435" s="29"/>
      <c r="L435" s="29"/>
      <c r="M435" s="29"/>
      <c r="N435" s="29"/>
      <c r="O435" s="29"/>
      <c r="P435" s="29"/>
      <c r="Q435" s="38"/>
    </row>
    <row r="436" spans="1:17" x14ac:dyDescent="0.25">
      <c r="A436" s="5"/>
      <c r="B436" s="13"/>
      <c r="C436" s="13"/>
      <c r="D436" s="13"/>
      <c r="E436" s="9"/>
      <c r="F436" s="32"/>
      <c r="G436" s="32"/>
      <c r="H436" s="32"/>
      <c r="I436" s="32"/>
      <c r="J436" s="29"/>
      <c r="K436" s="29"/>
      <c r="L436" s="29"/>
      <c r="M436" s="29"/>
      <c r="N436" s="29"/>
      <c r="O436" s="29"/>
      <c r="P436" s="29"/>
      <c r="Q436" s="38"/>
    </row>
    <row r="437" spans="1:17" x14ac:dyDescent="0.25">
      <c r="A437" s="5"/>
      <c r="B437" s="13"/>
      <c r="C437" s="13"/>
      <c r="D437" s="13"/>
      <c r="E437" s="9"/>
      <c r="F437" s="32"/>
      <c r="G437" s="32"/>
      <c r="H437" s="32"/>
      <c r="I437" s="32"/>
      <c r="J437" s="29"/>
      <c r="K437" s="29"/>
      <c r="L437" s="29"/>
      <c r="M437" s="29"/>
      <c r="N437" s="29"/>
      <c r="O437" s="29"/>
      <c r="P437" s="29"/>
      <c r="Q437" s="38"/>
    </row>
    <row r="438" spans="1:17" x14ac:dyDescent="0.25">
      <c r="A438" s="5"/>
      <c r="B438" s="13"/>
      <c r="C438" s="13"/>
      <c r="D438" s="13"/>
      <c r="E438" s="9"/>
      <c r="F438" s="32"/>
      <c r="G438" s="32"/>
      <c r="H438" s="32"/>
      <c r="I438" s="32"/>
      <c r="J438" s="29"/>
      <c r="K438" s="29"/>
      <c r="L438" s="29"/>
      <c r="M438" s="29"/>
      <c r="N438" s="29"/>
      <c r="O438" s="29"/>
      <c r="P438" s="29"/>
      <c r="Q438" s="38"/>
    </row>
    <row r="439" spans="1:17" x14ac:dyDescent="0.25">
      <c r="A439" s="5"/>
      <c r="B439" s="13"/>
      <c r="C439" s="13"/>
      <c r="D439" s="13"/>
      <c r="E439" s="9"/>
      <c r="F439" s="32"/>
      <c r="G439" s="32"/>
      <c r="H439" s="32"/>
      <c r="I439" s="32"/>
      <c r="J439" s="29"/>
      <c r="K439" s="29"/>
      <c r="L439" s="29"/>
      <c r="M439" s="29"/>
      <c r="N439" s="29"/>
      <c r="O439" s="29"/>
      <c r="P439" s="29"/>
      <c r="Q439" s="38"/>
    </row>
    <row r="440" spans="1:17" x14ac:dyDescent="0.25">
      <c r="A440" s="5"/>
      <c r="B440" s="13"/>
      <c r="C440" s="13"/>
      <c r="D440" s="13"/>
      <c r="E440" s="9"/>
      <c r="F440" s="32"/>
      <c r="G440" s="32"/>
      <c r="H440" s="32"/>
      <c r="I440" s="32"/>
      <c r="J440" s="29"/>
      <c r="K440" s="29"/>
      <c r="L440" s="29"/>
      <c r="M440" s="29"/>
      <c r="N440" s="29"/>
      <c r="O440" s="29"/>
      <c r="P440" s="29"/>
      <c r="Q440" s="38"/>
    </row>
    <row r="441" spans="1:17" x14ac:dyDescent="0.25">
      <c r="A441" s="5"/>
      <c r="B441" s="13"/>
      <c r="C441" s="13"/>
      <c r="D441" s="13"/>
      <c r="E441" s="9"/>
      <c r="F441" s="32"/>
      <c r="G441" s="32"/>
      <c r="H441" s="32"/>
      <c r="I441" s="32"/>
      <c r="J441" s="29"/>
      <c r="K441" s="29"/>
      <c r="L441" s="29"/>
      <c r="M441" s="29"/>
      <c r="N441" s="29"/>
      <c r="O441" s="29"/>
      <c r="P441" s="29"/>
      <c r="Q441" s="38"/>
    </row>
    <row r="442" spans="1:17" x14ac:dyDescent="0.25">
      <c r="A442" s="5"/>
      <c r="B442" s="13"/>
      <c r="C442" s="13"/>
      <c r="D442" s="13"/>
      <c r="E442" s="9"/>
      <c r="F442" s="32"/>
      <c r="G442" s="32"/>
      <c r="H442" s="32"/>
      <c r="I442" s="32"/>
      <c r="J442" s="29"/>
      <c r="K442" s="29"/>
      <c r="L442" s="29"/>
      <c r="M442" s="29"/>
      <c r="N442" s="29"/>
      <c r="O442" s="29"/>
      <c r="P442" s="29"/>
      <c r="Q442" s="38"/>
    </row>
    <row r="443" spans="1:17" x14ac:dyDescent="0.25">
      <c r="A443" s="5"/>
      <c r="B443" s="13"/>
      <c r="C443" s="13"/>
      <c r="D443" s="13"/>
      <c r="E443" s="9"/>
      <c r="F443" s="32"/>
      <c r="G443" s="32"/>
      <c r="H443" s="32"/>
      <c r="I443" s="32"/>
      <c r="J443" s="29"/>
      <c r="K443" s="29"/>
      <c r="L443" s="29"/>
      <c r="M443" s="29"/>
      <c r="N443" s="29"/>
      <c r="O443" s="29"/>
      <c r="P443" s="29"/>
      <c r="Q443" s="38"/>
    </row>
    <row r="444" spans="1:17" x14ac:dyDescent="0.25">
      <c r="A444" s="5"/>
      <c r="B444" s="13"/>
      <c r="C444" s="13"/>
      <c r="D444" s="13"/>
      <c r="E444" s="9"/>
      <c r="F444" s="32"/>
      <c r="G444" s="32"/>
      <c r="H444" s="32"/>
      <c r="I444" s="32"/>
      <c r="J444" s="29"/>
      <c r="K444" s="29"/>
      <c r="L444" s="29"/>
      <c r="M444" s="29"/>
      <c r="N444" s="29"/>
      <c r="O444" s="29"/>
      <c r="P444" s="29"/>
      <c r="Q444" s="38"/>
    </row>
    <row r="445" spans="1:17" x14ac:dyDescent="0.25">
      <c r="A445" s="5"/>
      <c r="B445" s="13"/>
      <c r="C445" s="13"/>
      <c r="D445" s="13"/>
      <c r="E445" s="9"/>
      <c r="F445" s="32"/>
      <c r="G445" s="32"/>
      <c r="H445" s="32"/>
      <c r="I445" s="32"/>
      <c r="J445" s="29"/>
      <c r="K445" s="29"/>
      <c r="L445" s="29"/>
      <c r="M445" s="29"/>
      <c r="N445" s="29"/>
      <c r="O445" s="29"/>
      <c r="P445" s="29"/>
      <c r="Q445" s="38"/>
    </row>
    <row r="446" spans="1:17" x14ac:dyDescent="0.25">
      <c r="A446" s="5"/>
      <c r="B446" s="13"/>
      <c r="C446" s="13"/>
      <c r="D446" s="13"/>
      <c r="E446" s="9"/>
      <c r="F446" s="32"/>
      <c r="G446" s="32"/>
      <c r="H446" s="32"/>
      <c r="I446" s="32"/>
      <c r="J446" s="29"/>
      <c r="K446" s="29"/>
      <c r="L446" s="29"/>
      <c r="M446" s="29"/>
      <c r="N446" s="29"/>
      <c r="O446" s="29"/>
      <c r="P446" s="29"/>
      <c r="Q446" s="38"/>
    </row>
  </sheetData>
  <hyperlinks>
    <hyperlink ref="E95" r:id="rId1" xr:uid="{D4A332A1-A47F-4B48-84A2-10CBFF7DEA6A}"/>
    <hyperlink ref="E3" r:id="rId2" xr:uid="{826724A0-D31F-4E4A-BFAA-E4245CBF6C83}"/>
    <hyperlink ref="E4:E16" r:id="rId3" display="Census" xr:uid="{BAC2CAE2-C400-413C-AA75-109D9491C3FE}"/>
    <hyperlink ref="E96:E108" r:id="rId4" display="NRCan NEUD" xr:uid="{CCAE47BF-64C9-4AD2-9C4D-D1274878717F}"/>
    <hyperlink ref="E109" r:id="rId5" xr:uid="{84CAF6A8-1A2D-4D54-966F-CF5CDC4F58A9}"/>
    <hyperlink ref="E110:E122" r:id="rId6" display="NRCan NEUD" xr:uid="{6C821455-32F8-4FBB-A6CC-03A80839B471}"/>
    <hyperlink ref="E123" r:id="rId7" xr:uid="{0ACB84C8-AC4F-4542-8675-E8FF16260D27}"/>
    <hyperlink ref="E124:E136" r:id="rId8" display="NRCan NEUD" xr:uid="{7881ED2E-9B20-44FF-A5E1-F577FE860D9E}"/>
    <hyperlink ref="E137" r:id="rId9" xr:uid="{070E75ED-8DE1-47A0-94CE-3BC22D48396B}"/>
    <hyperlink ref="E138:E150" r:id="rId10" display="NRCan NEUD" xr:uid="{4149BCAF-989F-4727-BBE5-48FB1E1B49F9}"/>
    <hyperlink ref="E20:E32" r:id="rId11" display="Census" xr:uid="{003F5CDC-D7AF-4FCF-8EBE-8199ECF80BB9}"/>
    <hyperlink ref="E36" r:id="rId12" xr:uid="{B85865D0-0F53-4C8D-A1DD-CDC0062C7ECE}"/>
    <hyperlink ref="E37:E49" r:id="rId13" display="NRCan NEUD" xr:uid="{94337504-BCFA-460C-859A-5474FFBD5691}"/>
    <hyperlink ref="E50" r:id="rId14" xr:uid="{5D0F1F3F-F14C-4A66-8B99-5972C9136445}"/>
    <hyperlink ref="E51:E63" r:id="rId15" display="NRCan NEUD" xr:uid="{3E687931-CBB0-4D25-9E1D-259FDA747328}"/>
    <hyperlink ref="E64" r:id="rId16" xr:uid="{31BE3213-CBB0-4A05-B192-875EEAF0DC1E}"/>
    <hyperlink ref="E65:E77" r:id="rId17" display="NRCan NEUD" xr:uid="{3420F4E9-03B0-4E48-A934-088649D8AB47}"/>
    <hyperlink ref="E78" r:id="rId18" xr:uid="{DAA19C1E-944F-4C4F-B199-D692E4822A22}"/>
    <hyperlink ref="E79:E91" r:id="rId19" display="NRCan NEUD" xr:uid="{5211E783-7872-420B-AE45-3E7F68B24291}"/>
  </hyperlinks>
  <pageMargins left="0.7" right="0.7" top="0.75" bottom="0.75" header="0.3" footer="0.3"/>
  <pageSetup orientation="portrait" horizontalDpi="4294967293" verticalDpi="0" r:id="rId2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D8D273-B69B-4A1A-B63E-111425EE847E}">
  <sheetPr codeName="Sheet10">
    <tabColor rgb="FF00B0F0"/>
    <outlinePr summaryBelow="0" summaryRight="0"/>
  </sheetPr>
  <dimension ref="A1:CA255"/>
  <sheetViews>
    <sheetView zoomScale="70" zoomScaleNormal="70" workbookViewId="0">
      <pane xSplit="6" ySplit="1" topLeftCell="G2" activePane="bottomRight" state="frozen"/>
      <selection activeCell="G52" sqref="G52"/>
      <selection pane="topRight" activeCell="G52" sqref="G52"/>
      <selection pane="bottomLeft" activeCell="G52" sqref="G52"/>
      <selection pane="bottomRight" activeCell="G15" sqref="G15"/>
    </sheetView>
    <sheetView zoomScale="70" zoomScaleNormal="70" workbookViewId="1"/>
  </sheetViews>
  <sheetFormatPr defaultRowHeight="15" x14ac:dyDescent="0.25"/>
  <cols>
    <col min="1" max="1" width="2.7109375" style="2" customWidth="1"/>
    <col min="2" max="2" width="23.5703125" style="15" bestFit="1" customWidth="1"/>
    <col min="3" max="3" width="20.7109375" style="15" bestFit="1" customWidth="1"/>
    <col min="4" max="4" width="31.7109375" style="15" bestFit="1" customWidth="1"/>
    <col min="5" max="5" width="31.7109375" style="15" customWidth="1"/>
    <col min="6" max="6" width="22.140625" style="26" customWidth="1"/>
    <col min="7" max="10" width="15.7109375" style="31" customWidth="1"/>
    <col min="11" max="17" width="15.7109375" style="30" customWidth="1"/>
    <col min="18" max="18" width="2.7109375" style="15" customWidth="1"/>
    <col min="19" max="69" width="10.28515625" style="39" bestFit="1" customWidth="1"/>
    <col min="70" max="79" width="10.28515625" bestFit="1" customWidth="1"/>
  </cols>
  <sheetData>
    <row r="1" spans="1:79" x14ac:dyDescent="0.25">
      <c r="A1" s="20"/>
      <c r="B1" s="24" t="s">
        <v>9</v>
      </c>
      <c r="C1" s="24" t="s">
        <v>9</v>
      </c>
      <c r="D1" s="24" t="s">
        <v>16</v>
      </c>
      <c r="E1" s="24" t="s">
        <v>352</v>
      </c>
      <c r="F1" s="8" t="s">
        <v>77</v>
      </c>
      <c r="G1" s="33">
        <v>2000</v>
      </c>
      <c r="H1" s="33">
        <v>2005</v>
      </c>
      <c r="I1" s="33">
        <v>2010</v>
      </c>
      <c r="J1" s="33">
        <v>2015</v>
      </c>
      <c r="K1" s="33">
        <v>2020</v>
      </c>
      <c r="L1" s="33">
        <v>2025</v>
      </c>
      <c r="M1" s="33">
        <v>2030</v>
      </c>
      <c r="N1" s="33">
        <v>2035</v>
      </c>
      <c r="O1" s="33">
        <v>2040</v>
      </c>
      <c r="P1" s="33">
        <v>2045</v>
      </c>
      <c r="Q1" s="33">
        <v>2050</v>
      </c>
      <c r="R1" s="36"/>
      <c r="S1" s="33">
        <v>2000</v>
      </c>
      <c r="T1" s="33">
        <v>2001</v>
      </c>
      <c r="U1" s="33">
        <v>2002</v>
      </c>
      <c r="V1" s="33">
        <v>2003</v>
      </c>
      <c r="W1" s="33">
        <v>2004</v>
      </c>
      <c r="X1" s="33">
        <v>2005</v>
      </c>
      <c r="Y1" s="33">
        <v>2006</v>
      </c>
      <c r="Z1" s="33">
        <v>2007</v>
      </c>
      <c r="AA1" s="33">
        <v>2008</v>
      </c>
      <c r="AB1" s="33">
        <v>2009</v>
      </c>
      <c r="AC1" s="33">
        <v>2010</v>
      </c>
      <c r="AD1" s="33">
        <v>2011</v>
      </c>
      <c r="AE1" s="33">
        <v>2012</v>
      </c>
      <c r="AF1" s="33">
        <v>2013</v>
      </c>
      <c r="AG1" s="33">
        <v>2014</v>
      </c>
      <c r="AH1" s="33">
        <v>2015</v>
      </c>
      <c r="AI1" s="33">
        <v>2016</v>
      </c>
      <c r="AJ1" s="33">
        <v>2017</v>
      </c>
      <c r="AK1" s="33">
        <v>2018</v>
      </c>
      <c r="AL1" s="33">
        <v>2019</v>
      </c>
      <c r="AM1" s="33">
        <v>2020</v>
      </c>
      <c r="AN1" s="33">
        <v>2021</v>
      </c>
      <c r="AO1" s="33">
        <v>2022</v>
      </c>
      <c r="AP1" s="33">
        <v>2023</v>
      </c>
      <c r="AQ1" s="33">
        <v>2024</v>
      </c>
      <c r="AR1" s="33">
        <v>2025</v>
      </c>
      <c r="AS1" s="33">
        <v>2026</v>
      </c>
      <c r="AT1" s="33">
        <v>2027</v>
      </c>
      <c r="AU1" s="33">
        <v>2028</v>
      </c>
      <c r="AV1" s="33">
        <v>2029</v>
      </c>
      <c r="AW1" s="33">
        <v>2030</v>
      </c>
      <c r="AX1" s="33">
        <v>2031</v>
      </c>
      <c r="AY1" s="33">
        <v>2032</v>
      </c>
      <c r="AZ1" s="33">
        <v>2033</v>
      </c>
      <c r="BA1" s="33">
        <v>2034</v>
      </c>
      <c r="BB1" s="33">
        <v>2035</v>
      </c>
      <c r="BC1" s="33">
        <v>2036</v>
      </c>
      <c r="BD1" s="33">
        <v>2037</v>
      </c>
      <c r="BE1" s="33">
        <v>2038</v>
      </c>
      <c r="BF1" s="33">
        <v>2039</v>
      </c>
      <c r="BG1" s="33">
        <v>2040</v>
      </c>
      <c r="BH1" s="33">
        <v>2041</v>
      </c>
      <c r="BI1" s="33">
        <v>2042</v>
      </c>
      <c r="BJ1" s="33">
        <v>2043</v>
      </c>
      <c r="BK1" s="33">
        <v>2044</v>
      </c>
      <c r="BL1" s="33">
        <v>2045</v>
      </c>
      <c r="BM1" s="33">
        <v>2046</v>
      </c>
      <c r="BN1" s="33">
        <v>2047</v>
      </c>
      <c r="BO1" s="33">
        <v>2048</v>
      </c>
      <c r="BP1" s="33">
        <v>2049</v>
      </c>
      <c r="BQ1" s="33">
        <v>2050</v>
      </c>
      <c r="BR1" s="33">
        <v>2051</v>
      </c>
      <c r="BS1" s="33">
        <v>2052</v>
      </c>
      <c r="BT1" s="33">
        <v>2053</v>
      </c>
      <c r="BU1" s="33">
        <v>2054</v>
      </c>
      <c r="BV1" s="33">
        <v>2055</v>
      </c>
      <c r="BW1" s="33">
        <v>2056</v>
      </c>
      <c r="BX1" s="33">
        <v>2057</v>
      </c>
      <c r="BY1" s="33">
        <v>2058</v>
      </c>
      <c r="BZ1" s="33">
        <v>2059</v>
      </c>
      <c r="CA1" s="33">
        <v>2060</v>
      </c>
    </row>
    <row r="2" spans="1:79" x14ac:dyDescent="0.25">
      <c r="A2" s="11"/>
      <c r="B2" s="13"/>
      <c r="C2" s="13"/>
      <c r="D2" s="13"/>
      <c r="E2" s="13"/>
      <c r="F2" s="9"/>
      <c r="G2" s="28"/>
      <c r="H2" s="28"/>
      <c r="I2" s="28"/>
      <c r="J2" s="28"/>
      <c r="K2" s="28"/>
      <c r="L2" s="28"/>
      <c r="M2" s="28"/>
      <c r="N2" s="28"/>
      <c r="O2" s="28"/>
      <c r="P2" s="28"/>
      <c r="Q2" s="28"/>
      <c r="R2" s="37"/>
    </row>
    <row r="3" spans="1:79" s="218" customFormat="1" x14ac:dyDescent="0.25">
      <c r="A3" s="212"/>
      <c r="B3" s="213" t="s">
        <v>340</v>
      </c>
      <c r="C3" s="213"/>
      <c r="D3" s="213"/>
      <c r="E3" s="213"/>
      <c r="F3" s="214"/>
      <c r="G3" s="215"/>
      <c r="H3" s="215"/>
      <c r="I3" s="215"/>
      <c r="J3" s="215"/>
      <c r="K3" s="215"/>
      <c r="L3" s="215"/>
      <c r="M3" s="215"/>
      <c r="N3" s="215"/>
      <c r="O3" s="215"/>
      <c r="P3" s="215"/>
      <c r="Q3" s="215"/>
      <c r="R3" s="216"/>
      <c r="S3" s="217"/>
      <c r="T3" s="217"/>
      <c r="U3" s="217"/>
      <c r="V3" s="217"/>
      <c r="W3" s="217"/>
      <c r="X3" s="217"/>
      <c r="Y3" s="217"/>
      <c r="Z3" s="217"/>
      <c r="AA3" s="217"/>
      <c r="AB3" s="217"/>
      <c r="AC3" s="217"/>
      <c r="AD3" s="217"/>
      <c r="AE3" s="217"/>
      <c r="AF3" s="217"/>
      <c r="AG3" s="217"/>
      <c r="AH3" s="217"/>
      <c r="AI3" s="217"/>
      <c r="AJ3" s="217"/>
      <c r="AK3" s="217"/>
      <c r="AL3" s="217"/>
      <c r="AM3" s="217"/>
      <c r="AN3" s="217"/>
      <c r="AO3" s="217"/>
      <c r="AP3" s="217"/>
      <c r="AQ3" s="217"/>
      <c r="AR3" s="217"/>
      <c r="AS3" s="217"/>
      <c r="AT3" s="217"/>
      <c r="AU3" s="217"/>
      <c r="AV3" s="217"/>
      <c r="AW3" s="217"/>
      <c r="AX3" s="217"/>
      <c r="AY3" s="217"/>
      <c r="AZ3" s="217"/>
      <c r="BA3" s="217"/>
      <c r="BB3" s="217"/>
      <c r="BC3" s="217"/>
      <c r="BD3" s="217"/>
      <c r="BE3" s="217"/>
      <c r="BF3" s="217"/>
      <c r="BG3" s="217"/>
      <c r="BH3" s="217"/>
      <c r="BI3" s="217"/>
      <c r="BJ3" s="217"/>
      <c r="BK3" s="217"/>
      <c r="BL3" s="217"/>
      <c r="BM3" s="217"/>
      <c r="BN3" s="217"/>
      <c r="BO3" s="217"/>
      <c r="BP3" s="217"/>
      <c r="BQ3" s="217"/>
    </row>
    <row r="4" spans="1:79" s="219" customFormat="1" x14ac:dyDescent="0.25">
      <c r="B4" s="220" t="s">
        <v>170</v>
      </c>
      <c r="D4" s="220"/>
      <c r="E4" s="220"/>
      <c r="F4" s="221"/>
      <c r="G4" s="222"/>
      <c r="H4" s="222"/>
      <c r="I4" s="222"/>
      <c r="J4" s="222"/>
      <c r="K4" s="222"/>
      <c r="L4" s="222"/>
      <c r="M4" s="222"/>
      <c r="N4" s="222"/>
      <c r="O4" s="222"/>
      <c r="P4" s="222"/>
      <c r="Q4" s="222"/>
      <c r="R4" s="223"/>
      <c r="S4" s="224"/>
      <c r="T4" s="224"/>
      <c r="U4" s="224"/>
      <c r="V4" s="224"/>
      <c r="W4" s="224"/>
      <c r="X4" s="224"/>
      <c r="Y4" s="224"/>
      <c r="Z4" s="224"/>
      <c r="AA4" s="224"/>
      <c r="AB4" s="224"/>
      <c r="AC4" s="224"/>
      <c r="AD4" s="224"/>
      <c r="AE4" s="224"/>
      <c r="AF4" s="224"/>
      <c r="AG4" s="224"/>
      <c r="AH4" s="224"/>
      <c r="AI4" s="224"/>
      <c r="AJ4" s="224"/>
      <c r="AK4" s="224"/>
      <c r="AL4" s="224"/>
      <c r="AM4" s="224"/>
      <c r="AN4" s="224"/>
      <c r="AO4" s="224"/>
      <c r="AP4" s="224"/>
      <c r="AQ4" s="224"/>
      <c r="AR4" s="224"/>
      <c r="AS4" s="224"/>
      <c r="AT4" s="224"/>
      <c r="AU4" s="224"/>
      <c r="AV4" s="224"/>
      <c r="AW4" s="224"/>
      <c r="AX4" s="224"/>
      <c r="AY4" s="224"/>
      <c r="AZ4" s="224"/>
      <c r="BA4" s="224"/>
      <c r="BB4" s="224"/>
      <c r="BC4" s="224"/>
      <c r="BD4" s="224"/>
      <c r="BE4" s="224"/>
      <c r="BF4" s="224"/>
      <c r="BG4" s="224"/>
      <c r="BH4" s="224"/>
      <c r="BI4" s="224"/>
      <c r="BJ4" s="224"/>
      <c r="BK4" s="224"/>
      <c r="BL4" s="224"/>
      <c r="BM4" s="224"/>
      <c r="BN4" s="224"/>
      <c r="BO4" s="224"/>
      <c r="BP4" s="224"/>
      <c r="BQ4" s="224"/>
      <c r="BR4" s="224"/>
      <c r="BS4" s="224"/>
      <c r="BT4" s="224"/>
      <c r="BU4" s="224"/>
      <c r="BV4" s="224"/>
      <c r="BW4" s="224"/>
      <c r="BX4" s="224"/>
      <c r="BY4" s="224"/>
      <c r="BZ4" s="224"/>
      <c r="CA4" s="224"/>
    </row>
    <row r="5" spans="1:79" x14ac:dyDescent="0.25">
      <c r="A5" s="5"/>
      <c r="B5" s="25" t="s">
        <v>38</v>
      </c>
      <c r="C5" s="25"/>
      <c r="D5" s="25" t="s">
        <v>40</v>
      </c>
      <c r="E5" s="25"/>
      <c r="F5" s="16"/>
      <c r="G5" s="226">
        <v>2000</v>
      </c>
      <c r="H5" s="209">
        <f t="shared" ref="H5:Q9" si="0">G5</f>
        <v>2000</v>
      </c>
      <c r="I5" s="209">
        <f t="shared" si="0"/>
        <v>2000</v>
      </c>
      <c r="J5" s="209">
        <f t="shared" si="0"/>
        <v>2000</v>
      </c>
      <c r="K5" s="209">
        <f t="shared" si="0"/>
        <v>2000</v>
      </c>
      <c r="L5" s="209">
        <f t="shared" si="0"/>
        <v>2000</v>
      </c>
      <c r="M5" s="209">
        <f t="shared" si="0"/>
        <v>2000</v>
      </c>
      <c r="N5" s="209">
        <f t="shared" si="0"/>
        <v>2000</v>
      </c>
      <c r="O5" s="209">
        <f t="shared" si="0"/>
        <v>2000</v>
      </c>
      <c r="P5" s="209">
        <f t="shared" si="0"/>
        <v>2000</v>
      </c>
      <c r="Q5" s="209">
        <f t="shared" si="0"/>
        <v>2000</v>
      </c>
      <c r="R5" s="38"/>
      <c r="S5" s="40"/>
      <c r="T5" s="40"/>
      <c r="U5" s="40"/>
      <c r="V5" s="40"/>
      <c r="W5" s="40"/>
      <c r="X5" s="40"/>
      <c r="Y5" s="40"/>
      <c r="Z5" s="40"/>
      <c r="AA5" s="40"/>
      <c r="AB5" s="40"/>
      <c r="AC5" s="40"/>
      <c r="AD5" s="40"/>
      <c r="AE5" s="40"/>
      <c r="AF5" s="40"/>
      <c r="AG5" s="40"/>
      <c r="AH5" s="40"/>
      <c r="AI5" s="40"/>
      <c r="AJ5" s="40"/>
      <c r="AK5" s="40"/>
      <c r="AL5" s="40"/>
      <c r="AM5" s="40"/>
      <c r="AN5" s="40"/>
      <c r="AO5" s="40"/>
      <c r="AP5" s="40"/>
      <c r="AQ5" s="40"/>
      <c r="AR5" s="40"/>
      <c r="AS5" s="40"/>
      <c r="AT5" s="40"/>
      <c r="AU5" s="40"/>
      <c r="AV5" s="40"/>
      <c r="AW5" s="40"/>
      <c r="AX5" s="40"/>
      <c r="AY5" s="40"/>
      <c r="AZ5" s="40"/>
      <c r="BA5" s="40"/>
      <c r="BB5" s="40"/>
      <c r="BC5" s="40"/>
      <c r="BD5" s="40"/>
      <c r="BE5" s="40"/>
      <c r="BF5" s="40"/>
      <c r="BG5" s="40"/>
      <c r="BH5" s="40"/>
      <c r="BI5" s="40"/>
      <c r="BJ5" s="40"/>
      <c r="BK5" s="40"/>
      <c r="BL5" s="40"/>
      <c r="BM5" s="40"/>
      <c r="BN5" s="40"/>
      <c r="BO5" s="40"/>
      <c r="BP5" s="40"/>
      <c r="BQ5" s="40"/>
      <c r="BR5" s="40"/>
      <c r="BS5" s="40"/>
      <c r="BT5" s="40"/>
      <c r="BU5" s="40"/>
      <c r="BV5" s="40"/>
      <c r="BW5" s="40"/>
      <c r="BX5" s="40"/>
      <c r="BY5" s="40"/>
      <c r="BZ5" s="40"/>
      <c r="CA5" s="40"/>
    </row>
    <row r="6" spans="1:79" s="39" customFormat="1" x14ac:dyDescent="0.25">
      <c r="A6" s="5"/>
      <c r="B6" s="25" t="s">
        <v>37</v>
      </c>
      <c r="C6" s="25"/>
      <c r="D6" s="25" t="s">
        <v>40</v>
      </c>
      <c r="E6" s="25"/>
      <c r="F6" s="16"/>
      <c r="G6" s="226">
        <v>2100</v>
      </c>
      <c r="H6" s="209">
        <f t="shared" si="0"/>
        <v>2100</v>
      </c>
      <c r="I6" s="209">
        <f t="shared" si="0"/>
        <v>2100</v>
      </c>
      <c r="J6" s="209">
        <f t="shared" si="0"/>
        <v>2100</v>
      </c>
      <c r="K6" s="209">
        <f t="shared" si="0"/>
        <v>2100</v>
      </c>
      <c r="L6" s="209">
        <f t="shared" si="0"/>
        <v>2100</v>
      </c>
      <c r="M6" s="209">
        <f t="shared" si="0"/>
        <v>2100</v>
      </c>
      <c r="N6" s="209">
        <f t="shared" si="0"/>
        <v>2100</v>
      </c>
      <c r="O6" s="209">
        <f t="shared" si="0"/>
        <v>2100</v>
      </c>
      <c r="P6" s="209">
        <f t="shared" si="0"/>
        <v>2100</v>
      </c>
      <c r="Q6" s="209">
        <f t="shared" si="0"/>
        <v>2100</v>
      </c>
      <c r="R6" s="38"/>
      <c r="BR6"/>
      <c r="BS6"/>
      <c r="BT6"/>
      <c r="BU6"/>
      <c r="BV6"/>
      <c r="BW6"/>
      <c r="BX6"/>
      <c r="BY6"/>
      <c r="BZ6"/>
      <c r="CA6"/>
    </row>
    <row r="7" spans="1:79" s="39" customFormat="1" x14ac:dyDescent="0.25">
      <c r="A7" s="5"/>
      <c r="B7" s="25" t="s">
        <v>39</v>
      </c>
      <c r="C7" s="25"/>
      <c r="D7" s="25" t="s">
        <v>10</v>
      </c>
      <c r="E7" s="25"/>
      <c r="F7" s="16"/>
      <c r="G7" s="17">
        <v>30</v>
      </c>
      <c r="H7" s="209">
        <f t="shared" si="0"/>
        <v>30</v>
      </c>
      <c r="I7" s="209">
        <f t="shared" si="0"/>
        <v>30</v>
      </c>
      <c r="J7" s="209">
        <f t="shared" si="0"/>
        <v>30</v>
      </c>
      <c r="K7" s="209">
        <f t="shared" si="0"/>
        <v>30</v>
      </c>
      <c r="L7" s="209">
        <f t="shared" si="0"/>
        <v>30</v>
      </c>
      <c r="M7" s="209">
        <f t="shared" si="0"/>
        <v>30</v>
      </c>
      <c r="N7" s="209">
        <f t="shared" si="0"/>
        <v>30</v>
      </c>
      <c r="O7" s="209">
        <f t="shared" si="0"/>
        <v>30</v>
      </c>
      <c r="P7" s="209">
        <f t="shared" si="0"/>
        <v>30</v>
      </c>
      <c r="Q7" s="209">
        <f t="shared" si="0"/>
        <v>30</v>
      </c>
      <c r="R7" s="38"/>
      <c r="BR7"/>
      <c r="BS7"/>
      <c r="BT7"/>
      <c r="BU7"/>
      <c r="BV7"/>
      <c r="BW7"/>
      <c r="BX7"/>
      <c r="BY7"/>
      <c r="BZ7"/>
      <c r="CA7"/>
    </row>
    <row r="8" spans="1:79" s="39" customFormat="1" x14ac:dyDescent="0.25">
      <c r="A8" s="5"/>
      <c r="B8" s="25" t="s">
        <v>309</v>
      </c>
      <c r="C8" s="25"/>
      <c r="D8" s="25" t="s">
        <v>97</v>
      </c>
      <c r="E8" s="25"/>
      <c r="F8" s="16"/>
      <c r="G8" s="45">
        <v>0.125</v>
      </c>
      <c r="H8" s="227">
        <f t="shared" si="0"/>
        <v>0.125</v>
      </c>
      <c r="I8" s="227">
        <f t="shared" si="0"/>
        <v>0.125</v>
      </c>
      <c r="J8" s="227">
        <f t="shared" si="0"/>
        <v>0.125</v>
      </c>
      <c r="K8" s="227">
        <f t="shared" si="0"/>
        <v>0.125</v>
      </c>
      <c r="L8" s="227">
        <f t="shared" si="0"/>
        <v>0.125</v>
      </c>
      <c r="M8" s="227">
        <f t="shared" si="0"/>
        <v>0.125</v>
      </c>
      <c r="N8" s="227">
        <f t="shared" si="0"/>
        <v>0.125</v>
      </c>
      <c r="O8" s="227">
        <f t="shared" si="0"/>
        <v>0.125</v>
      </c>
      <c r="P8" s="227">
        <f t="shared" si="0"/>
        <v>0.125</v>
      </c>
      <c r="Q8" s="227">
        <f t="shared" si="0"/>
        <v>0.125</v>
      </c>
      <c r="R8" s="38"/>
      <c r="BR8"/>
      <c r="BS8"/>
      <c r="BT8"/>
      <c r="BU8"/>
      <c r="BV8"/>
      <c r="BW8"/>
      <c r="BX8"/>
      <c r="BY8"/>
      <c r="BZ8"/>
      <c r="CA8"/>
    </row>
    <row r="9" spans="1:79" s="39" customFormat="1" x14ac:dyDescent="0.25">
      <c r="A9" s="5"/>
      <c r="B9" s="25" t="s">
        <v>338</v>
      </c>
      <c r="C9" s="25"/>
      <c r="D9" s="25" t="s">
        <v>191</v>
      </c>
      <c r="E9" s="25" t="s">
        <v>349</v>
      </c>
      <c r="F9" s="16"/>
      <c r="G9" s="17">
        <f>75*8760*0.56</f>
        <v>367920.00000000006</v>
      </c>
      <c r="H9" s="229">
        <f t="shared" si="0"/>
        <v>367920.00000000006</v>
      </c>
      <c r="I9" s="229">
        <f t="shared" si="0"/>
        <v>367920.00000000006</v>
      </c>
      <c r="J9" s="229">
        <f t="shared" si="0"/>
        <v>367920.00000000006</v>
      </c>
      <c r="K9" s="229">
        <f t="shared" si="0"/>
        <v>367920.00000000006</v>
      </c>
      <c r="L9" s="229">
        <f t="shared" si="0"/>
        <v>367920.00000000006</v>
      </c>
      <c r="M9" s="229">
        <f t="shared" si="0"/>
        <v>367920.00000000006</v>
      </c>
      <c r="N9" s="229">
        <f t="shared" si="0"/>
        <v>367920.00000000006</v>
      </c>
      <c r="O9" s="229">
        <f t="shared" si="0"/>
        <v>367920.00000000006</v>
      </c>
      <c r="P9" s="229">
        <f t="shared" si="0"/>
        <v>367920.00000000006</v>
      </c>
      <c r="Q9" s="229">
        <f t="shared" si="0"/>
        <v>367920.00000000006</v>
      </c>
      <c r="R9" s="38"/>
      <c r="BR9"/>
      <c r="BS9"/>
      <c r="BT9"/>
      <c r="BU9"/>
      <c r="BV9"/>
      <c r="BW9"/>
      <c r="BX9"/>
      <c r="BY9"/>
      <c r="BZ9"/>
      <c r="CA9"/>
    </row>
    <row r="10" spans="1:79" s="39" customFormat="1" x14ac:dyDescent="0.25">
      <c r="A10" s="5"/>
      <c r="B10" s="25" t="s">
        <v>152</v>
      </c>
      <c r="C10" s="25"/>
      <c r="D10" s="25" t="s">
        <v>321</v>
      </c>
      <c r="E10" s="25"/>
      <c r="F10" s="16"/>
      <c r="G10" s="225">
        <f t="shared" ref="G10:Q10" si="1">134386790/GJ_per_MWh</f>
        <v>37329663.888888888</v>
      </c>
      <c r="H10" s="225">
        <f t="shared" si="1"/>
        <v>37329663.888888888</v>
      </c>
      <c r="I10" s="225">
        <f t="shared" si="1"/>
        <v>37329663.888888888</v>
      </c>
      <c r="J10" s="225">
        <f t="shared" si="1"/>
        <v>37329663.888888888</v>
      </c>
      <c r="K10" s="225">
        <f t="shared" si="1"/>
        <v>37329663.888888888</v>
      </c>
      <c r="L10" s="225">
        <f t="shared" si="1"/>
        <v>37329663.888888888</v>
      </c>
      <c r="M10" s="225">
        <f t="shared" si="1"/>
        <v>37329663.888888888</v>
      </c>
      <c r="N10" s="225">
        <f t="shared" si="1"/>
        <v>37329663.888888888</v>
      </c>
      <c r="O10" s="225">
        <f t="shared" si="1"/>
        <v>37329663.888888888</v>
      </c>
      <c r="P10" s="225">
        <f t="shared" si="1"/>
        <v>37329663.888888888</v>
      </c>
      <c r="Q10" s="225">
        <f t="shared" si="1"/>
        <v>37329663.888888888</v>
      </c>
      <c r="R10" s="38"/>
      <c r="BR10"/>
      <c r="BS10"/>
      <c r="BT10"/>
      <c r="BU10"/>
      <c r="BV10"/>
      <c r="BW10"/>
      <c r="BX10"/>
      <c r="BY10"/>
      <c r="BZ10"/>
      <c r="CA10"/>
    </row>
    <row r="11" spans="1:79" s="39" customFormat="1" x14ac:dyDescent="0.25">
      <c r="A11" s="5"/>
      <c r="B11" s="25" t="s">
        <v>310</v>
      </c>
      <c r="C11" s="25"/>
      <c r="D11" s="25" t="s">
        <v>321</v>
      </c>
      <c r="E11" s="25"/>
      <c r="F11" s="16"/>
      <c r="G11" s="225">
        <f t="shared" ref="G11:Q11" si="2">4241664/GJ_per_MWh</f>
        <v>1178240</v>
      </c>
      <c r="H11" s="225">
        <f t="shared" si="2"/>
        <v>1178240</v>
      </c>
      <c r="I11" s="225">
        <f t="shared" si="2"/>
        <v>1178240</v>
      </c>
      <c r="J11" s="225">
        <f t="shared" si="2"/>
        <v>1178240</v>
      </c>
      <c r="K11" s="225">
        <f t="shared" si="2"/>
        <v>1178240</v>
      </c>
      <c r="L11" s="225">
        <f t="shared" si="2"/>
        <v>1178240</v>
      </c>
      <c r="M11" s="225">
        <f t="shared" si="2"/>
        <v>1178240</v>
      </c>
      <c r="N11" s="225">
        <f t="shared" si="2"/>
        <v>1178240</v>
      </c>
      <c r="O11" s="225">
        <f t="shared" si="2"/>
        <v>1178240</v>
      </c>
      <c r="P11" s="225">
        <f t="shared" si="2"/>
        <v>1178240</v>
      </c>
      <c r="Q11" s="225">
        <f t="shared" si="2"/>
        <v>1178240</v>
      </c>
      <c r="R11" s="38"/>
      <c r="BR11"/>
      <c r="BS11"/>
      <c r="BT11"/>
      <c r="BU11"/>
      <c r="BV11"/>
      <c r="BW11"/>
      <c r="BX11"/>
      <c r="BY11"/>
      <c r="BZ11"/>
      <c r="CA11"/>
    </row>
    <row r="12" spans="1:79" s="39" customFormat="1" x14ac:dyDescent="0.25">
      <c r="A12" s="5"/>
      <c r="B12" s="25" t="s">
        <v>344</v>
      </c>
      <c r="C12" s="25"/>
      <c r="D12" s="25" t="s">
        <v>321</v>
      </c>
      <c r="E12" s="25"/>
      <c r="F12" s="16"/>
      <c r="G12" s="30" t="str">
        <f>linterp($S12:$CA12,$S$1:$CA$1,G$1)</f>
        <v/>
      </c>
      <c r="H12" s="30"/>
      <c r="I12" s="30"/>
      <c r="J12" s="30"/>
      <c r="K12" s="30"/>
      <c r="L12" s="30"/>
      <c r="M12" s="30"/>
      <c r="N12" s="30"/>
      <c r="O12" s="30"/>
      <c r="P12" s="30"/>
      <c r="Q12" s="30"/>
      <c r="R12" s="38"/>
      <c r="BR12"/>
      <c r="BS12"/>
      <c r="BT12"/>
      <c r="BU12"/>
      <c r="BV12"/>
      <c r="BW12"/>
      <c r="BX12"/>
      <c r="BY12"/>
      <c r="BZ12"/>
      <c r="CA12"/>
    </row>
    <row r="13" spans="1:79" s="39" customFormat="1" x14ac:dyDescent="0.25">
      <c r="A13" s="5"/>
      <c r="B13" s="25" t="s">
        <v>343</v>
      </c>
      <c r="C13" s="25"/>
      <c r="D13" s="25" t="s">
        <v>337</v>
      </c>
      <c r="E13" s="25"/>
      <c r="F13" s="16"/>
      <c r="G13" s="30" t="str">
        <f>linterp($S13:$CA13,$S$1:$CA$1,G$1)</f>
        <v/>
      </c>
      <c r="H13" s="30"/>
      <c r="I13" s="30"/>
      <c r="J13" s="30"/>
      <c r="K13" s="30"/>
      <c r="L13" s="30"/>
      <c r="M13" s="30"/>
      <c r="N13" s="30"/>
      <c r="O13" s="30"/>
      <c r="P13" s="30"/>
      <c r="Q13" s="30"/>
      <c r="R13" s="38"/>
      <c r="BR13"/>
      <c r="BS13"/>
      <c r="BT13"/>
      <c r="BU13"/>
      <c r="BV13"/>
      <c r="BW13"/>
      <c r="BX13"/>
      <c r="BY13"/>
      <c r="BZ13"/>
      <c r="CA13"/>
    </row>
    <row r="14" spans="1:79" s="39" customFormat="1" x14ac:dyDescent="0.25">
      <c r="A14" s="5"/>
      <c r="B14" s="25" t="s">
        <v>348</v>
      </c>
      <c r="C14" s="25" t="s">
        <v>14</v>
      </c>
      <c r="D14" s="25" t="s">
        <v>337</v>
      </c>
      <c r="E14" s="25"/>
      <c r="F14" s="16"/>
      <c r="G14" s="228" t="e">
        <f>Tree!#REF!*GJ_per_MWh*Tree!#REF!</f>
        <v>#REF!</v>
      </c>
      <c r="H14" s="30"/>
      <c r="I14" s="30"/>
      <c r="J14" s="30"/>
      <c r="K14" s="30"/>
      <c r="L14" s="30"/>
      <c r="M14" s="30"/>
      <c r="N14" s="30"/>
      <c r="O14" s="30"/>
      <c r="P14" s="30"/>
      <c r="Q14" s="30"/>
      <c r="R14" s="38"/>
      <c r="BR14"/>
      <c r="BS14"/>
      <c r="BT14"/>
      <c r="BU14"/>
      <c r="BV14"/>
      <c r="BW14"/>
      <c r="BX14"/>
      <c r="BY14"/>
      <c r="BZ14"/>
      <c r="CA14"/>
    </row>
    <row r="15" spans="1:79" s="39" customFormat="1" x14ac:dyDescent="0.25">
      <c r="A15" s="5"/>
      <c r="B15" s="25" t="s">
        <v>348</v>
      </c>
      <c r="C15" s="25" t="s">
        <v>339</v>
      </c>
      <c r="D15" s="25" t="s">
        <v>337</v>
      </c>
      <c r="E15" s="25"/>
      <c r="F15" s="16"/>
      <c r="G15" s="228" t="e">
        <f>Tree!#REF!*Tree!#REF!</f>
        <v>#REF!</v>
      </c>
      <c r="H15" s="30"/>
      <c r="I15" s="30"/>
      <c r="J15" s="30"/>
      <c r="K15" s="30"/>
      <c r="L15" s="30"/>
      <c r="M15" s="30"/>
      <c r="N15" s="30"/>
      <c r="O15" s="30"/>
      <c r="P15" s="30"/>
      <c r="Q15" s="30"/>
      <c r="R15" s="38"/>
      <c r="BR15"/>
      <c r="BS15"/>
      <c r="BT15"/>
      <c r="BU15"/>
      <c r="BV15"/>
      <c r="BW15"/>
      <c r="BX15"/>
      <c r="BY15"/>
      <c r="BZ15"/>
      <c r="CA15"/>
    </row>
    <row r="16" spans="1:79" s="39" customFormat="1" x14ac:dyDescent="0.25">
      <c r="A16" s="5"/>
      <c r="B16" s="25" t="s">
        <v>306</v>
      </c>
      <c r="C16" s="25" t="s">
        <v>14</v>
      </c>
      <c r="D16" s="25" t="s">
        <v>346</v>
      </c>
      <c r="E16" s="25"/>
      <c r="F16" s="16"/>
      <c r="G16" s="228">
        <f>1/0.33</f>
        <v>3.0303030303030303</v>
      </c>
      <c r="H16" s="229">
        <f t="shared" ref="H16:Q16" si="3">G16</f>
        <v>3.0303030303030303</v>
      </c>
      <c r="I16" s="229">
        <f t="shared" si="3"/>
        <v>3.0303030303030303</v>
      </c>
      <c r="J16" s="229">
        <f t="shared" si="3"/>
        <v>3.0303030303030303</v>
      </c>
      <c r="K16" s="229">
        <f t="shared" si="3"/>
        <v>3.0303030303030303</v>
      </c>
      <c r="L16" s="229">
        <f t="shared" si="3"/>
        <v>3.0303030303030303</v>
      </c>
      <c r="M16" s="229">
        <f t="shared" si="3"/>
        <v>3.0303030303030303</v>
      </c>
      <c r="N16" s="229">
        <f t="shared" si="3"/>
        <v>3.0303030303030303</v>
      </c>
      <c r="O16" s="229">
        <f t="shared" si="3"/>
        <v>3.0303030303030303</v>
      </c>
      <c r="P16" s="229">
        <f t="shared" si="3"/>
        <v>3.0303030303030303</v>
      </c>
      <c r="Q16" s="229">
        <f t="shared" si="3"/>
        <v>3.0303030303030303</v>
      </c>
      <c r="R16" s="38"/>
      <c r="BR16"/>
      <c r="BS16"/>
      <c r="BT16"/>
      <c r="BU16"/>
      <c r="BV16"/>
      <c r="BW16"/>
      <c r="BX16"/>
      <c r="BY16"/>
      <c r="BZ16"/>
      <c r="CA16"/>
    </row>
    <row r="17" spans="1:79" s="39" customFormat="1" x14ac:dyDescent="0.25">
      <c r="A17" s="5"/>
      <c r="B17" s="25" t="s">
        <v>306</v>
      </c>
      <c r="C17" s="25" t="s">
        <v>339</v>
      </c>
      <c r="D17" s="25" t="s">
        <v>346</v>
      </c>
      <c r="E17" s="25"/>
      <c r="F17" s="16"/>
      <c r="G17" s="228">
        <v>1</v>
      </c>
      <c r="H17" s="229">
        <f t="shared" ref="H17:Q17" si="4">G17</f>
        <v>1</v>
      </c>
      <c r="I17" s="229">
        <f t="shared" si="4"/>
        <v>1</v>
      </c>
      <c r="J17" s="229">
        <f t="shared" si="4"/>
        <v>1</v>
      </c>
      <c r="K17" s="229">
        <f t="shared" si="4"/>
        <v>1</v>
      </c>
      <c r="L17" s="229">
        <f t="shared" si="4"/>
        <v>1</v>
      </c>
      <c r="M17" s="229">
        <f t="shared" si="4"/>
        <v>1</v>
      </c>
      <c r="N17" s="229">
        <f t="shared" si="4"/>
        <v>1</v>
      </c>
      <c r="O17" s="229">
        <f t="shared" si="4"/>
        <v>1</v>
      </c>
      <c r="P17" s="229">
        <f t="shared" si="4"/>
        <v>1</v>
      </c>
      <c r="Q17" s="229">
        <f t="shared" si="4"/>
        <v>1</v>
      </c>
      <c r="R17" s="38"/>
      <c r="BR17"/>
      <c r="BS17"/>
      <c r="BT17"/>
      <c r="BU17"/>
      <c r="BV17"/>
      <c r="BW17"/>
      <c r="BX17"/>
      <c r="BY17"/>
      <c r="BZ17"/>
      <c r="CA17"/>
    </row>
    <row r="18" spans="1:79" s="39" customFormat="1" x14ac:dyDescent="0.25">
      <c r="A18" s="5"/>
      <c r="B18" s="25"/>
      <c r="C18" s="25"/>
      <c r="D18" s="25"/>
      <c r="E18" s="25"/>
      <c r="F18" s="16"/>
      <c r="G18" s="31"/>
      <c r="H18" s="29"/>
      <c r="I18" s="29"/>
      <c r="J18" s="29"/>
      <c r="K18" s="29"/>
      <c r="L18" s="29"/>
      <c r="M18" s="29"/>
      <c r="N18" s="29"/>
      <c r="O18" s="29"/>
      <c r="P18" s="29"/>
      <c r="Q18" s="29"/>
      <c r="R18" s="38"/>
      <c r="BR18"/>
      <c r="BS18"/>
      <c r="BT18"/>
      <c r="BU18"/>
      <c r="BV18"/>
      <c r="BW18"/>
      <c r="BX18"/>
      <c r="BY18"/>
      <c r="BZ18"/>
      <c r="CA18"/>
    </row>
    <row r="19" spans="1:79" s="39" customFormat="1" x14ac:dyDescent="0.25">
      <c r="A19" s="5"/>
      <c r="B19" s="25"/>
      <c r="C19" s="25"/>
      <c r="D19" s="25"/>
      <c r="E19" s="25"/>
      <c r="F19" s="16"/>
      <c r="G19" s="31"/>
      <c r="H19" s="29"/>
      <c r="I19" s="29"/>
      <c r="J19" s="29"/>
      <c r="K19" s="29"/>
      <c r="L19" s="29"/>
      <c r="M19" s="29"/>
      <c r="N19" s="29"/>
      <c r="O19" s="29"/>
      <c r="P19" s="29"/>
      <c r="Q19" s="29"/>
      <c r="R19" s="38"/>
      <c r="BR19"/>
      <c r="BS19"/>
      <c r="BT19"/>
      <c r="BU19"/>
      <c r="BV19"/>
      <c r="BW19"/>
      <c r="BX19"/>
      <c r="BY19"/>
      <c r="BZ19"/>
      <c r="CA19"/>
    </row>
    <row r="20" spans="1:79" s="39" customFormat="1" x14ac:dyDescent="0.25">
      <c r="A20" s="5"/>
      <c r="B20" s="25"/>
      <c r="C20" s="25"/>
      <c r="D20" s="25"/>
      <c r="E20" s="25"/>
      <c r="F20" s="16"/>
      <c r="G20" s="31"/>
      <c r="H20" s="29"/>
      <c r="I20" s="29"/>
      <c r="J20" s="29"/>
      <c r="K20" s="29"/>
      <c r="L20" s="29"/>
      <c r="M20" s="29"/>
      <c r="N20" s="29"/>
      <c r="O20" s="29"/>
      <c r="P20" s="29"/>
      <c r="Q20" s="29"/>
      <c r="R20" s="38"/>
      <c r="BR20"/>
      <c r="BS20"/>
      <c r="BT20"/>
      <c r="BU20"/>
      <c r="BV20"/>
      <c r="BW20"/>
      <c r="BX20"/>
      <c r="BY20"/>
      <c r="BZ20"/>
      <c r="CA20"/>
    </row>
    <row r="21" spans="1:79" s="39" customFormat="1" x14ac:dyDescent="0.25">
      <c r="A21" s="5"/>
      <c r="B21" s="25"/>
      <c r="C21" s="25"/>
      <c r="D21" s="25"/>
      <c r="E21" s="25"/>
      <c r="F21" s="16"/>
      <c r="G21" s="31"/>
      <c r="H21" s="29"/>
      <c r="I21" s="29"/>
      <c r="J21" s="29"/>
      <c r="K21" s="29"/>
      <c r="L21" s="29"/>
      <c r="M21" s="29"/>
      <c r="N21" s="29"/>
      <c r="O21" s="29"/>
      <c r="P21" s="29"/>
      <c r="Q21" s="29"/>
      <c r="R21" s="38"/>
      <c r="BR21"/>
      <c r="BS21"/>
      <c r="BT21"/>
      <c r="BU21"/>
      <c r="BV21"/>
      <c r="BW21"/>
      <c r="BX21"/>
      <c r="BY21"/>
      <c r="BZ21"/>
      <c r="CA21"/>
    </row>
    <row r="22" spans="1:79" s="39" customFormat="1" x14ac:dyDescent="0.25">
      <c r="A22" s="5"/>
      <c r="B22" s="25"/>
      <c r="C22" s="25"/>
      <c r="D22" s="25"/>
      <c r="E22" s="25"/>
      <c r="F22" s="16"/>
      <c r="G22" s="31"/>
      <c r="H22" s="29"/>
      <c r="I22" s="29"/>
      <c r="J22" s="29"/>
      <c r="K22" s="29"/>
      <c r="L22" s="29"/>
      <c r="M22" s="29"/>
      <c r="N22" s="29"/>
      <c r="O22" s="29"/>
      <c r="P22" s="29"/>
      <c r="Q22" s="29"/>
      <c r="R22" s="38"/>
      <c r="BR22"/>
      <c r="BS22"/>
      <c r="BT22"/>
      <c r="BU22"/>
      <c r="BV22"/>
      <c r="BW22"/>
      <c r="BX22"/>
      <c r="BY22"/>
      <c r="BZ22"/>
      <c r="CA22"/>
    </row>
    <row r="23" spans="1:79" s="39" customFormat="1" x14ac:dyDescent="0.25">
      <c r="A23" s="5"/>
      <c r="B23" s="25"/>
      <c r="C23" s="25"/>
      <c r="D23" s="25"/>
      <c r="E23" s="25"/>
      <c r="F23" s="16"/>
      <c r="G23" s="31"/>
      <c r="H23" s="29"/>
      <c r="I23" s="29"/>
      <c r="J23" s="29"/>
      <c r="K23" s="29"/>
      <c r="L23" s="29"/>
      <c r="M23" s="29"/>
      <c r="N23" s="29"/>
      <c r="O23" s="29"/>
      <c r="P23" s="29"/>
      <c r="Q23" s="29"/>
      <c r="R23" s="38"/>
      <c r="BR23"/>
      <c r="BS23"/>
      <c r="BT23"/>
      <c r="BU23"/>
      <c r="BV23"/>
      <c r="BW23"/>
      <c r="BX23"/>
      <c r="BY23"/>
      <c r="BZ23"/>
      <c r="CA23"/>
    </row>
    <row r="24" spans="1:79" s="39" customFormat="1" x14ac:dyDescent="0.25">
      <c r="A24" s="5"/>
      <c r="B24" s="25"/>
      <c r="C24" s="25"/>
      <c r="D24" s="25"/>
      <c r="E24" s="25"/>
      <c r="F24" s="16"/>
      <c r="G24" s="31"/>
      <c r="H24" s="29"/>
      <c r="I24" s="29"/>
      <c r="J24" s="29"/>
      <c r="K24" s="29"/>
      <c r="L24" s="29"/>
      <c r="M24" s="29"/>
      <c r="N24" s="29"/>
      <c r="O24" s="29"/>
      <c r="P24" s="29"/>
      <c r="Q24" s="29"/>
      <c r="R24" s="38"/>
      <c r="BR24"/>
      <c r="BS24"/>
      <c r="BT24"/>
      <c r="BU24"/>
      <c r="BV24"/>
      <c r="BW24"/>
      <c r="BX24"/>
      <c r="BY24"/>
      <c r="BZ24"/>
      <c r="CA24"/>
    </row>
    <row r="25" spans="1:79" s="39" customFormat="1" x14ac:dyDescent="0.25">
      <c r="A25" s="5"/>
      <c r="B25" s="25"/>
      <c r="C25" s="25"/>
      <c r="D25" s="25"/>
      <c r="E25" s="25"/>
      <c r="F25" s="16"/>
      <c r="G25" s="31"/>
      <c r="H25" s="29"/>
      <c r="I25" s="29"/>
      <c r="J25" s="29"/>
      <c r="K25" s="29"/>
      <c r="L25" s="29"/>
      <c r="M25" s="29"/>
      <c r="N25" s="29"/>
      <c r="O25" s="29"/>
      <c r="P25" s="29"/>
      <c r="Q25" s="29"/>
      <c r="R25" s="38"/>
      <c r="BR25"/>
      <c r="BS25"/>
      <c r="BT25"/>
      <c r="BU25"/>
      <c r="BV25"/>
      <c r="BW25"/>
      <c r="BX25"/>
      <c r="BY25"/>
      <c r="BZ25"/>
      <c r="CA25"/>
    </row>
    <row r="26" spans="1:79" s="39" customFormat="1" x14ac:dyDescent="0.25">
      <c r="A26" s="5"/>
      <c r="B26" s="25"/>
      <c r="C26" s="25"/>
      <c r="D26" s="25"/>
      <c r="E26" s="25"/>
      <c r="F26" s="16"/>
      <c r="G26" s="31"/>
      <c r="H26" s="29"/>
      <c r="I26" s="29"/>
      <c r="J26" s="29"/>
      <c r="K26" s="29"/>
      <c r="L26" s="29"/>
      <c r="M26" s="29"/>
      <c r="N26" s="29"/>
      <c r="O26" s="29"/>
      <c r="P26" s="29"/>
      <c r="Q26" s="29"/>
      <c r="R26" s="38"/>
      <c r="BR26"/>
      <c r="BS26"/>
      <c r="BT26"/>
      <c r="BU26"/>
      <c r="BV26"/>
      <c r="BW26"/>
      <c r="BX26"/>
      <c r="BY26"/>
      <c r="BZ26"/>
      <c r="CA26"/>
    </row>
    <row r="27" spans="1:79" s="39" customFormat="1" x14ac:dyDescent="0.25">
      <c r="A27" s="5"/>
      <c r="B27" s="25"/>
      <c r="C27" s="25"/>
      <c r="D27" s="25"/>
      <c r="E27" s="25"/>
      <c r="F27" s="16"/>
      <c r="G27" s="31"/>
      <c r="H27" s="29"/>
      <c r="I27" s="29"/>
      <c r="J27" s="29"/>
      <c r="K27" s="29"/>
      <c r="L27" s="29"/>
      <c r="M27" s="29"/>
      <c r="N27" s="29"/>
      <c r="O27" s="29"/>
      <c r="P27" s="29"/>
      <c r="Q27" s="29"/>
      <c r="R27" s="38"/>
      <c r="BR27"/>
      <c r="BS27"/>
      <c r="BT27"/>
      <c r="BU27"/>
      <c r="BV27"/>
      <c r="BW27"/>
      <c r="BX27"/>
      <c r="BY27"/>
      <c r="BZ27"/>
      <c r="CA27"/>
    </row>
    <row r="28" spans="1:79" s="39" customFormat="1" x14ac:dyDescent="0.25">
      <c r="A28" s="5"/>
      <c r="B28" s="25"/>
      <c r="C28" s="25"/>
      <c r="D28" s="25"/>
      <c r="E28" s="25"/>
      <c r="F28" s="16"/>
      <c r="G28" s="31"/>
      <c r="H28" s="29"/>
      <c r="I28" s="29"/>
      <c r="J28" s="29"/>
      <c r="K28" s="29"/>
      <c r="L28" s="29"/>
      <c r="M28" s="29"/>
      <c r="N28" s="29"/>
      <c r="O28" s="29"/>
      <c r="P28" s="29"/>
      <c r="Q28" s="29"/>
      <c r="R28" s="38"/>
      <c r="BR28"/>
      <c r="BS28"/>
      <c r="BT28"/>
      <c r="BU28"/>
      <c r="BV28"/>
      <c r="BW28"/>
      <c r="BX28"/>
      <c r="BY28"/>
      <c r="BZ28"/>
      <c r="CA28"/>
    </row>
    <row r="29" spans="1:79" s="39" customFormat="1" x14ac:dyDescent="0.25">
      <c r="A29" s="5"/>
      <c r="B29" s="25"/>
      <c r="C29" s="25"/>
      <c r="D29" s="25"/>
      <c r="E29" s="25"/>
      <c r="F29" s="16"/>
      <c r="G29" s="31"/>
      <c r="H29" s="29"/>
      <c r="I29" s="29"/>
      <c r="J29" s="29"/>
      <c r="K29" s="29"/>
      <c r="L29" s="29"/>
      <c r="M29" s="29"/>
      <c r="N29" s="29"/>
      <c r="O29" s="29"/>
      <c r="P29" s="29"/>
      <c r="Q29" s="29"/>
      <c r="R29" s="38"/>
      <c r="BR29"/>
      <c r="BS29"/>
      <c r="BT29"/>
      <c r="BU29"/>
      <c r="BV29"/>
      <c r="BW29"/>
      <c r="BX29"/>
      <c r="BY29"/>
      <c r="BZ29"/>
      <c r="CA29"/>
    </row>
    <row r="30" spans="1:79" s="39" customFormat="1" x14ac:dyDescent="0.25">
      <c r="A30" s="5"/>
      <c r="B30" s="25"/>
      <c r="C30" s="25"/>
      <c r="D30" s="25"/>
      <c r="E30" s="25"/>
      <c r="F30" s="16"/>
      <c r="G30" s="31"/>
      <c r="H30" s="29"/>
      <c r="I30" s="29"/>
      <c r="J30" s="29"/>
      <c r="K30" s="29"/>
      <c r="L30" s="29"/>
      <c r="M30" s="29"/>
      <c r="N30" s="29"/>
      <c r="O30" s="29"/>
      <c r="P30" s="29"/>
      <c r="Q30" s="29"/>
      <c r="R30" s="38"/>
      <c r="BR30"/>
      <c r="BS30"/>
      <c r="BT30"/>
      <c r="BU30"/>
      <c r="BV30"/>
      <c r="BW30"/>
      <c r="BX30"/>
      <c r="BY30"/>
      <c r="BZ30"/>
      <c r="CA30"/>
    </row>
    <row r="31" spans="1:79" s="39" customFormat="1" x14ac:dyDescent="0.25">
      <c r="A31" s="5"/>
      <c r="B31" s="25"/>
      <c r="C31" s="25"/>
      <c r="D31" s="25"/>
      <c r="E31" s="25"/>
      <c r="F31" s="16"/>
      <c r="G31" s="31"/>
      <c r="H31" s="29"/>
      <c r="I31" s="29"/>
      <c r="J31" s="29"/>
      <c r="K31" s="29"/>
      <c r="L31" s="29"/>
      <c r="M31" s="29"/>
      <c r="N31" s="29"/>
      <c r="O31" s="29"/>
      <c r="P31" s="29"/>
      <c r="Q31" s="29"/>
      <c r="R31" s="38"/>
      <c r="BR31"/>
      <c r="BS31"/>
      <c r="BT31"/>
      <c r="BU31"/>
      <c r="BV31"/>
      <c r="BW31"/>
      <c r="BX31"/>
      <c r="BY31"/>
      <c r="BZ31"/>
      <c r="CA31"/>
    </row>
    <row r="32" spans="1:79" s="39" customFormat="1" x14ac:dyDescent="0.25">
      <c r="A32" s="5"/>
      <c r="B32" s="25"/>
      <c r="C32" s="25"/>
      <c r="D32" s="25"/>
      <c r="E32" s="25"/>
      <c r="F32" s="16"/>
      <c r="G32" s="31"/>
      <c r="H32" s="29"/>
      <c r="I32" s="29"/>
      <c r="J32" s="29"/>
      <c r="K32" s="29"/>
      <c r="L32" s="29"/>
      <c r="M32" s="29"/>
      <c r="N32" s="29"/>
      <c r="O32" s="29"/>
      <c r="P32" s="29"/>
      <c r="Q32" s="29"/>
      <c r="R32" s="38"/>
      <c r="BR32"/>
      <c r="BS32"/>
      <c r="BT32"/>
      <c r="BU32"/>
      <c r="BV32"/>
      <c r="BW32"/>
      <c r="BX32"/>
      <c r="BY32"/>
      <c r="BZ32"/>
      <c r="CA32"/>
    </row>
    <row r="33" spans="1:79" s="39" customFormat="1" x14ac:dyDescent="0.25">
      <c r="A33" s="5"/>
      <c r="B33" s="25"/>
      <c r="C33" s="25"/>
      <c r="D33" s="25"/>
      <c r="E33" s="25"/>
      <c r="F33" s="16"/>
      <c r="G33" s="31"/>
      <c r="H33" s="29"/>
      <c r="I33" s="29"/>
      <c r="J33" s="29"/>
      <c r="K33" s="29"/>
      <c r="L33" s="29"/>
      <c r="M33" s="29"/>
      <c r="N33" s="29"/>
      <c r="O33" s="29"/>
      <c r="P33" s="29"/>
      <c r="Q33" s="29"/>
      <c r="R33" s="38"/>
      <c r="BR33"/>
      <c r="BS33"/>
      <c r="BT33"/>
      <c r="BU33"/>
      <c r="BV33"/>
      <c r="BW33"/>
      <c r="BX33"/>
      <c r="BY33"/>
      <c r="BZ33"/>
      <c r="CA33"/>
    </row>
    <row r="34" spans="1:79" s="39" customFormat="1" x14ac:dyDescent="0.25">
      <c r="A34" s="5"/>
      <c r="B34" s="25"/>
      <c r="C34" s="25"/>
      <c r="D34" s="25"/>
      <c r="E34" s="25"/>
      <c r="F34" s="16"/>
      <c r="G34" s="31"/>
      <c r="H34" s="29"/>
      <c r="I34" s="29"/>
      <c r="J34" s="29"/>
      <c r="K34" s="29"/>
      <c r="L34" s="29"/>
      <c r="M34" s="29"/>
      <c r="N34" s="29"/>
      <c r="O34" s="29"/>
      <c r="P34" s="29"/>
      <c r="Q34" s="29"/>
      <c r="R34" s="38"/>
      <c r="BR34"/>
      <c r="BS34"/>
      <c r="BT34"/>
      <c r="BU34"/>
      <c r="BV34"/>
      <c r="BW34"/>
      <c r="BX34"/>
      <c r="BY34"/>
      <c r="BZ34"/>
      <c r="CA34"/>
    </row>
    <row r="35" spans="1:79" s="39" customFormat="1" x14ac:dyDescent="0.25">
      <c r="A35" s="5"/>
      <c r="B35" s="25"/>
      <c r="C35" s="25"/>
      <c r="D35" s="25"/>
      <c r="E35" s="25"/>
      <c r="F35" s="16"/>
      <c r="G35" s="31"/>
      <c r="H35" s="29"/>
      <c r="I35" s="29"/>
      <c r="J35" s="29"/>
      <c r="K35" s="29"/>
      <c r="L35" s="29"/>
      <c r="M35" s="29"/>
      <c r="N35" s="29"/>
      <c r="O35" s="29"/>
      <c r="P35" s="29"/>
      <c r="Q35" s="29"/>
      <c r="R35" s="38"/>
      <c r="BR35"/>
      <c r="BS35"/>
      <c r="BT35"/>
      <c r="BU35"/>
      <c r="BV35"/>
      <c r="BW35"/>
      <c r="BX35"/>
      <c r="BY35"/>
      <c r="BZ35"/>
      <c r="CA35"/>
    </row>
    <row r="36" spans="1:79" s="39" customFormat="1" x14ac:dyDescent="0.25">
      <c r="A36" s="5"/>
      <c r="B36" s="25"/>
      <c r="C36" s="25"/>
      <c r="D36" s="25"/>
      <c r="E36" s="25"/>
      <c r="F36" s="16"/>
      <c r="G36" s="31"/>
      <c r="H36" s="29"/>
      <c r="I36" s="29"/>
      <c r="J36" s="29"/>
      <c r="K36" s="29"/>
      <c r="L36" s="29"/>
      <c r="M36" s="29"/>
      <c r="N36" s="29"/>
      <c r="O36" s="29"/>
      <c r="P36" s="29"/>
      <c r="Q36" s="29"/>
      <c r="R36" s="38"/>
      <c r="BR36"/>
      <c r="BS36"/>
      <c r="BT36"/>
      <c r="BU36"/>
      <c r="BV36"/>
      <c r="BW36"/>
      <c r="BX36"/>
      <c r="BY36"/>
      <c r="BZ36"/>
      <c r="CA36"/>
    </row>
    <row r="37" spans="1:79" s="39" customFormat="1" x14ac:dyDescent="0.25">
      <c r="A37" s="5"/>
      <c r="B37" s="25"/>
      <c r="C37" s="25"/>
      <c r="D37" s="25"/>
      <c r="E37" s="25"/>
      <c r="F37" s="16"/>
      <c r="G37" s="31"/>
      <c r="H37" s="29"/>
      <c r="I37" s="29"/>
      <c r="J37" s="29"/>
      <c r="K37" s="29"/>
      <c r="L37" s="29"/>
      <c r="M37" s="29"/>
      <c r="N37" s="29"/>
      <c r="O37" s="29"/>
      <c r="P37" s="29"/>
      <c r="Q37" s="29"/>
      <c r="R37" s="38"/>
      <c r="BR37"/>
      <c r="BS37"/>
      <c r="BT37"/>
      <c r="BU37"/>
      <c r="BV37"/>
      <c r="BW37"/>
      <c r="BX37"/>
      <c r="BY37"/>
      <c r="BZ37"/>
      <c r="CA37"/>
    </row>
    <row r="38" spans="1:79" s="39" customFormat="1" x14ac:dyDescent="0.25">
      <c r="A38" s="5"/>
      <c r="B38" s="25"/>
      <c r="C38" s="25"/>
      <c r="D38" s="25"/>
      <c r="E38" s="25"/>
      <c r="F38" s="16"/>
      <c r="G38" s="31"/>
      <c r="H38" s="29"/>
      <c r="I38" s="29"/>
      <c r="J38" s="29"/>
      <c r="K38" s="29"/>
      <c r="L38" s="29"/>
      <c r="M38" s="29"/>
      <c r="N38" s="29"/>
      <c r="O38" s="29"/>
      <c r="P38" s="29"/>
      <c r="Q38" s="29"/>
      <c r="R38" s="38"/>
      <c r="BR38"/>
      <c r="BS38"/>
      <c r="BT38"/>
      <c r="BU38"/>
      <c r="BV38"/>
      <c r="BW38"/>
      <c r="BX38"/>
      <c r="BY38"/>
      <c r="BZ38"/>
      <c r="CA38"/>
    </row>
    <row r="39" spans="1:79" s="39" customFormat="1" x14ac:dyDescent="0.25">
      <c r="A39" s="5"/>
      <c r="B39" s="25"/>
      <c r="C39" s="25"/>
      <c r="D39" s="25"/>
      <c r="E39" s="25"/>
      <c r="F39" s="16"/>
      <c r="G39" s="31"/>
      <c r="H39" s="29"/>
      <c r="I39" s="29"/>
      <c r="J39" s="29"/>
      <c r="K39" s="29"/>
      <c r="L39" s="29"/>
      <c r="M39" s="29"/>
      <c r="N39" s="29"/>
      <c r="O39" s="29"/>
      <c r="P39" s="29"/>
      <c r="Q39" s="29"/>
      <c r="R39" s="38"/>
      <c r="BR39"/>
      <c r="BS39"/>
      <c r="BT39"/>
      <c r="BU39"/>
      <c r="BV39"/>
      <c r="BW39"/>
      <c r="BX39"/>
      <c r="BY39"/>
      <c r="BZ39"/>
      <c r="CA39"/>
    </row>
    <row r="40" spans="1:79" s="39" customFormat="1" x14ac:dyDescent="0.25">
      <c r="A40" s="5"/>
      <c r="B40" s="25"/>
      <c r="C40" s="25"/>
      <c r="D40" s="25"/>
      <c r="E40" s="25"/>
      <c r="F40" s="16"/>
      <c r="G40" s="31"/>
      <c r="H40" s="29"/>
      <c r="I40" s="29"/>
      <c r="J40" s="29"/>
      <c r="K40" s="29"/>
      <c r="L40" s="29"/>
      <c r="M40" s="29"/>
      <c r="N40" s="29"/>
      <c r="O40" s="29"/>
      <c r="P40" s="29"/>
      <c r="Q40" s="29"/>
      <c r="R40" s="38"/>
      <c r="BR40"/>
      <c r="BS40"/>
      <c r="BT40"/>
      <c r="BU40"/>
      <c r="BV40"/>
      <c r="BW40"/>
      <c r="BX40"/>
      <c r="BY40"/>
      <c r="BZ40"/>
      <c r="CA40"/>
    </row>
    <row r="41" spans="1:79" s="39" customFormat="1" x14ac:dyDescent="0.25">
      <c r="A41" s="5"/>
      <c r="B41" s="25"/>
      <c r="C41" s="25"/>
      <c r="D41" s="25"/>
      <c r="E41" s="25"/>
      <c r="F41" s="16"/>
      <c r="G41" s="31"/>
      <c r="H41" s="29"/>
      <c r="I41" s="29"/>
      <c r="J41" s="29"/>
      <c r="K41" s="29"/>
      <c r="L41" s="29"/>
      <c r="M41" s="29"/>
      <c r="N41" s="29"/>
      <c r="O41" s="29"/>
      <c r="P41" s="29"/>
      <c r="Q41" s="29"/>
      <c r="R41" s="38"/>
      <c r="BR41"/>
      <c r="BS41"/>
      <c r="BT41"/>
      <c r="BU41"/>
      <c r="BV41"/>
      <c r="BW41"/>
      <c r="BX41"/>
      <c r="BY41"/>
      <c r="BZ41"/>
      <c r="CA41"/>
    </row>
    <row r="42" spans="1:79" s="39" customFormat="1" x14ac:dyDescent="0.25">
      <c r="A42" s="5"/>
      <c r="B42" s="25"/>
      <c r="C42" s="25"/>
      <c r="D42" s="25"/>
      <c r="E42" s="25"/>
      <c r="F42" s="16"/>
      <c r="G42" s="31"/>
      <c r="H42" s="29"/>
      <c r="I42" s="29"/>
      <c r="J42" s="29"/>
      <c r="K42" s="29"/>
      <c r="L42" s="29"/>
      <c r="M42" s="29"/>
      <c r="N42" s="29"/>
      <c r="O42" s="29"/>
      <c r="P42" s="29"/>
      <c r="Q42" s="29"/>
      <c r="R42" s="38"/>
      <c r="BR42"/>
      <c r="BS42"/>
      <c r="BT42"/>
      <c r="BU42"/>
      <c r="BV42"/>
      <c r="BW42"/>
      <c r="BX42"/>
      <c r="BY42"/>
      <c r="BZ42"/>
      <c r="CA42"/>
    </row>
    <row r="43" spans="1:79" s="39" customFormat="1" x14ac:dyDescent="0.25">
      <c r="A43" s="5"/>
      <c r="B43" s="25"/>
      <c r="C43" s="25"/>
      <c r="D43" s="25"/>
      <c r="E43" s="25"/>
      <c r="F43" s="16"/>
      <c r="G43" s="31"/>
      <c r="H43" s="29"/>
      <c r="I43" s="29"/>
      <c r="J43" s="29"/>
      <c r="K43" s="29"/>
      <c r="L43" s="29"/>
      <c r="M43" s="29"/>
      <c r="N43" s="29"/>
      <c r="O43" s="29"/>
      <c r="P43" s="29"/>
      <c r="Q43" s="29"/>
      <c r="R43" s="38"/>
      <c r="BR43"/>
      <c r="BS43"/>
      <c r="BT43"/>
      <c r="BU43"/>
      <c r="BV43"/>
      <c r="BW43"/>
      <c r="BX43"/>
      <c r="BY43"/>
      <c r="BZ43"/>
      <c r="CA43"/>
    </row>
    <row r="44" spans="1:79" s="39" customFormat="1" x14ac:dyDescent="0.25">
      <c r="A44" s="5"/>
      <c r="B44" s="25"/>
      <c r="C44" s="25"/>
      <c r="D44" s="25"/>
      <c r="E44" s="25"/>
      <c r="F44" s="16"/>
      <c r="G44" s="31"/>
      <c r="H44" s="29"/>
      <c r="I44" s="29"/>
      <c r="J44" s="29"/>
      <c r="K44" s="29"/>
      <c r="L44" s="29"/>
      <c r="M44" s="29"/>
      <c r="N44" s="29"/>
      <c r="O44" s="29"/>
      <c r="P44" s="29"/>
      <c r="Q44" s="29"/>
      <c r="R44" s="38"/>
      <c r="BR44"/>
      <c r="BS44"/>
      <c r="BT44"/>
      <c r="BU44"/>
      <c r="BV44"/>
      <c r="BW44"/>
      <c r="BX44"/>
      <c r="BY44"/>
      <c r="BZ44"/>
      <c r="CA44"/>
    </row>
    <row r="45" spans="1:79" s="39" customFormat="1" x14ac:dyDescent="0.25">
      <c r="A45" s="5"/>
      <c r="B45" s="25"/>
      <c r="C45" s="25"/>
      <c r="D45" s="25"/>
      <c r="E45" s="25"/>
      <c r="F45" s="16"/>
      <c r="G45" s="31"/>
      <c r="H45" s="29"/>
      <c r="I45" s="29"/>
      <c r="J45" s="29"/>
      <c r="K45" s="29"/>
      <c r="L45" s="29"/>
      <c r="M45" s="29"/>
      <c r="N45" s="29"/>
      <c r="O45" s="29"/>
      <c r="P45" s="29"/>
      <c r="Q45" s="29"/>
      <c r="R45" s="38"/>
      <c r="BR45"/>
      <c r="BS45"/>
      <c r="BT45"/>
      <c r="BU45"/>
      <c r="BV45"/>
      <c r="BW45"/>
      <c r="BX45"/>
      <c r="BY45"/>
      <c r="BZ45"/>
      <c r="CA45"/>
    </row>
    <row r="46" spans="1:79" s="39" customFormat="1" x14ac:dyDescent="0.25">
      <c r="A46" s="5"/>
      <c r="B46" s="25"/>
      <c r="C46" s="25"/>
      <c r="D46" s="25"/>
      <c r="E46" s="25"/>
      <c r="F46" s="16"/>
      <c r="G46" s="31"/>
      <c r="H46" s="29"/>
      <c r="I46" s="29"/>
      <c r="J46" s="29"/>
      <c r="K46" s="29"/>
      <c r="L46" s="29"/>
      <c r="M46" s="29"/>
      <c r="N46" s="29"/>
      <c r="O46" s="29"/>
      <c r="P46" s="29"/>
      <c r="Q46" s="29"/>
      <c r="R46" s="38"/>
      <c r="BR46"/>
      <c r="BS46"/>
      <c r="BT46"/>
      <c r="BU46"/>
      <c r="BV46"/>
      <c r="BW46"/>
      <c r="BX46"/>
      <c r="BY46"/>
      <c r="BZ46"/>
      <c r="CA46"/>
    </row>
    <row r="47" spans="1:79" s="39" customFormat="1" x14ac:dyDescent="0.25">
      <c r="A47" s="5"/>
      <c r="B47" s="25"/>
      <c r="C47" s="25"/>
      <c r="D47" s="25"/>
      <c r="E47" s="25"/>
      <c r="F47" s="16"/>
      <c r="G47" s="31"/>
      <c r="H47" s="29"/>
      <c r="I47" s="29"/>
      <c r="J47" s="29"/>
      <c r="K47" s="29"/>
      <c r="L47" s="29"/>
      <c r="M47" s="29"/>
      <c r="N47" s="29"/>
      <c r="O47" s="29"/>
      <c r="P47" s="29"/>
      <c r="Q47" s="29"/>
      <c r="R47" s="38"/>
      <c r="BR47"/>
      <c r="BS47"/>
      <c r="BT47"/>
      <c r="BU47"/>
      <c r="BV47"/>
      <c r="BW47"/>
      <c r="BX47"/>
      <c r="BY47"/>
      <c r="BZ47"/>
      <c r="CA47"/>
    </row>
    <row r="48" spans="1:79" s="39" customFormat="1" x14ac:dyDescent="0.25">
      <c r="A48" s="5"/>
      <c r="B48" s="25"/>
      <c r="C48" s="25"/>
      <c r="D48" s="25"/>
      <c r="E48" s="25"/>
      <c r="F48" s="16"/>
      <c r="G48" s="31"/>
      <c r="H48" s="29"/>
      <c r="I48" s="29"/>
      <c r="J48" s="29"/>
      <c r="K48" s="29"/>
      <c r="L48" s="29"/>
      <c r="M48" s="29"/>
      <c r="N48" s="29"/>
      <c r="O48" s="29"/>
      <c r="P48" s="29"/>
      <c r="Q48" s="29"/>
      <c r="R48" s="38"/>
      <c r="BR48"/>
      <c r="BS48"/>
      <c r="BT48"/>
      <c r="BU48"/>
      <c r="BV48"/>
      <c r="BW48"/>
      <c r="BX48"/>
      <c r="BY48"/>
      <c r="BZ48"/>
      <c r="CA48"/>
    </row>
    <row r="49" spans="1:79" s="39" customFormat="1" x14ac:dyDescent="0.25">
      <c r="A49" s="5"/>
      <c r="B49" s="25"/>
      <c r="C49" s="25"/>
      <c r="D49" s="25"/>
      <c r="E49" s="25"/>
      <c r="F49" s="16"/>
      <c r="G49" s="31"/>
      <c r="H49" s="29"/>
      <c r="I49" s="29"/>
      <c r="J49" s="29"/>
      <c r="K49" s="29"/>
      <c r="L49" s="29"/>
      <c r="M49" s="29"/>
      <c r="N49" s="29"/>
      <c r="O49" s="29"/>
      <c r="P49" s="29"/>
      <c r="Q49" s="29"/>
      <c r="R49" s="38"/>
      <c r="BR49"/>
      <c r="BS49"/>
      <c r="BT49"/>
      <c r="BU49"/>
      <c r="BV49"/>
      <c r="BW49"/>
      <c r="BX49"/>
      <c r="BY49"/>
      <c r="BZ49"/>
      <c r="CA49"/>
    </row>
    <row r="50" spans="1:79" s="39" customFormat="1" x14ac:dyDescent="0.25">
      <c r="A50" s="5"/>
      <c r="B50" s="25"/>
      <c r="C50" s="25"/>
      <c r="D50" s="25"/>
      <c r="E50" s="25"/>
      <c r="F50" s="16"/>
      <c r="G50" s="31"/>
      <c r="H50" s="29"/>
      <c r="I50" s="29"/>
      <c r="J50" s="29"/>
      <c r="K50" s="29"/>
      <c r="L50" s="29"/>
      <c r="M50" s="29"/>
      <c r="N50" s="29"/>
      <c r="O50" s="29"/>
      <c r="P50" s="29"/>
      <c r="Q50" s="29"/>
      <c r="R50" s="38"/>
      <c r="BR50"/>
      <c r="BS50"/>
      <c r="BT50"/>
      <c r="BU50"/>
      <c r="BV50"/>
      <c r="BW50"/>
      <c r="BX50"/>
      <c r="BY50"/>
      <c r="BZ50"/>
      <c r="CA50"/>
    </row>
    <row r="51" spans="1:79" s="39" customFormat="1" x14ac:dyDescent="0.25">
      <c r="A51" s="5"/>
      <c r="B51" s="25"/>
      <c r="C51" s="25"/>
      <c r="D51" s="25"/>
      <c r="E51" s="25"/>
      <c r="F51" s="16"/>
      <c r="G51" s="31"/>
      <c r="H51" s="29"/>
      <c r="I51" s="29"/>
      <c r="J51" s="29"/>
      <c r="K51" s="29"/>
      <c r="L51" s="29"/>
      <c r="M51" s="29"/>
      <c r="N51" s="29"/>
      <c r="O51" s="29"/>
      <c r="P51" s="29"/>
      <c r="Q51" s="29"/>
      <c r="R51" s="38"/>
      <c r="BR51"/>
      <c r="BS51"/>
      <c r="BT51"/>
      <c r="BU51"/>
      <c r="BV51"/>
      <c r="BW51"/>
      <c r="BX51"/>
      <c r="BY51"/>
      <c r="BZ51"/>
      <c r="CA51"/>
    </row>
    <row r="52" spans="1:79" s="39" customFormat="1" x14ac:dyDescent="0.25">
      <c r="A52" s="5"/>
      <c r="B52" s="25"/>
      <c r="C52" s="25"/>
      <c r="D52" s="25"/>
      <c r="E52" s="25"/>
      <c r="F52" s="16"/>
      <c r="G52" s="31"/>
      <c r="H52" s="29"/>
      <c r="I52" s="29"/>
      <c r="J52" s="29"/>
      <c r="K52" s="29"/>
      <c r="L52" s="29"/>
      <c r="M52" s="29"/>
      <c r="N52" s="29"/>
      <c r="O52" s="29"/>
      <c r="P52" s="29"/>
      <c r="Q52" s="29"/>
      <c r="R52" s="38"/>
      <c r="BR52"/>
      <c r="BS52"/>
      <c r="BT52"/>
      <c r="BU52"/>
      <c r="BV52"/>
      <c r="BW52"/>
      <c r="BX52"/>
      <c r="BY52"/>
      <c r="BZ52"/>
      <c r="CA52"/>
    </row>
    <row r="53" spans="1:79" s="39" customFormat="1" x14ac:dyDescent="0.25">
      <c r="A53" s="5"/>
      <c r="B53" s="25"/>
      <c r="C53" s="25"/>
      <c r="D53" s="25"/>
      <c r="E53" s="25"/>
      <c r="F53" s="16"/>
      <c r="G53" s="31"/>
      <c r="H53" s="29"/>
      <c r="I53" s="29"/>
      <c r="J53" s="29"/>
      <c r="K53" s="29"/>
      <c r="L53" s="29"/>
      <c r="M53" s="29"/>
      <c r="N53" s="29"/>
      <c r="O53" s="29"/>
      <c r="P53" s="29"/>
      <c r="Q53" s="29"/>
      <c r="R53" s="38"/>
      <c r="BR53"/>
      <c r="BS53"/>
      <c r="BT53"/>
      <c r="BU53"/>
      <c r="BV53"/>
      <c r="BW53"/>
      <c r="BX53"/>
      <c r="BY53"/>
      <c r="BZ53"/>
      <c r="CA53"/>
    </row>
    <row r="54" spans="1:79" s="39" customFormat="1" x14ac:dyDescent="0.25">
      <c r="A54" s="5"/>
      <c r="B54" s="25"/>
      <c r="C54" s="25"/>
      <c r="D54" s="25"/>
      <c r="E54" s="25"/>
      <c r="F54" s="16"/>
      <c r="G54" s="31"/>
      <c r="H54" s="29"/>
      <c r="I54" s="29"/>
      <c r="J54" s="29"/>
      <c r="K54" s="29"/>
      <c r="L54" s="29"/>
      <c r="M54" s="29"/>
      <c r="N54" s="29"/>
      <c r="O54" s="29"/>
      <c r="P54" s="29"/>
      <c r="Q54" s="29"/>
      <c r="R54" s="38"/>
      <c r="BR54"/>
      <c r="BS54"/>
      <c r="BT54"/>
      <c r="BU54"/>
      <c r="BV54"/>
      <c r="BW54"/>
      <c r="BX54"/>
      <c r="BY54"/>
      <c r="BZ54"/>
      <c r="CA54"/>
    </row>
    <row r="55" spans="1:79" s="39" customFormat="1" x14ac:dyDescent="0.25">
      <c r="A55" s="5"/>
      <c r="B55" s="25"/>
      <c r="C55" s="25"/>
      <c r="D55" s="25"/>
      <c r="E55" s="25"/>
      <c r="F55" s="16"/>
      <c r="G55" s="31"/>
      <c r="H55" s="29"/>
      <c r="I55" s="29"/>
      <c r="J55" s="29"/>
      <c r="K55" s="29"/>
      <c r="L55" s="29"/>
      <c r="M55" s="29"/>
      <c r="N55" s="29"/>
      <c r="O55" s="29"/>
      <c r="P55" s="29"/>
      <c r="Q55" s="29"/>
      <c r="R55" s="38"/>
      <c r="BR55"/>
      <c r="BS55"/>
      <c r="BT55"/>
      <c r="BU55"/>
      <c r="BV55"/>
      <c r="BW55"/>
      <c r="BX55"/>
      <c r="BY55"/>
      <c r="BZ55"/>
      <c r="CA55"/>
    </row>
    <row r="56" spans="1:79" s="39" customFormat="1" x14ac:dyDescent="0.25">
      <c r="A56" s="5"/>
      <c r="B56" s="25"/>
      <c r="C56" s="25"/>
      <c r="D56" s="25"/>
      <c r="E56" s="25"/>
      <c r="F56" s="16"/>
      <c r="G56" s="31"/>
      <c r="H56" s="29"/>
      <c r="I56" s="29"/>
      <c r="J56" s="29"/>
      <c r="K56" s="29"/>
      <c r="L56" s="29"/>
      <c r="M56" s="29"/>
      <c r="N56" s="29"/>
      <c r="O56" s="29"/>
      <c r="P56" s="29"/>
      <c r="Q56" s="29"/>
      <c r="R56" s="38"/>
      <c r="BR56"/>
      <c r="BS56"/>
      <c r="BT56"/>
      <c r="BU56"/>
      <c r="BV56"/>
      <c r="BW56"/>
      <c r="BX56"/>
      <c r="BY56"/>
      <c r="BZ56"/>
      <c r="CA56"/>
    </row>
    <row r="57" spans="1:79" s="39" customFormat="1" x14ac:dyDescent="0.25">
      <c r="A57" s="5"/>
      <c r="B57" s="25"/>
      <c r="C57" s="25"/>
      <c r="D57" s="25"/>
      <c r="E57" s="25"/>
      <c r="F57" s="16"/>
      <c r="G57" s="31"/>
      <c r="H57" s="29"/>
      <c r="I57" s="29"/>
      <c r="J57" s="29"/>
      <c r="K57" s="29"/>
      <c r="L57" s="29"/>
      <c r="M57" s="29"/>
      <c r="N57" s="29"/>
      <c r="O57" s="29"/>
      <c r="P57" s="29"/>
      <c r="Q57" s="29"/>
      <c r="R57" s="38"/>
      <c r="BR57"/>
      <c r="BS57"/>
      <c r="BT57"/>
      <c r="BU57"/>
      <c r="BV57"/>
      <c r="BW57"/>
      <c r="BX57"/>
      <c r="BY57"/>
      <c r="BZ57"/>
      <c r="CA57"/>
    </row>
    <row r="58" spans="1:79" s="39" customFormat="1" x14ac:dyDescent="0.25">
      <c r="A58" s="5"/>
      <c r="B58" s="25"/>
      <c r="C58" s="25"/>
      <c r="D58" s="25"/>
      <c r="E58" s="25"/>
      <c r="F58" s="16"/>
      <c r="G58" s="31"/>
      <c r="H58" s="29"/>
      <c r="I58" s="29"/>
      <c r="J58" s="29"/>
      <c r="K58" s="29"/>
      <c r="L58" s="29"/>
      <c r="M58" s="29"/>
      <c r="N58" s="29"/>
      <c r="O58" s="29"/>
      <c r="P58" s="29"/>
      <c r="Q58" s="29"/>
      <c r="R58" s="38"/>
      <c r="BR58"/>
      <c r="BS58"/>
      <c r="BT58"/>
      <c r="BU58"/>
      <c r="BV58"/>
      <c r="BW58"/>
      <c r="BX58"/>
      <c r="BY58"/>
      <c r="BZ58"/>
      <c r="CA58"/>
    </row>
    <row r="59" spans="1:79" s="39" customFormat="1" x14ac:dyDescent="0.25">
      <c r="A59" s="5"/>
      <c r="B59" s="25"/>
      <c r="C59" s="25"/>
      <c r="D59" s="25"/>
      <c r="E59" s="25"/>
      <c r="F59" s="16"/>
      <c r="G59" s="31"/>
      <c r="H59" s="29"/>
      <c r="I59" s="29"/>
      <c r="J59" s="29"/>
      <c r="K59" s="29"/>
      <c r="L59" s="29"/>
      <c r="M59" s="29"/>
      <c r="N59" s="29"/>
      <c r="O59" s="29"/>
      <c r="P59" s="29"/>
      <c r="Q59" s="29"/>
      <c r="R59" s="38"/>
      <c r="BR59"/>
      <c r="BS59"/>
      <c r="BT59"/>
      <c r="BU59"/>
      <c r="BV59"/>
      <c r="BW59"/>
      <c r="BX59"/>
      <c r="BY59"/>
      <c r="BZ59"/>
      <c r="CA59"/>
    </row>
    <row r="60" spans="1:79" s="39" customFormat="1" x14ac:dyDescent="0.25">
      <c r="A60" s="5"/>
      <c r="B60" s="25"/>
      <c r="C60" s="25"/>
      <c r="D60" s="25"/>
      <c r="E60" s="25"/>
      <c r="F60" s="16"/>
      <c r="G60" s="31"/>
      <c r="H60" s="29"/>
      <c r="I60" s="29"/>
      <c r="J60" s="29"/>
      <c r="K60" s="29"/>
      <c r="L60" s="29"/>
      <c r="M60" s="29"/>
      <c r="N60" s="29"/>
      <c r="O60" s="29"/>
      <c r="P60" s="29"/>
      <c r="Q60" s="29"/>
      <c r="R60" s="38"/>
      <c r="BR60"/>
      <c r="BS60"/>
      <c r="BT60"/>
      <c r="BU60"/>
      <c r="BV60"/>
      <c r="BW60"/>
      <c r="BX60"/>
      <c r="BY60"/>
      <c r="BZ60"/>
      <c r="CA60"/>
    </row>
    <row r="61" spans="1:79" s="39" customFormat="1" x14ac:dyDescent="0.25">
      <c r="A61" s="5"/>
      <c r="B61" s="25"/>
      <c r="C61" s="25"/>
      <c r="D61" s="25"/>
      <c r="E61" s="25"/>
      <c r="F61" s="16"/>
      <c r="G61" s="31"/>
      <c r="H61" s="29"/>
      <c r="I61" s="29"/>
      <c r="J61" s="29"/>
      <c r="K61" s="29"/>
      <c r="L61" s="29"/>
      <c r="M61" s="29"/>
      <c r="N61" s="29"/>
      <c r="O61" s="29"/>
      <c r="P61" s="29"/>
      <c r="Q61" s="29"/>
      <c r="R61" s="38"/>
      <c r="BR61"/>
      <c r="BS61"/>
      <c r="BT61"/>
      <c r="BU61"/>
      <c r="BV61"/>
      <c r="BW61"/>
      <c r="BX61"/>
      <c r="BY61"/>
      <c r="BZ61"/>
      <c r="CA61"/>
    </row>
    <row r="62" spans="1:79" s="39" customFormat="1" x14ac:dyDescent="0.25">
      <c r="A62" s="5"/>
      <c r="B62" s="25"/>
      <c r="C62" s="25"/>
      <c r="D62" s="25"/>
      <c r="E62" s="25"/>
      <c r="F62" s="16"/>
      <c r="G62" s="31"/>
      <c r="H62" s="29"/>
      <c r="I62" s="29"/>
      <c r="J62" s="29"/>
      <c r="K62" s="29"/>
      <c r="L62" s="29"/>
      <c r="M62" s="29"/>
      <c r="N62" s="29"/>
      <c r="O62" s="29"/>
      <c r="P62" s="29"/>
      <c r="Q62" s="29"/>
      <c r="R62" s="38"/>
      <c r="BR62"/>
      <c r="BS62"/>
      <c r="BT62"/>
      <c r="BU62"/>
      <c r="BV62"/>
      <c r="BW62"/>
      <c r="BX62"/>
      <c r="BY62"/>
      <c r="BZ62"/>
      <c r="CA62"/>
    </row>
    <row r="63" spans="1:79" s="39" customFormat="1" x14ac:dyDescent="0.25">
      <c r="A63" s="5"/>
      <c r="B63" s="25"/>
      <c r="C63" s="25"/>
      <c r="D63" s="25"/>
      <c r="E63" s="25"/>
      <c r="F63" s="16"/>
      <c r="G63" s="31"/>
      <c r="H63" s="29"/>
      <c r="I63" s="29"/>
      <c r="J63" s="29"/>
      <c r="K63" s="29"/>
      <c r="L63" s="29"/>
      <c r="M63" s="29"/>
      <c r="N63" s="29"/>
      <c r="O63" s="29"/>
      <c r="P63" s="29"/>
      <c r="Q63" s="29"/>
      <c r="R63" s="38"/>
      <c r="BR63"/>
      <c r="BS63"/>
      <c r="BT63"/>
      <c r="BU63"/>
      <c r="BV63"/>
      <c r="BW63"/>
      <c r="BX63"/>
      <c r="BY63"/>
      <c r="BZ63"/>
      <c r="CA63"/>
    </row>
    <row r="64" spans="1:79" s="39" customFormat="1" x14ac:dyDescent="0.25">
      <c r="A64" s="5"/>
      <c r="B64" s="25"/>
      <c r="C64" s="25"/>
      <c r="D64" s="25"/>
      <c r="E64" s="25"/>
      <c r="F64" s="16"/>
      <c r="G64" s="31"/>
      <c r="H64" s="29"/>
      <c r="I64" s="29"/>
      <c r="J64" s="29"/>
      <c r="K64" s="29"/>
      <c r="L64" s="29"/>
      <c r="M64" s="29"/>
      <c r="N64" s="29"/>
      <c r="O64" s="29"/>
      <c r="P64" s="29"/>
      <c r="Q64" s="29"/>
      <c r="R64" s="38"/>
      <c r="BR64"/>
      <c r="BS64"/>
      <c r="BT64"/>
      <c r="BU64"/>
      <c r="BV64"/>
      <c r="BW64"/>
      <c r="BX64"/>
      <c r="BY64"/>
      <c r="BZ64"/>
      <c r="CA64"/>
    </row>
    <row r="65" spans="1:79" s="39" customFormat="1" x14ac:dyDescent="0.25">
      <c r="A65" s="5"/>
      <c r="B65" s="25"/>
      <c r="C65" s="25"/>
      <c r="D65" s="25"/>
      <c r="E65" s="25"/>
      <c r="F65" s="16"/>
      <c r="G65" s="31"/>
      <c r="H65" s="29"/>
      <c r="I65" s="29"/>
      <c r="J65" s="29"/>
      <c r="K65" s="29"/>
      <c r="L65" s="29"/>
      <c r="M65" s="29"/>
      <c r="N65" s="29"/>
      <c r="O65" s="29"/>
      <c r="P65" s="29"/>
      <c r="Q65" s="29"/>
      <c r="R65" s="38"/>
      <c r="BR65"/>
      <c r="BS65"/>
      <c r="BT65"/>
      <c r="BU65"/>
      <c r="BV65"/>
      <c r="BW65"/>
      <c r="BX65"/>
      <c r="BY65"/>
      <c r="BZ65"/>
      <c r="CA65"/>
    </row>
    <row r="66" spans="1:79" s="39" customFormat="1" x14ac:dyDescent="0.25">
      <c r="A66" s="5"/>
      <c r="B66" s="25"/>
      <c r="C66" s="25"/>
      <c r="D66" s="25"/>
      <c r="E66" s="25"/>
      <c r="F66" s="16"/>
      <c r="G66" s="31"/>
      <c r="H66" s="29"/>
      <c r="I66" s="29"/>
      <c r="J66" s="29"/>
      <c r="K66" s="29"/>
      <c r="L66" s="29"/>
      <c r="M66" s="29"/>
      <c r="N66" s="29"/>
      <c r="O66" s="29"/>
      <c r="P66" s="29"/>
      <c r="Q66" s="29"/>
      <c r="R66" s="38"/>
      <c r="BR66"/>
      <c r="BS66"/>
      <c r="BT66"/>
      <c r="BU66"/>
      <c r="BV66"/>
      <c r="BW66"/>
      <c r="BX66"/>
      <c r="BY66"/>
      <c r="BZ66"/>
      <c r="CA66"/>
    </row>
    <row r="67" spans="1:79" s="39" customFormat="1" x14ac:dyDescent="0.25">
      <c r="A67" s="5"/>
      <c r="B67" s="25"/>
      <c r="C67" s="25"/>
      <c r="D67" s="25"/>
      <c r="E67" s="25"/>
      <c r="F67" s="16"/>
      <c r="G67" s="31"/>
      <c r="H67" s="29"/>
      <c r="I67" s="29"/>
      <c r="J67" s="29"/>
      <c r="K67" s="29"/>
      <c r="L67" s="29"/>
      <c r="M67" s="29"/>
      <c r="N67" s="29"/>
      <c r="O67" s="29"/>
      <c r="P67" s="29"/>
      <c r="Q67" s="29"/>
      <c r="R67" s="38"/>
      <c r="BR67"/>
      <c r="BS67"/>
      <c r="BT67"/>
      <c r="BU67"/>
      <c r="BV67"/>
      <c r="BW67"/>
      <c r="BX67"/>
      <c r="BY67"/>
      <c r="BZ67"/>
      <c r="CA67"/>
    </row>
    <row r="68" spans="1:79" s="39" customFormat="1" x14ac:dyDescent="0.25">
      <c r="A68" s="5"/>
      <c r="B68" s="25"/>
      <c r="C68" s="25"/>
      <c r="D68" s="25"/>
      <c r="E68" s="25"/>
      <c r="F68" s="16"/>
      <c r="G68" s="31"/>
      <c r="H68" s="29"/>
      <c r="I68" s="29"/>
      <c r="J68" s="29"/>
      <c r="K68" s="29"/>
      <c r="L68" s="29"/>
      <c r="M68" s="29"/>
      <c r="N68" s="29"/>
      <c r="O68" s="29"/>
      <c r="P68" s="29"/>
      <c r="Q68" s="29"/>
      <c r="R68" s="38"/>
      <c r="BR68"/>
      <c r="BS68"/>
      <c r="BT68"/>
      <c r="BU68"/>
      <c r="BV68"/>
      <c r="BW68"/>
      <c r="BX68"/>
      <c r="BY68"/>
      <c r="BZ68"/>
      <c r="CA68"/>
    </row>
    <row r="69" spans="1:79" s="39" customFormat="1" x14ac:dyDescent="0.25">
      <c r="A69" s="5"/>
      <c r="B69" s="25"/>
      <c r="C69" s="25"/>
      <c r="D69" s="25"/>
      <c r="E69" s="25"/>
      <c r="F69" s="16"/>
      <c r="G69" s="31"/>
      <c r="H69" s="29"/>
      <c r="I69" s="29"/>
      <c r="J69" s="29"/>
      <c r="K69" s="29"/>
      <c r="L69" s="29"/>
      <c r="M69" s="29"/>
      <c r="N69" s="29"/>
      <c r="O69" s="29"/>
      <c r="P69" s="29"/>
      <c r="Q69" s="29"/>
      <c r="R69" s="38"/>
      <c r="BR69"/>
      <c r="BS69"/>
      <c r="BT69"/>
      <c r="BU69"/>
      <c r="BV69"/>
      <c r="BW69"/>
      <c r="BX69"/>
      <c r="BY69"/>
      <c r="BZ69"/>
      <c r="CA69"/>
    </row>
    <row r="70" spans="1:79" s="39" customFormat="1" x14ac:dyDescent="0.25">
      <c r="A70" s="5"/>
      <c r="B70" s="25"/>
      <c r="C70" s="25"/>
      <c r="D70" s="25"/>
      <c r="E70" s="25"/>
      <c r="F70" s="16"/>
      <c r="G70" s="31"/>
      <c r="H70" s="29"/>
      <c r="I70" s="29"/>
      <c r="J70" s="29"/>
      <c r="K70" s="29"/>
      <c r="L70" s="29"/>
      <c r="M70" s="29"/>
      <c r="N70" s="29"/>
      <c r="O70" s="29"/>
      <c r="P70" s="29"/>
      <c r="Q70" s="29"/>
      <c r="R70" s="38"/>
      <c r="BR70"/>
      <c r="BS70"/>
      <c r="BT70"/>
      <c r="BU70"/>
      <c r="BV70"/>
      <c r="BW70"/>
      <c r="BX70"/>
      <c r="BY70"/>
      <c r="BZ70"/>
      <c r="CA70"/>
    </row>
    <row r="71" spans="1:79" s="39" customFormat="1" x14ac:dyDescent="0.25">
      <c r="A71" s="5"/>
      <c r="B71" s="25"/>
      <c r="C71" s="25"/>
      <c r="D71" s="25"/>
      <c r="E71" s="25"/>
      <c r="F71" s="16"/>
      <c r="G71" s="31"/>
      <c r="H71" s="29"/>
      <c r="I71" s="29"/>
      <c r="J71" s="29"/>
      <c r="K71" s="29"/>
      <c r="L71" s="29"/>
      <c r="M71" s="29"/>
      <c r="N71" s="29"/>
      <c r="O71" s="29"/>
      <c r="P71" s="29"/>
      <c r="Q71" s="29"/>
      <c r="R71" s="38"/>
      <c r="BR71"/>
      <c r="BS71"/>
      <c r="BT71"/>
      <c r="BU71"/>
      <c r="BV71"/>
      <c r="BW71"/>
      <c r="BX71"/>
      <c r="BY71"/>
      <c r="BZ71"/>
      <c r="CA71"/>
    </row>
    <row r="72" spans="1:79" s="39" customFormat="1" x14ac:dyDescent="0.25">
      <c r="A72" s="5"/>
      <c r="B72" s="25"/>
      <c r="C72" s="25"/>
      <c r="D72" s="25"/>
      <c r="E72" s="25"/>
      <c r="F72" s="16"/>
      <c r="G72" s="31"/>
      <c r="H72" s="29"/>
      <c r="I72" s="29"/>
      <c r="J72" s="29"/>
      <c r="K72" s="29"/>
      <c r="L72" s="29"/>
      <c r="M72" s="29"/>
      <c r="N72" s="29"/>
      <c r="O72" s="29"/>
      <c r="P72" s="29"/>
      <c r="Q72" s="29"/>
      <c r="R72" s="38"/>
      <c r="BR72"/>
      <c r="BS72"/>
      <c r="BT72"/>
      <c r="BU72"/>
      <c r="BV72"/>
      <c r="BW72"/>
      <c r="BX72"/>
      <c r="BY72"/>
      <c r="BZ72"/>
      <c r="CA72"/>
    </row>
    <row r="73" spans="1:79" s="39" customFormat="1" x14ac:dyDescent="0.25">
      <c r="A73" s="5"/>
      <c r="B73" s="25"/>
      <c r="C73" s="25"/>
      <c r="D73" s="25"/>
      <c r="E73" s="25"/>
      <c r="F73" s="16"/>
      <c r="G73" s="31"/>
      <c r="H73" s="29"/>
      <c r="I73" s="29"/>
      <c r="J73" s="29"/>
      <c r="K73" s="29"/>
      <c r="L73" s="29"/>
      <c r="M73" s="29"/>
      <c r="N73" s="29"/>
      <c r="O73" s="29"/>
      <c r="P73" s="29"/>
      <c r="Q73" s="29"/>
      <c r="R73" s="38"/>
      <c r="BR73"/>
      <c r="BS73"/>
      <c r="BT73"/>
      <c r="BU73"/>
      <c r="BV73"/>
      <c r="BW73"/>
      <c r="BX73"/>
      <c r="BY73"/>
      <c r="BZ73"/>
      <c r="CA73"/>
    </row>
    <row r="74" spans="1:79" s="39" customFormat="1" x14ac:dyDescent="0.25">
      <c r="A74" s="5"/>
      <c r="B74" s="13"/>
      <c r="C74" s="13"/>
      <c r="D74" s="13"/>
      <c r="E74" s="13"/>
      <c r="F74" s="9"/>
      <c r="G74" s="29"/>
      <c r="H74" s="29"/>
      <c r="I74" s="29"/>
      <c r="J74" s="29"/>
      <c r="K74" s="29"/>
      <c r="L74" s="29"/>
      <c r="M74" s="29"/>
      <c r="N74" s="29"/>
      <c r="O74" s="29"/>
      <c r="P74" s="29"/>
      <c r="Q74" s="29"/>
      <c r="R74" s="38"/>
      <c r="BR74"/>
      <c r="BS74"/>
      <c r="BT74"/>
      <c r="BU74"/>
      <c r="BV74"/>
      <c r="BW74"/>
      <c r="BX74"/>
      <c r="BY74"/>
      <c r="BZ74"/>
      <c r="CA74"/>
    </row>
    <row r="75" spans="1:79" s="39" customFormat="1" x14ac:dyDescent="0.25">
      <c r="A75" s="5"/>
      <c r="B75" s="13"/>
      <c r="C75" s="13"/>
      <c r="D75" s="13"/>
      <c r="E75" s="13"/>
      <c r="F75" s="9"/>
      <c r="G75" s="29"/>
      <c r="H75" s="29"/>
      <c r="I75" s="29"/>
      <c r="J75" s="29"/>
      <c r="K75" s="29"/>
      <c r="L75" s="29"/>
      <c r="M75" s="29"/>
      <c r="N75" s="29"/>
      <c r="O75" s="29"/>
      <c r="P75" s="29"/>
      <c r="Q75" s="29"/>
      <c r="R75" s="38"/>
      <c r="BR75"/>
      <c r="BS75"/>
      <c r="BT75"/>
      <c r="BU75"/>
      <c r="BV75"/>
      <c r="BW75"/>
      <c r="BX75"/>
      <c r="BY75"/>
      <c r="BZ75"/>
      <c r="CA75"/>
    </row>
    <row r="76" spans="1:79" s="39" customFormat="1" x14ac:dyDescent="0.25">
      <c r="A76" s="5"/>
      <c r="B76" s="13"/>
      <c r="C76" s="13"/>
      <c r="D76" s="13"/>
      <c r="E76" s="13"/>
      <c r="F76" s="9"/>
      <c r="G76" s="29"/>
      <c r="H76" s="29"/>
      <c r="I76" s="29"/>
      <c r="J76" s="29"/>
      <c r="K76" s="29"/>
      <c r="L76" s="29"/>
      <c r="M76" s="29"/>
      <c r="N76" s="29"/>
      <c r="O76" s="29"/>
      <c r="P76" s="29"/>
      <c r="Q76" s="29"/>
      <c r="R76" s="38"/>
      <c r="BR76"/>
      <c r="BS76"/>
      <c r="BT76"/>
      <c r="BU76"/>
      <c r="BV76"/>
      <c r="BW76"/>
      <c r="BX76"/>
      <c r="BY76"/>
      <c r="BZ76"/>
      <c r="CA76"/>
    </row>
    <row r="77" spans="1:79" s="39" customFormat="1" x14ac:dyDescent="0.25">
      <c r="A77" s="5"/>
      <c r="B77" s="13"/>
      <c r="C77" s="13"/>
      <c r="D77" s="13"/>
      <c r="E77" s="13"/>
      <c r="F77" s="9"/>
      <c r="G77" s="29"/>
      <c r="H77" s="29"/>
      <c r="I77" s="29"/>
      <c r="J77" s="29"/>
      <c r="K77" s="29"/>
      <c r="L77" s="29"/>
      <c r="M77" s="29"/>
      <c r="N77" s="29"/>
      <c r="O77" s="29"/>
      <c r="P77" s="29"/>
      <c r="Q77" s="29"/>
      <c r="R77" s="38"/>
      <c r="BR77"/>
      <c r="BS77"/>
      <c r="BT77"/>
      <c r="BU77"/>
      <c r="BV77"/>
      <c r="BW77"/>
      <c r="BX77"/>
      <c r="BY77"/>
      <c r="BZ77"/>
      <c r="CA77"/>
    </row>
    <row r="78" spans="1:79" s="39" customFormat="1" x14ac:dyDescent="0.25">
      <c r="A78" s="5"/>
      <c r="B78" s="13"/>
      <c r="C78" s="13"/>
      <c r="D78" s="13"/>
      <c r="E78" s="13"/>
      <c r="F78" s="9"/>
      <c r="G78" s="29"/>
      <c r="H78" s="29"/>
      <c r="I78" s="29"/>
      <c r="J78" s="29"/>
      <c r="K78" s="29"/>
      <c r="L78" s="29"/>
      <c r="M78" s="29"/>
      <c r="N78" s="29"/>
      <c r="O78" s="29"/>
      <c r="P78" s="29"/>
      <c r="Q78" s="29"/>
      <c r="R78" s="38"/>
      <c r="BR78"/>
      <c r="BS78"/>
      <c r="BT78"/>
      <c r="BU78"/>
      <c r="BV78"/>
      <c r="BW78"/>
      <c r="BX78"/>
      <c r="BY78"/>
      <c r="BZ78"/>
      <c r="CA78"/>
    </row>
    <row r="79" spans="1:79" s="39" customFormat="1" x14ac:dyDescent="0.25">
      <c r="A79" s="5"/>
      <c r="B79" s="13"/>
      <c r="C79" s="13"/>
      <c r="D79" s="13"/>
      <c r="E79" s="13"/>
      <c r="F79" s="9"/>
      <c r="G79" s="29"/>
      <c r="H79" s="29"/>
      <c r="I79" s="29"/>
      <c r="J79" s="29"/>
      <c r="K79" s="29"/>
      <c r="L79" s="29"/>
      <c r="M79" s="29"/>
      <c r="N79" s="29"/>
      <c r="O79" s="29"/>
      <c r="P79" s="29"/>
      <c r="Q79" s="29"/>
      <c r="R79" s="38"/>
      <c r="BR79"/>
      <c r="BS79"/>
      <c r="BT79"/>
      <c r="BU79"/>
      <c r="BV79"/>
      <c r="BW79"/>
      <c r="BX79"/>
      <c r="BY79"/>
      <c r="BZ79"/>
      <c r="CA79"/>
    </row>
    <row r="80" spans="1:79" s="39" customFormat="1" x14ac:dyDescent="0.25">
      <c r="A80" s="5"/>
      <c r="B80" s="13"/>
      <c r="C80" s="13"/>
      <c r="D80" s="13"/>
      <c r="E80" s="13"/>
      <c r="F80" s="9"/>
      <c r="G80" s="29"/>
      <c r="H80" s="29"/>
      <c r="I80" s="29"/>
      <c r="J80" s="29"/>
      <c r="K80" s="29"/>
      <c r="L80" s="29"/>
      <c r="M80" s="29"/>
      <c r="N80" s="29"/>
      <c r="O80" s="29"/>
      <c r="P80" s="29"/>
      <c r="Q80" s="29"/>
      <c r="R80" s="38"/>
      <c r="BR80"/>
      <c r="BS80"/>
      <c r="BT80"/>
      <c r="BU80"/>
      <c r="BV80"/>
      <c r="BW80"/>
      <c r="BX80"/>
      <c r="BY80"/>
      <c r="BZ80"/>
      <c r="CA80"/>
    </row>
    <row r="81" spans="1:79" s="39" customFormat="1" x14ac:dyDescent="0.25">
      <c r="A81" s="5"/>
      <c r="B81" s="13"/>
      <c r="C81" s="13"/>
      <c r="D81" s="13"/>
      <c r="E81" s="13"/>
      <c r="F81" s="9"/>
      <c r="G81" s="29"/>
      <c r="H81" s="29"/>
      <c r="I81" s="29"/>
      <c r="J81" s="29"/>
      <c r="K81" s="29"/>
      <c r="L81" s="29"/>
      <c r="M81" s="29"/>
      <c r="N81" s="29"/>
      <c r="O81" s="29"/>
      <c r="P81" s="29"/>
      <c r="Q81" s="29"/>
      <c r="R81" s="38"/>
      <c r="BR81"/>
      <c r="BS81"/>
      <c r="BT81"/>
      <c r="BU81"/>
      <c r="BV81"/>
      <c r="BW81"/>
      <c r="BX81"/>
      <c r="BY81"/>
      <c r="BZ81"/>
      <c r="CA81"/>
    </row>
    <row r="82" spans="1:79" s="39" customFormat="1" x14ac:dyDescent="0.25">
      <c r="A82" s="5"/>
      <c r="B82" s="13"/>
      <c r="C82" s="13"/>
      <c r="D82" s="13"/>
      <c r="E82" s="13"/>
      <c r="F82" s="9"/>
      <c r="G82" s="29"/>
      <c r="H82" s="29"/>
      <c r="I82" s="29"/>
      <c r="J82" s="29"/>
      <c r="K82" s="29"/>
      <c r="L82" s="29"/>
      <c r="M82" s="29"/>
      <c r="N82" s="29"/>
      <c r="O82" s="29"/>
      <c r="P82" s="29"/>
      <c r="Q82" s="29"/>
      <c r="R82" s="38"/>
      <c r="BR82"/>
      <c r="BS82"/>
      <c r="BT82"/>
      <c r="BU82"/>
      <c r="BV82"/>
      <c r="BW82"/>
      <c r="BX82"/>
      <c r="BY82"/>
      <c r="BZ82"/>
      <c r="CA82"/>
    </row>
    <row r="83" spans="1:79" s="39" customFormat="1" x14ac:dyDescent="0.25">
      <c r="A83" s="5"/>
      <c r="B83" s="13"/>
      <c r="C83" s="13"/>
      <c r="D83" s="13"/>
      <c r="E83" s="13"/>
      <c r="F83" s="9"/>
      <c r="G83" s="29"/>
      <c r="H83" s="29"/>
      <c r="I83" s="29"/>
      <c r="J83" s="29"/>
      <c r="K83" s="29"/>
      <c r="L83" s="29"/>
      <c r="M83" s="29"/>
      <c r="N83" s="29"/>
      <c r="O83" s="29"/>
      <c r="P83" s="29"/>
      <c r="Q83" s="29"/>
      <c r="R83" s="38"/>
      <c r="BR83"/>
      <c r="BS83"/>
      <c r="BT83"/>
      <c r="BU83"/>
      <c r="BV83"/>
      <c r="BW83"/>
      <c r="BX83"/>
      <c r="BY83"/>
      <c r="BZ83"/>
      <c r="CA83"/>
    </row>
    <row r="84" spans="1:79" s="39" customFormat="1" x14ac:dyDescent="0.25">
      <c r="A84" s="5"/>
      <c r="B84" s="13"/>
      <c r="C84" s="13"/>
      <c r="D84" s="13"/>
      <c r="E84" s="13"/>
      <c r="F84" s="9"/>
      <c r="G84" s="29"/>
      <c r="H84" s="29"/>
      <c r="I84" s="29"/>
      <c r="J84" s="29"/>
      <c r="K84" s="29"/>
      <c r="L84" s="29"/>
      <c r="M84" s="29"/>
      <c r="N84" s="29"/>
      <c r="O84" s="29"/>
      <c r="P84" s="29"/>
      <c r="Q84" s="29"/>
      <c r="R84" s="38"/>
      <c r="BR84"/>
      <c r="BS84"/>
      <c r="BT84"/>
      <c r="BU84"/>
      <c r="BV84"/>
      <c r="BW84"/>
      <c r="BX84"/>
      <c r="BY84"/>
      <c r="BZ84"/>
      <c r="CA84"/>
    </row>
    <row r="85" spans="1:79" s="39" customFormat="1" x14ac:dyDescent="0.25">
      <c r="A85" s="5"/>
      <c r="B85" s="13"/>
      <c r="C85" s="13"/>
      <c r="D85" s="13"/>
      <c r="E85" s="13"/>
      <c r="F85" s="9"/>
      <c r="G85" s="29"/>
      <c r="H85" s="29"/>
      <c r="I85" s="29"/>
      <c r="J85" s="29"/>
      <c r="K85" s="29"/>
      <c r="L85" s="29"/>
      <c r="M85" s="29"/>
      <c r="N85" s="29"/>
      <c r="O85" s="29"/>
      <c r="P85" s="29"/>
      <c r="Q85" s="29"/>
      <c r="R85" s="38"/>
      <c r="BR85"/>
      <c r="BS85"/>
      <c r="BT85"/>
      <c r="BU85"/>
      <c r="BV85"/>
      <c r="BW85"/>
      <c r="BX85"/>
      <c r="BY85"/>
      <c r="BZ85"/>
      <c r="CA85"/>
    </row>
    <row r="86" spans="1:79" s="39" customFormat="1" x14ac:dyDescent="0.25">
      <c r="A86" s="5"/>
      <c r="B86" s="13"/>
      <c r="C86" s="13"/>
      <c r="D86" s="13"/>
      <c r="E86" s="13"/>
      <c r="F86" s="9"/>
      <c r="G86" s="29"/>
      <c r="H86" s="29"/>
      <c r="I86" s="29"/>
      <c r="J86" s="29"/>
      <c r="K86" s="29"/>
      <c r="L86" s="29"/>
      <c r="M86" s="29"/>
      <c r="N86" s="29"/>
      <c r="O86" s="29"/>
      <c r="P86" s="29"/>
      <c r="Q86" s="29"/>
      <c r="R86" s="38"/>
      <c r="BR86"/>
      <c r="BS86"/>
      <c r="BT86"/>
      <c r="BU86"/>
      <c r="BV86"/>
      <c r="BW86"/>
      <c r="BX86"/>
      <c r="BY86"/>
      <c r="BZ86"/>
      <c r="CA86"/>
    </row>
    <row r="87" spans="1:79" s="39" customFormat="1" x14ac:dyDescent="0.25">
      <c r="A87" s="5"/>
      <c r="B87" s="13"/>
      <c r="C87" s="13"/>
      <c r="D87" s="13"/>
      <c r="E87" s="13"/>
      <c r="F87" s="9"/>
      <c r="G87" s="29"/>
      <c r="H87" s="29"/>
      <c r="I87" s="29"/>
      <c r="J87" s="29"/>
      <c r="K87" s="29"/>
      <c r="L87" s="29"/>
      <c r="M87" s="29"/>
      <c r="N87" s="29"/>
      <c r="O87" s="29"/>
      <c r="P87" s="29"/>
      <c r="Q87" s="29"/>
      <c r="R87" s="38"/>
      <c r="BR87"/>
      <c r="BS87"/>
      <c r="BT87"/>
      <c r="BU87"/>
      <c r="BV87"/>
      <c r="BW87"/>
      <c r="BX87"/>
      <c r="BY87"/>
      <c r="BZ87"/>
      <c r="CA87"/>
    </row>
    <row r="88" spans="1:79" s="39" customFormat="1" x14ac:dyDescent="0.25">
      <c r="A88" s="5"/>
      <c r="B88" s="13"/>
      <c r="C88" s="13"/>
      <c r="D88" s="13"/>
      <c r="E88" s="13"/>
      <c r="F88" s="9"/>
      <c r="G88" s="29"/>
      <c r="H88" s="29"/>
      <c r="I88" s="29"/>
      <c r="J88" s="29"/>
      <c r="K88" s="29"/>
      <c r="L88" s="29"/>
      <c r="M88" s="29"/>
      <c r="N88" s="29"/>
      <c r="O88" s="29"/>
      <c r="P88" s="29"/>
      <c r="Q88" s="29"/>
      <c r="R88" s="38"/>
      <c r="BR88"/>
      <c r="BS88"/>
      <c r="BT88"/>
      <c r="BU88"/>
      <c r="BV88"/>
      <c r="BW88"/>
      <c r="BX88"/>
      <c r="BY88"/>
      <c r="BZ88"/>
      <c r="CA88"/>
    </row>
    <row r="89" spans="1:79" s="39" customFormat="1" x14ac:dyDescent="0.25">
      <c r="A89" s="5"/>
      <c r="B89" s="13"/>
      <c r="C89" s="13"/>
      <c r="D89" s="13"/>
      <c r="E89" s="13"/>
      <c r="F89" s="9"/>
      <c r="G89" s="29"/>
      <c r="H89" s="29"/>
      <c r="I89" s="29"/>
      <c r="J89" s="29"/>
      <c r="K89" s="29"/>
      <c r="L89" s="29"/>
      <c r="M89" s="29"/>
      <c r="N89" s="29"/>
      <c r="O89" s="29"/>
      <c r="P89" s="29"/>
      <c r="Q89" s="29"/>
      <c r="R89" s="38"/>
      <c r="BR89"/>
      <c r="BS89"/>
      <c r="BT89"/>
      <c r="BU89"/>
      <c r="BV89"/>
      <c r="BW89"/>
      <c r="BX89"/>
      <c r="BY89"/>
      <c r="BZ89"/>
      <c r="CA89"/>
    </row>
    <row r="90" spans="1:79" s="39" customFormat="1" x14ac:dyDescent="0.25">
      <c r="A90" s="5"/>
      <c r="B90" s="13"/>
      <c r="C90" s="13"/>
      <c r="D90" s="13"/>
      <c r="E90" s="13"/>
      <c r="F90" s="9"/>
      <c r="G90" s="29"/>
      <c r="H90" s="29"/>
      <c r="I90" s="29"/>
      <c r="J90" s="29"/>
      <c r="K90" s="29"/>
      <c r="L90" s="29"/>
      <c r="M90" s="29"/>
      <c r="N90" s="29"/>
      <c r="O90" s="29"/>
      <c r="P90" s="29"/>
      <c r="Q90" s="29"/>
      <c r="R90" s="38"/>
      <c r="BR90"/>
      <c r="BS90"/>
      <c r="BT90"/>
      <c r="BU90"/>
      <c r="BV90"/>
      <c r="BW90"/>
      <c r="BX90"/>
      <c r="BY90"/>
      <c r="BZ90"/>
      <c r="CA90"/>
    </row>
    <row r="91" spans="1:79" s="39" customFormat="1" x14ac:dyDescent="0.25">
      <c r="A91" s="5"/>
      <c r="B91" s="13"/>
      <c r="C91" s="13"/>
      <c r="D91" s="13"/>
      <c r="E91" s="13"/>
      <c r="F91" s="9"/>
      <c r="G91" s="29"/>
      <c r="H91" s="29"/>
      <c r="I91" s="29"/>
      <c r="J91" s="29"/>
      <c r="K91" s="29"/>
      <c r="L91" s="29"/>
      <c r="M91" s="29"/>
      <c r="N91" s="29"/>
      <c r="O91" s="29"/>
      <c r="P91" s="29"/>
      <c r="Q91" s="29"/>
      <c r="R91" s="38"/>
      <c r="BR91"/>
      <c r="BS91"/>
      <c r="BT91"/>
      <c r="BU91"/>
      <c r="BV91"/>
      <c r="BW91"/>
      <c r="BX91"/>
      <c r="BY91"/>
      <c r="BZ91"/>
      <c r="CA91"/>
    </row>
    <row r="92" spans="1:79" s="39" customFormat="1" x14ac:dyDescent="0.25">
      <c r="A92" s="5"/>
      <c r="B92" s="13"/>
      <c r="C92" s="13"/>
      <c r="D92" s="13"/>
      <c r="E92" s="13"/>
      <c r="F92" s="9"/>
      <c r="G92" s="29"/>
      <c r="H92" s="29"/>
      <c r="I92" s="29"/>
      <c r="J92" s="29"/>
      <c r="K92" s="29"/>
      <c r="L92" s="29"/>
      <c r="M92" s="29"/>
      <c r="N92" s="29"/>
      <c r="O92" s="29"/>
      <c r="P92" s="29"/>
      <c r="Q92" s="29"/>
      <c r="R92" s="38"/>
      <c r="BR92"/>
      <c r="BS92"/>
      <c r="BT92"/>
      <c r="BU92"/>
      <c r="BV92"/>
      <c r="BW92"/>
      <c r="BX92"/>
      <c r="BY92"/>
      <c r="BZ92"/>
      <c r="CA92"/>
    </row>
    <row r="93" spans="1:79" s="39" customFormat="1" x14ac:dyDescent="0.25">
      <c r="A93" s="5"/>
      <c r="B93" s="13"/>
      <c r="C93" s="13"/>
      <c r="D93" s="13"/>
      <c r="E93" s="13"/>
      <c r="F93" s="9"/>
      <c r="G93" s="29"/>
      <c r="H93" s="29"/>
      <c r="I93" s="29"/>
      <c r="J93" s="29"/>
      <c r="K93" s="29"/>
      <c r="L93" s="29"/>
      <c r="M93" s="29"/>
      <c r="N93" s="29"/>
      <c r="O93" s="29"/>
      <c r="P93" s="29"/>
      <c r="Q93" s="29"/>
      <c r="R93" s="38"/>
      <c r="BR93"/>
      <c r="BS93"/>
      <c r="BT93"/>
      <c r="BU93"/>
      <c r="BV93"/>
      <c r="BW93"/>
      <c r="BX93"/>
      <c r="BY93"/>
      <c r="BZ93"/>
      <c r="CA93"/>
    </row>
    <row r="94" spans="1:79" s="39" customFormat="1" x14ac:dyDescent="0.25">
      <c r="A94" s="5"/>
      <c r="B94" s="13"/>
      <c r="C94" s="13"/>
      <c r="D94" s="13"/>
      <c r="E94" s="13"/>
      <c r="F94" s="9"/>
      <c r="G94" s="29"/>
      <c r="H94" s="29"/>
      <c r="I94" s="29"/>
      <c r="J94" s="29"/>
      <c r="K94" s="29"/>
      <c r="L94" s="29"/>
      <c r="M94" s="29"/>
      <c r="N94" s="29"/>
      <c r="O94" s="29"/>
      <c r="P94" s="29"/>
      <c r="Q94" s="29"/>
      <c r="R94" s="38"/>
      <c r="BR94"/>
      <c r="BS94"/>
      <c r="BT94"/>
      <c r="BU94"/>
      <c r="BV94"/>
      <c r="BW94"/>
      <c r="BX94"/>
      <c r="BY94"/>
      <c r="BZ94"/>
      <c r="CA94"/>
    </row>
    <row r="95" spans="1:79" s="39" customFormat="1" x14ac:dyDescent="0.25">
      <c r="A95" s="5"/>
      <c r="B95" s="13"/>
      <c r="C95" s="13"/>
      <c r="D95" s="13"/>
      <c r="E95" s="13"/>
      <c r="F95" s="9"/>
      <c r="G95" s="29"/>
      <c r="H95" s="29"/>
      <c r="I95" s="29"/>
      <c r="J95" s="29"/>
      <c r="K95" s="29"/>
      <c r="L95" s="29"/>
      <c r="M95" s="29"/>
      <c r="N95" s="29"/>
      <c r="O95" s="29"/>
      <c r="P95" s="29"/>
      <c r="Q95" s="29"/>
      <c r="R95" s="38"/>
      <c r="BR95"/>
      <c r="BS95"/>
      <c r="BT95"/>
      <c r="BU95"/>
      <c r="BV95"/>
      <c r="BW95"/>
      <c r="BX95"/>
      <c r="BY95"/>
      <c r="BZ95"/>
      <c r="CA95"/>
    </row>
    <row r="96" spans="1:79" s="39" customFormat="1" x14ac:dyDescent="0.25">
      <c r="A96" s="5"/>
      <c r="B96" s="13"/>
      <c r="C96" s="13"/>
      <c r="D96" s="13"/>
      <c r="E96" s="13"/>
      <c r="F96" s="9"/>
      <c r="G96" s="29"/>
      <c r="H96" s="29"/>
      <c r="I96" s="29"/>
      <c r="J96" s="29"/>
      <c r="K96" s="29"/>
      <c r="L96" s="29"/>
      <c r="M96" s="29"/>
      <c r="N96" s="29"/>
      <c r="O96" s="29"/>
      <c r="P96" s="29"/>
      <c r="Q96" s="29"/>
      <c r="R96" s="38"/>
      <c r="BR96"/>
      <c r="BS96"/>
      <c r="BT96"/>
      <c r="BU96"/>
      <c r="BV96"/>
      <c r="BW96"/>
      <c r="BX96"/>
      <c r="BY96"/>
      <c r="BZ96"/>
      <c r="CA96"/>
    </row>
    <row r="97" spans="1:79" s="39" customFormat="1" x14ac:dyDescent="0.25">
      <c r="A97" s="5"/>
      <c r="B97" s="13"/>
      <c r="C97" s="13"/>
      <c r="D97" s="13"/>
      <c r="E97" s="13"/>
      <c r="F97" s="9"/>
      <c r="G97" s="29"/>
      <c r="H97" s="29"/>
      <c r="I97" s="29"/>
      <c r="J97" s="29"/>
      <c r="K97" s="29"/>
      <c r="L97" s="29"/>
      <c r="M97" s="29"/>
      <c r="N97" s="29"/>
      <c r="O97" s="29"/>
      <c r="P97" s="29"/>
      <c r="Q97" s="29"/>
      <c r="R97" s="38"/>
      <c r="BR97"/>
      <c r="BS97"/>
      <c r="BT97"/>
      <c r="BU97"/>
      <c r="BV97"/>
      <c r="BW97"/>
      <c r="BX97"/>
      <c r="BY97"/>
      <c r="BZ97"/>
      <c r="CA97"/>
    </row>
    <row r="98" spans="1:79" s="39" customFormat="1" x14ac:dyDescent="0.25">
      <c r="A98" s="5"/>
      <c r="B98" s="13"/>
      <c r="C98" s="13"/>
      <c r="D98" s="13"/>
      <c r="E98" s="13"/>
      <c r="F98" s="9"/>
      <c r="G98" s="29"/>
      <c r="H98" s="29"/>
      <c r="I98" s="29"/>
      <c r="J98" s="29"/>
      <c r="K98" s="29"/>
      <c r="L98" s="29"/>
      <c r="M98" s="29"/>
      <c r="N98" s="29"/>
      <c r="O98" s="29"/>
      <c r="P98" s="29"/>
      <c r="Q98" s="29"/>
      <c r="R98" s="38"/>
      <c r="BR98"/>
      <c r="BS98"/>
      <c r="BT98"/>
      <c r="BU98"/>
      <c r="BV98"/>
      <c r="BW98"/>
      <c r="BX98"/>
      <c r="BY98"/>
      <c r="BZ98"/>
      <c r="CA98"/>
    </row>
    <row r="99" spans="1:79" s="39" customFormat="1" x14ac:dyDescent="0.25">
      <c r="A99" s="5"/>
      <c r="B99" s="13"/>
      <c r="C99" s="13"/>
      <c r="D99" s="13"/>
      <c r="E99" s="13"/>
      <c r="F99" s="9"/>
      <c r="G99" s="29"/>
      <c r="H99" s="29"/>
      <c r="I99" s="29"/>
      <c r="J99" s="29"/>
      <c r="K99" s="29"/>
      <c r="L99" s="29"/>
      <c r="M99" s="29"/>
      <c r="N99" s="29"/>
      <c r="O99" s="29"/>
      <c r="P99" s="29"/>
      <c r="Q99" s="29"/>
      <c r="R99" s="38"/>
      <c r="BR99"/>
      <c r="BS99"/>
      <c r="BT99"/>
      <c r="BU99"/>
      <c r="BV99"/>
      <c r="BW99"/>
      <c r="BX99"/>
      <c r="BY99"/>
      <c r="BZ99"/>
      <c r="CA99"/>
    </row>
    <row r="100" spans="1:79" s="39" customFormat="1" x14ac:dyDescent="0.25">
      <c r="A100" s="5"/>
      <c r="B100" s="13"/>
      <c r="C100" s="13"/>
      <c r="D100" s="13"/>
      <c r="E100" s="13"/>
      <c r="F100" s="9"/>
      <c r="G100" s="29"/>
      <c r="H100" s="29"/>
      <c r="I100" s="29"/>
      <c r="J100" s="29"/>
      <c r="K100" s="29"/>
      <c r="L100" s="29"/>
      <c r="M100" s="29"/>
      <c r="N100" s="29"/>
      <c r="O100" s="29"/>
      <c r="P100" s="29"/>
      <c r="Q100" s="29"/>
      <c r="R100" s="38"/>
      <c r="BR100"/>
      <c r="BS100"/>
      <c r="BT100"/>
      <c r="BU100"/>
      <c r="BV100"/>
      <c r="BW100"/>
      <c r="BX100"/>
      <c r="BY100"/>
      <c r="BZ100"/>
      <c r="CA100"/>
    </row>
    <row r="101" spans="1:79" s="39" customFormat="1" x14ac:dyDescent="0.25">
      <c r="A101" s="5"/>
      <c r="B101" s="13"/>
      <c r="C101" s="13"/>
      <c r="D101" s="13"/>
      <c r="E101" s="13"/>
      <c r="F101" s="9"/>
      <c r="G101" s="29"/>
      <c r="H101" s="29"/>
      <c r="I101" s="29"/>
      <c r="J101" s="29"/>
      <c r="K101" s="29"/>
      <c r="L101" s="29"/>
      <c r="M101" s="29"/>
      <c r="N101" s="29"/>
      <c r="O101" s="29"/>
      <c r="P101" s="29"/>
      <c r="Q101" s="29"/>
      <c r="R101" s="38"/>
      <c r="BR101"/>
      <c r="BS101"/>
      <c r="BT101"/>
      <c r="BU101"/>
      <c r="BV101"/>
      <c r="BW101"/>
      <c r="BX101"/>
      <c r="BY101"/>
      <c r="BZ101"/>
      <c r="CA101"/>
    </row>
    <row r="102" spans="1:79" s="39" customFormat="1" x14ac:dyDescent="0.25">
      <c r="A102" s="5"/>
      <c r="B102" s="13"/>
      <c r="C102" s="13"/>
      <c r="D102" s="13"/>
      <c r="E102" s="13"/>
      <c r="F102" s="9"/>
      <c r="G102" s="29"/>
      <c r="H102" s="29"/>
      <c r="I102" s="29"/>
      <c r="J102" s="29"/>
      <c r="K102" s="29"/>
      <c r="L102" s="29"/>
      <c r="M102" s="29"/>
      <c r="N102" s="29"/>
      <c r="O102" s="29"/>
      <c r="P102" s="29"/>
      <c r="Q102" s="29"/>
      <c r="R102" s="38"/>
      <c r="BR102"/>
      <c r="BS102"/>
      <c r="BT102"/>
      <c r="BU102"/>
      <c r="BV102"/>
      <c r="BW102"/>
      <c r="BX102"/>
      <c r="BY102"/>
      <c r="BZ102"/>
      <c r="CA102"/>
    </row>
    <row r="103" spans="1:79" s="39" customFormat="1" x14ac:dyDescent="0.25">
      <c r="A103" s="5"/>
      <c r="B103" s="13"/>
      <c r="C103" s="13"/>
      <c r="D103" s="13"/>
      <c r="E103" s="13"/>
      <c r="F103" s="9"/>
      <c r="G103" s="29"/>
      <c r="H103" s="29"/>
      <c r="I103" s="29"/>
      <c r="J103" s="29"/>
      <c r="K103" s="29"/>
      <c r="L103" s="29"/>
      <c r="M103" s="29"/>
      <c r="N103" s="29"/>
      <c r="O103" s="29"/>
      <c r="P103" s="29"/>
      <c r="Q103" s="29"/>
      <c r="R103" s="38"/>
      <c r="BR103"/>
      <c r="BS103"/>
      <c r="BT103"/>
      <c r="BU103"/>
      <c r="BV103"/>
      <c r="BW103"/>
      <c r="BX103"/>
      <c r="BY103"/>
      <c r="BZ103"/>
      <c r="CA103"/>
    </row>
    <row r="104" spans="1:79" s="39" customFormat="1" x14ac:dyDescent="0.25">
      <c r="A104" s="5"/>
      <c r="B104" s="13"/>
      <c r="C104" s="13"/>
      <c r="D104" s="13"/>
      <c r="E104" s="13"/>
      <c r="F104" s="9"/>
      <c r="G104" s="29"/>
      <c r="H104" s="29"/>
      <c r="I104" s="29"/>
      <c r="J104" s="29"/>
      <c r="K104" s="29"/>
      <c r="L104" s="29"/>
      <c r="M104" s="29"/>
      <c r="N104" s="29"/>
      <c r="O104" s="29"/>
      <c r="P104" s="29"/>
      <c r="Q104" s="29"/>
      <c r="R104" s="38"/>
      <c r="BR104"/>
      <c r="BS104"/>
      <c r="BT104"/>
      <c r="BU104"/>
      <c r="BV104"/>
      <c r="BW104"/>
      <c r="BX104"/>
      <c r="BY104"/>
      <c r="BZ104"/>
      <c r="CA104"/>
    </row>
    <row r="105" spans="1:79" s="39" customFormat="1" x14ac:dyDescent="0.25">
      <c r="A105" s="5"/>
      <c r="B105" s="13"/>
      <c r="C105" s="13"/>
      <c r="D105" s="13"/>
      <c r="E105" s="13"/>
      <c r="F105" s="9"/>
      <c r="G105" s="29"/>
      <c r="H105" s="29"/>
      <c r="I105" s="29"/>
      <c r="J105" s="29"/>
      <c r="K105" s="29"/>
      <c r="L105" s="29"/>
      <c r="M105" s="29"/>
      <c r="N105" s="29"/>
      <c r="O105" s="29"/>
      <c r="P105" s="29"/>
      <c r="Q105" s="29"/>
      <c r="R105" s="38"/>
      <c r="BR105"/>
      <c r="BS105"/>
      <c r="BT105"/>
      <c r="BU105"/>
      <c r="BV105"/>
      <c r="BW105"/>
      <c r="BX105"/>
      <c r="BY105"/>
      <c r="BZ105"/>
      <c r="CA105"/>
    </row>
    <row r="106" spans="1:79" s="39" customFormat="1" x14ac:dyDescent="0.25">
      <c r="A106" s="5"/>
      <c r="B106" s="13"/>
      <c r="C106" s="13"/>
      <c r="D106" s="13"/>
      <c r="E106" s="13"/>
      <c r="F106" s="9"/>
      <c r="G106" s="29"/>
      <c r="H106" s="29"/>
      <c r="I106" s="29"/>
      <c r="J106" s="29"/>
      <c r="K106" s="29"/>
      <c r="L106" s="29"/>
      <c r="M106" s="29"/>
      <c r="N106" s="29"/>
      <c r="O106" s="29"/>
      <c r="P106" s="29"/>
      <c r="Q106" s="29"/>
      <c r="R106" s="38"/>
      <c r="BR106"/>
      <c r="BS106"/>
      <c r="BT106"/>
      <c r="BU106"/>
      <c r="BV106"/>
      <c r="BW106"/>
      <c r="BX106"/>
      <c r="BY106"/>
      <c r="BZ106"/>
      <c r="CA106"/>
    </row>
    <row r="107" spans="1:79" s="39" customFormat="1" x14ac:dyDescent="0.25">
      <c r="A107" s="5"/>
      <c r="B107" s="13"/>
      <c r="C107" s="13"/>
      <c r="D107" s="13"/>
      <c r="E107" s="13"/>
      <c r="F107" s="9"/>
      <c r="G107" s="32"/>
      <c r="H107" s="32"/>
      <c r="I107" s="32"/>
      <c r="J107" s="32"/>
      <c r="K107" s="29"/>
      <c r="L107" s="29"/>
      <c r="M107" s="29"/>
      <c r="N107" s="29"/>
      <c r="O107" s="29"/>
      <c r="P107" s="29"/>
      <c r="Q107" s="29"/>
      <c r="R107" s="38"/>
      <c r="BR107"/>
      <c r="BS107"/>
      <c r="BT107"/>
      <c r="BU107"/>
      <c r="BV107"/>
      <c r="BW107"/>
      <c r="BX107"/>
      <c r="BY107"/>
      <c r="BZ107"/>
      <c r="CA107"/>
    </row>
    <row r="108" spans="1:79" s="39" customFormat="1" x14ac:dyDescent="0.25">
      <c r="A108" s="5"/>
      <c r="B108" s="13"/>
      <c r="C108" s="13"/>
      <c r="D108" s="13"/>
      <c r="E108" s="13"/>
      <c r="F108" s="9"/>
      <c r="G108" s="32"/>
      <c r="H108" s="32"/>
      <c r="I108" s="32"/>
      <c r="J108" s="32"/>
      <c r="K108" s="29"/>
      <c r="L108" s="29"/>
      <c r="M108" s="29"/>
      <c r="N108" s="29"/>
      <c r="O108" s="29"/>
      <c r="P108" s="29"/>
      <c r="Q108" s="29"/>
      <c r="R108" s="38"/>
      <c r="BR108"/>
      <c r="BS108"/>
      <c r="BT108"/>
      <c r="BU108"/>
      <c r="BV108"/>
      <c r="BW108"/>
      <c r="BX108"/>
      <c r="BY108"/>
      <c r="BZ108"/>
      <c r="CA108"/>
    </row>
    <row r="109" spans="1:79" s="39" customFormat="1" x14ac:dyDescent="0.25">
      <c r="A109" s="5"/>
      <c r="B109" s="13"/>
      <c r="C109" s="13"/>
      <c r="D109" s="13"/>
      <c r="E109" s="13"/>
      <c r="F109" s="9"/>
      <c r="G109" s="32"/>
      <c r="H109" s="32"/>
      <c r="I109" s="32"/>
      <c r="J109" s="32"/>
      <c r="K109" s="29"/>
      <c r="L109" s="29"/>
      <c r="M109" s="29"/>
      <c r="N109" s="29"/>
      <c r="O109" s="29"/>
      <c r="P109" s="29"/>
      <c r="Q109" s="29"/>
      <c r="R109" s="38"/>
      <c r="BR109"/>
      <c r="BS109"/>
      <c r="BT109"/>
      <c r="BU109"/>
      <c r="BV109"/>
      <c r="BW109"/>
      <c r="BX109"/>
      <c r="BY109"/>
      <c r="BZ109"/>
      <c r="CA109"/>
    </row>
    <row r="110" spans="1:79" s="39" customFormat="1" x14ac:dyDescent="0.25">
      <c r="A110" s="5"/>
      <c r="B110" s="13"/>
      <c r="C110" s="13"/>
      <c r="D110" s="13"/>
      <c r="E110" s="13"/>
      <c r="F110" s="9"/>
      <c r="G110" s="32"/>
      <c r="H110" s="32"/>
      <c r="I110" s="32"/>
      <c r="J110" s="32"/>
      <c r="K110" s="29"/>
      <c r="L110" s="29"/>
      <c r="M110" s="29"/>
      <c r="N110" s="29"/>
      <c r="O110" s="29"/>
      <c r="P110" s="29"/>
      <c r="Q110" s="29"/>
      <c r="R110" s="38"/>
      <c r="BR110"/>
      <c r="BS110"/>
      <c r="BT110"/>
      <c r="BU110"/>
      <c r="BV110"/>
      <c r="BW110"/>
      <c r="BX110"/>
      <c r="BY110"/>
      <c r="BZ110"/>
      <c r="CA110"/>
    </row>
    <row r="111" spans="1:79" s="39" customFormat="1" x14ac:dyDescent="0.25">
      <c r="A111" s="5"/>
      <c r="B111" s="13"/>
      <c r="C111" s="13"/>
      <c r="D111" s="13"/>
      <c r="E111" s="13"/>
      <c r="F111" s="9"/>
      <c r="G111" s="32"/>
      <c r="H111" s="32"/>
      <c r="I111" s="32"/>
      <c r="J111" s="32"/>
      <c r="K111" s="29"/>
      <c r="L111" s="29"/>
      <c r="M111" s="29"/>
      <c r="N111" s="29"/>
      <c r="O111" s="29"/>
      <c r="P111" s="29"/>
      <c r="Q111" s="29"/>
      <c r="R111" s="38"/>
      <c r="BR111"/>
      <c r="BS111"/>
      <c r="BT111"/>
      <c r="BU111"/>
      <c r="BV111"/>
      <c r="BW111"/>
      <c r="BX111"/>
      <c r="BY111"/>
      <c r="BZ111"/>
      <c r="CA111"/>
    </row>
    <row r="112" spans="1:79" s="39" customFormat="1" x14ac:dyDescent="0.25">
      <c r="A112" s="5"/>
      <c r="B112" s="13"/>
      <c r="C112" s="13"/>
      <c r="D112" s="13"/>
      <c r="E112" s="13"/>
      <c r="F112" s="9"/>
      <c r="G112" s="32"/>
      <c r="H112" s="32"/>
      <c r="I112" s="32"/>
      <c r="J112" s="32"/>
      <c r="K112" s="29"/>
      <c r="L112" s="29"/>
      <c r="M112" s="29"/>
      <c r="N112" s="29"/>
      <c r="O112" s="29"/>
      <c r="P112" s="29"/>
      <c r="Q112" s="29"/>
      <c r="R112" s="38"/>
      <c r="BR112"/>
      <c r="BS112"/>
      <c r="BT112"/>
      <c r="BU112"/>
      <c r="BV112"/>
      <c r="BW112"/>
      <c r="BX112"/>
      <c r="BY112"/>
      <c r="BZ112"/>
      <c r="CA112"/>
    </row>
    <row r="113" spans="1:79" s="39" customFormat="1" x14ac:dyDescent="0.25">
      <c r="A113" s="5"/>
      <c r="B113" s="13"/>
      <c r="C113" s="13"/>
      <c r="D113" s="13"/>
      <c r="E113" s="13"/>
      <c r="F113" s="9"/>
      <c r="G113" s="32"/>
      <c r="H113" s="32"/>
      <c r="I113" s="32"/>
      <c r="J113" s="32"/>
      <c r="K113" s="29"/>
      <c r="L113" s="29"/>
      <c r="M113" s="29"/>
      <c r="N113" s="29"/>
      <c r="O113" s="29"/>
      <c r="P113" s="29"/>
      <c r="Q113" s="29"/>
      <c r="R113" s="38"/>
      <c r="BR113"/>
      <c r="BS113"/>
      <c r="BT113"/>
      <c r="BU113"/>
      <c r="BV113"/>
      <c r="BW113"/>
      <c r="BX113"/>
      <c r="BY113"/>
      <c r="BZ113"/>
      <c r="CA113"/>
    </row>
    <row r="114" spans="1:79" s="39" customFormat="1" x14ac:dyDescent="0.25">
      <c r="A114" s="5"/>
      <c r="B114" s="13"/>
      <c r="C114" s="13"/>
      <c r="D114" s="13"/>
      <c r="E114" s="13"/>
      <c r="F114" s="9"/>
      <c r="G114" s="32"/>
      <c r="H114" s="32"/>
      <c r="I114" s="32"/>
      <c r="J114" s="32"/>
      <c r="K114" s="29"/>
      <c r="L114" s="29"/>
      <c r="M114" s="29"/>
      <c r="N114" s="29"/>
      <c r="O114" s="29"/>
      <c r="P114" s="29"/>
      <c r="Q114" s="29"/>
      <c r="R114" s="38"/>
      <c r="BR114"/>
      <c r="BS114"/>
      <c r="BT114"/>
      <c r="BU114"/>
      <c r="BV114"/>
      <c r="BW114"/>
      <c r="BX114"/>
      <c r="BY114"/>
      <c r="BZ114"/>
      <c r="CA114"/>
    </row>
    <row r="115" spans="1:79" s="39" customFormat="1" x14ac:dyDescent="0.25">
      <c r="A115" s="5"/>
      <c r="B115" s="13"/>
      <c r="C115" s="13"/>
      <c r="D115" s="13"/>
      <c r="E115" s="13"/>
      <c r="F115" s="9"/>
      <c r="G115" s="32"/>
      <c r="H115" s="32"/>
      <c r="I115" s="32"/>
      <c r="J115" s="32"/>
      <c r="K115" s="29"/>
      <c r="L115" s="29"/>
      <c r="M115" s="29"/>
      <c r="N115" s="29"/>
      <c r="O115" s="29"/>
      <c r="P115" s="29"/>
      <c r="Q115" s="29"/>
      <c r="R115" s="38"/>
      <c r="BR115"/>
      <c r="BS115"/>
      <c r="BT115"/>
      <c r="BU115"/>
      <c r="BV115"/>
      <c r="BW115"/>
      <c r="BX115"/>
      <c r="BY115"/>
      <c r="BZ115"/>
      <c r="CA115"/>
    </row>
    <row r="116" spans="1:79" s="39" customFormat="1" x14ac:dyDescent="0.25">
      <c r="A116" s="5"/>
      <c r="B116" s="13"/>
      <c r="C116" s="13"/>
      <c r="D116" s="13"/>
      <c r="E116" s="13"/>
      <c r="F116" s="9"/>
      <c r="G116" s="32"/>
      <c r="H116" s="32"/>
      <c r="I116" s="32"/>
      <c r="J116" s="32"/>
      <c r="K116" s="29"/>
      <c r="L116" s="29"/>
      <c r="M116" s="29"/>
      <c r="N116" s="29"/>
      <c r="O116" s="29"/>
      <c r="P116" s="29"/>
      <c r="Q116" s="29"/>
      <c r="R116" s="38"/>
      <c r="BR116"/>
      <c r="BS116"/>
      <c r="BT116"/>
      <c r="BU116"/>
      <c r="BV116"/>
      <c r="BW116"/>
      <c r="BX116"/>
      <c r="BY116"/>
      <c r="BZ116"/>
      <c r="CA116"/>
    </row>
    <row r="117" spans="1:79" s="39" customFormat="1" x14ac:dyDescent="0.25">
      <c r="A117" s="5"/>
      <c r="B117" s="13"/>
      <c r="C117" s="13"/>
      <c r="D117" s="13"/>
      <c r="E117" s="13"/>
      <c r="F117" s="9"/>
      <c r="G117" s="32"/>
      <c r="H117" s="32"/>
      <c r="I117" s="32"/>
      <c r="J117" s="32"/>
      <c r="K117" s="29"/>
      <c r="L117" s="29"/>
      <c r="M117" s="29"/>
      <c r="N117" s="29"/>
      <c r="O117" s="29"/>
      <c r="P117" s="29"/>
      <c r="Q117" s="29"/>
      <c r="R117" s="38"/>
      <c r="BR117"/>
      <c r="BS117"/>
      <c r="BT117"/>
      <c r="BU117"/>
      <c r="BV117"/>
      <c r="BW117"/>
      <c r="BX117"/>
      <c r="BY117"/>
      <c r="BZ117"/>
      <c r="CA117"/>
    </row>
    <row r="118" spans="1:79" s="39" customFormat="1" x14ac:dyDescent="0.25">
      <c r="A118" s="5"/>
      <c r="B118" s="13"/>
      <c r="C118" s="13"/>
      <c r="D118" s="13"/>
      <c r="E118" s="13"/>
      <c r="F118" s="9"/>
      <c r="G118" s="32"/>
      <c r="H118" s="32"/>
      <c r="I118" s="32"/>
      <c r="J118" s="32"/>
      <c r="K118" s="29"/>
      <c r="L118" s="29"/>
      <c r="M118" s="29"/>
      <c r="N118" s="29"/>
      <c r="O118" s="29"/>
      <c r="P118" s="29"/>
      <c r="Q118" s="29"/>
      <c r="R118" s="38"/>
      <c r="BR118"/>
      <c r="BS118"/>
      <c r="BT118"/>
      <c r="BU118"/>
      <c r="BV118"/>
      <c r="BW118"/>
      <c r="BX118"/>
      <c r="BY118"/>
      <c r="BZ118"/>
      <c r="CA118"/>
    </row>
    <row r="119" spans="1:79" s="39" customFormat="1" x14ac:dyDescent="0.25">
      <c r="A119" s="5"/>
      <c r="B119" s="13"/>
      <c r="C119" s="13"/>
      <c r="D119" s="13"/>
      <c r="E119" s="13"/>
      <c r="F119" s="9"/>
      <c r="G119" s="32"/>
      <c r="H119" s="32"/>
      <c r="I119" s="32"/>
      <c r="J119" s="32"/>
      <c r="K119" s="29"/>
      <c r="L119" s="29"/>
      <c r="M119" s="29"/>
      <c r="N119" s="29"/>
      <c r="O119" s="29"/>
      <c r="P119" s="29"/>
      <c r="Q119" s="29"/>
      <c r="R119" s="38"/>
      <c r="BR119"/>
      <c r="BS119"/>
      <c r="BT119"/>
      <c r="BU119"/>
      <c r="BV119"/>
      <c r="BW119"/>
      <c r="BX119"/>
      <c r="BY119"/>
      <c r="BZ119"/>
      <c r="CA119"/>
    </row>
    <row r="120" spans="1:79" s="39" customFormat="1" x14ac:dyDescent="0.25">
      <c r="A120" s="5"/>
      <c r="B120" s="13"/>
      <c r="C120" s="13"/>
      <c r="D120" s="13"/>
      <c r="E120" s="13"/>
      <c r="F120" s="9"/>
      <c r="G120" s="32"/>
      <c r="H120" s="32"/>
      <c r="I120" s="32"/>
      <c r="J120" s="32"/>
      <c r="K120" s="29"/>
      <c r="L120" s="29"/>
      <c r="M120" s="29"/>
      <c r="N120" s="29"/>
      <c r="O120" s="29"/>
      <c r="P120" s="29"/>
      <c r="Q120" s="29"/>
      <c r="R120" s="38"/>
      <c r="BR120"/>
      <c r="BS120"/>
      <c r="BT120"/>
      <c r="BU120"/>
      <c r="BV120"/>
      <c r="BW120"/>
      <c r="BX120"/>
      <c r="BY120"/>
      <c r="BZ120"/>
      <c r="CA120"/>
    </row>
    <row r="121" spans="1:79" s="39" customFormat="1" x14ac:dyDescent="0.25">
      <c r="A121" s="5"/>
      <c r="B121" s="13"/>
      <c r="C121" s="13"/>
      <c r="D121" s="13"/>
      <c r="E121" s="13"/>
      <c r="F121" s="9"/>
      <c r="G121" s="32"/>
      <c r="H121" s="32"/>
      <c r="I121" s="32"/>
      <c r="J121" s="32"/>
      <c r="K121" s="29"/>
      <c r="L121" s="29"/>
      <c r="M121" s="29"/>
      <c r="N121" s="29"/>
      <c r="O121" s="29"/>
      <c r="P121" s="29"/>
      <c r="Q121" s="29"/>
      <c r="R121" s="38"/>
      <c r="BR121"/>
      <c r="BS121"/>
      <c r="BT121"/>
      <c r="BU121"/>
      <c r="BV121"/>
      <c r="BW121"/>
      <c r="BX121"/>
      <c r="BY121"/>
      <c r="BZ121"/>
      <c r="CA121"/>
    </row>
    <row r="122" spans="1:79" s="39" customFormat="1" x14ac:dyDescent="0.25">
      <c r="A122" s="5"/>
      <c r="B122" s="13"/>
      <c r="C122" s="13"/>
      <c r="D122" s="13"/>
      <c r="E122" s="13"/>
      <c r="F122" s="9"/>
      <c r="G122" s="32"/>
      <c r="H122" s="32"/>
      <c r="I122" s="32"/>
      <c r="J122" s="32"/>
      <c r="K122" s="29"/>
      <c r="L122" s="29"/>
      <c r="M122" s="29"/>
      <c r="N122" s="29"/>
      <c r="O122" s="29"/>
      <c r="P122" s="29"/>
      <c r="Q122" s="29"/>
      <c r="R122" s="38"/>
      <c r="BR122"/>
      <c r="BS122"/>
      <c r="BT122"/>
      <c r="BU122"/>
      <c r="BV122"/>
      <c r="BW122"/>
      <c r="BX122"/>
      <c r="BY122"/>
      <c r="BZ122"/>
      <c r="CA122"/>
    </row>
    <row r="123" spans="1:79" s="39" customFormat="1" x14ac:dyDescent="0.25">
      <c r="A123" s="5"/>
      <c r="B123" s="13"/>
      <c r="C123" s="13"/>
      <c r="D123" s="13"/>
      <c r="E123" s="13"/>
      <c r="F123" s="9"/>
      <c r="G123" s="32"/>
      <c r="H123" s="32"/>
      <c r="I123" s="32"/>
      <c r="J123" s="32"/>
      <c r="K123" s="29"/>
      <c r="L123" s="29"/>
      <c r="M123" s="29"/>
      <c r="N123" s="29"/>
      <c r="O123" s="29"/>
      <c r="P123" s="29"/>
      <c r="Q123" s="29"/>
      <c r="R123" s="38"/>
      <c r="BR123"/>
      <c r="BS123"/>
      <c r="BT123"/>
      <c r="BU123"/>
      <c r="BV123"/>
      <c r="BW123"/>
      <c r="BX123"/>
      <c r="BY123"/>
      <c r="BZ123"/>
      <c r="CA123"/>
    </row>
    <row r="124" spans="1:79" s="39" customFormat="1" x14ac:dyDescent="0.25">
      <c r="A124" s="5"/>
      <c r="B124" s="13"/>
      <c r="C124" s="13"/>
      <c r="D124" s="13"/>
      <c r="E124" s="13"/>
      <c r="F124" s="9"/>
      <c r="G124" s="32"/>
      <c r="H124" s="32"/>
      <c r="I124" s="32"/>
      <c r="J124" s="32"/>
      <c r="K124" s="29"/>
      <c r="L124" s="29"/>
      <c r="M124" s="29"/>
      <c r="N124" s="29"/>
      <c r="O124" s="29"/>
      <c r="P124" s="29"/>
      <c r="Q124" s="29"/>
      <c r="R124" s="38"/>
      <c r="BR124"/>
      <c r="BS124"/>
      <c r="BT124"/>
      <c r="BU124"/>
      <c r="BV124"/>
      <c r="BW124"/>
      <c r="BX124"/>
      <c r="BY124"/>
      <c r="BZ124"/>
      <c r="CA124"/>
    </row>
    <row r="125" spans="1:79" s="39" customFormat="1" x14ac:dyDescent="0.25">
      <c r="A125" s="5"/>
      <c r="B125" s="13"/>
      <c r="C125" s="13"/>
      <c r="D125" s="13"/>
      <c r="E125" s="13"/>
      <c r="F125" s="9"/>
      <c r="G125" s="32"/>
      <c r="H125" s="32"/>
      <c r="I125" s="32"/>
      <c r="J125" s="32"/>
      <c r="K125" s="29"/>
      <c r="L125" s="29"/>
      <c r="M125" s="29"/>
      <c r="N125" s="29"/>
      <c r="O125" s="29"/>
      <c r="P125" s="29"/>
      <c r="Q125" s="29"/>
      <c r="R125" s="38"/>
      <c r="BR125"/>
      <c r="BS125"/>
      <c r="BT125"/>
      <c r="BU125"/>
      <c r="BV125"/>
      <c r="BW125"/>
      <c r="BX125"/>
      <c r="BY125"/>
      <c r="BZ125"/>
      <c r="CA125"/>
    </row>
    <row r="126" spans="1:79" s="39" customFormat="1" x14ac:dyDescent="0.25">
      <c r="A126" s="5"/>
      <c r="B126" s="13"/>
      <c r="C126" s="13"/>
      <c r="D126" s="13"/>
      <c r="E126" s="13"/>
      <c r="F126" s="9"/>
      <c r="G126" s="32"/>
      <c r="H126" s="32"/>
      <c r="I126" s="32"/>
      <c r="J126" s="32"/>
      <c r="K126" s="29"/>
      <c r="L126" s="29"/>
      <c r="M126" s="29"/>
      <c r="N126" s="29"/>
      <c r="O126" s="29"/>
      <c r="P126" s="29"/>
      <c r="Q126" s="29"/>
      <c r="R126" s="38"/>
      <c r="BR126"/>
      <c r="BS126"/>
      <c r="BT126"/>
      <c r="BU126"/>
      <c r="BV126"/>
      <c r="BW126"/>
      <c r="BX126"/>
      <c r="BY126"/>
      <c r="BZ126"/>
      <c r="CA126"/>
    </row>
    <row r="127" spans="1:79" s="39" customFormat="1" x14ac:dyDescent="0.25">
      <c r="A127" s="5"/>
      <c r="B127" s="13"/>
      <c r="C127" s="13"/>
      <c r="D127" s="13"/>
      <c r="E127" s="13"/>
      <c r="F127" s="9"/>
      <c r="G127" s="32"/>
      <c r="H127" s="32"/>
      <c r="I127" s="32"/>
      <c r="J127" s="32"/>
      <c r="K127" s="29"/>
      <c r="L127" s="29"/>
      <c r="M127" s="29"/>
      <c r="N127" s="29"/>
      <c r="O127" s="29"/>
      <c r="P127" s="29"/>
      <c r="Q127" s="29"/>
      <c r="R127" s="38"/>
      <c r="BR127"/>
      <c r="BS127"/>
      <c r="BT127"/>
      <c r="BU127"/>
      <c r="BV127"/>
      <c r="BW127"/>
      <c r="BX127"/>
      <c r="BY127"/>
      <c r="BZ127"/>
      <c r="CA127"/>
    </row>
    <row r="128" spans="1:79" s="39" customFormat="1" x14ac:dyDescent="0.25">
      <c r="A128" s="5"/>
      <c r="B128" s="13"/>
      <c r="C128" s="13"/>
      <c r="D128" s="13"/>
      <c r="E128" s="13"/>
      <c r="F128" s="9"/>
      <c r="G128" s="32"/>
      <c r="H128" s="32"/>
      <c r="I128" s="32"/>
      <c r="J128" s="32"/>
      <c r="K128" s="29"/>
      <c r="L128" s="29"/>
      <c r="M128" s="29"/>
      <c r="N128" s="29"/>
      <c r="O128" s="29"/>
      <c r="P128" s="29"/>
      <c r="Q128" s="29"/>
      <c r="R128" s="38"/>
      <c r="BR128"/>
      <c r="BS128"/>
      <c r="BT128"/>
      <c r="BU128"/>
      <c r="BV128"/>
      <c r="BW128"/>
      <c r="BX128"/>
      <c r="BY128"/>
      <c r="BZ128"/>
      <c r="CA128"/>
    </row>
    <row r="129" spans="1:79" s="39" customFormat="1" x14ac:dyDescent="0.25">
      <c r="A129" s="5"/>
      <c r="B129" s="13"/>
      <c r="C129" s="13"/>
      <c r="D129" s="13"/>
      <c r="E129" s="13"/>
      <c r="F129" s="9"/>
      <c r="G129" s="32"/>
      <c r="H129" s="32"/>
      <c r="I129" s="32"/>
      <c r="J129" s="32"/>
      <c r="K129" s="29"/>
      <c r="L129" s="29"/>
      <c r="M129" s="29"/>
      <c r="N129" s="29"/>
      <c r="O129" s="29"/>
      <c r="P129" s="29"/>
      <c r="Q129" s="29"/>
      <c r="R129" s="38"/>
      <c r="BR129"/>
      <c r="BS129"/>
      <c r="BT129"/>
      <c r="BU129"/>
      <c r="BV129"/>
      <c r="BW129"/>
      <c r="BX129"/>
      <c r="BY129"/>
      <c r="BZ129"/>
      <c r="CA129"/>
    </row>
    <row r="130" spans="1:79" s="39" customFormat="1" x14ac:dyDescent="0.25">
      <c r="A130" s="5"/>
      <c r="B130" s="13"/>
      <c r="C130" s="13"/>
      <c r="D130" s="13"/>
      <c r="E130" s="13"/>
      <c r="F130" s="9"/>
      <c r="G130" s="32"/>
      <c r="H130" s="32"/>
      <c r="I130" s="32"/>
      <c r="J130" s="32"/>
      <c r="K130" s="29"/>
      <c r="L130" s="29"/>
      <c r="M130" s="29"/>
      <c r="N130" s="29"/>
      <c r="O130" s="29"/>
      <c r="P130" s="29"/>
      <c r="Q130" s="29"/>
      <c r="R130" s="38"/>
      <c r="BR130"/>
      <c r="BS130"/>
      <c r="BT130"/>
      <c r="BU130"/>
      <c r="BV130"/>
      <c r="BW130"/>
      <c r="BX130"/>
      <c r="BY130"/>
      <c r="BZ130"/>
      <c r="CA130"/>
    </row>
    <row r="131" spans="1:79" s="39" customFormat="1" x14ac:dyDescent="0.25">
      <c r="A131" s="5"/>
      <c r="B131" s="13"/>
      <c r="C131" s="13"/>
      <c r="D131" s="13"/>
      <c r="E131" s="13"/>
      <c r="F131" s="9"/>
      <c r="G131" s="32"/>
      <c r="H131" s="32"/>
      <c r="I131" s="32"/>
      <c r="J131" s="32"/>
      <c r="K131" s="29"/>
      <c r="L131" s="29"/>
      <c r="M131" s="29"/>
      <c r="N131" s="29"/>
      <c r="O131" s="29"/>
      <c r="P131" s="29"/>
      <c r="Q131" s="29"/>
      <c r="R131" s="38"/>
      <c r="BR131"/>
      <c r="BS131"/>
      <c r="BT131"/>
      <c r="BU131"/>
      <c r="BV131"/>
      <c r="BW131"/>
      <c r="BX131"/>
      <c r="BY131"/>
      <c r="BZ131"/>
      <c r="CA131"/>
    </row>
    <row r="132" spans="1:79" s="39" customFormat="1" x14ac:dyDescent="0.25">
      <c r="A132" s="5"/>
      <c r="B132" s="13"/>
      <c r="C132" s="13"/>
      <c r="D132" s="13"/>
      <c r="E132" s="13"/>
      <c r="F132" s="9"/>
      <c r="G132" s="32"/>
      <c r="H132" s="32"/>
      <c r="I132" s="32"/>
      <c r="J132" s="32"/>
      <c r="K132" s="29"/>
      <c r="L132" s="29"/>
      <c r="M132" s="29"/>
      <c r="N132" s="29"/>
      <c r="O132" s="29"/>
      <c r="P132" s="29"/>
      <c r="Q132" s="29"/>
      <c r="R132" s="38"/>
      <c r="BR132"/>
      <c r="BS132"/>
      <c r="BT132"/>
      <c r="BU132"/>
      <c r="BV132"/>
      <c r="BW132"/>
      <c r="BX132"/>
      <c r="BY132"/>
      <c r="BZ132"/>
      <c r="CA132"/>
    </row>
    <row r="133" spans="1:79" s="39" customFormat="1" x14ac:dyDescent="0.25">
      <c r="A133" s="5"/>
      <c r="B133" s="13"/>
      <c r="C133" s="13"/>
      <c r="D133" s="13"/>
      <c r="E133" s="13"/>
      <c r="F133" s="9"/>
      <c r="G133" s="32"/>
      <c r="H133" s="32"/>
      <c r="I133" s="32"/>
      <c r="J133" s="32"/>
      <c r="K133" s="29"/>
      <c r="L133" s="29"/>
      <c r="M133" s="29"/>
      <c r="N133" s="29"/>
      <c r="O133" s="29"/>
      <c r="P133" s="29"/>
      <c r="Q133" s="29"/>
      <c r="R133" s="38"/>
      <c r="BR133"/>
      <c r="BS133"/>
      <c r="BT133"/>
      <c r="BU133"/>
      <c r="BV133"/>
      <c r="BW133"/>
      <c r="BX133"/>
      <c r="BY133"/>
      <c r="BZ133"/>
      <c r="CA133"/>
    </row>
    <row r="134" spans="1:79" s="39" customFormat="1" x14ac:dyDescent="0.25">
      <c r="A134" s="5"/>
      <c r="B134" s="13"/>
      <c r="C134" s="13"/>
      <c r="D134" s="13"/>
      <c r="E134" s="13"/>
      <c r="F134" s="9"/>
      <c r="G134" s="32"/>
      <c r="H134" s="32"/>
      <c r="I134" s="32"/>
      <c r="J134" s="32"/>
      <c r="K134" s="29"/>
      <c r="L134" s="29"/>
      <c r="M134" s="29"/>
      <c r="N134" s="29"/>
      <c r="O134" s="29"/>
      <c r="P134" s="29"/>
      <c r="Q134" s="29"/>
      <c r="R134" s="38"/>
      <c r="BR134"/>
      <c r="BS134"/>
      <c r="BT134"/>
      <c r="BU134"/>
      <c r="BV134"/>
      <c r="BW134"/>
      <c r="BX134"/>
      <c r="BY134"/>
      <c r="BZ134"/>
      <c r="CA134"/>
    </row>
    <row r="135" spans="1:79" s="39" customFormat="1" x14ac:dyDescent="0.25">
      <c r="A135" s="5"/>
      <c r="B135" s="13"/>
      <c r="C135" s="13"/>
      <c r="D135" s="13"/>
      <c r="E135" s="13"/>
      <c r="F135" s="9"/>
      <c r="G135" s="32"/>
      <c r="H135" s="32"/>
      <c r="I135" s="32"/>
      <c r="J135" s="32"/>
      <c r="K135" s="29"/>
      <c r="L135" s="29"/>
      <c r="M135" s="29"/>
      <c r="N135" s="29"/>
      <c r="O135" s="29"/>
      <c r="P135" s="29"/>
      <c r="Q135" s="29"/>
      <c r="R135" s="38"/>
      <c r="BR135"/>
      <c r="BS135"/>
      <c r="BT135"/>
      <c r="BU135"/>
      <c r="BV135"/>
      <c r="BW135"/>
      <c r="BX135"/>
      <c r="BY135"/>
      <c r="BZ135"/>
      <c r="CA135"/>
    </row>
    <row r="136" spans="1:79" s="39" customFormat="1" x14ac:dyDescent="0.25">
      <c r="A136" s="5"/>
      <c r="B136" s="13"/>
      <c r="C136" s="13"/>
      <c r="D136" s="13"/>
      <c r="E136" s="13"/>
      <c r="F136" s="9"/>
      <c r="G136" s="32"/>
      <c r="H136" s="32"/>
      <c r="I136" s="32"/>
      <c r="J136" s="32"/>
      <c r="K136" s="29"/>
      <c r="L136" s="29"/>
      <c r="M136" s="29"/>
      <c r="N136" s="29"/>
      <c r="O136" s="29"/>
      <c r="P136" s="29"/>
      <c r="Q136" s="29"/>
      <c r="R136" s="38"/>
      <c r="BR136"/>
      <c r="BS136"/>
      <c r="BT136"/>
      <c r="BU136"/>
      <c r="BV136"/>
      <c r="BW136"/>
      <c r="BX136"/>
      <c r="BY136"/>
      <c r="BZ136"/>
      <c r="CA136"/>
    </row>
    <row r="137" spans="1:79" s="39" customFormat="1" x14ac:dyDescent="0.25">
      <c r="A137" s="5"/>
      <c r="B137" s="13"/>
      <c r="C137" s="13"/>
      <c r="D137" s="13"/>
      <c r="E137" s="13"/>
      <c r="F137" s="9"/>
      <c r="G137" s="32"/>
      <c r="H137" s="32"/>
      <c r="I137" s="32"/>
      <c r="J137" s="32"/>
      <c r="K137" s="29"/>
      <c r="L137" s="29"/>
      <c r="M137" s="29"/>
      <c r="N137" s="29"/>
      <c r="O137" s="29"/>
      <c r="P137" s="29"/>
      <c r="Q137" s="29"/>
      <c r="R137" s="38"/>
      <c r="BR137"/>
      <c r="BS137"/>
      <c r="BT137"/>
      <c r="BU137"/>
      <c r="BV137"/>
      <c r="BW137"/>
      <c r="BX137"/>
      <c r="BY137"/>
      <c r="BZ137"/>
      <c r="CA137"/>
    </row>
    <row r="138" spans="1:79" s="39" customFormat="1" x14ac:dyDescent="0.25">
      <c r="A138" s="5"/>
      <c r="B138" s="13"/>
      <c r="C138" s="13"/>
      <c r="D138" s="13"/>
      <c r="E138" s="13"/>
      <c r="F138" s="9"/>
      <c r="G138" s="32"/>
      <c r="H138" s="32"/>
      <c r="I138" s="32"/>
      <c r="J138" s="32"/>
      <c r="K138" s="29"/>
      <c r="L138" s="29"/>
      <c r="M138" s="29"/>
      <c r="N138" s="29"/>
      <c r="O138" s="29"/>
      <c r="P138" s="29"/>
      <c r="Q138" s="29"/>
      <c r="R138" s="38"/>
      <c r="BR138"/>
      <c r="BS138"/>
      <c r="BT138"/>
      <c r="BU138"/>
      <c r="BV138"/>
      <c r="BW138"/>
      <c r="BX138"/>
      <c r="BY138"/>
      <c r="BZ138"/>
      <c r="CA138"/>
    </row>
    <row r="139" spans="1:79" s="39" customFormat="1" x14ac:dyDescent="0.25">
      <c r="A139" s="5"/>
      <c r="B139" s="13"/>
      <c r="C139" s="13"/>
      <c r="D139" s="13"/>
      <c r="E139" s="13"/>
      <c r="F139" s="9"/>
      <c r="G139" s="32"/>
      <c r="H139" s="32"/>
      <c r="I139" s="32"/>
      <c r="J139" s="32"/>
      <c r="K139" s="29"/>
      <c r="L139" s="29"/>
      <c r="M139" s="29"/>
      <c r="N139" s="29"/>
      <c r="O139" s="29"/>
      <c r="P139" s="29"/>
      <c r="Q139" s="29"/>
      <c r="R139" s="38"/>
      <c r="BR139"/>
      <c r="BS139"/>
      <c r="BT139"/>
      <c r="BU139"/>
      <c r="BV139"/>
      <c r="BW139"/>
      <c r="BX139"/>
      <c r="BY139"/>
      <c r="BZ139"/>
      <c r="CA139"/>
    </row>
    <row r="140" spans="1:79" s="39" customFormat="1" x14ac:dyDescent="0.25">
      <c r="A140" s="5"/>
      <c r="B140" s="13"/>
      <c r="C140" s="13"/>
      <c r="D140" s="13"/>
      <c r="E140" s="13"/>
      <c r="F140" s="9"/>
      <c r="G140" s="32"/>
      <c r="H140" s="32"/>
      <c r="I140" s="32"/>
      <c r="J140" s="32"/>
      <c r="K140" s="29"/>
      <c r="L140" s="29"/>
      <c r="M140" s="29"/>
      <c r="N140" s="29"/>
      <c r="O140" s="29"/>
      <c r="P140" s="29"/>
      <c r="Q140" s="29"/>
      <c r="R140" s="38"/>
      <c r="BR140"/>
      <c r="BS140"/>
      <c r="BT140"/>
      <c r="BU140"/>
      <c r="BV140"/>
      <c r="BW140"/>
      <c r="BX140"/>
      <c r="BY140"/>
      <c r="BZ140"/>
      <c r="CA140"/>
    </row>
    <row r="141" spans="1:79" s="39" customFormat="1" x14ac:dyDescent="0.25">
      <c r="A141" s="5"/>
      <c r="B141" s="13"/>
      <c r="C141" s="13"/>
      <c r="D141" s="13"/>
      <c r="E141" s="13"/>
      <c r="F141" s="9"/>
      <c r="G141" s="32"/>
      <c r="H141" s="32"/>
      <c r="I141" s="32"/>
      <c r="J141" s="32"/>
      <c r="K141" s="29"/>
      <c r="L141" s="29"/>
      <c r="M141" s="29"/>
      <c r="N141" s="29"/>
      <c r="O141" s="29"/>
      <c r="P141" s="29"/>
      <c r="Q141" s="29"/>
      <c r="R141" s="38"/>
      <c r="BR141"/>
      <c r="BS141"/>
      <c r="BT141"/>
      <c r="BU141"/>
      <c r="BV141"/>
      <c r="BW141"/>
      <c r="BX141"/>
      <c r="BY141"/>
      <c r="BZ141"/>
      <c r="CA141"/>
    </row>
    <row r="142" spans="1:79" s="39" customFormat="1" x14ac:dyDescent="0.25">
      <c r="A142" s="5"/>
      <c r="B142" s="13"/>
      <c r="C142" s="13"/>
      <c r="D142" s="13"/>
      <c r="E142" s="13"/>
      <c r="F142" s="9"/>
      <c r="G142" s="32"/>
      <c r="H142" s="32"/>
      <c r="I142" s="32"/>
      <c r="J142" s="32"/>
      <c r="K142" s="29"/>
      <c r="L142" s="29"/>
      <c r="M142" s="29"/>
      <c r="N142" s="29"/>
      <c r="O142" s="29"/>
      <c r="P142" s="29"/>
      <c r="Q142" s="29"/>
      <c r="R142" s="38"/>
      <c r="BR142"/>
      <c r="BS142"/>
      <c r="BT142"/>
      <c r="BU142"/>
      <c r="BV142"/>
      <c r="BW142"/>
      <c r="BX142"/>
      <c r="BY142"/>
      <c r="BZ142"/>
      <c r="CA142"/>
    </row>
    <row r="143" spans="1:79" s="39" customFormat="1" x14ac:dyDescent="0.25">
      <c r="A143" s="5"/>
      <c r="B143" s="13"/>
      <c r="C143" s="13"/>
      <c r="D143" s="13"/>
      <c r="E143" s="13"/>
      <c r="F143" s="9"/>
      <c r="G143" s="32"/>
      <c r="H143" s="32"/>
      <c r="I143" s="32"/>
      <c r="J143" s="32"/>
      <c r="K143" s="29"/>
      <c r="L143" s="29"/>
      <c r="M143" s="29"/>
      <c r="N143" s="29"/>
      <c r="O143" s="29"/>
      <c r="P143" s="29"/>
      <c r="Q143" s="29"/>
      <c r="R143" s="38"/>
      <c r="BR143"/>
      <c r="BS143"/>
      <c r="BT143"/>
      <c r="BU143"/>
      <c r="BV143"/>
      <c r="BW143"/>
      <c r="BX143"/>
      <c r="BY143"/>
      <c r="BZ143"/>
      <c r="CA143"/>
    </row>
    <row r="144" spans="1:79" s="39" customFormat="1" x14ac:dyDescent="0.25">
      <c r="A144" s="5"/>
      <c r="B144" s="13"/>
      <c r="C144" s="13"/>
      <c r="D144" s="13"/>
      <c r="E144" s="13"/>
      <c r="F144" s="9"/>
      <c r="G144" s="32"/>
      <c r="H144" s="32"/>
      <c r="I144" s="32"/>
      <c r="J144" s="32"/>
      <c r="K144" s="29"/>
      <c r="L144" s="29"/>
      <c r="M144" s="29"/>
      <c r="N144" s="29"/>
      <c r="O144" s="29"/>
      <c r="P144" s="29"/>
      <c r="Q144" s="29"/>
      <c r="R144" s="38"/>
      <c r="BR144"/>
      <c r="BS144"/>
      <c r="BT144"/>
      <c r="BU144"/>
      <c r="BV144"/>
      <c r="BW144"/>
      <c r="BX144"/>
      <c r="BY144"/>
      <c r="BZ144"/>
      <c r="CA144"/>
    </row>
    <row r="145" spans="1:79" s="39" customFormat="1" x14ac:dyDescent="0.25">
      <c r="A145" s="5"/>
      <c r="B145" s="13"/>
      <c r="C145" s="13"/>
      <c r="D145" s="13"/>
      <c r="E145" s="13"/>
      <c r="F145" s="9"/>
      <c r="G145" s="32"/>
      <c r="H145" s="32"/>
      <c r="I145" s="32"/>
      <c r="J145" s="32"/>
      <c r="K145" s="29"/>
      <c r="L145" s="29"/>
      <c r="M145" s="29"/>
      <c r="N145" s="29"/>
      <c r="O145" s="29"/>
      <c r="P145" s="29"/>
      <c r="Q145" s="29"/>
      <c r="R145" s="38"/>
      <c r="BR145"/>
      <c r="BS145"/>
      <c r="BT145"/>
      <c r="BU145"/>
      <c r="BV145"/>
      <c r="BW145"/>
      <c r="BX145"/>
      <c r="BY145"/>
      <c r="BZ145"/>
      <c r="CA145"/>
    </row>
    <row r="146" spans="1:79" s="39" customFormat="1" x14ac:dyDescent="0.25">
      <c r="A146" s="5"/>
      <c r="B146" s="13"/>
      <c r="C146" s="13"/>
      <c r="D146" s="13"/>
      <c r="E146" s="13"/>
      <c r="F146" s="9"/>
      <c r="G146" s="32"/>
      <c r="H146" s="32"/>
      <c r="I146" s="32"/>
      <c r="J146" s="32"/>
      <c r="K146" s="29"/>
      <c r="L146" s="29"/>
      <c r="M146" s="29"/>
      <c r="N146" s="29"/>
      <c r="O146" s="29"/>
      <c r="P146" s="29"/>
      <c r="Q146" s="29"/>
      <c r="R146" s="38"/>
      <c r="BR146"/>
      <c r="BS146"/>
      <c r="BT146"/>
      <c r="BU146"/>
      <c r="BV146"/>
      <c r="BW146"/>
      <c r="BX146"/>
      <c r="BY146"/>
      <c r="BZ146"/>
      <c r="CA146"/>
    </row>
    <row r="147" spans="1:79" s="39" customFormat="1" x14ac:dyDescent="0.25">
      <c r="A147" s="5"/>
      <c r="B147" s="13"/>
      <c r="C147" s="13"/>
      <c r="D147" s="13"/>
      <c r="E147" s="13"/>
      <c r="F147" s="9"/>
      <c r="G147" s="32"/>
      <c r="H147" s="32"/>
      <c r="I147" s="32"/>
      <c r="J147" s="32"/>
      <c r="K147" s="29"/>
      <c r="L147" s="29"/>
      <c r="M147" s="29"/>
      <c r="N147" s="29"/>
      <c r="O147" s="29"/>
      <c r="P147" s="29"/>
      <c r="Q147" s="29"/>
      <c r="R147" s="38"/>
      <c r="BR147"/>
      <c r="BS147"/>
      <c r="BT147"/>
      <c r="BU147"/>
      <c r="BV147"/>
      <c r="BW147"/>
      <c r="BX147"/>
      <c r="BY147"/>
      <c r="BZ147"/>
      <c r="CA147"/>
    </row>
    <row r="148" spans="1:79" s="39" customFormat="1" x14ac:dyDescent="0.25">
      <c r="A148" s="5"/>
      <c r="B148" s="13"/>
      <c r="C148" s="13"/>
      <c r="D148" s="13"/>
      <c r="E148" s="13"/>
      <c r="F148" s="9"/>
      <c r="G148" s="32"/>
      <c r="H148" s="32"/>
      <c r="I148" s="32"/>
      <c r="J148" s="32"/>
      <c r="K148" s="29"/>
      <c r="L148" s="29"/>
      <c r="M148" s="29"/>
      <c r="N148" s="29"/>
      <c r="O148" s="29"/>
      <c r="P148" s="29"/>
      <c r="Q148" s="29"/>
      <c r="R148" s="38"/>
      <c r="BR148"/>
      <c r="BS148"/>
      <c r="BT148"/>
      <c r="BU148"/>
      <c r="BV148"/>
      <c r="BW148"/>
      <c r="BX148"/>
      <c r="BY148"/>
      <c r="BZ148"/>
      <c r="CA148"/>
    </row>
    <row r="149" spans="1:79" s="39" customFormat="1" x14ac:dyDescent="0.25">
      <c r="A149" s="5"/>
      <c r="B149" s="13"/>
      <c r="C149" s="13"/>
      <c r="D149" s="13"/>
      <c r="E149" s="13"/>
      <c r="F149" s="9"/>
      <c r="G149" s="32"/>
      <c r="H149" s="32"/>
      <c r="I149" s="32"/>
      <c r="J149" s="32"/>
      <c r="K149" s="29"/>
      <c r="L149" s="29"/>
      <c r="M149" s="29"/>
      <c r="N149" s="29"/>
      <c r="O149" s="29"/>
      <c r="P149" s="29"/>
      <c r="Q149" s="29"/>
      <c r="R149" s="38"/>
      <c r="BR149"/>
      <c r="BS149"/>
      <c r="BT149"/>
      <c r="BU149"/>
      <c r="BV149"/>
      <c r="BW149"/>
      <c r="BX149"/>
      <c r="BY149"/>
      <c r="BZ149"/>
      <c r="CA149"/>
    </row>
    <row r="150" spans="1:79" s="39" customFormat="1" x14ac:dyDescent="0.25">
      <c r="A150" s="5"/>
      <c r="B150" s="13"/>
      <c r="C150" s="13"/>
      <c r="D150" s="13"/>
      <c r="E150" s="13"/>
      <c r="F150" s="9"/>
      <c r="G150" s="32"/>
      <c r="H150" s="32"/>
      <c r="I150" s="32"/>
      <c r="J150" s="32"/>
      <c r="K150" s="29"/>
      <c r="L150" s="29"/>
      <c r="M150" s="29"/>
      <c r="N150" s="29"/>
      <c r="O150" s="29"/>
      <c r="P150" s="29"/>
      <c r="Q150" s="29"/>
      <c r="R150" s="38"/>
      <c r="BR150"/>
      <c r="BS150"/>
      <c r="BT150"/>
      <c r="BU150"/>
      <c r="BV150"/>
      <c r="BW150"/>
      <c r="BX150"/>
      <c r="BY150"/>
      <c r="BZ150"/>
      <c r="CA150"/>
    </row>
    <row r="151" spans="1:79" s="39" customFormat="1" x14ac:dyDescent="0.25">
      <c r="A151" s="5"/>
      <c r="B151" s="13"/>
      <c r="C151" s="13"/>
      <c r="D151" s="13"/>
      <c r="E151" s="13"/>
      <c r="F151" s="9"/>
      <c r="G151" s="32"/>
      <c r="H151" s="32"/>
      <c r="I151" s="32"/>
      <c r="J151" s="32"/>
      <c r="K151" s="29"/>
      <c r="L151" s="29"/>
      <c r="M151" s="29"/>
      <c r="N151" s="29"/>
      <c r="O151" s="29"/>
      <c r="P151" s="29"/>
      <c r="Q151" s="29"/>
      <c r="R151" s="38"/>
      <c r="BR151"/>
      <c r="BS151"/>
      <c r="BT151"/>
      <c r="BU151"/>
      <c r="BV151"/>
      <c r="BW151"/>
      <c r="BX151"/>
      <c r="BY151"/>
      <c r="BZ151"/>
      <c r="CA151"/>
    </row>
    <row r="152" spans="1:79" s="39" customFormat="1" x14ac:dyDescent="0.25">
      <c r="A152" s="5"/>
      <c r="B152" s="13"/>
      <c r="C152" s="13"/>
      <c r="D152" s="13"/>
      <c r="E152" s="13"/>
      <c r="F152" s="9"/>
      <c r="G152" s="32"/>
      <c r="H152" s="32"/>
      <c r="I152" s="32"/>
      <c r="J152" s="32"/>
      <c r="K152" s="29"/>
      <c r="L152" s="29"/>
      <c r="M152" s="29"/>
      <c r="N152" s="29"/>
      <c r="O152" s="29"/>
      <c r="P152" s="29"/>
      <c r="Q152" s="29"/>
      <c r="R152" s="38"/>
      <c r="BR152"/>
      <c r="BS152"/>
      <c r="BT152"/>
      <c r="BU152"/>
      <c r="BV152"/>
      <c r="BW152"/>
      <c r="BX152"/>
      <c r="BY152"/>
      <c r="BZ152"/>
      <c r="CA152"/>
    </row>
    <row r="153" spans="1:79" s="39" customFormat="1" x14ac:dyDescent="0.25">
      <c r="A153" s="5"/>
      <c r="B153" s="13"/>
      <c r="C153" s="13"/>
      <c r="D153" s="13"/>
      <c r="E153" s="13"/>
      <c r="F153" s="9"/>
      <c r="G153" s="32"/>
      <c r="H153" s="32"/>
      <c r="I153" s="32"/>
      <c r="J153" s="32"/>
      <c r="K153" s="29"/>
      <c r="L153" s="29"/>
      <c r="M153" s="29"/>
      <c r="N153" s="29"/>
      <c r="O153" s="29"/>
      <c r="P153" s="29"/>
      <c r="Q153" s="29"/>
      <c r="R153" s="38"/>
      <c r="BR153"/>
      <c r="BS153"/>
      <c r="BT153"/>
      <c r="BU153"/>
      <c r="BV153"/>
      <c r="BW153"/>
      <c r="BX153"/>
      <c r="BY153"/>
      <c r="BZ153"/>
      <c r="CA153"/>
    </row>
    <row r="154" spans="1:79" s="39" customFormat="1" x14ac:dyDescent="0.25">
      <c r="A154" s="5"/>
      <c r="B154" s="13"/>
      <c r="C154" s="13"/>
      <c r="D154" s="13"/>
      <c r="E154" s="13"/>
      <c r="F154" s="9"/>
      <c r="G154" s="32"/>
      <c r="H154" s="32"/>
      <c r="I154" s="32"/>
      <c r="J154" s="32"/>
      <c r="K154" s="29"/>
      <c r="L154" s="29"/>
      <c r="M154" s="29"/>
      <c r="N154" s="29"/>
      <c r="O154" s="29"/>
      <c r="P154" s="29"/>
      <c r="Q154" s="29"/>
      <c r="R154" s="38"/>
      <c r="BR154"/>
      <c r="BS154"/>
      <c r="BT154"/>
      <c r="BU154"/>
      <c r="BV154"/>
      <c r="BW154"/>
      <c r="BX154"/>
      <c r="BY154"/>
      <c r="BZ154"/>
      <c r="CA154"/>
    </row>
    <row r="155" spans="1:79" s="39" customFormat="1" x14ac:dyDescent="0.25">
      <c r="A155" s="5"/>
      <c r="B155" s="13"/>
      <c r="C155" s="13"/>
      <c r="D155" s="13"/>
      <c r="E155" s="13"/>
      <c r="F155" s="9"/>
      <c r="G155" s="32"/>
      <c r="H155" s="32"/>
      <c r="I155" s="32"/>
      <c r="J155" s="32"/>
      <c r="K155" s="29"/>
      <c r="L155" s="29"/>
      <c r="M155" s="29"/>
      <c r="N155" s="29"/>
      <c r="O155" s="29"/>
      <c r="P155" s="29"/>
      <c r="Q155" s="29"/>
      <c r="R155" s="38"/>
      <c r="BR155"/>
      <c r="BS155"/>
      <c r="BT155"/>
      <c r="BU155"/>
      <c r="BV155"/>
      <c r="BW155"/>
      <c r="BX155"/>
      <c r="BY155"/>
      <c r="BZ155"/>
      <c r="CA155"/>
    </row>
    <row r="156" spans="1:79" s="39" customFormat="1" x14ac:dyDescent="0.25">
      <c r="A156" s="5"/>
      <c r="B156" s="13"/>
      <c r="C156" s="13"/>
      <c r="D156" s="13"/>
      <c r="E156" s="13"/>
      <c r="F156" s="9"/>
      <c r="G156" s="32"/>
      <c r="H156" s="32"/>
      <c r="I156" s="32"/>
      <c r="J156" s="32"/>
      <c r="K156" s="29"/>
      <c r="L156" s="29"/>
      <c r="M156" s="29"/>
      <c r="N156" s="29"/>
      <c r="O156" s="29"/>
      <c r="P156" s="29"/>
      <c r="Q156" s="29"/>
      <c r="R156" s="38"/>
      <c r="BR156"/>
      <c r="BS156"/>
      <c r="BT156"/>
      <c r="BU156"/>
      <c r="BV156"/>
      <c r="BW156"/>
      <c r="BX156"/>
      <c r="BY156"/>
      <c r="BZ156"/>
      <c r="CA156"/>
    </row>
    <row r="157" spans="1:79" s="39" customFormat="1" x14ac:dyDescent="0.25">
      <c r="A157" s="5"/>
      <c r="B157" s="13"/>
      <c r="C157" s="13"/>
      <c r="D157" s="13"/>
      <c r="E157" s="13"/>
      <c r="F157" s="9"/>
      <c r="G157" s="32"/>
      <c r="H157" s="32"/>
      <c r="I157" s="32"/>
      <c r="J157" s="32"/>
      <c r="K157" s="29"/>
      <c r="L157" s="29"/>
      <c r="M157" s="29"/>
      <c r="N157" s="29"/>
      <c r="O157" s="29"/>
      <c r="P157" s="29"/>
      <c r="Q157" s="29"/>
      <c r="R157" s="38"/>
      <c r="BR157"/>
      <c r="BS157"/>
      <c r="BT157"/>
      <c r="BU157"/>
      <c r="BV157"/>
      <c r="BW157"/>
      <c r="BX157"/>
      <c r="BY157"/>
      <c r="BZ157"/>
      <c r="CA157"/>
    </row>
    <row r="158" spans="1:79" s="39" customFormat="1" x14ac:dyDescent="0.25">
      <c r="A158" s="5"/>
      <c r="B158" s="13"/>
      <c r="C158" s="13"/>
      <c r="D158" s="13"/>
      <c r="E158" s="13"/>
      <c r="F158" s="9"/>
      <c r="G158" s="32"/>
      <c r="H158" s="32"/>
      <c r="I158" s="32"/>
      <c r="J158" s="32"/>
      <c r="K158" s="29"/>
      <c r="L158" s="29"/>
      <c r="M158" s="29"/>
      <c r="N158" s="29"/>
      <c r="O158" s="29"/>
      <c r="P158" s="29"/>
      <c r="Q158" s="29"/>
      <c r="R158" s="38"/>
      <c r="BR158"/>
      <c r="BS158"/>
      <c r="BT158"/>
      <c r="BU158"/>
      <c r="BV158"/>
      <c r="BW158"/>
      <c r="BX158"/>
      <c r="BY158"/>
      <c r="BZ158"/>
      <c r="CA158"/>
    </row>
    <row r="159" spans="1:79" s="39" customFormat="1" x14ac:dyDescent="0.25">
      <c r="A159" s="5"/>
      <c r="B159" s="13"/>
      <c r="C159" s="13"/>
      <c r="D159" s="13"/>
      <c r="E159" s="13"/>
      <c r="F159" s="9"/>
      <c r="G159" s="32"/>
      <c r="H159" s="32"/>
      <c r="I159" s="32"/>
      <c r="J159" s="32"/>
      <c r="K159" s="29"/>
      <c r="L159" s="29"/>
      <c r="M159" s="29"/>
      <c r="N159" s="29"/>
      <c r="O159" s="29"/>
      <c r="P159" s="29"/>
      <c r="Q159" s="29"/>
      <c r="R159" s="38"/>
      <c r="BR159"/>
      <c r="BS159"/>
      <c r="BT159"/>
      <c r="BU159"/>
      <c r="BV159"/>
      <c r="BW159"/>
      <c r="BX159"/>
      <c r="BY159"/>
      <c r="BZ159"/>
      <c r="CA159"/>
    </row>
    <row r="160" spans="1:79" s="39" customFormat="1" x14ac:dyDescent="0.25">
      <c r="A160" s="5"/>
      <c r="B160" s="13"/>
      <c r="C160" s="13"/>
      <c r="D160" s="13"/>
      <c r="E160" s="13"/>
      <c r="F160" s="9"/>
      <c r="G160" s="32"/>
      <c r="H160" s="32"/>
      <c r="I160" s="32"/>
      <c r="J160" s="32"/>
      <c r="K160" s="29"/>
      <c r="L160" s="29"/>
      <c r="M160" s="29"/>
      <c r="N160" s="29"/>
      <c r="O160" s="29"/>
      <c r="P160" s="29"/>
      <c r="Q160" s="29"/>
      <c r="R160" s="38"/>
      <c r="BR160"/>
      <c r="BS160"/>
      <c r="BT160"/>
      <c r="BU160"/>
      <c r="BV160"/>
      <c r="BW160"/>
      <c r="BX160"/>
      <c r="BY160"/>
      <c r="BZ160"/>
      <c r="CA160"/>
    </row>
    <row r="161" spans="1:79" s="39" customFormat="1" x14ac:dyDescent="0.25">
      <c r="A161" s="5"/>
      <c r="B161" s="13"/>
      <c r="C161" s="13"/>
      <c r="D161" s="13"/>
      <c r="E161" s="13"/>
      <c r="F161" s="9"/>
      <c r="G161" s="32"/>
      <c r="H161" s="32"/>
      <c r="I161" s="32"/>
      <c r="J161" s="32"/>
      <c r="K161" s="29"/>
      <c r="L161" s="29"/>
      <c r="M161" s="29"/>
      <c r="N161" s="29"/>
      <c r="O161" s="29"/>
      <c r="P161" s="29"/>
      <c r="Q161" s="29"/>
      <c r="R161" s="38"/>
      <c r="BR161"/>
      <c r="BS161"/>
      <c r="BT161"/>
      <c r="BU161"/>
      <c r="BV161"/>
      <c r="BW161"/>
      <c r="BX161"/>
      <c r="BY161"/>
      <c r="BZ161"/>
      <c r="CA161"/>
    </row>
    <row r="162" spans="1:79" s="39" customFormat="1" x14ac:dyDescent="0.25">
      <c r="A162" s="5"/>
      <c r="B162" s="13"/>
      <c r="C162" s="13"/>
      <c r="D162" s="13"/>
      <c r="E162" s="13"/>
      <c r="F162" s="9"/>
      <c r="G162" s="32"/>
      <c r="H162" s="32"/>
      <c r="I162" s="32"/>
      <c r="J162" s="32"/>
      <c r="K162" s="29"/>
      <c r="L162" s="29"/>
      <c r="M162" s="29"/>
      <c r="N162" s="29"/>
      <c r="O162" s="29"/>
      <c r="P162" s="29"/>
      <c r="Q162" s="29"/>
      <c r="R162" s="38"/>
      <c r="BR162"/>
      <c r="BS162"/>
      <c r="BT162"/>
      <c r="BU162"/>
      <c r="BV162"/>
      <c r="BW162"/>
      <c r="BX162"/>
      <c r="BY162"/>
      <c r="BZ162"/>
      <c r="CA162"/>
    </row>
    <row r="163" spans="1:79" s="39" customFormat="1" x14ac:dyDescent="0.25">
      <c r="A163" s="5"/>
      <c r="B163" s="13"/>
      <c r="C163" s="13"/>
      <c r="D163" s="13"/>
      <c r="E163" s="13"/>
      <c r="F163" s="9"/>
      <c r="G163" s="32"/>
      <c r="H163" s="32"/>
      <c r="I163" s="32"/>
      <c r="J163" s="32"/>
      <c r="K163" s="29"/>
      <c r="L163" s="29"/>
      <c r="M163" s="29"/>
      <c r="N163" s="29"/>
      <c r="O163" s="29"/>
      <c r="P163" s="29"/>
      <c r="Q163" s="29"/>
      <c r="R163" s="38"/>
      <c r="BR163"/>
      <c r="BS163"/>
      <c r="BT163"/>
      <c r="BU163"/>
      <c r="BV163"/>
      <c r="BW163"/>
      <c r="BX163"/>
      <c r="BY163"/>
      <c r="BZ163"/>
      <c r="CA163"/>
    </row>
    <row r="164" spans="1:79" s="39" customFormat="1" x14ac:dyDescent="0.25">
      <c r="A164" s="5"/>
      <c r="B164" s="13"/>
      <c r="C164" s="13"/>
      <c r="D164" s="13"/>
      <c r="E164" s="13"/>
      <c r="F164" s="9"/>
      <c r="G164" s="32"/>
      <c r="H164" s="32"/>
      <c r="I164" s="32"/>
      <c r="J164" s="32"/>
      <c r="K164" s="29"/>
      <c r="L164" s="29"/>
      <c r="M164" s="29"/>
      <c r="N164" s="29"/>
      <c r="O164" s="29"/>
      <c r="P164" s="29"/>
      <c r="Q164" s="29"/>
      <c r="R164" s="38"/>
      <c r="BR164"/>
      <c r="BS164"/>
      <c r="BT164"/>
      <c r="BU164"/>
      <c r="BV164"/>
      <c r="BW164"/>
      <c r="BX164"/>
      <c r="BY164"/>
      <c r="BZ164"/>
      <c r="CA164"/>
    </row>
    <row r="165" spans="1:79" s="39" customFormat="1" x14ac:dyDescent="0.25">
      <c r="A165" s="5"/>
      <c r="B165" s="13"/>
      <c r="C165" s="13"/>
      <c r="D165" s="13"/>
      <c r="E165" s="13"/>
      <c r="F165" s="9"/>
      <c r="G165" s="32"/>
      <c r="H165" s="32"/>
      <c r="I165" s="32"/>
      <c r="J165" s="32"/>
      <c r="K165" s="29"/>
      <c r="L165" s="29"/>
      <c r="M165" s="29"/>
      <c r="N165" s="29"/>
      <c r="O165" s="29"/>
      <c r="P165" s="29"/>
      <c r="Q165" s="29"/>
      <c r="R165" s="38"/>
      <c r="BR165"/>
      <c r="BS165"/>
      <c r="BT165"/>
      <c r="BU165"/>
      <c r="BV165"/>
      <c r="BW165"/>
      <c r="BX165"/>
      <c r="BY165"/>
      <c r="BZ165"/>
      <c r="CA165"/>
    </row>
    <row r="166" spans="1:79" s="39" customFormat="1" x14ac:dyDescent="0.25">
      <c r="A166" s="5"/>
      <c r="B166" s="13"/>
      <c r="C166" s="13"/>
      <c r="D166" s="13"/>
      <c r="E166" s="13"/>
      <c r="F166" s="9"/>
      <c r="G166" s="32"/>
      <c r="H166" s="32"/>
      <c r="I166" s="32"/>
      <c r="J166" s="32"/>
      <c r="K166" s="29"/>
      <c r="L166" s="29"/>
      <c r="M166" s="29"/>
      <c r="N166" s="29"/>
      <c r="O166" s="29"/>
      <c r="P166" s="29"/>
      <c r="Q166" s="29"/>
      <c r="R166" s="38"/>
      <c r="BR166"/>
      <c r="BS166"/>
      <c r="BT166"/>
      <c r="BU166"/>
      <c r="BV166"/>
      <c r="BW166"/>
      <c r="BX166"/>
      <c r="BY166"/>
      <c r="BZ166"/>
      <c r="CA166"/>
    </row>
    <row r="167" spans="1:79" s="39" customFormat="1" x14ac:dyDescent="0.25">
      <c r="A167" s="5"/>
      <c r="B167" s="13"/>
      <c r="C167" s="13"/>
      <c r="D167" s="13"/>
      <c r="E167" s="13"/>
      <c r="F167" s="9"/>
      <c r="G167" s="32"/>
      <c r="H167" s="32"/>
      <c r="I167" s="32"/>
      <c r="J167" s="32"/>
      <c r="K167" s="29"/>
      <c r="L167" s="29"/>
      <c r="M167" s="29"/>
      <c r="N167" s="29"/>
      <c r="O167" s="29"/>
      <c r="P167" s="29"/>
      <c r="Q167" s="29"/>
      <c r="R167" s="38"/>
      <c r="BR167"/>
      <c r="BS167"/>
      <c r="BT167"/>
      <c r="BU167"/>
      <c r="BV167"/>
      <c r="BW167"/>
      <c r="BX167"/>
      <c r="BY167"/>
      <c r="BZ167"/>
      <c r="CA167"/>
    </row>
    <row r="168" spans="1:79" s="39" customFormat="1" x14ac:dyDescent="0.25">
      <c r="A168" s="5"/>
      <c r="B168" s="13"/>
      <c r="C168" s="13"/>
      <c r="D168" s="13"/>
      <c r="E168" s="13"/>
      <c r="F168" s="9"/>
      <c r="G168" s="32"/>
      <c r="H168" s="32"/>
      <c r="I168" s="32"/>
      <c r="J168" s="32"/>
      <c r="K168" s="29"/>
      <c r="L168" s="29"/>
      <c r="M168" s="29"/>
      <c r="N168" s="29"/>
      <c r="O168" s="29"/>
      <c r="P168" s="29"/>
      <c r="Q168" s="29"/>
      <c r="R168" s="38"/>
      <c r="BR168"/>
      <c r="BS168"/>
      <c r="BT168"/>
      <c r="BU168"/>
      <c r="BV168"/>
      <c r="BW168"/>
      <c r="BX168"/>
      <c r="BY168"/>
      <c r="BZ168"/>
      <c r="CA168"/>
    </row>
    <row r="169" spans="1:79" s="39" customFormat="1" x14ac:dyDescent="0.25">
      <c r="A169" s="5"/>
      <c r="B169" s="13"/>
      <c r="C169" s="13"/>
      <c r="D169" s="13"/>
      <c r="E169" s="13"/>
      <c r="F169" s="9"/>
      <c r="G169" s="32"/>
      <c r="H169" s="32"/>
      <c r="I169" s="32"/>
      <c r="J169" s="32"/>
      <c r="K169" s="29"/>
      <c r="L169" s="29"/>
      <c r="M169" s="29"/>
      <c r="N169" s="29"/>
      <c r="O169" s="29"/>
      <c r="P169" s="29"/>
      <c r="Q169" s="29"/>
      <c r="R169" s="38"/>
      <c r="BR169"/>
      <c r="BS169"/>
      <c r="BT169"/>
      <c r="BU169"/>
      <c r="BV169"/>
      <c r="BW169"/>
      <c r="BX169"/>
      <c r="BY169"/>
      <c r="BZ169"/>
      <c r="CA169"/>
    </row>
    <row r="170" spans="1:79" s="39" customFormat="1" x14ac:dyDescent="0.25">
      <c r="A170" s="5"/>
      <c r="B170" s="13"/>
      <c r="C170" s="13"/>
      <c r="D170" s="13"/>
      <c r="E170" s="13"/>
      <c r="F170" s="9"/>
      <c r="G170" s="32"/>
      <c r="H170" s="32"/>
      <c r="I170" s="32"/>
      <c r="J170" s="32"/>
      <c r="K170" s="29"/>
      <c r="L170" s="29"/>
      <c r="M170" s="29"/>
      <c r="N170" s="29"/>
      <c r="O170" s="29"/>
      <c r="P170" s="29"/>
      <c r="Q170" s="29"/>
      <c r="R170" s="38"/>
      <c r="BR170"/>
      <c r="BS170"/>
      <c r="BT170"/>
      <c r="BU170"/>
      <c r="BV170"/>
      <c r="BW170"/>
      <c r="BX170"/>
      <c r="BY170"/>
      <c r="BZ170"/>
      <c r="CA170"/>
    </row>
    <row r="171" spans="1:79" s="39" customFormat="1" x14ac:dyDescent="0.25">
      <c r="A171" s="5"/>
      <c r="B171" s="13"/>
      <c r="C171" s="13"/>
      <c r="D171" s="13"/>
      <c r="E171" s="13"/>
      <c r="F171" s="9"/>
      <c r="G171" s="32"/>
      <c r="H171" s="32"/>
      <c r="I171" s="32"/>
      <c r="J171" s="32"/>
      <c r="K171" s="29"/>
      <c r="L171" s="29"/>
      <c r="M171" s="29"/>
      <c r="N171" s="29"/>
      <c r="O171" s="29"/>
      <c r="P171" s="29"/>
      <c r="Q171" s="29"/>
      <c r="R171" s="38"/>
      <c r="BR171"/>
      <c r="BS171"/>
      <c r="BT171"/>
      <c r="BU171"/>
      <c r="BV171"/>
      <c r="BW171"/>
      <c r="BX171"/>
      <c r="BY171"/>
      <c r="BZ171"/>
      <c r="CA171"/>
    </row>
    <row r="172" spans="1:79" s="39" customFormat="1" x14ac:dyDescent="0.25">
      <c r="A172" s="5"/>
      <c r="B172" s="13"/>
      <c r="C172" s="13"/>
      <c r="D172" s="13"/>
      <c r="E172" s="13"/>
      <c r="F172" s="9"/>
      <c r="G172" s="32"/>
      <c r="H172" s="32"/>
      <c r="I172" s="32"/>
      <c r="J172" s="32"/>
      <c r="K172" s="29"/>
      <c r="L172" s="29"/>
      <c r="M172" s="29"/>
      <c r="N172" s="29"/>
      <c r="O172" s="29"/>
      <c r="P172" s="29"/>
      <c r="Q172" s="29"/>
      <c r="R172" s="38"/>
      <c r="BR172"/>
      <c r="BS172"/>
      <c r="BT172"/>
      <c r="BU172"/>
      <c r="BV172"/>
      <c r="BW172"/>
      <c r="BX172"/>
      <c r="BY172"/>
      <c r="BZ172"/>
      <c r="CA172"/>
    </row>
    <row r="173" spans="1:79" s="39" customFormat="1" x14ac:dyDescent="0.25">
      <c r="A173" s="5"/>
      <c r="B173" s="13"/>
      <c r="C173" s="13"/>
      <c r="D173" s="13"/>
      <c r="E173" s="13"/>
      <c r="F173" s="9"/>
      <c r="G173" s="32"/>
      <c r="H173" s="32"/>
      <c r="I173" s="32"/>
      <c r="J173" s="32"/>
      <c r="K173" s="29"/>
      <c r="L173" s="29"/>
      <c r="M173" s="29"/>
      <c r="N173" s="29"/>
      <c r="O173" s="29"/>
      <c r="P173" s="29"/>
      <c r="Q173" s="29"/>
      <c r="R173" s="38"/>
      <c r="BR173"/>
      <c r="BS173"/>
      <c r="BT173"/>
      <c r="BU173"/>
      <c r="BV173"/>
      <c r="BW173"/>
      <c r="BX173"/>
      <c r="BY173"/>
      <c r="BZ173"/>
      <c r="CA173"/>
    </row>
    <row r="174" spans="1:79" s="39" customFormat="1" x14ac:dyDescent="0.25">
      <c r="A174" s="5"/>
      <c r="B174" s="13"/>
      <c r="C174" s="13"/>
      <c r="D174" s="13"/>
      <c r="E174" s="13"/>
      <c r="F174" s="9"/>
      <c r="G174" s="32"/>
      <c r="H174" s="32"/>
      <c r="I174" s="32"/>
      <c r="J174" s="32"/>
      <c r="K174" s="29"/>
      <c r="L174" s="29"/>
      <c r="M174" s="29"/>
      <c r="N174" s="29"/>
      <c r="O174" s="29"/>
      <c r="P174" s="29"/>
      <c r="Q174" s="29"/>
      <c r="R174" s="38"/>
      <c r="BR174"/>
      <c r="BS174"/>
      <c r="BT174"/>
      <c r="BU174"/>
      <c r="BV174"/>
      <c r="BW174"/>
      <c r="BX174"/>
      <c r="BY174"/>
      <c r="BZ174"/>
      <c r="CA174"/>
    </row>
    <row r="175" spans="1:79" s="39" customFormat="1" x14ac:dyDescent="0.25">
      <c r="A175" s="5"/>
      <c r="B175" s="13"/>
      <c r="C175" s="13"/>
      <c r="D175" s="13"/>
      <c r="E175" s="13"/>
      <c r="F175" s="9"/>
      <c r="G175" s="32"/>
      <c r="H175" s="32"/>
      <c r="I175" s="32"/>
      <c r="J175" s="32"/>
      <c r="K175" s="29"/>
      <c r="L175" s="29"/>
      <c r="M175" s="29"/>
      <c r="N175" s="29"/>
      <c r="O175" s="29"/>
      <c r="P175" s="29"/>
      <c r="Q175" s="29"/>
      <c r="R175" s="38"/>
      <c r="BR175"/>
      <c r="BS175"/>
      <c r="BT175"/>
      <c r="BU175"/>
      <c r="BV175"/>
      <c r="BW175"/>
      <c r="BX175"/>
      <c r="BY175"/>
      <c r="BZ175"/>
      <c r="CA175"/>
    </row>
    <row r="176" spans="1:79" s="39" customFormat="1" x14ac:dyDescent="0.25">
      <c r="A176" s="5"/>
      <c r="B176" s="13"/>
      <c r="C176" s="13"/>
      <c r="D176" s="13"/>
      <c r="E176" s="13"/>
      <c r="F176" s="9"/>
      <c r="G176" s="32"/>
      <c r="H176" s="32"/>
      <c r="I176" s="32"/>
      <c r="J176" s="32"/>
      <c r="K176" s="29"/>
      <c r="L176" s="29"/>
      <c r="M176" s="29"/>
      <c r="N176" s="29"/>
      <c r="O176" s="29"/>
      <c r="P176" s="29"/>
      <c r="Q176" s="29"/>
      <c r="R176" s="38"/>
      <c r="BR176"/>
      <c r="BS176"/>
      <c r="BT176"/>
      <c r="BU176"/>
      <c r="BV176"/>
      <c r="BW176"/>
      <c r="BX176"/>
      <c r="BY176"/>
      <c r="BZ176"/>
      <c r="CA176"/>
    </row>
    <row r="177" spans="1:79" s="39" customFormat="1" x14ac:dyDescent="0.25">
      <c r="A177" s="5"/>
      <c r="B177" s="13"/>
      <c r="C177" s="13"/>
      <c r="D177" s="13"/>
      <c r="E177" s="13"/>
      <c r="F177" s="9"/>
      <c r="G177" s="32"/>
      <c r="H177" s="32"/>
      <c r="I177" s="32"/>
      <c r="J177" s="32"/>
      <c r="K177" s="29"/>
      <c r="L177" s="29"/>
      <c r="M177" s="29"/>
      <c r="N177" s="29"/>
      <c r="O177" s="29"/>
      <c r="P177" s="29"/>
      <c r="Q177" s="29"/>
      <c r="R177" s="38"/>
      <c r="BR177"/>
      <c r="BS177"/>
      <c r="BT177"/>
      <c r="BU177"/>
      <c r="BV177"/>
      <c r="BW177"/>
      <c r="BX177"/>
      <c r="BY177"/>
      <c r="BZ177"/>
      <c r="CA177"/>
    </row>
    <row r="178" spans="1:79" s="39" customFormat="1" x14ac:dyDescent="0.25">
      <c r="A178" s="5"/>
      <c r="B178" s="13"/>
      <c r="C178" s="13"/>
      <c r="D178" s="13"/>
      <c r="E178" s="13"/>
      <c r="F178" s="9"/>
      <c r="G178" s="32"/>
      <c r="H178" s="32"/>
      <c r="I178" s="32"/>
      <c r="J178" s="32"/>
      <c r="K178" s="29"/>
      <c r="L178" s="29"/>
      <c r="M178" s="29"/>
      <c r="N178" s="29"/>
      <c r="O178" s="29"/>
      <c r="P178" s="29"/>
      <c r="Q178" s="29"/>
      <c r="R178" s="38"/>
      <c r="BR178"/>
      <c r="BS178"/>
      <c r="BT178"/>
      <c r="BU178"/>
      <c r="BV178"/>
      <c r="BW178"/>
      <c r="BX178"/>
      <c r="BY178"/>
      <c r="BZ178"/>
      <c r="CA178"/>
    </row>
    <row r="179" spans="1:79" s="39" customFormat="1" x14ac:dyDescent="0.25">
      <c r="A179" s="5"/>
      <c r="B179" s="13"/>
      <c r="C179" s="13"/>
      <c r="D179" s="13"/>
      <c r="E179" s="13"/>
      <c r="F179" s="9"/>
      <c r="G179" s="32"/>
      <c r="H179" s="32"/>
      <c r="I179" s="32"/>
      <c r="J179" s="32"/>
      <c r="K179" s="29"/>
      <c r="L179" s="29"/>
      <c r="M179" s="29"/>
      <c r="N179" s="29"/>
      <c r="O179" s="29"/>
      <c r="P179" s="29"/>
      <c r="Q179" s="29"/>
      <c r="R179" s="38"/>
      <c r="BR179"/>
      <c r="BS179"/>
      <c r="BT179"/>
      <c r="BU179"/>
      <c r="BV179"/>
      <c r="BW179"/>
      <c r="BX179"/>
      <c r="BY179"/>
      <c r="BZ179"/>
      <c r="CA179"/>
    </row>
    <row r="180" spans="1:79" s="39" customFormat="1" x14ac:dyDescent="0.25">
      <c r="A180" s="5"/>
      <c r="B180" s="13"/>
      <c r="C180" s="13"/>
      <c r="D180" s="13"/>
      <c r="E180" s="13"/>
      <c r="F180" s="9"/>
      <c r="G180" s="32"/>
      <c r="H180" s="32"/>
      <c r="I180" s="32"/>
      <c r="J180" s="32"/>
      <c r="K180" s="29"/>
      <c r="L180" s="29"/>
      <c r="M180" s="29"/>
      <c r="N180" s="29"/>
      <c r="O180" s="29"/>
      <c r="P180" s="29"/>
      <c r="Q180" s="29"/>
      <c r="R180" s="38"/>
      <c r="BR180"/>
      <c r="BS180"/>
      <c r="BT180"/>
      <c r="BU180"/>
      <c r="BV180"/>
      <c r="BW180"/>
      <c r="BX180"/>
      <c r="BY180"/>
      <c r="BZ180"/>
      <c r="CA180"/>
    </row>
    <row r="181" spans="1:79" s="39" customFormat="1" x14ac:dyDescent="0.25">
      <c r="A181" s="5"/>
      <c r="B181" s="13"/>
      <c r="C181" s="13"/>
      <c r="D181" s="13"/>
      <c r="E181" s="13"/>
      <c r="F181" s="9"/>
      <c r="G181" s="32"/>
      <c r="H181" s="32"/>
      <c r="I181" s="32"/>
      <c r="J181" s="32"/>
      <c r="K181" s="29"/>
      <c r="L181" s="29"/>
      <c r="M181" s="29"/>
      <c r="N181" s="29"/>
      <c r="O181" s="29"/>
      <c r="P181" s="29"/>
      <c r="Q181" s="29"/>
      <c r="R181" s="38"/>
      <c r="BR181"/>
      <c r="BS181"/>
      <c r="BT181"/>
      <c r="BU181"/>
      <c r="BV181"/>
      <c r="BW181"/>
      <c r="BX181"/>
      <c r="BY181"/>
      <c r="BZ181"/>
      <c r="CA181"/>
    </row>
    <row r="182" spans="1:79" s="39" customFormat="1" x14ac:dyDescent="0.25">
      <c r="A182" s="5"/>
      <c r="B182" s="13"/>
      <c r="C182" s="13"/>
      <c r="D182" s="13"/>
      <c r="E182" s="13"/>
      <c r="F182" s="9"/>
      <c r="G182" s="32"/>
      <c r="H182" s="32"/>
      <c r="I182" s="32"/>
      <c r="J182" s="32"/>
      <c r="K182" s="29"/>
      <c r="L182" s="29"/>
      <c r="M182" s="29"/>
      <c r="N182" s="29"/>
      <c r="O182" s="29"/>
      <c r="P182" s="29"/>
      <c r="Q182" s="29"/>
      <c r="R182" s="38"/>
      <c r="BR182"/>
      <c r="BS182"/>
      <c r="BT182"/>
      <c r="BU182"/>
      <c r="BV182"/>
      <c r="BW182"/>
      <c r="BX182"/>
      <c r="BY182"/>
      <c r="BZ182"/>
      <c r="CA182"/>
    </row>
    <row r="183" spans="1:79" s="39" customFormat="1" x14ac:dyDescent="0.25">
      <c r="A183" s="5"/>
      <c r="B183" s="13"/>
      <c r="C183" s="13"/>
      <c r="D183" s="13"/>
      <c r="E183" s="13"/>
      <c r="F183" s="9"/>
      <c r="G183" s="32"/>
      <c r="H183" s="32"/>
      <c r="I183" s="32"/>
      <c r="J183" s="32"/>
      <c r="K183" s="29"/>
      <c r="L183" s="29"/>
      <c r="M183" s="29"/>
      <c r="N183" s="29"/>
      <c r="O183" s="29"/>
      <c r="P183" s="29"/>
      <c r="Q183" s="29"/>
      <c r="R183" s="38"/>
      <c r="BR183"/>
      <c r="BS183"/>
      <c r="BT183"/>
      <c r="BU183"/>
      <c r="BV183"/>
      <c r="BW183"/>
      <c r="BX183"/>
      <c r="BY183"/>
      <c r="BZ183"/>
      <c r="CA183"/>
    </row>
    <row r="184" spans="1:79" s="39" customFormat="1" x14ac:dyDescent="0.25">
      <c r="A184" s="5"/>
      <c r="B184" s="13"/>
      <c r="C184" s="13"/>
      <c r="D184" s="13"/>
      <c r="E184" s="13"/>
      <c r="F184" s="9"/>
      <c r="G184" s="32"/>
      <c r="H184" s="32"/>
      <c r="I184" s="32"/>
      <c r="J184" s="32"/>
      <c r="K184" s="29"/>
      <c r="L184" s="29"/>
      <c r="M184" s="29"/>
      <c r="N184" s="29"/>
      <c r="O184" s="29"/>
      <c r="P184" s="29"/>
      <c r="Q184" s="29"/>
      <c r="R184" s="38"/>
      <c r="BR184"/>
      <c r="BS184"/>
      <c r="BT184"/>
      <c r="BU184"/>
      <c r="BV184"/>
      <c r="BW184"/>
      <c r="BX184"/>
      <c r="BY184"/>
      <c r="BZ184"/>
      <c r="CA184"/>
    </row>
    <row r="185" spans="1:79" s="39" customFormat="1" x14ac:dyDescent="0.25">
      <c r="A185" s="5"/>
      <c r="B185" s="13"/>
      <c r="C185" s="13"/>
      <c r="D185" s="13"/>
      <c r="E185" s="13"/>
      <c r="F185" s="9"/>
      <c r="G185" s="32"/>
      <c r="H185" s="32"/>
      <c r="I185" s="32"/>
      <c r="J185" s="32"/>
      <c r="K185" s="29"/>
      <c r="L185" s="29"/>
      <c r="M185" s="29"/>
      <c r="N185" s="29"/>
      <c r="O185" s="29"/>
      <c r="P185" s="29"/>
      <c r="Q185" s="29"/>
      <c r="R185" s="38"/>
      <c r="BR185"/>
      <c r="BS185"/>
      <c r="BT185"/>
      <c r="BU185"/>
      <c r="BV185"/>
      <c r="BW185"/>
      <c r="BX185"/>
      <c r="BY185"/>
      <c r="BZ185"/>
      <c r="CA185"/>
    </row>
    <row r="186" spans="1:79" s="39" customFormat="1" x14ac:dyDescent="0.25">
      <c r="A186" s="5"/>
      <c r="B186" s="13"/>
      <c r="C186" s="13"/>
      <c r="D186" s="13"/>
      <c r="E186" s="13"/>
      <c r="F186" s="9"/>
      <c r="G186" s="32"/>
      <c r="H186" s="32"/>
      <c r="I186" s="32"/>
      <c r="J186" s="32"/>
      <c r="K186" s="29"/>
      <c r="L186" s="29"/>
      <c r="M186" s="29"/>
      <c r="N186" s="29"/>
      <c r="O186" s="29"/>
      <c r="P186" s="29"/>
      <c r="Q186" s="29"/>
      <c r="R186" s="38"/>
      <c r="BR186"/>
      <c r="BS186"/>
      <c r="BT186"/>
      <c r="BU186"/>
      <c r="BV186"/>
      <c r="BW186"/>
      <c r="BX186"/>
      <c r="BY186"/>
      <c r="BZ186"/>
      <c r="CA186"/>
    </row>
    <row r="187" spans="1:79" s="39" customFormat="1" x14ac:dyDescent="0.25">
      <c r="A187" s="5"/>
      <c r="B187" s="13"/>
      <c r="C187" s="13"/>
      <c r="D187" s="13"/>
      <c r="E187" s="13"/>
      <c r="F187" s="9"/>
      <c r="G187" s="32"/>
      <c r="H187" s="32"/>
      <c r="I187" s="32"/>
      <c r="J187" s="32"/>
      <c r="K187" s="29"/>
      <c r="L187" s="29"/>
      <c r="M187" s="29"/>
      <c r="N187" s="29"/>
      <c r="O187" s="29"/>
      <c r="P187" s="29"/>
      <c r="Q187" s="29"/>
      <c r="R187" s="38"/>
      <c r="BR187"/>
      <c r="BS187"/>
      <c r="BT187"/>
      <c r="BU187"/>
      <c r="BV187"/>
      <c r="BW187"/>
      <c r="BX187"/>
      <c r="BY187"/>
      <c r="BZ187"/>
      <c r="CA187"/>
    </row>
    <row r="188" spans="1:79" s="39" customFormat="1" x14ac:dyDescent="0.25">
      <c r="A188" s="5"/>
      <c r="B188" s="13"/>
      <c r="C188" s="13"/>
      <c r="D188" s="13"/>
      <c r="E188" s="13"/>
      <c r="F188" s="9"/>
      <c r="G188" s="32"/>
      <c r="H188" s="32"/>
      <c r="I188" s="32"/>
      <c r="J188" s="32"/>
      <c r="K188" s="29"/>
      <c r="L188" s="29"/>
      <c r="M188" s="29"/>
      <c r="N188" s="29"/>
      <c r="O188" s="29"/>
      <c r="P188" s="29"/>
      <c r="Q188" s="29"/>
      <c r="R188" s="38"/>
      <c r="BR188"/>
      <c r="BS188"/>
      <c r="BT188"/>
      <c r="BU188"/>
      <c r="BV188"/>
      <c r="BW188"/>
      <c r="BX188"/>
      <c r="BY188"/>
      <c r="BZ188"/>
      <c r="CA188"/>
    </row>
    <row r="189" spans="1:79" s="39" customFormat="1" x14ac:dyDescent="0.25">
      <c r="A189" s="5"/>
      <c r="B189" s="13"/>
      <c r="C189" s="13"/>
      <c r="D189" s="13"/>
      <c r="E189" s="13"/>
      <c r="F189" s="9"/>
      <c r="G189" s="32"/>
      <c r="H189" s="32"/>
      <c r="I189" s="32"/>
      <c r="J189" s="32"/>
      <c r="K189" s="29"/>
      <c r="L189" s="29"/>
      <c r="M189" s="29"/>
      <c r="N189" s="29"/>
      <c r="O189" s="29"/>
      <c r="P189" s="29"/>
      <c r="Q189" s="29"/>
      <c r="R189" s="38"/>
      <c r="BR189"/>
      <c r="BS189"/>
      <c r="BT189"/>
      <c r="BU189"/>
      <c r="BV189"/>
      <c r="BW189"/>
      <c r="BX189"/>
      <c r="BY189"/>
      <c r="BZ189"/>
      <c r="CA189"/>
    </row>
    <row r="190" spans="1:79" s="39" customFormat="1" x14ac:dyDescent="0.25">
      <c r="A190" s="5"/>
      <c r="B190" s="13"/>
      <c r="C190" s="13"/>
      <c r="D190" s="13"/>
      <c r="E190" s="13"/>
      <c r="F190" s="9"/>
      <c r="G190" s="32"/>
      <c r="H190" s="32"/>
      <c r="I190" s="32"/>
      <c r="J190" s="32"/>
      <c r="K190" s="29"/>
      <c r="L190" s="29"/>
      <c r="M190" s="29"/>
      <c r="N190" s="29"/>
      <c r="O190" s="29"/>
      <c r="P190" s="29"/>
      <c r="Q190" s="29"/>
      <c r="R190" s="38"/>
      <c r="BR190"/>
      <c r="BS190"/>
      <c r="BT190"/>
      <c r="BU190"/>
      <c r="BV190"/>
      <c r="BW190"/>
      <c r="BX190"/>
      <c r="BY190"/>
      <c r="BZ190"/>
      <c r="CA190"/>
    </row>
    <row r="191" spans="1:79" s="39" customFormat="1" x14ac:dyDescent="0.25">
      <c r="A191" s="5"/>
      <c r="B191" s="13"/>
      <c r="C191" s="13"/>
      <c r="D191" s="13"/>
      <c r="E191" s="13"/>
      <c r="F191" s="9"/>
      <c r="G191" s="32"/>
      <c r="H191" s="32"/>
      <c r="I191" s="32"/>
      <c r="J191" s="32"/>
      <c r="K191" s="29"/>
      <c r="L191" s="29"/>
      <c r="M191" s="29"/>
      <c r="N191" s="29"/>
      <c r="O191" s="29"/>
      <c r="P191" s="29"/>
      <c r="Q191" s="29"/>
      <c r="R191" s="38"/>
      <c r="BR191"/>
      <c r="BS191"/>
      <c r="BT191"/>
      <c r="BU191"/>
      <c r="BV191"/>
      <c r="BW191"/>
      <c r="BX191"/>
      <c r="BY191"/>
      <c r="BZ191"/>
      <c r="CA191"/>
    </row>
    <row r="192" spans="1:79" s="39" customFormat="1" x14ac:dyDescent="0.25">
      <c r="A192" s="5"/>
      <c r="B192" s="13"/>
      <c r="C192" s="13"/>
      <c r="D192" s="13"/>
      <c r="E192" s="13"/>
      <c r="F192" s="9"/>
      <c r="G192" s="32"/>
      <c r="H192" s="32"/>
      <c r="I192" s="32"/>
      <c r="J192" s="32"/>
      <c r="K192" s="29"/>
      <c r="L192" s="29"/>
      <c r="M192" s="29"/>
      <c r="N192" s="29"/>
      <c r="O192" s="29"/>
      <c r="P192" s="29"/>
      <c r="Q192" s="29"/>
      <c r="R192" s="38"/>
      <c r="BR192"/>
      <c r="BS192"/>
      <c r="BT192"/>
      <c r="BU192"/>
      <c r="BV192"/>
      <c r="BW192"/>
      <c r="BX192"/>
      <c r="BY192"/>
      <c r="BZ192"/>
      <c r="CA192"/>
    </row>
    <row r="193" spans="1:79" s="39" customFormat="1" x14ac:dyDescent="0.25">
      <c r="A193" s="5"/>
      <c r="B193" s="13"/>
      <c r="C193" s="13"/>
      <c r="D193" s="13"/>
      <c r="E193" s="13"/>
      <c r="F193" s="9"/>
      <c r="G193" s="32"/>
      <c r="H193" s="32"/>
      <c r="I193" s="32"/>
      <c r="J193" s="32"/>
      <c r="K193" s="29"/>
      <c r="L193" s="29"/>
      <c r="M193" s="29"/>
      <c r="N193" s="29"/>
      <c r="O193" s="29"/>
      <c r="P193" s="29"/>
      <c r="Q193" s="29"/>
      <c r="R193" s="38"/>
      <c r="BR193"/>
      <c r="BS193"/>
      <c r="BT193"/>
      <c r="BU193"/>
      <c r="BV193"/>
      <c r="BW193"/>
      <c r="BX193"/>
      <c r="BY193"/>
      <c r="BZ193"/>
      <c r="CA193"/>
    </row>
    <row r="194" spans="1:79" s="39" customFormat="1" x14ac:dyDescent="0.25">
      <c r="A194" s="5"/>
      <c r="B194" s="13"/>
      <c r="C194" s="13"/>
      <c r="D194" s="13"/>
      <c r="E194" s="13"/>
      <c r="F194" s="9"/>
      <c r="G194" s="32"/>
      <c r="H194" s="32"/>
      <c r="I194" s="32"/>
      <c r="J194" s="32"/>
      <c r="K194" s="29"/>
      <c r="L194" s="29"/>
      <c r="M194" s="29"/>
      <c r="N194" s="29"/>
      <c r="O194" s="29"/>
      <c r="P194" s="29"/>
      <c r="Q194" s="29"/>
      <c r="R194" s="38"/>
      <c r="BR194"/>
      <c r="BS194"/>
      <c r="BT194"/>
      <c r="BU194"/>
      <c r="BV194"/>
      <c r="BW194"/>
      <c r="BX194"/>
      <c r="BY194"/>
      <c r="BZ194"/>
      <c r="CA194"/>
    </row>
    <row r="195" spans="1:79" s="39" customFormat="1" x14ac:dyDescent="0.25">
      <c r="A195" s="5"/>
      <c r="B195" s="13"/>
      <c r="C195" s="13"/>
      <c r="D195" s="13"/>
      <c r="E195" s="13"/>
      <c r="F195" s="9"/>
      <c r="G195" s="32"/>
      <c r="H195" s="32"/>
      <c r="I195" s="32"/>
      <c r="J195" s="32"/>
      <c r="K195" s="29"/>
      <c r="L195" s="29"/>
      <c r="M195" s="29"/>
      <c r="N195" s="29"/>
      <c r="O195" s="29"/>
      <c r="P195" s="29"/>
      <c r="Q195" s="29"/>
      <c r="R195" s="38"/>
      <c r="BR195"/>
      <c r="BS195"/>
      <c r="BT195"/>
      <c r="BU195"/>
      <c r="BV195"/>
      <c r="BW195"/>
      <c r="BX195"/>
      <c r="BY195"/>
      <c r="BZ195"/>
      <c r="CA195"/>
    </row>
    <row r="196" spans="1:79" s="39" customFormat="1" x14ac:dyDescent="0.25">
      <c r="A196" s="5"/>
      <c r="B196" s="13"/>
      <c r="C196" s="13"/>
      <c r="D196" s="13"/>
      <c r="E196" s="13"/>
      <c r="F196" s="9"/>
      <c r="G196" s="32"/>
      <c r="H196" s="32"/>
      <c r="I196" s="32"/>
      <c r="J196" s="32"/>
      <c r="K196" s="29"/>
      <c r="L196" s="29"/>
      <c r="M196" s="29"/>
      <c r="N196" s="29"/>
      <c r="O196" s="29"/>
      <c r="P196" s="29"/>
      <c r="Q196" s="29"/>
      <c r="R196" s="38"/>
      <c r="BR196"/>
      <c r="BS196"/>
      <c r="BT196"/>
      <c r="BU196"/>
      <c r="BV196"/>
      <c r="BW196"/>
      <c r="BX196"/>
      <c r="BY196"/>
      <c r="BZ196"/>
      <c r="CA196"/>
    </row>
    <row r="197" spans="1:79" s="39" customFormat="1" x14ac:dyDescent="0.25">
      <c r="A197" s="5"/>
      <c r="B197" s="13"/>
      <c r="C197" s="13"/>
      <c r="D197" s="13"/>
      <c r="E197" s="13"/>
      <c r="F197" s="9"/>
      <c r="G197" s="32"/>
      <c r="H197" s="32"/>
      <c r="I197" s="32"/>
      <c r="J197" s="32"/>
      <c r="K197" s="29"/>
      <c r="L197" s="29"/>
      <c r="M197" s="29"/>
      <c r="N197" s="29"/>
      <c r="O197" s="29"/>
      <c r="P197" s="29"/>
      <c r="Q197" s="29"/>
      <c r="R197" s="38"/>
      <c r="BR197"/>
      <c r="BS197"/>
      <c r="BT197"/>
      <c r="BU197"/>
      <c r="BV197"/>
      <c r="BW197"/>
      <c r="BX197"/>
      <c r="BY197"/>
      <c r="BZ197"/>
      <c r="CA197"/>
    </row>
    <row r="198" spans="1:79" s="39" customFormat="1" x14ac:dyDescent="0.25">
      <c r="A198" s="5"/>
      <c r="B198" s="13"/>
      <c r="C198" s="13"/>
      <c r="D198" s="13"/>
      <c r="E198" s="13"/>
      <c r="F198" s="9"/>
      <c r="G198" s="32"/>
      <c r="H198" s="32"/>
      <c r="I198" s="32"/>
      <c r="J198" s="32"/>
      <c r="K198" s="29"/>
      <c r="L198" s="29"/>
      <c r="M198" s="29"/>
      <c r="N198" s="29"/>
      <c r="O198" s="29"/>
      <c r="P198" s="29"/>
      <c r="Q198" s="29"/>
      <c r="R198" s="38"/>
      <c r="BR198"/>
      <c r="BS198"/>
      <c r="BT198"/>
      <c r="BU198"/>
      <c r="BV198"/>
      <c r="BW198"/>
      <c r="BX198"/>
      <c r="BY198"/>
      <c r="BZ198"/>
      <c r="CA198"/>
    </row>
    <row r="199" spans="1:79" s="39" customFormat="1" x14ac:dyDescent="0.25">
      <c r="A199" s="5"/>
      <c r="B199" s="13"/>
      <c r="C199" s="13"/>
      <c r="D199" s="13"/>
      <c r="E199" s="13"/>
      <c r="F199" s="9"/>
      <c r="G199" s="32"/>
      <c r="H199" s="32"/>
      <c r="I199" s="32"/>
      <c r="J199" s="32"/>
      <c r="K199" s="29"/>
      <c r="L199" s="29"/>
      <c r="M199" s="29"/>
      <c r="N199" s="29"/>
      <c r="O199" s="29"/>
      <c r="P199" s="29"/>
      <c r="Q199" s="29"/>
      <c r="R199" s="38"/>
      <c r="BR199"/>
      <c r="BS199"/>
      <c r="BT199"/>
      <c r="BU199"/>
      <c r="BV199"/>
      <c r="BW199"/>
      <c r="BX199"/>
      <c r="BY199"/>
      <c r="BZ199"/>
      <c r="CA199"/>
    </row>
    <row r="200" spans="1:79" s="39" customFormat="1" x14ac:dyDescent="0.25">
      <c r="A200" s="5"/>
      <c r="B200" s="13"/>
      <c r="C200" s="13"/>
      <c r="D200" s="13"/>
      <c r="E200" s="13"/>
      <c r="F200" s="9"/>
      <c r="G200" s="32"/>
      <c r="H200" s="32"/>
      <c r="I200" s="32"/>
      <c r="J200" s="32"/>
      <c r="K200" s="29"/>
      <c r="L200" s="29"/>
      <c r="M200" s="29"/>
      <c r="N200" s="29"/>
      <c r="O200" s="29"/>
      <c r="P200" s="29"/>
      <c r="Q200" s="29"/>
      <c r="R200" s="38"/>
      <c r="BR200"/>
      <c r="BS200"/>
      <c r="BT200"/>
      <c r="BU200"/>
      <c r="BV200"/>
      <c r="BW200"/>
      <c r="BX200"/>
      <c r="BY200"/>
      <c r="BZ200"/>
      <c r="CA200"/>
    </row>
    <row r="201" spans="1:79" s="39" customFormat="1" x14ac:dyDescent="0.25">
      <c r="A201" s="5"/>
      <c r="B201" s="13"/>
      <c r="C201" s="13"/>
      <c r="D201" s="13"/>
      <c r="E201" s="13"/>
      <c r="F201" s="9"/>
      <c r="G201" s="32"/>
      <c r="H201" s="32"/>
      <c r="I201" s="32"/>
      <c r="J201" s="32"/>
      <c r="K201" s="29"/>
      <c r="L201" s="29"/>
      <c r="M201" s="29"/>
      <c r="N201" s="29"/>
      <c r="O201" s="29"/>
      <c r="P201" s="29"/>
      <c r="Q201" s="29"/>
      <c r="R201" s="38"/>
      <c r="BR201"/>
      <c r="BS201"/>
      <c r="BT201"/>
      <c r="BU201"/>
      <c r="BV201"/>
      <c r="BW201"/>
      <c r="BX201"/>
      <c r="BY201"/>
      <c r="BZ201"/>
      <c r="CA201"/>
    </row>
    <row r="202" spans="1:79" s="39" customFormat="1" x14ac:dyDescent="0.25">
      <c r="A202" s="5"/>
      <c r="B202" s="13"/>
      <c r="C202" s="13"/>
      <c r="D202" s="13"/>
      <c r="E202" s="13"/>
      <c r="F202" s="9"/>
      <c r="G202" s="32"/>
      <c r="H202" s="32"/>
      <c r="I202" s="32"/>
      <c r="J202" s="32"/>
      <c r="K202" s="29"/>
      <c r="L202" s="29"/>
      <c r="M202" s="29"/>
      <c r="N202" s="29"/>
      <c r="O202" s="29"/>
      <c r="P202" s="29"/>
      <c r="Q202" s="29"/>
      <c r="R202" s="38"/>
      <c r="BR202"/>
      <c r="BS202"/>
      <c r="BT202"/>
      <c r="BU202"/>
      <c r="BV202"/>
      <c r="BW202"/>
      <c r="BX202"/>
      <c r="BY202"/>
      <c r="BZ202"/>
      <c r="CA202"/>
    </row>
    <row r="203" spans="1:79" s="39" customFormat="1" x14ac:dyDescent="0.25">
      <c r="A203" s="5"/>
      <c r="B203" s="13"/>
      <c r="C203" s="13"/>
      <c r="D203" s="13"/>
      <c r="E203" s="13"/>
      <c r="F203" s="9"/>
      <c r="G203" s="32"/>
      <c r="H203" s="32"/>
      <c r="I203" s="32"/>
      <c r="J203" s="32"/>
      <c r="K203" s="29"/>
      <c r="L203" s="29"/>
      <c r="M203" s="29"/>
      <c r="N203" s="29"/>
      <c r="O203" s="29"/>
      <c r="P203" s="29"/>
      <c r="Q203" s="29"/>
      <c r="R203" s="38"/>
      <c r="BR203"/>
      <c r="BS203"/>
      <c r="BT203"/>
      <c r="BU203"/>
      <c r="BV203"/>
      <c r="BW203"/>
      <c r="BX203"/>
      <c r="BY203"/>
      <c r="BZ203"/>
      <c r="CA203"/>
    </row>
    <row r="204" spans="1:79" s="39" customFormat="1" x14ac:dyDescent="0.25">
      <c r="A204" s="5"/>
      <c r="B204" s="13"/>
      <c r="C204" s="13"/>
      <c r="D204" s="13"/>
      <c r="E204" s="13"/>
      <c r="F204" s="9"/>
      <c r="G204" s="32"/>
      <c r="H204" s="32"/>
      <c r="I204" s="32"/>
      <c r="J204" s="32"/>
      <c r="K204" s="29"/>
      <c r="L204" s="29"/>
      <c r="M204" s="29"/>
      <c r="N204" s="29"/>
      <c r="O204" s="29"/>
      <c r="P204" s="29"/>
      <c r="Q204" s="29"/>
      <c r="R204" s="38"/>
      <c r="BR204"/>
      <c r="BS204"/>
      <c r="BT204"/>
      <c r="BU204"/>
      <c r="BV204"/>
      <c r="BW204"/>
      <c r="BX204"/>
      <c r="BY204"/>
      <c r="BZ204"/>
      <c r="CA204"/>
    </row>
    <row r="205" spans="1:79" s="39" customFormat="1" x14ac:dyDescent="0.25">
      <c r="A205" s="5"/>
      <c r="B205" s="13"/>
      <c r="C205" s="13"/>
      <c r="D205" s="13"/>
      <c r="E205" s="13"/>
      <c r="F205" s="9"/>
      <c r="G205" s="32"/>
      <c r="H205" s="32"/>
      <c r="I205" s="32"/>
      <c r="J205" s="32"/>
      <c r="K205" s="29"/>
      <c r="L205" s="29"/>
      <c r="M205" s="29"/>
      <c r="N205" s="29"/>
      <c r="O205" s="29"/>
      <c r="P205" s="29"/>
      <c r="Q205" s="29"/>
      <c r="R205" s="38"/>
      <c r="BR205"/>
      <c r="BS205"/>
      <c r="BT205"/>
      <c r="BU205"/>
      <c r="BV205"/>
      <c r="BW205"/>
      <c r="BX205"/>
      <c r="BY205"/>
      <c r="BZ205"/>
      <c r="CA205"/>
    </row>
    <row r="206" spans="1:79" s="39" customFormat="1" x14ac:dyDescent="0.25">
      <c r="A206" s="5"/>
      <c r="B206" s="13"/>
      <c r="C206" s="13"/>
      <c r="D206" s="13"/>
      <c r="E206" s="13"/>
      <c r="F206" s="9"/>
      <c r="G206" s="32"/>
      <c r="H206" s="32"/>
      <c r="I206" s="32"/>
      <c r="J206" s="32"/>
      <c r="K206" s="29"/>
      <c r="L206" s="29"/>
      <c r="M206" s="29"/>
      <c r="N206" s="29"/>
      <c r="O206" s="29"/>
      <c r="P206" s="29"/>
      <c r="Q206" s="29"/>
      <c r="R206" s="38"/>
      <c r="BR206"/>
      <c r="BS206"/>
      <c r="BT206"/>
      <c r="BU206"/>
      <c r="BV206"/>
      <c r="BW206"/>
      <c r="BX206"/>
      <c r="BY206"/>
      <c r="BZ206"/>
      <c r="CA206"/>
    </row>
    <row r="207" spans="1:79" s="39" customFormat="1" x14ac:dyDescent="0.25">
      <c r="A207" s="5"/>
      <c r="B207" s="13"/>
      <c r="C207" s="13"/>
      <c r="D207" s="13"/>
      <c r="E207" s="13"/>
      <c r="F207" s="9"/>
      <c r="G207" s="32"/>
      <c r="H207" s="32"/>
      <c r="I207" s="32"/>
      <c r="J207" s="32"/>
      <c r="K207" s="29"/>
      <c r="L207" s="29"/>
      <c r="M207" s="29"/>
      <c r="N207" s="29"/>
      <c r="O207" s="29"/>
      <c r="P207" s="29"/>
      <c r="Q207" s="29"/>
      <c r="R207" s="38"/>
      <c r="BR207"/>
      <c r="BS207"/>
      <c r="BT207"/>
      <c r="BU207"/>
      <c r="BV207"/>
      <c r="BW207"/>
      <c r="BX207"/>
      <c r="BY207"/>
      <c r="BZ207"/>
      <c r="CA207"/>
    </row>
    <row r="208" spans="1:79" s="39" customFormat="1" x14ac:dyDescent="0.25">
      <c r="A208" s="5"/>
      <c r="B208" s="13"/>
      <c r="C208" s="13"/>
      <c r="D208" s="13"/>
      <c r="E208" s="13"/>
      <c r="F208" s="9"/>
      <c r="G208" s="32"/>
      <c r="H208" s="32"/>
      <c r="I208" s="32"/>
      <c r="J208" s="32"/>
      <c r="K208" s="29"/>
      <c r="L208" s="29"/>
      <c r="M208" s="29"/>
      <c r="N208" s="29"/>
      <c r="O208" s="29"/>
      <c r="P208" s="29"/>
      <c r="Q208" s="29"/>
      <c r="R208" s="38"/>
      <c r="BR208"/>
      <c r="BS208"/>
      <c r="BT208"/>
      <c r="BU208"/>
      <c r="BV208"/>
      <c r="BW208"/>
      <c r="BX208"/>
      <c r="BY208"/>
      <c r="BZ208"/>
      <c r="CA208"/>
    </row>
    <row r="209" spans="1:79" s="39" customFormat="1" x14ac:dyDescent="0.25">
      <c r="A209" s="5"/>
      <c r="B209" s="13"/>
      <c r="C209" s="13"/>
      <c r="D209" s="13"/>
      <c r="E209" s="13"/>
      <c r="F209" s="9"/>
      <c r="G209" s="32"/>
      <c r="H209" s="32"/>
      <c r="I209" s="32"/>
      <c r="J209" s="32"/>
      <c r="K209" s="29"/>
      <c r="L209" s="29"/>
      <c r="M209" s="29"/>
      <c r="N209" s="29"/>
      <c r="O209" s="29"/>
      <c r="P209" s="29"/>
      <c r="Q209" s="29"/>
      <c r="R209" s="38"/>
      <c r="BR209"/>
      <c r="BS209"/>
      <c r="BT209"/>
      <c r="BU209"/>
      <c r="BV209"/>
      <c r="BW209"/>
      <c r="BX209"/>
      <c r="BY209"/>
      <c r="BZ209"/>
      <c r="CA209"/>
    </row>
    <row r="210" spans="1:79" s="39" customFormat="1" x14ac:dyDescent="0.25">
      <c r="A210" s="5"/>
      <c r="B210" s="13"/>
      <c r="C210" s="13"/>
      <c r="D210" s="13"/>
      <c r="E210" s="13"/>
      <c r="F210" s="9"/>
      <c r="G210" s="32"/>
      <c r="H210" s="32"/>
      <c r="I210" s="32"/>
      <c r="J210" s="32"/>
      <c r="K210" s="29"/>
      <c r="L210" s="29"/>
      <c r="M210" s="29"/>
      <c r="N210" s="29"/>
      <c r="O210" s="29"/>
      <c r="P210" s="29"/>
      <c r="Q210" s="29"/>
      <c r="R210" s="38"/>
      <c r="BR210"/>
      <c r="BS210"/>
      <c r="BT210"/>
      <c r="BU210"/>
      <c r="BV210"/>
      <c r="BW210"/>
      <c r="BX210"/>
      <c r="BY210"/>
      <c r="BZ210"/>
      <c r="CA210"/>
    </row>
    <row r="211" spans="1:79" s="39" customFormat="1" x14ac:dyDescent="0.25">
      <c r="A211" s="5"/>
      <c r="B211" s="13"/>
      <c r="C211" s="13"/>
      <c r="D211" s="13"/>
      <c r="E211" s="13"/>
      <c r="F211" s="9"/>
      <c r="G211" s="32"/>
      <c r="H211" s="32"/>
      <c r="I211" s="32"/>
      <c r="J211" s="32"/>
      <c r="K211" s="29"/>
      <c r="L211" s="29"/>
      <c r="M211" s="29"/>
      <c r="N211" s="29"/>
      <c r="O211" s="29"/>
      <c r="P211" s="29"/>
      <c r="Q211" s="29"/>
      <c r="R211" s="38"/>
      <c r="BR211"/>
      <c r="BS211"/>
      <c r="BT211"/>
      <c r="BU211"/>
      <c r="BV211"/>
      <c r="BW211"/>
      <c r="BX211"/>
      <c r="BY211"/>
      <c r="BZ211"/>
      <c r="CA211"/>
    </row>
    <row r="212" spans="1:79" s="39" customFormat="1" x14ac:dyDescent="0.25">
      <c r="A212" s="5"/>
      <c r="B212" s="13"/>
      <c r="C212" s="13"/>
      <c r="D212" s="13"/>
      <c r="E212" s="13"/>
      <c r="F212" s="9"/>
      <c r="G212" s="32"/>
      <c r="H212" s="32"/>
      <c r="I212" s="32"/>
      <c r="J212" s="32"/>
      <c r="K212" s="29"/>
      <c r="L212" s="29"/>
      <c r="M212" s="29"/>
      <c r="N212" s="29"/>
      <c r="O212" s="29"/>
      <c r="P212" s="29"/>
      <c r="Q212" s="29"/>
      <c r="R212" s="38"/>
      <c r="BR212"/>
      <c r="BS212"/>
      <c r="BT212"/>
      <c r="BU212"/>
      <c r="BV212"/>
      <c r="BW212"/>
      <c r="BX212"/>
      <c r="BY212"/>
      <c r="BZ212"/>
      <c r="CA212"/>
    </row>
    <row r="213" spans="1:79" s="39" customFormat="1" x14ac:dyDescent="0.25">
      <c r="A213" s="5"/>
      <c r="B213" s="13"/>
      <c r="C213" s="13"/>
      <c r="D213" s="13"/>
      <c r="E213" s="13"/>
      <c r="F213" s="9"/>
      <c r="G213" s="32"/>
      <c r="H213" s="32"/>
      <c r="I213" s="32"/>
      <c r="J213" s="32"/>
      <c r="K213" s="29"/>
      <c r="L213" s="29"/>
      <c r="M213" s="29"/>
      <c r="N213" s="29"/>
      <c r="O213" s="29"/>
      <c r="P213" s="29"/>
      <c r="Q213" s="29"/>
      <c r="R213" s="38"/>
      <c r="BR213"/>
      <c r="BS213"/>
      <c r="BT213"/>
      <c r="BU213"/>
      <c r="BV213"/>
      <c r="BW213"/>
      <c r="BX213"/>
      <c r="BY213"/>
      <c r="BZ213"/>
      <c r="CA213"/>
    </row>
    <row r="214" spans="1:79" s="39" customFormat="1" x14ac:dyDescent="0.25">
      <c r="A214" s="5"/>
      <c r="B214" s="13"/>
      <c r="C214" s="13"/>
      <c r="D214" s="13"/>
      <c r="E214" s="13"/>
      <c r="F214" s="9"/>
      <c r="G214" s="32"/>
      <c r="H214" s="32"/>
      <c r="I214" s="32"/>
      <c r="J214" s="32"/>
      <c r="K214" s="29"/>
      <c r="L214" s="29"/>
      <c r="M214" s="29"/>
      <c r="N214" s="29"/>
      <c r="O214" s="29"/>
      <c r="P214" s="29"/>
      <c r="Q214" s="29"/>
      <c r="R214" s="38"/>
      <c r="BR214"/>
      <c r="BS214"/>
      <c r="BT214"/>
      <c r="BU214"/>
      <c r="BV214"/>
      <c r="BW214"/>
      <c r="BX214"/>
      <c r="BY214"/>
      <c r="BZ214"/>
      <c r="CA214"/>
    </row>
    <row r="215" spans="1:79" s="39" customFormat="1" x14ac:dyDescent="0.25">
      <c r="A215" s="5"/>
      <c r="B215" s="13"/>
      <c r="C215" s="13"/>
      <c r="D215" s="13"/>
      <c r="E215" s="13"/>
      <c r="F215" s="9"/>
      <c r="G215" s="32"/>
      <c r="H215" s="32"/>
      <c r="I215" s="32"/>
      <c r="J215" s="32"/>
      <c r="K215" s="29"/>
      <c r="L215" s="29"/>
      <c r="M215" s="29"/>
      <c r="N215" s="29"/>
      <c r="O215" s="29"/>
      <c r="P215" s="29"/>
      <c r="Q215" s="29"/>
      <c r="R215" s="38"/>
      <c r="BR215"/>
      <c r="BS215"/>
      <c r="BT215"/>
      <c r="BU215"/>
      <c r="BV215"/>
      <c r="BW215"/>
      <c r="BX215"/>
      <c r="BY215"/>
      <c r="BZ215"/>
      <c r="CA215"/>
    </row>
    <row r="216" spans="1:79" s="39" customFormat="1" x14ac:dyDescent="0.25">
      <c r="A216" s="5"/>
      <c r="B216" s="13"/>
      <c r="C216" s="13"/>
      <c r="D216" s="13"/>
      <c r="E216" s="13"/>
      <c r="F216" s="9"/>
      <c r="G216" s="32"/>
      <c r="H216" s="32"/>
      <c r="I216" s="32"/>
      <c r="J216" s="32"/>
      <c r="K216" s="29"/>
      <c r="L216" s="29"/>
      <c r="M216" s="29"/>
      <c r="N216" s="29"/>
      <c r="O216" s="29"/>
      <c r="P216" s="29"/>
      <c r="Q216" s="29"/>
      <c r="R216" s="38"/>
      <c r="BR216"/>
      <c r="BS216"/>
      <c r="BT216"/>
      <c r="BU216"/>
      <c r="BV216"/>
      <c r="BW216"/>
      <c r="BX216"/>
      <c r="BY216"/>
      <c r="BZ216"/>
      <c r="CA216"/>
    </row>
    <row r="217" spans="1:79" s="39" customFormat="1" x14ac:dyDescent="0.25">
      <c r="A217" s="5"/>
      <c r="B217" s="13"/>
      <c r="C217" s="13"/>
      <c r="D217" s="13"/>
      <c r="E217" s="13"/>
      <c r="F217" s="9"/>
      <c r="G217" s="32"/>
      <c r="H217" s="32"/>
      <c r="I217" s="32"/>
      <c r="J217" s="32"/>
      <c r="K217" s="29"/>
      <c r="L217" s="29"/>
      <c r="M217" s="29"/>
      <c r="N217" s="29"/>
      <c r="O217" s="29"/>
      <c r="P217" s="29"/>
      <c r="Q217" s="29"/>
      <c r="R217" s="38"/>
      <c r="BR217"/>
      <c r="BS217"/>
      <c r="BT217"/>
      <c r="BU217"/>
      <c r="BV217"/>
      <c r="BW217"/>
      <c r="BX217"/>
      <c r="BY217"/>
      <c r="BZ217"/>
      <c r="CA217"/>
    </row>
    <row r="218" spans="1:79" s="39" customFormat="1" x14ac:dyDescent="0.25">
      <c r="A218" s="5"/>
      <c r="B218" s="13"/>
      <c r="C218" s="13"/>
      <c r="D218" s="13"/>
      <c r="E218" s="13"/>
      <c r="F218" s="9"/>
      <c r="G218" s="32"/>
      <c r="H218" s="32"/>
      <c r="I218" s="32"/>
      <c r="J218" s="32"/>
      <c r="K218" s="29"/>
      <c r="L218" s="29"/>
      <c r="M218" s="29"/>
      <c r="N218" s="29"/>
      <c r="O218" s="29"/>
      <c r="P218" s="29"/>
      <c r="Q218" s="29"/>
      <c r="R218" s="38"/>
      <c r="BR218"/>
      <c r="BS218"/>
      <c r="BT218"/>
      <c r="BU218"/>
      <c r="BV218"/>
      <c r="BW218"/>
      <c r="BX218"/>
      <c r="BY218"/>
      <c r="BZ218"/>
      <c r="CA218"/>
    </row>
    <row r="219" spans="1:79" s="39" customFormat="1" x14ac:dyDescent="0.25">
      <c r="A219" s="5"/>
      <c r="B219" s="13"/>
      <c r="C219" s="13"/>
      <c r="D219" s="13"/>
      <c r="E219" s="13"/>
      <c r="F219" s="9"/>
      <c r="G219" s="32"/>
      <c r="H219" s="32"/>
      <c r="I219" s="32"/>
      <c r="J219" s="32"/>
      <c r="K219" s="29"/>
      <c r="L219" s="29"/>
      <c r="M219" s="29"/>
      <c r="N219" s="29"/>
      <c r="O219" s="29"/>
      <c r="P219" s="29"/>
      <c r="Q219" s="29"/>
      <c r="R219" s="38"/>
      <c r="BR219"/>
      <c r="BS219"/>
      <c r="BT219"/>
      <c r="BU219"/>
      <c r="BV219"/>
      <c r="BW219"/>
      <c r="BX219"/>
      <c r="BY219"/>
      <c r="BZ219"/>
      <c r="CA219"/>
    </row>
    <row r="220" spans="1:79" s="39" customFormat="1" x14ac:dyDescent="0.25">
      <c r="A220" s="5"/>
      <c r="B220" s="13"/>
      <c r="C220" s="13"/>
      <c r="D220" s="13"/>
      <c r="E220" s="13"/>
      <c r="F220" s="9"/>
      <c r="G220" s="32"/>
      <c r="H220" s="32"/>
      <c r="I220" s="32"/>
      <c r="J220" s="32"/>
      <c r="K220" s="29"/>
      <c r="L220" s="29"/>
      <c r="M220" s="29"/>
      <c r="N220" s="29"/>
      <c r="O220" s="29"/>
      <c r="P220" s="29"/>
      <c r="Q220" s="29"/>
      <c r="R220" s="38"/>
      <c r="BR220"/>
      <c r="BS220"/>
      <c r="BT220"/>
      <c r="BU220"/>
      <c r="BV220"/>
      <c r="BW220"/>
      <c r="BX220"/>
      <c r="BY220"/>
      <c r="BZ220"/>
      <c r="CA220"/>
    </row>
    <row r="221" spans="1:79" s="39" customFormat="1" x14ac:dyDescent="0.25">
      <c r="A221" s="5"/>
      <c r="B221" s="13"/>
      <c r="C221" s="13"/>
      <c r="D221" s="13"/>
      <c r="E221" s="13"/>
      <c r="F221" s="9"/>
      <c r="G221" s="32"/>
      <c r="H221" s="32"/>
      <c r="I221" s="32"/>
      <c r="J221" s="32"/>
      <c r="K221" s="29"/>
      <c r="L221" s="29"/>
      <c r="M221" s="29"/>
      <c r="N221" s="29"/>
      <c r="O221" s="29"/>
      <c r="P221" s="29"/>
      <c r="Q221" s="29"/>
      <c r="R221" s="38"/>
      <c r="BR221"/>
      <c r="BS221"/>
      <c r="BT221"/>
      <c r="BU221"/>
      <c r="BV221"/>
      <c r="BW221"/>
      <c r="BX221"/>
      <c r="BY221"/>
      <c r="BZ221"/>
      <c r="CA221"/>
    </row>
    <row r="222" spans="1:79" s="39" customFormat="1" x14ac:dyDescent="0.25">
      <c r="A222" s="5"/>
      <c r="B222" s="13"/>
      <c r="C222" s="13"/>
      <c r="D222" s="13"/>
      <c r="E222" s="13"/>
      <c r="F222" s="9"/>
      <c r="G222" s="32"/>
      <c r="H222" s="32"/>
      <c r="I222" s="32"/>
      <c r="J222" s="32"/>
      <c r="K222" s="29"/>
      <c r="L222" s="29"/>
      <c r="M222" s="29"/>
      <c r="N222" s="29"/>
      <c r="O222" s="29"/>
      <c r="P222" s="29"/>
      <c r="Q222" s="29"/>
      <c r="R222" s="38"/>
      <c r="BR222"/>
      <c r="BS222"/>
      <c r="BT222"/>
      <c r="BU222"/>
      <c r="BV222"/>
      <c r="BW222"/>
      <c r="BX222"/>
      <c r="BY222"/>
      <c r="BZ222"/>
      <c r="CA222"/>
    </row>
    <row r="223" spans="1:79" s="39" customFormat="1" x14ac:dyDescent="0.25">
      <c r="A223" s="5"/>
      <c r="B223" s="13"/>
      <c r="C223" s="13"/>
      <c r="D223" s="13"/>
      <c r="E223" s="13"/>
      <c r="F223" s="9"/>
      <c r="G223" s="32"/>
      <c r="H223" s="32"/>
      <c r="I223" s="32"/>
      <c r="J223" s="32"/>
      <c r="K223" s="29"/>
      <c r="L223" s="29"/>
      <c r="M223" s="29"/>
      <c r="N223" s="29"/>
      <c r="O223" s="29"/>
      <c r="P223" s="29"/>
      <c r="Q223" s="29"/>
      <c r="R223" s="38"/>
      <c r="BR223"/>
      <c r="BS223"/>
      <c r="BT223"/>
      <c r="BU223"/>
      <c r="BV223"/>
      <c r="BW223"/>
      <c r="BX223"/>
      <c r="BY223"/>
      <c r="BZ223"/>
      <c r="CA223"/>
    </row>
    <row r="224" spans="1:79" s="39" customFormat="1" x14ac:dyDescent="0.25">
      <c r="A224" s="5"/>
      <c r="B224" s="13"/>
      <c r="C224" s="13"/>
      <c r="D224" s="13"/>
      <c r="E224" s="13"/>
      <c r="F224" s="9"/>
      <c r="G224" s="32"/>
      <c r="H224" s="32"/>
      <c r="I224" s="32"/>
      <c r="J224" s="32"/>
      <c r="K224" s="29"/>
      <c r="L224" s="29"/>
      <c r="M224" s="29"/>
      <c r="N224" s="29"/>
      <c r="O224" s="29"/>
      <c r="P224" s="29"/>
      <c r="Q224" s="29"/>
      <c r="R224" s="38"/>
      <c r="BR224"/>
      <c r="BS224"/>
      <c r="BT224"/>
      <c r="BU224"/>
      <c r="BV224"/>
      <c r="BW224"/>
      <c r="BX224"/>
      <c r="BY224"/>
      <c r="BZ224"/>
      <c r="CA224"/>
    </row>
    <row r="225" spans="1:79" s="39" customFormat="1" x14ac:dyDescent="0.25">
      <c r="A225" s="5"/>
      <c r="B225" s="13"/>
      <c r="C225" s="13"/>
      <c r="D225" s="13"/>
      <c r="E225" s="13"/>
      <c r="F225" s="9"/>
      <c r="G225" s="32"/>
      <c r="H225" s="32"/>
      <c r="I225" s="32"/>
      <c r="J225" s="32"/>
      <c r="K225" s="29"/>
      <c r="L225" s="29"/>
      <c r="M225" s="29"/>
      <c r="N225" s="29"/>
      <c r="O225" s="29"/>
      <c r="P225" s="29"/>
      <c r="Q225" s="29"/>
      <c r="R225" s="38"/>
      <c r="BR225"/>
      <c r="BS225"/>
      <c r="BT225"/>
      <c r="BU225"/>
      <c r="BV225"/>
      <c r="BW225"/>
      <c r="BX225"/>
      <c r="BY225"/>
      <c r="BZ225"/>
      <c r="CA225"/>
    </row>
    <row r="226" spans="1:79" s="39" customFormat="1" x14ac:dyDescent="0.25">
      <c r="A226" s="5"/>
      <c r="B226" s="13"/>
      <c r="C226" s="13"/>
      <c r="D226" s="13"/>
      <c r="E226" s="13"/>
      <c r="F226" s="9"/>
      <c r="G226" s="32"/>
      <c r="H226" s="32"/>
      <c r="I226" s="32"/>
      <c r="J226" s="32"/>
      <c r="K226" s="29"/>
      <c r="L226" s="29"/>
      <c r="M226" s="29"/>
      <c r="N226" s="29"/>
      <c r="O226" s="29"/>
      <c r="P226" s="29"/>
      <c r="Q226" s="29"/>
      <c r="R226" s="38"/>
      <c r="BR226"/>
      <c r="BS226"/>
      <c r="BT226"/>
      <c r="BU226"/>
      <c r="BV226"/>
      <c r="BW226"/>
      <c r="BX226"/>
      <c r="BY226"/>
      <c r="BZ226"/>
      <c r="CA226"/>
    </row>
    <row r="227" spans="1:79" s="39" customFormat="1" x14ac:dyDescent="0.25">
      <c r="A227" s="5"/>
      <c r="B227" s="13"/>
      <c r="C227" s="13"/>
      <c r="D227" s="13"/>
      <c r="E227" s="13"/>
      <c r="F227" s="9"/>
      <c r="G227" s="32"/>
      <c r="H227" s="32"/>
      <c r="I227" s="32"/>
      <c r="J227" s="32"/>
      <c r="K227" s="29"/>
      <c r="L227" s="29"/>
      <c r="M227" s="29"/>
      <c r="N227" s="29"/>
      <c r="O227" s="29"/>
      <c r="P227" s="29"/>
      <c r="Q227" s="29"/>
      <c r="R227" s="38"/>
      <c r="BR227"/>
      <c r="BS227"/>
      <c r="BT227"/>
      <c r="BU227"/>
      <c r="BV227"/>
      <c r="BW227"/>
      <c r="BX227"/>
      <c r="BY227"/>
      <c r="BZ227"/>
      <c r="CA227"/>
    </row>
    <row r="228" spans="1:79" s="39" customFormat="1" x14ac:dyDescent="0.25">
      <c r="A228" s="5"/>
      <c r="B228" s="13"/>
      <c r="C228" s="13"/>
      <c r="D228" s="13"/>
      <c r="E228" s="13"/>
      <c r="F228" s="9"/>
      <c r="G228" s="32"/>
      <c r="H228" s="32"/>
      <c r="I228" s="32"/>
      <c r="J228" s="32"/>
      <c r="K228" s="29"/>
      <c r="L228" s="29"/>
      <c r="M228" s="29"/>
      <c r="N228" s="29"/>
      <c r="O228" s="29"/>
      <c r="P228" s="29"/>
      <c r="Q228" s="29"/>
      <c r="R228" s="38"/>
      <c r="BR228"/>
      <c r="BS228"/>
      <c r="BT228"/>
      <c r="BU228"/>
      <c r="BV228"/>
      <c r="BW228"/>
      <c r="BX228"/>
      <c r="BY228"/>
      <c r="BZ228"/>
      <c r="CA228"/>
    </row>
    <row r="229" spans="1:79" s="39" customFormat="1" x14ac:dyDescent="0.25">
      <c r="A229" s="5"/>
      <c r="B229" s="13"/>
      <c r="C229" s="13"/>
      <c r="D229" s="13"/>
      <c r="E229" s="13"/>
      <c r="F229" s="9"/>
      <c r="G229" s="32"/>
      <c r="H229" s="32"/>
      <c r="I229" s="32"/>
      <c r="J229" s="32"/>
      <c r="K229" s="29"/>
      <c r="L229" s="29"/>
      <c r="M229" s="29"/>
      <c r="N229" s="29"/>
      <c r="O229" s="29"/>
      <c r="P229" s="29"/>
      <c r="Q229" s="29"/>
      <c r="R229" s="38"/>
      <c r="BR229"/>
      <c r="BS229"/>
      <c r="BT229"/>
      <c r="BU229"/>
      <c r="BV229"/>
      <c r="BW229"/>
      <c r="BX229"/>
      <c r="BY229"/>
      <c r="BZ229"/>
      <c r="CA229"/>
    </row>
    <row r="230" spans="1:79" s="39" customFormat="1" x14ac:dyDescent="0.25">
      <c r="A230" s="5"/>
      <c r="B230" s="13"/>
      <c r="C230" s="13"/>
      <c r="D230" s="13"/>
      <c r="E230" s="13"/>
      <c r="F230" s="9"/>
      <c r="G230" s="32"/>
      <c r="H230" s="32"/>
      <c r="I230" s="32"/>
      <c r="J230" s="32"/>
      <c r="K230" s="29"/>
      <c r="L230" s="29"/>
      <c r="M230" s="29"/>
      <c r="N230" s="29"/>
      <c r="O230" s="29"/>
      <c r="P230" s="29"/>
      <c r="Q230" s="29"/>
      <c r="R230" s="38"/>
      <c r="BR230"/>
      <c r="BS230"/>
      <c r="BT230"/>
      <c r="BU230"/>
      <c r="BV230"/>
      <c r="BW230"/>
      <c r="BX230"/>
      <c r="BY230"/>
      <c r="BZ230"/>
      <c r="CA230"/>
    </row>
    <row r="231" spans="1:79" s="39" customFormat="1" x14ac:dyDescent="0.25">
      <c r="A231" s="5"/>
      <c r="B231" s="13"/>
      <c r="C231" s="13"/>
      <c r="D231" s="13"/>
      <c r="E231" s="13"/>
      <c r="F231" s="9"/>
      <c r="G231" s="32"/>
      <c r="H231" s="32"/>
      <c r="I231" s="32"/>
      <c r="J231" s="32"/>
      <c r="K231" s="29"/>
      <c r="L231" s="29"/>
      <c r="M231" s="29"/>
      <c r="N231" s="29"/>
      <c r="O231" s="29"/>
      <c r="P231" s="29"/>
      <c r="Q231" s="29"/>
      <c r="R231" s="38"/>
      <c r="BR231"/>
      <c r="BS231"/>
      <c r="BT231"/>
      <c r="BU231"/>
      <c r="BV231"/>
      <c r="BW231"/>
      <c r="BX231"/>
      <c r="BY231"/>
      <c r="BZ231"/>
      <c r="CA231"/>
    </row>
    <row r="232" spans="1:79" s="39" customFormat="1" x14ac:dyDescent="0.25">
      <c r="A232" s="5"/>
      <c r="B232" s="13"/>
      <c r="C232" s="13"/>
      <c r="D232" s="13"/>
      <c r="E232" s="13"/>
      <c r="F232" s="9"/>
      <c r="G232" s="32"/>
      <c r="H232" s="32"/>
      <c r="I232" s="32"/>
      <c r="J232" s="32"/>
      <c r="K232" s="29"/>
      <c r="L232" s="29"/>
      <c r="M232" s="29"/>
      <c r="N232" s="29"/>
      <c r="O232" s="29"/>
      <c r="P232" s="29"/>
      <c r="Q232" s="29"/>
      <c r="R232" s="38"/>
      <c r="BR232"/>
      <c r="BS232"/>
      <c r="BT232"/>
      <c r="BU232"/>
      <c r="BV232"/>
      <c r="BW232"/>
      <c r="BX232"/>
      <c r="BY232"/>
      <c r="BZ232"/>
      <c r="CA232"/>
    </row>
    <row r="233" spans="1:79" s="39" customFormat="1" x14ac:dyDescent="0.25">
      <c r="A233" s="5"/>
      <c r="B233" s="13"/>
      <c r="C233" s="13"/>
      <c r="D233" s="13"/>
      <c r="E233" s="13"/>
      <c r="F233" s="9"/>
      <c r="G233" s="32"/>
      <c r="H233" s="32"/>
      <c r="I233" s="32"/>
      <c r="J233" s="32"/>
      <c r="K233" s="29"/>
      <c r="L233" s="29"/>
      <c r="M233" s="29"/>
      <c r="N233" s="29"/>
      <c r="O233" s="29"/>
      <c r="P233" s="29"/>
      <c r="Q233" s="29"/>
      <c r="R233" s="38"/>
      <c r="BR233"/>
      <c r="BS233"/>
      <c r="BT233"/>
      <c r="BU233"/>
      <c r="BV233"/>
      <c r="BW233"/>
      <c r="BX233"/>
      <c r="BY233"/>
      <c r="BZ233"/>
      <c r="CA233"/>
    </row>
    <row r="234" spans="1:79" s="39" customFormat="1" x14ac:dyDescent="0.25">
      <c r="A234" s="5"/>
      <c r="B234" s="13"/>
      <c r="C234" s="13"/>
      <c r="D234" s="13"/>
      <c r="E234" s="13"/>
      <c r="F234" s="9"/>
      <c r="G234" s="32"/>
      <c r="H234" s="32"/>
      <c r="I234" s="32"/>
      <c r="J234" s="32"/>
      <c r="K234" s="29"/>
      <c r="L234" s="29"/>
      <c r="M234" s="29"/>
      <c r="N234" s="29"/>
      <c r="O234" s="29"/>
      <c r="P234" s="29"/>
      <c r="Q234" s="29"/>
      <c r="R234" s="38"/>
      <c r="BR234"/>
      <c r="BS234"/>
      <c r="BT234"/>
      <c r="BU234"/>
      <c r="BV234"/>
      <c r="BW234"/>
      <c r="BX234"/>
      <c r="BY234"/>
      <c r="BZ234"/>
      <c r="CA234"/>
    </row>
    <row r="235" spans="1:79" s="39" customFormat="1" x14ac:dyDescent="0.25">
      <c r="A235" s="5"/>
      <c r="B235" s="13"/>
      <c r="C235" s="13"/>
      <c r="D235" s="13"/>
      <c r="E235" s="13"/>
      <c r="F235" s="9"/>
      <c r="G235" s="32"/>
      <c r="H235" s="32"/>
      <c r="I235" s="32"/>
      <c r="J235" s="32"/>
      <c r="K235" s="29"/>
      <c r="L235" s="29"/>
      <c r="M235" s="29"/>
      <c r="N235" s="29"/>
      <c r="O235" s="29"/>
      <c r="P235" s="29"/>
      <c r="Q235" s="29"/>
      <c r="R235" s="38"/>
      <c r="BR235"/>
      <c r="BS235"/>
      <c r="BT235"/>
      <c r="BU235"/>
      <c r="BV235"/>
      <c r="BW235"/>
      <c r="BX235"/>
      <c r="BY235"/>
      <c r="BZ235"/>
      <c r="CA235"/>
    </row>
    <row r="236" spans="1:79" s="39" customFormat="1" x14ac:dyDescent="0.25">
      <c r="A236" s="5"/>
      <c r="B236" s="13"/>
      <c r="C236" s="13"/>
      <c r="D236" s="13"/>
      <c r="E236" s="13"/>
      <c r="F236" s="9"/>
      <c r="G236" s="32"/>
      <c r="H236" s="32"/>
      <c r="I236" s="32"/>
      <c r="J236" s="32"/>
      <c r="K236" s="29"/>
      <c r="L236" s="29"/>
      <c r="M236" s="29"/>
      <c r="N236" s="29"/>
      <c r="O236" s="29"/>
      <c r="P236" s="29"/>
      <c r="Q236" s="29"/>
      <c r="R236" s="38"/>
      <c r="BR236"/>
      <c r="BS236"/>
      <c r="BT236"/>
      <c r="BU236"/>
      <c r="BV236"/>
      <c r="BW236"/>
      <c r="BX236"/>
      <c r="BY236"/>
      <c r="BZ236"/>
      <c r="CA236"/>
    </row>
    <row r="237" spans="1:79" s="39" customFormat="1" x14ac:dyDescent="0.25">
      <c r="A237" s="5"/>
      <c r="B237" s="13"/>
      <c r="C237" s="13"/>
      <c r="D237" s="13"/>
      <c r="E237" s="13"/>
      <c r="F237" s="9"/>
      <c r="G237" s="32"/>
      <c r="H237" s="32"/>
      <c r="I237" s="32"/>
      <c r="J237" s="32"/>
      <c r="K237" s="29"/>
      <c r="L237" s="29"/>
      <c r="M237" s="29"/>
      <c r="N237" s="29"/>
      <c r="O237" s="29"/>
      <c r="P237" s="29"/>
      <c r="Q237" s="29"/>
      <c r="R237" s="38"/>
      <c r="BR237"/>
      <c r="BS237"/>
      <c r="BT237"/>
      <c r="BU237"/>
      <c r="BV237"/>
      <c r="BW237"/>
      <c r="BX237"/>
      <c r="BY237"/>
      <c r="BZ237"/>
      <c r="CA237"/>
    </row>
    <row r="238" spans="1:79" s="39" customFormat="1" x14ac:dyDescent="0.25">
      <c r="A238" s="5"/>
      <c r="B238" s="13"/>
      <c r="C238" s="13"/>
      <c r="D238" s="13"/>
      <c r="E238" s="13"/>
      <c r="F238" s="9"/>
      <c r="G238" s="32"/>
      <c r="H238" s="32"/>
      <c r="I238" s="32"/>
      <c r="J238" s="32"/>
      <c r="K238" s="29"/>
      <c r="L238" s="29"/>
      <c r="M238" s="29"/>
      <c r="N238" s="29"/>
      <c r="O238" s="29"/>
      <c r="P238" s="29"/>
      <c r="Q238" s="29"/>
      <c r="R238" s="38"/>
      <c r="BR238"/>
      <c r="BS238"/>
      <c r="BT238"/>
      <c r="BU238"/>
      <c r="BV238"/>
      <c r="BW238"/>
      <c r="BX238"/>
      <c r="BY238"/>
      <c r="BZ238"/>
      <c r="CA238"/>
    </row>
    <row r="239" spans="1:79" s="39" customFormat="1" x14ac:dyDescent="0.25">
      <c r="A239" s="5"/>
      <c r="B239" s="13"/>
      <c r="C239" s="13"/>
      <c r="D239" s="13"/>
      <c r="E239" s="13"/>
      <c r="F239" s="9"/>
      <c r="G239" s="32"/>
      <c r="H239" s="32"/>
      <c r="I239" s="32"/>
      <c r="J239" s="32"/>
      <c r="K239" s="29"/>
      <c r="L239" s="29"/>
      <c r="M239" s="29"/>
      <c r="N239" s="29"/>
      <c r="O239" s="29"/>
      <c r="P239" s="29"/>
      <c r="Q239" s="29"/>
      <c r="R239" s="38"/>
      <c r="BR239"/>
      <c r="BS239"/>
      <c r="BT239"/>
      <c r="BU239"/>
      <c r="BV239"/>
      <c r="BW239"/>
      <c r="BX239"/>
      <c r="BY239"/>
      <c r="BZ239"/>
      <c r="CA239"/>
    </row>
    <row r="240" spans="1:79" s="39" customFormat="1" x14ac:dyDescent="0.25">
      <c r="A240" s="5"/>
      <c r="B240" s="13"/>
      <c r="C240" s="13"/>
      <c r="D240" s="13"/>
      <c r="E240" s="13"/>
      <c r="F240" s="9"/>
      <c r="G240" s="32"/>
      <c r="H240" s="32"/>
      <c r="I240" s="32"/>
      <c r="J240" s="32"/>
      <c r="K240" s="29"/>
      <c r="L240" s="29"/>
      <c r="M240" s="29"/>
      <c r="N240" s="29"/>
      <c r="O240" s="29"/>
      <c r="P240" s="29"/>
      <c r="Q240" s="29"/>
      <c r="R240" s="38"/>
      <c r="BR240"/>
      <c r="BS240"/>
      <c r="BT240"/>
      <c r="BU240"/>
      <c r="BV240"/>
      <c r="BW240"/>
      <c r="BX240"/>
      <c r="BY240"/>
      <c r="BZ240"/>
      <c r="CA240"/>
    </row>
    <row r="241" spans="1:79" s="39" customFormat="1" x14ac:dyDescent="0.25">
      <c r="A241" s="5"/>
      <c r="B241" s="13"/>
      <c r="C241" s="13"/>
      <c r="D241" s="13"/>
      <c r="E241" s="13"/>
      <c r="F241" s="9"/>
      <c r="G241" s="32"/>
      <c r="H241" s="32"/>
      <c r="I241" s="32"/>
      <c r="J241" s="32"/>
      <c r="K241" s="29"/>
      <c r="L241" s="29"/>
      <c r="M241" s="29"/>
      <c r="N241" s="29"/>
      <c r="O241" s="29"/>
      <c r="P241" s="29"/>
      <c r="Q241" s="29"/>
      <c r="R241" s="38"/>
      <c r="BR241"/>
      <c r="BS241"/>
      <c r="BT241"/>
      <c r="BU241"/>
      <c r="BV241"/>
      <c r="BW241"/>
      <c r="BX241"/>
      <c r="BY241"/>
      <c r="BZ241"/>
      <c r="CA241"/>
    </row>
    <row r="242" spans="1:79" s="39" customFormat="1" x14ac:dyDescent="0.25">
      <c r="A242" s="5"/>
      <c r="B242" s="13"/>
      <c r="C242" s="13"/>
      <c r="D242" s="13"/>
      <c r="E242" s="13"/>
      <c r="F242" s="9"/>
      <c r="G242" s="32"/>
      <c r="H242" s="32"/>
      <c r="I242" s="32"/>
      <c r="J242" s="32"/>
      <c r="K242" s="29"/>
      <c r="L242" s="29"/>
      <c r="M242" s="29"/>
      <c r="N242" s="29"/>
      <c r="O242" s="29"/>
      <c r="P242" s="29"/>
      <c r="Q242" s="29"/>
      <c r="R242" s="38"/>
      <c r="BR242"/>
      <c r="BS242"/>
      <c r="BT242"/>
      <c r="BU242"/>
      <c r="BV242"/>
      <c r="BW242"/>
      <c r="BX242"/>
      <c r="BY242"/>
      <c r="BZ242"/>
      <c r="CA242"/>
    </row>
    <row r="243" spans="1:79" s="39" customFormat="1" x14ac:dyDescent="0.25">
      <c r="A243" s="5"/>
      <c r="B243" s="13"/>
      <c r="C243" s="13"/>
      <c r="D243" s="13"/>
      <c r="E243" s="13"/>
      <c r="F243" s="9"/>
      <c r="G243" s="32"/>
      <c r="H243" s="32"/>
      <c r="I243" s="32"/>
      <c r="J243" s="32"/>
      <c r="K243" s="29"/>
      <c r="L243" s="29"/>
      <c r="M243" s="29"/>
      <c r="N243" s="29"/>
      <c r="O243" s="29"/>
      <c r="P243" s="29"/>
      <c r="Q243" s="29"/>
      <c r="R243" s="38"/>
      <c r="BR243"/>
      <c r="BS243"/>
      <c r="BT243"/>
      <c r="BU243"/>
      <c r="BV243"/>
      <c r="BW243"/>
      <c r="BX243"/>
      <c r="BY243"/>
      <c r="BZ243"/>
      <c r="CA243"/>
    </row>
    <row r="244" spans="1:79" s="39" customFormat="1" x14ac:dyDescent="0.25">
      <c r="A244" s="5"/>
      <c r="B244" s="13"/>
      <c r="C244" s="13"/>
      <c r="D244" s="13"/>
      <c r="E244" s="13"/>
      <c r="F244" s="9"/>
      <c r="G244" s="32"/>
      <c r="H244" s="32"/>
      <c r="I244" s="32"/>
      <c r="J244" s="32"/>
      <c r="K244" s="29"/>
      <c r="L244" s="29"/>
      <c r="M244" s="29"/>
      <c r="N244" s="29"/>
      <c r="O244" s="29"/>
      <c r="P244" s="29"/>
      <c r="Q244" s="29"/>
      <c r="R244" s="38"/>
      <c r="BR244"/>
      <c r="BS244"/>
      <c r="BT244"/>
      <c r="BU244"/>
      <c r="BV244"/>
      <c r="BW244"/>
      <c r="BX244"/>
      <c r="BY244"/>
      <c r="BZ244"/>
      <c r="CA244"/>
    </row>
    <row r="245" spans="1:79" s="39" customFormat="1" x14ac:dyDescent="0.25">
      <c r="A245" s="5"/>
      <c r="B245" s="13"/>
      <c r="C245" s="13"/>
      <c r="D245" s="13"/>
      <c r="E245" s="13"/>
      <c r="F245" s="9"/>
      <c r="G245" s="32"/>
      <c r="H245" s="32"/>
      <c r="I245" s="32"/>
      <c r="J245" s="32"/>
      <c r="K245" s="29"/>
      <c r="L245" s="29"/>
      <c r="M245" s="29"/>
      <c r="N245" s="29"/>
      <c r="O245" s="29"/>
      <c r="P245" s="29"/>
      <c r="Q245" s="29"/>
      <c r="R245" s="38"/>
      <c r="BR245"/>
      <c r="BS245"/>
      <c r="BT245"/>
      <c r="BU245"/>
      <c r="BV245"/>
      <c r="BW245"/>
      <c r="BX245"/>
      <c r="BY245"/>
      <c r="BZ245"/>
      <c r="CA245"/>
    </row>
    <row r="246" spans="1:79" s="39" customFormat="1" x14ac:dyDescent="0.25">
      <c r="A246" s="5"/>
      <c r="B246" s="13"/>
      <c r="C246" s="13"/>
      <c r="D246" s="13"/>
      <c r="E246" s="13"/>
      <c r="F246" s="9"/>
      <c r="G246" s="32"/>
      <c r="H246" s="32"/>
      <c r="I246" s="32"/>
      <c r="J246" s="32"/>
      <c r="K246" s="29"/>
      <c r="L246" s="29"/>
      <c r="M246" s="29"/>
      <c r="N246" s="29"/>
      <c r="O246" s="29"/>
      <c r="P246" s="29"/>
      <c r="Q246" s="29"/>
      <c r="R246" s="38"/>
      <c r="BR246"/>
      <c r="BS246"/>
      <c r="BT246"/>
      <c r="BU246"/>
      <c r="BV246"/>
      <c r="BW246"/>
      <c r="BX246"/>
      <c r="BY246"/>
      <c r="BZ246"/>
      <c r="CA246"/>
    </row>
    <row r="247" spans="1:79" s="39" customFormat="1" x14ac:dyDescent="0.25">
      <c r="A247" s="5"/>
      <c r="B247" s="13"/>
      <c r="C247" s="13"/>
      <c r="D247" s="13"/>
      <c r="E247" s="13"/>
      <c r="F247" s="9"/>
      <c r="G247" s="32"/>
      <c r="H247" s="32"/>
      <c r="I247" s="32"/>
      <c r="J247" s="32"/>
      <c r="K247" s="29"/>
      <c r="L247" s="29"/>
      <c r="M247" s="29"/>
      <c r="N247" s="29"/>
      <c r="O247" s="29"/>
      <c r="P247" s="29"/>
      <c r="Q247" s="29"/>
      <c r="R247" s="38"/>
      <c r="BR247"/>
      <c r="BS247"/>
      <c r="BT247"/>
      <c r="BU247"/>
      <c r="BV247"/>
      <c r="BW247"/>
      <c r="BX247"/>
      <c r="BY247"/>
      <c r="BZ247"/>
      <c r="CA247"/>
    </row>
    <row r="248" spans="1:79" s="39" customFormat="1" x14ac:dyDescent="0.25">
      <c r="A248" s="5"/>
      <c r="B248" s="13"/>
      <c r="C248" s="13"/>
      <c r="D248" s="13"/>
      <c r="E248" s="13"/>
      <c r="F248" s="9"/>
      <c r="G248" s="32"/>
      <c r="H248" s="32"/>
      <c r="I248" s="32"/>
      <c r="J248" s="32"/>
      <c r="K248" s="29"/>
      <c r="L248" s="29"/>
      <c r="M248" s="29"/>
      <c r="N248" s="29"/>
      <c r="O248" s="29"/>
      <c r="P248" s="29"/>
      <c r="Q248" s="29"/>
      <c r="R248" s="38"/>
      <c r="BR248"/>
      <c r="BS248"/>
      <c r="BT248"/>
      <c r="BU248"/>
      <c r="BV248"/>
      <c r="BW248"/>
      <c r="BX248"/>
      <c r="BY248"/>
      <c r="BZ248"/>
      <c r="CA248"/>
    </row>
    <row r="249" spans="1:79" s="39" customFormat="1" x14ac:dyDescent="0.25">
      <c r="A249" s="5"/>
      <c r="B249" s="13"/>
      <c r="C249" s="13"/>
      <c r="D249" s="13"/>
      <c r="E249" s="13"/>
      <c r="F249" s="9"/>
      <c r="G249" s="32"/>
      <c r="H249" s="32"/>
      <c r="I249" s="32"/>
      <c r="J249" s="32"/>
      <c r="K249" s="29"/>
      <c r="L249" s="29"/>
      <c r="M249" s="29"/>
      <c r="N249" s="29"/>
      <c r="O249" s="29"/>
      <c r="P249" s="29"/>
      <c r="Q249" s="29"/>
      <c r="R249" s="38"/>
      <c r="BR249"/>
      <c r="BS249"/>
      <c r="BT249"/>
      <c r="BU249"/>
      <c r="BV249"/>
      <c r="BW249"/>
      <c r="BX249"/>
      <c r="BY249"/>
      <c r="BZ249"/>
      <c r="CA249"/>
    </row>
    <row r="250" spans="1:79" s="39" customFormat="1" x14ac:dyDescent="0.25">
      <c r="A250" s="5"/>
      <c r="B250" s="13"/>
      <c r="C250" s="13"/>
      <c r="D250" s="13"/>
      <c r="E250" s="13"/>
      <c r="F250" s="9"/>
      <c r="G250" s="32"/>
      <c r="H250" s="32"/>
      <c r="I250" s="32"/>
      <c r="J250" s="32"/>
      <c r="K250" s="29"/>
      <c r="L250" s="29"/>
      <c r="M250" s="29"/>
      <c r="N250" s="29"/>
      <c r="O250" s="29"/>
      <c r="P250" s="29"/>
      <c r="Q250" s="29"/>
      <c r="R250" s="38"/>
      <c r="BR250"/>
      <c r="BS250"/>
      <c r="BT250"/>
      <c r="BU250"/>
      <c r="BV250"/>
      <c r="BW250"/>
      <c r="BX250"/>
      <c r="BY250"/>
      <c r="BZ250"/>
      <c r="CA250"/>
    </row>
    <row r="251" spans="1:79" s="39" customFormat="1" x14ac:dyDescent="0.25">
      <c r="A251" s="5"/>
      <c r="B251" s="13"/>
      <c r="C251" s="13"/>
      <c r="D251" s="13"/>
      <c r="E251" s="13"/>
      <c r="F251" s="9"/>
      <c r="G251" s="32"/>
      <c r="H251" s="32"/>
      <c r="I251" s="32"/>
      <c r="J251" s="32"/>
      <c r="K251" s="29"/>
      <c r="L251" s="29"/>
      <c r="M251" s="29"/>
      <c r="N251" s="29"/>
      <c r="O251" s="29"/>
      <c r="P251" s="29"/>
      <c r="Q251" s="29"/>
      <c r="R251" s="38"/>
      <c r="BR251"/>
      <c r="BS251"/>
      <c r="BT251"/>
      <c r="BU251"/>
      <c r="BV251"/>
      <c r="BW251"/>
      <c r="BX251"/>
      <c r="BY251"/>
      <c r="BZ251"/>
      <c r="CA251"/>
    </row>
    <row r="252" spans="1:79" s="39" customFormat="1" x14ac:dyDescent="0.25">
      <c r="A252" s="5"/>
      <c r="B252" s="13"/>
      <c r="C252" s="13"/>
      <c r="D252" s="13"/>
      <c r="E252" s="13"/>
      <c r="F252" s="9"/>
      <c r="G252" s="32"/>
      <c r="H252" s="32"/>
      <c r="I252" s="32"/>
      <c r="J252" s="32"/>
      <c r="K252" s="29"/>
      <c r="L252" s="29"/>
      <c r="M252" s="29"/>
      <c r="N252" s="29"/>
      <c r="O252" s="29"/>
      <c r="P252" s="29"/>
      <c r="Q252" s="29"/>
      <c r="R252" s="38"/>
      <c r="BR252"/>
      <c r="BS252"/>
      <c r="BT252"/>
      <c r="BU252"/>
      <c r="BV252"/>
      <c r="BW252"/>
      <c r="BX252"/>
      <c r="BY252"/>
      <c r="BZ252"/>
      <c r="CA252"/>
    </row>
    <row r="253" spans="1:79" s="39" customFormat="1" x14ac:dyDescent="0.25">
      <c r="A253" s="5"/>
      <c r="B253" s="13"/>
      <c r="C253" s="13"/>
      <c r="D253" s="13"/>
      <c r="E253" s="13"/>
      <c r="F253" s="9"/>
      <c r="G253" s="32"/>
      <c r="H253" s="32"/>
      <c r="I253" s="32"/>
      <c r="J253" s="32"/>
      <c r="K253" s="29"/>
      <c r="L253" s="29"/>
      <c r="M253" s="29"/>
      <c r="N253" s="29"/>
      <c r="O253" s="29"/>
      <c r="P253" s="29"/>
      <c r="Q253" s="29"/>
      <c r="R253" s="38"/>
      <c r="BR253"/>
      <c r="BS253"/>
      <c r="BT253"/>
      <c r="BU253"/>
      <c r="BV253"/>
      <c r="BW253"/>
      <c r="BX253"/>
      <c r="BY253"/>
      <c r="BZ253"/>
      <c r="CA253"/>
    </row>
    <row r="254" spans="1:79" s="39" customFormat="1" x14ac:dyDescent="0.25">
      <c r="A254" s="5"/>
      <c r="B254" s="13"/>
      <c r="C254" s="13"/>
      <c r="D254" s="13"/>
      <c r="E254" s="13"/>
      <c r="F254" s="9"/>
      <c r="G254" s="32"/>
      <c r="H254" s="32"/>
      <c r="I254" s="32"/>
      <c r="J254" s="32"/>
      <c r="K254" s="29"/>
      <c r="L254" s="29"/>
      <c r="M254" s="29"/>
      <c r="N254" s="29"/>
      <c r="O254" s="29"/>
      <c r="P254" s="29"/>
      <c r="Q254" s="29"/>
      <c r="R254" s="38"/>
      <c r="BR254"/>
      <c r="BS254"/>
      <c r="BT254"/>
      <c r="BU254"/>
      <c r="BV254"/>
      <c r="BW254"/>
      <c r="BX254"/>
      <c r="BY254"/>
      <c r="BZ254"/>
      <c r="CA254"/>
    </row>
    <row r="255" spans="1:79" s="39" customFormat="1" x14ac:dyDescent="0.25">
      <c r="A255" s="5"/>
      <c r="B255" s="13"/>
      <c r="C255" s="13"/>
      <c r="D255" s="13"/>
      <c r="E255" s="13"/>
      <c r="F255" s="9"/>
      <c r="G255" s="32"/>
      <c r="H255" s="32"/>
      <c r="I255" s="32"/>
      <c r="J255" s="32"/>
      <c r="K255" s="29"/>
      <c r="L255" s="29"/>
      <c r="M255" s="29"/>
      <c r="N255" s="29"/>
      <c r="O255" s="29"/>
      <c r="P255" s="29"/>
      <c r="Q255" s="29"/>
      <c r="R255" s="38"/>
      <c r="BR255"/>
      <c r="BS255"/>
      <c r="BT255"/>
      <c r="BU255"/>
      <c r="BV255"/>
      <c r="BW255"/>
      <c r="BX255"/>
      <c r="BY255"/>
      <c r="BZ255"/>
      <c r="CA255"/>
    </row>
  </sheetData>
  <conditionalFormatting sqref="G10:Q11 G14:G17">
    <cfRule type="expression" dxfId="12" priority="16" stopIfTrue="1">
      <formula>$BA10&lt;&gt;""</formula>
    </cfRule>
  </conditionalFormatting>
  <conditionalFormatting sqref="G10:Q11 G14:G17">
    <cfRule type="expression" dxfId="11" priority="17" stopIfTrue="1">
      <formula>$BB10="Technology"</formula>
    </cfRule>
    <cfRule type="expression" dxfId="10" priority="18" stopIfTrue="1">
      <formula>$BB10="Service"</formula>
    </cfRule>
  </conditionalFormatting>
  <conditionalFormatting sqref="H5:Q9">
    <cfRule type="expression" dxfId="9" priority="13" stopIfTrue="1">
      <formula>$BA5&lt;&gt;""</formula>
    </cfRule>
  </conditionalFormatting>
  <conditionalFormatting sqref="H5:Q9">
    <cfRule type="expression" dxfId="8" priority="14" stopIfTrue="1">
      <formula>$BB5="Technology"</formula>
    </cfRule>
    <cfRule type="expression" dxfId="7" priority="15" stopIfTrue="1">
      <formula>$BB5="Service"</formula>
    </cfRule>
  </conditionalFormatting>
  <conditionalFormatting sqref="H16:Q17">
    <cfRule type="expression" dxfId="6" priority="1" stopIfTrue="1">
      <formula>$BA16&lt;&gt;""</formula>
    </cfRule>
  </conditionalFormatting>
  <conditionalFormatting sqref="H16:Q17">
    <cfRule type="expression" dxfId="5" priority="2" stopIfTrue="1">
      <formula>$BB16="Technology"</formula>
    </cfRule>
    <cfRule type="expression" dxfId="4" priority="3" stopIfTrue="1">
      <formula>$BB16="Service"</formula>
    </cfRule>
  </conditionalFormatting>
  <pageMargins left="0.7" right="0.7" top="0.75" bottom="0.75" header="0.3" footer="0.3"/>
  <pageSetup orientation="portrait" horizontalDpi="4294967293" verticalDpi="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CEAFB0-7A93-4D90-AF18-F0D4729F4AD5}">
  <sheetPr codeName="Sheet3">
    <tabColor rgb="FFFFFF00"/>
  </sheetPr>
  <dimension ref="A1:AO103"/>
  <sheetViews>
    <sheetView zoomScale="70" zoomScaleNormal="70" workbookViewId="0">
      <pane xSplit="2" ySplit="1" topLeftCell="J2" activePane="bottomRight" state="frozen"/>
      <selection pane="topRight" activeCell="C1" sqref="C1"/>
      <selection pane="bottomLeft" activeCell="A2" sqref="A2"/>
      <selection pane="bottomRight" activeCell="AC4" sqref="AC4:AC103"/>
    </sheetView>
    <sheetView zoomScale="70" zoomScaleNormal="70" workbookViewId="1"/>
  </sheetViews>
  <sheetFormatPr defaultRowHeight="15" x14ac:dyDescent="0.25"/>
  <cols>
    <col min="1" max="1" width="35.85546875" bestFit="1" customWidth="1"/>
    <col min="2" max="2" width="4.42578125" customWidth="1"/>
    <col min="3" max="3" width="11.7109375" style="85" bestFit="1" customWidth="1"/>
    <col min="4" max="4" width="12.140625" customWidth="1"/>
    <col min="5" max="5" width="11.7109375" style="85" bestFit="1" customWidth="1"/>
    <col min="6" max="6" width="10.140625" customWidth="1"/>
    <col min="7" max="7" width="11.7109375" style="85" bestFit="1" customWidth="1"/>
    <col min="8" max="8" width="11.85546875" style="75" bestFit="1" customWidth="1"/>
    <col min="9" max="9" width="10.140625" style="75" bestFit="1" customWidth="1"/>
    <col min="10" max="10" width="28.42578125" bestFit="1" customWidth="1"/>
    <col min="11" max="11" width="11.28515625" customWidth="1"/>
    <col min="12" max="12" width="13.85546875" style="85" bestFit="1" customWidth="1"/>
    <col min="13" max="13" width="13.85546875" style="75" customWidth="1"/>
    <col min="14" max="14" width="13.140625" style="75" bestFit="1" customWidth="1"/>
    <col min="15" max="15" width="9.5703125" style="75" customWidth="1"/>
    <col min="16" max="16" width="16.42578125" bestFit="1" customWidth="1"/>
    <col min="17" max="17" width="13.42578125" style="85" bestFit="1" customWidth="1"/>
    <col min="18" max="18" width="13.28515625" bestFit="1" customWidth="1"/>
    <col min="19" max="19" width="12.7109375" bestFit="1" customWidth="1"/>
    <col min="20" max="20" width="17.42578125" bestFit="1" customWidth="1"/>
    <col min="21" max="21" width="17.7109375" bestFit="1" customWidth="1"/>
    <col min="22" max="22" width="15.42578125" bestFit="1" customWidth="1"/>
    <col min="23" max="23" width="12.7109375" style="85" bestFit="1" customWidth="1"/>
    <col min="24" max="24" width="13.28515625" bestFit="1" customWidth="1"/>
    <col min="25" max="25" width="12.7109375" bestFit="1" customWidth="1"/>
    <col min="26" max="26" width="25.7109375" style="72" bestFit="1" customWidth="1"/>
    <col min="27" max="27" width="8.28515625" style="72" bestFit="1" customWidth="1"/>
    <col min="28" max="28" width="13.140625" bestFit="1" customWidth="1"/>
    <col min="29" max="29" width="12.7109375" style="85" bestFit="1" customWidth="1"/>
    <col min="30" max="30" width="13.140625" style="72" bestFit="1" customWidth="1"/>
    <col min="33" max="33" width="25.7109375" bestFit="1" customWidth="1"/>
    <col min="34" max="34" width="16.7109375" bestFit="1" customWidth="1"/>
    <col min="39" max="39" width="9.85546875" customWidth="1"/>
    <col min="40" max="40" width="10" customWidth="1"/>
  </cols>
  <sheetData>
    <row r="1" spans="1:41" s="70" customFormat="1" x14ac:dyDescent="0.25">
      <c r="C1" s="83" t="s">
        <v>5</v>
      </c>
      <c r="E1" s="83" t="s">
        <v>0</v>
      </c>
      <c r="G1" s="83" t="s">
        <v>108</v>
      </c>
      <c r="L1" s="83" t="s">
        <v>1</v>
      </c>
      <c r="M1" s="74"/>
      <c r="N1" s="74"/>
      <c r="O1" s="74"/>
      <c r="Q1" s="83" t="s">
        <v>70</v>
      </c>
      <c r="W1" s="83" t="s">
        <v>33</v>
      </c>
      <c r="Z1" s="77"/>
      <c r="AA1" s="77"/>
      <c r="AC1" s="83" t="s">
        <v>57</v>
      </c>
      <c r="AD1" s="77"/>
    </row>
    <row r="2" spans="1:41" x14ac:dyDescent="0.25">
      <c r="C2" s="84" t="s">
        <v>137</v>
      </c>
      <c r="D2" s="1" t="s">
        <v>138</v>
      </c>
      <c r="E2" s="84" t="s">
        <v>137</v>
      </c>
      <c r="F2" s="88" t="s">
        <v>138</v>
      </c>
      <c r="G2" s="84" t="s">
        <v>137</v>
      </c>
      <c r="H2" s="88" t="s">
        <v>139</v>
      </c>
      <c r="I2" s="88" t="s">
        <v>137</v>
      </c>
      <c r="J2" s="1"/>
      <c r="K2" s="1" t="s">
        <v>138</v>
      </c>
      <c r="L2" s="84" t="s">
        <v>137</v>
      </c>
      <c r="M2" s="76" t="s">
        <v>146</v>
      </c>
      <c r="N2" s="76" t="s">
        <v>146</v>
      </c>
      <c r="O2" s="76"/>
      <c r="P2" s="88" t="s">
        <v>138</v>
      </c>
      <c r="Q2" s="89" t="s">
        <v>137</v>
      </c>
      <c r="R2" s="76" t="s">
        <v>146</v>
      </c>
      <c r="S2" s="76" t="s">
        <v>146</v>
      </c>
      <c r="T2" s="1"/>
      <c r="U2" s="1" t="s">
        <v>138</v>
      </c>
      <c r="V2" s="1" t="s">
        <v>138</v>
      </c>
      <c r="W2" s="84" t="s">
        <v>137</v>
      </c>
      <c r="X2" s="76" t="s">
        <v>146</v>
      </c>
      <c r="Y2" s="76" t="s">
        <v>146</v>
      </c>
      <c r="Z2" s="78"/>
      <c r="AA2" s="78" t="s">
        <v>138</v>
      </c>
      <c r="AB2" s="1" t="s">
        <v>138</v>
      </c>
      <c r="AC2" s="84" t="s">
        <v>138</v>
      </c>
      <c r="AD2" s="78" t="s">
        <v>138</v>
      </c>
    </row>
    <row r="3" spans="1:41" s="114" customFormat="1" ht="60" x14ac:dyDescent="0.25">
      <c r="A3" s="125" t="s">
        <v>161</v>
      </c>
      <c r="C3" s="92" t="s">
        <v>43</v>
      </c>
      <c r="D3" s="93" t="s">
        <v>134</v>
      </c>
      <c r="E3" s="92" t="s">
        <v>81</v>
      </c>
      <c r="F3" s="93" t="s">
        <v>135</v>
      </c>
      <c r="G3" s="92" t="s">
        <v>136</v>
      </c>
      <c r="H3" s="94" t="s">
        <v>124</v>
      </c>
      <c r="I3" s="95" t="s">
        <v>84</v>
      </c>
      <c r="J3" s="93"/>
      <c r="K3" s="93" t="s">
        <v>132</v>
      </c>
      <c r="L3" s="92" t="s">
        <v>36</v>
      </c>
      <c r="M3" s="94" t="s">
        <v>147</v>
      </c>
      <c r="N3" s="95" t="s">
        <v>84</v>
      </c>
      <c r="O3" s="94"/>
      <c r="P3" s="95" t="s">
        <v>45</v>
      </c>
      <c r="Q3" s="96" t="s">
        <v>34</v>
      </c>
      <c r="R3" s="94" t="s">
        <v>147</v>
      </c>
      <c r="S3" s="95" t="s">
        <v>84</v>
      </c>
      <c r="T3" s="93"/>
      <c r="U3" s="93" t="s">
        <v>143</v>
      </c>
      <c r="V3" s="93" t="s">
        <v>144</v>
      </c>
      <c r="W3" s="92" t="s">
        <v>34</v>
      </c>
      <c r="X3" s="94" t="s">
        <v>147</v>
      </c>
      <c r="Y3" s="95" t="s">
        <v>84</v>
      </c>
      <c r="Z3" s="97"/>
      <c r="AA3" s="97" t="s">
        <v>141</v>
      </c>
      <c r="AB3" s="93" t="s">
        <v>142</v>
      </c>
      <c r="AC3" s="92" t="s">
        <v>141</v>
      </c>
      <c r="AD3" s="97" t="s">
        <v>142</v>
      </c>
      <c r="AG3" s="133" t="s">
        <v>164</v>
      </c>
      <c r="AH3" s="115" t="s">
        <v>140</v>
      </c>
      <c r="AI3" s="114" t="s">
        <v>35</v>
      </c>
      <c r="AJ3" s="114" t="s">
        <v>152</v>
      </c>
      <c r="AK3" s="114" t="s">
        <v>41</v>
      </c>
      <c r="AL3" s="114" t="s">
        <v>153</v>
      </c>
      <c r="AM3" s="114" t="s">
        <v>154</v>
      </c>
      <c r="AN3" s="114" t="s">
        <v>155</v>
      </c>
      <c r="AO3" s="114" t="s">
        <v>156</v>
      </c>
    </row>
    <row r="4" spans="1:41" x14ac:dyDescent="0.25">
      <c r="A4" s="98" t="s">
        <v>150</v>
      </c>
      <c r="C4" s="121" t="e">
        <f>Tree!#REF!</f>
        <v>#REF!</v>
      </c>
      <c r="D4" s="41" t="e">
        <f>Tree!#REF!</f>
        <v>#REF!</v>
      </c>
      <c r="E4" s="122" t="e">
        <f>D4*C4</f>
        <v>#REF!</v>
      </c>
      <c r="F4" s="41" t="e">
        <f>Tree!#REF!</f>
        <v>#REF!</v>
      </c>
      <c r="G4" s="122" t="e">
        <f>F4*E4</f>
        <v>#REF!</v>
      </c>
      <c r="H4" s="79" t="e">
        <f>INDEX(Tree!#REF!,MATCH($J4,Tree!#REF!,0))</f>
        <v>#REF!</v>
      </c>
      <c r="I4" s="100" t="e">
        <f>G4*H4</f>
        <v>#REF!</v>
      </c>
      <c r="J4" s="41" t="s">
        <v>25</v>
      </c>
      <c r="K4" s="79" t="e">
        <f>INDEX(Tree!#REF!,MATCH($J4,Tree!#REF!,0))</f>
        <v>#REF!</v>
      </c>
      <c r="L4" s="99" t="e">
        <f t="shared" ref="L4:L35" si="0">K4*I4</f>
        <v>#REF!</v>
      </c>
      <c r="M4" s="79" t="e">
        <f>Tree!#REF!</f>
        <v>#REF!</v>
      </c>
      <c r="N4" s="100" t="e">
        <f t="shared" ref="N4:N9" si="1">L4*M4</f>
        <v>#REF!</v>
      </c>
      <c r="O4" s="79" t="s">
        <v>31</v>
      </c>
      <c r="P4" s="79" t="e">
        <f>INDEX(Tree!#REF!,MATCH($O4,Tree!#REF!,0)+MATCH(Tree!#REF!,Tree!#REF!,0)-1)</f>
        <v>#REF!</v>
      </c>
      <c r="Q4" s="99" t="e">
        <f>N4*P4</f>
        <v>#REF!</v>
      </c>
      <c r="R4" s="117" t="e">
        <f>Tree!#REF!</f>
        <v>#REF!</v>
      </c>
      <c r="S4" s="100" t="e">
        <f>Q4*R4</f>
        <v>#REF!</v>
      </c>
      <c r="T4" s="41" t="s">
        <v>32</v>
      </c>
      <c r="U4" s="41"/>
      <c r="V4" s="41" t="e">
        <f>Tree!#REF!</f>
        <v>#REF!</v>
      </c>
      <c r="W4" s="99"/>
      <c r="X4" s="117"/>
      <c r="Y4" s="100">
        <f t="shared" ref="Y4:Y67" si="2">W4*X4</f>
        <v>0</v>
      </c>
      <c r="Z4" s="80"/>
      <c r="AA4" s="80"/>
      <c r="AB4" s="41"/>
      <c r="AC4" s="86" t="e">
        <f>V4*S4+AA4*Y4</f>
        <v>#REF!</v>
      </c>
      <c r="AD4" s="80">
        <f>AB4*Y4</f>
        <v>0</v>
      </c>
      <c r="AG4" s="1" t="s">
        <v>31</v>
      </c>
      <c r="AH4" s="107" t="e">
        <f>(AJ4*AK4/(1-(1+AK4)^(-AL4))+SUM(AM4:AO4))^-AI4</f>
        <v>#REF!</v>
      </c>
      <c r="AI4" t="e">
        <f>Tree!#REF!</f>
        <v>#REF!</v>
      </c>
      <c r="AJ4" t="e">
        <f>Tree!#REF!</f>
        <v>#REF!</v>
      </c>
      <c r="AK4" t="e">
        <f>Tree!#REF!</f>
        <v>#REF!</v>
      </c>
      <c r="AL4" t="e">
        <f>Tree!#REF!</f>
        <v>#REF!</v>
      </c>
      <c r="AM4" t="e">
        <f>Tree!#REF!</f>
        <v>#REF!</v>
      </c>
      <c r="AN4" t="e">
        <f>Tree!#REF!</f>
        <v>#REF!</v>
      </c>
    </row>
    <row r="5" spans="1:41" x14ac:dyDescent="0.25">
      <c r="C5" s="135" t="e">
        <f>Tree!#REF!</f>
        <v>#REF!</v>
      </c>
      <c r="D5" s="81" t="e">
        <f>Tree!#REF!</f>
        <v>#REF!</v>
      </c>
      <c r="E5" s="136" t="e">
        <f t="shared" ref="E5:E68" si="3">D5*C5</f>
        <v>#REF!</v>
      </c>
      <c r="F5" s="81" t="e">
        <f>Tree!#REF!</f>
        <v>#REF!</v>
      </c>
      <c r="G5" s="136" t="e">
        <f t="shared" ref="G5:G68" si="4">F5*E5</f>
        <v>#REF!</v>
      </c>
      <c r="H5" s="82" t="e">
        <f>INDEX(Tree!#REF!,MATCH($J5,Tree!#REF!,0))</f>
        <v>#REF!</v>
      </c>
      <c r="I5" s="101" t="e">
        <f t="shared" ref="I5:I68" si="5">G5*H5</f>
        <v>#REF!</v>
      </c>
      <c r="J5" s="81" t="s">
        <v>25</v>
      </c>
      <c r="K5" s="82" t="e">
        <f>INDEX(Tree!#REF!,MATCH($J5,Tree!#REF!,0))</f>
        <v>#REF!</v>
      </c>
      <c r="L5" s="103" t="e">
        <f t="shared" si="0"/>
        <v>#REF!</v>
      </c>
      <c r="M5" s="82" t="e">
        <f>Tree!#REF!</f>
        <v>#REF!</v>
      </c>
      <c r="N5" s="101" t="e">
        <f t="shared" si="1"/>
        <v>#REF!</v>
      </c>
      <c r="O5" s="82" t="s">
        <v>31</v>
      </c>
      <c r="P5" s="82" t="e">
        <f>INDEX(Tree!#REF!,MATCH($O5,Tree!#REF!,0)+MATCH(Tree!#REF!,Tree!#REF!,0)-1)</f>
        <v>#REF!</v>
      </c>
      <c r="Q5" s="103" t="e">
        <f t="shared" ref="Q5:Q68" si="6">N5*P5</f>
        <v>#REF!</v>
      </c>
      <c r="R5" s="118" t="e">
        <f>Tree!#REF!</f>
        <v>#REF!</v>
      </c>
      <c r="S5" s="101" t="e">
        <f t="shared" ref="S5:S68" si="7">Q5*R5</f>
        <v>#REF!</v>
      </c>
      <c r="T5" s="81" t="s">
        <v>33</v>
      </c>
      <c r="U5" s="81" t="e">
        <f>Tree!#REF!</f>
        <v>#REF!</v>
      </c>
      <c r="V5" s="81"/>
      <c r="W5" s="103" t="e">
        <f>S5*U5</f>
        <v>#REF!</v>
      </c>
      <c r="X5" s="120"/>
      <c r="Y5" s="101" t="e">
        <f t="shared" si="2"/>
        <v>#REF!</v>
      </c>
      <c r="Z5" s="81" t="s">
        <v>54</v>
      </c>
      <c r="AA5" s="81" t="e">
        <f>Tree!#REF!</f>
        <v>#REF!</v>
      </c>
      <c r="AB5" s="81"/>
      <c r="AC5" s="87" t="e">
        <f t="shared" ref="AC5:AC68" si="8">V5*S5+AA5*Y5</f>
        <v>#REF!</v>
      </c>
      <c r="AD5" s="81" t="e">
        <f t="shared" ref="AD5:AD68" si="9">AB5*Y5</f>
        <v>#REF!</v>
      </c>
      <c r="AG5" s="1" t="s">
        <v>30</v>
      </c>
      <c r="AH5" s="107" t="e">
        <f>(AJ5*AK5/(1-(1+AK5)^(-AL5))+SUM(AM5:AO5))^-AI5</f>
        <v>#REF!</v>
      </c>
      <c r="AI5" t="e">
        <f>Tree!#REF!</f>
        <v>#REF!</v>
      </c>
      <c r="AJ5" t="e">
        <f>Tree!#REF!</f>
        <v>#REF!</v>
      </c>
      <c r="AK5" t="e">
        <f>Tree!#REF!</f>
        <v>#REF!</v>
      </c>
      <c r="AL5" t="e">
        <f>Tree!#REF!</f>
        <v>#REF!</v>
      </c>
      <c r="AM5" t="e">
        <f>Tree!#REF!</f>
        <v>#REF!</v>
      </c>
      <c r="AN5" t="e">
        <f>Tree!#REF!</f>
        <v>#REF!</v>
      </c>
    </row>
    <row r="6" spans="1:41" x14ac:dyDescent="0.25">
      <c r="C6" s="121" t="e">
        <f>Tree!#REF!</f>
        <v>#REF!</v>
      </c>
      <c r="D6" s="41" t="e">
        <f>Tree!#REF!</f>
        <v>#REF!</v>
      </c>
      <c r="E6" s="122" t="e">
        <f t="shared" si="3"/>
        <v>#REF!</v>
      </c>
      <c r="F6" s="41" t="e">
        <f>Tree!#REF!</f>
        <v>#REF!</v>
      </c>
      <c r="G6" s="122" t="e">
        <f t="shared" si="4"/>
        <v>#REF!</v>
      </c>
      <c r="H6" s="79" t="e">
        <f>INDEX(Tree!#REF!,MATCH($J6,Tree!#REF!,0))</f>
        <v>#REF!</v>
      </c>
      <c r="I6" s="100" t="e">
        <f t="shared" si="5"/>
        <v>#REF!</v>
      </c>
      <c r="J6" s="41" t="s">
        <v>25</v>
      </c>
      <c r="K6" s="79" t="e">
        <f>INDEX(Tree!#REF!,MATCH($J6,Tree!#REF!,0))</f>
        <v>#REF!</v>
      </c>
      <c r="L6" s="99" t="e">
        <f t="shared" si="0"/>
        <v>#REF!</v>
      </c>
      <c r="M6" s="79" t="e">
        <f>Tree!#REF!</f>
        <v>#REF!</v>
      </c>
      <c r="N6" s="100" t="e">
        <f t="shared" si="1"/>
        <v>#REF!</v>
      </c>
      <c r="O6" s="79" t="s">
        <v>31</v>
      </c>
      <c r="P6" s="79" t="e">
        <f>INDEX(Tree!#REF!,MATCH($O6,Tree!#REF!,0)+MATCH(Tree!#REF!,Tree!#REF!,0)-1)</f>
        <v>#REF!</v>
      </c>
      <c r="Q6" s="99" t="e">
        <f t="shared" si="6"/>
        <v>#REF!</v>
      </c>
      <c r="R6" s="117" t="e">
        <f>Tree!#REF!</f>
        <v>#REF!</v>
      </c>
      <c r="S6" s="100" t="e">
        <f t="shared" si="7"/>
        <v>#REF!</v>
      </c>
      <c r="T6" s="41" t="s">
        <v>33</v>
      </c>
      <c r="U6" s="41" t="e">
        <f>Tree!#REF!</f>
        <v>#REF!</v>
      </c>
      <c r="V6" s="41"/>
      <c r="W6" s="99" t="e">
        <f>S6*U6</f>
        <v>#REF!</v>
      </c>
      <c r="X6" s="139">
        <v>0</v>
      </c>
      <c r="Y6" s="100" t="e">
        <f t="shared" si="2"/>
        <v>#REF!</v>
      </c>
      <c r="Z6" s="80" t="s">
        <v>117</v>
      </c>
      <c r="AA6" s="80" t="e">
        <f>Tree!#REF!</f>
        <v>#REF!</v>
      </c>
      <c r="AB6" s="41"/>
      <c r="AC6" s="86" t="e">
        <f t="shared" si="8"/>
        <v>#REF!</v>
      </c>
      <c r="AD6" s="80" t="e">
        <f t="shared" si="9"/>
        <v>#REF!</v>
      </c>
      <c r="AG6" s="1" t="s">
        <v>29</v>
      </c>
      <c r="AH6" s="107" t="e">
        <f>(AJ6*AK6/(1-(1+AK6)^(-AL6))+SUM(AM6:AO6))^-AI6</f>
        <v>#REF!</v>
      </c>
      <c r="AI6" t="e">
        <f>Tree!#REF!</f>
        <v>#REF!</v>
      </c>
      <c r="AJ6" t="e">
        <f>Tree!#REF!</f>
        <v>#REF!</v>
      </c>
      <c r="AK6" t="e">
        <f>Tree!#REF!</f>
        <v>#REF!</v>
      </c>
      <c r="AL6" t="e">
        <f>Tree!#REF!</f>
        <v>#REF!</v>
      </c>
      <c r="AM6" t="e">
        <f>Tree!#REF!</f>
        <v>#REF!</v>
      </c>
      <c r="AN6" t="e">
        <f>Tree!#REF!</f>
        <v>#REF!</v>
      </c>
    </row>
    <row r="7" spans="1:41" x14ac:dyDescent="0.25">
      <c r="A7" s="105" t="s">
        <v>118</v>
      </c>
      <c r="C7" s="121" t="e">
        <f>Tree!#REF!</f>
        <v>#REF!</v>
      </c>
      <c r="D7" s="41" t="e">
        <f>Tree!#REF!</f>
        <v>#REF!</v>
      </c>
      <c r="E7" s="122" t="e">
        <f t="shared" si="3"/>
        <v>#REF!</v>
      </c>
      <c r="F7" s="41" t="e">
        <f>Tree!#REF!</f>
        <v>#REF!</v>
      </c>
      <c r="G7" s="122" t="e">
        <f t="shared" si="4"/>
        <v>#REF!</v>
      </c>
      <c r="H7" s="79" t="e">
        <f>INDEX(Tree!#REF!,MATCH($J7,Tree!#REF!,0))</f>
        <v>#REF!</v>
      </c>
      <c r="I7" s="100" t="e">
        <f t="shared" si="5"/>
        <v>#REF!</v>
      </c>
      <c r="J7" s="41" t="s">
        <v>25</v>
      </c>
      <c r="K7" s="79" t="e">
        <f>INDEX(Tree!#REF!,MATCH($J7,Tree!#REF!,0))</f>
        <v>#REF!</v>
      </c>
      <c r="L7" s="99" t="e">
        <f t="shared" si="0"/>
        <v>#REF!</v>
      </c>
      <c r="M7" s="79" t="e">
        <f>Tree!#REF!</f>
        <v>#REF!</v>
      </c>
      <c r="N7" s="100" t="e">
        <f t="shared" si="1"/>
        <v>#REF!</v>
      </c>
      <c r="O7" s="79" t="s">
        <v>31</v>
      </c>
      <c r="P7" s="79" t="e">
        <f>INDEX(Tree!#REF!,MATCH($O7,Tree!#REF!,0)+MATCH(Tree!#REF!,Tree!#REF!,0)-1)</f>
        <v>#REF!</v>
      </c>
      <c r="Q7" s="99" t="e">
        <f t="shared" si="6"/>
        <v>#REF!</v>
      </c>
      <c r="R7" s="117" t="e">
        <f>Tree!#REF!</f>
        <v>#REF!</v>
      </c>
      <c r="S7" s="100" t="e">
        <f t="shared" si="7"/>
        <v>#REF!</v>
      </c>
      <c r="T7" s="41" t="s">
        <v>33</v>
      </c>
      <c r="U7" s="41" t="e">
        <f>Tree!#REF!</f>
        <v>#REF!</v>
      </c>
      <c r="V7" s="41"/>
      <c r="W7" s="99" t="e">
        <f>S7*U7</f>
        <v>#REF!</v>
      </c>
      <c r="X7" s="139" t="e">
        <f>Tree!#REF!/SUM(Tree!#REF!,Tree!#REF!)</f>
        <v>#REF!</v>
      </c>
      <c r="Y7" s="100" t="e">
        <f t="shared" si="2"/>
        <v>#REF!</v>
      </c>
      <c r="Z7" s="80" t="s">
        <v>52</v>
      </c>
      <c r="AA7" s="80"/>
      <c r="AB7" s="41" t="e">
        <f>Tree!#REF!</f>
        <v>#REF!</v>
      </c>
      <c r="AC7" s="86" t="e">
        <f t="shared" si="8"/>
        <v>#REF!</v>
      </c>
      <c r="AD7" s="80" t="e">
        <f t="shared" si="9"/>
        <v>#REF!</v>
      </c>
      <c r="AG7" s="1"/>
      <c r="AH7" s="107"/>
    </row>
    <row r="8" spans="1:41" x14ac:dyDescent="0.25">
      <c r="A8" s="71" t="s">
        <v>145</v>
      </c>
      <c r="C8" s="121" t="e">
        <f>Tree!#REF!</f>
        <v>#REF!</v>
      </c>
      <c r="D8" s="41" t="e">
        <f>Tree!#REF!</f>
        <v>#REF!</v>
      </c>
      <c r="E8" s="122" t="e">
        <f t="shared" si="3"/>
        <v>#REF!</v>
      </c>
      <c r="F8" s="41" t="e">
        <f>Tree!#REF!</f>
        <v>#REF!</v>
      </c>
      <c r="G8" s="122" t="e">
        <f t="shared" si="4"/>
        <v>#REF!</v>
      </c>
      <c r="H8" s="79" t="e">
        <f>INDEX(Tree!#REF!,MATCH($J8,Tree!#REF!,0))</f>
        <v>#REF!</v>
      </c>
      <c r="I8" s="100" t="e">
        <f t="shared" si="5"/>
        <v>#REF!</v>
      </c>
      <c r="J8" s="41" t="s">
        <v>25</v>
      </c>
      <c r="K8" s="79" t="e">
        <f>INDEX(Tree!#REF!,MATCH($J8,Tree!#REF!,0))</f>
        <v>#REF!</v>
      </c>
      <c r="L8" s="99" t="e">
        <f t="shared" si="0"/>
        <v>#REF!</v>
      </c>
      <c r="M8" s="79" t="e">
        <f>Tree!#REF!</f>
        <v>#REF!</v>
      </c>
      <c r="N8" s="100" t="e">
        <f t="shared" si="1"/>
        <v>#REF!</v>
      </c>
      <c r="O8" s="79" t="s">
        <v>31</v>
      </c>
      <c r="P8" s="79" t="e">
        <f>INDEX(Tree!#REF!,MATCH($O8,Tree!#REF!,0)+MATCH(Tree!#REF!,Tree!#REF!,0)-1)</f>
        <v>#REF!</v>
      </c>
      <c r="Q8" s="99" t="e">
        <f t="shared" si="6"/>
        <v>#REF!</v>
      </c>
      <c r="R8" s="117" t="e">
        <f>Tree!#REF!</f>
        <v>#REF!</v>
      </c>
      <c r="S8" s="100" t="e">
        <f t="shared" si="7"/>
        <v>#REF!</v>
      </c>
      <c r="T8" s="41" t="s">
        <v>33</v>
      </c>
      <c r="U8" s="41" t="e">
        <f>Tree!#REF!</f>
        <v>#REF!</v>
      </c>
      <c r="V8" s="41"/>
      <c r="W8" s="99" t="e">
        <f>S8*U8</f>
        <v>#REF!</v>
      </c>
      <c r="X8" s="139" t="e">
        <f>Tree!#REF!/SUM(Tree!#REF!,Tree!#REF!)</f>
        <v>#REF!</v>
      </c>
      <c r="Y8" s="100" t="e">
        <f t="shared" si="2"/>
        <v>#REF!</v>
      </c>
      <c r="Z8" s="80" t="s">
        <v>53</v>
      </c>
      <c r="AA8" s="80"/>
      <c r="AB8" s="41" t="e">
        <f>Tree!#REF!</f>
        <v>#REF!</v>
      </c>
      <c r="AC8" s="86" t="e">
        <f t="shared" si="8"/>
        <v>#REF!</v>
      </c>
      <c r="AD8" s="80" t="e">
        <f t="shared" si="9"/>
        <v>#REF!</v>
      </c>
      <c r="AG8" s="1" t="s">
        <v>32</v>
      </c>
      <c r="AH8" s="107" t="e">
        <f>(AJ8*AK8/(1-(1+AK8)^(-AL8))+SUM(AM8:AO8))^-AI8</f>
        <v>#REF!</v>
      </c>
      <c r="AI8" t="e">
        <f>Tree!#REF!</f>
        <v>#REF!</v>
      </c>
      <c r="AJ8" t="e">
        <f>Tree!#REF!</f>
        <v>#REF!</v>
      </c>
      <c r="AK8" t="e">
        <f>Tree!#REF!</f>
        <v>#REF!</v>
      </c>
      <c r="AL8" t="e">
        <f>Tree!#REF!</f>
        <v>#REF!</v>
      </c>
      <c r="AM8" t="e">
        <f>Tree!#REF!</f>
        <v>#REF!</v>
      </c>
      <c r="AN8" t="e">
        <f>Tree!#REF!</f>
        <v>#REF!</v>
      </c>
      <c r="AO8" s="116" t="e">
        <f>Tree!#REF!</f>
        <v>#REF!</v>
      </c>
    </row>
    <row r="9" spans="1:41" x14ac:dyDescent="0.25">
      <c r="C9" s="121" t="e">
        <f>Tree!#REF!</f>
        <v>#REF!</v>
      </c>
      <c r="D9" s="41" t="e">
        <f>Tree!#REF!</f>
        <v>#REF!</v>
      </c>
      <c r="E9" s="122" t="e">
        <f t="shared" si="3"/>
        <v>#REF!</v>
      </c>
      <c r="F9" s="41" t="e">
        <f>Tree!#REF!</f>
        <v>#REF!</v>
      </c>
      <c r="G9" s="122" t="e">
        <f t="shared" si="4"/>
        <v>#REF!</v>
      </c>
      <c r="H9" s="79" t="e">
        <f>INDEX(Tree!#REF!,MATCH($J9,Tree!#REF!,0))</f>
        <v>#REF!</v>
      </c>
      <c r="I9" s="100" t="e">
        <f t="shared" si="5"/>
        <v>#REF!</v>
      </c>
      <c r="J9" s="41" t="s">
        <v>25</v>
      </c>
      <c r="K9" s="79" t="e">
        <f>INDEX(Tree!#REF!,MATCH($J9,Tree!#REF!,0))</f>
        <v>#REF!</v>
      </c>
      <c r="L9" s="99" t="e">
        <f t="shared" si="0"/>
        <v>#REF!</v>
      </c>
      <c r="M9" s="79" t="e">
        <f>Tree!#REF!</f>
        <v>#REF!</v>
      </c>
      <c r="N9" s="100" t="e">
        <f t="shared" si="1"/>
        <v>#REF!</v>
      </c>
      <c r="O9" s="79" t="s">
        <v>27</v>
      </c>
      <c r="P9" s="79" t="e">
        <f>INDEX(Tree!#REF!,MATCH($O9,Tree!#REF!,0)+MATCH(Tree!#REF!,Tree!#REF!,0)-1)</f>
        <v>#REF!</v>
      </c>
      <c r="Q9" s="99" t="e">
        <f t="shared" si="6"/>
        <v>#REF!</v>
      </c>
      <c r="R9" s="117" t="e">
        <f>Tree!#REF!</f>
        <v>#REF!</v>
      </c>
      <c r="S9" s="100" t="e">
        <f t="shared" si="7"/>
        <v>#REF!</v>
      </c>
      <c r="T9" s="41" t="s">
        <v>32</v>
      </c>
      <c r="U9" s="41"/>
      <c r="V9" s="41" t="e">
        <f>Tree!#REF!</f>
        <v>#REF!</v>
      </c>
      <c r="W9" s="99"/>
      <c r="X9" s="117"/>
      <c r="Y9" s="100">
        <f t="shared" si="2"/>
        <v>0</v>
      </c>
      <c r="Z9" s="80"/>
      <c r="AA9" s="80"/>
      <c r="AB9" s="41"/>
      <c r="AC9" s="86" t="e">
        <f t="shared" si="8"/>
        <v>#REF!</v>
      </c>
      <c r="AD9" s="80">
        <f t="shared" si="9"/>
        <v>0</v>
      </c>
      <c r="AG9" s="1" t="s">
        <v>33</v>
      </c>
      <c r="AH9" s="107" t="e">
        <f>Tree!#REF!^-AI9</f>
        <v>#REF!</v>
      </c>
      <c r="AI9" t="e">
        <f>Tree!#REF!</f>
        <v>#REF!</v>
      </c>
    </row>
    <row r="10" spans="1:41" x14ac:dyDescent="0.25">
      <c r="A10" s="106" t="s">
        <v>151</v>
      </c>
      <c r="C10" s="135" t="e">
        <f>Tree!#REF!</f>
        <v>#REF!</v>
      </c>
      <c r="D10" s="81" t="e">
        <f>Tree!#REF!</f>
        <v>#REF!</v>
      </c>
      <c r="E10" s="136" t="e">
        <f t="shared" si="3"/>
        <v>#REF!</v>
      </c>
      <c r="F10" s="81" t="e">
        <f>Tree!#REF!</f>
        <v>#REF!</v>
      </c>
      <c r="G10" s="136" t="e">
        <f t="shared" si="4"/>
        <v>#REF!</v>
      </c>
      <c r="H10" s="82" t="e">
        <f>INDEX(Tree!#REF!,MATCH($J10,Tree!#REF!,0))</f>
        <v>#REF!</v>
      </c>
      <c r="I10" s="101" t="e">
        <f t="shared" si="5"/>
        <v>#REF!</v>
      </c>
      <c r="J10" s="81" t="s">
        <v>25</v>
      </c>
      <c r="K10" s="82" t="e">
        <f>INDEX(Tree!#REF!,MATCH($J10,Tree!#REF!,0))</f>
        <v>#REF!</v>
      </c>
      <c r="L10" s="103" t="e">
        <f t="shared" si="0"/>
        <v>#REF!</v>
      </c>
      <c r="M10" s="82" t="e">
        <f>Tree!#REF!</f>
        <v>#REF!</v>
      </c>
      <c r="N10" s="101" t="e">
        <f t="shared" ref="N10:N73" si="10">L10*M10</f>
        <v>#REF!</v>
      </c>
      <c r="O10" s="82" t="s">
        <v>27</v>
      </c>
      <c r="P10" s="82" t="e">
        <f>INDEX(Tree!#REF!,MATCH($O10,Tree!#REF!,0)+MATCH(Tree!#REF!,Tree!#REF!,0)-1)</f>
        <v>#REF!</v>
      </c>
      <c r="Q10" s="103" t="e">
        <f t="shared" si="6"/>
        <v>#REF!</v>
      </c>
      <c r="R10" s="118" t="e">
        <f>Tree!#REF!</f>
        <v>#REF!</v>
      </c>
      <c r="S10" s="101" t="e">
        <f t="shared" si="7"/>
        <v>#REF!</v>
      </c>
      <c r="T10" s="81" t="s">
        <v>33</v>
      </c>
      <c r="U10" s="81" t="e">
        <f>Tree!#REF!</f>
        <v>#REF!</v>
      </c>
      <c r="V10" s="81"/>
      <c r="W10" s="103" t="e">
        <f>S10*U10</f>
        <v>#REF!</v>
      </c>
      <c r="X10" s="120"/>
      <c r="Y10" s="101" t="e">
        <f t="shared" si="2"/>
        <v>#REF!</v>
      </c>
      <c r="Z10" s="81" t="s">
        <v>54</v>
      </c>
      <c r="AA10" s="81" t="e">
        <f>Tree!#REF!</f>
        <v>#REF!</v>
      </c>
      <c r="AB10" s="81"/>
      <c r="AC10" s="87" t="e">
        <f t="shared" si="8"/>
        <v>#REF!</v>
      </c>
      <c r="AD10" s="81" t="e">
        <f t="shared" si="9"/>
        <v>#REF!</v>
      </c>
      <c r="AG10" s="1"/>
      <c r="AH10" s="107"/>
    </row>
    <row r="11" spans="1:41" x14ac:dyDescent="0.25">
      <c r="A11" s="138" t="s">
        <v>173</v>
      </c>
      <c r="C11" s="121" t="e">
        <f>Tree!#REF!</f>
        <v>#REF!</v>
      </c>
      <c r="D11" s="41" t="e">
        <f>Tree!#REF!</f>
        <v>#REF!</v>
      </c>
      <c r="E11" s="122" t="e">
        <f t="shared" si="3"/>
        <v>#REF!</v>
      </c>
      <c r="F11" s="41" t="e">
        <f>Tree!#REF!</f>
        <v>#REF!</v>
      </c>
      <c r="G11" s="122" t="e">
        <f t="shared" si="4"/>
        <v>#REF!</v>
      </c>
      <c r="H11" s="79" t="e">
        <f>INDEX(Tree!#REF!,MATCH($J11,Tree!#REF!,0))</f>
        <v>#REF!</v>
      </c>
      <c r="I11" s="100" t="e">
        <f t="shared" si="5"/>
        <v>#REF!</v>
      </c>
      <c r="J11" s="41" t="s">
        <v>25</v>
      </c>
      <c r="K11" s="79" t="e">
        <f>INDEX(Tree!#REF!,MATCH($J11,Tree!#REF!,0))</f>
        <v>#REF!</v>
      </c>
      <c r="L11" s="99" t="e">
        <f t="shared" si="0"/>
        <v>#REF!</v>
      </c>
      <c r="M11" s="79" t="e">
        <f>Tree!#REF!</f>
        <v>#REF!</v>
      </c>
      <c r="N11" s="100" t="e">
        <f t="shared" si="10"/>
        <v>#REF!</v>
      </c>
      <c r="O11" s="79" t="s">
        <v>27</v>
      </c>
      <c r="P11" s="79" t="e">
        <f>INDEX(Tree!#REF!,MATCH($O11,Tree!#REF!,0)+MATCH(Tree!#REF!,Tree!#REF!,0)-1)</f>
        <v>#REF!</v>
      </c>
      <c r="Q11" s="99" t="e">
        <f t="shared" si="6"/>
        <v>#REF!</v>
      </c>
      <c r="R11" s="117" t="e">
        <f>Tree!#REF!</f>
        <v>#REF!</v>
      </c>
      <c r="S11" s="100" t="e">
        <f t="shared" si="7"/>
        <v>#REF!</v>
      </c>
      <c r="T11" s="41" t="s">
        <v>33</v>
      </c>
      <c r="U11" s="41" t="e">
        <f>Tree!#REF!</f>
        <v>#REF!</v>
      </c>
      <c r="V11" s="41"/>
      <c r="W11" s="99" t="e">
        <f>S11*U11</f>
        <v>#REF!</v>
      </c>
      <c r="X11" s="139">
        <v>0</v>
      </c>
      <c r="Y11" s="100" t="e">
        <f t="shared" si="2"/>
        <v>#REF!</v>
      </c>
      <c r="Z11" s="80" t="s">
        <v>117</v>
      </c>
      <c r="AA11" s="80" t="e">
        <f>Tree!#REF!</f>
        <v>#REF!</v>
      </c>
      <c r="AB11" s="81"/>
      <c r="AC11" s="86" t="e">
        <f t="shared" si="8"/>
        <v>#REF!</v>
      </c>
      <c r="AD11" s="80" t="e">
        <f t="shared" si="9"/>
        <v>#REF!</v>
      </c>
      <c r="AG11" s="1" t="s">
        <v>117</v>
      </c>
      <c r="AH11" s="107" t="e">
        <f>(AJ11*AK11/(1-(1+AK11)^(-AL11))+SUM(AM11:AO11))^-AI11</f>
        <v>#REF!</v>
      </c>
      <c r="AI11" t="e">
        <f>Tree!#REF!</f>
        <v>#REF!</v>
      </c>
      <c r="AJ11" t="e">
        <f>Tree!#REF!</f>
        <v>#REF!</v>
      </c>
      <c r="AK11" t="e">
        <f>Tree!#REF!</f>
        <v>#REF!</v>
      </c>
      <c r="AL11" t="e">
        <f>Tree!#REF!</f>
        <v>#REF!</v>
      </c>
      <c r="AM11" t="e">
        <f>Tree!#REF!</f>
        <v>#REF!</v>
      </c>
      <c r="AN11" t="e">
        <f>Tree!#REF!</f>
        <v>#REF!</v>
      </c>
      <c r="AO11" s="116" t="e">
        <f>Tree!#REF!</f>
        <v>#REF!</v>
      </c>
    </row>
    <row r="12" spans="1:41" x14ac:dyDescent="0.25">
      <c r="C12" s="121" t="e">
        <f>Tree!#REF!</f>
        <v>#REF!</v>
      </c>
      <c r="D12" s="41" t="e">
        <f>Tree!#REF!</f>
        <v>#REF!</v>
      </c>
      <c r="E12" s="122" t="e">
        <f t="shared" si="3"/>
        <v>#REF!</v>
      </c>
      <c r="F12" s="41" t="e">
        <f>Tree!#REF!</f>
        <v>#REF!</v>
      </c>
      <c r="G12" s="122" t="e">
        <f t="shared" si="4"/>
        <v>#REF!</v>
      </c>
      <c r="H12" s="79" t="e">
        <f>INDEX(Tree!#REF!,MATCH($J12,Tree!#REF!,0))</f>
        <v>#REF!</v>
      </c>
      <c r="I12" s="100" t="e">
        <f t="shared" si="5"/>
        <v>#REF!</v>
      </c>
      <c r="J12" s="41" t="s">
        <v>25</v>
      </c>
      <c r="K12" s="79" t="e">
        <f>INDEX(Tree!#REF!,MATCH($J12,Tree!#REF!,0))</f>
        <v>#REF!</v>
      </c>
      <c r="L12" s="99" t="e">
        <f t="shared" si="0"/>
        <v>#REF!</v>
      </c>
      <c r="M12" s="79" t="e">
        <f>Tree!#REF!</f>
        <v>#REF!</v>
      </c>
      <c r="N12" s="100" t="e">
        <f t="shared" si="10"/>
        <v>#REF!</v>
      </c>
      <c r="O12" s="79" t="s">
        <v>27</v>
      </c>
      <c r="P12" s="79" t="e">
        <f>INDEX(Tree!#REF!,MATCH($O12,Tree!#REF!,0)+MATCH(Tree!#REF!,Tree!#REF!,0)-1)</f>
        <v>#REF!</v>
      </c>
      <c r="Q12" s="99" t="e">
        <f t="shared" si="6"/>
        <v>#REF!</v>
      </c>
      <c r="R12" s="117" t="e">
        <f>Tree!#REF!</f>
        <v>#REF!</v>
      </c>
      <c r="S12" s="100" t="e">
        <f t="shared" si="7"/>
        <v>#REF!</v>
      </c>
      <c r="T12" s="41" t="s">
        <v>33</v>
      </c>
      <c r="U12" s="41" t="e">
        <f>Tree!#REF!</f>
        <v>#REF!</v>
      </c>
      <c r="V12" s="41"/>
      <c r="W12" s="99" t="e">
        <f>S12*U12</f>
        <v>#REF!</v>
      </c>
      <c r="X12" s="139" t="e">
        <f>Tree!#REF!/SUM(Tree!#REF!,Tree!#REF!)</f>
        <v>#REF!</v>
      </c>
      <c r="Y12" s="100" t="e">
        <f t="shared" si="2"/>
        <v>#REF!</v>
      </c>
      <c r="Z12" s="80" t="s">
        <v>52</v>
      </c>
      <c r="AA12" s="80"/>
      <c r="AB12" s="41" t="e">
        <f>Tree!#REF!</f>
        <v>#REF!</v>
      </c>
      <c r="AC12" s="86" t="e">
        <f t="shared" si="8"/>
        <v>#REF!</v>
      </c>
      <c r="AD12" s="80" t="e">
        <f t="shared" si="9"/>
        <v>#REF!</v>
      </c>
      <c r="AG12" s="1" t="s">
        <v>53</v>
      </c>
      <c r="AH12" s="107" t="e">
        <f>(AJ12*AK12/(1-(1+AK12)^(-AL12))+SUM(AM12:AO12))^-AI12</f>
        <v>#REF!</v>
      </c>
      <c r="AI12" t="e">
        <f>Tree!#REF!</f>
        <v>#REF!</v>
      </c>
      <c r="AJ12" t="e">
        <f>Tree!#REF!</f>
        <v>#REF!</v>
      </c>
      <c r="AK12" t="e">
        <f>Tree!#REF!</f>
        <v>#REF!</v>
      </c>
      <c r="AL12" t="e">
        <f>Tree!#REF!</f>
        <v>#REF!</v>
      </c>
      <c r="AM12" t="e">
        <f>Tree!#REF!</f>
        <v>#REF!</v>
      </c>
      <c r="AN12" t="e">
        <f>Tree!#REF!</f>
        <v>#REF!</v>
      </c>
      <c r="AO12" s="116" t="e">
        <f>Tree!#REF!</f>
        <v>#REF!</v>
      </c>
    </row>
    <row r="13" spans="1:41" x14ac:dyDescent="0.25">
      <c r="C13" s="121" t="e">
        <f>Tree!#REF!</f>
        <v>#REF!</v>
      </c>
      <c r="D13" s="41" t="e">
        <f>Tree!#REF!</f>
        <v>#REF!</v>
      </c>
      <c r="E13" s="122" t="e">
        <f t="shared" si="3"/>
        <v>#REF!</v>
      </c>
      <c r="F13" s="41" t="e">
        <f>Tree!#REF!</f>
        <v>#REF!</v>
      </c>
      <c r="G13" s="122" t="e">
        <f t="shared" si="4"/>
        <v>#REF!</v>
      </c>
      <c r="H13" s="79" t="e">
        <f>INDEX(Tree!#REF!,MATCH($J13,Tree!#REF!,0))</f>
        <v>#REF!</v>
      </c>
      <c r="I13" s="100" t="e">
        <f t="shared" si="5"/>
        <v>#REF!</v>
      </c>
      <c r="J13" s="41" t="s">
        <v>25</v>
      </c>
      <c r="K13" s="79" t="e">
        <f>INDEX(Tree!#REF!,MATCH($J13,Tree!#REF!,0))</f>
        <v>#REF!</v>
      </c>
      <c r="L13" s="99" t="e">
        <f t="shared" si="0"/>
        <v>#REF!</v>
      </c>
      <c r="M13" s="79" t="e">
        <f>Tree!#REF!</f>
        <v>#REF!</v>
      </c>
      <c r="N13" s="100" t="e">
        <f t="shared" si="10"/>
        <v>#REF!</v>
      </c>
      <c r="O13" s="79" t="s">
        <v>27</v>
      </c>
      <c r="P13" s="79" t="e">
        <f>INDEX(Tree!#REF!,MATCH($O13,Tree!#REF!,0)+MATCH(Tree!#REF!,Tree!#REF!,0)-1)</f>
        <v>#REF!</v>
      </c>
      <c r="Q13" s="99" t="e">
        <f t="shared" si="6"/>
        <v>#REF!</v>
      </c>
      <c r="R13" s="117" t="e">
        <f>Tree!#REF!</f>
        <v>#REF!</v>
      </c>
      <c r="S13" s="100" t="e">
        <f t="shared" si="7"/>
        <v>#REF!</v>
      </c>
      <c r="T13" s="41" t="s">
        <v>33</v>
      </c>
      <c r="U13" s="41" t="e">
        <f>Tree!#REF!</f>
        <v>#REF!</v>
      </c>
      <c r="V13" s="41"/>
      <c r="W13" s="99" t="e">
        <f>S13*U13</f>
        <v>#REF!</v>
      </c>
      <c r="X13" s="139" t="e">
        <f>Tree!#REF!/SUM(Tree!#REF!,Tree!#REF!)</f>
        <v>#REF!</v>
      </c>
      <c r="Y13" s="100" t="e">
        <f t="shared" si="2"/>
        <v>#REF!</v>
      </c>
      <c r="Z13" s="80" t="s">
        <v>53</v>
      </c>
      <c r="AA13" s="80"/>
      <c r="AB13" s="41" t="e">
        <f>Tree!#REF!</f>
        <v>#REF!</v>
      </c>
      <c r="AC13" s="86" t="e">
        <f t="shared" si="8"/>
        <v>#REF!</v>
      </c>
      <c r="AD13" s="80" t="e">
        <f t="shared" si="9"/>
        <v>#REF!</v>
      </c>
      <c r="AG13" s="1" t="s">
        <v>54</v>
      </c>
      <c r="AH13" s="107" t="e">
        <f>(AJ13*AK13/(1-(1+AK13)^(-AL13))+SUM(AM13:AO13))^-AI13</f>
        <v>#REF!</v>
      </c>
      <c r="AI13" t="e">
        <f>Tree!#REF!</f>
        <v>#REF!</v>
      </c>
      <c r="AJ13" t="e">
        <f>Tree!#REF!</f>
        <v>#REF!</v>
      </c>
      <c r="AK13" t="e">
        <f>Tree!#REF!</f>
        <v>#REF!</v>
      </c>
      <c r="AL13" t="e">
        <f>Tree!#REF!</f>
        <v>#REF!</v>
      </c>
      <c r="AM13" t="e">
        <f>Tree!#REF!</f>
        <v>#REF!</v>
      </c>
      <c r="AN13" t="e">
        <f>Tree!#REF!</f>
        <v>#REF!</v>
      </c>
      <c r="AO13" s="116" t="e">
        <f>Tree!#REF!</f>
        <v>#REF!</v>
      </c>
    </row>
    <row r="14" spans="1:41" x14ac:dyDescent="0.25">
      <c r="C14" s="121" t="e">
        <f>Tree!#REF!</f>
        <v>#REF!</v>
      </c>
      <c r="D14" s="41" t="e">
        <f>Tree!#REF!</f>
        <v>#REF!</v>
      </c>
      <c r="E14" s="122" t="e">
        <f t="shared" si="3"/>
        <v>#REF!</v>
      </c>
      <c r="F14" s="41" t="e">
        <f>Tree!#REF!</f>
        <v>#REF!</v>
      </c>
      <c r="G14" s="122" t="e">
        <f t="shared" si="4"/>
        <v>#REF!</v>
      </c>
      <c r="H14" s="79" t="e">
        <f>INDEX(Tree!#REF!,MATCH($J14,Tree!#REF!,0))</f>
        <v>#REF!</v>
      </c>
      <c r="I14" s="100" t="e">
        <f t="shared" si="5"/>
        <v>#REF!</v>
      </c>
      <c r="J14" s="41" t="s">
        <v>25</v>
      </c>
      <c r="K14" s="79" t="e">
        <f>INDEX(Tree!#REF!,MATCH($J14,Tree!#REF!,0))</f>
        <v>#REF!</v>
      </c>
      <c r="L14" s="99" t="e">
        <f t="shared" si="0"/>
        <v>#REF!</v>
      </c>
      <c r="M14" s="79" t="e">
        <f>Tree!#REF!</f>
        <v>#REF!</v>
      </c>
      <c r="N14" s="100" t="e">
        <f t="shared" si="10"/>
        <v>#REF!</v>
      </c>
      <c r="O14" s="79" t="s">
        <v>28</v>
      </c>
      <c r="P14" s="79" t="e">
        <f>INDEX(Tree!#REF!,MATCH($O14,Tree!#REF!,0)+MATCH(Tree!#REF!,Tree!#REF!,0)-1)</f>
        <v>#REF!</v>
      </c>
      <c r="Q14" s="99" t="e">
        <f t="shared" si="6"/>
        <v>#REF!</v>
      </c>
      <c r="R14" s="117" t="e">
        <f>Tree!#REF!</f>
        <v>#REF!</v>
      </c>
      <c r="S14" s="100" t="e">
        <f t="shared" si="7"/>
        <v>#REF!</v>
      </c>
      <c r="T14" s="41" t="s">
        <v>32</v>
      </c>
      <c r="U14" s="41"/>
      <c r="V14" s="41" t="e">
        <f>Tree!#REF!</f>
        <v>#REF!</v>
      </c>
      <c r="W14" s="99"/>
      <c r="X14" s="117"/>
      <c r="Y14" s="100">
        <f t="shared" si="2"/>
        <v>0</v>
      </c>
      <c r="Z14" s="80"/>
      <c r="AA14" s="80"/>
      <c r="AB14" s="41"/>
      <c r="AC14" s="86" t="e">
        <f t="shared" si="8"/>
        <v>#REF!</v>
      </c>
      <c r="AD14" s="80">
        <f t="shared" si="9"/>
        <v>0</v>
      </c>
    </row>
    <row r="15" spans="1:41" x14ac:dyDescent="0.25">
      <c r="C15" s="135" t="e">
        <f>Tree!#REF!</f>
        <v>#REF!</v>
      </c>
      <c r="D15" s="81" t="e">
        <f>Tree!#REF!</f>
        <v>#REF!</v>
      </c>
      <c r="E15" s="136" t="e">
        <f t="shared" si="3"/>
        <v>#REF!</v>
      </c>
      <c r="F15" s="81" t="e">
        <f>Tree!#REF!</f>
        <v>#REF!</v>
      </c>
      <c r="G15" s="136" t="e">
        <f t="shared" si="4"/>
        <v>#REF!</v>
      </c>
      <c r="H15" s="82" t="e">
        <f>INDEX(Tree!#REF!,MATCH($J15,Tree!#REF!,0))</f>
        <v>#REF!</v>
      </c>
      <c r="I15" s="101" t="e">
        <f t="shared" si="5"/>
        <v>#REF!</v>
      </c>
      <c r="J15" s="81" t="s">
        <v>25</v>
      </c>
      <c r="K15" s="82" t="e">
        <f>INDEX(Tree!#REF!,MATCH($J15,Tree!#REF!,0))</f>
        <v>#REF!</v>
      </c>
      <c r="L15" s="103" t="e">
        <f t="shared" si="0"/>
        <v>#REF!</v>
      </c>
      <c r="M15" s="82" t="e">
        <f>Tree!#REF!</f>
        <v>#REF!</v>
      </c>
      <c r="N15" s="101" t="e">
        <f t="shared" si="10"/>
        <v>#REF!</v>
      </c>
      <c r="O15" s="82" t="s">
        <v>28</v>
      </c>
      <c r="P15" s="82" t="e">
        <f>INDEX(Tree!#REF!,MATCH($O15,Tree!#REF!,0)+MATCH(Tree!#REF!,Tree!#REF!,0)-1)</f>
        <v>#REF!</v>
      </c>
      <c r="Q15" s="103" t="e">
        <f t="shared" si="6"/>
        <v>#REF!</v>
      </c>
      <c r="R15" s="118" t="e">
        <f>Tree!#REF!</f>
        <v>#REF!</v>
      </c>
      <c r="S15" s="101" t="e">
        <f t="shared" si="7"/>
        <v>#REF!</v>
      </c>
      <c r="T15" s="81" t="s">
        <v>33</v>
      </c>
      <c r="U15" s="81" t="e">
        <f>Tree!#REF!</f>
        <v>#REF!</v>
      </c>
      <c r="V15" s="81"/>
      <c r="W15" s="103" t="e">
        <f>S15*U15</f>
        <v>#REF!</v>
      </c>
      <c r="X15" s="120"/>
      <c r="Y15" s="101" t="e">
        <f t="shared" si="2"/>
        <v>#REF!</v>
      </c>
      <c r="Z15" s="81" t="s">
        <v>54</v>
      </c>
      <c r="AA15" s="81" t="e">
        <f>Tree!#REF!</f>
        <v>#REF!</v>
      </c>
      <c r="AB15" s="81"/>
      <c r="AC15" s="87" t="e">
        <f t="shared" si="8"/>
        <v>#REF!</v>
      </c>
      <c r="AD15" s="81" t="e">
        <f t="shared" si="9"/>
        <v>#REF!</v>
      </c>
      <c r="AG15" s="1"/>
    </row>
    <row r="16" spans="1:41" x14ac:dyDescent="0.25">
      <c r="C16" s="121" t="e">
        <f>Tree!#REF!</f>
        <v>#REF!</v>
      </c>
      <c r="D16" s="41" t="e">
        <f>Tree!#REF!</f>
        <v>#REF!</v>
      </c>
      <c r="E16" s="122" t="e">
        <f t="shared" si="3"/>
        <v>#REF!</v>
      </c>
      <c r="F16" s="41" t="e">
        <f>Tree!#REF!</f>
        <v>#REF!</v>
      </c>
      <c r="G16" s="122" t="e">
        <f t="shared" si="4"/>
        <v>#REF!</v>
      </c>
      <c r="H16" s="79" t="e">
        <f>INDEX(Tree!#REF!,MATCH($J16,Tree!#REF!,0))</f>
        <v>#REF!</v>
      </c>
      <c r="I16" s="100" t="e">
        <f t="shared" si="5"/>
        <v>#REF!</v>
      </c>
      <c r="J16" s="41" t="s">
        <v>25</v>
      </c>
      <c r="K16" s="79" t="e">
        <f>INDEX(Tree!#REF!,MATCH($J16,Tree!#REF!,0))</f>
        <v>#REF!</v>
      </c>
      <c r="L16" s="99" t="e">
        <f t="shared" si="0"/>
        <v>#REF!</v>
      </c>
      <c r="M16" s="79" t="e">
        <f>Tree!#REF!</f>
        <v>#REF!</v>
      </c>
      <c r="N16" s="100" t="e">
        <f t="shared" si="10"/>
        <v>#REF!</v>
      </c>
      <c r="O16" s="79" t="s">
        <v>28</v>
      </c>
      <c r="P16" s="79" t="e">
        <f>INDEX(Tree!#REF!,MATCH($O16,Tree!#REF!,0)+MATCH(Tree!#REF!,Tree!#REF!,0)-1)</f>
        <v>#REF!</v>
      </c>
      <c r="Q16" s="99" t="e">
        <f t="shared" si="6"/>
        <v>#REF!</v>
      </c>
      <c r="R16" s="117" t="e">
        <f>Tree!#REF!</f>
        <v>#REF!</v>
      </c>
      <c r="S16" s="100" t="e">
        <f t="shared" si="7"/>
        <v>#REF!</v>
      </c>
      <c r="T16" s="41" t="s">
        <v>33</v>
      </c>
      <c r="U16" s="41" t="e">
        <f>Tree!#REF!</f>
        <v>#REF!</v>
      </c>
      <c r="V16" s="41"/>
      <c r="W16" s="99" t="e">
        <f>S16*U16</f>
        <v>#REF!</v>
      </c>
      <c r="X16" s="139">
        <v>0</v>
      </c>
      <c r="Y16" s="100" t="e">
        <f t="shared" si="2"/>
        <v>#REF!</v>
      </c>
      <c r="Z16" s="80" t="s">
        <v>117</v>
      </c>
      <c r="AA16" s="80" t="e">
        <f>Tree!#REF!</f>
        <v>#REF!</v>
      </c>
      <c r="AB16" s="41"/>
      <c r="AC16" s="86" t="e">
        <f t="shared" si="8"/>
        <v>#REF!</v>
      </c>
      <c r="AD16" s="80" t="e">
        <f t="shared" si="9"/>
        <v>#REF!</v>
      </c>
      <c r="AG16" s="1"/>
    </row>
    <row r="17" spans="3:41" x14ac:dyDescent="0.25">
      <c r="C17" s="121" t="e">
        <f>Tree!#REF!</f>
        <v>#REF!</v>
      </c>
      <c r="D17" s="41" t="e">
        <f>Tree!#REF!</f>
        <v>#REF!</v>
      </c>
      <c r="E17" s="122" t="e">
        <f t="shared" si="3"/>
        <v>#REF!</v>
      </c>
      <c r="F17" s="41" t="e">
        <f>Tree!#REF!</f>
        <v>#REF!</v>
      </c>
      <c r="G17" s="122" t="e">
        <f t="shared" si="4"/>
        <v>#REF!</v>
      </c>
      <c r="H17" s="79" t="e">
        <f>INDEX(Tree!#REF!,MATCH($J17,Tree!#REF!,0))</f>
        <v>#REF!</v>
      </c>
      <c r="I17" s="100" t="e">
        <f t="shared" si="5"/>
        <v>#REF!</v>
      </c>
      <c r="J17" s="41" t="s">
        <v>25</v>
      </c>
      <c r="K17" s="79" t="e">
        <f>INDEX(Tree!#REF!,MATCH($J17,Tree!#REF!,0))</f>
        <v>#REF!</v>
      </c>
      <c r="L17" s="99" t="e">
        <f t="shared" si="0"/>
        <v>#REF!</v>
      </c>
      <c r="M17" s="79" t="e">
        <f>Tree!#REF!</f>
        <v>#REF!</v>
      </c>
      <c r="N17" s="100" t="e">
        <f t="shared" si="10"/>
        <v>#REF!</v>
      </c>
      <c r="O17" s="79" t="s">
        <v>28</v>
      </c>
      <c r="P17" s="79" t="e">
        <f>INDEX(Tree!#REF!,MATCH($O17,Tree!#REF!,0)+MATCH(Tree!#REF!,Tree!#REF!,0)-1)</f>
        <v>#REF!</v>
      </c>
      <c r="Q17" s="99" t="e">
        <f t="shared" si="6"/>
        <v>#REF!</v>
      </c>
      <c r="R17" s="117" t="e">
        <f>Tree!#REF!</f>
        <v>#REF!</v>
      </c>
      <c r="S17" s="100" t="e">
        <f t="shared" si="7"/>
        <v>#REF!</v>
      </c>
      <c r="T17" s="41" t="s">
        <v>33</v>
      </c>
      <c r="U17" s="41" t="e">
        <f>Tree!#REF!</f>
        <v>#REF!</v>
      </c>
      <c r="V17" s="41"/>
      <c r="W17" s="99" t="e">
        <f>S17*U17</f>
        <v>#REF!</v>
      </c>
      <c r="X17" s="139" t="e">
        <f>Tree!#REF!/SUM(Tree!#REF!,Tree!#REF!)</f>
        <v>#REF!</v>
      </c>
      <c r="Y17" s="100" t="e">
        <f t="shared" si="2"/>
        <v>#REF!</v>
      </c>
      <c r="Z17" s="80" t="s">
        <v>52</v>
      </c>
      <c r="AA17" s="80"/>
      <c r="AB17" s="80" t="e">
        <f>Tree!#REF!</f>
        <v>#REF!</v>
      </c>
      <c r="AC17" s="86" t="e">
        <f t="shared" si="8"/>
        <v>#REF!</v>
      </c>
      <c r="AD17" s="80" t="e">
        <f t="shared" si="9"/>
        <v>#REF!</v>
      </c>
      <c r="AG17" s="1"/>
    </row>
    <row r="18" spans="3:41" x14ac:dyDescent="0.25">
      <c r="C18" s="121" t="e">
        <f>Tree!#REF!</f>
        <v>#REF!</v>
      </c>
      <c r="D18" s="41" t="e">
        <f>Tree!#REF!</f>
        <v>#REF!</v>
      </c>
      <c r="E18" s="122" t="e">
        <f t="shared" si="3"/>
        <v>#REF!</v>
      </c>
      <c r="F18" s="41" t="e">
        <f>Tree!#REF!</f>
        <v>#REF!</v>
      </c>
      <c r="G18" s="122" t="e">
        <f t="shared" si="4"/>
        <v>#REF!</v>
      </c>
      <c r="H18" s="79" t="e">
        <f>INDEX(Tree!#REF!,MATCH($J18,Tree!#REF!,0))</f>
        <v>#REF!</v>
      </c>
      <c r="I18" s="100" t="e">
        <f t="shared" si="5"/>
        <v>#REF!</v>
      </c>
      <c r="J18" s="41" t="s">
        <v>25</v>
      </c>
      <c r="K18" s="79" t="e">
        <f>INDEX(Tree!#REF!,MATCH($J18,Tree!#REF!,0))</f>
        <v>#REF!</v>
      </c>
      <c r="L18" s="99" t="e">
        <f t="shared" si="0"/>
        <v>#REF!</v>
      </c>
      <c r="M18" s="79" t="e">
        <f>Tree!#REF!</f>
        <v>#REF!</v>
      </c>
      <c r="N18" s="100" t="e">
        <f t="shared" si="10"/>
        <v>#REF!</v>
      </c>
      <c r="O18" s="79" t="s">
        <v>28</v>
      </c>
      <c r="P18" s="79" t="e">
        <f>INDEX(Tree!#REF!,MATCH($O18,Tree!#REF!,0)+MATCH(Tree!#REF!,Tree!#REF!,0)-1)</f>
        <v>#REF!</v>
      </c>
      <c r="Q18" s="99" t="e">
        <f t="shared" si="6"/>
        <v>#REF!</v>
      </c>
      <c r="R18" s="117" t="e">
        <f>Tree!#REF!</f>
        <v>#REF!</v>
      </c>
      <c r="S18" s="100" t="e">
        <f t="shared" si="7"/>
        <v>#REF!</v>
      </c>
      <c r="T18" s="41" t="s">
        <v>33</v>
      </c>
      <c r="U18" s="41" t="e">
        <f>Tree!#REF!</f>
        <v>#REF!</v>
      </c>
      <c r="V18" s="41"/>
      <c r="W18" s="99" t="e">
        <f>S18*U18</f>
        <v>#REF!</v>
      </c>
      <c r="X18" s="139" t="e">
        <f>Tree!#REF!/SUM(Tree!#REF!,Tree!#REF!)</f>
        <v>#REF!</v>
      </c>
      <c r="Y18" s="100" t="e">
        <f t="shared" si="2"/>
        <v>#REF!</v>
      </c>
      <c r="Z18" s="80" t="s">
        <v>53</v>
      </c>
      <c r="AA18" s="80"/>
      <c r="AB18" s="80" t="e">
        <f>Tree!#REF!</f>
        <v>#REF!</v>
      </c>
      <c r="AC18" s="86" t="e">
        <f t="shared" si="8"/>
        <v>#REF!</v>
      </c>
      <c r="AD18" s="80" t="e">
        <f t="shared" si="9"/>
        <v>#REF!</v>
      </c>
      <c r="AG18" s="1"/>
    </row>
    <row r="19" spans="3:41" x14ac:dyDescent="0.25">
      <c r="C19" s="121" t="e">
        <f>Tree!#REF!</f>
        <v>#REF!</v>
      </c>
      <c r="D19" s="41" t="e">
        <f>Tree!#REF!</f>
        <v>#REF!</v>
      </c>
      <c r="E19" s="122" t="e">
        <f t="shared" si="3"/>
        <v>#REF!</v>
      </c>
      <c r="F19" s="41" t="e">
        <f>Tree!#REF!</f>
        <v>#REF!</v>
      </c>
      <c r="G19" s="122" t="e">
        <f t="shared" si="4"/>
        <v>#REF!</v>
      </c>
      <c r="H19" s="79" t="e">
        <f>INDEX(Tree!#REF!,MATCH($J19,Tree!#REF!,0))</f>
        <v>#REF!</v>
      </c>
      <c r="I19" s="100" t="e">
        <f t="shared" si="5"/>
        <v>#REF!</v>
      </c>
      <c r="J19" s="41" t="s">
        <v>25</v>
      </c>
      <c r="K19" s="79" t="e">
        <f>INDEX(Tree!#REF!,MATCH($J19,Tree!#REF!,0))</f>
        <v>#REF!</v>
      </c>
      <c r="L19" s="99" t="e">
        <f t="shared" si="0"/>
        <v>#REF!</v>
      </c>
      <c r="M19" s="79" t="e">
        <f>Tree!#REF!</f>
        <v>#REF!</v>
      </c>
      <c r="N19" s="100" t="e">
        <f t="shared" si="10"/>
        <v>#REF!</v>
      </c>
      <c r="O19" s="79" t="s">
        <v>30</v>
      </c>
      <c r="P19" s="79" t="e">
        <f>INDEX(Tree!#REF!,MATCH($O19,Tree!#REF!,0)+MATCH(Tree!#REF!,Tree!#REF!,0)-1)</f>
        <v>#REF!</v>
      </c>
      <c r="Q19" s="99" t="e">
        <f t="shared" si="6"/>
        <v>#REF!</v>
      </c>
      <c r="R19" s="117" t="e">
        <f>Tree!#REF!</f>
        <v>#REF!</v>
      </c>
      <c r="S19" s="100" t="e">
        <f t="shared" si="7"/>
        <v>#REF!</v>
      </c>
      <c r="T19" s="41" t="s">
        <v>32</v>
      </c>
      <c r="U19" s="41"/>
      <c r="V19" s="41" t="e">
        <f>Tree!#REF!</f>
        <v>#REF!</v>
      </c>
      <c r="W19" s="99"/>
      <c r="X19" s="117"/>
      <c r="Y19" s="100">
        <f t="shared" si="2"/>
        <v>0</v>
      </c>
      <c r="Z19" s="80"/>
      <c r="AA19" s="80"/>
      <c r="AB19" s="80"/>
      <c r="AC19" s="86" t="e">
        <f t="shared" si="8"/>
        <v>#REF!</v>
      </c>
      <c r="AD19" s="80">
        <f t="shared" si="9"/>
        <v>0</v>
      </c>
      <c r="AO19" s="116"/>
    </row>
    <row r="20" spans="3:41" x14ac:dyDescent="0.25">
      <c r="C20" s="135" t="e">
        <f>Tree!#REF!</f>
        <v>#REF!</v>
      </c>
      <c r="D20" s="81" t="e">
        <f>Tree!#REF!</f>
        <v>#REF!</v>
      </c>
      <c r="E20" s="136" t="e">
        <f t="shared" si="3"/>
        <v>#REF!</v>
      </c>
      <c r="F20" s="81" t="e">
        <f>Tree!#REF!</f>
        <v>#REF!</v>
      </c>
      <c r="G20" s="136" t="e">
        <f t="shared" si="4"/>
        <v>#REF!</v>
      </c>
      <c r="H20" s="82" t="e">
        <f>INDEX(Tree!#REF!,MATCH($J20,Tree!#REF!,0))</f>
        <v>#REF!</v>
      </c>
      <c r="I20" s="101" t="e">
        <f t="shared" si="5"/>
        <v>#REF!</v>
      </c>
      <c r="J20" s="81" t="s">
        <v>25</v>
      </c>
      <c r="K20" s="82" t="e">
        <f>INDEX(Tree!#REF!,MATCH($J20,Tree!#REF!,0))</f>
        <v>#REF!</v>
      </c>
      <c r="L20" s="103" t="e">
        <f t="shared" si="0"/>
        <v>#REF!</v>
      </c>
      <c r="M20" s="82" t="e">
        <f>Tree!#REF!</f>
        <v>#REF!</v>
      </c>
      <c r="N20" s="101" t="e">
        <f t="shared" si="10"/>
        <v>#REF!</v>
      </c>
      <c r="O20" s="82" t="s">
        <v>30</v>
      </c>
      <c r="P20" s="82" t="e">
        <f>INDEX(Tree!#REF!,MATCH($O20,Tree!#REF!,0)+MATCH(Tree!#REF!,Tree!#REF!,0)-1)</f>
        <v>#REF!</v>
      </c>
      <c r="Q20" s="103" t="e">
        <f t="shared" si="6"/>
        <v>#REF!</v>
      </c>
      <c r="R20" s="118" t="e">
        <f>Tree!#REF!</f>
        <v>#REF!</v>
      </c>
      <c r="S20" s="101" t="e">
        <f t="shared" si="7"/>
        <v>#REF!</v>
      </c>
      <c r="T20" s="81" t="s">
        <v>33</v>
      </c>
      <c r="U20" s="81" t="e">
        <f>Tree!#REF!</f>
        <v>#REF!</v>
      </c>
      <c r="V20" s="81"/>
      <c r="W20" s="103" t="e">
        <f>S20*U20</f>
        <v>#REF!</v>
      </c>
      <c r="X20" s="120"/>
      <c r="Y20" s="101" t="e">
        <f t="shared" si="2"/>
        <v>#REF!</v>
      </c>
      <c r="Z20" s="81" t="s">
        <v>54</v>
      </c>
      <c r="AA20" s="81" t="e">
        <f>Tree!#REF!</f>
        <v>#REF!</v>
      </c>
      <c r="AB20" s="81"/>
      <c r="AC20" s="87" t="e">
        <f t="shared" si="8"/>
        <v>#REF!</v>
      </c>
      <c r="AD20" s="81" t="e">
        <f t="shared" si="9"/>
        <v>#REF!</v>
      </c>
    </row>
    <row r="21" spans="3:41" x14ac:dyDescent="0.25">
      <c r="C21" s="121" t="e">
        <f>Tree!#REF!</f>
        <v>#REF!</v>
      </c>
      <c r="D21" s="41" t="e">
        <f>Tree!#REF!</f>
        <v>#REF!</v>
      </c>
      <c r="E21" s="122" t="e">
        <f t="shared" si="3"/>
        <v>#REF!</v>
      </c>
      <c r="F21" s="41" t="e">
        <f>Tree!#REF!</f>
        <v>#REF!</v>
      </c>
      <c r="G21" s="122" t="e">
        <f t="shared" si="4"/>
        <v>#REF!</v>
      </c>
      <c r="H21" s="79" t="e">
        <f>INDEX(Tree!#REF!,MATCH($J21,Tree!#REF!,0))</f>
        <v>#REF!</v>
      </c>
      <c r="I21" s="100" t="e">
        <f t="shared" si="5"/>
        <v>#REF!</v>
      </c>
      <c r="J21" s="41" t="s">
        <v>25</v>
      </c>
      <c r="K21" s="79" t="e">
        <f>INDEX(Tree!#REF!,MATCH($J21,Tree!#REF!,0))</f>
        <v>#REF!</v>
      </c>
      <c r="L21" s="99" t="e">
        <f t="shared" si="0"/>
        <v>#REF!</v>
      </c>
      <c r="M21" s="79" t="e">
        <f>Tree!#REF!</f>
        <v>#REF!</v>
      </c>
      <c r="N21" s="100" t="e">
        <f t="shared" si="10"/>
        <v>#REF!</v>
      </c>
      <c r="O21" s="79" t="s">
        <v>30</v>
      </c>
      <c r="P21" s="79" t="e">
        <f>INDEX(Tree!#REF!,MATCH($O21,Tree!#REF!,0)+MATCH(Tree!#REF!,Tree!#REF!,0)-1)</f>
        <v>#REF!</v>
      </c>
      <c r="Q21" s="99" t="e">
        <f t="shared" si="6"/>
        <v>#REF!</v>
      </c>
      <c r="R21" s="117" t="e">
        <f>Tree!#REF!</f>
        <v>#REF!</v>
      </c>
      <c r="S21" s="100" t="e">
        <f t="shared" si="7"/>
        <v>#REF!</v>
      </c>
      <c r="T21" s="41" t="s">
        <v>33</v>
      </c>
      <c r="U21" s="41" t="e">
        <f>Tree!#REF!</f>
        <v>#REF!</v>
      </c>
      <c r="V21" s="41"/>
      <c r="W21" s="99" t="e">
        <f>S21*U21</f>
        <v>#REF!</v>
      </c>
      <c r="X21" s="139">
        <v>0</v>
      </c>
      <c r="Y21" s="100" t="e">
        <f t="shared" si="2"/>
        <v>#REF!</v>
      </c>
      <c r="Z21" s="80" t="s">
        <v>117</v>
      </c>
      <c r="AA21" s="80" t="e">
        <f>Tree!#REF!</f>
        <v>#REF!</v>
      </c>
      <c r="AB21" s="80"/>
      <c r="AC21" s="86" t="e">
        <f t="shared" si="8"/>
        <v>#REF!</v>
      </c>
      <c r="AD21" s="80" t="e">
        <f t="shared" si="9"/>
        <v>#REF!</v>
      </c>
    </row>
    <row r="22" spans="3:41" x14ac:dyDescent="0.25">
      <c r="C22" s="121" t="e">
        <f>Tree!#REF!</f>
        <v>#REF!</v>
      </c>
      <c r="D22" s="41" t="e">
        <f>Tree!#REF!</f>
        <v>#REF!</v>
      </c>
      <c r="E22" s="122" t="e">
        <f t="shared" si="3"/>
        <v>#REF!</v>
      </c>
      <c r="F22" s="41" t="e">
        <f>Tree!#REF!</f>
        <v>#REF!</v>
      </c>
      <c r="G22" s="122" t="e">
        <f t="shared" si="4"/>
        <v>#REF!</v>
      </c>
      <c r="H22" s="79" t="e">
        <f>INDEX(Tree!#REF!,MATCH($J22,Tree!#REF!,0))</f>
        <v>#REF!</v>
      </c>
      <c r="I22" s="100" t="e">
        <f t="shared" si="5"/>
        <v>#REF!</v>
      </c>
      <c r="J22" s="41" t="s">
        <v>25</v>
      </c>
      <c r="K22" s="79" t="e">
        <f>INDEX(Tree!#REF!,MATCH($J22,Tree!#REF!,0))</f>
        <v>#REF!</v>
      </c>
      <c r="L22" s="99" t="e">
        <f t="shared" si="0"/>
        <v>#REF!</v>
      </c>
      <c r="M22" s="79" t="e">
        <f>Tree!#REF!</f>
        <v>#REF!</v>
      </c>
      <c r="N22" s="100" t="e">
        <f t="shared" si="10"/>
        <v>#REF!</v>
      </c>
      <c r="O22" s="79" t="s">
        <v>30</v>
      </c>
      <c r="P22" s="79" t="e">
        <f>INDEX(Tree!#REF!,MATCH($O22,Tree!#REF!,0)+MATCH(Tree!#REF!,Tree!#REF!,0)-1)</f>
        <v>#REF!</v>
      </c>
      <c r="Q22" s="99" t="e">
        <f t="shared" si="6"/>
        <v>#REF!</v>
      </c>
      <c r="R22" s="117" t="e">
        <f>Tree!#REF!</f>
        <v>#REF!</v>
      </c>
      <c r="S22" s="100" t="e">
        <f t="shared" si="7"/>
        <v>#REF!</v>
      </c>
      <c r="T22" s="41" t="s">
        <v>33</v>
      </c>
      <c r="U22" s="41" t="e">
        <f>Tree!#REF!</f>
        <v>#REF!</v>
      </c>
      <c r="V22" s="41"/>
      <c r="W22" s="99" t="e">
        <f>S22*U22</f>
        <v>#REF!</v>
      </c>
      <c r="X22" s="139" t="e">
        <f>Tree!#REF!/SUM(Tree!#REF!,Tree!#REF!)</f>
        <v>#REF!</v>
      </c>
      <c r="Y22" s="100" t="e">
        <f t="shared" si="2"/>
        <v>#REF!</v>
      </c>
      <c r="Z22" s="80" t="s">
        <v>52</v>
      </c>
      <c r="AA22" s="80"/>
      <c r="AB22" s="80" t="e">
        <f>Tree!#REF!</f>
        <v>#REF!</v>
      </c>
      <c r="AC22" s="86" t="e">
        <f t="shared" si="8"/>
        <v>#REF!</v>
      </c>
      <c r="AD22" s="80" t="e">
        <f t="shared" si="9"/>
        <v>#REF!</v>
      </c>
    </row>
    <row r="23" spans="3:41" x14ac:dyDescent="0.25">
      <c r="C23" s="121" t="e">
        <f>Tree!#REF!</f>
        <v>#REF!</v>
      </c>
      <c r="D23" s="41" t="e">
        <f>Tree!#REF!</f>
        <v>#REF!</v>
      </c>
      <c r="E23" s="122" t="e">
        <f t="shared" si="3"/>
        <v>#REF!</v>
      </c>
      <c r="F23" s="41" t="e">
        <f>Tree!#REF!</f>
        <v>#REF!</v>
      </c>
      <c r="G23" s="122" t="e">
        <f t="shared" si="4"/>
        <v>#REF!</v>
      </c>
      <c r="H23" s="79" t="e">
        <f>INDEX(Tree!#REF!,MATCH($J23,Tree!#REF!,0))</f>
        <v>#REF!</v>
      </c>
      <c r="I23" s="100" t="e">
        <f t="shared" si="5"/>
        <v>#REF!</v>
      </c>
      <c r="J23" s="41" t="s">
        <v>25</v>
      </c>
      <c r="K23" s="79" t="e">
        <f>INDEX(Tree!#REF!,MATCH($J23,Tree!#REF!,0))</f>
        <v>#REF!</v>
      </c>
      <c r="L23" s="99" t="e">
        <f t="shared" si="0"/>
        <v>#REF!</v>
      </c>
      <c r="M23" s="79" t="e">
        <f>Tree!#REF!</f>
        <v>#REF!</v>
      </c>
      <c r="N23" s="100" t="e">
        <f t="shared" si="10"/>
        <v>#REF!</v>
      </c>
      <c r="O23" s="79" t="s">
        <v>30</v>
      </c>
      <c r="P23" s="79" t="e">
        <f>INDEX(Tree!#REF!,MATCH($O23,Tree!#REF!,0)+MATCH(Tree!#REF!,Tree!#REF!,0)-1)</f>
        <v>#REF!</v>
      </c>
      <c r="Q23" s="99" t="e">
        <f t="shared" si="6"/>
        <v>#REF!</v>
      </c>
      <c r="R23" s="117" t="e">
        <f>Tree!#REF!</f>
        <v>#REF!</v>
      </c>
      <c r="S23" s="100" t="e">
        <f t="shared" si="7"/>
        <v>#REF!</v>
      </c>
      <c r="T23" s="41" t="s">
        <v>33</v>
      </c>
      <c r="U23" s="41" t="e">
        <f>Tree!#REF!</f>
        <v>#REF!</v>
      </c>
      <c r="V23" s="41"/>
      <c r="W23" s="99" t="e">
        <f>S23*U23</f>
        <v>#REF!</v>
      </c>
      <c r="X23" s="139" t="e">
        <f>Tree!#REF!/SUM(Tree!#REF!,Tree!#REF!)</f>
        <v>#REF!</v>
      </c>
      <c r="Y23" s="100" t="e">
        <f t="shared" si="2"/>
        <v>#REF!</v>
      </c>
      <c r="Z23" s="80" t="s">
        <v>53</v>
      </c>
      <c r="AA23" s="80"/>
      <c r="AB23" s="80" t="e">
        <f>Tree!#REF!</f>
        <v>#REF!</v>
      </c>
      <c r="AC23" s="86" t="e">
        <f t="shared" si="8"/>
        <v>#REF!</v>
      </c>
      <c r="AD23" s="80" t="e">
        <f t="shared" si="9"/>
        <v>#REF!</v>
      </c>
      <c r="AO23" s="116"/>
    </row>
    <row r="24" spans="3:41" x14ac:dyDescent="0.25">
      <c r="C24" s="121" t="e">
        <f>Tree!#REF!</f>
        <v>#REF!</v>
      </c>
      <c r="D24" s="41" t="e">
        <f>Tree!#REF!</f>
        <v>#REF!</v>
      </c>
      <c r="E24" s="122" t="e">
        <f t="shared" si="3"/>
        <v>#REF!</v>
      </c>
      <c r="F24" s="41" t="e">
        <f>Tree!#REF!</f>
        <v>#REF!</v>
      </c>
      <c r="G24" s="122" t="e">
        <f t="shared" si="4"/>
        <v>#REF!</v>
      </c>
      <c r="H24" s="79" t="e">
        <f>INDEX(Tree!#REF!,MATCH($J24,Tree!#REF!,0))</f>
        <v>#REF!</v>
      </c>
      <c r="I24" s="100" t="e">
        <f t="shared" si="5"/>
        <v>#REF!</v>
      </c>
      <c r="J24" s="41" t="s">
        <v>25</v>
      </c>
      <c r="K24" s="79" t="e">
        <f>INDEX(Tree!#REF!,MATCH($J24,Tree!#REF!,0))</f>
        <v>#REF!</v>
      </c>
      <c r="L24" s="99" t="e">
        <f t="shared" si="0"/>
        <v>#REF!</v>
      </c>
      <c r="M24" s="79" t="e">
        <f>Tree!#REF!</f>
        <v>#REF!</v>
      </c>
      <c r="N24" s="100" t="e">
        <f t="shared" si="10"/>
        <v>#REF!</v>
      </c>
      <c r="O24" s="79" t="s">
        <v>29</v>
      </c>
      <c r="P24" s="79" t="e">
        <f>INDEX(Tree!#REF!,MATCH($O24,Tree!#REF!,0)+MATCH(Tree!#REF!,Tree!#REF!,0)-1)</f>
        <v>#REF!</v>
      </c>
      <c r="Q24" s="99" t="e">
        <f t="shared" si="6"/>
        <v>#REF!</v>
      </c>
      <c r="R24" s="117" t="e">
        <f>Tree!#REF!</f>
        <v>#REF!</v>
      </c>
      <c r="S24" s="100" t="e">
        <f t="shared" si="7"/>
        <v>#REF!</v>
      </c>
      <c r="T24" s="41" t="s">
        <v>32</v>
      </c>
      <c r="U24" s="41"/>
      <c r="V24" s="41" t="e">
        <f>Tree!#REF!</f>
        <v>#REF!</v>
      </c>
      <c r="W24" s="99"/>
      <c r="X24" s="117"/>
      <c r="Y24" s="100">
        <f t="shared" si="2"/>
        <v>0</v>
      </c>
      <c r="Z24" s="80"/>
      <c r="AA24" s="80"/>
      <c r="AB24" s="41"/>
      <c r="AC24" s="86" t="e">
        <f t="shared" si="8"/>
        <v>#REF!</v>
      </c>
      <c r="AD24" s="80">
        <f t="shared" si="9"/>
        <v>0</v>
      </c>
      <c r="AO24" s="116"/>
    </row>
    <row r="25" spans="3:41" x14ac:dyDescent="0.25">
      <c r="C25" s="135" t="e">
        <f>Tree!#REF!</f>
        <v>#REF!</v>
      </c>
      <c r="D25" s="81" t="e">
        <f>Tree!#REF!</f>
        <v>#REF!</v>
      </c>
      <c r="E25" s="136" t="e">
        <f t="shared" si="3"/>
        <v>#REF!</v>
      </c>
      <c r="F25" s="81" t="e">
        <f>Tree!#REF!</f>
        <v>#REF!</v>
      </c>
      <c r="G25" s="136" t="e">
        <f t="shared" si="4"/>
        <v>#REF!</v>
      </c>
      <c r="H25" s="82" t="e">
        <f>INDEX(Tree!#REF!,MATCH($J25,Tree!#REF!,0))</f>
        <v>#REF!</v>
      </c>
      <c r="I25" s="101" t="e">
        <f t="shared" si="5"/>
        <v>#REF!</v>
      </c>
      <c r="J25" s="81" t="s">
        <v>25</v>
      </c>
      <c r="K25" s="82" t="e">
        <f>INDEX(Tree!#REF!,MATCH($J25,Tree!#REF!,0))</f>
        <v>#REF!</v>
      </c>
      <c r="L25" s="103" t="e">
        <f t="shared" si="0"/>
        <v>#REF!</v>
      </c>
      <c r="M25" s="82" t="e">
        <f>Tree!#REF!</f>
        <v>#REF!</v>
      </c>
      <c r="N25" s="101" t="e">
        <f t="shared" si="10"/>
        <v>#REF!</v>
      </c>
      <c r="O25" s="82" t="s">
        <v>29</v>
      </c>
      <c r="P25" s="82" t="e">
        <f>INDEX(Tree!#REF!,MATCH($O25,Tree!#REF!,0)+MATCH(Tree!#REF!,Tree!#REF!,0)-1)</f>
        <v>#REF!</v>
      </c>
      <c r="Q25" s="103" t="e">
        <f t="shared" si="6"/>
        <v>#REF!</v>
      </c>
      <c r="R25" s="118" t="e">
        <f>Tree!#REF!</f>
        <v>#REF!</v>
      </c>
      <c r="S25" s="101" t="e">
        <f t="shared" si="7"/>
        <v>#REF!</v>
      </c>
      <c r="T25" s="81" t="s">
        <v>33</v>
      </c>
      <c r="U25" s="81" t="e">
        <f>Tree!#REF!</f>
        <v>#REF!</v>
      </c>
      <c r="V25" s="81"/>
      <c r="W25" s="103" t="e">
        <f>S25*U25</f>
        <v>#REF!</v>
      </c>
      <c r="X25" s="120"/>
      <c r="Y25" s="101" t="e">
        <f t="shared" si="2"/>
        <v>#REF!</v>
      </c>
      <c r="Z25" s="81" t="s">
        <v>54</v>
      </c>
      <c r="AA25" s="81" t="e">
        <f>Tree!#REF!</f>
        <v>#REF!</v>
      </c>
      <c r="AB25" s="81"/>
      <c r="AC25" s="87" t="e">
        <f t="shared" si="8"/>
        <v>#REF!</v>
      </c>
      <c r="AD25" s="81" t="e">
        <f t="shared" si="9"/>
        <v>#REF!</v>
      </c>
      <c r="AO25" s="116"/>
    </row>
    <row r="26" spans="3:41" x14ac:dyDescent="0.25">
      <c r="C26" s="121" t="e">
        <f>Tree!#REF!</f>
        <v>#REF!</v>
      </c>
      <c r="D26" s="41" t="e">
        <f>Tree!#REF!</f>
        <v>#REF!</v>
      </c>
      <c r="E26" s="122" t="e">
        <f t="shared" si="3"/>
        <v>#REF!</v>
      </c>
      <c r="F26" s="41" t="e">
        <f>Tree!#REF!</f>
        <v>#REF!</v>
      </c>
      <c r="G26" s="122" t="e">
        <f t="shared" si="4"/>
        <v>#REF!</v>
      </c>
      <c r="H26" s="79" t="e">
        <f>INDEX(Tree!#REF!,MATCH($J26,Tree!#REF!,0))</f>
        <v>#REF!</v>
      </c>
      <c r="I26" s="100" t="e">
        <f t="shared" si="5"/>
        <v>#REF!</v>
      </c>
      <c r="J26" s="41" t="s">
        <v>25</v>
      </c>
      <c r="K26" s="79" t="e">
        <f>INDEX(Tree!#REF!,MATCH($J26,Tree!#REF!,0))</f>
        <v>#REF!</v>
      </c>
      <c r="L26" s="99" t="e">
        <f t="shared" si="0"/>
        <v>#REF!</v>
      </c>
      <c r="M26" s="79" t="e">
        <f>Tree!#REF!</f>
        <v>#REF!</v>
      </c>
      <c r="N26" s="100" t="e">
        <f t="shared" si="10"/>
        <v>#REF!</v>
      </c>
      <c r="O26" s="79" t="s">
        <v>29</v>
      </c>
      <c r="P26" s="79" t="e">
        <f>INDEX(Tree!#REF!,MATCH($O26,Tree!#REF!,0)+MATCH(Tree!#REF!,Tree!#REF!,0)-1)</f>
        <v>#REF!</v>
      </c>
      <c r="Q26" s="99" t="e">
        <f t="shared" si="6"/>
        <v>#REF!</v>
      </c>
      <c r="R26" s="117" t="e">
        <f>Tree!#REF!</f>
        <v>#REF!</v>
      </c>
      <c r="S26" s="100" t="e">
        <f t="shared" si="7"/>
        <v>#REF!</v>
      </c>
      <c r="T26" s="41" t="s">
        <v>33</v>
      </c>
      <c r="U26" s="41" t="e">
        <f>Tree!#REF!</f>
        <v>#REF!</v>
      </c>
      <c r="V26" s="41"/>
      <c r="W26" s="99" t="e">
        <f>S26*U26</f>
        <v>#REF!</v>
      </c>
      <c r="X26" s="139">
        <v>0</v>
      </c>
      <c r="Y26" s="100" t="e">
        <f t="shared" si="2"/>
        <v>#REF!</v>
      </c>
      <c r="Z26" s="80" t="s">
        <v>117</v>
      </c>
      <c r="AA26" s="80" t="e">
        <f>Tree!#REF!</f>
        <v>#REF!</v>
      </c>
      <c r="AB26" s="41"/>
      <c r="AC26" s="86" t="e">
        <f t="shared" si="8"/>
        <v>#REF!</v>
      </c>
      <c r="AD26" s="80" t="e">
        <f t="shared" si="9"/>
        <v>#REF!</v>
      </c>
      <c r="AO26" s="116"/>
    </row>
    <row r="27" spans="3:41" x14ac:dyDescent="0.25">
      <c r="C27" s="121" t="e">
        <f>Tree!#REF!</f>
        <v>#REF!</v>
      </c>
      <c r="D27" s="41" t="e">
        <f>Tree!#REF!</f>
        <v>#REF!</v>
      </c>
      <c r="E27" s="122" t="e">
        <f t="shared" si="3"/>
        <v>#REF!</v>
      </c>
      <c r="F27" s="41" t="e">
        <f>Tree!#REF!</f>
        <v>#REF!</v>
      </c>
      <c r="G27" s="122" t="e">
        <f t="shared" si="4"/>
        <v>#REF!</v>
      </c>
      <c r="H27" s="79" t="e">
        <f>INDEX(Tree!#REF!,MATCH($J27,Tree!#REF!,0))</f>
        <v>#REF!</v>
      </c>
      <c r="I27" s="100" t="e">
        <f t="shared" si="5"/>
        <v>#REF!</v>
      </c>
      <c r="J27" s="41" t="s">
        <v>25</v>
      </c>
      <c r="K27" s="79" t="e">
        <f>INDEX(Tree!#REF!,MATCH($J27,Tree!#REF!,0))</f>
        <v>#REF!</v>
      </c>
      <c r="L27" s="99" t="e">
        <f t="shared" si="0"/>
        <v>#REF!</v>
      </c>
      <c r="M27" s="79" t="e">
        <f>Tree!#REF!</f>
        <v>#REF!</v>
      </c>
      <c r="N27" s="100" t="e">
        <f t="shared" si="10"/>
        <v>#REF!</v>
      </c>
      <c r="O27" s="79" t="s">
        <v>29</v>
      </c>
      <c r="P27" s="79" t="e">
        <f>INDEX(Tree!#REF!,MATCH($O27,Tree!#REF!,0)+MATCH(Tree!#REF!,Tree!#REF!,0)-1)</f>
        <v>#REF!</v>
      </c>
      <c r="Q27" s="99" t="e">
        <f t="shared" si="6"/>
        <v>#REF!</v>
      </c>
      <c r="R27" s="117" t="e">
        <f>Tree!#REF!</f>
        <v>#REF!</v>
      </c>
      <c r="S27" s="100" t="e">
        <f t="shared" si="7"/>
        <v>#REF!</v>
      </c>
      <c r="T27" s="41" t="s">
        <v>33</v>
      </c>
      <c r="U27" s="41" t="e">
        <f>Tree!#REF!</f>
        <v>#REF!</v>
      </c>
      <c r="V27" s="41"/>
      <c r="W27" s="99" t="e">
        <f>S27*U27</f>
        <v>#REF!</v>
      </c>
      <c r="X27" s="139" t="e">
        <f>Tree!#REF!/SUM(Tree!#REF!,Tree!#REF!)</f>
        <v>#REF!</v>
      </c>
      <c r="Y27" s="100" t="e">
        <f t="shared" si="2"/>
        <v>#REF!</v>
      </c>
      <c r="Z27" s="80" t="s">
        <v>52</v>
      </c>
      <c r="AA27" s="80"/>
      <c r="AB27" s="41" t="e">
        <f>Tree!#REF!</f>
        <v>#REF!</v>
      </c>
      <c r="AC27" s="86" t="e">
        <f t="shared" si="8"/>
        <v>#REF!</v>
      </c>
      <c r="AD27" s="80" t="e">
        <f t="shared" si="9"/>
        <v>#REF!</v>
      </c>
      <c r="AO27" s="116"/>
    </row>
    <row r="28" spans="3:41" x14ac:dyDescent="0.25">
      <c r="C28" s="121" t="e">
        <f>Tree!#REF!</f>
        <v>#REF!</v>
      </c>
      <c r="D28" s="41" t="e">
        <f>Tree!#REF!</f>
        <v>#REF!</v>
      </c>
      <c r="E28" s="122" t="e">
        <f t="shared" si="3"/>
        <v>#REF!</v>
      </c>
      <c r="F28" s="41" t="e">
        <f>Tree!#REF!</f>
        <v>#REF!</v>
      </c>
      <c r="G28" s="122" t="e">
        <f t="shared" si="4"/>
        <v>#REF!</v>
      </c>
      <c r="H28" s="79" t="e">
        <f>INDEX(Tree!#REF!,MATCH($J28,Tree!#REF!,0))</f>
        <v>#REF!</v>
      </c>
      <c r="I28" s="100" t="e">
        <f t="shared" si="5"/>
        <v>#REF!</v>
      </c>
      <c r="J28" s="80" t="s">
        <v>25</v>
      </c>
      <c r="K28" s="90" t="e">
        <f>INDEX(Tree!#REF!,MATCH($J28,Tree!#REF!,0))</f>
        <v>#REF!</v>
      </c>
      <c r="L28" s="104" t="e">
        <f t="shared" si="0"/>
        <v>#REF!</v>
      </c>
      <c r="M28" s="90" t="e">
        <f>Tree!#REF!</f>
        <v>#REF!</v>
      </c>
      <c r="N28" s="102" t="e">
        <f t="shared" si="10"/>
        <v>#REF!</v>
      </c>
      <c r="O28" s="90" t="s">
        <v>29</v>
      </c>
      <c r="P28" s="90" t="e">
        <f>INDEX(Tree!#REF!,MATCH($O28,Tree!#REF!,0)+MATCH(Tree!#REF!,Tree!#REF!,0)-1)</f>
        <v>#REF!</v>
      </c>
      <c r="Q28" s="104" t="e">
        <f t="shared" si="6"/>
        <v>#REF!</v>
      </c>
      <c r="R28" s="119" t="e">
        <f>Tree!#REF!</f>
        <v>#REF!</v>
      </c>
      <c r="S28" s="102" t="e">
        <f t="shared" si="7"/>
        <v>#REF!</v>
      </c>
      <c r="T28" s="80" t="s">
        <v>33</v>
      </c>
      <c r="U28" s="80" t="e">
        <f>Tree!#REF!</f>
        <v>#REF!</v>
      </c>
      <c r="V28" s="80"/>
      <c r="W28" s="104" t="e">
        <f>S28*U28</f>
        <v>#REF!</v>
      </c>
      <c r="X28" s="139" t="e">
        <f>Tree!#REF!/SUM(Tree!#REF!,Tree!#REF!)</f>
        <v>#REF!</v>
      </c>
      <c r="Y28" s="102" t="e">
        <f t="shared" si="2"/>
        <v>#REF!</v>
      </c>
      <c r="Z28" s="80" t="s">
        <v>53</v>
      </c>
      <c r="AA28" s="80"/>
      <c r="AB28" s="80" t="e">
        <f>Tree!#REF!</f>
        <v>#REF!</v>
      </c>
      <c r="AC28" s="91" t="e">
        <f t="shared" si="8"/>
        <v>#REF!</v>
      </c>
      <c r="AD28" s="80" t="e">
        <f t="shared" si="9"/>
        <v>#REF!</v>
      </c>
      <c r="AO28" s="116"/>
    </row>
    <row r="29" spans="3:41" x14ac:dyDescent="0.25">
      <c r="C29" s="121" t="e">
        <f>Tree!#REF!</f>
        <v>#REF!</v>
      </c>
      <c r="D29" s="41" t="e">
        <f>Tree!#REF!</f>
        <v>#REF!</v>
      </c>
      <c r="E29" s="122" t="e">
        <f t="shared" si="3"/>
        <v>#REF!</v>
      </c>
      <c r="F29" s="41" t="e">
        <f>Tree!#REF!</f>
        <v>#REF!</v>
      </c>
      <c r="G29" s="122" t="e">
        <f t="shared" si="4"/>
        <v>#REF!</v>
      </c>
      <c r="H29" s="79" t="e">
        <f>INDEX(Tree!#REF!,MATCH($J29,Tree!#REF!,0))</f>
        <v>#REF!</v>
      </c>
      <c r="I29" s="100" t="e">
        <f t="shared" si="5"/>
        <v>#REF!</v>
      </c>
      <c r="J29" s="80" t="s">
        <v>26</v>
      </c>
      <c r="K29" s="90" t="e">
        <f>INDEX(Tree!#REF!,MATCH($J29,Tree!#REF!,0))</f>
        <v>#REF!</v>
      </c>
      <c r="L29" s="104" t="e">
        <f t="shared" si="0"/>
        <v>#REF!</v>
      </c>
      <c r="M29" s="90" t="e">
        <f>Tree!#REF!</f>
        <v>#REF!</v>
      </c>
      <c r="N29" s="102" t="e">
        <f t="shared" si="10"/>
        <v>#REF!</v>
      </c>
      <c r="O29" s="90" t="s">
        <v>31</v>
      </c>
      <c r="P29" s="90" t="e">
        <f>INDEX(Tree!#REF!,MATCH($O29,Tree!#REF!,0)+MATCH(Tree!#REF!,Tree!#REF!,0)-1)</f>
        <v>#REF!</v>
      </c>
      <c r="Q29" s="104" t="e">
        <f t="shared" si="6"/>
        <v>#REF!</v>
      </c>
      <c r="R29" s="119" t="e">
        <f>Tree!#REF!</f>
        <v>#REF!</v>
      </c>
      <c r="S29" s="102" t="e">
        <f t="shared" si="7"/>
        <v>#REF!</v>
      </c>
      <c r="T29" s="80" t="s">
        <v>32</v>
      </c>
      <c r="U29" s="80"/>
      <c r="V29" s="80" t="e">
        <f>Tree!#REF!</f>
        <v>#REF!</v>
      </c>
      <c r="W29" s="104"/>
      <c r="X29" s="119"/>
      <c r="Y29" s="102">
        <f t="shared" si="2"/>
        <v>0</v>
      </c>
      <c r="Z29" s="80"/>
      <c r="AA29" s="80"/>
      <c r="AB29" s="80"/>
      <c r="AC29" s="91" t="e">
        <f t="shared" si="8"/>
        <v>#REF!</v>
      </c>
      <c r="AD29" s="80">
        <f t="shared" si="9"/>
        <v>0</v>
      </c>
      <c r="AO29" s="116"/>
    </row>
    <row r="30" spans="3:41" x14ac:dyDescent="0.25">
      <c r="C30" s="121" t="e">
        <f>Tree!#REF!</f>
        <v>#REF!</v>
      </c>
      <c r="D30" s="41" t="e">
        <f>Tree!#REF!</f>
        <v>#REF!</v>
      </c>
      <c r="E30" s="122" t="e">
        <f t="shared" si="3"/>
        <v>#REF!</v>
      </c>
      <c r="F30" s="41" t="e">
        <f>Tree!#REF!</f>
        <v>#REF!</v>
      </c>
      <c r="G30" s="122" t="e">
        <f t="shared" si="4"/>
        <v>#REF!</v>
      </c>
      <c r="H30" s="79" t="e">
        <f>INDEX(Tree!#REF!,MATCH($J30,Tree!#REF!,0))</f>
        <v>#REF!</v>
      </c>
      <c r="I30" s="100" t="e">
        <f t="shared" si="5"/>
        <v>#REF!</v>
      </c>
      <c r="J30" s="80" t="s">
        <v>26</v>
      </c>
      <c r="K30" s="90" t="e">
        <f>INDEX(Tree!#REF!,MATCH($J30,Tree!#REF!,0))</f>
        <v>#REF!</v>
      </c>
      <c r="L30" s="104" t="e">
        <f t="shared" si="0"/>
        <v>#REF!</v>
      </c>
      <c r="M30" s="90" t="e">
        <f>Tree!#REF!</f>
        <v>#REF!</v>
      </c>
      <c r="N30" s="102" t="e">
        <f t="shared" si="10"/>
        <v>#REF!</v>
      </c>
      <c r="O30" s="90" t="s">
        <v>31</v>
      </c>
      <c r="P30" s="90" t="e">
        <f>INDEX(Tree!#REF!,MATCH($O30,Tree!#REF!,0)+MATCH(Tree!#REF!,Tree!#REF!,0)-1)</f>
        <v>#REF!</v>
      </c>
      <c r="Q30" s="104" t="e">
        <f t="shared" si="6"/>
        <v>#REF!</v>
      </c>
      <c r="R30" s="119" t="e">
        <f>Tree!#REF!</f>
        <v>#REF!</v>
      </c>
      <c r="S30" s="102" t="e">
        <f t="shared" si="7"/>
        <v>#REF!</v>
      </c>
      <c r="T30" s="80" t="s">
        <v>33</v>
      </c>
      <c r="U30" s="80" t="e">
        <f>Tree!#REF!</f>
        <v>#REF!</v>
      </c>
      <c r="V30" s="80"/>
      <c r="W30" s="104" t="e">
        <f>S30*U30</f>
        <v>#REF!</v>
      </c>
      <c r="X30" s="119" t="e">
        <f>Tree!#REF!</f>
        <v>#REF!</v>
      </c>
      <c r="Y30" s="102" t="e">
        <f t="shared" si="2"/>
        <v>#REF!</v>
      </c>
      <c r="Z30" s="80" t="s">
        <v>54</v>
      </c>
      <c r="AA30" s="80" t="e">
        <f>Tree!#REF!</f>
        <v>#REF!</v>
      </c>
      <c r="AB30" s="80"/>
      <c r="AC30" s="91" t="e">
        <f t="shared" si="8"/>
        <v>#REF!</v>
      </c>
      <c r="AD30" s="80" t="e">
        <f t="shared" si="9"/>
        <v>#REF!</v>
      </c>
      <c r="AO30" s="116"/>
    </row>
    <row r="31" spans="3:41" x14ac:dyDescent="0.25">
      <c r="C31" s="121" t="e">
        <f>Tree!#REF!</f>
        <v>#REF!</v>
      </c>
      <c r="D31" s="41" t="e">
        <f>Tree!#REF!</f>
        <v>#REF!</v>
      </c>
      <c r="E31" s="122" t="e">
        <f t="shared" si="3"/>
        <v>#REF!</v>
      </c>
      <c r="F31" s="41" t="e">
        <f>Tree!#REF!</f>
        <v>#REF!</v>
      </c>
      <c r="G31" s="122" t="e">
        <f t="shared" si="4"/>
        <v>#REF!</v>
      </c>
      <c r="H31" s="79" t="e">
        <f>INDEX(Tree!#REF!,MATCH($J31,Tree!#REF!,0))</f>
        <v>#REF!</v>
      </c>
      <c r="I31" s="100" t="e">
        <f t="shared" si="5"/>
        <v>#REF!</v>
      </c>
      <c r="J31" s="80" t="s">
        <v>26</v>
      </c>
      <c r="K31" s="90" t="e">
        <f>INDEX(Tree!#REF!,MATCH($J31,Tree!#REF!,0))</f>
        <v>#REF!</v>
      </c>
      <c r="L31" s="104" t="e">
        <f t="shared" si="0"/>
        <v>#REF!</v>
      </c>
      <c r="M31" s="90" t="e">
        <f>Tree!#REF!</f>
        <v>#REF!</v>
      </c>
      <c r="N31" s="102" t="e">
        <f t="shared" si="10"/>
        <v>#REF!</v>
      </c>
      <c r="O31" s="90" t="s">
        <v>31</v>
      </c>
      <c r="P31" s="90" t="e">
        <f>INDEX(Tree!#REF!,MATCH($O31,Tree!#REF!,0)+MATCH(Tree!#REF!,Tree!#REF!,0)-1)</f>
        <v>#REF!</v>
      </c>
      <c r="Q31" s="104" t="e">
        <f t="shared" si="6"/>
        <v>#REF!</v>
      </c>
      <c r="R31" s="119" t="e">
        <f>Tree!#REF!</f>
        <v>#REF!</v>
      </c>
      <c r="S31" s="102" t="e">
        <f t="shared" si="7"/>
        <v>#REF!</v>
      </c>
      <c r="T31" s="80" t="s">
        <v>33</v>
      </c>
      <c r="U31" s="80" t="e">
        <f>Tree!#REF!</f>
        <v>#REF!</v>
      </c>
      <c r="V31" s="80"/>
      <c r="W31" s="104" t="e">
        <f>S31*U31</f>
        <v>#REF!</v>
      </c>
      <c r="X31" s="119" t="e">
        <f>Tree!#REF!</f>
        <v>#REF!</v>
      </c>
      <c r="Y31" s="102" t="e">
        <f t="shared" si="2"/>
        <v>#REF!</v>
      </c>
      <c r="Z31" s="80" t="s">
        <v>117</v>
      </c>
      <c r="AA31" s="80" t="e">
        <f>Tree!#REF!</f>
        <v>#REF!</v>
      </c>
      <c r="AB31" s="80"/>
      <c r="AC31" s="91" t="e">
        <f t="shared" si="8"/>
        <v>#REF!</v>
      </c>
      <c r="AD31" s="80" t="e">
        <f t="shared" si="9"/>
        <v>#REF!</v>
      </c>
      <c r="AO31" s="116"/>
    </row>
    <row r="32" spans="3:41" x14ac:dyDescent="0.25">
      <c r="C32" s="121" t="e">
        <f>Tree!#REF!</f>
        <v>#REF!</v>
      </c>
      <c r="D32" s="41" t="e">
        <f>Tree!#REF!</f>
        <v>#REF!</v>
      </c>
      <c r="E32" s="122" t="e">
        <f t="shared" si="3"/>
        <v>#REF!</v>
      </c>
      <c r="F32" s="41" t="e">
        <f>Tree!#REF!</f>
        <v>#REF!</v>
      </c>
      <c r="G32" s="122" t="e">
        <f t="shared" si="4"/>
        <v>#REF!</v>
      </c>
      <c r="H32" s="79" t="e">
        <f>INDEX(Tree!#REF!,MATCH($J32,Tree!#REF!,0))</f>
        <v>#REF!</v>
      </c>
      <c r="I32" s="100" t="e">
        <f t="shared" si="5"/>
        <v>#REF!</v>
      </c>
      <c r="J32" s="80" t="s">
        <v>26</v>
      </c>
      <c r="K32" s="90" t="e">
        <f>INDEX(Tree!#REF!,MATCH($J32,Tree!#REF!,0))</f>
        <v>#REF!</v>
      </c>
      <c r="L32" s="104" t="e">
        <f t="shared" si="0"/>
        <v>#REF!</v>
      </c>
      <c r="M32" s="90" t="e">
        <f>Tree!#REF!</f>
        <v>#REF!</v>
      </c>
      <c r="N32" s="102" t="e">
        <f t="shared" si="10"/>
        <v>#REF!</v>
      </c>
      <c r="O32" s="90" t="s">
        <v>31</v>
      </c>
      <c r="P32" s="90" t="e">
        <f>INDEX(Tree!#REF!,MATCH($O32,Tree!#REF!,0)+MATCH(Tree!#REF!,Tree!#REF!,0)-1)</f>
        <v>#REF!</v>
      </c>
      <c r="Q32" s="104" t="e">
        <f t="shared" si="6"/>
        <v>#REF!</v>
      </c>
      <c r="R32" s="119" t="e">
        <f>Tree!#REF!</f>
        <v>#REF!</v>
      </c>
      <c r="S32" s="102" t="e">
        <f t="shared" si="7"/>
        <v>#REF!</v>
      </c>
      <c r="T32" s="80" t="s">
        <v>33</v>
      </c>
      <c r="U32" s="80" t="e">
        <f>Tree!#REF!</f>
        <v>#REF!</v>
      </c>
      <c r="V32" s="80"/>
      <c r="W32" s="104" t="e">
        <f>S32*U32</f>
        <v>#REF!</v>
      </c>
      <c r="X32" s="119" t="e">
        <f>Tree!#REF!</f>
        <v>#REF!</v>
      </c>
      <c r="Y32" s="102" t="e">
        <f t="shared" si="2"/>
        <v>#REF!</v>
      </c>
      <c r="Z32" s="80" t="s">
        <v>52</v>
      </c>
      <c r="AA32" s="80"/>
      <c r="AB32" s="80" t="e">
        <f>Tree!#REF!</f>
        <v>#REF!</v>
      </c>
      <c r="AC32" s="91" t="e">
        <f t="shared" si="8"/>
        <v>#REF!</v>
      </c>
      <c r="AD32" s="80" t="e">
        <f t="shared" si="9"/>
        <v>#REF!</v>
      </c>
      <c r="AO32" s="116"/>
    </row>
    <row r="33" spans="3:41" x14ac:dyDescent="0.25">
      <c r="C33" s="121" t="e">
        <f>Tree!#REF!</f>
        <v>#REF!</v>
      </c>
      <c r="D33" s="41" t="e">
        <f>Tree!#REF!</f>
        <v>#REF!</v>
      </c>
      <c r="E33" s="122" t="e">
        <f t="shared" si="3"/>
        <v>#REF!</v>
      </c>
      <c r="F33" s="41" t="e">
        <f>Tree!#REF!</f>
        <v>#REF!</v>
      </c>
      <c r="G33" s="122" t="e">
        <f t="shared" si="4"/>
        <v>#REF!</v>
      </c>
      <c r="H33" s="79" t="e">
        <f>INDEX(Tree!#REF!,MATCH($J33,Tree!#REF!,0))</f>
        <v>#REF!</v>
      </c>
      <c r="I33" s="100" t="e">
        <f t="shared" si="5"/>
        <v>#REF!</v>
      </c>
      <c r="J33" s="80" t="s">
        <v>26</v>
      </c>
      <c r="K33" s="90" t="e">
        <f>INDEX(Tree!#REF!,MATCH($J33,Tree!#REF!,0))</f>
        <v>#REF!</v>
      </c>
      <c r="L33" s="104" t="e">
        <f t="shared" si="0"/>
        <v>#REF!</v>
      </c>
      <c r="M33" s="90" t="e">
        <f>Tree!#REF!</f>
        <v>#REF!</v>
      </c>
      <c r="N33" s="102" t="e">
        <f t="shared" si="10"/>
        <v>#REF!</v>
      </c>
      <c r="O33" s="90" t="s">
        <v>31</v>
      </c>
      <c r="P33" s="90" t="e">
        <f>INDEX(Tree!#REF!,MATCH($O33,Tree!#REF!,0)+MATCH(Tree!#REF!,Tree!#REF!,0)-1)</f>
        <v>#REF!</v>
      </c>
      <c r="Q33" s="104" t="e">
        <f t="shared" si="6"/>
        <v>#REF!</v>
      </c>
      <c r="R33" s="119" t="e">
        <f>Tree!#REF!</f>
        <v>#REF!</v>
      </c>
      <c r="S33" s="102" t="e">
        <f t="shared" si="7"/>
        <v>#REF!</v>
      </c>
      <c r="T33" s="80" t="s">
        <v>33</v>
      </c>
      <c r="U33" s="80" t="e">
        <f>Tree!#REF!</f>
        <v>#REF!</v>
      </c>
      <c r="V33" s="80"/>
      <c r="W33" s="104" t="e">
        <f>S33*U33</f>
        <v>#REF!</v>
      </c>
      <c r="X33" s="119" t="e">
        <f>Tree!#REF!</f>
        <v>#REF!</v>
      </c>
      <c r="Y33" s="102" t="e">
        <f t="shared" si="2"/>
        <v>#REF!</v>
      </c>
      <c r="Z33" s="80" t="s">
        <v>53</v>
      </c>
      <c r="AA33" s="80"/>
      <c r="AB33" s="80" t="e">
        <f>Tree!#REF!</f>
        <v>#REF!</v>
      </c>
      <c r="AC33" s="91" t="e">
        <f t="shared" si="8"/>
        <v>#REF!</v>
      </c>
      <c r="AD33" s="80" t="e">
        <f t="shared" si="9"/>
        <v>#REF!</v>
      </c>
      <c r="AO33" s="116"/>
    </row>
    <row r="34" spans="3:41" x14ac:dyDescent="0.25">
      <c r="C34" s="121" t="e">
        <f>Tree!#REF!</f>
        <v>#REF!</v>
      </c>
      <c r="D34" s="41" t="e">
        <f>Tree!#REF!</f>
        <v>#REF!</v>
      </c>
      <c r="E34" s="122" t="e">
        <f t="shared" si="3"/>
        <v>#REF!</v>
      </c>
      <c r="F34" s="41" t="e">
        <f>Tree!#REF!</f>
        <v>#REF!</v>
      </c>
      <c r="G34" s="122" t="e">
        <f t="shared" si="4"/>
        <v>#REF!</v>
      </c>
      <c r="H34" s="79" t="e">
        <f>INDEX(Tree!#REF!,MATCH($J34,Tree!#REF!,0))</f>
        <v>#REF!</v>
      </c>
      <c r="I34" s="100" t="e">
        <f t="shared" si="5"/>
        <v>#REF!</v>
      </c>
      <c r="J34" s="80" t="s">
        <v>26</v>
      </c>
      <c r="K34" s="90" t="e">
        <f>INDEX(Tree!#REF!,MATCH($J34,Tree!#REF!,0))</f>
        <v>#REF!</v>
      </c>
      <c r="L34" s="104" t="e">
        <f t="shared" si="0"/>
        <v>#REF!</v>
      </c>
      <c r="M34" s="90" t="e">
        <f>Tree!#REF!</f>
        <v>#REF!</v>
      </c>
      <c r="N34" s="102" t="e">
        <f t="shared" si="10"/>
        <v>#REF!</v>
      </c>
      <c r="O34" s="90" t="s">
        <v>27</v>
      </c>
      <c r="P34" s="90" t="e">
        <f>INDEX(Tree!#REF!,MATCH($O34,Tree!#REF!,0)+MATCH(Tree!#REF!,Tree!#REF!,0)-1)</f>
        <v>#REF!</v>
      </c>
      <c r="Q34" s="104" t="e">
        <f t="shared" si="6"/>
        <v>#REF!</v>
      </c>
      <c r="R34" s="119" t="e">
        <f>Tree!#REF!</f>
        <v>#REF!</v>
      </c>
      <c r="S34" s="102" t="e">
        <f t="shared" si="7"/>
        <v>#REF!</v>
      </c>
      <c r="T34" s="80" t="s">
        <v>32</v>
      </c>
      <c r="U34" s="80"/>
      <c r="V34" s="80" t="e">
        <f>Tree!#REF!</f>
        <v>#REF!</v>
      </c>
      <c r="W34" s="104"/>
      <c r="X34" s="119"/>
      <c r="Y34" s="102">
        <f t="shared" si="2"/>
        <v>0</v>
      </c>
      <c r="Z34" s="80"/>
      <c r="AA34" s="80"/>
      <c r="AB34" s="80"/>
      <c r="AC34" s="91" t="e">
        <f t="shared" si="8"/>
        <v>#REF!</v>
      </c>
      <c r="AD34" s="80">
        <f t="shared" si="9"/>
        <v>0</v>
      </c>
      <c r="AO34" s="116"/>
    </row>
    <row r="35" spans="3:41" x14ac:dyDescent="0.25">
      <c r="C35" s="121" t="e">
        <f>Tree!#REF!</f>
        <v>#REF!</v>
      </c>
      <c r="D35" s="41" t="e">
        <f>Tree!#REF!</f>
        <v>#REF!</v>
      </c>
      <c r="E35" s="122" t="e">
        <f t="shared" si="3"/>
        <v>#REF!</v>
      </c>
      <c r="F35" s="41" t="e">
        <f>Tree!#REF!</f>
        <v>#REF!</v>
      </c>
      <c r="G35" s="122" t="e">
        <f t="shared" si="4"/>
        <v>#REF!</v>
      </c>
      <c r="H35" s="79" t="e">
        <f>INDEX(Tree!#REF!,MATCH($J35,Tree!#REF!,0))</f>
        <v>#REF!</v>
      </c>
      <c r="I35" s="100" t="e">
        <f t="shared" si="5"/>
        <v>#REF!</v>
      </c>
      <c r="J35" s="80" t="s">
        <v>26</v>
      </c>
      <c r="K35" s="90" t="e">
        <f>INDEX(Tree!#REF!,MATCH($J35,Tree!#REF!,0))</f>
        <v>#REF!</v>
      </c>
      <c r="L35" s="104" t="e">
        <f t="shared" si="0"/>
        <v>#REF!</v>
      </c>
      <c r="M35" s="90" t="e">
        <f>Tree!#REF!</f>
        <v>#REF!</v>
      </c>
      <c r="N35" s="102" t="e">
        <f t="shared" si="10"/>
        <v>#REF!</v>
      </c>
      <c r="O35" s="90" t="s">
        <v>27</v>
      </c>
      <c r="P35" s="90" t="e">
        <f>INDEX(Tree!#REF!,MATCH($O35,Tree!#REF!,0)+MATCH(Tree!#REF!,Tree!#REF!,0)-1)</f>
        <v>#REF!</v>
      </c>
      <c r="Q35" s="104" t="e">
        <f t="shared" si="6"/>
        <v>#REF!</v>
      </c>
      <c r="R35" s="119" t="e">
        <f>Tree!#REF!</f>
        <v>#REF!</v>
      </c>
      <c r="S35" s="102" t="e">
        <f t="shared" si="7"/>
        <v>#REF!</v>
      </c>
      <c r="T35" s="80" t="s">
        <v>33</v>
      </c>
      <c r="U35" s="80" t="e">
        <f>Tree!#REF!</f>
        <v>#REF!</v>
      </c>
      <c r="V35" s="80"/>
      <c r="W35" s="104" t="e">
        <f>S35*U35</f>
        <v>#REF!</v>
      </c>
      <c r="X35" s="119" t="e">
        <f>Tree!#REF!</f>
        <v>#REF!</v>
      </c>
      <c r="Y35" s="102" t="e">
        <f t="shared" si="2"/>
        <v>#REF!</v>
      </c>
      <c r="Z35" s="80" t="s">
        <v>54</v>
      </c>
      <c r="AA35" s="80" t="e">
        <f>Tree!#REF!</f>
        <v>#REF!</v>
      </c>
      <c r="AB35" s="80"/>
      <c r="AC35" s="91" t="e">
        <f t="shared" si="8"/>
        <v>#REF!</v>
      </c>
      <c r="AD35" s="80" t="e">
        <f t="shared" si="9"/>
        <v>#REF!</v>
      </c>
    </row>
    <row r="36" spans="3:41" x14ac:dyDescent="0.25">
      <c r="C36" s="121" t="e">
        <f>Tree!#REF!</f>
        <v>#REF!</v>
      </c>
      <c r="D36" s="41" t="e">
        <f>Tree!#REF!</f>
        <v>#REF!</v>
      </c>
      <c r="E36" s="122" t="e">
        <f t="shared" si="3"/>
        <v>#REF!</v>
      </c>
      <c r="F36" s="41" t="e">
        <f>Tree!#REF!</f>
        <v>#REF!</v>
      </c>
      <c r="G36" s="122" t="e">
        <f t="shared" si="4"/>
        <v>#REF!</v>
      </c>
      <c r="H36" s="79" t="e">
        <f>INDEX(Tree!#REF!,MATCH($J36,Tree!#REF!,0))</f>
        <v>#REF!</v>
      </c>
      <c r="I36" s="100" t="e">
        <f t="shared" si="5"/>
        <v>#REF!</v>
      </c>
      <c r="J36" s="80" t="s">
        <v>26</v>
      </c>
      <c r="K36" s="90" t="e">
        <f>INDEX(Tree!#REF!,MATCH($J36,Tree!#REF!,0))</f>
        <v>#REF!</v>
      </c>
      <c r="L36" s="104" t="e">
        <f t="shared" ref="L36:L67" si="11">K36*I36</f>
        <v>#REF!</v>
      </c>
      <c r="M36" s="90" t="e">
        <f>Tree!#REF!</f>
        <v>#REF!</v>
      </c>
      <c r="N36" s="102" t="e">
        <f t="shared" si="10"/>
        <v>#REF!</v>
      </c>
      <c r="O36" s="90" t="s">
        <v>27</v>
      </c>
      <c r="P36" s="90" t="e">
        <f>INDEX(Tree!#REF!,MATCH($O36,Tree!#REF!,0)+MATCH(Tree!#REF!,Tree!#REF!,0)-1)</f>
        <v>#REF!</v>
      </c>
      <c r="Q36" s="104" t="e">
        <f t="shared" si="6"/>
        <v>#REF!</v>
      </c>
      <c r="R36" s="119" t="e">
        <f>Tree!#REF!</f>
        <v>#REF!</v>
      </c>
      <c r="S36" s="102" t="e">
        <f t="shared" si="7"/>
        <v>#REF!</v>
      </c>
      <c r="T36" s="80" t="s">
        <v>33</v>
      </c>
      <c r="U36" s="80" t="e">
        <f>Tree!#REF!</f>
        <v>#REF!</v>
      </c>
      <c r="V36" s="80"/>
      <c r="W36" s="104" t="e">
        <f>S36*U36</f>
        <v>#REF!</v>
      </c>
      <c r="X36" s="119" t="e">
        <f>Tree!#REF!</f>
        <v>#REF!</v>
      </c>
      <c r="Y36" s="102" t="e">
        <f t="shared" si="2"/>
        <v>#REF!</v>
      </c>
      <c r="Z36" s="80" t="s">
        <v>117</v>
      </c>
      <c r="AA36" s="80" t="e">
        <f>Tree!#REF!</f>
        <v>#REF!</v>
      </c>
      <c r="AB36" s="80"/>
      <c r="AC36" s="91" t="e">
        <f t="shared" si="8"/>
        <v>#REF!</v>
      </c>
      <c r="AD36" s="80" t="e">
        <f t="shared" si="9"/>
        <v>#REF!</v>
      </c>
      <c r="AO36" s="116"/>
    </row>
    <row r="37" spans="3:41" x14ac:dyDescent="0.25">
      <c r="C37" s="121" t="e">
        <f>Tree!#REF!</f>
        <v>#REF!</v>
      </c>
      <c r="D37" s="41" t="e">
        <f>Tree!#REF!</f>
        <v>#REF!</v>
      </c>
      <c r="E37" s="122" t="e">
        <f t="shared" si="3"/>
        <v>#REF!</v>
      </c>
      <c r="F37" s="41" t="e">
        <f>Tree!#REF!</f>
        <v>#REF!</v>
      </c>
      <c r="G37" s="122" t="e">
        <f t="shared" si="4"/>
        <v>#REF!</v>
      </c>
      <c r="H37" s="79" t="e">
        <f>INDEX(Tree!#REF!,MATCH($J37,Tree!#REF!,0))</f>
        <v>#REF!</v>
      </c>
      <c r="I37" s="100" t="e">
        <f t="shared" si="5"/>
        <v>#REF!</v>
      </c>
      <c r="J37" s="80" t="s">
        <v>26</v>
      </c>
      <c r="K37" s="90" t="e">
        <f>INDEX(Tree!#REF!,MATCH($J37,Tree!#REF!,0))</f>
        <v>#REF!</v>
      </c>
      <c r="L37" s="104" t="e">
        <f t="shared" si="11"/>
        <v>#REF!</v>
      </c>
      <c r="M37" s="90" t="e">
        <f>Tree!#REF!</f>
        <v>#REF!</v>
      </c>
      <c r="N37" s="102" t="e">
        <f t="shared" si="10"/>
        <v>#REF!</v>
      </c>
      <c r="O37" s="90" t="s">
        <v>27</v>
      </c>
      <c r="P37" s="90" t="e">
        <f>INDEX(Tree!#REF!,MATCH($O37,Tree!#REF!,0)+MATCH(Tree!#REF!,Tree!#REF!,0)-1)</f>
        <v>#REF!</v>
      </c>
      <c r="Q37" s="104" t="e">
        <f t="shared" si="6"/>
        <v>#REF!</v>
      </c>
      <c r="R37" s="119" t="e">
        <f>Tree!#REF!</f>
        <v>#REF!</v>
      </c>
      <c r="S37" s="102" t="e">
        <f t="shared" si="7"/>
        <v>#REF!</v>
      </c>
      <c r="T37" s="80" t="s">
        <v>33</v>
      </c>
      <c r="U37" s="80" t="e">
        <f>Tree!#REF!</f>
        <v>#REF!</v>
      </c>
      <c r="V37" s="80"/>
      <c r="W37" s="104" t="e">
        <f>S37*U37</f>
        <v>#REF!</v>
      </c>
      <c r="X37" s="119" t="e">
        <f>Tree!#REF!</f>
        <v>#REF!</v>
      </c>
      <c r="Y37" s="102" t="e">
        <f t="shared" si="2"/>
        <v>#REF!</v>
      </c>
      <c r="Z37" s="80" t="s">
        <v>52</v>
      </c>
      <c r="AA37" s="80"/>
      <c r="AB37" s="80" t="e">
        <f>Tree!#REF!</f>
        <v>#REF!</v>
      </c>
      <c r="AC37" s="91" t="e">
        <f t="shared" si="8"/>
        <v>#REF!</v>
      </c>
      <c r="AD37" s="80" t="e">
        <f t="shared" si="9"/>
        <v>#REF!</v>
      </c>
      <c r="AO37" s="116"/>
    </row>
    <row r="38" spans="3:41" x14ac:dyDescent="0.25">
      <c r="C38" s="121" t="e">
        <f>Tree!#REF!</f>
        <v>#REF!</v>
      </c>
      <c r="D38" s="41" t="e">
        <f>Tree!#REF!</f>
        <v>#REF!</v>
      </c>
      <c r="E38" s="122" t="e">
        <f t="shared" si="3"/>
        <v>#REF!</v>
      </c>
      <c r="F38" s="41" t="e">
        <f>Tree!#REF!</f>
        <v>#REF!</v>
      </c>
      <c r="G38" s="122" t="e">
        <f t="shared" si="4"/>
        <v>#REF!</v>
      </c>
      <c r="H38" s="79" t="e">
        <f>INDEX(Tree!#REF!,MATCH($J38,Tree!#REF!,0))</f>
        <v>#REF!</v>
      </c>
      <c r="I38" s="100" t="e">
        <f t="shared" si="5"/>
        <v>#REF!</v>
      </c>
      <c r="J38" s="80" t="s">
        <v>26</v>
      </c>
      <c r="K38" s="90" t="e">
        <f>INDEX(Tree!#REF!,MATCH($J38,Tree!#REF!,0))</f>
        <v>#REF!</v>
      </c>
      <c r="L38" s="104" t="e">
        <f t="shared" si="11"/>
        <v>#REF!</v>
      </c>
      <c r="M38" s="90" t="e">
        <f>Tree!#REF!</f>
        <v>#REF!</v>
      </c>
      <c r="N38" s="102" t="e">
        <f t="shared" si="10"/>
        <v>#REF!</v>
      </c>
      <c r="O38" s="90" t="s">
        <v>27</v>
      </c>
      <c r="P38" s="90" t="e">
        <f>INDEX(Tree!#REF!,MATCH($O38,Tree!#REF!,0)+MATCH(Tree!#REF!,Tree!#REF!,0)-1)</f>
        <v>#REF!</v>
      </c>
      <c r="Q38" s="104" t="e">
        <f t="shared" si="6"/>
        <v>#REF!</v>
      </c>
      <c r="R38" s="119" t="e">
        <f>Tree!#REF!</f>
        <v>#REF!</v>
      </c>
      <c r="S38" s="102" t="e">
        <f t="shared" si="7"/>
        <v>#REF!</v>
      </c>
      <c r="T38" s="80" t="s">
        <v>33</v>
      </c>
      <c r="U38" s="80" t="e">
        <f>Tree!#REF!</f>
        <v>#REF!</v>
      </c>
      <c r="V38" s="80"/>
      <c r="W38" s="104" t="e">
        <f>S38*U38</f>
        <v>#REF!</v>
      </c>
      <c r="X38" s="119" t="e">
        <f>Tree!#REF!</f>
        <v>#REF!</v>
      </c>
      <c r="Y38" s="102" t="e">
        <f t="shared" si="2"/>
        <v>#REF!</v>
      </c>
      <c r="Z38" s="80" t="s">
        <v>53</v>
      </c>
      <c r="AA38" s="80"/>
      <c r="AB38" s="80" t="e">
        <f>Tree!#REF!</f>
        <v>#REF!</v>
      </c>
      <c r="AC38" s="91" t="e">
        <f t="shared" si="8"/>
        <v>#REF!</v>
      </c>
      <c r="AD38" s="80" t="e">
        <f t="shared" si="9"/>
        <v>#REF!</v>
      </c>
      <c r="AO38" s="116"/>
    </row>
    <row r="39" spans="3:41" x14ac:dyDescent="0.25">
      <c r="C39" s="121" t="e">
        <f>Tree!#REF!</f>
        <v>#REF!</v>
      </c>
      <c r="D39" s="41" t="e">
        <f>Tree!#REF!</f>
        <v>#REF!</v>
      </c>
      <c r="E39" s="122" t="e">
        <f t="shared" si="3"/>
        <v>#REF!</v>
      </c>
      <c r="F39" s="41" t="e">
        <f>Tree!#REF!</f>
        <v>#REF!</v>
      </c>
      <c r="G39" s="122" t="e">
        <f t="shared" si="4"/>
        <v>#REF!</v>
      </c>
      <c r="H39" s="79" t="e">
        <f>INDEX(Tree!#REF!,MATCH($J39,Tree!#REF!,0))</f>
        <v>#REF!</v>
      </c>
      <c r="I39" s="100" t="e">
        <f t="shared" si="5"/>
        <v>#REF!</v>
      </c>
      <c r="J39" s="80" t="s">
        <v>26</v>
      </c>
      <c r="K39" s="90" t="e">
        <f>INDEX(Tree!#REF!,MATCH($J39,Tree!#REF!,0))</f>
        <v>#REF!</v>
      </c>
      <c r="L39" s="104" t="e">
        <f t="shared" si="11"/>
        <v>#REF!</v>
      </c>
      <c r="M39" s="90" t="e">
        <f>Tree!#REF!</f>
        <v>#REF!</v>
      </c>
      <c r="N39" s="102" t="e">
        <f t="shared" si="10"/>
        <v>#REF!</v>
      </c>
      <c r="O39" s="90" t="s">
        <v>28</v>
      </c>
      <c r="P39" s="90" t="e">
        <f>INDEX(Tree!#REF!,MATCH($O39,Tree!#REF!,0)+MATCH(Tree!#REF!,Tree!#REF!,0)-1)</f>
        <v>#REF!</v>
      </c>
      <c r="Q39" s="104" t="e">
        <f t="shared" si="6"/>
        <v>#REF!</v>
      </c>
      <c r="R39" s="119" t="e">
        <f>Tree!#REF!</f>
        <v>#REF!</v>
      </c>
      <c r="S39" s="102" t="e">
        <f t="shared" si="7"/>
        <v>#REF!</v>
      </c>
      <c r="T39" s="80" t="s">
        <v>32</v>
      </c>
      <c r="U39" s="80"/>
      <c r="V39" s="80" t="e">
        <f>Tree!#REF!</f>
        <v>#REF!</v>
      </c>
      <c r="W39" s="104"/>
      <c r="X39" s="119"/>
      <c r="Y39" s="102">
        <f t="shared" si="2"/>
        <v>0</v>
      </c>
      <c r="Z39" s="80"/>
      <c r="AA39" s="80"/>
      <c r="AB39" s="80"/>
      <c r="AC39" s="91" t="e">
        <f t="shared" si="8"/>
        <v>#REF!</v>
      </c>
      <c r="AD39" s="80">
        <f t="shared" si="9"/>
        <v>0</v>
      </c>
      <c r="AO39" s="116"/>
    </row>
    <row r="40" spans="3:41" x14ac:dyDescent="0.25">
      <c r="C40" s="121" t="e">
        <f>Tree!#REF!</f>
        <v>#REF!</v>
      </c>
      <c r="D40" s="41" t="e">
        <f>Tree!#REF!</f>
        <v>#REF!</v>
      </c>
      <c r="E40" s="122" t="e">
        <f t="shared" si="3"/>
        <v>#REF!</v>
      </c>
      <c r="F40" s="41" t="e">
        <f>Tree!#REF!</f>
        <v>#REF!</v>
      </c>
      <c r="G40" s="122" t="e">
        <f t="shared" si="4"/>
        <v>#REF!</v>
      </c>
      <c r="H40" s="79" t="e">
        <f>INDEX(Tree!#REF!,MATCH($J40,Tree!#REF!,0))</f>
        <v>#REF!</v>
      </c>
      <c r="I40" s="100" t="e">
        <f t="shared" si="5"/>
        <v>#REF!</v>
      </c>
      <c r="J40" s="80" t="s">
        <v>26</v>
      </c>
      <c r="K40" s="90" t="e">
        <f>INDEX(Tree!#REF!,MATCH($J40,Tree!#REF!,0))</f>
        <v>#REF!</v>
      </c>
      <c r="L40" s="104" t="e">
        <f t="shared" si="11"/>
        <v>#REF!</v>
      </c>
      <c r="M40" s="90" t="e">
        <f>Tree!#REF!</f>
        <v>#REF!</v>
      </c>
      <c r="N40" s="102" t="e">
        <f t="shared" si="10"/>
        <v>#REF!</v>
      </c>
      <c r="O40" s="90" t="s">
        <v>28</v>
      </c>
      <c r="P40" s="90" t="e">
        <f>INDEX(Tree!#REF!,MATCH($O40,Tree!#REF!,0)+MATCH(Tree!#REF!,Tree!#REF!,0)-1)</f>
        <v>#REF!</v>
      </c>
      <c r="Q40" s="104" t="e">
        <f t="shared" si="6"/>
        <v>#REF!</v>
      </c>
      <c r="R40" s="119" t="e">
        <f>Tree!#REF!</f>
        <v>#REF!</v>
      </c>
      <c r="S40" s="102" t="e">
        <f t="shared" si="7"/>
        <v>#REF!</v>
      </c>
      <c r="T40" s="80" t="s">
        <v>33</v>
      </c>
      <c r="U40" s="80" t="e">
        <f>Tree!#REF!</f>
        <v>#REF!</v>
      </c>
      <c r="V40" s="80"/>
      <c r="W40" s="104" t="e">
        <f>S40*U40</f>
        <v>#REF!</v>
      </c>
      <c r="X40" s="119" t="e">
        <f>Tree!#REF!</f>
        <v>#REF!</v>
      </c>
      <c r="Y40" s="102" t="e">
        <f t="shared" si="2"/>
        <v>#REF!</v>
      </c>
      <c r="Z40" s="80" t="s">
        <v>54</v>
      </c>
      <c r="AA40" s="80" t="e">
        <f>Tree!#REF!</f>
        <v>#REF!</v>
      </c>
      <c r="AB40" s="80"/>
      <c r="AC40" s="91" t="e">
        <f t="shared" si="8"/>
        <v>#REF!</v>
      </c>
      <c r="AD40" s="80" t="e">
        <f t="shared" si="9"/>
        <v>#REF!</v>
      </c>
      <c r="AO40" s="116"/>
    </row>
    <row r="41" spans="3:41" x14ac:dyDescent="0.25">
      <c r="C41" s="121" t="e">
        <f>Tree!#REF!</f>
        <v>#REF!</v>
      </c>
      <c r="D41" s="41" t="e">
        <f>Tree!#REF!</f>
        <v>#REF!</v>
      </c>
      <c r="E41" s="122" t="e">
        <f t="shared" si="3"/>
        <v>#REF!</v>
      </c>
      <c r="F41" s="41" t="e">
        <f>Tree!#REF!</f>
        <v>#REF!</v>
      </c>
      <c r="G41" s="122" t="e">
        <f t="shared" si="4"/>
        <v>#REF!</v>
      </c>
      <c r="H41" s="79" t="e">
        <f>INDEX(Tree!#REF!,MATCH($J41,Tree!#REF!,0))</f>
        <v>#REF!</v>
      </c>
      <c r="I41" s="100" t="e">
        <f t="shared" si="5"/>
        <v>#REF!</v>
      </c>
      <c r="J41" s="80" t="s">
        <v>26</v>
      </c>
      <c r="K41" s="90" t="e">
        <f>INDEX(Tree!#REF!,MATCH($J41,Tree!#REF!,0))</f>
        <v>#REF!</v>
      </c>
      <c r="L41" s="104" t="e">
        <f t="shared" si="11"/>
        <v>#REF!</v>
      </c>
      <c r="M41" s="90" t="e">
        <f>Tree!#REF!</f>
        <v>#REF!</v>
      </c>
      <c r="N41" s="102" t="e">
        <f t="shared" si="10"/>
        <v>#REF!</v>
      </c>
      <c r="O41" s="90" t="s">
        <v>28</v>
      </c>
      <c r="P41" s="90" t="e">
        <f>INDEX(Tree!#REF!,MATCH($O41,Tree!#REF!,0)+MATCH(Tree!#REF!,Tree!#REF!,0)-1)</f>
        <v>#REF!</v>
      </c>
      <c r="Q41" s="104" t="e">
        <f t="shared" si="6"/>
        <v>#REF!</v>
      </c>
      <c r="R41" s="119" t="e">
        <f>Tree!#REF!</f>
        <v>#REF!</v>
      </c>
      <c r="S41" s="102" t="e">
        <f t="shared" si="7"/>
        <v>#REF!</v>
      </c>
      <c r="T41" s="80" t="s">
        <v>33</v>
      </c>
      <c r="U41" s="80" t="e">
        <f>Tree!#REF!</f>
        <v>#REF!</v>
      </c>
      <c r="V41" s="80"/>
      <c r="W41" s="104" t="e">
        <f>S41*U41</f>
        <v>#REF!</v>
      </c>
      <c r="X41" s="119" t="e">
        <f>Tree!#REF!</f>
        <v>#REF!</v>
      </c>
      <c r="Y41" s="102" t="e">
        <f t="shared" si="2"/>
        <v>#REF!</v>
      </c>
      <c r="Z41" s="80" t="s">
        <v>117</v>
      </c>
      <c r="AA41" s="80" t="e">
        <f>Tree!#REF!</f>
        <v>#REF!</v>
      </c>
      <c r="AB41" s="80"/>
      <c r="AC41" s="91" t="e">
        <f t="shared" si="8"/>
        <v>#REF!</v>
      </c>
      <c r="AD41" s="80" t="e">
        <f t="shared" si="9"/>
        <v>#REF!</v>
      </c>
      <c r="AO41" s="116"/>
    </row>
    <row r="42" spans="3:41" x14ac:dyDescent="0.25">
      <c r="C42" s="121" t="e">
        <f>Tree!#REF!</f>
        <v>#REF!</v>
      </c>
      <c r="D42" s="41" t="e">
        <f>Tree!#REF!</f>
        <v>#REF!</v>
      </c>
      <c r="E42" s="122" t="e">
        <f t="shared" si="3"/>
        <v>#REF!</v>
      </c>
      <c r="F42" s="41" t="e">
        <f>Tree!#REF!</f>
        <v>#REF!</v>
      </c>
      <c r="G42" s="122" t="e">
        <f t="shared" si="4"/>
        <v>#REF!</v>
      </c>
      <c r="H42" s="79" t="e">
        <f>INDEX(Tree!#REF!,MATCH($J42,Tree!#REF!,0))</f>
        <v>#REF!</v>
      </c>
      <c r="I42" s="100" t="e">
        <f t="shared" si="5"/>
        <v>#REF!</v>
      </c>
      <c r="J42" s="80" t="s">
        <v>26</v>
      </c>
      <c r="K42" s="90" t="e">
        <f>INDEX(Tree!#REF!,MATCH($J42,Tree!#REF!,0))</f>
        <v>#REF!</v>
      </c>
      <c r="L42" s="104" t="e">
        <f t="shared" si="11"/>
        <v>#REF!</v>
      </c>
      <c r="M42" s="90" t="e">
        <f>Tree!#REF!</f>
        <v>#REF!</v>
      </c>
      <c r="N42" s="102" t="e">
        <f t="shared" si="10"/>
        <v>#REF!</v>
      </c>
      <c r="O42" s="90" t="s">
        <v>28</v>
      </c>
      <c r="P42" s="90" t="e">
        <f>INDEX(Tree!#REF!,MATCH($O42,Tree!#REF!,0)+MATCH(Tree!#REF!,Tree!#REF!,0)-1)</f>
        <v>#REF!</v>
      </c>
      <c r="Q42" s="104" t="e">
        <f t="shared" si="6"/>
        <v>#REF!</v>
      </c>
      <c r="R42" s="119" t="e">
        <f>Tree!#REF!</f>
        <v>#REF!</v>
      </c>
      <c r="S42" s="102" t="e">
        <f t="shared" si="7"/>
        <v>#REF!</v>
      </c>
      <c r="T42" s="80" t="s">
        <v>33</v>
      </c>
      <c r="U42" s="80" t="e">
        <f>Tree!#REF!</f>
        <v>#REF!</v>
      </c>
      <c r="V42" s="80"/>
      <c r="W42" s="104" t="e">
        <f>S42*U42</f>
        <v>#REF!</v>
      </c>
      <c r="X42" s="119" t="e">
        <f>Tree!#REF!</f>
        <v>#REF!</v>
      </c>
      <c r="Y42" s="102" t="e">
        <f t="shared" si="2"/>
        <v>#REF!</v>
      </c>
      <c r="Z42" s="80" t="s">
        <v>52</v>
      </c>
      <c r="AA42" s="80"/>
      <c r="AB42" s="80" t="e">
        <f>Tree!#REF!</f>
        <v>#REF!</v>
      </c>
      <c r="AC42" s="91" t="e">
        <f t="shared" si="8"/>
        <v>#REF!</v>
      </c>
      <c r="AD42" s="80" t="e">
        <f t="shared" si="9"/>
        <v>#REF!</v>
      </c>
      <c r="AO42" s="116"/>
    </row>
    <row r="43" spans="3:41" x14ac:dyDescent="0.25">
      <c r="C43" s="121" t="e">
        <f>Tree!#REF!</f>
        <v>#REF!</v>
      </c>
      <c r="D43" s="41" t="e">
        <f>Tree!#REF!</f>
        <v>#REF!</v>
      </c>
      <c r="E43" s="122" t="e">
        <f t="shared" si="3"/>
        <v>#REF!</v>
      </c>
      <c r="F43" s="41" t="e">
        <f>Tree!#REF!</f>
        <v>#REF!</v>
      </c>
      <c r="G43" s="122" t="e">
        <f t="shared" si="4"/>
        <v>#REF!</v>
      </c>
      <c r="H43" s="79" t="e">
        <f>INDEX(Tree!#REF!,MATCH($J43,Tree!#REF!,0))</f>
        <v>#REF!</v>
      </c>
      <c r="I43" s="100" t="e">
        <f t="shared" si="5"/>
        <v>#REF!</v>
      </c>
      <c r="J43" s="80" t="s">
        <v>26</v>
      </c>
      <c r="K43" s="90" t="e">
        <f>INDEX(Tree!#REF!,MATCH($J43,Tree!#REF!,0))</f>
        <v>#REF!</v>
      </c>
      <c r="L43" s="104" t="e">
        <f t="shared" si="11"/>
        <v>#REF!</v>
      </c>
      <c r="M43" s="90" t="e">
        <f>Tree!#REF!</f>
        <v>#REF!</v>
      </c>
      <c r="N43" s="102" t="e">
        <f t="shared" si="10"/>
        <v>#REF!</v>
      </c>
      <c r="O43" s="90" t="s">
        <v>28</v>
      </c>
      <c r="P43" s="90" t="e">
        <f>INDEX(Tree!#REF!,MATCH($O43,Tree!#REF!,0)+MATCH(Tree!#REF!,Tree!#REF!,0)-1)</f>
        <v>#REF!</v>
      </c>
      <c r="Q43" s="104" t="e">
        <f t="shared" si="6"/>
        <v>#REF!</v>
      </c>
      <c r="R43" s="119" t="e">
        <f>Tree!#REF!</f>
        <v>#REF!</v>
      </c>
      <c r="S43" s="102" t="e">
        <f t="shared" si="7"/>
        <v>#REF!</v>
      </c>
      <c r="T43" s="80" t="s">
        <v>33</v>
      </c>
      <c r="U43" s="80" t="e">
        <f>Tree!#REF!</f>
        <v>#REF!</v>
      </c>
      <c r="V43" s="80"/>
      <c r="W43" s="104" t="e">
        <f>S43*U43</f>
        <v>#REF!</v>
      </c>
      <c r="X43" s="119" t="e">
        <f>Tree!#REF!</f>
        <v>#REF!</v>
      </c>
      <c r="Y43" s="102" t="e">
        <f t="shared" si="2"/>
        <v>#REF!</v>
      </c>
      <c r="Z43" s="80" t="s">
        <v>53</v>
      </c>
      <c r="AA43" s="80"/>
      <c r="AB43" s="80" t="e">
        <f>Tree!#REF!</f>
        <v>#REF!</v>
      </c>
      <c r="AC43" s="91" t="e">
        <f t="shared" si="8"/>
        <v>#REF!</v>
      </c>
      <c r="AD43" s="80" t="e">
        <f t="shared" si="9"/>
        <v>#REF!</v>
      </c>
      <c r="AO43" s="116"/>
    </row>
    <row r="44" spans="3:41" x14ac:dyDescent="0.25">
      <c r="C44" s="121" t="e">
        <f>Tree!#REF!</f>
        <v>#REF!</v>
      </c>
      <c r="D44" s="41" t="e">
        <f>Tree!#REF!</f>
        <v>#REF!</v>
      </c>
      <c r="E44" s="122" t="e">
        <f t="shared" si="3"/>
        <v>#REF!</v>
      </c>
      <c r="F44" s="41" t="e">
        <f>Tree!#REF!</f>
        <v>#REF!</v>
      </c>
      <c r="G44" s="122" t="e">
        <f t="shared" si="4"/>
        <v>#REF!</v>
      </c>
      <c r="H44" s="79" t="e">
        <f>INDEX(Tree!#REF!,MATCH($J44,Tree!#REF!,0))</f>
        <v>#REF!</v>
      </c>
      <c r="I44" s="100" t="e">
        <f t="shared" si="5"/>
        <v>#REF!</v>
      </c>
      <c r="J44" s="80" t="s">
        <v>26</v>
      </c>
      <c r="K44" s="90" t="e">
        <f>INDEX(Tree!#REF!,MATCH($J44,Tree!#REF!,0))</f>
        <v>#REF!</v>
      </c>
      <c r="L44" s="104" t="e">
        <f t="shared" si="11"/>
        <v>#REF!</v>
      </c>
      <c r="M44" s="90" t="e">
        <f>Tree!#REF!</f>
        <v>#REF!</v>
      </c>
      <c r="N44" s="102" t="e">
        <f t="shared" si="10"/>
        <v>#REF!</v>
      </c>
      <c r="O44" s="90" t="s">
        <v>30</v>
      </c>
      <c r="P44" s="90" t="e">
        <f>INDEX(Tree!#REF!,MATCH($O44,Tree!#REF!,0)+MATCH(Tree!#REF!,Tree!#REF!,0)-1)</f>
        <v>#REF!</v>
      </c>
      <c r="Q44" s="104" t="e">
        <f t="shared" si="6"/>
        <v>#REF!</v>
      </c>
      <c r="R44" s="119" t="e">
        <f>Tree!#REF!</f>
        <v>#REF!</v>
      </c>
      <c r="S44" s="102" t="e">
        <f t="shared" si="7"/>
        <v>#REF!</v>
      </c>
      <c r="T44" s="80" t="s">
        <v>32</v>
      </c>
      <c r="U44" s="80"/>
      <c r="V44" s="80" t="e">
        <f>Tree!#REF!</f>
        <v>#REF!</v>
      </c>
      <c r="W44" s="104"/>
      <c r="X44" s="119"/>
      <c r="Y44" s="102">
        <f t="shared" si="2"/>
        <v>0</v>
      </c>
      <c r="Z44" s="80"/>
      <c r="AA44" s="80"/>
      <c r="AB44" s="80"/>
      <c r="AC44" s="91" t="e">
        <f t="shared" si="8"/>
        <v>#REF!</v>
      </c>
      <c r="AD44" s="80">
        <f t="shared" si="9"/>
        <v>0</v>
      </c>
      <c r="AO44" s="116"/>
    </row>
    <row r="45" spans="3:41" x14ac:dyDescent="0.25">
      <c r="C45" s="121" t="e">
        <f>Tree!#REF!</f>
        <v>#REF!</v>
      </c>
      <c r="D45" s="41" t="e">
        <f>Tree!#REF!</f>
        <v>#REF!</v>
      </c>
      <c r="E45" s="122" t="e">
        <f t="shared" si="3"/>
        <v>#REF!</v>
      </c>
      <c r="F45" s="41" t="e">
        <f>Tree!#REF!</f>
        <v>#REF!</v>
      </c>
      <c r="G45" s="122" t="e">
        <f t="shared" si="4"/>
        <v>#REF!</v>
      </c>
      <c r="H45" s="79" t="e">
        <f>INDEX(Tree!#REF!,MATCH($J45,Tree!#REF!,0))</f>
        <v>#REF!</v>
      </c>
      <c r="I45" s="100" t="e">
        <f t="shared" si="5"/>
        <v>#REF!</v>
      </c>
      <c r="J45" s="80" t="s">
        <v>26</v>
      </c>
      <c r="K45" s="90" t="e">
        <f>INDEX(Tree!#REF!,MATCH($J45,Tree!#REF!,0))</f>
        <v>#REF!</v>
      </c>
      <c r="L45" s="104" t="e">
        <f t="shared" si="11"/>
        <v>#REF!</v>
      </c>
      <c r="M45" s="90" t="e">
        <f>Tree!#REF!</f>
        <v>#REF!</v>
      </c>
      <c r="N45" s="102" t="e">
        <f t="shared" si="10"/>
        <v>#REF!</v>
      </c>
      <c r="O45" s="90" t="s">
        <v>30</v>
      </c>
      <c r="P45" s="90" t="e">
        <f>INDEX(Tree!#REF!,MATCH($O45,Tree!#REF!,0)+MATCH(Tree!#REF!,Tree!#REF!,0)-1)</f>
        <v>#REF!</v>
      </c>
      <c r="Q45" s="104" t="e">
        <f t="shared" si="6"/>
        <v>#REF!</v>
      </c>
      <c r="R45" s="119" t="e">
        <f>Tree!#REF!</f>
        <v>#REF!</v>
      </c>
      <c r="S45" s="102" t="e">
        <f t="shared" si="7"/>
        <v>#REF!</v>
      </c>
      <c r="T45" s="80" t="s">
        <v>33</v>
      </c>
      <c r="U45" s="80" t="e">
        <f>Tree!#REF!</f>
        <v>#REF!</v>
      </c>
      <c r="V45" s="80"/>
      <c r="W45" s="104" t="e">
        <f>S45*U45</f>
        <v>#REF!</v>
      </c>
      <c r="X45" s="119" t="e">
        <f>Tree!#REF!</f>
        <v>#REF!</v>
      </c>
      <c r="Y45" s="102" t="e">
        <f t="shared" si="2"/>
        <v>#REF!</v>
      </c>
      <c r="Z45" s="80" t="s">
        <v>54</v>
      </c>
      <c r="AA45" s="80" t="e">
        <f>Tree!#REF!</f>
        <v>#REF!</v>
      </c>
      <c r="AB45" s="80"/>
      <c r="AC45" s="91" t="e">
        <f t="shared" si="8"/>
        <v>#REF!</v>
      </c>
      <c r="AD45" s="80" t="e">
        <f t="shared" si="9"/>
        <v>#REF!</v>
      </c>
      <c r="AO45" s="116"/>
    </row>
    <row r="46" spans="3:41" x14ac:dyDescent="0.25">
      <c r="C46" s="121" t="e">
        <f>Tree!#REF!</f>
        <v>#REF!</v>
      </c>
      <c r="D46" s="41" t="e">
        <f>Tree!#REF!</f>
        <v>#REF!</v>
      </c>
      <c r="E46" s="122" t="e">
        <f t="shared" si="3"/>
        <v>#REF!</v>
      </c>
      <c r="F46" s="41" t="e">
        <f>Tree!#REF!</f>
        <v>#REF!</v>
      </c>
      <c r="G46" s="122" t="e">
        <f t="shared" si="4"/>
        <v>#REF!</v>
      </c>
      <c r="H46" s="79" t="e">
        <f>INDEX(Tree!#REF!,MATCH($J46,Tree!#REF!,0))</f>
        <v>#REF!</v>
      </c>
      <c r="I46" s="100" t="e">
        <f t="shared" si="5"/>
        <v>#REF!</v>
      </c>
      <c r="J46" s="80" t="s">
        <v>26</v>
      </c>
      <c r="K46" s="90" t="e">
        <f>INDEX(Tree!#REF!,MATCH($J46,Tree!#REF!,0))</f>
        <v>#REF!</v>
      </c>
      <c r="L46" s="104" t="e">
        <f t="shared" si="11"/>
        <v>#REF!</v>
      </c>
      <c r="M46" s="90" t="e">
        <f>Tree!#REF!</f>
        <v>#REF!</v>
      </c>
      <c r="N46" s="102" t="e">
        <f t="shared" si="10"/>
        <v>#REF!</v>
      </c>
      <c r="O46" s="90" t="s">
        <v>30</v>
      </c>
      <c r="P46" s="90" t="e">
        <f>INDEX(Tree!#REF!,MATCH($O46,Tree!#REF!,0)+MATCH(Tree!#REF!,Tree!#REF!,0)-1)</f>
        <v>#REF!</v>
      </c>
      <c r="Q46" s="104" t="e">
        <f t="shared" si="6"/>
        <v>#REF!</v>
      </c>
      <c r="R46" s="119" t="e">
        <f>Tree!#REF!</f>
        <v>#REF!</v>
      </c>
      <c r="S46" s="102" t="e">
        <f t="shared" si="7"/>
        <v>#REF!</v>
      </c>
      <c r="T46" s="80" t="s">
        <v>33</v>
      </c>
      <c r="U46" s="80" t="e">
        <f>Tree!#REF!</f>
        <v>#REF!</v>
      </c>
      <c r="V46" s="80"/>
      <c r="W46" s="104" t="e">
        <f>S46*U46</f>
        <v>#REF!</v>
      </c>
      <c r="X46" s="119" t="e">
        <f>Tree!#REF!</f>
        <v>#REF!</v>
      </c>
      <c r="Y46" s="102" t="e">
        <f t="shared" si="2"/>
        <v>#REF!</v>
      </c>
      <c r="Z46" s="80" t="s">
        <v>117</v>
      </c>
      <c r="AA46" s="80" t="e">
        <f>Tree!#REF!</f>
        <v>#REF!</v>
      </c>
      <c r="AB46" s="80"/>
      <c r="AC46" s="91" t="e">
        <f t="shared" si="8"/>
        <v>#REF!</v>
      </c>
      <c r="AD46" s="80" t="e">
        <f t="shared" si="9"/>
        <v>#REF!</v>
      </c>
      <c r="AO46" s="116"/>
    </row>
    <row r="47" spans="3:41" x14ac:dyDescent="0.25">
      <c r="C47" s="121" t="e">
        <f>Tree!#REF!</f>
        <v>#REF!</v>
      </c>
      <c r="D47" s="41" t="e">
        <f>Tree!#REF!</f>
        <v>#REF!</v>
      </c>
      <c r="E47" s="122" t="e">
        <f t="shared" si="3"/>
        <v>#REF!</v>
      </c>
      <c r="F47" s="41" t="e">
        <f>Tree!#REF!</f>
        <v>#REF!</v>
      </c>
      <c r="G47" s="122" t="e">
        <f t="shared" si="4"/>
        <v>#REF!</v>
      </c>
      <c r="H47" s="79" t="e">
        <f>INDEX(Tree!#REF!,MATCH($J47,Tree!#REF!,0))</f>
        <v>#REF!</v>
      </c>
      <c r="I47" s="100" t="e">
        <f t="shared" si="5"/>
        <v>#REF!</v>
      </c>
      <c r="J47" s="80" t="s">
        <v>26</v>
      </c>
      <c r="K47" s="90" t="e">
        <f>INDEX(Tree!#REF!,MATCH($J47,Tree!#REF!,0))</f>
        <v>#REF!</v>
      </c>
      <c r="L47" s="104" t="e">
        <f t="shared" si="11"/>
        <v>#REF!</v>
      </c>
      <c r="M47" s="90" t="e">
        <f>Tree!#REF!</f>
        <v>#REF!</v>
      </c>
      <c r="N47" s="102" t="e">
        <f t="shared" si="10"/>
        <v>#REF!</v>
      </c>
      <c r="O47" s="90" t="s">
        <v>30</v>
      </c>
      <c r="P47" s="90" t="e">
        <f>INDEX(Tree!#REF!,MATCH($O47,Tree!#REF!,0)+MATCH(Tree!#REF!,Tree!#REF!,0)-1)</f>
        <v>#REF!</v>
      </c>
      <c r="Q47" s="104" t="e">
        <f t="shared" si="6"/>
        <v>#REF!</v>
      </c>
      <c r="R47" s="119" t="e">
        <f>Tree!#REF!</f>
        <v>#REF!</v>
      </c>
      <c r="S47" s="102" t="e">
        <f t="shared" si="7"/>
        <v>#REF!</v>
      </c>
      <c r="T47" s="80" t="s">
        <v>33</v>
      </c>
      <c r="U47" s="80" t="e">
        <f>Tree!#REF!</f>
        <v>#REF!</v>
      </c>
      <c r="V47" s="80"/>
      <c r="W47" s="104" t="e">
        <f>S47*U47</f>
        <v>#REF!</v>
      </c>
      <c r="X47" s="119" t="e">
        <f>Tree!#REF!</f>
        <v>#REF!</v>
      </c>
      <c r="Y47" s="102" t="e">
        <f t="shared" si="2"/>
        <v>#REF!</v>
      </c>
      <c r="Z47" s="80" t="s">
        <v>52</v>
      </c>
      <c r="AA47" s="80"/>
      <c r="AB47" s="80" t="e">
        <f>Tree!#REF!</f>
        <v>#REF!</v>
      </c>
      <c r="AC47" s="91" t="e">
        <f t="shared" si="8"/>
        <v>#REF!</v>
      </c>
      <c r="AD47" s="80" t="e">
        <f t="shared" si="9"/>
        <v>#REF!</v>
      </c>
      <c r="AO47" s="116"/>
    </row>
    <row r="48" spans="3:41" x14ac:dyDescent="0.25">
      <c r="C48" s="121" t="e">
        <f>Tree!#REF!</f>
        <v>#REF!</v>
      </c>
      <c r="D48" s="41" t="e">
        <f>Tree!#REF!</f>
        <v>#REF!</v>
      </c>
      <c r="E48" s="122" t="e">
        <f t="shared" si="3"/>
        <v>#REF!</v>
      </c>
      <c r="F48" s="41" t="e">
        <f>Tree!#REF!</f>
        <v>#REF!</v>
      </c>
      <c r="G48" s="122" t="e">
        <f t="shared" si="4"/>
        <v>#REF!</v>
      </c>
      <c r="H48" s="79" t="e">
        <f>INDEX(Tree!#REF!,MATCH($J48,Tree!#REF!,0))</f>
        <v>#REF!</v>
      </c>
      <c r="I48" s="100" t="e">
        <f t="shared" si="5"/>
        <v>#REF!</v>
      </c>
      <c r="J48" s="80" t="s">
        <v>26</v>
      </c>
      <c r="K48" s="90" t="e">
        <f>INDEX(Tree!#REF!,MATCH($J48,Tree!#REF!,0))</f>
        <v>#REF!</v>
      </c>
      <c r="L48" s="104" t="e">
        <f t="shared" si="11"/>
        <v>#REF!</v>
      </c>
      <c r="M48" s="90" t="e">
        <f>Tree!#REF!</f>
        <v>#REF!</v>
      </c>
      <c r="N48" s="102" t="e">
        <f t="shared" si="10"/>
        <v>#REF!</v>
      </c>
      <c r="O48" s="90" t="s">
        <v>30</v>
      </c>
      <c r="P48" s="90" t="e">
        <f>INDEX(Tree!#REF!,MATCH($O48,Tree!#REF!,0)+MATCH(Tree!#REF!,Tree!#REF!,0)-1)</f>
        <v>#REF!</v>
      </c>
      <c r="Q48" s="104" t="e">
        <f t="shared" si="6"/>
        <v>#REF!</v>
      </c>
      <c r="R48" s="119" t="e">
        <f>Tree!#REF!</f>
        <v>#REF!</v>
      </c>
      <c r="S48" s="102" t="e">
        <f t="shared" si="7"/>
        <v>#REF!</v>
      </c>
      <c r="T48" s="80" t="s">
        <v>33</v>
      </c>
      <c r="U48" s="80" t="e">
        <f>Tree!#REF!</f>
        <v>#REF!</v>
      </c>
      <c r="V48" s="80"/>
      <c r="W48" s="104" t="e">
        <f>S48*U48</f>
        <v>#REF!</v>
      </c>
      <c r="X48" s="119" t="e">
        <f>Tree!#REF!</f>
        <v>#REF!</v>
      </c>
      <c r="Y48" s="102" t="e">
        <f t="shared" si="2"/>
        <v>#REF!</v>
      </c>
      <c r="Z48" s="80" t="s">
        <v>53</v>
      </c>
      <c r="AA48" s="80"/>
      <c r="AB48" s="80" t="e">
        <f>Tree!#REF!</f>
        <v>#REF!</v>
      </c>
      <c r="AC48" s="91" t="e">
        <f t="shared" si="8"/>
        <v>#REF!</v>
      </c>
      <c r="AD48" s="80" t="e">
        <f t="shared" si="9"/>
        <v>#REF!</v>
      </c>
    </row>
    <row r="49" spans="3:41" x14ac:dyDescent="0.25">
      <c r="C49" s="121" t="e">
        <f>Tree!#REF!</f>
        <v>#REF!</v>
      </c>
      <c r="D49" s="41" t="e">
        <f>Tree!#REF!</f>
        <v>#REF!</v>
      </c>
      <c r="E49" s="122" t="e">
        <f t="shared" si="3"/>
        <v>#REF!</v>
      </c>
      <c r="F49" s="41" t="e">
        <f>Tree!#REF!</f>
        <v>#REF!</v>
      </c>
      <c r="G49" s="122" t="e">
        <f t="shared" si="4"/>
        <v>#REF!</v>
      </c>
      <c r="H49" s="79" t="e">
        <f>INDEX(Tree!#REF!,MATCH($J49,Tree!#REF!,0))</f>
        <v>#REF!</v>
      </c>
      <c r="I49" s="100" t="e">
        <f t="shared" si="5"/>
        <v>#REF!</v>
      </c>
      <c r="J49" s="80" t="s">
        <v>26</v>
      </c>
      <c r="K49" s="90" t="e">
        <f>INDEX(Tree!#REF!,MATCH($J49,Tree!#REF!,0))</f>
        <v>#REF!</v>
      </c>
      <c r="L49" s="104" t="e">
        <f t="shared" si="11"/>
        <v>#REF!</v>
      </c>
      <c r="M49" s="90" t="e">
        <f>Tree!#REF!</f>
        <v>#REF!</v>
      </c>
      <c r="N49" s="102" t="e">
        <f t="shared" si="10"/>
        <v>#REF!</v>
      </c>
      <c r="O49" s="90" t="s">
        <v>29</v>
      </c>
      <c r="P49" s="90" t="e">
        <f>INDEX(Tree!#REF!,MATCH($O49,Tree!#REF!,0)+MATCH(Tree!#REF!,Tree!#REF!,0)-1)</f>
        <v>#REF!</v>
      </c>
      <c r="Q49" s="104" t="e">
        <f t="shared" si="6"/>
        <v>#REF!</v>
      </c>
      <c r="R49" s="119" t="e">
        <f>Tree!#REF!</f>
        <v>#REF!</v>
      </c>
      <c r="S49" s="102" t="e">
        <f t="shared" si="7"/>
        <v>#REF!</v>
      </c>
      <c r="T49" s="80" t="s">
        <v>32</v>
      </c>
      <c r="U49" s="80"/>
      <c r="V49" s="80" t="e">
        <f>Tree!#REF!</f>
        <v>#REF!</v>
      </c>
      <c r="W49" s="104"/>
      <c r="X49" s="119"/>
      <c r="Y49" s="102">
        <f t="shared" si="2"/>
        <v>0</v>
      </c>
      <c r="Z49" s="80"/>
      <c r="AA49" s="80"/>
      <c r="AB49" s="80"/>
      <c r="AC49" s="91" t="e">
        <f t="shared" si="8"/>
        <v>#REF!</v>
      </c>
      <c r="AD49" s="80">
        <f t="shared" si="9"/>
        <v>0</v>
      </c>
      <c r="AO49" s="116"/>
    </row>
    <row r="50" spans="3:41" x14ac:dyDescent="0.25">
      <c r="C50" s="121" t="e">
        <f>Tree!#REF!</f>
        <v>#REF!</v>
      </c>
      <c r="D50" s="41" t="e">
        <f>Tree!#REF!</f>
        <v>#REF!</v>
      </c>
      <c r="E50" s="122" t="e">
        <f t="shared" si="3"/>
        <v>#REF!</v>
      </c>
      <c r="F50" s="41" t="e">
        <f>Tree!#REF!</f>
        <v>#REF!</v>
      </c>
      <c r="G50" s="122" t="e">
        <f t="shared" si="4"/>
        <v>#REF!</v>
      </c>
      <c r="H50" s="79" t="e">
        <f>INDEX(Tree!#REF!,MATCH($J50,Tree!#REF!,0))</f>
        <v>#REF!</v>
      </c>
      <c r="I50" s="100" t="e">
        <f t="shared" si="5"/>
        <v>#REF!</v>
      </c>
      <c r="J50" s="80" t="s">
        <v>26</v>
      </c>
      <c r="K50" s="90" t="e">
        <f>INDEX(Tree!#REF!,MATCH($J50,Tree!#REF!,0))</f>
        <v>#REF!</v>
      </c>
      <c r="L50" s="104" t="e">
        <f t="shared" si="11"/>
        <v>#REF!</v>
      </c>
      <c r="M50" s="90" t="e">
        <f>Tree!#REF!</f>
        <v>#REF!</v>
      </c>
      <c r="N50" s="102" t="e">
        <f t="shared" si="10"/>
        <v>#REF!</v>
      </c>
      <c r="O50" s="90" t="s">
        <v>29</v>
      </c>
      <c r="P50" s="90" t="e">
        <f>INDEX(Tree!#REF!,MATCH($O50,Tree!#REF!,0)+MATCH(Tree!#REF!,Tree!#REF!,0)-1)</f>
        <v>#REF!</v>
      </c>
      <c r="Q50" s="104" t="e">
        <f t="shared" si="6"/>
        <v>#REF!</v>
      </c>
      <c r="R50" s="119" t="e">
        <f>Tree!#REF!</f>
        <v>#REF!</v>
      </c>
      <c r="S50" s="102" t="e">
        <f t="shared" si="7"/>
        <v>#REF!</v>
      </c>
      <c r="T50" s="80" t="s">
        <v>33</v>
      </c>
      <c r="U50" s="80" t="e">
        <f>Tree!#REF!</f>
        <v>#REF!</v>
      </c>
      <c r="V50" s="80"/>
      <c r="W50" s="104" t="e">
        <f>S50*U50</f>
        <v>#REF!</v>
      </c>
      <c r="X50" s="119" t="e">
        <f>Tree!#REF!</f>
        <v>#REF!</v>
      </c>
      <c r="Y50" s="102" t="e">
        <f t="shared" si="2"/>
        <v>#REF!</v>
      </c>
      <c r="Z50" s="80" t="s">
        <v>54</v>
      </c>
      <c r="AA50" s="80" t="e">
        <f>Tree!#REF!</f>
        <v>#REF!</v>
      </c>
      <c r="AB50" s="80"/>
      <c r="AC50" s="91" t="e">
        <f t="shared" si="8"/>
        <v>#REF!</v>
      </c>
      <c r="AD50" s="80" t="e">
        <f t="shared" si="9"/>
        <v>#REF!</v>
      </c>
      <c r="AO50" s="116"/>
    </row>
    <row r="51" spans="3:41" x14ac:dyDescent="0.25">
      <c r="C51" s="121" t="e">
        <f>Tree!#REF!</f>
        <v>#REF!</v>
      </c>
      <c r="D51" s="41" t="e">
        <f>Tree!#REF!</f>
        <v>#REF!</v>
      </c>
      <c r="E51" s="122" t="e">
        <f t="shared" si="3"/>
        <v>#REF!</v>
      </c>
      <c r="F51" s="41" t="e">
        <f>Tree!#REF!</f>
        <v>#REF!</v>
      </c>
      <c r="G51" s="122" t="e">
        <f t="shared" si="4"/>
        <v>#REF!</v>
      </c>
      <c r="H51" s="79" t="e">
        <f>INDEX(Tree!#REF!,MATCH($J51,Tree!#REF!,0))</f>
        <v>#REF!</v>
      </c>
      <c r="I51" s="100" t="e">
        <f t="shared" si="5"/>
        <v>#REF!</v>
      </c>
      <c r="J51" s="80" t="s">
        <v>26</v>
      </c>
      <c r="K51" s="90" t="e">
        <f>INDEX(Tree!#REF!,MATCH($J51,Tree!#REF!,0))</f>
        <v>#REF!</v>
      </c>
      <c r="L51" s="104" t="e">
        <f t="shared" si="11"/>
        <v>#REF!</v>
      </c>
      <c r="M51" s="90" t="e">
        <f>Tree!#REF!</f>
        <v>#REF!</v>
      </c>
      <c r="N51" s="102" t="e">
        <f t="shared" si="10"/>
        <v>#REF!</v>
      </c>
      <c r="O51" s="90" t="s">
        <v>29</v>
      </c>
      <c r="P51" s="90" t="e">
        <f>INDEX(Tree!#REF!,MATCH($O51,Tree!#REF!,0)+MATCH(Tree!#REF!,Tree!#REF!,0)-1)</f>
        <v>#REF!</v>
      </c>
      <c r="Q51" s="104" t="e">
        <f t="shared" si="6"/>
        <v>#REF!</v>
      </c>
      <c r="R51" s="119" t="e">
        <f>Tree!#REF!</f>
        <v>#REF!</v>
      </c>
      <c r="S51" s="102" t="e">
        <f t="shared" si="7"/>
        <v>#REF!</v>
      </c>
      <c r="T51" s="80" t="s">
        <v>33</v>
      </c>
      <c r="U51" s="80" t="e">
        <f>Tree!#REF!</f>
        <v>#REF!</v>
      </c>
      <c r="V51" s="80"/>
      <c r="W51" s="104" t="e">
        <f>S51*U51</f>
        <v>#REF!</v>
      </c>
      <c r="X51" s="119" t="e">
        <f>Tree!#REF!</f>
        <v>#REF!</v>
      </c>
      <c r="Y51" s="102" t="e">
        <f t="shared" si="2"/>
        <v>#REF!</v>
      </c>
      <c r="Z51" s="80" t="s">
        <v>117</v>
      </c>
      <c r="AA51" s="80" t="e">
        <f>Tree!#REF!</f>
        <v>#REF!</v>
      </c>
      <c r="AB51" s="80"/>
      <c r="AC51" s="91" t="e">
        <f t="shared" si="8"/>
        <v>#REF!</v>
      </c>
      <c r="AD51" s="80" t="e">
        <f t="shared" si="9"/>
        <v>#REF!</v>
      </c>
      <c r="AO51" s="116"/>
    </row>
    <row r="52" spans="3:41" x14ac:dyDescent="0.25">
      <c r="C52" s="121" t="e">
        <f>Tree!#REF!</f>
        <v>#REF!</v>
      </c>
      <c r="D52" s="41" t="e">
        <f>Tree!#REF!</f>
        <v>#REF!</v>
      </c>
      <c r="E52" s="122" t="e">
        <f t="shared" si="3"/>
        <v>#REF!</v>
      </c>
      <c r="F52" s="41" t="e">
        <f>Tree!#REF!</f>
        <v>#REF!</v>
      </c>
      <c r="G52" s="122" t="e">
        <f t="shared" si="4"/>
        <v>#REF!</v>
      </c>
      <c r="H52" s="79" t="e">
        <f>INDEX(Tree!#REF!,MATCH($J52,Tree!#REF!,0))</f>
        <v>#REF!</v>
      </c>
      <c r="I52" s="100" t="e">
        <f t="shared" si="5"/>
        <v>#REF!</v>
      </c>
      <c r="J52" s="80" t="s">
        <v>26</v>
      </c>
      <c r="K52" s="90" t="e">
        <f>INDEX(Tree!#REF!,MATCH($J52,Tree!#REF!,0))</f>
        <v>#REF!</v>
      </c>
      <c r="L52" s="104" t="e">
        <f t="shared" si="11"/>
        <v>#REF!</v>
      </c>
      <c r="M52" s="90" t="e">
        <f>Tree!#REF!</f>
        <v>#REF!</v>
      </c>
      <c r="N52" s="102" t="e">
        <f t="shared" si="10"/>
        <v>#REF!</v>
      </c>
      <c r="O52" s="90" t="s">
        <v>29</v>
      </c>
      <c r="P52" s="90" t="e">
        <f>INDEX(Tree!#REF!,MATCH($O52,Tree!#REF!,0)+MATCH(Tree!#REF!,Tree!#REF!,0)-1)</f>
        <v>#REF!</v>
      </c>
      <c r="Q52" s="104" t="e">
        <f t="shared" si="6"/>
        <v>#REF!</v>
      </c>
      <c r="R52" s="119" t="e">
        <f>Tree!#REF!</f>
        <v>#REF!</v>
      </c>
      <c r="S52" s="102" t="e">
        <f t="shared" si="7"/>
        <v>#REF!</v>
      </c>
      <c r="T52" s="80" t="s">
        <v>33</v>
      </c>
      <c r="U52" s="80" t="e">
        <f>Tree!#REF!</f>
        <v>#REF!</v>
      </c>
      <c r="V52" s="80"/>
      <c r="W52" s="104" t="e">
        <f>S52*U52</f>
        <v>#REF!</v>
      </c>
      <c r="X52" s="119" t="e">
        <f>Tree!#REF!</f>
        <v>#REF!</v>
      </c>
      <c r="Y52" s="102" t="e">
        <f t="shared" si="2"/>
        <v>#REF!</v>
      </c>
      <c r="Z52" s="80" t="s">
        <v>52</v>
      </c>
      <c r="AA52" s="80"/>
      <c r="AB52" s="80" t="e">
        <f>Tree!#REF!</f>
        <v>#REF!</v>
      </c>
      <c r="AC52" s="91" t="e">
        <f t="shared" si="8"/>
        <v>#REF!</v>
      </c>
      <c r="AD52" s="80" t="e">
        <f t="shared" si="9"/>
        <v>#REF!</v>
      </c>
      <c r="AO52" s="116"/>
    </row>
    <row r="53" spans="3:41" x14ac:dyDescent="0.25">
      <c r="C53" s="121" t="e">
        <f>Tree!#REF!</f>
        <v>#REF!</v>
      </c>
      <c r="D53" s="41" t="e">
        <f>Tree!#REF!</f>
        <v>#REF!</v>
      </c>
      <c r="E53" s="122" t="e">
        <f t="shared" si="3"/>
        <v>#REF!</v>
      </c>
      <c r="F53" s="41" t="e">
        <f>Tree!#REF!</f>
        <v>#REF!</v>
      </c>
      <c r="G53" s="122" t="e">
        <f t="shared" si="4"/>
        <v>#REF!</v>
      </c>
      <c r="H53" s="79" t="e">
        <f>INDEX(Tree!#REF!,MATCH($J53,Tree!#REF!,0))</f>
        <v>#REF!</v>
      </c>
      <c r="I53" s="100" t="e">
        <f t="shared" si="5"/>
        <v>#REF!</v>
      </c>
      <c r="J53" s="80" t="s">
        <v>26</v>
      </c>
      <c r="K53" s="90" t="e">
        <f>INDEX(Tree!#REF!,MATCH($J53,Tree!#REF!,0))</f>
        <v>#REF!</v>
      </c>
      <c r="L53" s="104" t="e">
        <f t="shared" si="11"/>
        <v>#REF!</v>
      </c>
      <c r="M53" s="90" t="e">
        <f>Tree!#REF!</f>
        <v>#REF!</v>
      </c>
      <c r="N53" s="102" t="e">
        <f t="shared" si="10"/>
        <v>#REF!</v>
      </c>
      <c r="O53" s="90" t="s">
        <v>29</v>
      </c>
      <c r="P53" s="90" t="e">
        <f>INDEX(Tree!#REF!,MATCH($O53,Tree!#REF!,0)+MATCH(Tree!#REF!,Tree!#REF!,0)-1)</f>
        <v>#REF!</v>
      </c>
      <c r="Q53" s="104" t="e">
        <f t="shared" si="6"/>
        <v>#REF!</v>
      </c>
      <c r="R53" s="119" t="e">
        <f>Tree!#REF!</f>
        <v>#REF!</v>
      </c>
      <c r="S53" s="102" t="e">
        <f t="shared" si="7"/>
        <v>#REF!</v>
      </c>
      <c r="T53" s="80" t="s">
        <v>33</v>
      </c>
      <c r="U53" s="80" t="e">
        <f>Tree!#REF!</f>
        <v>#REF!</v>
      </c>
      <c r="V53" s="80"/>
      <c r="W53" s="104" t="e">
        <f>S53*U53</f>
        <v>#REF!</v>
      </c>
      <c r="X53" s="119" t="e">
        <f>Tree!#REF!</f>
        <v>#REF!</v>
      </c>
      <c r="Y53" s="102" t="e">
        <f t="shared" si="2"/>
        <v>#REF!</v>
      </c>
      <c r="Z53" s="80" t="s">
        <v>53</v>
      </c>
      <c r="AA53" s="80"/>
      <c r="AB53" s="80" t="e">
        <f>Tree!#REF!</f>
        <v>#REF!</v>
      </c>
      <c r="AC53" s="91" t="e">
        <f t="shared" si="8"/>
        <v>#REF!</v>
      </c>
      <c r="AD53" s="80" t="e">
        <f t="shared" si="9"/>
        <v>#REF!</v>
      </c>
      <c r="AO53" s="116"/>
    </row>
    <row r="54" spans="3:41" x14ac:dyDescent="0.25">
      <c r="C54" s="121" t="e">
        <f>Tree!#REF!</f>
        <v>#REF!</v>
      </c>
      <c r="D54" s="41" t="e">
        <f>Tree!#REF!</f>
        <v>#REF!</v>
      </c>
      <c r="E54" s="122" t="e">
        <f t="shared" si="3"/>
        <v>#REF!</v>
      </c>
      <c r="F54" s="41" t="e">
        <f>Tree!#REF!</f>
        <v>#REF!</v>
      </c>
      <c r="G54" s="122" t="e">
        <f t="shared" si="4"/>
        <v>#REF!</v>
      </c>
      <c r="H54" s="79" t="e">
        <f>INDEX(Tree!#REF!,MATCH($J54,Tree!#REF!,0))</f>
        <v>#REF!</v>
      </c>
      <c r="I54" s="100" t="e">
        <f t="shared" si="5"/>
        <v>#REF!</v>
      </c>
      <c r="J54" s="80" t="s">
        <v>24</v>
      </c>
      <c r="K54" s="90" t="e">
        <f>INDEX(Tree!#REF!,MATCH($J54,Tree!#REF!,0))</f>
        <v>#REF!</v>
      </c>
      <c r="L54" s="104" t="e">
        <f t="shared" si="11"/>
        <v>#REF!</v>
      </c>
      <c r="M54" s="90" t="e">
        <f>Tree!#REF!</f>
        <v>#REF!</v>
      </c>
      <c r="N54" s="102" t="e">
        <f t="shared" si="10"/>
        <v>#REF!</v>
      </c>
      <c r="O54" s="90" t="s">
        <v>31</v>
      </c>
      <c r="P54" s="90" t="e">
        <f>INDEX(Tree!#REF!,MATCH($O54,Tree!#REF!,0)+MATCH(Tree!#REF!,Tree!#REF!,0)-1)</f>
        <v>#REF!</v>
      </c>
      <c r="Q54" s="104" t="e">
        <f t="shared" si="6"/>
        <v>#REF!</v>
      </c>
      <c r="R54" s="119" t="e">
        <f>Tree!#REF!</f>
        <v>#REF!</v>
      </c>
      <c r="S54" s="102" t="e">
        <f t="shared" si="7"/>
        <v>#REF!</v>
      </c>
      <c r="T54" s="80" t="s">
        <v>32</v>
      </c>
      <c r="U54" s="80"/>
      <c r="V54" s="80" t="e">
        <f>Tree!#REF!</f>
        <v>#REF!</v>
      </c>
      <c r="W54" s="104"/>
      <c r="X54" s="119"/>
      <c r="Y54" s="102">
        <f t="shared" si="2"/>
        <v>0</v>
      </c>
      <c r="Z54" s="80"/>
      <c r="AA54" s="80"/>
      <c r="AB54" s="80"/>
      <c r="AC54" s="91" t="e">
        <f t="shared" si="8"/>
        <v>#REF!</v>
      </c>
      <c r="AD54" s="80">
        <f t="shared" si="9"/>
        <v>0</v>
      </c>
      <c r="AO54" s="116"/>
    </row>
    <row r="55" spans="3:41" x14ac:dyDescent="0.25">
      <c r="C55" s="121" t="e">
        <f>Tree!#REF!</f>
        <v>#REF!</v>
      </c>
      <c r="D55" s="41" t="e">
        <f>Tree!#REF!</f>
        <v>#REF!</v>
      </c>
      <c r="E55" s="122" t="e">
        <f t="shared" si="3"/>
        <v>#REF!</v>
      </c>
      <c r="F55" s="41" t="e">
        <f>Tree!#REF!</f>
        <v>#REF!</v>
      </c>
      <c r="G55" s="122" t="e">
        <f t="shared" si="4"/>
        <v>#REF!</v>
      </c>
      <c r="H55" s="79" t="e">
        <f>INDEX(Tree!#REF!,MATCH($J55,Tree!#REF!,0))</f>
        <v>#REF!</v>
      </c>
      <c r="I55" s="100" t="e">
        <f t="shared" si="5"/>
        <v>#REF!</v>
      </c>
      <c r="J55" s="80" t="s">
        <v>24</v>
      </c>
      <c r="K55" s="90" t="e">
        <f>INDEX(Tree!#REF!,MATCH($J55,Tree!#REF!,0))</f>
        <v>#REF!</v>
      </c>
      <c r="L55" s="104" t="e">
        <f t="shared" si="11"/>
        <v>#REF!</v>
      </c>
      <c r="M55" s="90" t="e">
        <f>Tree!#REF!</f>
        <v>#REF!</v>
      </c>
      <c r="N55" s="102" t="e">
        <f t="shared" si="10"/>
        <v>#REF!</v>
      </c>
      <c r="O55" s="90" t="s">
        <v>31</v>
      </c>
      <c r="P55" s="90" t="e">
        <f>INDEX(Tree!#REF!,MATCH($O55,Tree!#REF!,0)+MATCH(Tree!#REF!,Tree!#REF!,0)-1)</f>
        <v>#REF!</v>
      </c>
      <c r="Q55" s="104" t="e">
        <f t="shared" si="6"/>
        <v>#REF!</v>
      </c>
      <c r="R55" s="119" t="e">
        <f>Tree!#REF!</f>
        <v>#REF!</v>
      </c>
      <c r="S55" s="102" t="e">
        <f t="shared" si="7"/>
        <v>#REF!</v>
      </c>
      <c r="T55" s="80" t="s">
        <v>33</v>
      </c>
      <c r="U55" s="80" t="e">
        <f>Tree!#REF!</f>
        <v>#REF!</v>
      </c>
      <c r="V55" s="80"/>
      <c r="W55" s="104" t="e">
        <f>S55*U55</f>
        <v>#REF!</v>
      </c>
      <c r="X55" s="119" t="e">
        <f>Tree!#REF!</f>
        <v>#REF!</v>
      </c>
      <c r="Y55" s="102" t="e">
        <f t="shared" si="2"/>
        <v>#REF!</v>
      </c>
      <c r="Z55" s="80" t="s">
        <v>54</v>
      </c>
      <c r="AA55" s="80" t="e">
        <f>Tree!#REF!</f>
        <v>#REF!</v>
      </c>
      <c r="AB55" s="80"/>
      <c r="AC55" s="91" t="e">
        <f t="shared" si="8"/>
        <v>#REF!</v>
      </c>
      <c r="AD55" s="80" t="e">
        <f t="shared" si="9"/>
        <v>#REF!</v>
      </c>
      <c r="AO55" s="116"/>
    </row>
    <row r="56" spans="3:41" x14ac:dyDescent="0.25">
      <c r="C56" s="121" t="e">
        <f>Tree!#REF!</f>
        <v>#REF!</v>
      </c>
      <c r="D56" s="41" t="e">
        <f>Tree!#REF!</f>
        <v>#REF!</v>
      </c>
      <c r="E56" s="122" t="e">
        <f t="shared" si="3"/>
        <v>#REF!</v>
      </c>
      <c r="F56" s="41" t="e">
        <f>Tree!#REF!</f>
        <v>#REF!</v>
      </c>
      <c r="G56" s="122" t="e">
        <f t="shared" si="4"/>
        <v>#REF!</v>
      </c>
      <c r="H56" s="79" t="e">
        <f>INDEX(Tree!#REF!,MATCH($J56,Tree!#REF!,0))</f>
        <v>#REF!</v>
      </c>
      <c r="I56" s="100" t="e">
        <f t="shared" si="5"/>
        <v>#REF!</v>
      </c>
      <c r="J56" s="80" t="s">
        <v>24</v>
      </c>
      <c r="K56" s="90" t="e">
        <f>INDEX(Tree!#REF!,MATCH($J56,Tree!#REF!,0))</f>
        <v>#REF!</v>
      </c>
      <c r="L56" s="104" t="e">
        <f t="shared" si="11"/>
        <v>#REF!</v>
      </c>
      <c r="M56" s="90" t="e">
        <f>Tree!#REF!</f>
        <v>#REF!</v>
      </c>
      <c r="N56" s="102" t="e">
        <f t="shared" si="10"/>
        <v>#REF!</v>
      </c>
      <c r="O56" s="90" t="s">
        <v>31</v>
      </c>
      <c r="P56" s="90" t="e">
        <f>INDEX(Tree!#REF!,MATCH($O56,Tree!#REF!,0)+MATCH(Tree!#REF!,Tree!#REF!,0)-1)</f>
        <v>#REF!</v>
      </c>
      <c r="Q56" s="104" t="e">
        <f t="shared" si="6"/>
        <v>#REF!</v>
      </c>
      <c r="R56" s="119" t="e">
        <f>Tree!#REF!</f>
        <v>#REF!</v>
      </c>
      <c r="S56" s="102" t="e">
        <f t="shared" si="7"/>
        <v>#REF!</v>
      </c>
      <c r="T56" s="80" t="s">
        <v>33</v>
      </c>
      <c r="U56" s="80" t="e">
        <f>Tree!#REF!</f>
        <v>#REF!</v>
      </c>
      <c r="V56" s="80"/>
      <c r="W56" s="104" t="e">
        <f>S56*U56</f>
        <v>#REF!</v>
      </c>
      <c r="X56" s="119" t="e">
        <f>Tree!#REF!</f>
        <v>#REF!</v>
      </c>
      <c r="Y56" s="102" t="e">
        <f t="shared" si="2"/>
        <v>#REF!</v>
      </c>
      <c r="Z56" s="80" t="s">
        <v>117</v>
      </c>
      <c r="AA56" s="80" t="e">
        <f>Tree!#REF!</f>
        <v>#REF!</v>
      </c>
      <c r="AB56" s="80"/>
      <c r="AC56" s="91" t="e">
        <f t="shared" si="8"/>
        <v>#REF!</v>
      </c>
      <c r="AD56" s="80" t="e">
        <f t="shared" si="9"/>
        <v>#REF!</v>
      </c>
      <c r="AO56" s="116"/>
    </row>
    <row r="57" spans="3:41" x14ac:dyDescent="0.25">
      <c r="C57" s="121" t="e">
        <f>Tree!#REF!</f>
        <v>#REF!</v>
      </c>
      <c r="D57" s="41" t="e">
        <f>Tree!#REF!</f>
        <v>#REF!</v>
      </c>
      <c r="E57" s="122" t="e">
        <f t="shared" si="3"/>
        <v>#REF!</v>
      </c>
      <c r="F57" s="41" t="e">
        <f>Tree!#REF!</f>
        <v>#REF!</v>
      </c>
      <c r="G57" s="122" t="e">
        <f t="shared" si="4"/>
        <v>#REF!</v>
      </c>
      <c r="H57" s="79" t="e">
        <f>INDEX(Tree!#REF!,MATCH($J57,Tree!#REF!,0))</f>
        <v>#REF!</v>
      </c>
      <c r="I57" s="100" t="e">
        <f t="shared" si="5"/>
        <v>#REF!</v>
      </c>
      <c r="J57" s="80" t="s">
        <v>24</v>
      </c>
      <c r="K57" s="90" t="e">
        <f>INDEX(Tree!#REF!,MATCH($J57,Tree!#REF!,0))</f>
        <v>#REF!</v>
      </c>
      <c r="L57" s="104" t="e">
        <f t="shared" si="11"/>
        <v>#REF!</v>
      </c>
      <c r="M57" s="90" t="e">
        <f>Tree!#REF!</f>
        <v>#REF!</v>
      </c>
      <c r="N57" s="102" t="e">
        <f t="shared" si="10"/>
        <v>#REF!</v>
      </c>
      <c r="O57" s="90" t="s">
        <v>31</v>
      </c>
      <c r="P57" s="90" t="e">
        <f>INDEX(Tree!#REF!,MATCH($O57,Tree!#REF!,0)+MATCH(Tree!#REF!,Tree!#REF!,0)-1)</f>
        <v>#REF!</v>
      </c>
      <c r="Q57" s="104" t="e">
        <f t="shared" si="6"/>
        <v>#REF!</v>
      </c>
      <c r="R57" s="119" t="e">
        <f>Tree!#REF!</f>
        <v>#REF!</v>
      </c>
      <c r="S57" s="102" t="e">
        <f t="shared" si="7"/>
        <v>#REF!</v>
      </c>
      <c r="T57" s="80" t="s">
        <v>33</v>
      </c>
      <c r="U57" s="80" t="e">
        <f>Tree!#REF!</f>
        <v>#REF!</v>
      </c>
      <c r="V57" s="80"/>
      <c r="W57" s="104" t="e">
        <f>S57*U57</f>
        <v>#REF!</v>
      </c>
      <c r="X57" s="119" t="e">
        <f>Tree!#REF!</f>
        <v>#REF!</v>
      </c>
      <c r="Y57" s="102" t="e">
        <f t="shared" si="2"/>
        <v>#REF!</v>
      </c>
      <c r="Z57" s="80" t="s">
        <v>52</v>
      </c>
      <c r="AA57" s="80"/>
      <c r="AB57" s="80" t="e">
        <f>Tree!#REF!</f>
        <v>#REF!</v>
      </c>
      <c r="AC57" s="91" t="e">
        <f t="shared" si="8"/>
        <v>#REF!</v>
      </c>
      <c r="AD57" s="80" t="e">
        <f t="shared" si="9"/>
        <v>#REF!</v>
      </c>
      <c r="AO57" s="116"/>
    </row>
    <row r="58" spans="3:41" x14ac:dyDescent="0.25">
      <c r="C58" s="121" t="e">
        <f>Tree!#REF!</f>
        <v>#REF!</v>
      </c>
      <c r="D58" s="41" t="e">
        <f>Tree!#REF!</f>
        <v>#REF!</v>
      </c>
      <c r="E58" s="122" t="e">
        <f t="shared" si="3"/>
        <v>#REF!</v>
      </c>
      <c r="F58" s="41" t="e">
        <f>Tree!#REF!</f>
        <v>#REF!</v>
      </c>
      <c r="G58" s="122" t="e">
        <f t="shared" si="4"/>
        <v>#REF!</v>
      </c>
      <c r="H58" s="79" t="e">
        <f>INDEX(Tree!#REF!,MATCH($J58,Tree!#REF!,0))</f>
        <v>#REF!</v>
      </c>
      <c r="I58" s="100" t="e">
        <f t="shared" si="5"/>
        <v>#REF!</v>
      </c>
      <c r="J58" s="80" t="s">
        <v>24</v>
      </c>
      <c r="K58" s="90" t="e">
        <f>INDEX(Tree!#REF!,MATCH($J58,Tree!#REF!,0))</f>
        <v>#REF!</v>
      </c>
      <c r="L58" s="104" t="e">
        <f t="shared" si="11"/>
        <v>#REF!</v>
      </c>
      <c r="M58" s="90" t="e">
        <f>Tree!#REF!</f>
        <v>#REF!</v>
      </c>
      <c r="N58" s="102" t="e">
        <f t="shared" si="10"/>
        <v>#REF!</v>
      </c>
      <c r="O58" s="90" t="s">
        <v>31</v>
      </c>
      <c r="P58" s="90" t="e">
        <f>INDEX(Tree!#REF!,MATCH($O58,Tree!#REF!,0)+MATCH(Tree!#REF!,Tree!#REF!,0)-1)</f>
        <v>#REF!</v>
      </c>
      <c r="Q58" s="104" t="e">
        <f t="shared" si="6"/>
        <v>#REF!</v>
      </c>
      <c r="R58" s="119" t="e">
        <f>Tree!#REF!</f>
        <v>#REF!</v>
      </c>
      <c r="S58" s="102" t="e">
        <f t="shared" si="7"/>
        <v>#REF!</v>
      </c>
      <c r="T58" s="80" t="s">
        <v>33</v>
      </c>
      <c r="U58" s="80" t="e">
        <f>Tree!#REF!</f>
        <v>#REF!</v>
      </c>
      <c r="V58" s="80"/>
      <c r="W58" s="104" t="e">
        <f>S58*U58</f>
        <v>#REF!</v>
      </c>
      <c r="X58" s="119" t="e">
        <f>Tree!#REF!</f>
        <v>#REF!</v>
      </c>
      <c r="Y58" s="102" t="e">
        <f t="shared" si="2"/>
        <v>#REF!</v>
      </c>
      <c r="Z58" s="80" t="s">
        <v>53</v>
      </c>
      <c r="AA58" s="80"/>
      <c r="AB58" s="80" t="e">
        <f>Tree!#REF!</f>
        <v>#REF!</v>
      </c>
      <c r="AC58" s="91" t="e">
        <f t="shared" si="8"/>
        <v>#REF!</v>
      </c>
      <c r="AD58" s="80" t="e">
        <f t="shared" si="9"/>
        <v>#REF!</v>
      </c>
    </row>
    <row r="59" spans="3:41" x14ac:dyDescent="0.25">
      <c r="C59" s="121" t="e">
        <f>Tree!#REF!</f>
        <v>#REF!</v>
      </c>
      <c r="D59" s="41" t="e">
        <f>Tree!#REF!</f>
        <v>#REF!</v>
      </c>
      <c r="E59" s="122" t="e">
        <f t="shared" si="3"/>
        <v>#REF!</v>
      </c>
      <c r="F59" s="41" t="e">
        <f>Tree!#REF!</f>
        <v>#REF!</v>
      </c>
      <c r="G59" s="122" t="e">
        <f t="shared" si="4"/>
        <v>#REF!</v>
      </c>
      <c r="H59" s="79" t="e">
        <f>INDEX(Tree!#REF!,MATCH($J59,Tree!#REF!,0))</f>
        <v>#REF!</v>
      </c>
      <c r="I59" s="100" t="e">
        <f t="shared" si="5"/>
        <v>#REF!</v>
      </c>
      <c r="J59" s="80" t="s">
        <v>24</v>
      </c>
      <c r="K59" s="90" t="e">
        <f>INDEX(Tree!#REF!,MATCH($J59,Tree!#REF!,0))</f>
        <v>#REF!</v>
      </c>
      <c r="L59" s="104" t="e">
        <f t="shared" si="11"/>
        <v>#REF!</v>
      </c>
      <c r="M59" s="90" t="e">
        <f>Tree!#REF!</f>
        <v>#REF!</v>
      </c>
      <c r="N59" s="102" t="e">
        <f t="shared" si="10"/>
        <v>#REF!</v>
      </c>
      <c r="O59" s="90" t="s">
        <v>27</v>
      </c>
      <c r="P59" s="90" t="e">
        <f>INDEX(Tree!#REF!,MATCH($O59,Tree!#REF!,0)+MATCH(Tree!#REF!,Tree!#REF!,0)-1)</f>
        <v>#REF!</v>
      </c>
      <c r="Q59" s="104" t="e">
        <f t="shared" si="6"/>
        <v>#REF!</v>
      </c>
      <c r="R59" s="119" t="e">
        <f>Tree!#REF!</f>
        <v>#REF!</v>
      </c>
      <c r="S59" s="102" t="e">
        <f t="shared" si="7"/>
        <v>#REF!</v>
      </c>
      <c r="T59" s="80" t="s">
        <v>32</v>
      </c>
      <c r="U59" s="80"/>
      <c r="V59" s="80" t="e">
        <f>Tree!#REF!</f>
        <v>#REF!</v>
      </c>
      <c r="W59" s="104"/>
      <c r="X59" s="119"/>
      <c r="Y59" s="102">
        <f t="shared" si="2"/>
        <v>0</v>
      </c>
      <c r="Z59" s="80"/>
      <c r="AA59" s="80"/>
      <c r="AB59" s="80"/>
      <c r="AC59" s="91" t="e">
        <f t="shared" si="8"/>
        <v>#REF!</v>
      </c>
      <c r="AD59" s="80">
        <f t="shared" si="9"/>
        <v>0</v>
      </c>
    </row>
    <row r="60" spans="3:41" x14ac:dyDescent="0.25">
      <c r="C60" s="121" t="e">
        <f>Tree!#REF!</f>
        <v>#REF!</v>
      </c>
      <c r="D60" s="41" t="e">
        <f>Tree!#REF!</f>
        <v>#REF!</v>
      </c>
      <c r="E60" s="122" t="e">
        <f t="shared" si="3"/>
        <v>#REF!</v>
      </c>
      <c r="F60" s="41" t="e">
        <f>Tree!#REF!</f>
        <v>#REF!</v>
      </c>
      <c r="G60" s="122" t="e">
        <f t="shared" si="4"/>
        <v>#REF!</v>
      </c>
      <c r="H60" s="79" t="e">
        <f>INDEX(Tree!#REF!,MATCH($J60,Tree!#REF!,0))</f>
        <v>#REF!</v>
      </c>
      <c r="I60" s="100" t="e">
        <f t="shared" si="5"/>
        <v>#REF!</v>
      </c>
      <c r="J60" s="80" t="s">
        <v>24</v>
      </c>
      <c r="K60" s="90" t="e">
        <f>INDEX(Tree!#REF!,MATCH($J60,Tree!#REF!,0))</f>
        <v>#REF!</v>
      </c>
      <c r="L60" s="104" t="e">
        <f t="shared" si="11"/>
        <v>#REF!</v>
      </c>
      <c r="M60" s="90" t="e">
        <f>Tree!#REF!</f>
        <v>#REF!</v>
      </c>
      <c r="N60" s="102" t="e">
        <f t="shared" si="10"/>
        <v>#REF!</v>
      </c>
      <c r="O60" s="90" t="s">
        <v>27</v>
      </c>
      <c r="P60" s="90" t="e">
        <f>INDEX(Tree!#REF!,MATCH($O60,Tree!#REF!,0)+MATCH(Tree!#REF!,Tree!#REF!,0)-1)</f>
        <v>#REF!</v>
      </c>
      <c r="Q60" s="104" t="e">
        <f t="shared" si="6"/>
        <v>#REF!</v>
      </c>
      <c r="R60" s="119" t="e">
        <f>Tree!#REF!</f>
        <v>#REF!</v>
      </c>
      <c r="S60" s="102" t="e">
        <f t="shared" si="7"/>
        <v>#REF!</v>
      </c>
      <c r="T60" s="80" t="s">
        <v>33</v>
      </c>
      <c r="U60" s="80" t="e">
        <f>Tree!#REF!</f>
        <v>#REF!</v>
      </c>
      <c r="V60" s="80"/>
      <c r="W60" s="104" t="e">
        <f>S60*U60</f>
        <v>#REF!</v>
      </c>
      <c r="X60" s="119" t="e">
        <f>Tree!#REF!</f>
        <v>#REF!</v>
      </c>
      <c r="Y60" s="102" t="e">
        <f t="shared" si="2"/>
        <v>#REF!</v>
      </c>
      <c r="Z60" s="80" t="s">
        <v>54</v>
      </c>
      <c r="AA60" s="80" t="e">
        <f>Tree!#REF!</f>
        <v>#REF!</v>
      </c>
      <c r="AB60" s="80"/>
      <c r="AC60" s="91" t="e">
        <f t="shared" si="8"/>
        <v>#REF!</v>
      </c>
      <c r="AD60" s="80" t="e">
        <f t="shared" si="9"/>
        <v>#REF!</v>
      </c>
    </row>
    <row r="61" spans="3:41" x14ac:dyDescent="0.25">
      <c r="C61" s="121" t="e">
        <f>Tree!#REF!</f>
        <v>#REF!</v>
      </c>
      <c r="D61" s="41" t="e">
        <f>Tree!#REF!</f>
        <v>#REF!</v>
      </c>
      <c r="E61" s="122" t="e">
        <f t="shared" si="3"/>
        <v>#REF!</v>
      </c>
      <c r="F61" s="41" t="e">
        <f>Tree!#REF!</f>
        <v>#REF!</v>
      </c>
      <c r="G61" s="122" t="e">
        <f t="shared" si="4"/>
        <v>#REF!</v>
      </c>
      <c r="H61" s="79" t="e">
        <f>INDEX(Tree!#REF!,MATCH($J61,Tree!#REF!,0))</f>
        <v>#REF!</v>
      </c>
      <c r="I61" s="100" t="e">
        <f t="shared" si="5"/>
        <v>#REF!</v>
      </c>
      <c r="J61" s="80" t="s">
        <v>24</v>
      </c>
      <c r="K61" s="90" t="e">
        <f>INDEX(Tree!#REF!,MATCH($J61,Tree!#REF!,0))</f>
        <v>#REF!</v>
      </c>
      <c r="L61" s="104" t="e">
        <f t="shared" si="11"/>
        <v>#REF!</v>
      </c>
      <c r="M61" s="90" t="e">
        <f>Tree!#REF!</f>
        <v>#REF!</v>
      </c>
      <c r="N61" s="102" t="e">
        <f t="shared" si="10"/>
        <v>#REF!</v>
      </c>
      <c r="O61" s="90" t="s">
        <v>27</v>
      </c>
      <c r="P61" s="90" t="e">
        <f>INDEX(Tree!#REF!,MATCH($O61,Tree!#REF!,0)+MATCH(Tree!#REF!,Tree!#REF!,0)-1)</f>
        <v>#REF!</v>
      </c>
      <c r="Q61" s="104" t="e">
        <f t="shared" si="6"/>
        <v>#REF!</v>
      </c>
      <c r="R61" s="119" t="e">
        <f>Tree!#REF!</f>
        <v>#REF!</v>
      </c>
      <c r="S61" s="102" t="e">
        <f t="shared" si="7"/>
        <v>#REF!</v>
      </c>
      <c r="T61" s="80" t="s">
        <v>33</v>
      </c>
      <c r="U61" s="80" t="e">
        <f>Tree!#REF!</f>
        <v>#REF!</v>
      </c>
      <c r="V61" s="80"/>
      <c r="W61" s="104" t="e">
        <f>S61*U61</f>
        <v>#REF!</v>
      </c>
      <c r="X61" s="119" t="e">
        <f>Tree!#REF!</f>
        <v>#REF!</v>
      </c>
      <c r="Y61" s="102" t="e">
        <f t="shared" si="2"/>
        <v>#REF!</v>
      </c>
      <c r="Z61" s="80" t="s">
        <v>117</v>
      </c>
      <c r="AA61" s="80" t="e">
        <f>Tree!#REF!</f>
        <v>#REF!</v>
      </c>
      <c r="AB61" s="80"/>
      <c r="AC61" s="91" t="e">
        <f t="shared" si="8"/>
        <v>#REF!</v>
      </c>
      <c r="AD61" s="80" t="e">
        <f t="shared" si="9"/>
        <v>#REF!</v>
      </c>
    </row>
    <row r="62" spans="3:41" x14ac:dyDescent="0.25">
      <c r="C62" s="121" t="e">
        <f>Tree!#REF!</f>
        <v>#REF!</v>
      </c>
      <c r="D62" s="41" t="e">
        <f>Tree!#REF!</f>
        <v>#REF!</v>
      </c>
      <c r="E62" s="122" t="e">
        <f t="shared" si="3"/>
        <v>#REF!</v>
      </c>
      <c r="F62" s="41" t="e">
        <f>Tree!#REF!</f>
        <v>#REF!</v>
      </c>
      <c r="G62" s="122" t="e">
        <f t="shared" si="4"/>
        <v>#REF!</v>
      </c>
      <c r="H62" s="79" t="e">
        <f>INDEX(Tree!#REF!,MATCH($J62,Tree!#REF!,0))</f>
        <v>#REF!</v>
      </c>
      <c r="I62" s="100" t="e">
        <f t="shared" si="5"/>
        <v>#REF!</v>
      </c>
      <c r="J62" s="80" t="s">
        <v>24</v>
      </c>
      <c r="K62" s="90" t="e">
        <f>INDEX(Tree!#REF!,MATCH($J62,Tree!#REF!,0))</f>
        <v>#REF!</v>
      </c>
      <c r="L62" s="104" t="e">
        <f t="shared" si="11"/>
        <v>#REF!</v>
      </c>
      <c r="M62" s="90" t="e">
        <f>Tree!#REF!</f>
        <v>#REF!</v>
      </c>
      <c r="N62" s="102" t="e">
        <f t="shared" si="10"/>
        <v>#REF!</v>
      </c>
      <c r="O62" s="90" t="s">
        <v>27</v>
      </c>
      <c r="P62" s="90" t="e">
        <f>INDEX(Tree!#REF!,MATCH($O62,Tree!#REF!,0)+MATCH(Tree!#REF!,Tree!#REF!,0)-1)</f>
        <v>#REF!</v>
      </c>
      <c r="Q62" s="104" t="e">
        <f t="shared" si="6"/>
        <v>#REF!</v>
      </c>
      <c r="R62" s="119" t="e">
        <f>Tree!#REF!</f>
        <v>#REF!</v>
      </c>
      <c r="S62" s="102" t="e">
        <f t="shared" si="7"/>
        <v>#REF!</v>
      </c>
      <c r="T62" s="80" t="s">
        <v>33</v>
      </c>
      <c r="U62" s="80" t="e">
        <f>Tree!#REF!</f>
        <v>#REF!</v>
      </c>
      <c r="V62" s="80"/>
      <c r="W62" s="104" t="e">
        <f>S62*U62</f>
        <v>#REF!</v>
      </c>
      <c r="X62" s="119" t="e">
        <f>Tree!#REF!</f>
        <v>#REF!</v>
      </c>
      <c r="Y62" s="102" t="e">
        <f t="shared" si="2"/>
        <v>#REF!</v>
      </c>
      <c r="Z62" s="80" t="s">
        <v>52</v>
      </c>
      <c r="AA62" s="80"/>
      <c r="AB62" s="80" t="e">
        <f>Tree!#REF!</f>
        <v>#REF!</v>
      </c>
      <c r="AC62" s="91" t="e">
        <f t="shared" si="8"/>
        <v>#REF!</v>
      </c>
      <c r="AD62" s="80" t="e">
        <f t="shared" si="9"/>
        <v>#REF!</v>
      </c>
    </row>
    <row r="63" spans="3:41" x14ac:dyDescent="0.25">
      <c r="C63" s="121" t="e">
        <f>Tree!#REF!</f>
        <v>#REF!</v>
      </c>
      <c r="D63" s="41" t="e">
        <f>Tree!#REF!</f>
        <v>#REF!</v>
      </c>
      <c r="E63" s="122" t="e">
        <f t="shared" si="3"/>
        <v>#REF!</v>
      </c>
      <c r="F63" s="41" t="e">
        <f>Tree!#REF!</f>
        <v>#REF!</v>
      </c>
      <c r="G63" s="122" t="e">
        <f t="shared" si="4"/>
        <v>#REF!</v>
      </c>
      <c r="H63" s="79" t="e">
        <f>INDEX(Tree!#REF!,MATCH($J63,Tree!#REF!,0))</f>
        <v>#REF!</v>
      </c>
      <c r="I63" s="100" t="e">
        <f t="shared" si="5"/>
        <v>#REF!</v>
      </c>
      <c r="J63" s="80" t="s">
        <v>24</v>
      </c>
      <c r="K63" s="90" t="e">
        <f>INDEX(Tree!#REF!,MATCH($J63,Tree!#REF!,0))</f>
        <v>#REF!</v>
      </c>
      <c r="L63" s="104" t="e">
        <f t="shared" si="11"/>
        <v>#REF!</v>
      </c>
      <c r="M63" s="90" t="e">
        <f>Tree!#REF!</f>
        <v>#REF!</v>
      </c>
      <c r="N63" s="102" t="e">
        <f t="shared" si="10"/>
        <v>#REF!</v>
      </c>
      <c r="O63" s="90" t="s">
        <v>27</v>
      </c>
      <c r="P63" s="90" t="e">
        <f>INDEX(Tree!#REF!,MATCH($O63,Tree!#REF!,0)+MATCH(Tree!#REF!,Tree!#REF!,0)-1)</f>
        <v>#REF!</v>
      </c>
      <c r="Q63" s="104" t="e">
        <f t="shared" si="6"/>
        <v>#REF!</v>
      </c>
      <c r="R63" s="119" t="e">
        <f>Tree!#REF!</f>
        <v>#REF!</v>
      </c>
      <c r="S63" s="102" t="e">
        <f t="shared" si="7"/>
        <v>#REF!</v>
      </c>
      <c r="T63" s="80" t="s">
        <v>33</v>
      </c>
      <c r="U63" s="80" t="e">
        <f>Tree!#REF!</f>
        <v>#REF!</v>
      </c>
      <c r="V63" s="80"/>
      <c r="W63" s="104" t="e">
        <f>S63*U63</f>
        <v>#REF!</v>
      </c>
      <c r="X63" s="119" t="e">
        <f>Tree!#REF!</f>
        <v>#REF!</v>
      </c>
      <c r="Y63" s="102" t="e">
        <f t="shared" si="2"/>
        <v>#REF!</v>
      </c>
      <c r="Z63" s="80" t="s">
        <v>53</v>
      </c>
      <c r="AA63" s="80"/>
      <c r="AB63" s="80" t="e">
        <f>Tree!#REF!</f>
        <v>#REF!</v>
      </c>
      <c r="AC63" s="91" t="e">
        <f t="shared" si="8"/>
        <v>#REF!</v>
      </c>
      <c r="AD63" s="80" t="e">
        <f t="shared" si="9"/>
        <v>#REF!</v>
      </c>
    </row>
    <row r="64" spans="3:41" x14ac:dyDescent="0.25">
      <c r="C64" s="121" t="e">
        <f>Tree!#REF!</f>
        <v>#REF!</v>
      </c>
      <c r="D64" s="41" t="e">
        <f>Tree!#REF!</f>
        <v>#REF!</v>
      </c>
      <c r="E64" s="122" t="e">
        <f t="shared" si="3"/>
        <v>#REF!</v>
      </c>
      <c r="F64" s="41" t="e">
        <f>Tree!#REF!</f>
        <v>#REF!</v>
      </c>
      <c r="G64" s="122" t="e">
        <f t="shared" si="4"/>
        <v>#REF!</v>
      </c>
      <c r="H64" s="79" t="e">
        <f>INDEX(Tree!#REF!,MATCH($J64,Tree!#REF!,0))</f>
        <v>#REF!</v>
      </c>
      <c r="I64" s="100" t="e">
        <f t="shared" si="5"/>
        <v>#REF!</v>
      </c>
      <c r="J64" s="80" t="s">
        <v>24</v>
      </c>
      <c r="K64" s="90" t="e">
        <f>INDEX(Tree!#REF!,MATCH($J64,Tree!#REF!,0))</f>
        <v>#REF!</v>
      </c>
      <c r="L64" s="104" t="e">
        <f t="shared" si="11"/>
        <v>#REF!</v>
      </c>
      <c r="M64" s="90" t="e">
        <f>Tree!#REF!</f>
        <v>#REF!</v>
      </c>
      <c r="N64" s="102" t="e">
        <f t="shared" si="10"/>
        <v>#REF!</v>
      </c>
      <c r="O64" s="90" t="s">
        <v>28</v>
      </c>
      <c r="P64" s="90" t="e">
        <f>INDEX(Tree!#REF!,MATCH($O64,Tree!#REF!,0)+MATCH(Tree!#REF!,Tree!#REF!,0)-1)</f>
        <v>#REF!</v>
      </c>
      <c r="Q64" s="104" t="e">
        <f t="shared" si="6"/>
        <v>#REF!</v>
      </c>
      <c r="R64" s="119" t="e">
        <f>Tree!#REF!</f>
        <v>#REF!</v>
      </c>
      <c r="S64" s="102" t="e">
        <f t="shared" si="7"/>
        <v>#REF!</v>
      </c>
      <c r="T64" s="80" t="s">
        <v>32</v>
      </c>
      <c r="U64" s="80"/>
      <c r="V64" s="80" t="e">
        <f>Tree!#REF!</f>
        <v>#REF!</v>
      </c>
      <c r="W64" s="104"/>
      <c r="X64" s="119"/>
      <c r="Y64" s="102">
        <f t="shared" si="2"/>
        <v>0</v>
      </c>
      <c r="Z64" s="80"/>
      <c r="AA64" s="80"/>
      <c r="AB64" s="80"/>
      <c r="AC64" s="91" t="e">
        <f t="shared" si="8"/>
        <v>#REF!</v>
      </c>
      <c r="AD64" s="80">
        <f t="shared" si="9"/>
        <v>0</v>
      </c>
    </row>
    <row r="65" spans="3:30" x14ac:dyDescent="0.25">
      <c r="C65" s="121" t="e">
        <f>Tree!#REF!</f>
        <v>#REF!</v>
      </c>
      <c r="D65" s="41" t="e">
        <f>Tree!#REF!</f>
        <v>#REF!</v>
      </c>
      <c r="E65" s="122" t="e">
        <f t="shared" si="3"/>
        <v>#REF!</v>
      </c>
      <c r="F65" s="41" t="e">
        <f>Tree!#REF!</f>
        <v>#REF!</v>
      </c>
      <c r="G65" s="122" t="e">
        <f t="shared" si="4"/>
        <v>#REF!</v>
      </c>
      <c r="H65" s="79" t="e">
        <f>INDEX(Tree!#REF!,MATCH($J65,Tree!#REF!,0))</f>
        <v>#REF!</v>
      </c>
      <c r="I65" s="100" t="e">
        <f t="shared" si="5"/>
        <v>#REF!</v>
      </c>
      <c r="J65" s="80" t="s">
        <v>24</v>
      </c>
      <c r="K65" s="90" t="e">
        <f>INDEX(Tree!#REF!,MATCH($J65,Tree!#REF!,0))</f>
        <v>#REF!</v>
      </c>
      <c r="L65" s="104" t="e">
        <f t="shared" si="11"/>
        <v>#REF!</v>
      </c>
      <c r="M65" s="90" t="e">
        <f>Tree!#REF!</f>
        <v>#REF!</v>
      </c>
      <c r="N65" s="102" t="e">
        <f t="shared" si="10"/>
        <v>#REF!</v>
      </c>
      <c r="O65" s="90" t="s">
        <v>28</v>
      </c>
      <c r="P65" s="90" t="e">
        <f>INDEX(Tree!#REF!,MATCH($O65,Tree!#REF!,0)+MATCH(Tree!#REF!,Tree!#REF!,0)-1)</f>
        <v>#REF!</v>
      </c>
      <c r="Q65" s="104" t="e">
        <f t="shared" si="6"/>
        <v>#REF!</v>
      </c>
      <c r="R65" s="119" t="e">
        <f>Tree!#REF!</f>
        <v>#REF!</v>
      </c>
      <c r="S65" s="102" t="e">
        <f t="shared" si="7"/>
        <v>#REF!</v>
      </c>
      <c r="T65" s="80" t="s">
        <v>33</v>
      </c>
      <c r="U65" s="80" t="e">
        <f>Tree!#REF!</f>
        <v>#REF!</v>
      </c>
      <c r="V65" s="80"/>
      <c r="W65" s="104" t="e">
        <f>S65*U65</f>
        <v>#REF!</v>
      </c>
      <c r="X65" s="119" t="e">
        <f>Tree!#REF!</f>
        <v>#REF!</v>
      </c>
      <c r="Y65" s="102" t="e">
        <f t="shared" si="2"/>
        <v>#REF!</v>
      </c>
      <c r="Z65" s="80" t="s">
        <v>54</v>
      </c>
      <c r="AA65" s="80" t="e">
        <f>Tree!#REF!</f>
        <v>#REF!</v>
      </c>
      <c r="AB65" s="80"/>
      <c r="AC65" s="91" t="e">
        <f t="shared" si="8"/>
        <v>#REF!</v>
      </c>
      <c r="AD65" s="80" t="e">
        <f t="shared" si="9"/>
        <v>#REF!</v>
      </c>
    </row>
    <row r="66" spans="3:30" x14ac:dyDescent="0.25">
      <c r="C66" s="121" t="e">
        <f>Tree!#REF!</f>
        <v>#REF!</v>
      </c>
      <c r="D66" s="41" t="e">
        <f>Tree!#REF!</f>
        <v>#REF!</v>
      </c>
      <c r="E66" s="122" t="e">
        <f t="shared" si="3"/>
        <v>#REF!</v>
      </c>
      <c r="F66" s="41" t="e">
        <f>Tree!#REF!</f>
        <v>#REF!</v>
      </c>
      <c r="G66" s="122" t="e">
        <f t="shared" si="4"/>
        <v>#REF!</v>
      </c>
      <c r="H66" s="79" t="e">
        <f>INDEX(Tree!#REF!,MATCH($J66,Tree!#REF!,0))</f>
        <v>#REF!</v>
      </c>
      <c r="I66" s="100" t="e">
        <f t="shared" si="5"/>
        <v>#REF!</v>
      </c>
      <c r="J66" s="80" t="s">
        <v>24</v>
      </c>
      <c r="K66" s="90" t="e">
        <f>INDEX(Tree!#REF!,MATCH($J66,Tree!#REF!,0))</f>
        <v>#REF!</v>
      </c>
      <c r="L66" s="104" t="e">
        <f t="shared" si="11"/>
        <v>#REF!</v>
      </c>
      <c r="M66" s="90" t="e">
        <f>Tree!#REF!</f>
        <v>#REF!</v>
      </c>
      <c r="N66" s="102" t="e">
        <f t="shared" si="10"/>
        <v>#REF!</v>
      </c>
      <c r="O66" s="90" t="s">
        <v>28</v>
      </c>
      <c r="P66" s="90" t="e">
        <f>INDEX(Tree!#REF!,MATCH($O66,Tree!#REF!,0)+MATCH(Tree!#REF!,Tree!#REF!,0)-1)</f>
        <v>#REF!</v>
      </c>
      <c r="Q66" s="104" t="e">
        <f t="shared" si="6"/>
        <v>#REF!</v>
      </c>
      <c r="R66" s="119" t="e">
        <f>Tree!#REF!</f>
        <v>#REF!</v>
      </c>
      <c r="S66" s="102" t="e">
        <f t="shared" si="7"/>
        <v>#REF!</v>
      </c>
      <c r="T66" s="80" t="s">
        <v>33</v>
      </c>
      <c r="U66" s="80" t="e">
        <f>Tree!#REF!</f>
        <v>#REF!</v>
      </c>
      <c r="V66" s="80"/>
      <c r="W66" s="104" t="e">
        <f>S66*U66</f>
        <v>#REF!</v>
      </c>
      <c r="X66" s="119" t="e">
        <f>Tree!#REF!</f>
        <v>#REF!</v>
      </c>
      <c r="Y66" s="102" t="e">
        <f t="shared" si="2"/>
        <v>#REF!</v>
      </c>
      <c r="Z66" s="80" t="s">
        <v>117</v>
      </c>
      <c r="AA66" s="80" t="e">
        <f>Tree!#REF!</f>
        <v>#REF!</v>
      </c>
      <c r="AB66" s="80"/>
      <c r="AC66" s="91" t="e">
        <f t="shared" si="8"/>
        <v>#REF!</v>
      </c>
      <c r="AD66" s="80" t="e">
        <f t="shared" si="9"/>
        <v>#REF!</v>
      </c>
    </row>
    <row r="67" spans="3:30" x14ac:dyDescent="0.25">
      <c r="C67" s="121" t="e">
        <f>Tree!#REF!</f>
        <v>#REF!</v>
      </c>
      <c r="D67" s="41" t="e">
        <f>Tree!#REF!</f>
        <v>#REF!</v>
      </c>
      <c r="E67" s="122" t="e">
        <f t="shared" si="3"/>
        <v>#REF!</v>
      </c>
      <c r="F67" s="41" t="e">
        <f>Tree!#REF!</f>
        <v>#REF!</v>
      </c>
      <c r="G67" s="122" t="e">
        <f t="shared" si="4"/>
        <v>#REF!</v>
      </c>
      <c r="H67" s="79" t="e">
        <f>INDEX(Tree!#REF!,MATCH($J67,Tree!#REF!,0))</f>
        <v>#REF!</v>
      </c>
      <c r="I67" s="100" t="e">
        <f t="shared" si="5"/>
        <v>#REF!</v>
      </c>
      <c r="J67" s="80" t="s">
        <v>24</v>
      </c>
      <c r="K67" s="90" t="e">
        <f>INDEX(Tree!#REF!,MATCH($J67,Tree!#REF!,0))</f>
        <v>#REF!</v>
      </c>
      <c r="L67" s="104" t="e">
        <f t="shared" si="11"/>
        <v>#REF!</v>
      </c>
      <c r="M67" s="90" t="e">
        <f>Tree!#REF!</f>
        <v>#REF!</v>
      </c>
      <c r="N67" s="102" t="e">
        <f t="shared" si="10"/>
        <v>#REF!</v>
      </c>
      <c r="O67" s="90" t="s">
        <v>28</v>
      </c>
      <c r="P67" s="90" t="e">
        <f>INDEX(Tree!#REF!,MATCH($O67,Tree!#REF!,0)+MATCH(Tree!#REF!,Tree!#REF!,0)-1)</f>
        <v>#REF!</v>
      </c>
      <c r="Q67" s="104" t="e">
        <f t="shared" si="6"/>
        <v>#REF!</v>
      </c>
      <c r="R67" s="119" t="e">
        <f>Tree!#REF!</f>
        <v>#REF!</v>
      </c>
      <c r="S67" s="102" t="e">
        <f t="shared" si="7"/>
        <v>#REF!</v>
      </c>
      <c r="T67" s="80" t="s">
        <v>33</v>
      </c>
      <c r="U67" s="80" t="e">
        <f>Tree!#REF!</f>
        <v>#REF!</v>
      </c>
      <c r="V67" s="80"/>
      <c r="W67" s="104" t="e">
        <f>S67*U67</f>
        <v>#REF!</v>
      </c>
      <c r="X67" s="119" t="e">
        <f>Tree!#REF!</f>
        <v>#REF!</v>
      </c>
      <c r="Y67" s="102" t="e">
        <f t="shared" si="2"/>
        <v>#REF!</v>
      </c>
      <c r="Z67" s="80" t="s">
        <v>52</v>
      </c>
      <c r="AA67" s="80"/>
      <c r="AB67" s="80" t="e">
        <f>Tree!#REF!</f>
        <v>#REF!</v>
      </c>
      <c r="AC67" s="91" t="e">
        <f t="shared" si="8"/>
        <v>#REF!</v>
      </c>
      <c r="AD67" s="80" t="e">
        <f t="shared" si="9"/>
        <v>#REF!</v>
      </c>
    </row>
    <row r="68" spans="3:30" x14ac:dyDescent="0.25">
      <c r="C68" s="121" t="e">
        <f>Tree!#REF!</f>
        <v>#REF!</v>
      </c>
      <c r="D68" s="41" t="e">
        <f>Tree!#REF!</f>
        <v>#REF!</v>
      </c>
      <c r="E68" s="122" t="e">
        <f t="shared" si="3"/>
        <v>#REF!</v>
      </c>
      <c r="F68" s="41" t="e">
        <f>Tree!#REF!</f>
        <v>#REF!</v>
      </c>
      <c r="G68" s="122" t="e">
        <f t="shared" si="4"/>
        <v>#REF!</v>
      </c>
      <c r="H68" s="79" t="e">
        <f>INDEX(Tree!#REF!,MATCH($J68,Tree!#REF!,0))</f>
        <v>#REF!</v>
      </c>
      <c r="I68" s="100" t="e">
        <f t="shared" si="5"/>
        <v>#REF!</v>
      </c>
      <c r="J68" s="80" t="s">
        <v>24</v>
      </c>
      <c r="K68" s="90" t="e">
        <f>INDEX(Tree!#REF!,MATCH($J68,Tree!#REF!,0))</f>
        <v>#REF!</v>
      </c>
      <c r="L68" s="104" t="e">
        <f t="shared" ref="L68:L99" si="12">K68*I68</f>
        <v>#REF!</v>
      </c>
      <c r="M68" s="90" t="e">
        <f>Tree!#REF!</f>
        <v>#REF!</v>
      </c>
      <c r="N68" s="102" t="e">
        <f t="shared" si="10"/>
        <v>#REF!</v>
      </c>
      <c r="O68" s="90" t="s">
        <v>28</v>
      </c>
      <c r="P68" s="90" t="e">
        <f>INDEX(Tree!#REF!,MATCH($O68,Tree!#REF!,0)+MATCH(Tree!#REF!,Tree!#REF!,0)-1)</f>
        <v>#REF!</v>
      </c>
      <c r="Q68" s="104" t="e">
        <f t="shared" si="6"/>
        <v>#REF!</v>
      </c>
      <c r="R68" s="119" t="e">
        <f>Tree!#REF!</f>
        <v>#REF!</v>
      </c>
      <c r="S68" s="102" t="e">
        <f t="shared" si="7"/>
        <v>#REF!</v>
      </c>
      <c r="T68" s="80" t="s">
        <v>33</v>
      </c>
      <c r="U68" s="80" t="e">
        <f>Tree!#REF!</f>
        <v>#REF!</v>
      </c>
      <c r="V68" s="80"/>
      <c r="W68" s="104" t="e">
        <f>S68*U68</f>
        <v>#REF!</v>
      </c>
      <c r="X68" s="119" t="e">
        <f>Tree!#REF!</f>
        <v>#REF!</v>
      </c>
      <c r="Y68" s="102" t="e">
        <f t="shared" ref="Y68:Y103" si="13">W68*X68</f>
        <v>#REF!</v>
      </c>
      <c r="Z68" s="80" t="s">
        <v>53</v>
      </c>
      <c r="AA68" s="80"/>
      <c r="AB68" s="80" t="e">
        <f>Tree!#REF!</f>
        <v>#REF!</v>
      </c>
      <c r="AC68" s="91" t="e">
        <f t="shared" si="8"/>
        <v>#REF!</v>
      </c>
      <c r="AD68" s="80" t="e">
        <f t="shared" si="9"/>
        <v>#REF!</v>
      </c>
    </row>
    <row r="69" spans="3:30" x14ac:dyDescent="0.25">
      <c r="C69" s="121" t="e">
        <f>Tree!#REF!</f>
        <v>#REF!</v>
      </c>
      <c r="D69" s="41" t="e">
        <f>Tree!#REF!</f>
        <v>#REF!</v>
      </c>
      <c r="E69" s="122" t="e">
        <f t="shared" ref="E69:E103" si="14">D69*C69</f>
        <v>#REF!</v>
      </c>
      <c r="F69" s="41" t="e">
        <f>Tree!#REF!</f>
        <v>#REF!</v>
      </c>
      <c r="G69" s="122" t="e">
        <f t="shared" ref="G69:G103" si="15">F69*E69</f>
        <v>#REF!</v>
      </c>
      <c r="H69" s="79" t="e">
        <f>INDEX(Tree!#REF!,MATCH($J69,Tree!#REF!,0))</f>
        <v>#REF!</v>
      </c>
      <c r="I69" s="100" t="e">
        <f t="shared" ref="I69:I103" si="16">G69*H69</f>
        <v>#REF!</v>
      </c>
      <c r="J69" s="80" t="s">
        <v>24</v>
      </c>
      <c r="K69" s="90" t="e">
        <f>INDEX(Tree!#REF!,MATCH($J69,Tree!#REF!,0))</f>
        <v>#REF!</v>
      </c>
      <c r="L69" s="104" t="e">
        <f t="shared" si="12"/>
        <v>#REF!</v>
      </c>
      <c r="M69" s="90" t="e">
        <f>Tree!#REF!</f>
        <v>#REF!</v>
      </c>
      <c r="N69" s="102" t="e">
        <f t="shared" si="10"/>
        <v>#REF!</v>
      </c>
      <c r="O69" s="90" t="s">
        <v>30</v>
      </c>
      <c r="P69" s="90" t="e">
        <f>INDEX(Tree!#REF!,MATCH($O69,Tree!#REF!,0)+MATCH(Tree!#REF!,Tree!#REF!,0)-1)</f>
        <v>#REF!</v>
      </c>
      <c r="Q69" s="104" t="e">
        <f t="shared" ref="Q69:Q103" si="17">N69*P69</f>
        <v>#REF!</v>
      </c>
      <c r="R69" s="119" t="e">
        <f>Tree!#REF!</f>
        <v>#REF!</v>
      </c>
      <c r="S69" s="102" t="e">
        <f t="shared" ref="S69:S103" si="18">Q69*R69</f>
        <v>#REF!</v>
      </c>
      <c r="T69" s="80" t="s">
        <v>32</v>
      </c>
      <c r="U69" s="80"/>
      <c r="V69" s="80" t="e">
        <f>Tree!#REF!</f>
        <v>#REF!</v>
      </c>
      <c r="W69" s="104"/>
      <c r="X69" s="119"/>
      <c r="Y69" s="102">
        <f t="shared" si="13"/>
        <v>0</v>
      </c>
      <c r="Z69" s="80"/>
      <c r="AA69" s="80"/>
      <c r="AB69" s="80"/>
      <c r="AC69" s="91" t="e">
        <f t="shared" ref="AC69:AC103" si="19">V69*S69+AA69*Y69</f>
        <v>#REF!</v>
      </c>
      <c r="AD69" s="80">
        <f t="shared" ref="AD69:AD103" si="20">AB69*Y69</f>
        <v>0</v>
      </c>
    </row>
    <row r="70" spans="3:30" x14ac:dyDescent="0.25">
      <c r="C70" s="121" t="e">
        <f>Tree!#REF!</f>
        <v>#REF!</v>
      </c>
      <c r="D70" s="41" t="e">
        <f>Tree!#REF!</f>
        <v>#REF!</v>
      </c>
      <c r="E70" s="122" t="e">
        <f t="shared" si="14"/>
        <v>#REF!</v>
      </c>
      <c r="F70" s="41" t="e">
        <f>Tree!#REF!</f>
        <v>#REF!</v>
      </c>
      <c r="G70" s="122" t="e">
        <f t="shared" si="15"/>
        <v>#REF!</v>
      </c>
      <c r="H70" s="79" t="e">
        <f>INDEX(Tree!#REF!,MATCH($J70,Tree!#REF!,0))</f>
        <v>#REF!</v>
      </c>
      <c r="I70" s="100" t="e">
        <f t="shared" si="16"/>
        <v>#REF!</v>
      </c>
      <c r="J70" s="80" t="s">
        <v>24</v>
      </c>
      <c r="K70" s="90" t="e">
        <f>INDEX(Tree!#REF!,MATCH($J70,Tree!#REF!,0))</f>
        <v>#REF!</v>
      </c>
      <c r="L70" s="104" t="e">
        <f t="shared" si="12"/>
        <v>#REF!</v>
      </c>
      <c r="M70" s="90" t="e">
        <f>Tree!#REF!</f>
        <v>#REF!</v>
      </c>
      <c r="N70" s="102" t="e">
        <f t="shared" si="10"/>
        <v>#REF!</v>
      </c>
      <c r="O70" s="90" t="s">
        <v>30</v>
      </c>
      <c r="P70" s="90" t="e">
        <f>INDEX(Tree!#REF!,MATCH($O70,Tree!#REF!,0)+MATCH(Tree!#REF!,Tree!#REF!,0)-1)</f>
        <v>#REF!</v>
      </c>
      <c r="Q70" s="104" t="e">
        <f t="shared" si="17"/>
        <v>#REF!</v>
      </c>
      <c r="R70" s="119" t="e">
        <f>Tree!#REF!</f>
        <v>#REF!</v>
      </c>
      <c r="S70" s="102" t="e">
        <f t="shared" si="18"/>
        <v>#REF!</v>
      </c>
      <c r="T70" s="80" t="s">
        <v>33</v>
      </c>
      <c r="U70" s="80" t="e">
        <f>Tree!#REF!</f>
        <v>#REF!</v>
      </c>
      <c r="V70" s="80"/>
      <c r="W70" s="104" t="e">
        <f>S70*U70</f>
        <v>#REF!</v>
      </c>
      <c r="X70" s="119" t="e">
        <f>Tree!#REF!</f>
        <v>#REF!</v>
      </c>
      <c r="Y70" s="102" t="e">
        <f t="shared" si="13"/>
        <v>#REF!</v>
      </c>
      <c r="Z70" s="80" t="s">
        <v>54</v>
      </c>
      <c r="AA70" s="80" t="e">
        <f>Tree!#REF!</f>
        <v>#REF!</v>
      </c>
      <c r="AB70" s="80"/>
      <c r="AC70" s="91" t="e">
        <f t="shared" si="19"/>
        <v>#REF!</v>
      </c>
      <c r="AD70" s="80" t="e">
        <f t="shared" si="20"/>
        <v>#REF!</v>
      </c>
    </row>
    <row r="71" spans="3:30" x14ac:dyDescent="0.25">
      <c r="C71" s="121" t="e">
        <f>Tree!#REF!</f>
        <v>#REF!</v>
      </c>
      <c r="D71" s="41" t="e">
        <f>Tree!#REF!</f>
        <v>#REF!</v>
      </c>
      <c r="E71" s="122" t="e">
        <f t="shared" si="14"/>
        <v>#REF!</v>
      </c>
      <c r="F71" s="41" t="e">
        <f>Tree!#REF!</f>
        <v>#REF!</v>
      </c>
      <c r="G71" s="122" t="e">
        <f t="shared" si="15"/>
        <v>#REF!</v>
      </c>
      <c r="H71" s="79" t="e">
        <f>INDEX(Tree!#REF!,MATCH($J71,Tree!#REF!,0))</f>
        <v>#REF!</v>
      </c>
      <c r="I71" s="100" t="e">
        <f t="shared" si="16"/>
        <v>#REF!</v>
      </c>
      <c r="J71" s="80" t="s">
        <v>24</v>
      </c>
      <c r="K71" s="90" t="e">
        <f>INDEX(Tree!#REF!,MATCH($J71,Tree!#REF!,0))</f>
        <v>#REF!</v>
      </c>
      <c r="L71" s="104" t="e">
        <f t="shared" si="12"/>
        <v>#REF!</v>
      </c>
      <c r="M71" s="90" t="e">
        <f>Tree!#REF!</f>
        <v>#REF!</v>
      </c>
      <c r="N71" s="102" t="e">
        <f t="shared" si="10"/>
        <v>#REF!</v>
      </c>
      <c r="O71" s="90" t="s">
        <v>30</v>
      </c>
      <c r="P71" s="90" t="e">
        <f>INDEX(Tree!#REF!,MATCH($O71,Tree!#REF!,0)+MATCH(Tree!#REF!,Tree!#REF!,0)-1)</f>
        <v>#REF!</v>
      </c>
      <c r="Q71" s="104" t="e">
        <f t="shared" si="17"/>
        <v>#REF!</v>
      </c>
      <c r="R71" s="119" t="e">
        <f>Tree!#REF!</f>
        <v>#REF!</v>
      </c>
      <c r="S71" s="102" t="e">
        <f t="shared" si="18"/>
        <v>#REF!</v>
      </c>
      <c r="T71" s="80" t="s">
        <v>33</v>
      </c>
      <c r="U71" s="80" t="e">
        <f>Tree!#REF!</f>
        <v>#REF!</v>
      </c>
      <c r="V71" s="80"/>
      <c r="W71" s="104" t="e">
        <f>S71*U71</f>
        <v>#REF!</v>
      </c>
      <c r="X71" s="119" t="e">
        <f>Tree!#REF!</f>
        <v>#REF!</v>
      </c>
      <c r="Y71" s="102" t="e">
        <f t="shared" si="13"/>
        <v>#REF!</v>
      </c>
      <c r="Z71" s="80" t="s">
        <v>117</v>
      </c>
      <c r="AA71" s="80" t="e">
        <f>Tree!#REF!</f>
        <v>#REF!</v>
      </c>
      <c r="AB71" s="80"/>
      <c r="AC71" s="91" t="e">
        <f t="shared" si="19"/>
        <v>#REF!</v>
      </c>
      <c r="AD71" s="80" t="e">
        <f t="shared" si="20"/>
        <v>#REF!</v>
      </c>
    </row>
    <row r="72" spans="3:30" x14ac:dyDescent="0.25">
      <c r="C72" s="121" t="e">
        <f>Tree!#REF!</f>
        <v>#REF!</v>
      </c>
      <c r="D72" s="41" t="e">
        <f>Tree!#REF!</f>
        <v>#REF!</v>
      </c>
      <c r="E72" s="122" t="e">
        <f t="shared" si="14"/>
        <v>#REF!</v>
      </c>
      <c r="F72" s="41" t="e">
        <f>Tree!#REF!</f>
        <v>#REF!</v>
      </c>
      <c r="G72" s="122" t="e">
        <f t="shared" si="15"/>
        <v>#REF!</v>
      </c>
      <c r="H72" s="79" t="e">
        <f>INDEX(Tree!#REF!,MATCH($J72,Tree!#REF!,0))</f>
        <v>#REF!</v>
      </c>
      <c r="I72" s="100" t="e">
        <f t="shared" si="16"/>
        <v>#REF!</v>
      </c>
      <c r="J72" s="80" t="s">
        <v>24</v>
      </c>
      <c r="K72" s="90" t="e">
        <f>INDEX(Tree!#REF!,MATCH($J72,Tree!#REF!,0))</f>
        <v>#REF!</v>
      </c>
      <c r="L72" s="104" t="e">
        <f t="shared" si="12"/>
        <v>#REF!</v>
      </c>
      <c r="M72" s="90" t="e">
        <f>Tree!#REF!</f>
        <v>#REF!</v>
      </c>
      <c r="N72" s="102" t="e">
        <f t="shared" si="10"/>
        <v>#REF!</v>
      </c>
      <c r="O72" s="90" t="s">
        <v>30</v>
      </c>
      <c r="P72" s="90" t="e">
        <f>INDEX(Tree!#REF!,MATCH($O72,Tree!#REF!,0)+MATCH(Tree!#REF!,Tree!#REF!,0)-1)</f>
        <v>#REF!</v>
      </c>
      <c r="Q72" s="104" t="e">
        <f t="shared" si="17"/>
        <v>#REF!</v>
      </c>
      <c r="R72" s="119" t="e">
        <f>Tree!#REF!</f>
        <v>#REF!</v>
      </c>
      <c r="S72" s="102" t="e">
        <f t="shared" si="18"/>
        <v>#REF!</v>
      </c>
      <c r="T72" s="80" t="s">
        <v>33</v>
      </c>
      <c r="U72" s="80" t="e">
        <f>Tree!#REF!</f>
        <v>#REF!</v>
      </c>
      <c r="V72" s="80"/>
      <c r="W72" s="104" t="e">
        <f>S72*U72</f>
        <v>#REF!</v>
      </c>
      <c r="X72" s="119" t="e">
        <f>Tree!#REF!</f>
        <v>#REF!</v>
      </c>
      <c r="Y72" s="102" t="e">
        <f t="shared" si="13"/>
        <v>#REF!</v>
      </c>
      <c r="Z72" s="80" t="s">
        <v>52</v>
      </c>
      <c r="AA72" s="80"/>
      <c r="AB72" s="80" t="e">
        <f>Tree!#REF!</f>
        <v>#REF!</v>
      </c>
      <c r="AC72" s="91" t="e">
        <f t="shared" si="19"/>
        <v>#REF!</v>
      </c>
      <c r="AD72" s="80" t="e">
        <f t="shared" si="20"/>
        <v>#REF!</v>
      </c>
    </row>
    <row r="73" spans="3:30" x14ac:dyDescent="0.25">
      <c r="C73" s="121" t="e">
        <f>Tree!#REF!</f>
        <v>#REF!</v>
      </c>
      <c r="D73" s="41" t="e">
        <f>Tree!#REF!</f>
        <v>#REF!</v>
      </c>
      <c r="E73" s="122" t="e">
        <f t="shared" si="14"/>
        <v>#REF!</v>
      </c>
      <c r="F73" s="41" t="e">
        <f>Tree!#REF!</f>
        <v>#REF!</v>
      </c>
      <c r="G73" s="122" t="e">
        <f t="shared" si="15"/>
        <v>#REF!</v>
      </c>
      <c r="H73" s="79" t="e">
        <f>INDEX(Tree!#REF!,MATCH($J73,Tree!#REF!,0))</f>
        <v>#REF!</v>
      </c>
      <c r="I73" s="100" t="e">
        <f t="shared" si="16"/>
        <v>#REF!</v>
      </c>
      <c r="J73" s="80" t="s">
        <v>24</v>
      </c>
      <c r="K73" s="90" t="e">
        <f>INDEX(Tree!#REF!,MATCH($J73,Tree!#REF!,0))</f>
        <v>#REF!</v>
      </c>
      <c r="L73" s="104" t="e">
        <f t="shared" si="12"/>
        <v>#REF!</v>
      </c>
      <c r="M73" s="90" t="e">
        <f>Tree!#REF!</f>
        <v>#REF!</v>
      </c>
      <c r="N73" s="102" t="e">
        <f t="shared" si="10"/>
        <v>#REF!</v>
      </c>
      <c r="O73" s="90" t="s">
        <v>30</v>
      </c>
      <c r="P73" s="90" t="e">
        <f>INDEX(Tree!#REF!,MATCH($O73,Tree!#REF!,0)+MATCH(Tree!#REF!,Tree!#REF!,0)-1)</f>
        <v>#REF!</v>
      </c>
      <c r="Q73" s="104" t="e">
        <f t="shared" si="17"/>
        <v>#REF!</v>
      </c>
      <c r="R73" s="119" t="e">
        <f>Tree!#REF!</f>
        <v>#REF!</v>
      </c>
      <c r="S73" s="102" t="e">
        <f t="shared" si="18"/>
        <v>#REF!</v>
      </c>
      <c r="T73" s="80" t="s">
        <v>33</v>
      </c>
      <c r="U73" s="80" t="e">
        <f>Tree!#REF!</f>
        <v>#REF!</v>
      </c>
      <c r="V73" s="80"/>
      <c r="W73" s="104" t="e">
        <f>S73*U73</f>
        <v>#REF!</v>
      </c>
      <c r="X73" s="119" t="e">
        <f>Tree!#REF!</f>
        <v>#REF!</v>
      </c>
      <c r="Y73" s="102" t="e">
        <f t="shared" si="13"/>
        <v>#REF!</v>
      </c>
      <c r="Z73" s="80" t="s">
        <v>53</v>
      </c>
      <c r="AA73" s="80"/>
      <c r="AB73" s="80" t="e">
        <f>Tree!#REF!</f>
        <v>#REF!</v>
      </c>
      <c r="AC73" s="91" t="e">
        <f t="shared" si="19"/>
        <v>#REF!</v>
      </c>
      <c r="AD73" s="80" t="e">
        <f t="shared" si="20"/>
        <v>#REF!</v>
      </c>
    </row>
    <row r="74" spans="3:30" x14ac:dyDescent="0.25">
      <c r="C74" s="121" t="e">
        <f>Tree!#REF!</f>
        <v>#REF!</v>
      </c>
      <c r="D74" s="41" t="e">
        <f>Tree!#REF!</f>
        <v>#REF!</v>
      </c>
      <c r="E74" s="122" t="e">
        <f t="shared" si="14"/>
        <v>#REF!</v>
      </c>
      <c r="F74" s="41" t="e">
        <f>Tree!#REF!</f>
        <v>#REF!</v>
      </c>
      <c r="G74" s="122" t="e">
        <f t="shared" si="15"/>
        <v>#REF!</v>
      </c>
      <c r="H74" s="79" t="e">
        <f>INDEX(Tree!#REF!,MATCH($J74,Tree!#REF!,0))</f>
        <v>#REF!</v>
      </c>
      <c r="I74" s="100" t="e">
        <f t="shared" si="16"/>
        <v>#REF!</v>
      </c>
      <c r="J74" s="80" t="s">
        <v>24</v>
      </c>
      <c r="K74" s="90" t="e">
        <f>INDEX(Tree!#REF!,MATCH($J74,Tree!#REF!,0))</f>
        <v>#REF!</v>
      </c>
      <c r="L74" s="104" t="e">
        <f t="shared" si="12"/>
        <v>#REF!</v>
      </c>
      <c r="M74" s="90" t="e">
        <f>Tree!#REF!</f>
        <v>#REF!</v>
      </c>
      <c r="N74" s="102" t="e">
        <f t="shared" ref="N74:N103" si="21">L74*M74</f>
        <v>#REF!</v>
      </c>
      <c r="O74" s="90" t="s">
        <v>29</v>
      </c>
      <c r="P74" s="90" t="e">
        <f>INDEX(Tree!#REF!,MATCH($O74,Tree!#REF!,0)+MATCH(Tree!#REF!,Tree!#REF!,0)-1)</f>
        <v>#REF!</v>
      </c>
      <c r="Q74" s="104" t="e">
        <f t="shared" si="17"/>
        <v>#REF!</v>
      </c>
      <c r="R74" s="119" t="e">
        <f>Tree!#REF!</f>
        <v>#REF!</v>
      </c>
      <c r="S74" s="102" t="e">
        <f t="shared" si="18"/>
        <v>#REF!</v>
      </c>
      <c r="T74" s="80" t="s">
        <v>32</v>
      </c>
      <c r="U74" s="80"/>
      <c r="V74" s="80" t="e">
        <f>Tree!#REF!</f>
        <v>#REF!</v>
      </c>
      <c r="W74" s="104"/>
      <c r="X74" s="119"/>
      <c r="Y74" s="102">
        <f t="shared" si="13"/>
        <v>0</v>
      </c>
      <c r="Z74" s="80"/>
      <c r="AA74" s="80"/>
      <c r="AB74" s="80"/>
      <c r="AC74" s="91" t="e">
        <f t="shared" si="19"/>
        <v>#REF!</v>
      </c>
      <c r="AD74" s="80">
        <f t="shared" si="20"/>
        <v>0</v>
      </c>
    </row>
    <row r="75" spans="3:30" x14ac:dyDescent="0.25">
      <c r="C75" s="121" t="e">
        <f>Tree!#REF!</f>
        <v>#REF!</v>
      </c>
      <c r="D75" s="41" t="e">
        <f>Tree!#REF!</f>
        <v>#REF!</v>
      </c>
      <c r="E75" s="122" t="e">
        <f t="shared" si="14"/>
        <v>#REF!</v>
      </c>
      <c r="F75" s="41" t="e">
        <f>Tree!#REF!</f>
        <v>#REF!</v>
      </c>
      <c r="G75" s="122" t="e">
        <f t="shared" si="15"/>
        <v>#REF!</v>
      </c>
      <c r="H75" s="79" t="e">
        <f>INDEX(Tree!#REF!,MATCH($J75,Tree!#REF!,0))</f>
        <v>#REF!</v>
      </c>
      <c r="I75" s="100" t="e">
        <f t="shared" si="16"/>
        <v>#REF!</v>
      </c>
      <c r="J75" s="80" t="s">
        <v>24</v>
      </c>
      <c r="K75" s="90" t="e">
        <f>INDEX(Tree!#REF!,MATCH($J75,Tree!#REF!,0))</f>
        <v>#REF!</v>
      </c>
      <c r="L75" s="104" t="e">
        <f t="shared" si="12"/>
        <v>#REF!</v>
      </c>
      <c r="M75" s="90" t="e">
        <f>Tree!#REF!</f>
        <v>#REF!</v>
      </c>
      <c r="N75" s="102" t="e">
        <f t="shared" si="21"/>
        <v>#REF!</v>
      </c>
      <c r="O75" s="90" t="s">
        <v>29</v>
      </c>
      <c r="P75" s="90" t="e">
        <f>INDEX(Tree!#REF!,MATCH($O75,Tree!#REF!,0)+MATCH(Tree!#REF!,Tree!#REF!,0)-1)</f>
        <v>#REF!</v>
      </c>
      <c r="Q75" s="104" t="e">
        <f t="shared" si="17"/>
        <v>#REF!</v>
      </c>
      <c r="R75" s="119" t="e">
        <f>Tree!#REF!</f>
        <v>#REF!</v>
      </c>
      <c r="S75" s="102" t="e">
        <f t="shared" si="18"/>
        <v>#REF!</v>
      </c>
      <c r="T75" s="80" t="s">
        <v>33</v>
      </c>
      <c r="U75" s="80" t="e">
        <f>Tree!#REF!</f>
        <v>#REF!</v>
      </c>
      <c r="V75" s="80"/>
      <c r="W75" s="104" t="e">
        <f>S75*U75</f>
        <v>#REF!</v>
      </c>
      <c r="X75" s="119" t="e">
        <f>Tree!#REF!</f>
        <v>#REF!</v>
      </c>
      <c r="Y75" s="102" t="e">
        <f t="shared" si="13"/>
        <v>#REF!</v>
      </c>
      <c r="Z75" s="80" t="s">
        <v>54</v>
      </c>
      <c r="AA75" s="80" t="e">
        <f>Tree!#REF!</f>
        <v>#REF!</v>
      </c>
      <c r="AB75" s="80"/>
      <c r="AC75" s="91" t="e">
        <f t="shared" si="19"/>
        <v>#REF!</v>
      </c>
      <c r="AD75" s="80" t="e">
        <f t="shared" si="20"/>
        <v>#REF!</v>
      </c>
    </row>
    <row r="76" spans="3:30" x14ac:dyDescent="0.25">
      <c r="C76" s="121" t="e">
        <f>Tree!#REF!</f>
        <v>#REF!</v>
      </c>
      <c r="D76" s="41" t="e">
        <f>Tree!#REF!</f>
        <v>#REF!</v>
      </c>
      <c r="E76" s="122" t="e">
        <f t="shared" si="14"/>
        <v>#REF!</v>
      </c>
      <c r="F76" s="41" t="e">
        <f>Tree!#REF!</f>
        <v>#REF!</v>
      </c>
      <c r="G76" s="122" t="e">
        <f t="shared" si="15"/>
        <v>#REF!</v>
      </c>
      <c r="H76" s="79" t="e">
        <f>INDEX(Tree!#REF!,MATCH($J76,Tree!#REF!,0))</f>
        <v>#REF!</v>
      </c>
      <c r="I76" s="100" t="e">
        <f t="shared" si="16"/>
        <v>#REF!</v>
      </c>
      <c r="J76" s="80" t="s">
        <v>24</v>
      </c>
      <c r="K76" s="90" t="e">
        <f>INDEX(Tree!#REF!,MATCH($J76,Tree!#REF!,0))</f>
        <v>#REF!</v>
      </c>
      <c r="L76" s="104" t="e">
        <f t="shared" si="12"/>
        <v>#REF!</v>
      </c>
      <c r="M76" s="90" t="e">
        <f>Tree!#REF!</f>
        <v>#REF!</v>
      </c>
      <c r="N76" s="102" t="e">
        <f t="shared" si="21"/>
        <v>#REF!</v>
      </c>
      <c r="O76" s="90" t="s">
        <v>29</v>
      </c>
      <c r="P76" s="90" t="e">
        <f>INDEX(Tree!#REF!,MATCH($O76,Tree!#REF!,0)+MATCH(Tree!#REF!,Tree!#REF!,0)-1)</f>
        <v>#REF!</v>
      </c>
      <c r="Q76" s="104" t="e">
        <f t="shared" si="17"/>
        <v>#REF!</v>
      </c>
      <c r="R76" s="119" t="e">
        <f>Tree!#REF!</f>
        <v>#REF!</v>
      </c>
      <c r="S76" s="102" t="e">
        <f t="shared" si="18"/>
        <v>#REF!</v>
      </c>
      <c r="T76" s="80" t="s">
        <v>33</v>
      </c>
      <c r="U76" s="80" t="e">
        <f>Tree!#REF!</f>
        <v>#REF!</v>
      </c>
      <c r="V76" s="80"/>
      <c r="W76" s="104" t="e">
        <f>S76*U76</f>
        <v>#REF!</v>
      </c>
      <c r="X76" s="119" t="e">
        <f>Tree!#REF!</f>
        <v>#REF!</v>
      </c>
      <c r="Y76" s="102" t="e">
        <f t="shared" si="13"/>
        <v>#REF!</v>
      </c>
      <c r="Z76" s="80" t="s">
        <v>117</v>
      </c>
      <c r="AA76" s="80" t="e">
        <f>Tree!#REF!</f>
        <v>#REF!</v>
      </c>
      <c r="AB76" s="80"/>
      <c r="AC76" s="91" t="e">
        <f t="shared" si="19"/>
        <v>#REF!</v>
      </c>
      <c r="AD76" s="80" t="e">
        <f t="shared" si="20"/>
        <v>#REF!</v>
      </c>
    </row>
    <row r="77" spans="3:30" x14ac:dyDescent="0.25">
      <c r="C77" s="121" t="e">
        <f>Tree!#REF!</f>
        <v>#REF!</v>
      </c>
      <c r="D77" s="41" t="e">
        <f>Tree!#REF!</f>
        <v>#REF!</v>
      </c>
      <c r="E77" s="122" t="e">
        <f t="shared" si="14"/>
        <v>#REF!</v>
      </c>
      <c r="F77" s="41" t="e">
        <f>Tree!#REF!</f>
        <v>#REF!</v>
      </c>
      <c r="G77" s="122" t="e">
        <f t="shared" si="15"/>
        <v>#REF!</v>
      </c>
      <c r="H77" s="79" t="e">
        <f>INDEX(Tree!#REF!,MATCH($J77,Tree!#REF!,0))</f>
        <v>#REF!</v>
      </c>
      <c r="I77" s="100" t="e">
        <f t="shared" si="16"/>
        <v>#REF!</v>
      </c>
      <c r="J77" s="80" t="s">
        <v>24</v>
      </c>
      <c r="K77" s="90" t="e">
        <f>INDEX(Tree!#REF!,MATCH($J77,Tree!#REF!,0))</f>
        <v>#REF!</v>
      </c>
      <c r="L77" s="104" t="e">
        <f t="shared" si="12"/>
        <v>#REF!</v>
      </c>
      <c r="M77" s="90" t="e">
        <f>Tree!#REF!</f>
        <v>#REF!</v>
      </c>
      <c r="N77" s="102" t="e">
        <f t="shared" si="21"/>
        <v>#REF!</v>
      </c>
      <c r="O77" s="90" t="s">
        <v>29</v>
      </c>
      <c r="P77" s="90" t="e">
        <f>INDEX(Tree!#REF!,MATCH($O77,Tree!#REF!,0)+MATCH(Tree!#REF!,Tree!#REF!,0)-1)</f>
        <v>#REF!</v>
      </c>
      <c r="Q77" s="104" t="e">
        <f t="shared" si="17"/>
        <v>#REF!</v>
      </c>
      <c r="R77" s="119" t="e">
        <f>Tree!#REF!</f>
        <v>#REF!</v>
      </c>
      <c r="S77" s="102" t="e">
        <f t="shared" si="18"/>
        <v>#REF!</v>
      </c>
      <c r="T77" s="80" t="s">
        <v>33</v>
      </c>
      <c r="U77" s="80" t="e">
        <f>Tree!#REF!</f>
        <v>#REF!</v>
      </c>
      <c r="V77" s="80"/>
      <c r="W77" s="104" t="e">
        <f>S77*U77</f>
        <v>#REF!</v>
      </c>
      <c r="X77" s="119" t="e">
        <f>Tree!#REF!</f>
        <v>#REF!</v>
      </c>
      <c r="Y77" s="102" t="e">
        <f t="shared" si="13"/>
        <v>#REF!</v>
      </c>
      <c r="Z77" s="80" t="s">
        <v>52</v>
      </c>
      <c r="AA77" s="80"/>
      <c r="AB77" s="80" t="e">
        <f>Tree!#REF!</f>
        <v>#REF!</v>
      </c>
      <c r="AC77" s="91" t="e">
        <f t="shared" si="19"/>
        <v>#REF!</v>
      </c>
      <c r="AD77" s="80" t="e">
        <f t="shared" si="20"/>
        <v>#REF!</v>
      </c>
    </row>
    <row r="78" spans="3:30" x14ac:dyDescent="0.25">
      <c r="C78" s="121" t="e">
        <f>Tree!#REF!</f>
        <v>#REF!</v>
      </c>
      <c r="D78" s="41" t="e">
        <f>Tree!#REF!</f>
        <v>#REF!</v>
      </c>
      <c r="E78" s="122" t="e">
        <f t="shared" si="14"/>
        <v>#REF!</v>
      </c>
      <c r="F78" s="41" t="e">
        <f>Tree!#REF!</f>
        <v>#REF!</v>
      </c>
      <c r="G78" s="122" t="e">
        <f t="shared" si="15"/>
        <v>#REF!</v>
      </c>
      <c r="H78" s="79" t="e">
        <f>INDEX(Tree!#REF!,MATCH($J78,Tree!#REF!,0))</f>
        <v>#REF!</v>
      </c>
      <c r="I78" s="100" t="e">
        <f t="shared" si="16"/>
        <v>#REF!</v>
      </c>
      <c r="J78" s="80" t="s">
        <v>24</v>
      </c>
      <c r="K78" s="90" t="e">
        <f>INDEX(Tree!#REF!,MATCH($J78,Tree!#REF!,0))</f>
        <v>#REF!</v>
      </c>
      <c r="L78" s="104" t="e">
        <f t="shared" si="12"/>
        <v>#REF!</v>
      </c>
      <c r="M78" s="90" t="e">
        <f>Tree!#REF!</f>
        <v>#REF!</v>
      </c>
      <c r="N78" s="102" t="e">
        <f t="shared" si="21"/>
        <v>#REF!</v>
      </c>
      <c r="O78" s="90" t="s">
        <v>29</v>
      </c>
      <c r="P78" s="90" t="e">
        <f>INDEX(Tree!#REF!,MATCH($O78,Tree!#REF!,0)+MATCH(Tree!#REF!,Tree!#REF!,0)-1)</f>
        <v>#REF!</v>
      </c>
      <c r="Q78" s="104" t="e">
        <f t="shared" si="17"/>
        <v>#REF!</v>
      </c>
      <c r="R78" s="119" t="e">
        <f>Tree!#REF!</f>
        <v>#REF!</v>
      </c>
      <c r="S78" s="102" t="e">
        <f t="shared" si="18"/>
        <v>#REF!</v>
      </c>
      <c r="T78" s="80" t="s">
        <v>33</v>
      </c>
      <c r="U78" s="80" t="e">
        <f>Tree!#REF!</f>
        <v>#REF!</v>
      </c>
      <c r="V78" s="80"/>
      <c r="W78" s="104" t="e">
        <f>S78*U78</f>
        <v>#REF!</v>
      </c>
      <c r="X78" s="119" t="e">
        <f>Tree!#REF!</f>
        <v>#REF!</v>
      </c>
      <c r="Y78" s="102" t="e">
        <f t="shared" si="13"/>
        <v>#REF!</v>
      </c>
      <c r="Z78" s="80" t="s">
        <v>53</v>
      </c>
      <c r="AA78" s="80"/>
      <c r="AB78" s="80" t="e">
        <f>Tree!#REF!</f>
        <v>#REF!</v>
      </c>
      <c r="AC78" s="91" t="e">
        <f t="shared" si="19"/>
        <v>#REF!</v>
      </c>
      <c r="AD78" s="80" t="e">
        <f t="shared" si="20"/>
        <v>#REF!</v>
      </c>
    </row>
    <row r="79" spans="3:30" x14ac:dyDescent="0.25">
      <c r="C79" s="121" t="e">
        <f>Tree!#REF!</f>
        <v>#REF!</v>
      </c>
      <c r="D79" s="41" t="e">
        <f>Tree!#REF!</f>
        <v>#REF!</v>
      </c>
      <c r="E79" s="122" t="e">
        <f t="shared" si="14"/>
        <v>#REF!</v>
      </c>
      <c r="F79" s="41" t="e">
        <f>Tree!#REF!</f>
        <v>#REF!</v>
      </c>
      <c r="G79" s="122" t="e">
        <f t="shared" si="15"/>
        <v>#REF!</v>
      </c>
      <c r="H79" s="79" t="e">
        <f>INDEX(Tree!#REF!,MATCH($J79,Tree!#REF!,0))</f>
        <v>#REF!</v>
      </c>
      <c r="I79" s="100" t="e">
        <f t="shared" si="16"/>
        <v>#REF!</v>
      </c>
      <c r="J79" s="80" t="s">
        <v>23</v>
      </c>
      <c r="K79" s="90" t="e">
        <f>INDEX(Tree!#REF!,MATCH($J79,Tree!#REF!,0))</f>
        <v>#REF!</v>
      </c>
      <c r="L79" s="104" t="e">
        <f t="shared" si="12"/>
        <v>#REF!</v>
      </c>
      <c r="M79" s="90" t="e">
        <f>Tree!#REF!</f>
        <v>#REF!</v>
      </c>
      <c r="N79" s="102" t="e">
        <f t="shared" si="21"/>
        <v>#REF!</v>
      </c>
      <c r="O79" s="90" t="s">
        <v>31</v>
      </c>
      <c r="P79" s="90" t="e">
        <f>INDEX(Tree!#REF!,MATCH($O79,Tree!#REF!,0)+MATCH(Tree!#REF!,Tree!#REF!,0)-1)</f>
        <v>#REF!</v>
      </c>
      <c r="Q79" s="104" t="e">
        <f t="shared" si="17"/>
        <v>#REF!</v>
      </c>
      <c r="R79" s="119" t="e">
        <f>Tree!#REF!</f>
        <v>#REF!</v>
      </c>
      <c r="S79" s="102" t="e">
        <f t="shared" si="18"/>
        <v>#REF!</v>
      </c>
      <c r="T79" s="80" t="s">
        <v>32</v>
      </c>
      <c r="U79" s="80"/>
      <c r="V79" s="80" t="e">
        <f>Tree!#REF!</f>
        <v>#REF!</v>
      </c>
      <c r="W79" s="104"/>
      <c r="X79" s="119"/>
      <c r="Y79" s="102">
        <f t="shared" si="13"/>
        <v>0</v>
      </c>
      <c r="Z79" s="80"/>
      <c r="AA79" s="80"/>
      <c r="AB79" s="80"/>
      <c r="AC79" s="91" t="e">
        <f t="shared" si="19"/>
        <v>#REF!</v>
      </c>
      <c r="AD79" s="80">
        <f t="shared" si="20"/>
        <v>0</v>
      </c>
    </row>
    <row r="80" spans="3:30" x14ac:dyDescent="0.25">
      <c r="C80" s="121" t="e">
        <f>Tree!#REF!</f>
        <v>#REF!</v>
      </c>
      <c r="D80" s="41" t="e">
        <f>Tree!#REF!</f>
        <v>#REF!</v>
      </c>
      <c r="E80" s="122" t="e">
        <f t="shared" si="14"/>
        <v>#REF!</v>
      </c>
      <c r="F80" s="41" t="e">
        <f>Tree!#REF!</f>
        <v>#REF!</v>
      </c>
      <c r="G80" s="122" t="e">
        <f t="shared" si="15"/>
        <v>#REF!</v>
      </c>
      <c r="H80" s="79" t="e">
        <f>INDEX(Tree!#REF!,MATCH($J80,Tree!#REF!,0))</f>
        <v>#REF!</v>
      </c>
      <c r="I80" s="100" t="e">
        <f t="shared" si="16"/>
        <v>#REF!</v>
      </c>
      <c r="J80" s="80" t="s">
        <v>23</v>
      </c>
      <c r="K80" s="90" t="e">
        <f>INDEX(Tree!#REF!,MATCH($J80,Tree!#REF!,0))</f>
        <v>#REF!</v>
      </c>
      <c r="L80" s="104" t="e">
        <f t="shared" si="12"/>
        <v>#REF!</v>
      </c>
      <c r="M80" s="90" t="e">
        <f>Tree!#REF!</f>
        <v>#REF!</v>
      </c>
      <c r="N80" s="102" t="e">
        <f t="shared" si="21"/>
        <v>#REF!</v>
      </c>
      <c r="O80" s="90" t="s">
        <v>31</v>
      </c>
      <c r="P80" s="90" t="e">
        <f>INDEX(Tree!#REF!,MATCH($O80,Tree!#REF!,0)+MATCH(Tree!#REF!,Tree!#REF!,0)-1)</f>
        <v>#REF!</v>
      </c>
      <c r="Q80" s="104" t="e">
        <f t="shared" si="17"/>
        <v>#REF!</v>
      </c>
      <c r="R80" s="119" t="e">
        <f>Tree!#REF!</f>
        <v>#REF!</v>
      </c>
      <c r="S80" s="102" t="e">
        <f t="shared" si="18"/>
        <v>#REF!</v>
      </c>
      <c r="T80" s="80" t="s">
        <v>33</v>
      </c>
      <c r="U80" s="80" t="e">
        <f>Tree!#REF!</f>
        <v>#REF!</v>
      </c>
      <c r="V80" s="80"/>
      <c r="W80" s="104" t="e">
        <f>S80*U80</f>
        <v>#REF!</v>
      </c>
      <c r="X80" s="119" t="e">
        <f>Tree!#REF!</f>
        <v>#REF!</v>
      </c>
      <c r="Y80" s="102" t="e">
        <f t="shared" si="13"/>
        <v>#REF!</v>
      </c>
      <c r="Z80" s="80" t="s">
        <v>54</v>
      </c>
      <c r="AA80" s="80" t="e">
        <f>Tree!#REF!</f>
        <v>#REF!</v>
      </c>
      <c r="AB80" s="80"/>
      <c r="AC80" s="91" t="e">
        <f t="shared" si="19"/>
        <v>#REF!</v>
      </c>
      <c r="AD80" s="80" t="e">
        <f t="shared" si="20"/>
        <v>#REF!</v>
      </c>
    </row>
    <row r="81" spans="3:30" x14ac:dyDescent="0.25">
      <c r="C81" s="121" t="e">
        <f>Tree!#REF!</f>
        <v>#REF!</v>
      </c>
      <c r="D81" s="41" t="e">
        <f>Tree!#REF!</f>
        <v>#REF!</v>
      </c>
      <c r="E81" s="122" t="e">
        <f t="shared" si="14"/>
        <v>#REF!</v>
      </c>
      <c r="F81" s="41" t="e">
        <f>Tree!#REF!</f>
        <v>#REF!</v>
      </c>
      <c r="G81" s="122" t="e">
        <f t="shared" si="15"/>
        <v>#REF!</v>
      </c>
      <c r="H81" s="79" t="e">
        <f>INDEX(Tree!#REF!,MATCH($J81,Tree!#REF!,0))</f>
        <v>#REF!</v>
      </c>
      <c r="I81" s="100" t="e">
        <f t="shared" si="16"/>
        <v>#REF!</v>
      </c>
      <c r="J81" s="80" t="s">
        <v>23</v>
      </c>
      <c r="K81" s="90" t="e">
        <f>INDEX(Tree!#REF!,MATCH($J81,Tree!#REF!,0))</f>
        <v>#REF!</v>
      </c>
      <c r="L81" s="104" t="e">
        <f t="shared" si="12"/>
        <v>#REF!</v>
      </c>
      <c r="M81" s="90" t="e">
        <f>Tree!#REF!</f>
        <v>#REF!</v>
      </c>
      <c r="N81" s="102" t="e">
        <f t="shared" si="21"/>
        <v>#REF!</v>
      </c>
      <c r="O81" s="90" t="s">
        <v>31</v>
      </c>
      <c r="P81" s="90" t="e">
        <f>INDEX(Tree!#REF!,MATCH($O81,Tree!#REF!,0)+MATCH(Tree!#REF!,Tree!#REF!,0)-1)</f>
        <v>#REF!</v>
      </c>
      <c r="Q81" s="104" t="e">
        <f t="shared" si="17"/>
        <v>#REF!</v>
      </c>
      <c r="R81" s="119" t="e">
        <f>Tree!#REF!</f>
        <v>#REF!</v>
      </c>
      <c r="S81" s="102" t="e">
        <f t="shared" si="18"/>
        <v>#REF!</v>
      </c>
      <c r="T81" s="80" t="s">
        <v>33</v>
      </c>
      <c r="U81" s="80" t="e">
        <f>Tree!#REF!</f>
        <v>#REF!</v>
      </c>
      <c r="V81" s="80"/>
      <c r="W81" s="104" t="e">
        <f>S81*U81</f>
        <v>#REF!</v>
      </c>
      <c r="X81" s="119" t="e">
        <f>Tree!#REF!</f>
        <v>#REF!</v>
      </c>
      <c r="Y81" s="102" t="e">
        <f t="shared" si="13"/>
        <v>#REF!</v>
      </c>
      <c r="Z81" s="80" t="s">
        <v>117</v>
      </c>
      <c r="AA81" s="80" t="e">
        <f>Tree!#REF!</f>
        <v>#REF!</v>
      </c>
      <c r="AB81" s="80"/>
      <c r="AC81" s="91" t="e">
        <f t="shared" si="19"/>
        <v>#REF!</v>
      </c>
      <c r="AD81" s="80" t="e">
        <f t="shared" si="20"/>
        <v>#REF!</v>
      </c>
    </row>
    <row r="82" spans="3:30" x14ac:dyDescent="0.25">
      <c r="C82" s="121" t="e">
        <f>Tree!#REF!</f>
        <v>#REF!</v>
      </c>
      <c r="D82" s="41" t="e">
        <f>Tree!#REF!</f>
        <v>#REF!</v>
      </c>
      <c r="E82" s="122" t="e">
        <f t="shared" si="14"/>
        <v>#REF!</v>
      </c>
      <c r="F82" s="41" t="e">
        <f>Tree!#REF!</f>
        <v>#REF!</v>
      </c>
      <c r="G82" s="122" t="e">
        <f t="shared" si="15"/>
        <v>#REF!</v>
      </c>
      <c r="H82" s="79" t="e">
        <f>INDEX(Tree!#REF!,MATCH($J82,Tree!#REF!,0))</f>
        <v>#REF!</v>
      </c>
      <c r="I82" s="100" t="e">
        <f t="shared" si="16"/>
        <v>#REF!</v>
      </c>
      <c r="J82" s="80" t="s">
        <v>23</v>
      </c>
      <c r="K82" s="90" t="e">
        <f>INDEX(Tree!#REF!,MATCH($J82,Tree!#REF!,0))</f>
        <v>#REF!</v>
      </c>
      <c r="L82" s="104" t="e">
        <f t="shared" si="12"/>
        <v>#REF!</v>
      </c>
      <c r="M82" s="90" t="e">
        <f>Tree!#REF!</f>
        <v>#REF!</v>
      </c>
      <c r="N82" s="102" t="e">
        <f t="shared" si="21"/>
        <v>#REF!</v>
      </c>
      <c r="O82" s="90" t="s">
        <v>31</v>
      </c>
      <c r="P82" s="90" t="e">
        <f>INDEX(Tree!#REF!,MATCH($O82,Tree!#REF!,0)+MATCH(Tree!#REF!,Tree!#REF!,0)-1)</f>
        <v>#REF!</v>
      </c>
      <c r="Q82" s="104" t="e">
        <f t="shared" si="17"/>
        <v>#REF!</v>
      </c>
      <c r="R82" s="119" t="e">
        <f>Tree!#REF!</f>
        <v>#REF!</v>
      </c>
      <c r="S82" s="102" t="e">
        <f t="shared" si="18"/>
        <v>#REF!</v>
      </c>
      <c r="T82" s="80" t="s">
        <v>33</v>
      </c>
      <c r="U82" s="80" t="e">
        <f>Tree!#REF!</f>
        <v>#REF!</v>
      </c>
      <c r="V82" s="80"/>
      <c r="W82" s="104" t="e">
        <f>S82*U82</f>
        <v>#REF!</v>
      </c>
      <c r="X82" s="119" t="e">
        <f>Tree!#REF!</f>
        <v>#REF!</v>
      </c>
      <c r="Y82" s="102" t="e">
        <f t="shared" si="13"/>
        <v>#REF!</v>
      </c>
      <c r="Z82" s="80" t="s">
        <v>52</v>
      </c>
      <c r="AA82" s="80"/>
      <c r="AB82" s="80" t="e">
        <f>Tree!#REF!</f>
        <v>#REF!</v>
      </c>
      <c r="AC82" s="91" t="e">
        <f t="shared" si="19"/>
        <v>#REF!</v>
      </c>
      <c r="AD82" s="80" t="e">
        <f t="shared" si="20"/>
        <v>#REF!</v>
      </c>
    </row>
    <row r="83" spans="3:30" x14ac:dyDescent="0.25">
      <c r="C83" s="121" t="e">
        <f>Tree!#REF!</f>
        <v>#REF!</v>
      </c>
      <c r="D83" s="41" t="e">
        <f>Tree!#REF!</f>
        <v>#REF!</v>
      </c>
      <c r="E83" s="122" t="e">
        <f t="shared" si="14"/>
        <v>#REF!</v>
      </c>
      <c r="F83" s="41" t="e">
        <f>Tree!#REF!</f>
        <v>#REF!</v>
      </c>
      <c r="G83" s="122" t="e">
        <f t="shared" si="15"/>
        <v>#REF!</v>
      </c>
      <c r="H83" s="79" t="e">
        <f>INDEX(Tree!#REF!,MATCH($J83,Tree!#REF!,0))</f>
        <v>#REF!</v>
      </c>
      <c r="I83" s="100" t="e">
        <f t="shared" si="16"/>
        <v>#REF!</v>
      </c>
      <c r="J83" s="80" t="s">
        <v>23</v>
      </c>
      <c r="K83" s="90" t="e">
        <f>INDEX(Tree!#REF!,MATCH($J83,Tree!#REF!,0))</f>
        <v>#REF!</v>
      </c>
      <c r="L83" s="104" t="e">
        <f t="shared" si="12"/>
        <v>#REF!</v>
      </c>
      <c r="M83" s="90" t="e">
        <f>Tree!#REF!</f>
        <v>#REF!</v>
      </c>
      <c r="N83" s="102" t="e">
        <f t="shared" si="21"/>
        <v>#REF!</v>
      </c>
      <c r="O83" s="90" t="s">
        <v>31</v>
      </c>
      <c r="P83" s="90" t="e">
        <f>INDEX(Tree!#REF!,MATCH($O83,Tree!#REF!,0)+MATCH(Tree!#REF!,Tree!#REF!,0)-1)</f>
        <v>#REF!</v>
      </c>
      <c r="Q83" s="104" t="e">
        <f t="shared" si="17"/>
        <v>#REF!</v>
      </c>
      <c r="R83" s="119" t="e">
        <f>Tree!#REF!</f>
        <v>#REF!</v>
      </c>
      <c r="S83" s="102" t="e">
        <f t="shared" si="18"/>
        <v>#REF!</v>
      </c>
      <c r="T83" s="80" t="s">
        <v>33</v>
      </c>
      <c r="U83" s="80" t="e">
        <f>Tree!#REF!</f>
        <v>#REF!</v>
      </c>
      <c r="V83" s="80"/>
      <c r="W83" s="104" t="e">
        <f>S83*U83</f>
        <v>#REF!</v>
      </c>
      <c r="X83" s="119" t="e">
        <f>Tree!#REF!</f>
        <v>#REF!</v>
      </c>
      <c r="Y83" s="102" t="e">
        <f t="shared" si="13"/>
        <v>#REF!</v>
      </c>
      <c r="Z83" s="80" t="s">
        <v>53</v>
      </c>
      <c r="AA83" s="80"/>
      <c r="AB83" s="80" t="e">
        <f>Tree!#REF!</f>
        <v>#REF!</v>
      </c>
      <c r="AC83" s="91" t="e">
        <f t="shared" si="19"/>
        <v>#REF!</v>
      </c>
      <c r="AD83" s="80" t="e">
        <f t="shared" si="20"/>
        <v>#REF!</v>
      </c>
    </row>
    <row r="84" spans="3:30" x14ac:dyDescent="0.25">
      <c r="C84" s="121" t="e">
        <f>Tree!#REF!</f>
        <v>#REF!</v>
      </c>
      <c r="D84" s="41" t="e">
        <f>Tree!#REF!</f>
        <v>#REF!</v>
      </c>
      <c r="E84" s="122" t="e">
        <f t="shared" si="14"/>
        <v>#REF!</v>
      </c>
      <c r="F84" s="41" t="e">
        <f>Tree!#REF!</f>
        <v>#REF!</v>
      </c>
      <c r="G84" s="122" t="e">
        <f t="shared" si="15"/>
        <v>#REF!</v>
      </c>
      <c r="H84" s="79" t="e">
        <f>INDEX(Tree!#REF!,MATCH($J84,Tree!#REF!,0))</f>
        <v>#REF!</v>
      </c>
      <c r="I84" s="100" t="e">
        <f t="shared" si="16"/>
        <v>#REF!</v>
      </c>
      <c r="J84" s="80" t="s">
        <v>23</v>
      </c>
      <c r="K84" s="90" t="e">
        <f>INDEX(Tree!#REF!,MATCH($J84,Tree!#REF!,0))</f>
        <v>#REF!</v>
      </c>
      <c r="L84" s="104" t="e">
        <f t="shared" si="12"/>
        <v>#REF!</v>
      </c>
      <c r="M84" s="90" t="e">
        <f>Tree!#REF!</f>
        <v>#REF!</v>
      </c>
      <c r="N84" s="102" t="e">
        <f t="shared" si="21"/>
        <v>#REF!</v>
      </c>
      <c r="O84" s="90" t="s">
        <v>27</v>
      </c>
      <c r="P84" s="90" t="e">
        <f>INDEX(Tree!#REF!,MATCH($O84,Tree!#REF!,0)+MATCH(Tree!#REF!,Tree!#REF!,0)-1)</f>
        <v>#REF!</v>
      </c>
      <c r="Q84" s="104" t="e">
        <f t="shared" si="17"/>
        <v>#REF!</v>
      </c>
      <c r="R84" s="119" t="e">
        <f>Tree!#REF!</f>
        <v>#REF!</v>
      </c>
      <c r="S84" s="102" t="e">
        <f t="shared" si="18"/>
        <v>#REF!</v>
      </c>
      <c r="T84" s="80" t="s">
        <v>32</v>
      </c>
      <c r="U84" s="80"/>
      <c r="V84" s="80" t="e">
        <f>Tree!#REF!</f>
        <v>#REF!</v>
      </c>
      <c r="W84" s="104"/>
      <c r="X84" s="119"/>
      <c r="Y84" s="102">
        <f t="shared" si="13"/>
        <v>0</v>
      </c>
      <c r="Z84" s="80"/>
      <c r="AA84" s="80"/>
      <c r="AB84" s="80"/>
      <c r="AC84" s="91" t="e">
        <f t="shared" si="19"/>
        <v>#REF!</v>
      </c>
      <c r="AD84" s="80">
        <f t="shared" si="20"/>
        <v>0</v>
      </c>
    </row>
    <row r="85" spans="3:30" x14ac:dyDescent="0.25">
      <c r="C85" s="121" t="e">
        <f>Tree!#REF!</f>
        <v>#REF!</v>
      </c>
      <c r="D85" s="41" t="e">
        <f>Tree!#REF!</f>
        <v>#REF!</v>
      </c>
      <c r="E85" s="122" t="e">
        <f t="shared" si="14"/>
        <v>#REF!</v>
      </c>
      <c r="F85" s="41" t="e">
        <f>Tree!#REF!</f>
        <v>#REF!</v>
      </c>
      <c r="G85" s="122" t="e">
        <f t="shared" si="15"/>
        <v>#REF!</v>
      </c>
      <c r="H85" s="79" t="e">
        <f>INDEX(Tree!#REF!,MATCH($J85,Tree!#REF!,0))</f>
        <v>#REF!</v>
      </c>
      <c r="I85" s="100" t="e">
        <f t="shared" si="16"/>
        <v>#REF!</v>
      </c>
      <c r="J85" s="80" t="s">
        <v>23</v>
      </c>
      <c r="K85" s="90" t="e">
        <f>INDEX(Tree!#REF!,MATCH($J85,Tree!#REF!,0))</f>
        <v>#REF!</v>
      </c>
      <c r="L85" s="104" t="e">
        <f t="shared" si="12"/>
        <v>#REF!</v>
      </c>
      <c r="M85" s="90" t="e">
        <f>Tree!#REF!</f>
        <v>#REF!</v>
      </c>
      <c r="N85" s="102" t="e">
        <f t="shared" si="21"/>
        <v>#REF!</v>
      </c>
      <c r="O85" s="90" t="s">
        <v>27</v>
      </c>
      <c r="P85" s="90" t="e">
        <f>INDEX(Tree!#REF!,MATCH($O85,Tree!#REF!,0)+MATCH(Tree!#REF!,Tree!#REF!,0)-1)</f>
        <v>#REF!</v>
      </c>
      <c r="Q85" s="104" t="e">
        <f t="shared" si="17"/>
        <v>#REF!</v>
      </c>
      <c r="R85" s="119" t="e">
        <f>Tree!#REF!</f>
        <v>#REF!</v>
      </c>
      <c r="S85" s="102" t="e">
        <f t="shared" si="18"/>
        <v>#REF!</v>
      </c>
      <c r="T85" s="80" t="s">
        <v>33</v>
      </c>
      <c r="U85" s="80" t="e">
        <f>Tree!#REF!</f>
        <v>#REF!</v>
      </c>
      <c r="V85" s="80"/>
      <c r="W85" s="104" t="e">
        <f>S85*U85</f>
        <v>#REF!</v>
      </c>
      <c r="X85" s="119" t="e">
        <f>Tree!#REF!</f>
        <v>#REF!</v>
      </c>
      <c r="Y85" s="102" t="e">
        <f t="shared" si="13"/>
        <v>#REF!</v>
      </c>
      <c r="Z85" s="80" t="s">
        <v>54</v>
      </c>
      <c r="AA85" s="80" t="e">
        <f>Tree!#REF!</f>
        <v>#REF!</v>
      </c>
      <c r="AB85" s="80"/>
      <c r="AC85" s="91" t="e">
        <f t="shared" si="19"/>
        <v>#REF!</v>
      </c>
      <c r="AD85" s="80" t="e">
        <f t="shared" si="20"/>
        <v>#REF!</v>
      </c>
    </row>
    <row r="86" spans="3:30" x14ac:dyDescent="0.25">
      <c r="C86" s="121" t="e">
        <f>Tree!#REF!</f>
        <v>#REF!</v>
      </c>
      <c r="D86" s="41" t="e">
        <f>Tree!#REF!</f>
        <v>#REF!</v>
      </c>
      <c r="E86" s="122" t="e">
        <f t="shared" si="14"/>
        <v>#REF!</v>
      </c>
      <c r="F86" s="41" t="e">
        <f>Tree!#REF!</f>
        <v>#REF!</v>
      </c>
      <c r="G86" s="122" t="e">
        <f t="shared" si="15"/>
        <v>#REF!</v>
      </c>
      <c r="H86" s="79" t="e">
        <f>INDEX(Tree!#REF!,MATCH($J86,Tree!#REF!,0))</f>
        <v>#REF!</v>
      </c>
      <c r="I86" s="100" t="e">
        <f t="shared" si="16"/>
        <v>#REF!</v>
      </c>
      <c r="J86" s="80" t="s">
        <v>23</v>
      </c>
      <c r="K86" s="90" t="e">
        <f>INDEX(Tree!#REF!,MATCH($J86,Tree!#REF!,0))</f>
        <v>#REF!</v>
      </c>
      <c r="L86" s="104" t="e">
        <f t="shared" si="12"/>
        <v>#REF!</v>
      </c>
      <c r="M86" s="90" t="e">
        <f>Tree!#REF!</f>
        <v>#REF!</v>
      </c>
      <c r="N86" s="102" t="e">
        <f t="shared" si="21"/>
        <v>#REF!</v>
      </c>
      <c r="O86" s="90" t="s">
        <v>27</v>
      </c>
      <c r="P86" s="90" t="e">
        <f>INDEX(Tree!#REF!,MATCH($O86,Tree!#REF!,0)+MATCH(Tree!#REF!,Tree!#REF!,0)-1)</f>
        <v>#REF!</v>
      </c>
      <c r="Q86" s="104" t="e">
        <f t="shared" si="17"/>
        <v>#REF!</v>
      </c>
      <c r="R86" s="119" t="e">
        <f>Tree!#REF!</f>
        <v>#REF!</v>
      </c>
      <c r="S86" s="102" t="e">
        <f t="shared" si="18"/>
        <v>#REF!</v>
      </c>
      <c r="T86" s="80" t="s">
        <v>33</v>
      </c>
      <c r="U86" s="80" t="e">
        <f>Tree!#REF!</f>
        <v>#REF!</v>
      </c>
      <c r="V86" s="80"/>
      <c r="W86" s="104" t="e">
        <f>S86*U86</f>
        <v>#REF!</v>
      </c>
      <c r="X86" s="119" t="e">
        <f>Tree!#REF!</f>
        <v>#REF!</v>
      </c>
      <c r="Y86" s="102" t="e">
        <f t="shared" si="13"/>
        <v>#REF!</v>
      </c>
      <c r="Z86" s="80" t="s">
        <v>117</v>
      </c>
      <c r="AA86" s="80" t="e">
        <f>Tree!#REF!</f>
        <v>#REF!</v>
      </c>
      <c r="AB86" s="80"/>
      <c r="AC86" s="91" t="e">
        <f t="shared" si="19"/>
        <v>#REF!</v>
      </c>
      <c r="AD86" s="80" t="e">
        <f t="shared" si="20"/>
        <v>#REF!</v>
      </c>
    </row>
    <row r="87" spans="3:30" x14ac:dyDescent="0.25">
      <c r="C87" s="121" t="e">
        <f>Tree!#REF!</f>
        <v>#REF!</v>
      </c>
      <c r="D87" s="41" t="e">
        <f>Tree!#REF!</f>
        <v>#REF!</v>
      </c>
      <c r="E87" s="122" t="e">
        <f t="shared" si="14"/>
        <v>#REF!</v>
      </c>
      <c r="F87" s="41" t="e">
        <f>Tree!#REF!</f>
        <v>#REF!</v>
      </c>
      <c r="G87" s="122" t="e">
        <f t="shared" si="15"/>
        <v>#REF!</v>
      </c>
      <c r="H87" s="79" t="e">
        <f>INDEX(Tree!#REF!,MATCH($J87,Tree!#REF!,0))</f>
        <v>#REF!</v>
      </c>
      <c r="I87" s="100" t="e">
        <f t="shared" si="16"/>
        <v>#REF!</v>
      </c>
      <c r="J87" s="80" t="s">
        <v>23</v>
      </c>
      <c r="K87" s="90" t="e">
        <f>INDEX(Tree!#REF!,MATCH($J87,Tree!#REF!,0))</f>
        <v>#REF!</v>
      </c>
      <c r="L87" s="104" t="e">
        <f t="shared" si="12"/>
        <v>#REF!</v>
      </c>
      <c r="M87" s="90" t="e">
        <f>Tree!#REF!</f>
        <v>#REF!</v>
      </c>
      <c r="N87" s="102" t="e">
        <f t="shared" si="21"/>
        <v>#REF!</v>
      </c>
      <c r="O87" s="90" t="s">
        <v>27</v>
      </c>
      <c r="P87" s="90" t="e">
        <f>INDEX(Tree!#REF!,MATCH($O87,Tree!#REF!,0)+MATCH(Tree!#REF!,Tree!#REF!,0)-1)</f>
        <v>#REF!</v>
      </c>
      <c r="Q87" s="104" t="e">
        <f t="shared" si="17"/>
        <v>#REF!</v>
      </c>
      <c r="R87" s="119" t="e">
        <f>Tree!#REF!</f>
        <v>#REF!</v>
      </c>
      <c r="S87" s="102" t="e">
        <f t="shared" si="18"/>
        <v>#REF!</v>
      </c>
      <c r="T87" s="80" t="s">
        <v>33</v>
      </c>
      <c r="U87" s="80" t="e">
        <f>Tree!#REF!</f>
        <v>#REF!</v>
      </c>
      <c r="V87" s="80"/>
      <c r="W87" s="104" t="e">
        <f>S87*U87</f>
        <v>#REF!</v>
      </c>
      <c r="X87" s="119" t="e">
        <f>Tree!#REF!</f>
        <v>#REF!</v>
      </c>
      <c r="Y87" s="102" t="e">
        <f t="shared" si="13"/>
        <v>#REF!</v>
      </c>
      <c r="Z87" s="80" t="s">
        <v>52</v>
      </c>
      <c r="AA87" s="80"/>
      <c r="AB87" s="80" t="e">
        <f>Tree!#REF!</f>
        <v>#REF!</v>
      </c>
      <c r="AC87" s="91" t="e">
        <f t="shared" si="19"/>
        <v>#REF!</v>
      </c>
      <c r="AD87" s="80" t="e">
        <f t="shared" si="20"/>
        <v>#REF!</v>
      </c>
    </row>
    <row r="88" spans="3:30" x14ac:dyDescent="0.25">
      <c r="C88" s="121" t="e">
        <f>Tree!#REF!</f>
        <v>#REF!</v>
      </c>
      <c r="D88" s="41" t="e">
        <f>Tree!#REF!</f>
        <v>#REF!</v>
      </c>
      <c r="E88" s="122" t="e">
        <f t="shared" si="14"/>
        <v>#REF!</v>
      </c>
      <c r="F88" s="41" t="e">
        <f>Tree!#REF!</f>
        <v>#REF!</v>
      </c>
      <c r="G88" s="122" t="e">
        <f t="shared" si="15"/>
        <v>#REF!</v>
      </c>
      <c r="H88" s="79" t="e">
        <f>INDEX(Tree!#REF!,MATCH($J88,Tree!#REF!,0))</f>
        <v>#REF!</v>
      </c>
      <c r="I88" s="100" t="e">
        <f t="shared" si="16"/>
        <v>#REF!</v>
      </c>
      <c r="J88" s="80" t="s">
        <v>23</v>
      </c>
      <c r="K88" s="90" t="e">
        <f>INDEX(Tree!#REF!,MATCH($J88,Tree!#REF!,0))</f>
        <v>#REF!</v>
      </c>
      <c r="L88" s="104" t="e">
        <f t="shared" si="12"/>
        <v>#REF!</v>
      </c>
      <c r="M88" s="90" t="e">
        <f>Tree!#REF!</f>
        <v>#REF!</v>
      </c>
      <c r="N88" s="102" t="e">
        <f t="shared" si="21"/>
        <v>#REF!</v>
      </c>
      <c r="O88" s="90" t="s">
        <v>27</v>
      </c>
      <c r="P88" s="90" t="e">
        <f>INDEX(Tree!#REF!,MATCH($O88,Tree!#REF!,0)+MATCH(Tree!#REF!,Tree!#REF!,0)-1)</f>
        <v>#REF!</v>
      </c>
      <c r="Q88" s="104" t="e">
        <f t="shared" si="17"/>
        <v>#REF!</v>
      </c>
      <c r="R88" s="119" t="e">
        <f>Tree!#REF!</f>
        <v>#REF!</v>
      </c>
      <c r="S88" s="102" t="e">
        <f t="shared" si="18"/>
        <v>#REF!</v>
      </c>
      <c r="T88" s="80" t="s">
        <v>33</v>
      </c>
      <c r="U88" s="80" t="e">
        <f>Tree!#REF!</f>
        <v>#REF!</v>
      </c>
      <c r="V88" s="80"/>
      <c r="W88" s="104" t="e">
        <f>S88*U88</f>
        <v>#REF!</v>
      </c>
      <c r="X88" s="119" t="e">
        <f>Tree!#REF!</f>
        <v>#REF!</v>
      </c>
      <c r="Y88" s="102" t="e">
        <f t="shared" si="13"/>
        <v>#REF!</v>
      </c>
      <c r="Z88" s="80" t="s">
        <v>53</v>
      </c>
      <c r="AA88" s="80"/>
      <c r="AB88" s="80" t="e">
        <f>Tree!#REF!</f>
        <v>#REF!</v>
      </c>
      <c r="AC88" s="91" t="e">
        <f t="shared" si="19"/>
        <v>#REF!</v>
      </c>
      <c r="AD88" s="80" t="e">
        <f t="shared" si="20"/>
        <v>#REF!</v>
      </c>
    </row>
    <row r="89" spans="3:30" x14ac:dyDescent="0.25">
      <c r="C89" s="121" t="e">
        <f>Tree!#REF!</f>
        <v>#REF!</v>
      </c>
      <c r="D89" s="41" t="e">
        <f>Tree!#REF!</f>
        <v>#REF!</v>
      </c>
      <c r="E89" s="122" t="e">
        <f t="shared" si="14"/>
        <v>#REF!</v>
      </c>
      <c r="F89" s="41" t="e">
        <f>Tree!#REF!</f>
        <v>#REF!</v>
      </c>
      <c r="G89" s="122" t="e">
        <f t="shared" si="15"/>
        <v>#REF!</v>
      </c>
      <c r="H89" s="79" t="e">
        <f>INDEX(Tree!#REF!,MATCH($J89,Tree!#REF!,0))</f>
        <v>#REF!</v>
      </c>
      <c r="I89" s="100" t="e">
        <f t="shared" si="16"/>
        <v>#REF!</v>
      </c>
      <c r="J89" s="80" t="s">
        <v>23</v>
      </c>
      <c r="K89" s="90" t="e">
        <f>INDEX(Tree!#REF!,MATCH($J89,Tree!#REF!,0))</f>
        <v>#REF!</v>
      </c>
      <c r="L89" s="104" t="e">
        <f t="shared" si="12"/>
        <v>#REF!</v>
      </c>
      <c r="M89" s="90" t="e">
        <f>Tree!#REF!</f>
        <v>#REF!</v>
      </c>
      <c r="N89" s="102" t="e">
        <f t="shared" si="21"/>
        <v>#REF!</v>
      </c>
      <c r="O89" s="90" t="s">
        <v>28</v>
      </c>
      <c r="P89" s="90" t="e">
        <f>INDEX(Tree!#REF!,MATCH($O89,Tree!#REF!,0)+MATCH(Tree!#REF!,Tree!#REF!,0)-1)</f>
        <v>#REF!</v>
      </c>
      <c r="Q89" s="104" t="e">
        <f t="shared" si="17"/>
        <v>#REF!</v>
      </c>
      <c r="R89" s="119" t="e">
        <f>Tree!#REF!</f>
        <v>#REF!</v>
      </c>
      <c r="S89" s="102" t="e">
        <f t="shared" si="18"/>
        <v>#REF!</v>
      </c>
      <c r="T89" s="80" t="s">
        <v>32</v>
      </c>
      <c r="U89" s="80"/>
      <c r="V89" s="80" t="e">
        <f>Tree!#REF!</f>
        <v>#REF!</v>
      </c>
      <c r="W89" s="104"/>
      <c r="X89" s="119"/>
      <c r="Y89" s="102">
        <f t="shared" si="13"/>
        <v>0</v>
      </c>
      <c r="Z89" s="80"/>
      <c r="AA89" s="80"/>
      <c r="AB89" s="80"/>
      <c r="AC89" s="91" t="e">
        <f t="shared" si="19"/>
        <v>#REF!</v>
      </c>
      <c r="AD89" s="80">
        <f t="shared" si="20"/>
        <v>0</v>
      </c>
    </row>
    <row r="90" spans="3:30" x14ac:dyDescent="0.25">
      <c r="C90" s="121" t="e">
        <f>Tree!#REF!</f>
        <v>#REF!</v>
      </c>
      <c r="D90" s="41" t="e">
        <f>Tree!#REF!</f>
        <v>#REF!</v>
      </c>
      <c r="E90" s="122" t="e">
        <f t="shared" si="14"/>
        <v>#REF!</v>
      </c>
      <c r="F90" s="41" t="e">
        <f>Tree!#REF!</f>
        <v>#REF!</v>
      </c>
      <c r="G90" s="122" t="e">
        <f t="shared" si="15"/>
        <v>#REF!</v>
      </c>
      <c r="H90" s="79" t="e">
        <f>INDEX(Tree!#REF!,MATCH($J90,Tree!#REF!,0))</f>
        <v>#REF!</v>
      </c>
      <c r="I90" s="100" t="e">
        <f t="shared" si="16"/>
        <v>#REF!</v>
      </c>
      <c r="J90" s="80" t="s">
        <v>23</v>
      </c>
      <c r="K90" s="90" t="e">
        <f>INDEX(Tree!#REF!,MATCH($J90,Tree!#REF!,0))</f>
        <v>#REF!</v>
      </c>
      <c r="L90" s="104" t="e">
        <f t="shared" si="12"/>
        <v>#REF!</v>
      </c>
      <c r="M90" s="90" t="e">
        <f>Tree!#REF!</f>
        <v>#REF!</v>
      </c>
      <c r="N90" s="102" t="e">
        <f t="shared" si="21"/>
        <v>#REF!</v>
      </c>
      <c r="O90" s="90" t="s">
        <v>28</v>
      </c>
      <c r="P90" s="90" t="e">
        <f>INDEX(Tree!#REF!,MATCH($O90,Tree!#REF!,0)+MATCH(Tree!#REF!,Tree!#REF!,0)-1)</f>
        <v>#REF!</v>
      </c>
      <c r="Q90" s="104" t="e">
        <f t="shared" si="17"/>
        <v>#REF!</v>
      </c>
      <c r="R90" s="119" t="e">
        <f>Tree!#REF!</f>
        <v>#REF!</v>
      </c>
      <c r="S90" s="102" t="e">
        <f t="shared" si="18"/>
        <v>#REF!</v>
      </c>
      <c r="T90" s="80" t="s">
        <v>33</v>
      </c>
      <c r="U90" s="80" t="e">
        <f>Tree!#REF!</f>
        <v>#REF!</v>
      </c>
      <c r="V90" s="80"/>
      <c r="W90" s="104" t="e">
        <f>S90*U90</f>
        <v>#REF!</v>
      </c>
      <c r="X90" s="119" t="e">
        <f>Tree!#REF!</f>
        <v>#REF!</v>
      </c>
      <c r="Y90" s="102" t="e">
        <f t="shared" si="13"/>
        <v>#REF!</v>
      </c>
      <c r="Z90" s="80" t="s">
        <v>54</v>
      </c>
      <c r="AA90" s="80" t="e">
        <f>Tree!#REF!</f>
        <v>#REF!</v>
      </c>
      <c r="AB90" s="80"/>
      <c r="AC90" s="91" t="e">
        <f t="shared" si="19"/>
        <v>#REF!</v>
      </c>
      <c r="AD90" s="80" t="e">
        <f t="shared" si="20"/>
        <v>#REF!</v>
      </c>
    </row>
    <row r="91" spans="3:30" x14ac:dyDescent="0.25">
      <c r="C91" s="121" t="e">
        <f>Tree!#REF!</f>
        <v>#REF!</v>
      </c>
      <c r="D91" s="41" t="e">
        <f>Tree!#REF!</f>
        <v>#REF!</v>
      </c>
      <c r="E91" s="122" t="e">
        <f t="shared" si="14"/>
        <v>#REF!</v>
      </c>
      <c r="F91" s="41" t="e">
        <f>Tree!#REF!</f>
        <v>#REF!</v>
      </c>
      <c r="G91" s="122" t="e">
        <f t="shared" si="15"/>
        <v>#REF!</v>
      </c>
      <c r="H91" s="79" t="e">
        <f>INDEX(Tree!#REF!,MATCH($J91,Tree!#REF!,0))</f>
        <v>#REF!</v>
      </c>
      <c r="I91" s="100" t="e">
        <f t="shared" si="16"/>
        <v>#REF!</v>
      </c>
      <c r="J91" s="80" t="s">
        <v>23</v>
      </c>
      <c r="K91" s="90" t="e">
        <f>INDEX(Tree!#REF!,MATCH($J91,Tree!#REF!,0))</f>
        <v>#REF!</v>
      </c>
      <c r="L91" s="104" t="e">
        <f t="shared" si="12"/>
        <v>#REF!</v>
      </c>
      <c r="M91" s="90" t="e">
        <f>Tree!#REF!</f>
        <v>#REF!</v>
      </c>
      <c r="N91" s="102" t="e">
        <f t="shared" si="21"/>
        <v>#REF!</v>
      </c>
      <c r="O91" s="90" t="s">
        <v>28</v>
      </c>
      <c r="P91" s="90" t="e">
        <f>INDEX(Tree!#REF!,MATCH($O91,Tree!#REF!,0)+MATCH(Tree!#REF!,Tree!#REF!,0)-1)</f>
        <v>#REF!</v>
      </c>
      <c r="Q91" s="104" t="e">
        <f t="shared" si="17"/>
        <v>#REF!</v>
      </c>
      <c r="R91" s="119" t="e">
        <f>Tree!#REF!</f>
        <v>#REF!</v>
      </c>
      <c r="S91" s="102" t="e">
        <f t="shared" si="18"/>
        <v>#REF!</v>
      </c>
      <c r="T91" s="80" t="s">
        <v>33</v>
      </c>
      <c r="U91" s="80" t="e">
        <f>Tree!#REF!</f>
        <v>#REF!</v>
      </c>
      <c r="V91" s="80"/>
      <c r="W91" s="104" t="e">
        <f>S91*U91</f>
        <v>#REF!</v>
      </c>
      <c r="X91" s="119" t="e">
        <f>Tree!#REF!</f>
        <v>#REF!</v>
      </c>
      <c r="Y91" s="102" t="e">
        <f t="shared" si="13"/>
        <v>#REF!</v>
      </c>
      <c r="Z91" s="80" t="s">
        <v>117</v>
      </c>
      <c r="AA91" s="80" t="e">
        <f>Tree!#REF!</f>
        <v>#REF!</v>
      </c>
      <c r="AB91" s="80"/>
      <c r="AC91" s="91" t="e">
        <f t="shared" si="19"/>
        <v>#REF!</v>
      </c>
      <c r="AD91" s="80" t="e">
        <f t="shared" si="20"/>
        <v>#REF!</v>
      </c>
    </row>
    <row r="92" spans="3:30" x14ac:dyDescent="0.25">
      <c r="C92" s="121" t="e">
        <f>Tree!#REF!</f>
        <v>#REF!</v>
      </c>
      <c r="D92" s="41" t="e">
        <f>Tree!#REF!</f>
        <v>#REF!</v>
      </c>
      <c r="E92" s="122" t="e">
        <f t="shared" si="14"/>
        <v>#REF!</v>
      </c>
      <c r="F92" s="41" t="e">
        <f>Tree!#REF!</f>
        <v>#REF!</v>
      </c>
      <c r="G92" s="122" t="e">
        <f t="shared" si="15"/>
        <v>#REF!</v>
      </c>
      <c r="H92" s="79" t="e">
        <f>INDEX(Tree!#REF!,MATCH($J92,Tree!#REF!,0))</f>
        <v>#REF!</v>
      </c>
      <c r="I92" s="100" t="e">
        <f t="shared" si="16"/>
        <v>#REF!</v>
      </c>
      <c r="J92" s="80" t="s">
        <v>23</v>
      </c>
      <c r="K92" s="90" t="e">
        <f>INDEX(Tree!#REF!,MATCH($J92,Tree!#REF!,0))</f>
        <v>#REF!</v>
      </c>
      <c r="L92" s="104" t="e">
        <f t="shared" si="12"/>
        <v>#REF!</v>
      </c>
      <c r="M92" s="90" t="e">
        <f>Tree!#REF!</f>
        <v>#REF!</v>
      </c>
      <c r="N92" s="102" t="e">
        <f t="shared" si="21"/>
        <v>#REF!</v>
      </c>
      <c r="O92" s="90" t="s">
        <v>28</v>
      </c>
      <c r="P92" s="90" t="e">
        <f>INDEX(Tree!#REF!,MATCH($O92,Tree!#REF!,0)+MATCH(Tree!#REF!,Tree!#REF!,0)-1)</f>
        <v>#REF!</v>
      </c>
      <c r="Q92" s="104" t="e">
        <f t="shared" si="17"/>
        <v>#REF!</v>
      </c>
      <c r="R92" s="119" t="e">
        <f>Tree!#REF!</f>
        <v>#REF!</v>
      </c>
      <c r="S92" s="102" t="e">
        <f t="shared" si="18"/>
        <v>#REF!</v>
      </c>
      <c r="T92" s="80" t="s">
        <v>33</v>
      </c>
      <c r="U92" s="80" t="e">
        <f>Tree!#REF!</f>
        <v>#REF!</v>
      </c>
      <c r="V92" s="80"/>
      <c r="W92" s="104" t="e">
        <f>S92*U92</f>
        <v>#REF!</v>
      </c>
      <c r="X92" s="119" t="e">
        <f>Tree!#REF!</f>
        <v>#REF!</v>
      </c>
      <c r="Y92" s="102" t="e">
        <f t="shared" si="13"/>
        <v>#REF!</v>
      </c>
      <c r="Z92" s="80" t="s">
        <v>52</v>
      </c>
      <c r="AA92" s="80"/>
      <c r="AB92" s="80" t="e">
        <f>Tree!#REF!</f>
        <v>#REF!</v>
      </c>
      <c r="AC92" s="91" t="e">
        <f t="shared" si="19"/>
        <v>#REF!</v>
      </c>
      <c r="AD92" s="80" t="e">
        <f t="shared" si="20"/>
        <v>#REF!</v>
      </c>
    </row>
    <row r="93" spans="3:30" x14ac:dyDescent="0.25">
      <c r="C93" s="121" t="e">
        <f>Tree!#REF!</f>
        <v>#REF!</v>
      </c>
      <c r="D93" s="41" t="e">
        <f>Tree!#REF!</f>
        <v>#REF!</v>
      </c>
      <c r="E93" s="122" t="e">
        <f t="shared" si="14"/>
        <v>#REF!</v>
      </c>
      <c r="F93" s="41" t="e">
        <f>Tree!#REF!</f>
        <v>#REF!</v>
      </c>
      <c r="G93" s="122" t="e">
        <f t="shared" si="15"/>
        <v>#REF!</v>
      </c>
      <c r="H93" s="79" t="e">
        <f>INDEX(Tree!#REF!,MATCH($J93,Tree!#REF!,0))</f>
        <v>#REF!</v>
      </c>
      <c r="I93" s="100" t="e">
        <f t="shared" si="16"/>
        <v>#REF!</v>
      </c>
      <c r="J93" s="80" t="s">
        <v>23</v>
      </c>
      <c r="K93" s="90" t="e">
        <f>INDEX(Tree!#REF!,MATCH($J93,Tree!#REF!,0))</f>
        <v>#REF!</v>
      </c>
      <c r="L93" s="104" t="e">
        <f t="shared" si="12"/>
        <v>#REF!</v>
      </c>
      <c r="M93" s="90" t="e">
        <f>Tree!#REF!</f>
        <v>#REF!</v>
      </c>
      <c r="N93" s="102" t="e">
        <f t="shared" si="21"/>
        <v>#REF!</v>
      </c>
      <c r="O93" s="90" t="s">
        <v>28</v>
      </c>
      <c r="P93" s="90" t="e">
        <f>INDEX(Tree!#REF!,MATCH($O93,Tree!#REF!,0)+MATCH(Tree!#REF!,Tree!#REF!,0)-1)</f>
        <v>#REF!</v>
      </c>
      <c r="Q93" s="104" t="e">
        <f t="shared" si="17"/>
        <v>#REF!</v>
      </c>
      <c r="R93" s="119" t="e">
        <f>Tree!#REF!</f>
        <v>#REF!</v>
      </c>
      <c r="S93" s="102" t="e">
        <f t="shared" si="18"/>
        <v>#REF!</v>
      </c>
      <c r="T93" s="80" t="s">
        <v>33</v>
      </c>
      <c r="U93" s="80" t="e">
        <f>Tree!#REF!</f>
        <v>#REF!</v>
      </c>
      <c r="V93" s="80"/>
      <c r="W93" s="104" t="e">
        <f>S93*U93</f>
        <v>#REF!</v>
      </c>
      <c r="X93" s="119" t="e">
        <f>Tree!#REF!</f>
        <v>#REF!</v>
      </c>
      <c r="Y93" s="102" t="e">
        <f t="shared" si="13"/>
        <v>#REF!</v>
      </c>
      <c r="Z93" s="80" t="s">
        <v>53</v>
      </c>
      <c r="AA93" s="80"/>
      <c r="AB93" s="80" t="e">
        <f>Tree!#REF!</f>
        <v>#REF!</v>
      </c>
      <c r="AC93" s="91" t="e">
        <f t="shared" si="19"/>
        <v>#REF!</v>
      </c>
      <c r="AD93" s="80" t="e">
        <f t="shared" si="20"/>
        <v>#REF!</v>
      </c>
    </row>
    <row r="94" spans="3:30" x14ac:dyDescent="0.25">
      <c r="C94" s="121" t="e">
        <f>Tree!#REF!</f>
        <v>#REF!</v>
      </c>
      <c r="D94" s="41" t="e">
        <f>Tree!#REF!</f>
        <v>#REF!</v>
      </c>
      <c r="E94" s="122" t="e">
        <f t="shared" si="14"/>
        <v>#REF!</v>
      </c>
      <c r="F94" s="41" t="e">
        <f>Tree!#REF!</f>
        <v>#REF!</v>
      </c>
      <c r="G94" s="122" t="e">
        <f t="shared" si="15"/>
        <v>#REF!</v>
      </c>
      <c r="H94" s="79" t="e">
        <f>INDEX(Tree!#REF!,MATCH($J94,Tree!#REF!,0))</f>
        <v>#REF!</v>
      </c>
      <c r="I94" s="100" t="e">
        <f t="shared" si="16"/>
        <v>#REF!</v>
      </c>
      <c r="J94" s="80" t="s">
        <v>23</v>
      </c>
      <c r="K94" s="90" t="e">
        <f>INDEX(Tree!#REF!,MATCH($J94,Tree!#REF!,0))</f>
        <v>#REF!</v>
      </c>
      <c r="L94" s="104" t="e">
        <f t="shared" si="12"/>
        <v>#REF!</v>
      </c>
      <c r="M94" s="90" t="e">
        <f>Tree!#REF!</f>
        <v>#REF!</v>
      </c>
      <c r="N94" s="102" t="e">
        <f t="shared" si="21"/>
        <v>#REF!</v>
      </c>
      <c r="O94" s="90" t="s">
        <v>30</v>
      </c>
      <c r="P94" s="90" t="e">
        <f>INDEX(Tree!#REF!,MATCH($O94,Tree!#REF!,0)+MATCH(Tree!#REF!,Tree!#REF!,0)-1)</f>
        <v>#REF!</v>
      </c>
      <c r="Q94" s="104" t="e">
        <f t="shared" si="17"/>
        <v>#REF!</v>
      </c>
      <c r="R94" s="119" t="e">
        <f>Tree!#REF!</f>
        <v>#REF!</v>
      </c>
      <c r="S94" s="102" t="e">
        <f t="shared" si="18"/>
        <v>#REF!</v>
      </c>
      <c r="T94" s="80" t="s">
        <v>32</v>
      </c>
      <c r="U94" s="80"/>
      <c r="V94" s="80" t="e">
        <f>Tree!#REF!</f>
        <v>#REF!</v>
      </c>
      <c r="W94" s="104"/>
      <c r="X94" s="119"/>
      <c r="Y94" s="102">
        <f t="shared" si="13"/>
        <v>0</v>
      </c>
      <c r="Z94" s="80"/>
      <c r="AA94" s="80"/>
      <c r="AB94" s="80"/>
      <c r="AC94" s="91" t="e">
        <f t="shared" si="19"/>
        <v>#REF!</v>
      </c>
      <c r="AD94" s="80">
        <f t="shared" si="20"/>
        <v>0</v>
      </c>
    </row>
    <row r="95" spans="3:30" x14ac:dyDescent="0.25">
      <c r="C95" s="121" t="e">
        <f>Tree!#REF!</f>
        <v>#REF!</v>
      </c>
      <c r="D95" s="41" t="e">
        <f>Tree!#REF!</f>
        <v>#REF!</v>
      </c>
      <c r="E95" s="122" t="e">
        <f t="shared" si="14"/>
        <v>#REF!</v>
      </c>
      <c r="F95" s="41" t="e">
        <f>Tree!#REF!</f>
        <v>#REF!</v>
      </c>
      <c r="G95" s="122" t="e">
        <f t="shared" si="15"/>
        <v>#REF!</v>
      </c>
      <c r="H95" s="79" t="e">
        <f>INDEX(Tree!#REF!,MATCH($J95,Tree!#REF!,0))</f>
        <v>#REF!</v>
      </c>
      <c r="I95" s="100" t="e">
        <f t="shared" si="16"/>
        <v>#REF!</v>
      </c>
      <c r="J95" s="80" t="s">
        <v>23</v>
      </c>
      <c r="K95" s="90" t="e">
        <f>INDEX(Tree!#REF!,MATCH($J95,Tree!#REF!,0))</f>
        <v>#REF!</v>
      </c>
      <c r="L95" s="104" t="e">
        <f t="shared" si="12"/>
        <v>#REF!</v>
      </c>
      <c r="M95" s="90" t="e">
        <f>Tree!#REF!</f>
        <v>#REF!</v>
      </c>
      <c r="N95" s="102" t="e">
        <f t="shared" si="21"/>
        <v>#REF!</v>
      </c>
      <c r="O95" s="90" t="s">
        <v>30</v>
      </c>
      <c r="P95" s="90" t="e">
        <f>INDEX(Tree!#REF!,MATCH($O95,Tree!#REF!,0)+MATCH(Tree!#REF!,Tree!#REF!,0)-1)</f>
        <v>#REF!</v>
      </c>
      <c r="Q95" s="104" t="e">
        <f t="shared" si="17"/>
        <v>#REF!</v>
      </c>
      <c r="R95" s="119" t="e">
        <f>Tree!#REF!</f>
        <v>#REF!</v>
      </c>
      <c r="S95" s="102" t="e">
        <f t="shared" si="18"/>
        <v>#REF!</v>
      </c>
      <c r="T95" s="80" t="s">
        <v>33</v>
      </c>
      <c r="U95" s="80" t="e">
        <f>Tree!#REF!</f>
        <v>#REF!</v>
      </c>
      <c r="V95" s="80"/>
      <c r="W95" s="104" t="e">
        <f>S95*U95</f>
        <v>#REF!</v>
      </c>
      <c r="X95" s="119" t="e">
        <f>Tree!#REF!</f>
        <v>#REF!</v>
      </c>
      <c r="Y95" s="102" t="e">
        <f t="shared" si="13"/>
        <v>#REF!</v>
      </c>
      <c r="Z95" s="80" t="s">
        <v>54</v>
      </c>
      <c r="AA95" s="80" t="e">
        <f>Tree!#REF!</f>
        <v>#REF!</v>
      </c>
      <c r="AB95" s="80"/>
      <c r="AC95" s="91" t="e">
        <f t="shared" si="19"/>
        <v>#REF!</v>
      </c>
      <c r="AD95" s="80" t="e">
        <f t="shared" si="20"/>
        <v>#REF!</v>
      </c>
    </row>
    <row r="96" spans="3:30" x14ac:dyDescent="0.25">
      <c r="C96" s="121" t="e">
        <f>Tree!#REF!</f>
        <v>#REF!</v>
      </c>
      <c r="D96" s="41" t="e">
        <f>Tree!#REF!</f>
        <v>#REF!</v>
      </c>
      <c r="E96" s="122" t="e">
        <f t="shared" si="14"/>
        <v>#REF!</v>
      </c>
      <c r="F96" s="41" t="e">
        <f>Tree!#REF!</f>
        <v>#REF!</v>
      </c>
      <c r="G96" s="122" t="e">
        <f t="shared" si="15"/>
        <v>#REF!</v>
      </c>
      <c r="H96" s="79" t="e">
        <f>INDEX(Tree!#REF!,MATCH($J96,Tree!#REF!,0))</f>
        <v>#REF!</v>
      </c>
      <c r="I96" s="100" t="e">
        <f t="shared" si="16"/>
        <v>#REF!</v>
      </c>
      <c r="J96" s="80" t="s">
        <v>23</v>
      </c>
      <c r="K96" s="90" t="e">
        <f>INDEX(Tree!#REF!,MATCH($J96,Tree!#REF!,0))</f>
        <v>#REF!</v>
      </c>
      <c r="L96" s="104" t="e">
        <f t="shared" si="12"/>
        <v>#REF!</v>
      </c>
      <c r="M96" s="90" t="e">
        <f>Tree!#REF!</f>
        <v>#REF!</v>
      </c>
      <c r="N96" s="102" t="e">
        <f t="shared" si="21"/>
        <v>#REF!</v>
      </c>
      <c r="O96" s="90" t="s">
        <v>30</v>
      </c>
      <c r="P96" s="90" t="e">
        <f>INDEX(Tree!#REF!,MATCH($O96,Tree!#REF!,0)+MATCH(Tree!#REF!,Tree!#REF!,0)-1)</f>
        <v>#REF!</v>
      </c>
      <c r="Q96" s="104" t="e">
        <f t="shared" si="17"/>
        <v>#REF!</v>
      </c>
      <c r="R96" s="119" t="e">
        <f>Tree!#REF!</f>
        <v>#REF!</v>
      </c>
      <c r="S96" s="102" t="e">
        <f t="shared" si="18"/>
        <v>#REF!</v>
      </c>
      <c r="T96" s="80" t="s">
        <v>33</v>
      </c>
      <c r="U96" s="80" t="e">
        <f>Tree!#REF!</f>
        <v>#REF!</v>
      </c>
      <c r="V96" s="80"/>
      <c r="W96" s="104" t="e">
        <f>S96*U96</f>
        <v>#REF!</v>
      </c>
      <c r="X96" s="119" t="e">
        <f>Tree!#REF!</f>
        <v>#REF!</v>
      </c>
      <c r="Y96" s="102" t="e">
        <f t="shared" si="13"/>
        <v>#REF!</v>
      </c>
      <c r="Z96" s="80" t="s">
        <v>117</v>
      </c>
      <c r="AA96" s="80" t="e">
        <f>Tree!#REF!</f>
        <v>#REF!</v>
      </c>
      <c r="AB96" s="80"/>
      <c r="AC96" s="91" t="e">
        <f t="shared" si="19"/>
        <v>#REF!</v>
      </c>
      <c r="AD96" s="80" t="e">
        <f t="shared" si="20"/>
        <v>#REF!</v>
      </c>
    </row>
    <row r="97" spans="3:30" x14ac:dyDescent="0.25">
      <c r="C97" s="121" t="e">
        <f>Tree!#REF!</f>
        <v>#REF!</v>
      </c>
      <c r="D97" s="41" t="e">
        <f>Tree!#REF!</f>
        <v>#REF!</v>
      </c>
      <c r="E97" s="122" t="e">
        <f t="shared" si="14"/>
        <v>#REF!</v>
      </c>
      <c r="F97" s="41" t="e">
        <f>Tree!#REF!</f>
        <v>#REF!</v>
      </c>
      <c r="G97" s="122" t="e">
        <f t="shared" si="15"/>
        <v>#REF!</v>
      </c>
      <c r="H97" s="79" t="e">
        <f>INDEX(Tree!#REF!,MATCH($J97,Tree!#REF!,0))</f>
        <v>#REF!</v>
      </c>
      <c r="I97" s="100" t="e">
        <f t="shared" si="16"/>
        <v>#REF!</v>
      </c>
      <c r="J97" s="80" t="s">
        <v>23</v>
      </c>
      <c r="K97" s="90" t="e">
        <f>INDEX(Tree!#REF!,MATCH($J97,Tree!#REF!,0))</f>
        <v>#REF!</v>
      </c>
      <c r="L97" s="104" t="e">
        <f t="shared" si="12"/>
        <v>#REF!</v>
      </c>
      <c r="M97" s="90" t="e">
        <f>Tree!#REF!</f>
        <v>#REF!</v>
      </c>
      <c r="N97" s="102" t="e">
        <f t="shared" si="21"/>
        <v>#REF!</v>
      </c>
      <c r="O97" s="90" t="s">
        <v>30</v>
      </c>
      <c r="P97" s="90" t="e">
        <f>INDEX(Tree!#REF!,MATCH($O97,Tree!#REF!,0)+MATCH(Tree!#REF!,Tree!#REF!,0)-1)</f>
        <v>#REF!</v>
      </c>
      <c r="Q97" s="104" t="e">
        <f t="shared" si="17"/>
        <v>#REF!</v>
      </c>
      <c r="R97" s="119" t="e">
        <f>Tree!#REF!</f>
        <v>#REF!</v>
      </c>
      <c r="S97" s="102" t="e">
        <f t="shared" si="18"/>
        <v>#REF!</v>
      </c>
      <c r="T97" s="80" t="s">
        <v>33</v>
      </c>
      <c r="U97" s="80" t="e">
        <f>Tree!#REF!</f>
        <v>#REF!</v>
      </c>
      <c r="V97" s="80"/>
      <c r="W97" s="104" t="e">
        <f>S97*U97</f>
        <v>#REF!</v>
      </c>
      <c r="X97" s="119" t="e">
        <f>Tree!#REF!</f>
        <v>#REF!</v>
      </c>
      <c r="Y97" s="102" t="e">
        <f t="shared" si="13"/>
        <v>#REF!</v>
      </c>
      <c r="Z97" s="80" t="s">
        <v>52</v>
      </c>
      <c r="AA97" s="80"/>
      <c r="AB97" s="80" t="e">
        <f>Tree!#REF!</f>
        <v>#REF!</v>
      </c>
      <c r="AC97" s="91" t="e">
        <f t="shared" si="19"/>
        <v>#REF!</v>
      </c>
      <c r="AD97" s="80" t="e">
        <f t="shared" si="20"/>
        <v>#REF!</v>
      </c>
    </row>
    <row r="98" spans="3:30" x14ac:dyDescent="0.25">
      <c r="C98" s="121" t="e">
        <f>Tree!#REF!</f>
        <v>#REF!</v>
      </c>
      <c r="D98" s="41" t="e">
        <f>Tree!#REF!</f>
        <v>#REF!</v>
      </c>
      <c r="E98" s="122" t="e">
        <f t="shared" si="14"/>
        <v>#REF!</v>
      </c>
      <c r="F98" s="41" t="e">
        <f>Tree!#REF!</f>
        <v>#REF!</v>
      </c>
      <c r="G98" s="122" t="e">
        <f t="shared" si="15"/>
        <v>#REF!</v>
      </c>
      <c r="H98" s="79" t="e">
        <f>INDEX(Tree!#REF!,MATCH($J98,Tree!#REF!,0))</f>
        <v>#REF!</v>
      </c>
      <c r="I98" s="100" t="e">
        <f t="shared" si="16"/>
        <v>#REF!</v>
      </c>
      <c r="J98" s="80" t="s">
        <v>23</v>
      </c>
      <c r="K98" s="90" t="e">
        <f>INDEX(Tree!#REF!,MATCH($J98,Tree!#REF!,0))</f>
        <v>#REF!</v>
      </c>
      <c r="L98" s="104" t="e">
        <f t="shared" si="12"/>
        <v>#REF!</v>
      </c>
      <c r="M98" s="90" t="e">
        <f>Tree!#REF!</f>
        <v>#REF!</v>
      </c>
      <c r="N98" s="102" t="e">
        <f t="shared" si="21"/>
        <v>#REF!</v>
      </c>
      <c r="O98" s="90" t="s">
        <v>30</v>
      </c>
      <c r="P98" s="90" t="e">
        <f>INDEX(Tree!#REF!,MATCH($O98,Tree!#REF!,0)+MATCH(Tree!#REF!,Tree!#REF!,0)-1)</f>
        <v>#REF!</v>
      </c>
      <c r="Q98" s="104" t="e">
        <f t="shared" si="17"/>
        <v>#REF!</v>
      </c>
      <c r="R98" s="119" t="e">
        <f>Tree!#REF!</f>
        <v>#REF!</v>
      </c>
      <c r="S98" s="102" t="e">
        <f t="shared" si="18"/>
        <v>#REF!</v>
      </c>
      <c r="T98" s="80" t="s">
        <v>33</v>
      </c>
      <c r="U98" s="80" t="e">
        <f>Tree!#REF!</f>
        <v>#REF!</v>
      </c>
      <c r="V98" s="80"/>
      <c r="W98" s="104" t="e">
        <f>S98*U98</f>
        <v>#REF!</v>
      </c>
      <c r="X98" s="119" t="e">
        <f>Tree!#REF!</f>
        <v>#REF!</v>
      </c>
      <c r="Y98" s="102" t="e">
        <f t="shared" si="13"/>
        <v>#REF!</v>
      </c>
      <c r="Z98" s="80" t="s">
        <v>53</v>
      </c>
      <c r="AA98" s="80"/>
      <c r="AB98" s="80" t="e">
        <f>Tree!#REF!</f>
        <v>#REF!</v>
      </c>
      <c r="AC98" s="91" t="e">
        <f t="shared" si="19"/>
        <v>#REF!</v>
      </c>
      <c r="AD98" s="80" t="e">
        <f t="shared" si="20"/>
        <v>#REF!</v>
      </c>
    </row>
    <row r="99" spans="3:30" x14ac:dyDescent="0.25">
      <c r="C99" s="121" t="e">
        <f>Tree!#REF!</f>
        <v>#REF!</v>
      </c>
      <c r="D99" s="41" t="e">
        <f>Tree!#REF!</f>
        <v>#REF!</v>
      </c>
      <c r="E99" s="122" t="e">
        <f t="shared" si="14"/>
        <v>#REF!</v>
      </c>
      <c r="F99" s="41" t="e">
        <f>Tree!#REF!</f>
        <v>#REF!</v>
      </c>
      <c r="G99" s="122" t="e">
        <f t="shared" si="15"/>
        <v>#REF!</v>
      </c>
      <c r="H99" s="79" t="e">
        <f>INDEX(Tree!#REF!,MATCH($J99,Tree!#REF!,0))</f>
        <v>#REF!</v>
      </c>
      <c r="I99" s="100" t="e">
        <f t="shared" si="16"/>
        <v>#REF!</v>
      </c>
      <c r="J99" s="80" t="s">
        <v>23</v>
      </c>
      <c r="K99" s="90" t="e">
        <f>INDEX(Tree!#REF!,MATCH($J99,Tree!#REF!,0))</f>
        <v>#REF!</v>
      </c>
      <c r="L99" s="104" t="e">
        <f t="shared" si="12"/>
        <v>#REF!</v>
      </c>
      <c r="M99" s="90" t="e">
        <f>Tree!#REF!</f>
        <v>#REF!</v>
      </c>
      <c r="N99" s="102" t="e">
        <f t="shared" si="21"/>
        <v>#REF!</v>
      </c>
      <c r="O99" s="90" t="s">
        <v>29</v>
      </c>
      <c r="P99" s="90" t="e">
        <f>INDEX(Tree!#REF!,MATCH($O99,Tree!#REF!,0)+MATCH(Tree!#REF!,Tree!#REF!,0)-1)</f>
        <v>#REF!</v>
      </c>
      <c r="Q99" s="104" t="e">
        <f t="shared" si="17"/>
        <v>#REF!</v>
      </c>
      <c r="R99" s="119" t="e">
        <f>Tree!#REF!</f>
        <v>#REF!</v>
      </c>
      <c r="S99" s="102" t="e">
        <f t="shared" si="18"/>
        <v>#REF!</v>
      </c>
      <c r="T99" s="80" t="s">
        <v>32</v>
      </c>
      <c r="U99" s="80"/>
      <c r="V99" s="80" t="e">
        <f>Tree!#REF!</f>
        <v>#REF!</v>
      </c>
      <c r="W99" s="104"/>
      <c r="X99" s="119"/>
      <c r="Y99" s="102">
        <f t="shared" si="13"/>
        <v>0</v>
      </c>
      <c r="Z99" s="80"/>
      <c r="AA99" s="80"/>
      <c r="AB99" s="80"/>
      <c r="AC99" s="91" t="e">
        <f t="shared" si="19"/>
        <v>#REF!</v>
      </c>
      <c r="AD99" s="80">
        <f t="shared" si="20"/>
        <v>0</v>
      </c>
    </row>
    <row r="100" spans="3:30" x14ac:dyDescent="0.25">
      <c r="C100" s="121" t="e">
        <f>Tree!#REF!</f>
        <v>#REF!</v>
      </c>
      <c r="D100" s="41" t="e">
        <f>Tree!#REF!</f>
        <v>#REF!</v>
      </c>
      <c r="E100" s="122" t="e">
        <f t="shared" si="14"/>
        <v>#REF!</v>
      </c>
      <c r="F100" s="41" t="e">
        <f>Tree!#REF!</f>
        <v>#REF!</v>
      </c>
      <c r="G100" s="122" t="e">
        <f t="shared" si="15"/>
        <v>#REF!</v>
      </c>
      <c r="H100" s="79" t="e">
        <f>INDEX(Tree!#REF!,MATCH($J100,Tree!#REF!,0))</f>
        <v>#REF!</v>
      </c>
      <c r="I100" s="100" t="e">
        <f t="shared" si="16"/>
        <v>#REF!</v>
      </c>
      <c r="J100" s="80" t="s">
        <v>23</v>
      </c>
      <c r="K100" s="90" t="e">
        <f>INDEX(Tree!#REF!,MATCH($J100,Tree!#REF!,0))</f>
        <v>#REF!</v>
      </c>
      <c r="L100" s="104" t="e">
        <f>K100*I100</f>
        <v>#REF!</v>
      </c>
      <c r="M100" s="90" t="e">
        <f>Tree!#REF!</f>
        <v>#REF!</v>
      </c>
      <c r="N100" s="102" t="e">
        <f t="shared" si="21"/>
        <v>#REF!</v>
      </c>
      <c r="O100" s="90" t="s">
        <v>29</v>
      </c>
      <c r="P100" s="90" t="e">
        <f>INDEX(Tree!#REF!,MATCH($O100,Tree!#REF!,0)+MATCH(Tree!#REF!,Tree!#REF!,0)-1)</f>
        <v>#REF!</v>
      </c>
      <c r="Q100" s="104" t="e">
        <f t="shared" si="17"/>
        <v>#REF!</v>
      </c>
      <c r="R100" s="119" t="e">
        <f>Tree!#REF!</f>
        <v>#REF!</v>
      </c>
      <c r="S100" s="102" t="e">
        <f t="shared" si="18"/>
        <v>#REF!</v>
      </c>
      <c r="T100" s="80" t="s">
        <v>33</v>
      </c>
      <c r="U100" s="80" t="e">
        <f>Tree!#REF!</f>
        <v>#REF!</v>
      </c>
      <c r="V100" s="80"/>
      <c r="W100" s="104" t="e">
        <f>S100*U100</f>
        <v>#REF!</v>
      </c>
      <c r="X100" s="119" t="e">
        <f>Tree!#REF!</f>
        <v>#REF!</v>
      </c>
      <c r="Y100" s="102" t="e">
        <f t="shared" si="13"/>
        <v>#REF!</v>
      </c>
      <c r="Z100" s="80" t="s">
        <v>54</v>
      </c>
      <c r="AA100" s="80" t="e">
        <f>Tree!#REF!</f>
        <v>#REF!</v>
      </c>
      <c r="AB100" s="80"/>
      <c r="AC100" s="91" t="e">
        <f t="shared" si="19"/>
        <v>#REF!</v>
      </c>
      <c r="AD100" s="80" t="e">
        <f t="shared" si="20"/>
        <v>#REF!</v>
      </c>
    </row>
    <row r="101" spans="3:30" x14ac:dyDescent="0.25">
      <c r="C101" s="121" t="e">
        <f>Tree!#REF!</f>
        <v>#REF!</v>
      </c>
      <c r="D101" s="41" t="e">
        <f>Tree!#REF!</f>
        <v>#REF!</v>
      </c>
      <c r="E101" s="122" t="e">
        <f t="shared" si="14"/>
        <v>#REF!</v>
      </c>
      <c r="F101" s="41" t="e">
        <f>Tree!#REF!</f>
        <v>#REF!</v>
      </c>
      <c r="G101" s="122" t="e">
        <f t="shared" si="15"/>
        <v>#REF!</v>
      </c>
      <c r="H101" s="79" t="e">
        <f>INDEX(Tree!#REF!,MATCH($J101,Tree!#REF!,0))</f>
        <v>#REF!</v>
      </c>
      <c r="I101" s="100" t="e">
        <f t="shared" si="16"/>
        <v>#REF!</v>
      </c>
      <c r="J101" s="80" t="s">
        <v>23</v>
      </c>
      <c r="K101" s="90" t="e">
        <f>INDEX(Tree!#REF!,MATCH($J101,Tree!#REF!,0))</f>
        <v>#REF!</v>
      </c>
      <c r="L101" s="104" t="e">
        <f>K101*I101</f>
        <v>#REF!</v>
      </c>
      <c r="M101" s="90" t="e">
        <f>Tree!#REF!</f>
        <v>#REF!</v>
      </c>
      <c r="N101" s="102" t="e">
        <f t="shared" si="21"/>
        <v>#REF!</v>
      </c>
      <c r="O101" s="90" t="s">
        <v>29</v>
      </c>
      <c r="P101" s="90" t="e">
        <f>INDEX(Tree!#REF!,MATCH($O101,Tree!#REF!,0)+MATCH(Tree!#REF!,Tree!#REF!,0)-1)</f>
        <v>#REF!</v>
      </c>
      <c r="Q101" s="104" t="e">
        <f t="shared" si="17"/>
        <v>#REF!</v>
      </c>
      <c r="R101" s="119" t="e">
        <f>Tree!#REF!</f>
        <v>#REF!</v>
      </c>
      <c r="S101" s="102" t="e">
        <f t="shared" si="18"/>
        <v>#REF!</v>
      </c>
      <c r="T101" s="80" t="s">
        <v>33</v>
      </c>
      <c r="U101" s="80" t="e">
        <f>Tree!#REF!</f>
        <v>#REF!</v>
      </c>
      <c r="V101" s="80"/>
      <c r="W101" s="104" t="e">
        <f>S101*U101</f>
        <v>#REF!</v>
      </c>
      <c r="X101" s="119" t="e">
        <f>Tree!#REF!</f>
        <v>#REF!</v>
      </c>
      <c r="Y101" s="102" t="e">
        <f t="shared" si="13"/>
        <v>#REF!</v>
      </c>
      <c r="Z101" s="80" t="s">
        <v>117</v>
      </c>
      <c r="AA101" s="80" t="e">
        <f>Tree!#REF!</f>
        <v>#REF!</v>
      </c>
      <c r="AB101" s="80"/>
      <c r="AC101" s="91" t="e">
        <f t="shared" si="19"/>
        <v>#REF!</v>
      </c>
      <c r="AD101" s="80" t="e">
        <f t="shared" si="20"/>
        <v>#REF!</v>
      </c>
    </row>
    <row r="102" spans="3:30" x14ac:dyDescent="0.25">
      <c r="C102" s="121" t="e">
        <f>Tree!#REF!</f>
        <v>#REF!</v>
      </c>
      <c r="D102" s="41" t="e">
        <f>Tree!#REF!</f>
        <v>#REF!</v>
      </c>
      <c r="E102" s="122" t="e">
        <f t="shared" si="14"/>
        <v>#REF!</v>
      </c>
      <c r="F102" s="41" t="e">
        <f>Tree!#REF!</f>
        <v>#REF!</v>
      </c>
      <c r="G102" s="122" t="e">
        <f t="shared" si="15"/>
        <v>#REF!</v>
      </c>
      <c r="H102" s="79" t="e">
        <f>INDEX(Tree!#REF!,MATCH($J102,Tree!#REF!,0))</f>
        <v>#REF!</v>
      </c>
      <c r="I102" s="100" t="e">
        <f t="shared" si="16"/>
        <v>#REF!</v>
      </c>
      <c r="J102" s="80" t="s">
        <v>23</v>
      </c>
      <c r="K102" s="90" t="e">
        <f>INDEX(Tree!#REF!,MATCH($J102,Tree!#REF!,0))</f>
        <v>#REF!</v>
      </c>
      <c r="L102" s="104" t="e">
        <f>K102*I102</f>
        <v>#REF!</v>
      </c>
      <c r="M102" s="90" t="e">
        <f>Tree!#REF!</f>
        <v>#REF!</v>
      </c>
      <c r="N102" s="102" t="e">
        <f t="shared" si="21"/>
        <v>#REF!</v>
      </c>
      <c r="O102" s="90" t="s">
        <v>29</v>
      </c>
      <c r="P102" s="90" t="e">
        <f>INDEX(Tree!#REF!,MATCH($O102,Tree!#REF!,0)+MATCH(Tree!#REF!,Tree!#REF!,0)-1)</f>
        <v>#REF!</v>
      </c>
      <c r="Q102" s="104" t="e">
        <f t="shared" si="17"/>
        <v>#REF!</v>
      </c>
      <c r="R102" s="119" t="e">
        <f>Tree!#REF!</f>
        <v>#REF!</v>
      </c>
      <c r="S102" s="102" t="e">
        <f t="shared" si="18"/>
        <v>#REF!</v>
      </c>
      <c r="T102" s="80" t="s">
        <v>33</v>
      </c>
      <c r="U102" s="80" t="e">
        <f>Tree!#REF!</f>
        <v>#REF!</v>
      </c>
      <c r="V102" s="80"/>
      <c r="W102" s="104" t="e">
        <f>S102*U102</f>
        <v>#REF!</v>
      </c>
      <c r="X102" s="119" t="e">
        <f>Tree!#REF!</f>
        <v>#REF!</v>
      </c>
      <c r="Y102" s="102" t="e">
        <f t="shared" si="13"/>
        <v>#REF!</v>
      </c>
      <c r="Z102" s="80" t="s">
        <v>52</v>
      </c>
      <c r="AA102" s="80"/>
      <c r="AB102" s="80" t="e">
        <f>Tree!#REF!</f>
        <v>#REF!</v>
      </c>
      <c r="AC102" s="91" t="e">
        <f t="shared" si="19"/>
        <v>#REF!</v>
      </c>
      <c r="AD102" s="80" t="e">
        <f t="shared" si="20"/>
        <v>#REF!</v>
      </c>
    </row>
    <row r="103" spans="3:30" x14ac:dyDescent="0.25">
      <c r="C103" s="121" t="e">
        <f>Tree!#REF!</f>
        <v>#REF!</v>
      </c>
      <c r="D103" s="41" t="e">
        <f>Tree!#REF!</f>
        <v>#REF!</v>
      </c>
      <c r="E103" s="122" t="e">
        <f t="shared" si="14"/>
        <v>#REF!</v>
      </c>
      <c r="F103" s="41" t="e">
        <f>Tree!#REF!</f>
        <v>#REF!</v>
      </c>
      <c r="G103" s="122" t="e">
        <f t="shared" si="15"/>
        <v>#REF!</v>
      </c>
      <c r="H103" s="79" t="e">
        <f>INDEX(Tree!#REF!,MATCH($J103,Tree!#REF!,0))</f>
        <v>#REF!</v>
      </c>
      <c r="I103" s="100" t="e">
        <f t="shared" si="16"/>
        <v>#REF!</v>
      </c>
      <c r="J103" s="80" t="s">
        <v>23</v>
      </c>
      <c r="K103" s="90" t="e">
        <f>INDEX(Tree!#REF!,MATCH($J103,Tree!#REF!,0))</f>
        <v>#REF!</v>
      </c>
      <c r="L103" s="104" t="e">
        <f>K103*I103</f>
        <v>#REF!</v>
      </c>
      <c r="M103" s="90" t="e">
        <f>Tree!#REF!</f>
        <v>#REF!</v>
      </c>
      <c r="N103" s="102" t="e">
        <f t="shared" si="21"/>
        <v>#REF!</v>
      </c>
      <c r="O103" s="90" t="s">
        <v>29</v>
      </c>
      <c r="P103" s="90" t="e">
        <f>INDEX(Tree!#REF!,MATCH($O103,Tree!#REF!,0)+MATCH(Tree!#REF!,Tree!#REF!,0)-1)</f>
        <v>#REF!</v>
      </c>
      <c r="Q103" s="104" t="e">
        <f t="shared" si="17"/>
        <v>#REF!</v>
      </c>
      <c r="R103" s="119" t="e">
        <f>Tree!#REF!</f>
        <v>#REF!</v>
      </c>
      <c r="S103" s="102" t="e">
        <f t="shared" si="18"/>
        <v>#REF!</v>
      </c>
      <c r="T103" s="80" t="s">
        <v>33</v>
      </c>
      <c r="U103" s="80" t="e">
        <f>Tree!#REF!</f>
        <v>#REF!</v>
      </c>
      <c r="V103" s="80"/>
      <c r="W103" s="104" t="e">
        <f>S103*U103</f>
        <v>#REF!</v>
      </c>
      <c r="X103" s="119" t="e">
        <f>Tree!#REF!</f>
        <v>#REF!</v>
      </c>
      <c r="Y103" s="102" t="e">
        <f t="shared" si="13"/>
        <v>#REF!</v>
      </c>
      <c r="Z103" s="80" t="s">
        <v>53</v>
      </c>
      <c r="AA103" s="80"/>
      <c r="AB103" s="80" t="e">
        <f>Tree!#REF!</f>
        <v>#REF!</v>
      </c>
      <c r="AC103" s="91" t="e">
        <f t="shared" si="19"/>
        <v>#REF!</v>
      </c>
      <c r="AD103" s="80" t="e">
        <f t="shared" si="20"/>
        <v>#REF!</v>
      </c>
    </row>
  </sheetData>
  <sortState xmlns:xlrd2="http://schemas.microsoft.com/office/spreadsheetml/2017/richdata2" ref="O4:O25">
    <sortCondition ref="O25"/>
  </sortState>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C2F0BE-7E79-4AE7-BB07-A4813FC3C148}">
  <sheetPr codeName="Sheet6">
    <tabColor rgb="FFFFFF00"/>
  </sheetPr>
  <dimension ref="A1:AY103"/>
  <sheetViews>
    <sheetView zoomScale="70" zoomScaleNormal="70" workbookViewId="0">
      <pane xSplit="2" ySplit="1" topLeftCell="C2" activePane="bottomRight" state="frozen"/>
      <selection activeCell="AC4" sqref="AC4:AC103"/>
      <selection pane="topRight" activeCell="AC4" sqref="AC4:AC103"/>
      <selection pane="bottomLeft" activeCell="AC4" sqref="AC4:AC103"/>
      <selection pane="bottomRight" activeCell="AC4" sqref="AC4:AC103"/>
    </sheetView>
    <sheetView zoomScale="70" zoomScaleNormal="70" workbookViewId="1"/>
  </sheetViews>
  <sheetFormatPr defaultRowHeight="15" x14ac:dyDescent="0.25"/>
  <cols>
    <col min="1" max="1" width="35.85546875" bestFit="1" customWidth="1"/>
    <col min="2" max="2" width="4.42578125" customWidth="1"/>
    <col min="3" max="3" width="11.7109375" style="85" bestFit="1" customWidth="1"/>
    <col min="4" max="4" width="12.140625" customWidth="1"/>
    <col min="5" max="5" width="11.7109375" style="85" bestFit="1" customWidth="1"/>
    <col min="6" max="6" width="10.140625" customWidth="1"/>
    <col min="7" max="7" width="11.7109375" style="85" bestFit="1" customWidth="1"/>
    <col min="8" max="8" width="11.85546875" style="75" bestFit="1" customWidth="1"/>
    <col min="9" max="9" width="10.140625" style="75" bestFit="1" customWidth="1"/>
    <col min="10" max="10" width="28.42578125" bestFit="1" customWidth="1"/>
    <col min="11" max="11" width="11.28515625" customWidth="1"/>
    <col min="12" max="12" width="13.85546875" style="85" bestFit="1" customWidth="1"/>
    <col min="13" max="13" width="17.5703125" style="75" customWidth="1"/>
    <col min="14" max="14" width="19.42578125" style="75" customWidth="1"/>
    <col min="15" max="15" width="13.85546875" style="75" customWidth="1"/>
    <col min="16" max="16" width="18.140625" style="75" customWidth="1"/>
    <col min="17" max="17" width="9.5703125" style="75" customWidth="1"/>
    <col min="18" max="18" width="2" bestFit="1" customWidth="1"/>
    <col min="19" max="19" width="16.42578125" bestFit="1" customWidth="1"/>
    <col min="20" max="20" width="13.42578125" style="85" bestFit="1" customWidth="1"/>
    <col min="21" max="21" width="17.42578125" style="75" customWidth="1"/>
    <col min="22" max="22" width="21.42578125" style="75" customWidth="1"/>
    <col min="23" max="23" width="13.28515625" bestFit="1" customWidth="1"/>
    <col min="24" max="24" width="17" customWidth="1"/>
    <col min="25" max="25" width="17.42578125" bestFit="1" customWidth="1"/>
    <col min="26" max="26" width="2" bestFit="1" customWidth="1"/>
    <col min="27" max="27" width="17.7109375" bestFit="1" customWidth="1"/>
    <col min="28" max="28" width="15.42578125" bestFit="1" customWidth="1"/>
    <col min="29" max="29" width="12.7109375" style="85" bestFit="1" customWidth="1"/>
    <col min="30" max="30" width="20.140625" style="75" customWidth="1"/>
    <col min="31" max="31" width="20.85546875" style="75" customWidth="1"/>
    <col min="32" max="32" width="13.28515625" bestFit="1" customWidth="1"/>
    <col min="33" max="33" width="21.42578125" customWidth="1"/>
    <col min="34" max="34" width="25.7109375" style="72" bestFit="1" customWidth="1"/>
    <col min="35" max="35" width="2" bestFit="1" customWidth="1"/>
    <col min="36" max="36" width="8.28515625" style="72" bestFit="1" customWidth="1"/>
    <col min="37" max="37" width="13.140625" bestFit="1" customWidth="1"/>
    <col min="38" max="38" width="12.7109375" style="85" bestFit="1" customWidth="1"/>
    <col min="39" max="39" width="13.140625" style="72" bestFit="1" customWidth="1"/>
    <col min="42" max="42" width="25.7109375" bestFit="1" customWidth="1"/>
    <col min="43" max="43" width="16.7109375" bestFit="1" customWidth="1"/>
    <col min="48" max="48" width="9.85546875" customWidth="1"/>
    <col min="49" max="49" width="10" customWidth="1"/>
  </cols>
  <sheetData>
    <row r="1" spans="1:51" s="127" customFormat="1" x14ac:dyDescent="0.25">
      <c r="C1" s="128" t="s">
        <v>5</v>
      </c>
      <c r="E1" s="128" t="s">
        <v>0</v>
      </c>
      <c r="G1" s="128" t="s">
        <v>108</v>
      </c>
      <c r="L1" s="128" t="s">
        <v>1</v>
      </c>
      <c r="M1" s="129"/>
      <c r="N1" s="129"/>
      <c r="O1" s="129"/>
      <c r="P1" s="129"/>
      <c r="Q1" s="129"/>
      <c r="T1" s="128" t="s">
        <v>70</v>
      </c>
      <c r="U1" s="129"/>
      <c r="V1" s="129"/>
      <c r="AC1" s="128" t="s">
        <v>33</v>
      </c>
      <c r="AD1" s="129"/>
      <c r="AE1" s="129"/>
      <c r="AH1" s="130"/>
      <c r="AJ1" s="130"/>
      <c r="AL1" s="128" t="s">
        <v>57</v>
      </c>
      <c r="AM1" s="130"/>
    </row>
    <row r="2" spans="1:51" s="131" customFormat="1" x14ac:dyDescent="0.25">
      <c r="C2" s="108" t="s">
        <v>137</v>
      </c>
      <c r="D2" s="109" t="s">
        <v>138</v>
      </c>
      <c r="E2" s="108" t="s">
        <v>137</v>
      </c>
      <c r="F2" s="111" t="s">
        <v>138</v>
      </c>
      <c r="G2" s="108" t="s">
        <v>137</v>
      </c>
      <c r="H2" s="111" t="s">
        <v>139</v>
      </c>
      <c r="I2" s="111" t="s">
        <v>137</v>
      </c>
      <c r="J2" s="109"/>
      <c r="K2" s="109" t="s">
        <v>138</v>
      </c>
      <c r="L2" s="108" t="s">
        <v>137</v>
      </c>
      <c r="M2" s="94" t="s">
        <v>160</v>
      </c>
      <c r="N2" s="94" t="s">
        <v>163</v>
      </c>
      <c r="O2" s="111" t="s">
        <v>139</v>
      </c>
      <c r="P2" s="111" t="s">
        <v>137</v>
      </c>
      <c r="Q2" s="110"/>
      <c r="R2" s="109"/>
      <c r="S2" s="111" t="s">
        <v>138</v>
      </c>
      <c r="T2" s="112" t="s">
        <v>137</v>
      </c>
      <c r="U2" s="94" t="s">
        <v>160</v>
      </c>
      <c r="V2" s="94" t="s">
        <v>163</v>
      </c>
      <c r="W2" s="111" t="s">
        <v>139</v>
      </c>
      <c r="X2" s="111" t="s">
        <v>137</v>
      </c>
      <c r="Y2" s="109"/>
      <c r="Z2" s="109"/>
      <c r="AA2" s="109" t="s">
        <v>138</v>
      </c>
      <c r="AB2" s="109" t="s">
        <v>138</v>
      </c>
      <c r="AC2" s="108" t="s">
        <v>137</v>
      </c>
      <c r="AD2" s="94" t="s">
        <v>160</v>
      </c>
      <c r="AE2" s="94" t="s">
        <v>163</v>
      </c>
      <c r="AF2" s="111" t="s">
        <v>139</v>
      </c>
      <c r="AG2" s="111" t="s">
        <v>137</v>
      </c>
      <c r="AH2" s="113"/>
      <c r="AI2" s="109"/>
      <c r="AJ2" s="113" t="s">
        <v>138</v>
      </c>
      <c r="AK2" s="109" t="s">
        <v>138</v>
      </c>
      <c r="AL2" s="108" t="s">
        <v>138</v>
      </c>
      <c r="AM2" s="113" t="s">
        <v>138</v>
      </c>
    </row>
    <row r="3" spans="1:51" s="124" customFormat="1" ht="75" x14ac:dyDescent="0.25">
      <c r="A3" s="125" t="s">
        <v>161</v>
      </c>
      <c r="C3" s="92" t="s">
        <v>43</v>
      </c>
      <c r="D3" s="93" t="s">
        <v>134</v>
      </c>
      <c r="E3" s="92" t="s">
        <v>81</v>
      </c>
      <c r="F3" s="93" t="s">
        <v>135</v>
      </c>
      <c r="G3" s="92" t="s">
        <v>136</v>
      </c>
      <c r="H3" s="94" t="s">
        <v>124</v>
      </c>
      <c r="I3" s="95" t="s">
        <v>84</v>
      </c>
      <c r="J3" s="93"/>
      <c r="K3" s="93" t="s">
        <v>157</v>
      </c>
      <c r="L3" s="92" t="s">
        <v>36</v>
      </c>
      <c r="M3" s="123" t="s">
        <v>165</v>
      </c>
      <c r="N3" s="123"/>
      <c r="O3" s="95" t="s">
        <v>125</v>
      </c>
      <c r="P3" s="123" t="s">
        <v>162</v>
      </c>
      <c r="Q3" s="94"/>
      <c r="R3" s="93"/>
      <c r="S3" s="95" t="s">
        <v>158</v>
      </c>
      <c r="T3" s="96" t="s">
        <v>34</v>
      </c>
      <c r="U3" s="123" t="s">
        <v>159</v>
      </c>
      <c r="V3" s="123"/>
      <c r="W3" s="95" t="s">
        <v>125</v>
      </c>
      <c r="X3" s="123" t="s">
        <v>162</v>
      </c>
      <c r="Y3" s="93"/>
      <c r="Z3" s="93"/>
      <c r="AA3" s="93" t="s">
        <v>143</v>
      </c>
      <c r="AB3" s="93" t="s">
        <v>144</v>
      </c>
      <c r="AC3" s="92" t="s">
        <v>34</v>
      </c>
      <c r="AD3" s="123" t="s">
        <v>159</v>
      </c>
      <c r="AE3" s="123"/>
      <c r="AF3" s="95" t="s">
        <v>125</v>
      </c>
      <c r="AG3" s="123" t="s">
        <v>162</v>
      </c>
      <c r="AH3" s="97"/>
      <c r="AI3" s="93"/>
      <c r="AJ3" s="97" t="s">
        <v>141</v>
      </c>
      <c r="AK3" s="93" t="s">
        <v>142</v>
      </c>
      <c r="AL3" s="92" t="s">
        <v>141</v>
      </c>
      <c r="AM3" s="97" t="s">
        <v>142</v>
      </c>
      <c r="AP3" s="133" t="s">
        <v>164</v>
      </c>
      <c r="AQ3" s="93" t="s">
        <v>140</v>
      </c>
      <c r="AR3" s="124" t="s">
        <v>35</v>
      </c>
      <c r="AS3" s="124" t="s">
        <v>152</v>
      </c>
      <c r="AT3" s="124" t="s">
        <v>41</v>
      </c>
      <c r="AU3" s="124" t="s">
        <v>153</v>
      </c>
      <c r="AV3" s="124" t="s">
        <v>154</v>
      </c>
      <c r="AW3" s="124" t="s">
        <v>155</v>
      </c>
      <c r="AX3" s="124" t="s">
        <v>156</v>
      </c>
    </row>
    <row r="4" spans="1:51" x14ac:dyDescent="0.25">
      <c r="A4" s="98" t="s">
        <v>150</v>
      </c>
      <c r="C4" s="121" t="e">
        <f>Tree!#REF!</f>
        <v>#REF!</v>
      </c>
      <c r="D4" s="41" t="e">
        <f>Tree!#REF!</f>
        <v>#REF!</v>
      </c>
      <c r="E4" s="122" t="e">
        <f>D4*C4</f>
        <v>#REF!</v>
      </c>
      <c r="F4" s="41" t="e">
        <f>Tree!#REF!</f>
        <v>#REF!</v>
      </c>
      <c r="G4" s="122" t="e">
        <f>F4*E4</f>
        <v>#REF!</v>
      </c>
      <c r="H4" s="79" t="e">
        <f>INDEX(Tree!#REF!,MATCH($J4,Tree!#REF!,0))</f>
        <v>#REF!</v>
      </c>
      <c r="I4" s="100" t="e">
        <f>G4*H4</f>
        <v>#REF!</v>
      </c>
      <c r="J4" s="41" t="s">
        <v>25</v>
      </c>
      <c r="K4" s="79" t="e">
        <f>INDEX(Tree!#REF!,MATCH($J4,Tree!#REF!,0))</f>
        <v>#REF!</v>
      </c>
      <c r="L4" s="99" t="e">
        <f t="shared" ref="L4:L35" si="0">K4*I4</f>
        <v>#REF!</v>
      </c>
      <c r="M4" s="100" t="e">
        <f>'Example calcs 2000'!N4*0.95</f>
        <v>#REF!</v>
      </c>
      <c r="N4" s="100" t="e">
        <f>L4-SUMPRODUCT(M$4:M$103*($J$4:$J$103=$J4)*R$4:R$103)</f>
        <v>#REF!</v>
      </c>
      <c r="O4" s="100" t="str">
        <f>IFERROR(INDEX($AQ$4:$AQ$6,MATCH(Q4,$AP$4:$AP$6,0))/SUM($AQ$4:$AQ$6),"")</f>
        <v/>
      </c>
      <c r="P4" s="100" t="e">
        <f>IFERROR(N4*O4,0)+M4</f>
        <v>#REF!</v>
      </c>
      <c r="Q4" s="79" t="s">
        <v>31</v>
      </c>
      <c r="R4" s="39">
        <f>IF(Q4&lt;&gt;Q3,1,0)</f>
        <v>1</v>
      </c>
      <c r="S4" s="79" t="e">
        <f>INDEX(Tree!#REF!,MATCH($Q4,Tree!#REF!,0)+MATCH(Tree!#REF!,Tree!#REF!,0)-1)</f>
        <v>#REF!</v>
      </c>
      <c r="T4" s="99" t="e">
        <f>P4*S4</f>
        <v>#REF!</v>
      </c>
      <c r="U4" s="100" t="e">
        <f>'Example calcs 2000'!S4*0.8</f>
        <v>#REF!</v>
      </c>
      <c r="V4" s="100" t="e">
        <f>T4-SUMPRODUCT(U$4:U$103*($J$4:$J$103=$J4)*($Q$4:$Q$103=$Q4)*Z$4:Z$103)</f>
        <v>#REF!</v>
      </c>
      <c r="W4" s="100" t="str">
        <f>IFERROR(INDEX($AQ$8:$AQ$9,MATCH(Y4,$AP$8:$AP$9,0))/SUM($AQ$8:$AQ$9),"")</f>
        <v/>
      </c>
      <c r="X4" s="100" t="e">
        <f t="shared" ref="X4:X67" si="1">IFERROR(V4*W4,0)+U4</f>
        <v>#REF!</v>
      </c>
      <c r="Y4" s="41" t="s">
        <v>32</v>
      </c>
      <c r="Z4" s="39">
        <f>IF(Y4&lt;&gt;Y3,1,0)</f>
        <v>1</v>
      </c>
      <c r="AA4" s="41"/>
      <c r="AB4" s="41" t="e">
        <f>Tree!#REF!</f>
        <v>#REF!</v>
      </c>
      <c r="AC4" s="99"/>
      <c r="AD4" s="100">
        <f>'Example calcs 2000'!Y4*0.8</f>
        <v>0</v>
      </c>
      <c r="AE4" s="100" t="e">
        <f>AC4-SUMPRODUCT(AD$4:AD$103*($J$4:$J$103=$J4)*($Q$4:$Q$103=$Q4)*($Y$4:$Y$103=$Y4)*AI$4:AI$103)</f>
        <v>#REF!</v>
      </c>
      <c r="AF4" s="100" t="str">
        <f>IFERROR(INDEX($AQ$11:$AQ$13,MATCH(AH4,$AP$11:$AP$13,0))/SUM($AQ$11:$AQ$13),"")</f>
        <v/>
      </c>
      <c r="AG4" s="100">
        <f t="shared" ref="AG4:AG67" si="2">IFERROR(AE4*AF4,0)+AD4</f>
        <v>0</v>
      </c>
      <c r="AH4" s="80"/>
      <c r="AI4" s="39">
        <f>IF(AH4&lt;&gt;AH3,1,0)</f>
        <v>0</v>
      </c>
      <c r="AJ4" s="80"/>
      <c r="AK4" s="41"/>
      <c r="AL4" s="86" t="e">
        <f>AB4*X4+AJ4*AG4</f>
        <v>#REF!</v>
      </c>
      <c r="AM4" s="80">
        <f>AK4*AG4</f>
        <v>0</v>
      </c>
      <c r="AP4" s="1" t="s">
        <v>31</v>
      </c>
      <c r="AQ4" s="107" t="e">
        <f>(AS4*AT4/(1-(1+AT4)^(-AU4))+SUM(AV4:AX4))^-AR4</f>
        <v>#REF!</v>
      </c>
      <c r="AR4" t="e">
        <f>Tree!#REF!</f>
        <v>#REF!</v>
      </c>
      <c r="AS4" s="116" t="e">
        <f>Tree!#REF!</f>
        <v>#REF!</v>
      </c>
      <c r="AT4" t="e">
        <f>Tree!#REF!</f>
        <v>#REF!</v>
      </c>
      <c r="AU4" t="e">
        <f>Tree!#REF!</f>
        <v>#REF!</v>
      </c>
      <c r="AV4" s="116" t="e">
        <f>Tree!#REF!</f>
        <v>#REF!</v>
      </c>
      <c r="AW4" s="116" t="e">
        <f>Tree!#REF!</f>
        <v>#REF!</v>
      </c>
    </row>
    <row r="5" spans="1:51" x14ac:dyDescent="0.25">
      <c r="C5" s="135" t="e">
        <f>Tree!#REF!</f>
        <v>#REF!</v>
      </c>
      <c r="D5" s="81" t="e">
        <f>Tree!#REF!</f>
        <v>#REF!</v>
      </c>
      <c r="E5" s="136" t="e">
        <f t="shared" ref="E5:E68" si="3">D5*C5</f>
        <v>#REF!</v>
      </c>
      <c r="F5" s="81" t="e">
        <f>Tree!#REF!</f>
        <v>#REF!</v>
      </c>
      <c r="G5" s="136" t="e">
        <f t="shared" ref="G5:G68" si="4">F5*E5</f>
        <v>#REF!</v>
      </c>
      <c r="H5" s="82" t="e">
        <f>INDEX(Tree!#REF!,MATCH($J5,Tree!#REF!,0))</f>
        <v>#REF!</v>
      </c>
      <c r="I5" s="101" t="e">
        <f t="shared" ref="I5:I68" si="5">G5*H5</f>
        <v>#REF!</v>
      </c>
      <c r="J5" s="81" t="s">
        <v>25</v>
      </c>
      <c r="K5" s="82" t="e">
        <f>INDEX(Tree!#REF!,MATCH($J5,Tree!#REF!,0))</f>
        <v>#REF!</v>
      </c>
      <c r="L5" s="103" t="e">
        <f t="shared" si="0"/>
        <v>#REF!</v>
      </c>
      <c r="M5" s="101" t="e">
        <f>'Example calcs 2000'!N5*0.95</f>
        <v>#REF!</v>
      </c>
      <c r="N5" s="101" t="e">
        <f t="shared" ref="N5:N68" si="6">L5-SUMPRODUCT(M$4:M$103*($J$4:$J$103=$J5)*R$4:R$103)</f>
        <v>#REF!</v>
      </c>
      <c r="O5" s="101" t="str">
        <f t="shared" ref="O5:O68" si="7">IFERROR(INDEX($AQ$4:$AQ$6,MATCH(Q5,$AP$4:$AP$6,0))/SUM($AQ$4:$AQ$6),"")</f>
        <v/>
      </c>
      <c r="P5" s="101" t="e">
        <f t="shared" ref="P5:P68" si="8">IFERROR(N5*O5,0)+M5</f>
        <v>#REF!</v>
      </c>
      <c r="Q5" s="82" t="s">
        <v>31</v>
      </c>
      <c r="R5" s="137">
        <f t="shared" ref="R5:R68" si="9">IF(Q5&lt;&gt;Q4,1,0)</f>
        <v>0</v>
      </c>
      <c r="S5" s="82" t="e">
        <f>INDEX(Tree!#REF!,MATCH($Q5,Tree!#REF!,0)+MATCH(Tree!#REF!,Tree!#REF!,0)-1)</f>
        <v>#REF!</v>
      </c>
      <c r="T5" s="103" t="e">
        <f t="shared" ref="T5:T68" si="10">P5*S5</f>
        <v>#REF!</v>
      </c>
      <c r="U5" s="101" t="e">
        <f>'Example calcs 2000'!S5*0.8</f>
        <v>#REF!</v>
      </c>
      <c r="V5" s="101" t="e">
        <f t="shared" ref="V5:V68" si="11">T5-SUMPRODUCT(U$4:U$103*($J$4:$J$103=$J5)*($Q$4:$Q$103=$Q5)*Z$4:Z$103)</f>
        <v>#REF!</v>
      </c>
      <c r="W5" s="101" t="str">
        <f t="shared" ref="W5:W68" si="12">IFERROR(INDEX($AQ$8:$AQ$9,MATCH(Y5,$AP$8:$AP$9,0))/SUM($AQ$8:$AQ$9),"")</f>
        <v/>
      </c>
      <c r="X5" s="101" t="e">
        <f t="shared" si="1"/>
        <v>#REF!</v>
      </c>
      <c r="Y5" s="81" t="s">
        <v>33</v>
      </c>
      <c r="Z5" s="137">
        <f t="shared" ref="Z5:Z68" si="13">IF(Y5&lt;&gt;Y4,1,0)</f>
        <v>1</v>
      </c>
      <c r="AA5" s="81" t="e">
        <f>Tree!#REF!</f>
        <v>#REF!</v>
      </c>
      <c r="AB5" s="81"/>
      <c r="AC5" s="103" t="e">
        <f>X5*AA5</f>
        <v>#REF!</v>
      </c>
      <c r="AD5" s="101" t="e">
        <f>'Example calcs 2000'!Y5*0.8</f>
        <v>#REF!</v>
      </c>
      <c r="AE5" s="101" t="e">
        <f t="shared" ref="AE5:AE68" si="14">AC5-SUMPRODUCT(AD$4:AD$103*($J$4:$J$103=$J5)*($Q$4:$Q$103=$Q5)*($Y$4:$Y$103=$Y5)*AI$4:AI$103)</f>
        <v>#REF!</v>
      </c>
      <c r="AF5" s="120"/>
      <c r="AG5" s="101" t="e">
        <f t="shared" si="2"/>
        <v>#REF!</v>
      </c>
      <c r="AH5" s="81" t="s">
        <v>54</v>
      </c>
      <c r="AI5" s="137">
        <f t="shared" ref="AI5:AI68" si="15">IF(AH5&lt;&gt;AH4,1,0)</f>
        <v>1</v>
      </c>
      <c r="AJ5" s="81" t="e">
        <f>Tree!#REF!</f>
        <v>#REF!</v>
      </c>
      <c r="AK5" s="81"/>
      <c r="AL5" s="87" t="e">
        <f t="shared" ref="AL5:AL68" si="16">AB5*X5+AJ5*AG5</f>
        <v>#REF!</v>
      </c>
      <c r="AM5" s="81" t="e">
        <f t="shared" ref="AM5:AM68" si="17">AK5*AG5</f>
        <v>#REF!</v>
      </c>
      <c r="AP5" s="1" t="s">
        <v>30</v>
      </c>
      <c r="AQ5" s="107" t="e">
        <f>(AS5*AT5/(1-(1+AT5)^(-AU5))+SUM(AV5:AX5))^-AR5</f>
        <v>#REF!</v>
      </c>
      <c r="AR5" t="e">
        <f>Tree!#REF!</f>
        <v>#REF!</v>
      </c>
      <c r="AS5" s="116" t="e">
        <f>Tree!#REF!</f>
        <v>#REF!</v>
      </c>
      <c r="AT5" t="e">
        <f>Tree!#REF!</f>
        <v>#REF!</v>
      </c>
      <c r="AU5" t="e">
        <f>Tree!#REF!</f>
        <v>#REF!</v>
      </c>
      <c r="AV5" s="116" t="e">
        <f>Tree!#REF!</f>
        <v>#REF!</v>
      </c>
      <c r="AW5" s="116" t="e">
        <f>Tree!#REF!</f>
        <v>#REF!</v>
      </c>
    </row>
    <row r="6" spans="1:51" x14ac:dyDescent="0.25">
      <c r="C6" s="121" t="e">
        <f>Tree!#REF!</f>
        <v>#REF!</v>
      </c>
      <c r="D6" s="41" t="e">
        <f>Tree!#REF!</f>
        <v>#REF!</v>
      </c>
      <c r="E6" s="122" t="e">
        <f t="shared" si="3"/>
        <v>#REF!</v>
      </c>
      <c r="F6" s="41" t="e">
        <f>Tree!#REF!</f>
        <v>#REF!</v>
      </c>
      <c r="G6" s="122" t="e">
        <f t="shared" si="4"/>
        <v>#REF!</v>
      </c>
      <c r="H6" s="79" t="e">
        <f>INDEX(Tree!#REF!,MATCH($J6,Tree!#REF!,0))</f>
        <v>#REF!</v>
      </c>
      <c r="I6" s="100" t="e">
        <f t="shared" si="5"/>
        <v>#REF!</v>
      </c>
      <c r="J6" s="41" t="s">
        <v>25</v>
      </c>
      <c r="K6" s="79" t="e">
        <f>INDEX(Tree!#REF!,MATCH($J6,Tree!#REF!,0))</f>
        <v>#REF!</v>
      </c>
      <c r="L6" s="99" t="e">
        <f t="shared" si="0"/>
        <v>#REF!</v>
      </c>
      <c r="M6" s="100" t="e">
        <f>'Example calcs 2000'!N6*0.95</f>
        <v>#REF!</v>
      </c>
      <c r="N6" s="100" t="e">
        <f t="shared" si="6"/>
        <v>#REF!</v>
      </c>
      <c r="O6" s="100" t="str">
        <f t="shared" si="7"/>
        <v/>
      </c>
      <c r="P6" s="100" t="e">
        <f t="shared" si="8"/>
        <v>#REF!</v>
      </c>
      <c r="Q6" s="79" t="s">
        <v>31</v>
      </c>
      <c r="R6" s="39">
        <f t="shared" si="9"/>
        <v>0</v>
      </c>
      <c r="S6" s="79" t="e">
        <f>INDEX(Tree!#REF!,MATCH($Q6,Tree!#REF!,0)+MATCH(Tree!#REF!,Tree!#REF!,0)-1)</f>
        <v>#REF!</v>
      </c>
      <c r="T6" s="99" t="e">
        <f t="shared" si="10"/>
        <v>#REF!</v>
      </c>
      <c r="U6" s="100" t="e">
        <f>'Example calcs 2000'!S6*0.8</f>
        <v>#REF!</v>
      </c>
      <c r="V6" s="100" t="e">
        <f t="shared" si="11"/>
        <v>#REF!</v>
      </c>
      <c r="W6" s="100" t="str">
        <f t="shared" si="12"/>
        <v/>
      </c>
      <c r="X6" s="100" t="e">
        <f t="shared" si="1"/>
        <v>#REF!</v>
      </c>
      <c r="Y6" s="41" t="s">
        <v>33</v>
      </c>
      <c r="Z6" s="39">
        <f t="shared" si="13"/>
        <v>0</v>
      </c>
      <c r="AA6" s="41" t="e">
        <f>Tree!#REF!</f>
        <v>#REF!</v>
      </c>
      <c r="AB6" s="41"/>
      <c r="AC6" s="99" t="e">
        <f>X6*AA6</f>
        <v>#REF!</v>
      </c>
      <c r="AD6" s="100" t="e">
        <f>'Example calcs 2000'!Y6*0.8</f>
        <v>#REF!</v>
      </c>
      <c r="AE6" s="100" t="e">
        <f t="shared" si="14"/>
        <v>#REF!</v>
      </c>
      <c r="AF6" s="139" t="str">
        <f>IFERROR(INDEX($AQ$12,MATCH(AH6,$AP$12,0))/SUM($AQ$12),"")</f>
        <v/>
      </c>
      <c r="AG6" s="100" t="e">
        <f t="shared" si="2"/>
        <v>#REF!</v>
      </c>
      <c r="AH6" s="80" t="s">
        <v>117</v>
      </c>
      <c r="AI6" s="39">
        <f t="shared" si="15"/>
        <v>1</v>
      </c>
      <c r="AJ6" s="80" t="e">
        <f>Tree!#REF!</f>
        <v>#REF!</v>
      </c>
      <c r="AK6" s="41"/>
      <c r="AL6" s="86" t="e">
        <f t="shared" si="16"/>
        <v>#REF!</v>
      </c>
      <c r="AM6" s="80" t="e">
        <f t="shared" si="17"/>
        <v>#REF!</v>
      </c>
      <c r="AP6" s="1" t="s">
        <v>29</v>
      </c>
      <c r="AQ6" s="107" t="e">
        <f>(AS6*AT6/(1-(1+AT6)^(-AU6))+SUM(AV6:AX6))^-AR6</f>
        <v>#REF!</v>
      </c>
      <c r="AR6" t="e">
        <f>Tree!#REF!</f>
        <v>#REF!</v>
      </c>
      <c r="AS6" s="116" t="e">
        <f>Tree!#REF!</f>
        <v>#REF!</v>
      </c>
      <c r="AT6" t="e">
        <f>Tree!#REF!</f>
        <v>#REF!</v>
      </c>
      <c r="AU6" t="e">
        <f>Tree!#REF!</f>
        <v>#REF!</v>
      </c>
      <c r="AV6" s="116" t="e">
        <f>Tree!#REF!</f>
        <v>#REF!</v>
      </c>
      <c r="AW6" s="116" t="e">
        <f>Tree!#REF!</f>
        <v>#REF!</v>
      </c>
    </row>
    <row r="7" spans="1:51" x14ac:dyDescent="0.25">
      <c r="A7" s="105" t="s">
        <v>118</v>
      </c>
      <c r="C7" s="121" t="e">
        <f>Tree!#REF!</f>
        <v>#REF!</v>
      </c>
      <c r="D7" s="41" t="e">
        <f>Tree!#REF!</f>
        <v>#REF!</v>
      </c>
      <c r="E7" s="122" t="e">
        <f t="shared" si="3"/>
        <v>#REF!</v>
      </c>
      <c r="F7" s="41" t="e">
        <f>Tree!#REF!</f>
        <v>#REF!</v>
      </c>
      <c r="G7" s="122" t="e">
        <f t="shared" si="4"/>
        <v>#REF!</v>
      </c>
      <c r="H7" s="79" t="e">
        <f>INDEX(Tree!#REF!,MATCH($J7,Tree!#REF!,0))</f>
        <v>#REF!</v>
      </c>
      <c r="I7" s="100" t="e">
        <f t="shared" si="5"/>
        <v>#REF!</v>
      </c>
      <c r="J7" s="41" t="s">
        <v>25</v>
      </c>
      <c r="K7" s="79" t="e">
        <f>INDEX(Tree!#REF!,MATCH($J7,Tree!#REF!,0))</f>
        <v>#REF!</v>
      </c>
      <c r="L7" s="99" t="e">
        <f t="shared" si="0"/>
        <v>#REF!</v>
      </c>
      <c r="M7" s="100" t="e">
        <f>'Example calcs 2000'!N7*0.95</f>
        <v>#REF!</v>
      </c>
      <c r="N7" s="100" t="e">
        <f t="shared" si="6"/>
        <v>#REF!</v>
      </c>
      <c r="O7" s="100" t="str">
        <f t="shared" si="7"/>
        <v/>
      </c>
      <c r="P7" s="100" t="e">
        <f t="shared" si="8"/>
        <v>#REF!</v>
      </c>
      <c r="Q7" s="79" t="s">
        <v>31</v>
      </c>
      <c r="R7" s="39">
        <f t="shared" si="9"/>
        <v>0</v>
      </c>
      <c r="S7" s="79" t="e">
        <f>INDEX(Tree!#REF!,MATCH($Q7,Tree!#REF!,0)+MATCH(Tree!#REF!,Tree!#REF!,0)-1)</f>
        <v>#REF!</v>
      </c>
      <c r="T7" s="99" t="e">
        <f t="shared" si="10"/>
        <v>#REF!</v>
      </c>
      <c r="U7" s="100" t="e">
        <f>'Example calcs 2000'!S7*0.8</f>
        <v>#REF!</v>
      </c>
      <c r="V7" s="100" t="e">
        <f t="shared" si="11"/>
        <v>#REF!</v>
      </c>
      <c r="W7" s="100" t="str">
        <f t="shared" si="12"/>
        <v/>
      </c>
      <c r="X7" s="100" t="e">
        <f t="shared" si="1"/>
        <v>#REF!</v>
      </c>
      <c r="Y7" s="41" t="s">
        <v>33</v>
      </c>
      <c r="Z7" s="39">
        <f t="shared" si="13"/>
        <v>0</v>
      </c>
      <c r="AA7" s="41" t="e">
        <f>Tree!#REF!</f>
        <v>#REF!</v>
      </c>
      <c r="AB7" s="41"/>
      <c r="AC7" s="99" t="e">
        <f>X7*AA7</f>
        <v>#REF!</v>
      </c>
      <c r="AD7" s="100" t="e">
        <f>'Example calcs 2000'!Y7*0.8</f>
        <v>#REF!</v>
      </c>
      <c r="AE7" s="100" t="e">
        <f t="shared" si="14"/>
        <v>#REF!</v>
      </c>
      <c r="AF7" s="139" t="str">
        <f>IFERROR(INDEX($AQ$12,MATCH(AH7,$AP$12,0))/SUM($AQ$12),"")</f>
        <v/>
      </c>
      <c r="AG7" s="100" t="e">
        <f t="shared" si="2"/>
        <v>#REF!</v>
      </c>
      <c r="AH7" s="80" t="s">
        <v>52</v>
      </c>
      <c r="AI7" s="39">
        <f t="shared" si="15"/>
        <v>1</v>
      </c>
      <c r="AJ7" s="80"/>
      <c r="AK7" s="41" t="e">
        <f>Tree!#REF!</f>
        <v>#REF!</v>
      </c>
      <c r="AL7" s="86" t="e">
        <f t="shared" si="16"/>
        <v>#REF!</v>
      </c>
      <c r="AM7" s="80" t="e">
        <f t="shared" si="17"/>
        <v>#REF!</v>
      </c>
      <c r="AP7" s="1"/>
      <c r="AQ7" s="107"/>
    </row>
    <row r="8" spans="1:51" x14ac:dyDescent="0.25">
      <c r="A8" s="71" t="s">
        <v>145</v>
      </c>
      <c r="C8" s="121" t="e">
        <f>Tree!#REF!</f>
        <v>#REF!</v>
      </c>
      <c r="D8" s="41" t="e">
        <f>Tree!#REF!</f>
        <v>#REF!</v>
      </c>
      <c r="E8" s="122" t="e">
        <f t="shared" si="3"/>
        <v>#REF!</v>
      </c>
      <c r="F8" s="41" t="e">
        <f>Tree!#REF!</f>
        <v>#REF!</v>
      </c>
      <c r="G8" s="122" t="e">
        <f t="shared" si="4"/>
        <v>#REF!</v>
      </c>
      <c r="H8" s="79" t="e">
        <f>INDEX(Tree!#REF!,MATCH($J8,Tree!#REF!,0))</f>
        <v>#REF!</v>
      </c>
      <c r="I8" s="100" t="e">
        <f t="shared" si="5"/>
        <v>#REF!</v>
      </c>
      <c r="J8" s="41" t="s">
        <v>25</v>
      </c>
      <c r="K8" s="79" t="e">
        <f>INDEX(Tree!#REF!,MATCH($J8,Tree!#REF!,0))</f>
        <v>#REF!</v>
      </c>
      <c r="L8" s="99" t="e">
        <f t="shared" si="0"/>
        <v>#REF!</v>
      </c>
      <c r="M8" s="100" t="e">
        <f>'Example calcs 2000'!N8*0.95</f>
        <v>#REF!</v>
      </c>
      <c r="N8" s="100" t="e">
        <f t="shared" si="6"/>
        <v>#REF!</v>
      </c>
      <c r="O8" s="100" t="str">
        <f t="shared" si="7"/>
        <v/>
      </c>
      <c r="P8" s="100" t="e">
        <f t="shared" si="8"/>
        <v>#REF!</v>
      </c>
      <c r="Q8" s="79" t="s">
        <v>31</v>
      </c>
      <c r="R8" s="39">
        <f t="shared" si="9"/>
        <v>0</v>
      </c>
      <c r="S8" s="79" t="e">
        <f>INDEX(Tree!#REF!,MATCH($Q8,Tree!#REF!,0)+MATCH(Tree!#REF!,Tree!#REF!,0)-1)</f>
        <v>#REF!</v>
      </c>
      <c r="T8" s="99" t="e">
        <f t="shared" si="10"/>
        <v>#REF!</v>
      </c>
      <c r="U8" s="100" t="e">
        <f>'Example calcs 2000'!S8*0.8</f>
        <v>#REF!</v>
      </c>
      <c r="V8" s="100" t="e">
        <f t="shared" si="11"/>
        <v>#REF!</v>
      </c>
      <c r="W8" s="100" t="str">
        <f t="shared" si="12"/>
        <v/>
      </c>
      <c r="X8" s="100" t="e">
        <f t="shared" si="1"/>
        <v>#REF!</v>
      </c>
      <c r="Y8" s="41" t="s">
        <v>33</v>
      </c>
      <c r="Z8" s="39">
        <f t="shared" si="13"/>
        <v>0</v>
      </c>
      <c r="AA8" s="41" t="e">
        <f>Tree!#REF!</f>
        <v>#REF!</v>
      </c>
      <c r="AB8" s="41"/>
      <c r="AC8" s="99" t="e">
        <f>X8*AA8</f>
        <v>#REF!</v>
      </c>
      <c r="AD8" s="100" t="e">
        <f>'Example calcs 2000'!Y8*0.8</f>
        <v>#REF!</v>
      </c>
      <c r="AE8" s="100" t="e">
        <f t="shared" si="14"/>
        <v>#REF!</v>
      </c>
      <c r="AF8" s="139" t="str">
        <f>IFERROR(INDEX($AQ$12,MATCH(AH8,$AP$12,0))/SUM($AQ$12),"")</f>
        <v/>
      </c>
      <c r="AG8" s="100" t="e">
        <f t="shared" si="2"/>
        <v>#REF!</v>
      </c>
      <c r="AH8" s="80" t="s">
        <v>53</v>
      </c>
      <c r="AI8" s="39">
        <f t="shared" si="15"/>
        <v>1</v>
      </c>
      <c r="AJ8" s="80"/>
      <c r="AK8" s="41" t="e">
        <f>Tree!#REF!</f>
        <v>#REF!</v>
      </c>
      <c r="AL8" s="86" t="e">
        <f t="shared" si="16"/>
        <v>#REF!</v>
      </c>
      <c r="AM8" s="80" t="e">
        <f t="shared" si="17"/>
        <v>#REF!</v>
      </c>
      <c r="AP8" s="1" t="s">
        <v>32</v>
      </c>
      <c r="AQ8" s="107" t="e">
        <f>(AS8*AT8/(1-(1+AT8)^(-AU8))+SUM(AV8:AX8))^-AR8</f>
        <v>#REF!</v>
      </c>
      <c r="AR8" t="e">
        <f>Tree!#REF!</f>
        <v>#REF!</v>
      </c>
      <c r="AS8" s="116" t="e">
        <f>Tree!#REF!</f>
        <v>#REF!</v>
      </c>
      <c r="AT8" t="e">
        <f>Tree!#REF!</f>
        <v>#REF!</v>
      </c>
      <c r="AU8" t="e">
        <f>Tree!#REF!</f>
        <v>#REF!</v>
      </c>
      <c r="AV8" s="116" t="e">
        <f>Tree!#REF!</f>
        <v>#REF!</v>
      </c>
      <c r="AW8" s="116" t="e">
        <f>Tree!#REF!</f>
        <v>#REF!</v>
      </c>
      <c r="AX8" s="134" t="e">
        <f>Tree!#REF!</f>
        <v>#REF!</v>
      </c>
      <c r="AY8" t="s">
        <v>166</v>
      </c>
    </row>
    <row r="9" spans="1:51" x14ac:dyDescent="0.25">
      <c r="C9" s="121" t="e">
        <f>Tree!#REF!</f>
        <v>#REF!</v>
      </c>
      <c r="D9" s="41" t="e">
        <f>Tree!#REF!</f>
        <v>#REF!</v>
      </c>
      <c r="E9" s="122" t="e">
        <f t="shared" si="3"/>
        <v>#REF!</v>
      </c>
      <c r="F9" s="41" t="e">
        <f>Tree!#REF!</f>
        <v>#REF!</v>
      </c>
      <c r="G9" s="122" t="e">
        <f t="shared" si="4"/>
        <v>#REF!</v>
      </c>
      <c r="H9" s="79" t="e">
        <f>INDEX(Tree!#REF!,MATCH($J9,Tree!#REF!,0))</f>
        <v>#REF!</v>
      </c>
      <c r="I9" s="100" t="e">
        <f t="shared" si="5"/>
        <v>#REF!</v>
      </c>
      <c r="J9" s="41" t="s">
        <v>25</v>
      </c>
      <c r="K9" s="79" t="e">
        <f>INDEX(Tree!#REF!,MATCH($J9,Tree!#REF!,0))</f>
        <v>#REF!</v>
      </c>
      <c r="L9" s="99" t="e">
        <f t="shared" si="0"/>
        <v>#REF!</v>
      </c>
      <c r="M9" s="100" t="e">
        <f>'Example calcs 2000'!N9*0.95</f>
        <v>#REF!</v>
      </c>
      <c r="N9" s="100" t="e">
        <f t="shared" si="6"/>
        <v>#REF!</v>
      </c>
      <c r="O9" s="100" t="str">
        <f t="shared" si="7"/>
        <v/>
      </c>
      <c r="P9" s="100" t="e">
        <f t="shared" si="8"/>
        <v>#REF!</v>
      </c>
      <c r="Q9" s="79" t="s">
        <v>27</v>
      </c>
      <c r="R9" s="39">
        <f t="shared" si="9"/>
        <v>1</v>
      </c>
      <c r="S9" s="79" t="e">
        <f>INDEX(Tree!#REF!,MATCH($Q9,Tree!#REF!,0)+MATCH(Tree!#REF!,Tree!#REF!,0)-1)</f>
        <v>#REF!</v>
      </c>
      <c r="T9" s="99" t="e">
        <f t="shared" si="10"/>
        <v>#REF!</v>
      </c>
      <c r="U9" s="100" t="e">
        <f>'Example calcs 2000'!S9*0.8</f>
        <v>#REF!</v>
      </c>
      <c r="V9" s="100" t="e">
        <f t="shared" si="11"/>
        <v>#REF!</v>
      </c>
      <c r="W9" s="100" t="str">
        <f t="shared" si="12"/>
        <v/>
      </c>
      <c r="X9" s="100" t="e">
        <f t="shared" si="1"/>
        <v>#REF!</v>
      </c>
      <c r="Y9" s="41" t="s">
        <v>32</v>
      </c>
      <c r="Z9" s="39">
        <f t="shared" si="13"/>
        <v>1</v>
      </c>
      <c r="AA9" s="41"/>
      <c r="AB9" s="41" t="e">
        <f>Tree!#REF!</f>
        <v>#REF!</v>
      </c>
      <c r="AC9" s="99"/>
      <c r="AD9" s="100">
        <f>'Example calcs 2000'!Y9*0.8</f>
        <v>0</v>
      </c>
      <c r="AE9" s="100" t="e">
        <f t="shared" si="14"/>
        <v>#REF!</v>
      </c>
      <c r="AF9" s="100" t="str">
        <f t="shared" ref="AF9:AF68" si="18">IFERROR(INDEX($AQ$11:$AQ$13,MATCH(AH9,$AP$11:$AP$13,0))/SUM($AQ$11:$AQ$13),"")</f>
        <v/>
      </c>
      <c r="AG9" s="100">
        <f t="shared" si="2"/>
        <v>0</v>
      </c>
      <c r="AH9" s="80"/>
      <c r="AI9" s="39">
        <f t="shared" si="15"/>
        <v>1</v>
      </c>
      <c r="AJ9" s="80"/>
      <c r="AK9" s="41"/>
      <c r="AL9" s="86" t="e">
        <f t="shared" si="16"/>
        <v>#REF!</v>
      </c>
      <c r="AM9" s="80">
        <f t="shared" si="17"/>
        <v>0</v>
      </c>
      <c r="AP9" s="1" t="s">
        <v>33</v>
      </c>
      <c r="AQ9" s="107" t="e">
        <f>Tree!#REF!^-AR9</f>
        <v>#REF!</v>
      </c>
      <c r="AR9" t="e">
        <f>Tree!#REF!</f>
        <v>#REF!</v>
      </c>
    </row>
    <row r="10" spans="1:51" x14ac:dyDescent="0.25">
      <c r="A10" s="106" t="s">
        <v>151</v>
      </c>
      <c r="C10" s="135" t="e">
        <f>Tree!#REF!</f>
        <v>#REF!</v>
      </c>
      <c r="D10" s="81" t="e">
        <f>Tree!#REF!</f>
        <v>#REF!</v>
      </c>
      <c r="E10" s="136" t="e">
        <f t="shared" si="3"/>
        <v>#REF!</v>
      </c>
      <c r="F10" s="81" t="e">
        <f>Tree!#REF!</f>
        <v>#REF!</v>
      </c>
      <c r="G10" s="136" t="e">
        <f t="shared" si="4"/>
        <v>#REF!</v>
      </c>
      <c r="H10" s="82" t="e">
        <f>INDEX(Tree!#REF!,MATCH($J10,Tree!#REF!,0))</f>
        <v>#REF!</v>
      </c>
      <c r="I10" s="101" t="e">
        <f t="shared" si="5"/>
        <v>#REF!</v>
      </c>
      <c r="J10" s="81" t="s">
        <v>25</v>
      </c>
      <c r="K10" s="82" t="e">
        <f>INDEX(Tree!#REF!,MATCH($J10,Tree!#REF!,0))</f>
        <v>#REF!</v>
      </c>
      <c r="L10" s="103" t="e">
        <f t="shared" si="0"/>
        <v>#REF!</v>
      </c>
      <c r="M10" s="101" t="e">
        <f>'Example calcs 2000'!N10*0.95</f>
        <v>#REF!</v>
      </c>
      <c r="N10" s="101" t="e">
        <f t="shared" si="6"/>
        <v>#REF!</v>
      </c>
      <c r="O10" s="101" t="str">
        <f t="shared" si="7"/>
        <v/>
      </c>
      <c r="P10" s="101" t="e">
        <f t="shared" si="8"/>
        <v>#REF!</v>
      </c>
      <c r="Q10" s="82" t="s">
        <v>27</v>
      </c>
      <c r="R10" s="137">
        <f t="shared" si="9"/>
        <v>0</v>
      </c>
      <c r="S10" s="82" t="e">
        <f>INDEX(Tree!#REF!,MATCH($Q10,Tree!#REF!,0)+MATCH(Tree!#REF!,Tree!#REF!,0)-1)</f>
        <v>#REF!</v>
      </c>
      <c r="T10" s="103" t="e">
        <f t="shared" si="10"/>
        <v>#REF!</v>
      </c>
      <c r="U10" s="101" t="e">
        <f>'Example calcs 2000'!S10*0.8</f>
        <v>#REF!</v>
      </c>
      <c r="V10" s="101" t="e">
        <f t="shared" si="11"/>
        <v>#REF!</v>
      </c>
      <c r="W10" s="101" t="str">
        <f t="shared" si="12"/>
        <v/>
      </c>
      <c r="X10" s="101" t="e">
        <f t="shared" si="1"/>
        <v>#REF!</v>
      </c>
      <c r="Y10" s="81" t="s">
        <v>33</v>
      </c>
      <c r="Z10" s="137">
        <f t="shared" si="13"/>
        <v>1</v>
      </c>
      <c r="AA10" s="81" t="e">
        <f>Tree!#REF!</f>
        <v>#REF!</v>
      </c>
      <c r="AB10" s="81"/>
      <c r="AC10" s="103" t="e">
        <f>X10*AA10</f>
        <v>#REF!</v>
      </c>
      <c r="AD10" s="101" t="e">
        <f>'Example calcs 2000'!Y10*0.8</f>
        <v>#REF!</v>
      </c>
      <c r="AE10" s="101" t="e">
        <f t="shared" si="14"/>
        <v>#REF!</v>
      </c>
      <c r="AF10" s="120"/>
      <c r="AG10" s="101" t="e">
        <f t="shared" si="2"/>
        <v>#REF!</v>
      </c>
      <c r="AH10" s="81" t="s">
        <v>54</v>
      </c>
      <c r="AI10" s="137">
        <f t="shared" si="15"/>
        <v>1</v>
      </c>
      <c r="AJ10" s="81" t="e">
        <f>Tree!#REF!</f>
        <v>#REF!</v>
      </c>
      <c r="AK10" s="81"/>
      <c r="AL10" s="87" t="e">
        <f t="shared" si="16"/>
        <v>#REF!</v>
      </c>
      <c r="AM10" s="81" t="e">
        <f t="shared" si="17"/>
        <v>#REF!</v>
      </c>
      <c r="AP10" s="1"/>
      <c r="AQ10" s="107"/>
    </row>
    <row r="11" spans="1:51" x14ac:dyDescent="0.25">
      <c r="A11" s="138" t="s">
        <v>173</v>
      </c>
      <c r="C11" s="121" t="e">
        <f>Tree!#REF!</f>
        <v>#REF!</v>
      </c>
      <c r="D11" s="41" t="e">
        <f>Tree!#REF!</f>
        <v>#REF!</v>
      </c>
      <c r="E11" s="122" t="e">
        <f t="shared" si="3"/>
        <v>#REF!</v>
      </c>
      <c r="F11" s="41" t="e">
        <f>Tree!#REF!</f>
        <v>#REF!</v>
      </c>
      <c r="G11" s="122" t="e">
        <f t="shared" si="4"/>
        <v>#REF!</v>
      </c>
      <c r="H11" s="79" t="e">
        <f>INDEX(Tree!#REF!,MATCH($J11,Tree!#REF!,0))</f>
        <v>#REF!</v>
      </c>
      <c r="I11" s="100" t="e">
        <f t="shared" si="5"/>
        <v>#REF!</v>
      </c>
      <c r="J11" s="41" t="s">
        <v>25</v>
      </c>
      <c r="K11" s="79" t="e">
        <f>INDEX(Tree!#REF!,MATCH($J11,Tree!#REF!,0))</f>
        <v>#REF!</v>
      </c>
      <c r="L11" s="99" t="e">
        <f t="shared" si="0"/>
        <v>#REF!</v>
      </c>
      <c r="M11" s="100" t="e">
        <f>'Example calcs 2000'!N11*0.95</f>
        <v>#REF!</v>
      </c>
      <c r="N11" s="100" t="e">
        <f t="shared" si="6"/>
        <v>#REF!</v>
      </c>
      <c r="O11" s="100" t="str">
        <f t="shared" si="7"/>
        <v/>
      </c>
      <c r="P11" s="100" t="e">
        <f t="shared" si="8"/>
        <v>#REF!</v>
      </c>
      <c r="Q11" s="79" t="s">
        <v>27</v>
      </c>
      <c r="R11" s="39">
        <f t="shared" si="9"/>
        <v>0</v>
      </c>
      <c r="S11" s="79" t="e">
        <f>INDEX(Tree!#REF!,MATCH($Q11,Tree!#REF!,0)+MATCH(Tree!#REF!,Tree!#REF!,0)-1)</f>
        <v>#REF!</v>
      </c>
      <c r="T11" s="99" t="e">
        <f t="shared" si="10"/>
        <v>#REF!</v>
      </c>
      <c r="U11" s="100" t="e">
        <f>'Example calcs 2000'!S11*0.8</f>
        <v>#REF!</v>
      </c>
      <c r="V11" s="100" t="e">
        <f t="shared" si="11"/>
        <v>#REF!</v>
      </c>
      <c r="W11" s="100" t="str">
        <f t="shared" si="12"/>
        <v/>
      </c>
      <c r="X11" s="100" t="e">
        <f t="shared" si="1"/>
        <v>#REF!</v>
      </c>
      <c r="Y11" s="41" t="s">
        <v>33</v>
      </c>
      <c r="Z11" s="39">
        <f t="shared" si="13"/>
        <v>0</v>
      </c>
      <c r="AA11" s="41" t="e">
        <f>Tree!#REF!</f>
        <v>#REF!</v>
      </c>
      <c r="AB11" s="41"/>
      <c r="AC11" s="99" t="e">
        <f>X11*AA11</f>
        <v>#REF!</v>
      </c>
      <c r="AD11" s="100" t="e">
        <f>'Example calcs 2000'!Y11*0.8</f>
        <v>#REF!</v>
      </c>
      <c r="AE11" s="100" t="e">
        <f t="shared" si="14"/>
        <v>#REF!</v>
      </c>
      <c r="AF11" s="139" t="str">
        <f>IFERROR(INDEX($AQ$12,MATCH(AH11,$AP$12,0))/SUM($AQ$12),"")</f>
        <v/>
      </c>
      <c r="AG11" s="100" t="e">
        <f t="shared" si="2"/>
        <v>#REF!</v>
      </c>
      <c r="AH11" s="80" t="s">
        <v>117</v>
      </c>
      <c r="AI11" s="39">
        <f t="shared" si="15"/>
        <v>1</v>
      </c>
      <c r="AJ11" s="80" t="e">
        <f>Tree!#REF!</f>
        <v>#REF!</v>
      </c>
      <c r="AK11" s="81"/>
      <c r="AL11" s="86" t="e">
        <f t="shared" si="16"/>
        <v>#REF!</v>
      </c>
      <c r="AM11" s="80" t="e">
        <f t="shared" si="17"/>
        <v>#REF!</v>
      </c>
      <c r="AP11" s="1" t="s">
        <v>117</v>
      </c>
      <c r="AQ11" s="107" t="e">
        <f>(AS11*AT11/(1-(1+AT11)^(-AU11))+SUM(AV11:AX11))^-AR11</f>
        <v>#REF!</v>
      </c>
      <c r="AR11" t="e">
        <f>Tree!#REF!</f>
        <v>#REF!</v>
      </c>
      <c r="AS11" s="116" t="e">
        <f>Tree!#REF!</f>
        <v>#REF!</v>
      </c>
      <c r="AT11" t="e">
        <f>Tree!#REF!</f>
        <v>#REF!</v>
      </c>
      <c r="AU11" t="e">
        <f>Tree!#REF!</f>
        <v>#REF!</v>
      </c>
      <c r="AV11" s="116" t="e">
        <f>Tree!#REF!</f>
        <v>#REF!</v>
      </c>
      <c r="AW11" s="116" t="e">
        <f>Tree!#REF!</f>
        <v>#REF!</v>
      </c>
      <c r="AX11" s="134" t="e">
        <f>Tree!#REF!</f>
        <v>#REF!</v>
      </c>
      <c r="AY11" t="s">
        <v>166</v>
      </c>
    </row>
    <row r="12" spans="1:51" x14ac:dyDescent="0.25">
      <c r="C12" s="121" t="e">
        <f>Tree!#REF!</f>
        <v>#REF!</v>
      </c>
      <c r="D12" s="41" t="e">
        <f>Tree!#REF!</f>
        <v>#REF!</v>
      </c>
      <c r="E12" s="122" t="e">
        <f t="shared" si="3"/>
        <v>#REF!</v>
      </c>
      <c r="F12" s="41" t="e">
        <f>Tree!#REF!</f>
        <v>#REF!</v>
      </c>
      <c r="G12" s="122" t="e">
        <f t="shared" si="4"/>
        <v>#REF!</v>
      </c>
      <c r="H12" s="79" t="e">
        <f>INDEX(Tree!#REF!,MATCH($J12,Tree!#REF!,0))</f>
        <v>#REF!</v>
      </c>
      <c r="I12" s="100" t="e">
        <f t="shared" si="5"/>
        <v>#REF!</v>
      </c>
      <c r="J12" s="41" t="s">
        <v>25</v>
      </c>
      <c r="K12" s="79" t="e">
        <f>INDEX(Tree!#REF!,MATCH($J12,Tree!#REF!,0))</f>
        <v>#REF!</v>
      </c>
      <c r="L12" s="99" t="e">
        <f t="shared" si="0"/>
        <v>#REF!</v>
      </c>
      <c r="M12" s="100" t="e">
        <f>'Example calcs 2000'!N12*0.95</f>
        <v>#REF!</v>
      </c>
      <c r="N12" s="100" t="e">
        <f t="shared" si="6"/>
        <v>#REF!</v>
      </c>
      <c r="O12" s="100" t="str">
        <f t="shared" si="7"/>
        <v/>
      </c>
      <c r="P12" s="100" t="e">
        <f t="shared" si="8"/>
        <v>#REF!</v>
      </c>
      <c r="Q12" s="79" t="s">
        <v>27</v>
      </c>
      <c r="R12" s="39">
        <f t="shared" si="9"/>
        <v>0</v>
      </c>
      <c r="S12" s="79" t="e">
        <f>INDEX(Tree!#REF!,MATCH($Q12,Tree!#REF!,0)+MATCH(Tree!#REF!,Tree!#REF!,0)-1)</f>
        <v>#REF!</v>
      </c>
      <c r="T12" s="99" t="e">
        <f t="shared" si="10"/>
        <v>#REF!</v>
      </c>
      <c r="U12" s="100" t="e">
        <f>'Example calcs 2000'!S12*0.8</f>
        <v>#REF!</v>
      </c>
      <c r="V12" s="100" t="e">
        <f t="shared" si="11"/>
        <v>#REF!</v>
      </c>
      <c r="W12" s="100" t="str">
        <f t="shared" si="12"/>
        <v/>
      </c>
      <c r="X12" s="100" t="e">
        <f t="shared" si="1"/>
        <v>#REF!</v>
      </c>
      <c r="Y12" s="41" t="s">
        <v>33</v>
      </c>
      <c r="Z12" s="39">
        <f t="shared" si="13"/>
        <v>0</v>
      </c>
      <c r="AA12" s="41" t="e">
        <f>Tree!#REF!</f>
        <v>#REF!</v>
      </c>
      <c r="AB12" s="41"/>
      <c r="AC12" s="99" t="e">
        <f>X12*AA12</f>
        <v>#REF!</v>
      </c>
      <c r="AD12" s="100" t="e">
        <f>'Example calcs 2000'!Y12*0.8</f>
        <v>#REF!</v>
      </c>
      <c r="AE12" s="100" t="e">
        <f t="shared" si="14"/>
        <v>#REF!</v>
      </c>
      <c r="AF12" s="139" t="str">
        <f>IFERROR(INDEX($AQ$12,MATCH(AH12,$AP$12,0))/SUM($AQ$12),"")</f>
        <v/>
      </c>
      <c r="AG12" s="100" t="e">
        <f t="shared" si="2"/>
        <v>#REF!</v>
      </c>
      <c r="AH12" s="80" t="s">
        <v>52</v>
      </c>
      <c r="AI12" s="39">
        <f t="shared" si="15"/>
        <v>1</v>
      </c>
      <c r="AJ12" s="80"/>
      <c r="AK12" s="41" t="e">
        <f>Tree!#REF!</f>
        <v>#REF!</v>
      </c>
      <c r="AL12" s="86" t="e">
        <f t="shared" si="16"/>
        <v>#REF!</v>
      </c>
      <c r="AM12" s="80" t="e">
        <f t="shared" si="17"/>
        <v>#REF!</v>
      </c>
      <c r="AP12" s="1" t="s">
        <v>53</v>
      </c>
      <c r="AQ12" s="107" t="e">
        <f>(AS12*AT12/(1-(1+AT12)^(-AU12))+SUM(AV12:AX12))^-AR12</f>
        <v>#REF!</v>
      </c>
      <c r="AR12" t="e">
        <f>Tree!#REF!</f>
        <v>#REF!</v>
      </c>
      <c r="AS12" s="116" t="e">
        <f>Tree!#REF!</f>
        <v>#REF!</v>
      </c>
      <c r="AT12" t="e">
        <f>Tree!#REF!</f>
        <v>#REF!</v>
      </c>
      <c r="AU12" t="e">
        <f>Tree!#REF!</f>
        <v>#REF!</v>
      </c>
      <c r="AV12" s="116" t="e">
        <f>Tree!#REF!</f>
        <v>#REF!</v>
      </c>
      <c r="AW12" s="116" t="e">
        <f>Tree!#REF!</f>
        <v>#REF!</v>
      </c>
      <c r="AX12" s="134" t="e">
        <f>Tree!#REF!</f>
        <v>#REF!</v>
      </c>
      <c r="AY12" t="s">
        <v>166</v>
      </c>
    </row>
    <row r="13" spans="1:51" x14ac:dyDescent="0.25">
      <c r="C13" s="121" t="e">
        <f>Tree!#REF!</f>
        <v>#REF!</v>
      </c>
      <c r="D13" s="41" t="e">
        <f>Tree!#REF!</f>
        <v>#REF!</v>
      </c>
      <c r="E13" s="122" t="e">
        <f t="shared" si="3"/>
        <v>#REF!</v>
      </c>
      <c r="F13" s="41" t="e">
        <f>Tree!#REF!</f>
        <v>#REF!</v>
      </c>
      <c r="G13" s="122" t="e">
        <f t="shared" si="4"/>
        <v>#REF!</v>
      </c>
      <c r="H13" s="79" t="e">
        <f>INDEX(Tree!#REF!,MATCH($J13,Tree!#REF!,0))</f>
        <v>#REF!</v>
      </c>
      <c r="I13" s="100" t="e">
        <f t="shared" si="5"/>
        <v>#REF!</v>
      </c>
      <c r="J13" s="41" t="s">
        <v>25</v>
      </c>
      <c r="K13" s="79" t="e">
        <f>INDEX(Tree!#REF!,MATCH($J13,Tree!#REF!,0))</f>
        <v>#REF!</v>
      </c>
      <c r="L13" s="99" t="e">
        <f t="shared" si="0"/>
        <v>#REF!</v>
      </c>
      <c r="M13" s="100" t="e">
        <f>'Example calcs 2000'!N13*0.95</f>
        <v>#REF!</v>
      </c>
      <c r="N13" s="100" t="e">
        <f t="shared" si="6"/>
        <v>#REF!</v>
      </c>
      <c r="O13" s="100" t="str">
        <f t="shared" si="7"/>
        <v/>
      </c>
      <c r="P13" s="100" t="e">
        <f t="shared" si="8"/>
        <v>#REF!</v>
      </c>
      <c r="Q13" s="79" t="s">
        <v>27</v>
      </c>
      <c r="R13" s="39">
        <f t="shared" si="9"/>
        <v>0</v>
      </c>
      <c r="S13" s="79" t="e">
        <f>INDEX(Tree!#REF!,MATCH($Q13,Tree!#REF!,0)+MATCH(Tree!#REF!,Tree!#REF!,0)-1)</f>
        <v>#REF!</v>
      </c>
      <c r="T13" s="99" t="e">
        <f t="shared" si="10"/>
        <v>#REF!</v>
      </c>
      <c r="U13" s="100" t="e">
        <f>'Example calcs 2000'!S13*0.8</f>
        <v>#REF!</v>
      </c>
      <c r="V13" s="100" t="e">
        <f t="shared" si="11"/>
        <v>#REF!</v>
      </c>
      <c r="W13" s="100" t="str">
        <f t="shared" si="12"/>
        <v/>
      </c>
      <c r="X13" s="100" t="e">
        <f t="shared" si="1"/>
        <v>#REF!</v>
      </c>
      <c r="Y13" s="41" t="s">
        <v>33</v>
      </c>
      <c r="Z13" s="39">
        <f t="shared" si="13"/>
        <v>0</v>
      </c>
      <c r="AA13" s="41" t="e">
        <f>Tree!#REF!</f>
        <v>#REF!</v>
      </c>
      <c r="AB13" s="41"/>
      <c r="AC13" s="99" t="e">
        <f>X13*AA13</f>
        <v>#REF!</v>
      </c>
      <c r="AD13" s="100" t="e">
        <f>'Example calcs 2000'!Y13*0.8</f>
        <v>#REF!</v>
      </c>
      <c r="AE13" s="100" t="e">
        <f t="shared" si="14"/>
        <v>#REF!</v>
      </c>
      <c r="AF13" s="139" t="str">
        <f>IFERROR(INDEX($AQ$12,MATCH(AH13,$AP$12,0))/SUM($AQ$12),"")</f>
        <v/>
      </c>
      <c r="AG13" s="100" t="e">
        <f t="shared" si="2"/>
        <v>#REF!</v>
      </c>
      <c r="AH13" s="80" t="s">
        <v>53</v>
      </c>
      <c r="AI13" s="39">
        <f t="shared" si="15"/>
        <v>1</v>
      </c>
      <c r="AJ13" s="80"/>
      <c r="AK13" s="41" t="e">
        <f>Tree!#REF!</f>
        <v>#REF!</v>
      </c>
      <c r="AL13" s="86" t="e">
        <f t="shared" si="16"/>
        <v>#REF!</v>
      </c>
      <c r="AM13" s="80" t="e">
        <f t="shared" si="17"/>
        <v>#REF!</v>
      </c>
      <c r="AP13" s="1" t="s">
        <v>54</v>
      </c>
      <c r="AQ13" s="107" t="e">
        <f>(AS13*AT13/(1-(1+AT13)^(-AU13))+SUM(AV13:AX13))^-AR13</f>
        <v>#REF!</v>
      </c>
      <c r="AR13" t="e">
        <f>Tree!#REF!</f>
        <v>#REF!</v>
      </c>
      <c r="AS13" s="116" t="e">
        <f>Tree!#REF!</f>
        <v>#REF!</v>
      </c>
      <c r="AT13" t="e">
        <f>Tree!#REF!</f>
        <v>#REF!</v>
      </c>
      <c r="AU13" t="e">
        <f>Tree!#REF!</f>
        <v>#REF!</v>
      </c>
      <c r="AV13" s="116" t="e">
        <f>Tree!#REF!</f>
        <v>#REF!</v>
      </c>
      <c r="AW13" s="116" t="e">
        <f>Tree!#REF!</f>
        <v>#REF!</v>
      </c>
      <c r="AX13" s="134" t="e">
        <f>Tree!#REF!</f>
        <v>#REF!</v>
      </c>
      <c r="AY13" t="s">
        <v>166</v>
      </c>
    </row>
    <row r="14" spans="1:51" x14ac:dyDescent="0.25">
      <c r="C14" s="121" t="e">
        <f>Tree!#REF!</f>
        <v>#REF!</v>
      </c>
      <c r="D14" s="41" t="e">
        <f>Tree!#REF!</f>
        <v>#REF!</v>
      </c>
      <c r="E14" s="122" t="e">
        <f t="shared" si="3"/>
        <v>#REF!</v>
      </c>
      <c r="F14" s="41" t="e">
        <f>Tree!#REF!</f>
        <v>#REF!</v>
      </c>
      <c r="G14" s="122" t="e">
        <f t="shared" si="4"/>
        <v>#REF!</v>
      </c>
      <c r="H14" s="79" t="e">
        <f>INDEX(Tree!#REF!,MATCH($J14,Tree!#REF!,0))</f>
        <v>#REF!</v>
      </c>
      <c r="I14" s="100" t="e">
        <f t="shared" si="5"/>
        <v>#REF!</v>
      </c>
      <c r="J14" s="41" t="s">
        <v>25</v>
      </c>
      <c r="K14" s="79" t="e">
        <f>INDEX(Tree!#REF!,MATCH($J14,Tree!#REF!,0))</f>
        <v>#REF!</v>
      </c>
      <c r="L14" s="99" t="e">
        <f t="shared" si="0"/>
        <v>#REF!</v>
      </c>
      <c r="M14" s="100" t="e">
        <f>'Example calcs 2000'!N14*0.95</f>
        <v>#REF!</v>
      </c>
      <c r="N14" s="100" t="e">
        <f t="shared" si="6"/>
        <v>#REF!</v>
      </c>
      <c r="O14" s="100" t="str">
        <f t="shared" si="7"/>
        <v/>
      </c>
      <c r="P14" s="100" t="e">
        <f t="shared" si="8"/>
        <v>#REF!</v>
      </c>
      <c r="Q14" s="79" t="s">
        <v>28</v>
      </c>
      <c r="R14" s="39">
        <f t="shared" si="9"/>
        <v>1</v>
      </c>
      <c r="S14" s="79" t="e">
        <f>INDEX(Tree!#REF!,MATCH($Q14,Tree!#REF!,0)+MATCH(Tree!#REF!,Tree!#REF!,0)-1)</f>
        <v>#REF!</v>
      </c>
      <c r="T14" s="99" t="e">
        <f t="shared" si="10"/>
        <v>#REF!</v>
      </c>
      <c r="U14" s="100" t="e">
        <f>'Example calcs 2000'!S14*0.8</f>
        <v>#REF!</v>
      </c>
      <c r="V14" s="100" t="e">
        <f t="shared" si="11"/>
        <v>#REF!</v>
      </c>
      <c r="W14" s="100" t="str">
        <f t="shared" si="12"/>
        <v/>
      </c>
      <c r="X14" s="100" t="e">
        <f t="shared" si="1"/>
        <v>#REF!</v>
      </c>
      <c r="Y14" s="41" t="s">
        <v>32</v>
      </c>
      <c r="Z14" s="39">
        <f t="shared" si="13"/>
        <v>1</v>
      </c>
      <c r="AA14" s="41"/>
      <c r="AB14" s="41" t="e">
        <f>Tree!#REF!</f>
        <v>#REF!</v>
      </c>
      <c r="AC14" s="99"/>
      <c r="AD14" s="100">
        <f>'Example calcs 2000'!Y14*0.8</f>
        <v>0</v>
      </c>
      <c r="AE14" s="100" t="e">
        <f t="shared" si="14"/>
        <v>#REF!</v>
      </c>
      <c r="AF14" s="100" t="str">
        <f t="shared" si="18"/>
        <v/>
      </c>
      <c r="AG14" s="100">
        <f t="shared" si="2"/>
        <v>0</v>
      </c>
      <c r="AH14" s="80"/>
      <c r="AI14" s="39">
        <f t="shared" si="15"/>
        <v>1</v>
      </c>
      <c r="AJ14" s="80"/>
      <c r="AK14" s="41"/>
      <c r="AL14" s="86" t="e">
        <f t="shared" si="16"/>
        <v>#REF!</v>
      </c>
      <c r="AM14" s="80">
        <f t="shared" si="17"/>
        <v>0</v>
      </c>
    </row>
    <row r="15" spans="1:51" x14ac:dyDescent="0.25">
      <c r="C15" s="135" t="e">
        <f>Tree!#REF!</f>
        <v>#REF!</v>
      </c>
      <c r="D15" s="81" t="e">
        <f>Tree!#REF!</f>
        <v>#REF!</v>
      </c>
      <c r="E15" s="136" t="e">
        <f t="shared" si="3"/>
        <v>#REF!</v>
      </c>
      <c r="F15" s="81" t="e">
        <f>Tree!#REF!</f>
        <v>#REF!</v>
      </c>
      <c r="G15" s="136" t="e">
        <f t="shared" si="4"/>
        <v>#REF!</v>
      </c>
      <c r="H15" s="82" t="e">
        <f>INDEX(Tree!#REF!,MATCH($J15,Tree!#REF!,0))</f>
        <v>#REF!</v>
      </c>
      <c r="I15" s="101" t="e">
        <f t="shared" si="5"/>
        <v>#REF!</v>
      </c>
      <c r="J15" s="81" t="s">
        <v>25</v>
      </c>
      <c r="K15" s="82" t="e">
        <f>INDEX(Tree!#REF!,MATCH($J15,Tree!#REF!,0))</f>
        <v>#REF!</v>
      </c>
      <c r="L15" s="103" t="e">
        <f t="shared" si="0"/>
        <v>#REF!</v>
      </c>
      <c r="M15" s="101" t="e">
        <f>'Example calcs 2000'!N15*0.95</f>
        <v>#REF!</v>
      </c>
      <c r="N15" s="101" t="e">
        <f t="shared" si="6"/>
        <v>#REF!</v>
      </c>
      <c r="O15" s="101" t="str">
        <f t="shared" si="7"/>
        <v/>
      </c>
      <c r="P15" s="101" t="e">
        <f t="shared" si="8"/>
        <v>#REF!</v>
      </c>
      <c r="Q15" s="82" t="s">
        <v>28</v>
      </c>
      <c r="R15" s="137">
        <f t="shared" si="9"/>
        <v>0</v>
      </c>
      <c r="S15" s="82" t="e">
        <f>INDEX(Tree!#REF!,MATCH($Q15,Tree!#REF!,0)+MATCH(Tree!#REF!,Tree!#REF!,0)-1)</f>
        <v>#REF!</v>
      </c>
      <c r="T15" s="103" t="e">
        <f t="shared" si="10"/>
        <v>#REF!</v>
      </c>
      <c r="U15" s="101" t="e">
        <f>'Example calcs 2000'!S15*0.8</f>
        <v>#REF!</v>
      </c>
      <c r="V15" s="101" t="e">
        <f t="shared" si="11"/>
        <v>#REF!</v>
      </c>
      <c r="W15" s="101" t="str">
        <f t="shared" si="12"/>
        <v/>
      </c>
      <c r="X15" s="101" t="e">
        <f t="shared" si="1"/>
        <v>#REF!</v>
      </c>
      <c r="Y15" s="81" t="s">
        <v>33</v>
      </c>
      <c r="Z15" s="137">
        <f t="shared" si="13"/>
        <v>1</v>
      </c>
      <c r="AA15" s="81" t="e">
        <f>Tree!#REF!</f>
        <v>#REF!</v>
      </c>
      <c r="AB15" s="81"/>
      <c r="AC15" s="103" t="e">
        <f>X15*AA15</f>
        <v>#REF!</v>
      </c>
      <c r="AD15" s="101" t="e">
        <f>'Example calcs 2000'!Y15*0.8</f>
        <v>#REF!</v>
      </c>
      <c r="AE15" s="101" t="e">
        <f t="shared" si="14"/>
        <v>#REF!</v>
      </c>
      <c r="AF15" s="120"/>
      <c r="AG15" s="101" t="e">
        <f t="shared" si="2"/>
        <v>#REF!</v>
      </c>
      <c r="AH15" s="81" t="s">
        <v>54</v>
      </c>
      <c r="AI15" s="137">
        <f t="shared" si="15"/>
        <v>1</v>
      </c>
      <c r="AJ15" s="81" t="e">
        <f>Tree!#REF!</f>
        <v>#REF!</v>
      </c>
      <c r="AK15" s="81"/>
      <c r="AL15" s="87" t="e">
        <f t="shared" si="16"/>
        <v>#REF!</v>
      </c>
      <c r="AM15" s="81" t="e">
        <f t="shared" si="17"/>
        <v>#REF!</v>
      </c>
      <c r="AP15" s="1"/>
    </row>
    <row r="16" spans="1:51" x14ac:dyDescent="0.25">
      <c r="C16" s="121" t="e">
        <f>Tree!#REF!</f>
        <v>#REF!</v>
      </c>
      <c r="D16" s="41" t="e">
        <f>Tree!#REF!</f>
        <v>#REF!</v>
      </c>
      <c r="E16" s="122" t="e">
        <f t="shared" si="3"/>
        <v>#REF!</v>
      </c>
      <c r="F16" s="41" t="e">
        <f>Tree!#REF!</f>
        <v>#REF!</v>
      </c>
      <c r="G16" s="122" t="e">
        <f t="shared" si="4"/>
        <v>#REF!</v>
      </c>
      <c r="H16" s="79" t="e">
        <f>INDEX(Tree!#REF!,MATCH($J16,Tree!#REF!,0))</f>
        <v>#REF!</v>
      </c>
      <c r="I16" s="100" t="e">
        <f t="shared" si="5"/>
        <v>#REF!</v>
      </c>
      <c r="J16" s="41" t="s">
        <v>25</v>
      </c>
      <c r="K16" s="79" t="e">
        <f>INDEX(Tree!#REF!,MATCH($J16,Tree!#REF!,0))</f>
        <v>#REF!</v>
      </c>
      <c r="L16" s="99" t="e">
        <f t="shared" si="0"/>
        <v>#REF!</v>
      </c>
      <c r="M16" s="100" t="e">
        <f>'Example calcs 2000'!N16*0.95</f>
        <v>#REF!</v>
      </c>
      <c r="N16" s="100" t="e">
        <f t="shared" si="6"/>
        <v>#REF!</v>
      </c>
      <c r="O16" s="100" t="str">
        <f t="shared" si="7"/>
        <v/>
      </c>
      <c r="P16" s="100" t="e">
        <f t="shared" si="8"/>
        <v>#REF!</v>
      </c>
      <c r="Q16" s="79" t="s">
        <v>28</v>
      </c>
      <c r="R16" s="39">
        <f t="shared" si="9"/>
        <v>0</v>
      </c>
      <c r="S16" s="79" t="e">
        <f>INDEX(Tree!#REF!,MATCH($Q16,Tree!#REF!,0)+MATCH(Tree!#REF!,Tree!#REF!,0)-1)</f>
        <v>#REF!</v>
      </c>
      <c r="T16" s="99" t="e">
        <f t="shared" si="10"/>
        <v>#REF!</v>
      </c>
      <c r="U16" s="100" t="e">
        <f>'Example calcs 2000'!S16*0.8</f>
        <v>#REF!</v>
      </c>
      <c r="V16" s="100" t="e">
        <f t="shared" si="11"/>
        <v>#REF!</v>
      </c>
      <c r="W16" s="100" t="str">
        <f t="shared" si="12"/>
        <v/>
      </c>
      <c r="X16" s="100" t="e">
        <f t="shared" si="1"/>
        <v>#REF!</v>
      </c>
      <c r="Y16" s="41" t="s">
        <v>33</v>
      </c>
      <c r="Z16" s="39">
        <f t="shared" si="13"/>
        <v>0</v>
      </c>
      <c r="AA16" s="41" t="e">
        <f>Tree!#REF!</f>
        <v>#REF!</v>
      </c>
      <c r="AB16" s="41"/>
      <c r="AC16" s="99" t="e">
        <f>X16*AA16</f>
        <v>#REF!</v>
      </c>
      <c r="AD16" s="100" t="e">
        <f>'Example calcs 2000'!Y16*0.8</f>
        <v>#REF!</v>
      </c>
      <c r="AE16" s="100" t="e">
        <f t="shared" si="14"/>
        <v>#REF!</v>
      </c>
      <c r="AF16" s="139" t="str">
        <f>IFERROR(INDEX($AQ$12,MATCH(AH16,$AP$12,0))/SUM($AQ$12),"")</f>
        <v/>
      </c>
      <c r="AG16" s="100" t="e">
        <f t="shared" si="2"/>
        <v>#REF!</v>
      </c>
      <c r="AH16" s="80" t="s">
        <v>117</v>
      </c>
      <c r="AI16" s="39">
        <f t="shared" si="15"/>
        <v>1</v>
      </c>
      <c r="AJ16" s="80" t="e">
        <f>Tree!#REF!</f>
        <v>#REF!</v>
      </c>
      <c r="AK16" s="41"/>
      <c r="AL16" s="86" t="e">
        <f t="shared" si="16"/>
        <v>#REF!</v>
      </c>
      <c r="AM16" s="80" t="e">
        <f t="shared" si="17"/>
        <v>#REF!</v>
      </c>
      <c r="AP16" s="1"/>
    </row>
    <row r="17" spans="3:50" x14ac:dyDescent="0.25">
      <c r="C17" s="121" t="e">
        <f>Tree!#REF!</f>
        <v>#REF!</v>
      </c>
      <c r="D17" s="41" t="e">
        <f>Tree!#REF!</f>
        <v>#REF!</v>
      </c>
      <c r="E17" s="122" t="e">
        <f t="shared" si="3"/>
        <v>#REF!</v>
      </c>
      <c r="F17" s="41" t="e">
        <f>Tree!#REF!</f>
        <v>#REF!</v>
      </c>
      <c r="G17" s="122" t="e">
        <f t="shared" si="4"/>
        <v>#REF!</v>
      </c>
      <c r="H17" s="79" t="e">
        <f>INDEX(Tree!#REF!,MATCH($J17,Tree!#REF!,0))</f>
        <v>#REF!</v>
      </c>
      <c r="I17" s="100" t="e">
        <f t="shared" si="5"/>
        <v>#REF!</v>
      </c>
      <c r="J17" s="41" t="s">
        <v>25</v>
      </c>
      <c r="K17" s="79" t="e">
        <f>INDEX(Tree!#REF!,MATCH($J17,Tree!#REF!,0))</f>
        <v>#REF!</v>
      </c>
      <c r="L17" s="99" t="e">
        <f t="shared" si="0"/>
        <v>#REF!</v>
      </c>
      <c r="M17" s="100" t="e">
        <f>'Example calcs 2000'!N17*0.95</f>
        <v>#REF!</v>
      </c>
      <c r="N17" s="100" t="e">
        <f t="shared" si="6"/>
        <v>#REF!</v>
      </c>
      <c r="O17" s="100" t="str">
        <f t="shared" si="7"/>
        <v/>
      </c>
      <c r="P17" s="100" t="e">
        <f t="shared" si="8"/>
        <v>#REF!</v>
      </c>
      <c r="Q17" s="79" t="s">
        <v>28</v>
      </c>
      <c r="R17" s="39">
        <f t="shared" si="9"/>
        <v>0</v>
      </c>
      <c r="S17" s="79" t="e">
        <f>INDEX(Tree!#REF!,MATCH($Q17,Tree!#REF!,0)+MATCH(Tree!#REF!,Tree!#REF!,0)-1)</f>
        <v>#REF!</v>
      </c>
      <c r="T17" s="99" t="e">
        <f t="shared" si="10"/>
        <v>#REF!</v>
      </c>
      <c r="U17" s="100" t="e">
        <f>'Example calcs 2000'!S17*0.8</f>
        <v>#REF!</v>
      </c>
      <c r="V17" s="100" t="e">
        <f t="shared" si="11"/>
        <v>#REF!</v>
      </c>
      <c r="W17" s="100" t="str">
        <f t="shared" si="12"/>
        <v/>
      </c>
      <c r="X17" s="100" t="e">
        <f t="shared" si="1"/>
        <v>#REF!</v>
      </c>
      <c r="Y17" s="41" t="s">
        <v>33</v>
      </c>
      <c r="Z17" s="39">
        <f t="shared" si="13"/>
        <v>0</v>
      </c>
      <c r="AA17" s="41" t="e">
        <f>Tree!#REF!</f>
        <v>#REF!</v>
      </c>
      <c r="AB17" s="41"/>
      <c r="AC17" s="99" t="e">
        <f>X17*AA17</f>
        <v>#REF!</v>
      </c>
      <c r="AD17" s="100" t="e">
        <f>'Example calcs 2000'!Y17*0.8</f>
        <v>#REF!</v>
      </c>
      <c r="AE17" s="100" t="e">
        <f t="shared" si="14"/>
        <v>#REF!</v>
      </c>
      <c r="AF17" s="139" t="str">
        <f>IFERROR(INDEX($AQ$12,MATCH(AH17,$AP$12,0))/SUM($AQ$12),"")</f>
        <v/>
      </c>
      <c r="AG17" s="100" t="e">
        <f t="shared" si="2"/>
        <v>#REF!</v>
      </c>
      <c r="AH17" s="80" t="s">
        <v>52</v>
      </c>
      <c r="AI17" s="39">
        <f t="shared" si="15"/>
        <v>1</v>
      </c>
      <c r="AJ17" s="80"/>
      <c r="AK17" s="80" t="e">
        <f>Tree!#REF!</f>
        <v>#REF!</v>
      </c>
      <c r="AL17" s="86" t="e">
        <f t="shared" si="16"/>
        <v>#REF!</v>
      </c>
      <c r="AM17" s="80" t="e">
        <f t="shared" si="17"/>
        <v>#REF!</v>
      </c>
      <c r="AP17" s="1"/>
    </row>
    <row r="18" spans="3:50" x14ac:dyDescent="0.25">
      <c r="C18" s="121" t="e">
        <f>Tree!#REF!</f>
        <v>#REF!</v>
      </c>
      <c r="D18" s="41" t="e">
        <f>Tree!#REF!</f>
        <v>#REF!</v>
      </c>
      <c r="E18" s="122" t="e">
        <f t="shared" si="3"/>
        <v>#REF!</v>
      </c>
      <c r="F18" s="41" t="e">
        <f>Tree!#REF!</f>
        <v>#REF!</v>
      </c>
      <c r="G18" s="122" t="e">
        <f t="shared" si="4"/>
        <v>#REF!</v>
      </c>
      <c r="H18" s="79" t="e">
        <f>INDEX(Tree!#REF!,MATCH($J18,Tree!#REF!,0))</f>
        <v>#REF!</v>
      </c>
      <c r="I18" s="100" t="e">
        <f t="shared" si="5"/>
        <v>#REF!</v>
      </c>
      <c r="J18" s="41" t="s">
        <v>25</v>
      </c>
      <c r="K18" s="79" t="e">
        <f>INDEX(Tree!#REF!,MATCH($J18,Tree!#REF!,0))</f>
        <v>#REF!</v>
      </c>
      <c r="L18" s="99" t="e">
        <f t="shared" si="0"/>
        <v>#REF!</v>
      </c>
      <c r="M18" s="100" t="e">
        <f>'Example calcs 2000'!N18*0.95</f>
        <v>#REF!</v>
      </c>
      <c r="N18" s="100" t="e">
        <f t="shared" si="6"/>
        <v>#REF!</v>
      </c>
      <c r="O18" s="100" t="str">
        <f t="shared" si="7"/>
        <v/>
      </c>
      <c r="P18" s="100" t="e">
        <f t="shared" si="8"/>
        <v>#REF!</v>
      </c>
      <c r="Q18" s="79" t="s">
        <v>28</v>
      </c>
      <c r="R18" s="39">
        <f t="shared" si="9"/>
        <v>0</v>
      </c>
      <c r="S18" s="79" t="e">
        <f>INDEX(Tree!#REF!,MATCH($Q18,Tree!#REF!,0)+MATCH(Tree!#REF!,Tree!#REF!,0)-1)</f>
        <v>#REF!</v>
      </c>
      <c r="T18" s="99" t="e">
        <f t="shared" si="10"/>
        <v>#REF!</v>
      </c>
      <c r="U18" s="100" t="e">
        <f>'Example calcs 2000'!S18*0.8</f>
        <v>#REF!</v>
      </c>
      <c r="V18" s="100" t="e">
        <f t="shared" si="11"/>
        <v>#REF!</v>
      </c>
      <c r="W18" s="100" t="str">
        <f t="shared" si="12"/>
        <v/>
      </c>
      <c r="X18" s="100" t="e">
        <f t="shared" si="1"/>
        <v>#REF!</v>
      </c>
      <c r="Y18" s="41" t="s">
        <v>33</v>
      </c>
      <c r="Z18" s="39">
        <f t="shared" si="13"/>
        <v>0</v>
      </c>
      <c r="AA18" s="41" t="e">
        <f>Tree!#REF!</f>
        <v>#REF!</v>
      </c>
      <c r="AB18" s="41"/>
      <c r="AC18" s="99" t="e">
        <f>X18*AA18</f>
        <v>#REF!</v>
      </c>
      <c r="AD18" s="100" t="e">
        <f>'Example calcs 2000'!Y18*0.8</f>
        <v>#REF!</v>
      </c>
      <c r="AE18" s="100" t="e">
        <f t="shared" si="14"/>
        <v>#REF!</v>
      </c>
      <c r="AF18" s="139" t="str">
        <f>IFERROR(INDEX($AQ$12,MATCH(AH18,$AP$12,0))/SUM($AQ$12),"")</f>
        <v/>
      </c>
      <c r="AG18" s="100" t="e">
        <f t="shared" si="2"/>
        <v>#REF!</v>
      </c>
      <c r="AH18" s="80" t="s">
        <v>53</v>
      </c>
      <c r="AI18" s="39">
        <f t="shared" si="15"/>
        <v>1</v>
      </c>
      <c r="AJ18" s="80"/>
      <c r="AK18" s="80" t="e">
        <f>Tree!#REF!</f>
        <v>#REF!</v>
      </c>
      <c r="AL18" s="86" t="e">
        <f t="shared" si="16"/>
        <v>#REF!</v>
      </c>
      <c r="AM18" s="80" t="e">
        <f t="shared" si="17"/>
        <v>#REF!</v>
      </c>
      <c r="AP18" s="1"/>
    </row>
    <row r="19" spans="3:50" x14ac:dyDescent="0.25">
      <c r="C19" s="121" t="e">
        <f>Tree!#REF!</f>
        <v>#REF!</v>
      </c>
      <c r="D19" s="41" t="e">
        <f>Tree!#REF!</f>
        <v>#REF!</v>
      </c>
      <c r="E19" s="122" t="e">
        <f t="shared" si="3"/>
        <v>#REF!</v>
      </c>
      <c r="F19" s="41" t="e">
        <f>Tree!#REF!</f>
        <v>#REF!</v>
      </c>
      <c r="G19" s="122" t="e">
        <f t="shared" si="4"/>
        <v>#REF!</v>
      </c>
      <c r="H19" s="79" t="e">
        <f>INDEX(Tree!#REF!,MATCH($J19,Tree!#REF!,0))</f>
        <v>#REF!</v>
      </c>
      <c r="I19" s="100" t="e">
        <f t="shared" si="5"/>
        <v>#REF!</v>
      </c>
      <c r="J19" s="41" t="s">
        <v>25</v>
      </c>
      <c r="K19" s="79" t="e">
        <f>INDEX(Tree!#REF!,MATCH($J19,Tree!#REF!,0))</f>
        <v>#REF!</v>
      </c>
      <c r="L19" s="99" t="e">
        <f t="shared" si="0"/>
        <v>#REF!</v>
      </c>
      <c r="M19" s="100" t="e">
        <f>'Example calcs 2000'!N19*0.95</f>
        <v>#REF!</v>
      </c>
      <c r="N19" s="100" t="e">
        <f t="shared" si="6"/>
        <v>#REF!</v>
      </c>
      <c r="O19" s="100" t="str">
        <f t="shared" si="7"/>
        <v/>
      </c>
      <c r="P19" s="100" t="e">
        <f t="shared" si="8"/>
        <v>#REF!</v>
      </c>
      <c r="Q19" s="79" t="s">
        <v>30</v>
      </c>
      <c r="R19" s="39">
        <f t="shared" si="9"/>
        <v>1</v>
      </c>
      <c r="S19" s="79" t="e">
        <f>INDEX(Tree!#REF!,MATCH($Q19,Tree!#REF!,0)+MATCH(Tree!#REF!,Tree!#REF!,0)-1)</f>
        <v>#REF!</v>
      </c>
      <c r="T19" s="99" t="e">
        <f t="shared" si="10"/>
        <v>#REF!</v>
      </c>
      <c r="U19" s="100" t="e">
        <f>'Example calcs 2000'!S19*0.8</f>
        <v>#REF!</v>
      </c>
      <c r="V19" s="100" t="e">
        <f t="shared" si="11"/>
        <v>#REF!</v>
      </c>
      <c r="W19" s="100" t="str">
        <f t="shared" si="12"/>
        <v/>
      </c>
      <c r="X19" s="100" t="e">
        <f t="shared" si="1"/>
        <v>#REF!</v>
      </c>
      <c r="Y19" s="41" t="s">
        <v>32</v>
      </c>
      <c r="Z19" s="39">
        <f t="shared" si="13"/>
        <v>1</v>
      </c>
      <c r="AA19" s="41"/>
      <c r="AB19" s="41" t="e">
        <f>Tree!#REF!</f>
        <v>#REF!</v>
      </c>
      <c r="AC19" s="99"/>
      <c r="AD19" s="100">
        <f>'Example calcs 2000'!Y19*0.8</f>
        <v>0</v>
      </c>
      <c r="AE19" s="100" t="e">
        <f t="shared" si="14"/>
        <v>#REF!</v>
      </c>
      <c r="AF19" s="100" t="str">
        <f t="shared" si="18"/>
        <v/>
      </c>
      <c r="AG19" s="100">
        <f t="shared" si="2"/>
        <v>0</v>
      </c>
      <c r="AH19" s="80"/>
      <c r="AI19" s="39">
        <f t="shared" si="15"/>
        <v>1</v>
      </c>
      <c r="AJ19" s="80"/>
      <c r="AK19" s="80"/>
      <c r="AL19" s="86" t="e">
        <f t="shared" si="16"/>
        <v>#REF!</v>
      </c>
      <c r="AM19" s="80">
        <f t="shared" si="17"/>
        <v>0</v>
      </c>
    </row>
    <row r="20" spans="3:50" x14ac:dyDescent="0.25">
      <c r="C20" s="135" t="e">
        <f>Tree!#REF!</f>
        <v>#REF!</v>
      </c>
      <c r="D20" s="81" t="e">
        <f>Tree!#REF!</f>
        <v>#REF!</v>
      </c>
      <c r="E20" s="136" t="e">
        <f t="shared" si="3"/>
        <v>#REF!</v>
      </c>
      <c r="F20" s="81" t="e">
        <f>Tree!#REF!</f>
        <v>#REF!</v>
      </c>
      <c r="G20" s="136" t="e">
        <f t="shared" si="4"/>
        <v>#REF!</v>
      </c>
      <c r="H20" s="82" t="e">
        <f>INDEX(Tree!#REF!,MATCH($J20,Tree!#REF!,0))</f>
        <v>#REF!</v>
      </c>
      <c r="I20" s="101" t="e">
        <f t="shared" si="5"/>
        <v>#REF!</v>
      </c>
      <c r="J20" s="81" t="s">
        <v>25</v>
      </c>
      <c r="K20" s="82" t="e">
        <f>INDEX(Tree!#REF!,MATCH($J20,Tree!#REF!,0))</f>
        <v>#REF!</v>
      </c>
      <c r="L20" s="103" t="e">
        <f t="shared" si="0"/>
        <v>#REF!</v>
      </c>
      <c r="M20" s="101" t="e">
        <f>'Example calcs 2000'!N20*0.95</f>
        <v>#REF!</v>
      </c>
      <c r="N20" s="101" t="e">
        <f t="shared" si="6"/>
        <v>#REF!</v>
      </c>
      <c r="O20" s="101" t="str">
        <f t="shared" si="7"/>
        <v/>
      </c>
      <c r="P20" s="101" t="e">
        <f t="shared" si="8"/>
        <v>#REF!</v>
      </c>
      <c r="Q20" s="82" t="s">
        <v>30</v>
      </c>
      <c r="R20" s="137">
        <f t="shared" si="9"/>
        <v>0</v>
      </c>
      <c r="S20" s="82" t="e">
        <f>INDEX(Tree!#REF!,MATCH($Q20,Tree!#REF!,0)+MATCH(Tree!#REF!,Tree!#REF!,0)-1)</f>
        <v>#REF!</v>
      </c>
      <c r="T20" s="103" t="e">
        <f t="shared" si="10"/>
        <v>#REF!</v>
      </c>
      <c r="U20" s="101" t="e">
        <f>'Example calcs 2000'!S20*0.8</f>
        <v>#REF!</v>
      </c>
      <c r="V20" s="101" t="e">
        <f t="shared" si="11"/>
        <v>#REF!</v>
      </c>
      <c r="W20" s="101" t="str">
        <f t="shared" si="12"/>
        <v/>
      </c>
      <c r="X20" s="101" t="e">
        <f t="shared" si="1"/>
        <v>#REF!</v>
      </c>
      <c r="Y20" s="81" t="s">
        <v>33</v>
      </c>
      <c r="Z20" s="137">
        <f t="shared" si="13"/>
        <v>1</v>
      </c>
      <c r="AA20" s="81" t="e">
        <f>Tree!#REF!</f>
        <v>#REF!</v>
      </c>
      <c r="AB20" s="81"/>
      <c r="AC20" s="103" t="e">
        <f>X20*AA20</f>
        <v>#REF!</v>
      </c>
      <c r="AD20" s="101" t="e">
        <f>'Example calcs 2000'!Y20*0.8</f>
        <v>#REF!</v>
      </c>
      <c r="AE20" s="101" t="e">
        <f t="shared" si="14"/>
        <v>#REF!</v>
      </c>
      <c r="AF20" s="120"/>
      <c r="AG20" s="101" t="e">
        <f t="shared" si="2"/>
        <v>#REF!</v>
      </c>
      <c r="AH20" s="81" t="s">
        <v>54</v>
      </c>
      <c r="AI20" s="137">
        <f t="shared" si="15"/>
        <v>1</v>
      </c>
      <c r="AJ20" s="81" t="e">
        <f>Tree!#REF!</f>
        <v>#REF!</v>
      </c>
      <c r="AK20" s="81"/>
      <c r="AL20" s="87" t="e">
        <f t="shared" si="16"/>
        <v>#REF!</v>
      </c>
      <c r="AM20" s="81" t="e">
        <f t="shared" si="17"/>
        <v>#REF!</v>
      </c>
    </row>
    <row r="21" spans="3:50" x14ac:dyDescent="0.25">
      <c r="C21" s="121" t="e">
        <f>Tree!#REF!</f>
        <v>#REF!</v>
      </c>
      <c r="D21" s="41" t="e">
        <f>Tree!#REF!</f>
        <v>#REF!</v>
      </c>
      <c r="E21" s="122" t="e">
        <f t="shared" si="3"/>
        <v>#REF!</v>
      </c>
      <c r="F21" s="41" t="e">
        <f>Tree!#REF!</f>
        <v>#REF!</v>
      </c>
      <c r="G21" s="122" t="e">
        <f t="shared" si="4"/>
        <v>#REF!</v>
      </c>
      <c r="H21" s="79" t="e">
        <f>INDEX(Tree!#REF!,MATCH($J21,Tree!#REF!,0))</f>
        <v>#REF!</v>
      </c>
      <c r="I21" s="100" t="e">
        <f t="shared" si="5"/>
        <v>#REF!</v>
      </c>
      <c r="J21" s="41" t="s">
        <v>25</v>
      </c>
      <c r="K21" s="79" t="e">
        <f>INDEX(Tree!#REF!,MATCH($J21,Tree!#REF!,0))</f>
        <v>#REF!</v>
      </c>
      <c r="L21" s="99" t="e">
        <f t="shared" si="0"/>
        <v>#REF!</v>
      </c>
      <c r="M21" s="100" t="e">
        <f>'Example calcs 2000'!N21*0.95</f>
        <v>#REF!</v>
      </c>
      <c r="N21" s="100" t="e">
        <f t="shared" si="6"/>
        <v>#REF!</v>
      </c>
      <c r="O21" s="100" t="str">
        <f t="shared" si="7"/>
        <v/>
      </c>
      <c r="P21" s="100" t="e">
        <f t="shared" si="8"/>
        <v>#REF!</v>
      </c>
      <c r="Q21" s="79" t="s">
        <v>30</v>
      </c>
      <c r="R21" s="39">
        <f t="shared" si="9"/>
        <v>0</v>
      </c>
      <c r="S21" s="79" t="e">
        <f>INDEX(Tree!#REF!,MATCH($Q21,Tree!#REF!,0)+MATCH(Tree!#REF!,Tree!#REF!,0)-1)</f>
        <v>#REF!</v>
      </c>
      <c r="T21" s="99" t="e">
        <f t="shared" si="10"/>
        <v>#REF!</v>
      </c>
      <c r="U21" s="100" t="e">
        <f>'Example calcs 2000'!S21*0.8</f>
        <v>#REF!</v>
      </c>
      <c r="V21" s="100" t="e">
        <f t="shared" si="11"/>
        <v>#REF!</v>
      </c>
      <c r="W21" s="100" t="str">
        <f t="shared" si="12"/>
        <v/>
      </c>
      <c r="X21" s="100" t="e">
        <f t="shared" si="1"/>
        <v>#REF!</v>
      </c>
      <c r="Y21" s="41" t="s">
        <v>33</v>
      </c>
      <c r="Z21" s="39">
        <f t="shared" si="13"/>
        <v>0</v>
      </c>
      <c r="AA21" s="41" t="e">
        <f>Tree!#REF!</f>
        <v>#REF!</v>
      </c>
      <c r="AB21" s="41"/>
      <c r="AC21" s="99" t="e">
        <f>X21*AA21</f>
        <v>#REF!</v>
      </c>
      <c r="AD21" s="100" t="e">
        <f>'Example calcs 2000'!Y21*0.8</f>
        <v>#REF!</v>
      </c>
      <c r="AE21" s="100" t="e">
        <f t="shared" si="14"/>
        <v>#REF!</v>
      </c>
      <c r="AF21" s="139" t="str">
        <f>IFERROR(INDEX($AQ$12,MATCH(AH21,$AP$12,0))/SUM($AQ$12),"")</f>
        <v/>
      </c>
      <c r="AG21" s="100" t="e">
        <f t="shared" si="2"/>
        <v>#REF!</v>
      </c>
      <c r="AH21" s="80" t="s">
        <v>117</v>
      </c>
      <c r="AI21" s="39">
        <f t="shared" si="15"/>
        <v>1</v>
      </c>
      <c r="AJ21" s="80" t="e">
        <f>Tree!#REF!</f>
        <v>#REF!</v>
      </c>
      <c r="AK21" s="80"/>
      <c r="AL21" s="86" t="e">
        <f t="shared" si="16"/>
        <v>#REF!</v>
      </c>
      <c r="AM21" s="80" t="e">
        <f t="shared" si="17"/>
        <v>#REF!</v>
      </c>
    </row>
    <row r="22" spans="3:50" x14ac:dyDescent="0.25">
      <c r="C22" s="121" t="e">
        <f>Tree!#REF!</f>
        <v>#REF!</v>
      </c>
      <c r="D22" s="41" t="e">
        <f>Tree!#REF!</f>
        <v>#REF!</v>
      </c>
      <c r="E22" s="122" t="e">
        <f t="shared" si="3"/>
        <v>#REF!</v>
      </c>
      <c r="F22" s="41" t="e">
        <f>Tree!#REF!</f>
        <v>#REF!</v>
      </c>
      <c r="G22" s="122" t="e">
        <f t="shared" si="4"/>
        <v>#REF!</v>
      </c>
      <c r="H22" s="79" t="e">
        <f>INDEX(Tree!#REF!,MATCH($J22,Tree!#REF!,0))</f>
        <v>#REF!</v>
      </c>
      <c r="I22" s="100" t="e">
        <f t="shared" si="5"/>
        <v>#REF!</v>
      </c>
      <c r="J22" s="41" t="s">
        <v>25</v>
      </c>
      <c r="K22" s="79" t="e">
        <f>INDEX(Tree!#REF!,MATCH($J22,Tree!#REF!,0))</f>
        <v>#REF!</v>
      </c>
      <c r="L22" s="99" t="e">
        <f t="shared" si="0"/>
        <v>#REF!</v>
      </c>
      <c r="M22" s="100" t="e">
        <f>'Example calcs 2000'!N22*0.95</f>
        <v>#REF!</v>
      </c>
      <c r="N22" s="100" t="e">
        <f t="shared" si="6"/>
        <v>#REF!</v>
      </c>
      <c r="O22" s="100" t="str">
        <f t="shared" si="7"/>
        <v/>
      </c>
      <c r="P22" s="100" t="e">
        <f t="shared" si="8"/>
        <v>#REF!</v>
      </c>
      <c r="Q22" s="79" t="s">
        <v>30</v>
      </c>
      <c r="R22" s="39">
        <f t="shared" si="9"/>
        <v>0</v>
      </c>
      <c r="S22" s="79" t="e">
        <f>INDEX(Tree!#REF!,MATCH($Q22,Tree!#REF!,0)+MATCH(Tree!#REF!,Tree!#REF!,0)-1)</f>
        <v>#REF!</v>
      </c>
      <c r="T22" s="99" t="e">
        <f t="shared" si="10"/>
        <v>#REF!</v>
      </c>
      <c r="U22" s="100" t="e">
        <f>'Example calcs 2000'!S22*0.8</f>
        <v>#REF!</v>
      </c>
      <c r="V22" s="100" t="e">
        <f t="shared" si="11"/>
        <v>#REF!</v>
      </c>
      <c r="W22" s="100" t="str">
        <f t="shared" si="12"/>
        <v/>
      </c>
      <c r="X22" s="100" t="e">
        <f t="shared" si="1"/>
        <v>#REF!</v>
      </c>
      <c r="Y22" s="41" t="s">
        <v>33</v>
      </c>
      <c r="Z22" s="39">
        <f t="shared" si="13"/>
        <v>0</v>
      </c>
      <c r="AA22" s="41" t="e">
        <f>Tree!#REF!</f>
        <v>#REF!</v>
      </c>
      <c r="AB22" s="41"/>
      <c r="AC22" s="99" t="e">
        <f>X22*AA22</f>
        <v>#REF!</v>
      </c>
      <c r="AD22" s="100" t="e">
        <f>'Example calcs 2000'!Y22*0.8</f>
        <v>#REF!</v>
      </c>
      <c r="AE22" s="100" t="e">
        <f t="shared" si="14"/>
        <v>#REF!</v>
      </c>
      <c r="AF22" s="139" t="str">
        <f>IFERROR(INDEX($AQ$12,MATCH(AH22,$AP$12,0))/SUM($AQ$12),"")</f>
        <v/>
      </c>
      <c r="AG22" s="100" t="e">
        <f t="shared" si="2"/>
        <v>#REF!</v>
      </c>
      <c r="AH22" s="80" t="s">
        <v>52</v>
      </c>
      <c r="AI22" s="39">
        <f t="shared" si="15"/>
        <v>1</v>
      </c>
      <c r="AJ22" s="80"/>
      <c r="AK22" s="80" t="e">
        <f>Tree!#REF!</f>
        <v>#REF!</v>
      </c>
      <c r="AL22" s="86" t="e">
        <f t="shared" si="16"/>
        <v>#REF!</v>
      </c>
      <c r="AM22" s="80" t="e">
        <f t="shared" si="17"/>
        <v>#REF!</v>
      </c>
    </row>
    <row r="23" spans="3:50" x14ac:dyDescent="0.25">
      <c r="C23" s="121" t="e">
        <f>Tree!#REF!</f>
        <v>#REF!</v>
      </c>
      <c r="D23" s="41" t="e">
        <f>Tree!#REF!</f>
        <v>#REF!</v>
      </c>
      <c r="E23" s="122" t="e">
        <f t="shared" si="3"/>
        <v>#REF!</v>
      </c>
      <c r="F23" s="41" t="e">
        <f>Tree!#REF!</f>
        <v>#REF!</v>
      </c>
      <c r="G23" s="122" t="e">
        <f t="shared" si="4"/>
        <v>#REF!</v>
      </c>
      <c r="H23" s="79" t="e">
        <f>INDEX(Tree!#REF!,MATCH($J23,Tree!#REF!,0))</f>
        <v>#REF!</v>
      </c>
      <c r="I23" s="100" t="e">
        <f t="shared" si="5"/>
        <v>#REF!</v>
      </c>
      <c r="J23" s="41" t="s">
        <v>25</v>
      </c>
      <c r="K23" s="79" t="e">
        <f>INDEX(Tree!#REF!,MATCH($J23,Tree!#REF!,0))</f>
        <v>#REF!</v>
      </c>
      <c r="L23" s="99" t="e">
        <f t="shared" si="0"/>
        <v>#REF!</v>
      </c>
      <c r="M23" s="100" t="e">
        <f>'Example calcs 2000'!N23*0.95</f>
        <v>#REF!</v>
      </c>
      <c r="N23" s="100" t="e">
        <f t="shared" si="6"/>
        <v>#REF!</v>
      </c>
      <c r="O23" s="100" t="str">
        <f t="shared" si="7"/>
        <v/>
      </c>
      <c r="P23" s="100" t="e">
        <f t="shared" si="8"/>
        <v>#REF!</v>
      </c>
      <c r="Q23" s="79" t="s">
        <v>30</v>
      </c>
      <c r="R23" s="39">
        <f t="shared" si="9"/>
        <v>0</v>
      </c>
      <c r="S23" s="79" t="e">
        <f>INDEX(Tree!#REF!,MATCH($Q23,Tree!#REF!,0)+MATCH(Tree!#REF!,Tree!#REF!,0)-1)</f>
        <v>#REF!</v>
      </c>
      <c r="T23" s="99" t="e">
        <f t="shared" si="10"/>
        <v>#REF!</v>
      </c>
      <c r="U23" s="100" t="e">
        <f>'Example calcs 2000'!S23*0.8</f>
        <v>#REF!</v>
      </c>
      <c r="V23" s="100" t="e">
        <f t="shared" si="11"/>
        <v>#REF!</v>
      </c>
      <c r="W23" s="100" t="str">
        <f t="shared" si="12"/>
        <v/>
      </c>
      <c r="X23" s="100" t="e">
        <f t="shared" si="1"/>
        <v>#REF!</v>
      </c>
      <c r="Y23" s="41" t="s">
        <v>33</v>
      </c>
      <c r="Z23" s="39">
        <f t="shared" si="13"/>
        <v>0</v>
      </c>
      <c r="AA23" s="41" t="e">
        <f>Tree!#REF!</f>
        <v>#REF!</v>
      </c>
      <c r="AB23" s="41"/>
      <c r="AC23" s="99" t="e">
        <f>X23*AA23</f>
        <v>#REF!</v>
      </c>
      <c r="AD23" s="100" t="e">
        <f>'Example calcs 2000'!Y23*0.8</f>
        <v>#REF!</v>
      </c>
      <c r="AE23" s="100" t="e">
        <f t="shared" si="14"/>
        <v>#REF!</v>
      </c>
      <c r="AF23" s="139" t="str">
        <f>IFERROR(INDEX($AQ$12,MATCH(AH23,$AP$12,0))/SUM($AQ$12),"")</f>
        <v/>
      </c>
      <c r="AG23" s="100" t="e">
        <f t="shared" si="2"/>
        <v>#REF!</v>
      </c>
      <c r="AH23" s="80" t="s">
        <v>53</v>
      </c>
      <c r="AI23" s="39">
        <f t="shared" si="15"/>
        <v>1</v>
      </c>
      <c r="AJ23" s="80"/>
      <c r="AK23" s="80" t="e">
        <f>Tree!#REF!</f>
        <v>#REF!</v>
      </c>
      <c r="AL23" s="86" t="e">
        <f t="shared" si="16"/>
        <v>#REF!</v>
      </c>
      <c r="AM23" s="80" t="e">
        <f t="shared" si="17"/>
        <v>#REF!</v>
      </c>
    </row>
    <row r="24" spans="3:50" x14ac:dyDescent="0.25">
      <c r="C24" s="121" t="e">
        <f>Tree!#REF!</f>
        <v>#REF!</v>
      </c>
      <c r="D24" s="41" t="e">
        <f>Tree!#REF!</f>
        <v>#REF!</v>
      </c>
      <c r="E24" s="122" t="e">
        <f t="shared" si="3"/>
        <v>#REF!</v>
      </c>
      <c r="F24" s="41" t="e">
        <f>Tree!#REF!</f>
        <v>#REF!</v>
      </c>
      <c r="G24" s="122" t="e">
        <f t="shared" si="4"/>
        <v>#REF!</v>
      </c>
      <c r="H24" s="79" t="e">
        <f>INDEX(Tree!#REF!,MATCH($J24,Tree!#REF!,0))</f>
        <v>#REF!</v>
      </c>
      <c r="I24" s="100" t="e">
        <f t="shared" si="5"/>
        <v>#REF!</v>
      </c>
      <c r="J24" s="41" t="s">
        <v>25</v>
      </c>
      <c r="K24" s="79" t="e">
        <f>INDEX(Tree!#REF!,MATCH($J24,Tree!#REF!,0))</f>
        <v>#REF!</v>
      </c>
      <c r="L24" s="99" t="e">
        <f t="shared" si="0"/>
        <v>#REF!</v>
      </c>
      <c r="M24" s="100" t="e">
        <f>'Example calcs 2000'!N24*0.95</f>
        <v>#REF!</v>
      </c>
      <c r="N24" s="100" t="e">
        <f t="shared" si="6"/>
        <v>#REF!</v>
      </c>
      <c r="O24" s="100" t="str">
        <f t="shared" si="7"/>
        <v/>
      </c>
      <c r="P24" s="100" t="e">
        <f t="shared" si="8"/>
        <v>#REF!</v>
      </c>
      <c r="Q24" s="79" t="s">
        <v>29</v>
      </c>
      <c r="R24" s="39">
        <f t="shared" si="9"/>
        <v>1</v>
      </c>
      <c r="S24" s="79" t="e">
        <f>INDEX(Tree!#REF!,MATCH($Q24,Tree!#REF!,0)+MATCH(Tree!#REF!,Tree!#REF!,0)-1)</f>
        <v>#REF!</v>
      </c>
      <c r="T24" s="99" t="e">
        <f t="shared" si="10"/>
        <v>#REF!</v>
      </c>
      <c r="U24" s="100" t="e">
        <f>'Example calcs 2000'!S24*0.8</f>
        <v>#REF!</v>
      </c>
      <c r="V24" s="100" t="e">
        <f t="shared" si="11"/>
        <v>#REF!</v>
      </c>
      <c r="W24" s="100" t="str">
        <f t="shared" si="12"/>
        <v/>
      </c>
      <c r="X24" s="100" t="e">
        <f t="shared" si="1"/>
        <v>#REF!</v>
      </c>
      <c r="Y24" s="41" t="s">
        <v>32</v>
      </c>
      <c r="Z24" s="39">
        <f t="shared" si="13"/>
        <v>1</v>
      </c>
      <c r="AA24" s="41"/>
      <c r="AB24" s="41" t="e">
        <f>Tree!#REF!</f>
        <v>#REF!</v>
      </c>
      <c r="AC24" s="99"/>
      <c r="AD24" s="100">
        <f>'Example calcs 2000'!Y24*0.8</f>
        <v>0</v>
      </c>
      <c r="AE24" s="100" t="e">
        <f t="shared" si="14"/>
        <v>#REF!</v>
      </c>
      <c r="AF24" s="100" t="str">
        <f t="shared" si="18"/>
        <v/>
      </c>
      <c r="AG24" s="100">
        <f t="shared" si="2"/>
        <v>0</v>
      </c>
      <c r="AH24" s="80"/>
      <c r="AI24" s="39">
        <f t="shared" si="15"/>
        <v>1</v>
      </c>
      <c r="AJ24" s="80"/>
      <c r="AK24" s="41"/>
      <c r="AL24" s="86" t="e">
        <f t="shared" si="16"/>
        <v>#REF!</v>
      </c>
      <c r="AM24" s="80">
        <f t="shared" si="17"/>
        <v>0</v>
      </c>
    </row>
    <row r="25" spans="3:50" x14ac:dyDescent="0.25">
      <c r="C25" s="135" t="e">
        <f>Tree!#REF!</f>
        <v>#REF!</v>
      </c>
      <c r="D25" s="81" t="e">
        <f>Tree!#REF!</f>
        <v>#REF!</v>
      </c>
      <c r="E25" s="136" t="e">
        <f t="shared" si="3"/>
        <v>#REF!</v>
      </c>
      <c r="F25" s="81" t="e">
        <f>Tree!#REF!</f>
        <v>#REF!</v>
      </c>
      <c r="G25" s="136" t="e">
        <f t="shared" si="4"/>
        <v>#REF!</v>
      </c>
      <c r="H25" s="82" t="e">
        <f>INDEX(Tree!#REF!,MATCH($J25,Tree!#REF!,0))</f>
        <v>#REF!</v>
      </c>
      <c r="I25" s="101" t="e">
        <f t="shared" si="5"/>
        <v>#REF!</v>
      </c>
      <c r="J25" s="81" t="s">
        <v>25</v>
      </c>
      <c r="K25" s="82" t="e">
        <f>INDEX(Tree!#REF!,MATCH($J25,Tree!#REF!,0))</f>
        <v>#REF!</v>
      </c>
      <c r="L25" s="103" t="e">
        <f t="shared" si="0"/>
        <v>#REF!</v>
      </c>
      <c r="M25" s="101" t="e">
        <f>'Example calcs 2000'!N25*0.95</f>
        <v>#REF!</v>
      </c>
      <c r="N25" s="101" t="e">
        <f t="shared" si="6"/>
        <v>#REF!</v>
      </c>
      <c r="O25" s="101" t="str">
        <f t="shared" si="7"/>
        <v/>
      </c>
      <c r="P25" s="101" t="e">
        <f t="shared" si="8"/>
        <v>#REF!</v>
      </c>
      <c r="Q25" s="82" t="s">
        <v>29</v>
      </c>
      <c r="R25" s="137">
        <f t="shared" si="9"/>
        <v>0</v>
      </c>
      <c r="S25" s="82" t="e">
        <f>INDEX(Tree!#REF!,MATCH($Q25,Tree!#REF!,0)+MATCH(Tree!#REF!,Tree!#REF!,0)-1)</f>
        <v>#REF!</v>
      </c>
      <c r="T25" s="103" t="e">
        <f t="shared" si="10"/>
        <v>#REF!</v>
      </c>
      <c r="U25" s="101" t="e">
        <f>'Example calcs 2000'!S25*0.8</f>
        <v>#REF!</v>
      </c>
      <c r="V25" s="101" t="e">
        <f t="shared" si="11"/>
        <v>#REF!</v>
      </c>
      <c r="W25" s="101" t="str">
        <f t="shared" si="12"/>
        <v/>
      </c>
      <c r="X25" s="101" t="e">
        <f t="shared" si="1"/>
        <v>#REF!</v>
      </c>
      <c r="Y25" s="81" t="s">
        <v>33</v>
      </c>
      <c r="Z25" s="137">
        <f t="shared" si="13"/>
        <v>1</v>
      </c>
      <c r="AA25" s="81" t="e">
        <f>Tree!#REF!</f>
        <v>#REF!</v>
      </c>
      <c r="AB25" s="81"/>
      <c r="AC25" s="103" t="e">
        <f>X25*AA25</f>
        <v>#REF!</v>
      </c>
      <c r="AD25" s="101" t="e">
        <f>'Example calcs 2000'!Y25*0.8</f>
        <v>#REF!</v>
      </c>
      <c r="AE25" s="101" t="e">
        <f t="shared" si="14"/>
        <v>#REF!</v>
      </c>
      <c r="AF25" s="120"/>
      <c r="AG25" s="101" t="e">
        <f t="shared" si="2"/>
        <v>#REF!</v>
      </c>
      <c r="AH25" s="81" t="s">
        <v>54</v>
      </c>
      <c r="AI25" s="137">
        <f t="shared" si="15"/>
        <v>1</v>
      </c>
      <c r="AJ25" s="81" t="e">
        <f>Tree!#REF!</f>
        <v>#REF!</v>
      </c>
      <c r="AK25" s="81"/>
      <c r="AL25" s="87" t="e">
        <f t="shared" si="16"/>
        <v>#REF!</v>
      </c>
      <c r="AM25" s="81" t="e">
        <f t="shared" si="17"/>
        <v>#REF!</v>
      </c>
    </row>
    <row r="26" spans="3:50" x14ac:dyDescent="0.25">
      <c r="C26" s="121" t="e">
        <f>Tree!#REF!</f>
        <v>#REF!</v>
      </c>
      <c r="D26" s="41" t="e">
        <f>Tree!#REF!</f>
        <v>#REF!</v>
      </c>
      <c r="E26" s="122" t="e">
        <f t="shared" si="3"/>
        <v>#REF!</v>
      </c>
      <c r="F26" s="41" t="e">
        <f>Tree!#REF!</f>
        <v>#REF!</v>
      </c>
      <c r="G26" s="122" t="e">
        <f t="shared" si="4"/>
        <v>#REF!</v>
      </c>
      <c r="H26" s="79" t="e">
        <f>INDEX(Tree!#REF!,MATCH($J26,Tree!#REF!,0))</f>
        <v>#REF!</v>
      </c>
      <c r="I26" s="100" t="e">
        <f t="shared" si="5"/>
        <v>#REF!</v>
      </c>
      <c r="J26" s="41" t="s">
        <v>25</v>
      </c>
      <c r="K26" s="79" t="e">
        <f>INDEX(Tree!#REF!,MATCH($J26,Tree!#REF!,0))</f>
        <v>#REF!</v>
      </c>
      <c r="L26" s="99" t="e">
        <f t="shared" si="0"/>
        <v>#REF!</v>
      </c>
      <c r="M26" s="100" t="e">
        <f>'Example calcs 2000'!N26*0.95</f>
        <v>#REF!</v>
      </c>
      <c r="N26" s="100" t="e">
        <f t="shared" si="6"/>
        <v>#REF!</v>
      </c>
      <c r="O26" s="100" t="str">
        <f t="shared" si="7"/>
        <v/>
      </c>
      <c r="P26" s="100" t="e">
        <f t="shared" si="8"/>
        <v>#REF!</v>
      </c>
      <c r="Q26" s="79" t="s">
        <v>29</v>
      </c>
      <c r="R26" s="39">
        <f t="shared" si="9"/>
        <v>0</v>
      </c>
      <c r="S26" s="79" t="e">
        <f>INDEX(Tree!#REF!,MATCH($Q26,Tree!#REF!,0)+MATCH(Tree!#REF!,Tree!#REF!,0)-1)</f>
        <v>#REF!</v>
      </c>
      <c r="T26" s="99" t="e">
        <f t="shared" si="10"/>
        <v>#REF!</v>
      </c>
      <c r="U26" s="100" t="e">
        <f>'Example calcs 2000'!S26*0.8</f>
        <v>#REF!</v>
      </c>
      <c r="V26" s="100" t="e">
        <f t="shared" si="11"/>
        <v>#REF!</v>
      </c>
      <c r="W26" s="100" t="str">
        <f t="shared" si="12"/>
        <v/>
      </c>
      <c r="X26" s="100" t="e">
        <f t="shared" si="1"/>
        <v>#REF!</v>
      </c>
      <c r="Y26" s="41" t="s">
        <v>33</v>
      </c>
      <c r="Z26" s="39">
        <f t="shared" si="13"/>
        <v>0</v>
      </c>
      <c r="AA26" s="41" t="e">
        <f>Tree!#REF!</f>
        <v>#REF!</v>
      </c>
      <c r="AB26" s="41"/>
      <c r="AC26" s="99" t="e">
        <f>X26*AA26</f>
        <v>#REF!</v>
      </c>
      <c r="AD26" s="100" t="e">
        <f>'Example calcs 2000'!Y26*0.8</f>
        <v>#REF!</v>
      </c>
      <c r="AE26" s="100" t="e">
        <f t="shared" si="14"/>
        <v>#REF!</v>
      </c>
      <c r="AF26" s="139" t="str">
        <f>IFERROR(INDEX($AQ$12,MATCH(AH26,$AP$12,0))/SUM($AQ$12),"")</f>
        <v/>
      </c>
      <c r="AG26" s="100" t="e">
        <f t="shared" si="2"/>
        <v>#REF!</v>
      </c>
      <c r="AH26" s="80" t="s">
        <v>117</v>
      </c>
      <c r="AI26" s="39">
        <f t="shared" si="15"/>
        <v>1</v>
      </c>
      <c r="AJ26" s="80" t="e">
        <f>Tree!#REF!</f>
        <v>#REF!</v>
      </c>
      <c r="AK26" s="41"/>
      <c r="AL26" s="86" t="e">
        <f t="shared" si="16"/>
        <v>#REF!</v>
      </c>
      <c r="AM26" s="80" t="e">
        <f t="shared" si="17"/>
        <v>#REF!</v>
      </c>
    </row>
    <row r="27" spans="3:50" x14ac:dyDescent="0.25">
      <c r="C27" s="121" t="e">
        <f>Tree!#REF!</f>
        <v>#REF!</v>
      </c>
      <c r="D27" s="41" t="e">
        <f>Tree!#REF!</f>
        <v>#REF!</v>
      </c>
      <c r="E27" s="122" t="e">
        <f t="shared" si="3"/>
        <v>#REF!</v>
      </c>
      <c r="F27" s="41" t="e">
        <f>Tree!#REF!</f>
        <v>#REF!</v>
      </c>
      <c r="G27" s="122" t="e">
        <f t="shared" si="4"/>
        <v>#REF!</v>
      </c>
      <c r="H27" s="79" t="e">
        <f>INDEX(Tree!#REF!,MATCH($J27,Tree!#REF!,0))</f>
        <v>#REF!</v>
      </c>
      <c r="I27" s="100" t="e">
        <f t="shared" si="5"/>
        <v>#REF!</v>
      </c>
      <c r="J27" s="41" t="s">
        <v>25</v>
      </c>
      <c r="K27" s="79" t="e">
        <f>INDEX(Tree!#REF!,MATCH($J27,Tree!#REF!,0))</f>
        <v>#REF!</v>
      </c>
      <c r="L27" s="99" t="e">
        <f t="shared" si="0"/>
        <v>#REF!</v>
      </c>
      <c r="M27" s="100" t="e">
        <f>'Example calcs 2000'!N27*0.95</f>
        <v>#REF!</v>
      </c>
      <c r="N27" s="100" t="e">
        <f t="shared" si="6"/>
        <v>#REF!</v>
      </c>
      <c r="O27" s="100" t="str">
        <f t="shared" si="7"/>
        <v/>
      </c>
      <c r="P27" s="100" t="e">
        <f t="shared" si="8"/>
        <v>#REF!</v>
      </c>
      <c r="Q27" s="79" t="s">
        <v>29</v>
      </c>
      <c r="R27" s="39">
        <f t="shared" si="9"/>
        <v>0</v>
      </c>
      <c r="S27" s="79" t="e">
        <f>INDEX(Tree!#REF!,MATCH($Q27,Tree!#REF!,0)+MATCH(Tree!#REF!,Tree!#REF!,0)-1)</f>
        <v>#REF!</v>
      </c>
      <c r="T27" s="99" t="e">
        <f t="shared" si="10"/>
        <v>#REF!</v>
      </c>
      <c r="U27" s="100" t="e">
        <f>'Example calcs 2000'!S27*0.8</f>
        <v>#REF!</v>
      </c>
      <c r="V27" s="100" t="e">
        <f t="shared" si="11"/>
        <v>#REF!</v>
      </c>
      <c r="W27" s="100" t="str">
        <f t="shared" si="12"/>
        <v/>
      </c>
      <c r="X27" s="100" t="e">
        <f t="shared" si="1"/>
        <v>#REF!</v>
      </c>
      <c r="Y27" s="41" t="s">
        <v>33</v>
      </c>
      <c r="Z27" s="39">
        <f t="shared" si="13"/>
        <v>0</v>
      </c>
      <c r="AA27" s="41" t="e">
        <f>Tree!#REF!</f>
        <v>#REF!</v>
      </c>
      <c r="AB27" s="41"/>
      <c r="AC27" s="99" t="e">
        <f>X27*AA27</f>
        <v>#REF!</v>
      </c>
      <c r="AD27" s="100" t="e">
        <f>'Example calcs 2000'!Y27*0.8</f>
        <v>#REF!</v>
      </c>
      <c r="AE27" s="100" t="e">
        <f t="shared" si="14"/>
        <v>#REF!</v>
      </c>
      <c r="AF27" s="139" t="str">
        <f>IFERROR(INDEX($AQ$12,MATCH(AH27,$AP$12,0))/SUM($AQ$12),"")</f>
        <v/>
      </c>
      <c r="AG27" s="100" t="e">
        <f t="shared" si="2"/>
        <v>#REF!</v>
      </c>
      <c r="AH27" s="80" t="s">
        <v>52</v>
      </c>
      <c r="AI27" s="39">
        <f t="shared" si="15"/>
        <v>1</v>
      </c>
      <c r="AJ27" s="80"/>
      <c r="AK27" s="41" t="e">
        <f>Tree!#REF!</f>
        <v>#REF!</v>
      </c>
      <c r="AL27" s="86" t="e">
        <f t="shared" si="16"/>
        <v>#REF!</v>
      </c>
      <c r="AM27" s="80" t="e">
        <f t="shared" si="17"/>
        <v>#REF!</v>
      </c>
    </row>
    <row r="28" spans="3:50" x14ac:dyDescent="0.25">
      <c r="C28" s="121" t="e">
        <f>Tree!#REF!</f>
        <v>#REF!</v>
      </c>
      <c r="D28" s="41" t="e">
        <f>Tree!#REF!</f>
        <v>#REF!</v>
      </c>
      <c r="E28" s="122" t="e">
        <f t="shared" si="3"/>
        <v>#REF!</v>
      </c>
      <c r="F28" s="41" t="e">
        <f>Tree!#REF!</f>
        <v>#REF!</v>
      </c>
      <c r="G28" s="122" t="e">
        <f t="shared" si="4"/>
        <v>#REF!</v>
      </c>
      <c r="H28" s="79" t="e">
        <f>INDEX(Tree!#REF!,MATCH($J28,Tree!#REF!,0))</f>
        <v>#REF!</v>
      </c>
      <c r="I28" s="100" t="e">
        <f t="shared" si="5"/>
        <v>#REF!</v>
      </c>
      <c r="J28" s="80" t="s">
        <v>25</v>
      </c>
      <c r="K28" s="90" t="e">
        <f>INDEX(Tree!#REF!,MATCH($J28,Tree!#REF!,0))</f>
        <v>#REF!</v>
      </c>
      <c r="L28" s="104" t="e">
        <f t="shared" si="0"/>
        <v>#REF!</v>
      </c>
      <c r="M28" s="102" t="e">
        <f>'Example calcs 2000'!N28*0.95</f>
        <v>#REF!</v>
      </c>
      <c r="N28" s="100" t="e">
        <f t="shared" si="6"/>
        <v>#REF!</v>
      </c>
      <c r="O28" s="102" t="str">
        <f t="shared" si="7"/>
        <v/>
      </c>
      <c r="P28" s="102" t="e">
        <f t="shared" si="8"/>
        <v>#REF!</v>
      </c>
      <c r="Q28" s="90" t="s">
        <v>29</v>
      </c>
      <c r="R28" s="39">
        <f t="shared" si="9"/>
        <v>0</v>
      </c>
      <c r="S28" s="90" t="e">
        <f>INDEX(Tree!#REF!,MATCH($Q28,Tree!#REF!,0)+MATCH(Tree!#REF!,Tree!#REF!,0)-1)</f>
        <v>#REF!</v>
      </c>
      <c r="T28" s="104" t="e">
        <f t="shared" si="10"/>
        <v>#REF!</v>
      </c>
      <c r="U28" s="102" t="e">
        <f>'Example calcs 2000'!S28*0.8</f>
        <v>#REF!</v>
      </c>
      <c r="V28" s="100" t="e">
        <f t="shared" si="11"/>
        <v>#REF!</v>
      </c>
      <c r="W28" s="102" t="str">
        <f t="shared" si="12"/>
        <v/>
      </c>
      <c r="X28" s="102" t="e">
        <f t="shared" si="1"/>
        <v>#REF!</v>
      </c>
      <c r="Y28" s="80" t="s">
        <v>33</v>
      </c>
      <c r="Z28" s="39">
        <f t="shared" si="13"/>
        <v>0</v>
      </c>
      <c r="AA28" s="80" t="e">
        <f>Tree!#REF!</f>
        <v>#REF!</v>
      </c>
      <c r="AB28" s="80"/>
      <c r="AC28" s="104" t="e">
        <f>X28*AA28</f>
        <v>#REF!</v>
      </c>
      <c r="AD28" s="102" t="e">
        <f>'Example calcs 2000'!Y28*0.8</f>
        <v>#REF!</v>
      </c>
      <c r="AE28" s="100" t="e">
        <f t="shared" si="14"/>
        <v>#REF!</v>
      </c>
      <c r="AF28" s="139" t="str">
        <f>IFERROR(INDEX($AQ$12,MATCH(AH28,$AP$12,0))/SUM($AQ$12),"")</f>
        <v/>
      </c>
      <c r="AG28" s="102" t="e">
        <f t="shared" si="2"/>
        <v>#REF!</v>
      </c>
      <c r="AH28" s="80" t="s">
        <v>53</v>
      </c>
      <c r="AI28" s="39">
        <f t="shared" si="15"/>
        <v>1</v>
      </c>
      <c r="AJ28" s="80"/>
      <c r="AK28" s="80" t="e">
        <f>Tree!#REF!</f>
        <v>#REF!</v>
      </c>
      <c r="AL28" s="91" t="e">
        <f t="shared" si="16"/>
        <v>#REF!</v>
      </c>
      <c r="AM28" s="80" t="e">
        <f t="shared" si="17"/>
        <v>#REF!</v>
      </c>
      <c r="AP28" s="72"/>
      <c r="AQ28" s="72"/>
      <c r="AR28" s="72"/>
      <c r="AS28" s="72"/>
      <c r="AT28" s="72"/>
      <c r="AU28" s="72"/>
      <c r="AV28" s="72"/>
      <c r="AW28" s="72"/>
      <c r="AX28" s="72"/>
    </row>
    <row r="29" spans="3:50" s="72" customFormat="1" x14ac:dyDescent="0.25">
      <c r="C29" s="121" t="e">
        <f>Tree!#REF!</f>
        <v>#REF!</v>
      </c>
      <c r="D29" s="41" t="e">
        <f>Tree!#REF!</f>
        <v>#REF!</v>
      </c>
      <c r="E29" s="122" t="e">
        <f t="shared" si="3"/>
        <v>#REF!</v>
      </c>
      <c r="F29" s="41" t="e">
        <f>Tree!#REF!</f>
        <v>#REF!</v>
      </c>
      <c r="G29" s="122" t="e">
        <f t="shared" si="4"/>
        <v>#REF!</v>
      </c>
      <c r="H29" s="79" t="e">
        <f>INDEX(Tree!#REF!,MATCH($J29,Tree!#REF!,0))</f>
        <v>#REF!</v>
      </c>
      <c r="I29" s="100" t="e">
        <f t="shared" si="5"/>
        <v>#REF!</v>
      </c>
      <c r="J29" s="80" t="s">
        <v>26</v>
      </c>
      <c r="K29" s="90" t="e">
        <f>INDEX(Tree!#REF!,MATCH($J29,Tree!#REF!,0))</f>
        <v>#REF!</v>
      </c>
      <c r="L29" s="104" t="e">
        <f t="shared" si="0"/>
        <v>#REF!</v>
      </c>
      <c r="M29" s="102" t="e">
        <f>'Example calcs 2000'!N29*0.95</f>
        <v>#REF!</v>
      </c>
      <c r="N29" s="100" t="e">
        <f t="shared" si="6"/>
        <v>#REF!</v>
      </c>
      <c r="O29" s="102" t="str">
        <f t="shared" si="7"/>
        <v/>
      </c>
      <c r="P29" s="102" t="e">
        <f t="shared" si="8"/>
        <v>#REF!</v>
      </c>
      <c r="Q29" s="90" t="s">
        <v>31</v>
      </c>
      <c r="R29" s="39">
        <f t="shared" si="9"/>
        <v>1</v>
      </c>
      <c r="S29" s="90" t="e">
        <f>INDEX(Tree!#REF!,MATCH($Q29,Tree!#REF!,0)+MATCH(Tree!#REF!,Tree!#REF!,0)-1)</f>
        <v>#REF!</v>
      </c>
      <c r="T29" s="104" t="e">
        <f t="shared" si="10"/>
        <v>#REF!</v>
      </c>
      <c r="U29" s="102" t="e">
        <f>'Example calcs 2000'!S29*0.8</f>
        <v>#REF!</v>
      </c>
      <c r="V29" s="100" t="e">
        <f t="shared" si="11"/>
        <v>#REF!</v>
      </c>
      <c r="W29" s="102" t="str">
        <f t="shared" si="12"/>
        <v/>
      </c>
      <c r="X29" s="102" t="e">
        <f t="shared" si="1"/>
        <v>#REF!</v>
      </c>
      <c r="Y29" s="80" t="s">
        <v>32</v>
      </c>
      <c r="Z29" s="39">
        <f t="shared" si="13"/>
        <v>1</v>
      </c>
      <c r="AA29" s="80"/>
      <c r="AB29" s="80" t="e">
        <f>Tree!#REF!</f>
        <v>#REF!</v>
      </c>
      <c r="AC29" s="104"/>
      <c r="AD29" s="102">
        <f>'Example calcs 2000'!Y29*0.8</f>
        <v>0</v>
      </c>
      <c r="AE29" s="100" t="e">
        <f t="shared" si="14"/>
        <v>#REF!</v>
      </c>
      <c r="AF29" s="102" t="str">
        <f t="shared" si="18"/>
        <v/>
      </c>
      <c r="AG29" s="102">
        <f t="shared" si="2"/>
        <v>0</v>
      </c>
      <c r="AH29" s="80"/>
      <c r="AI29" s="39">
        <f t="shared" si="15"/>
        <v>1</v>
      </c>
      <c r="AJ29" s="80"/>
      <c r="AK29" s="80"/>
      <c r="AL29" s="91" t="e">
        <f t="shared" si="16"/>
        <v>#REF!</v>
      </c>
      <c r="AM29" s="80">
        <f t="shared" si="17"/>
        <v>0</v>
      </c>
    </row>
    <row r="30" spans="3:50" s="72" customFormat="1" x14ac:dyDescent="0.25">
      <c r="C30" s="121" t="e">
        <f>Tree!#REF!</f>
        <v>#REF!</v>
      </c>
      <c r="D30" s="41" t="e">
        <f>Tree!#REF!</f>
        <v>#REF!</v>
      </c>
      <c r="E30" s="122" t="e">
        <f t="shared" si="3"/>
        <v>#REF!</v>
      </c>
      <c r="F30" s="41" t="e">
        <f>Tree!#REF!</f>
        <v>#REF!</v>
      </c>
      <c r="G30" s="122" t="e">
        <f t="shared" si="4"/>
        <v>#REF!</v>
      </c>
      <c r="H30" s="79" t="e">
        <f>INDEX(Tree!#REF!,MATCH($J30,Tree!#REF!,0))</f>
        <v>#REF!</v>
      </c>
      <c r="I30" s="100" t="e">
        <f t="shared" si="5"/>
        <v>#REF!</v>
      </c>
      <c r="J30" s="80" t="s">
        <v>26</v>
      </c>
      <c r="K30" s="90" t="e">
        <f>INDEX(Tree!#REF!,MATCH($J30,Tree!#REF!,0))</f>
        <v>#REF!</v>
      </c>
      <c r="L30" s="104" t="e">
        <f t="shared" si="0"/>
        <v>#REF!</v>
      </c>
      <c r="M30" s="102" t="e">
        <f>'Example calcs 2000'!N30*0.95</f>
        <v>#REF!</v>
      </c>
      <c r="N30" s="100" t="e">
        <f t="shared" si="6"/>
        <v>#REF!</v>
      </c>
      <c r="O30" s="102" t="str">
        <f t="shared" si="7"/>
        <v/>
      </c>
      <c r="P30" s="102" t="e">
        <f t="shared" si="8"/>
        <v>#REF!</v>
      </c>
      <c r="Q30" s="90" t="s">
        <v>31</v>
      </c>
      <c r="R30" s="39">
        <f t="shared" si="9"/>
        <v>0</v>
      </c>
      <c r="S30" s="90" t="e">
        <f>INDEX(Tree!#REF!,MATCH($Q30,Tree!#REF!,0)+MATCH(Tree!#REF!,Tree!#REF!,0)-1)</f>
        <v>#REF!</v>
      </c>
      <c r="T30" s="104" t="e">
        <f t="shared" si="10"/>
        <v>#REF!</v>
      </c>
      <c r="U30" s="102" t="e">
        <f>'Example calcs 2000'!S30*0.8</f>
        <v>#REF!</v>
      </c>
      <c r="V30" s="100" t="e">
        <f t="shared" si="11"/>
        <v>#REF!</v>
      </c>
      <c r="W30" s="102" t="str">
        <f t="shared" si="12"/>
        <v/>
      </c>
      <c r="X30" s="102" t="e">
        <f t="shared" si="1"/>
        <v>#REF!</v>
      </c>
      <c r="Y30" s="80" t="s">
        <v>33</v>
      </c>
      <c r="Z30" s="39">
        <f t="shared" si="13"/>
        <v>1</v>
      </c>
      <c r="AA30" s="80" t="e">
        <f>Tree!#REF!</f>
        <v>#REF!</v>
      </c>
      <c r="AB30" s="80"/>
      <c r="AC30" s="104" t="e">
        <f>X30*AA30</f>
        <v>#REF!</v>
      </c>
      <c r="AD30" s="102" t="e">
        <f>'Example calcs 2000'!Y30*0.8</f>
        <v>#REF!</v>
      </c>
      <c r="AE30" s="100" t="e">
        <f t="shared" si="14"/>
        <v>#REF!</v>
      </c>
      <c r="AF30" s="102" t="str">
        <f t="shared" si="18"/>
        <v/>
      </c>
      <c r="AG30" s="102" t="e">
        <f t="shared" si="2"/>
        <v>#REF!</v>
      </c>
      <c r="AH30" s="80" t="s">
        <v>54</v>
      </c>
      <c r="AI30" s="39">
        <f t="shared" si="15"/>
        <v>1</v>
      </c>
      <c r="AJ30" s="80" t="e">
        <f>Tree!#REF!</f>
        <v>#REF!</v>
      </c>
      <c r="AK30" s="80"/>
      <c r="AL30" s="91" t="e">
        <f t="shared" si="16"/>
        <v>#REF!</v>
      </c>
      <c r="AM30" s="80" t="e">
        <f t="shared" si="17"/>
        <v>#REF!</v>
      </c>
    </row>
    <row r="31" spans="3:50" s="72" customFormat="1" x14ac:dyDescent="0.25">
      <c r="C31" s="121" t="e">
        <f>Tree!#REF!</f>
        <v>#REF!</v>
      </c>
      <c r="D31" s="41" t="e">
        <f>Tree!#REF!</f>
        <v>#REF!</v>
      </c>
      <c r="E31" s="122" t="e">
        <f t="shared" si="3"/>
        <v>#REF!</v>
      </c>
      <c r="F31" s="41" t="e">
        <f>Tree!#REF!</f>
        <v>#REF!</v>
      </c>
      <c r="G31" s="122" t="e">
        <f t="shared" si="4"/>
        <v>#REF!</v>
      </c>
      <c r="H31" s="79" t="e">
        <f>INDEX(Tree!#REF!,MATCH($J31,Tree!#REF!,0))</f>
        <v>#REF!</v>
      </c>
      <c r="I31" s="100" t="e">
        <f t="shared" si="5"/>
        <v>#REF!</v>
      </c>
      <c r="J31" s="80" t="s">
        <v>26</v>
      </c>
      <c r="K31" s="90" t="e">
        <f>INDEX(Tree!#REF!,MATCH($J31,Tree!#REF!,0))</f>
        <v>#REF!</v>
      </c>
      <c r="L31" s="104" t="e">
        <f t="shared" si="0"/>
        <v>#REF!</v>
      </c>
      <c r="M31" s="102" t="e">
        <f>'Example calcs 2000'!N31*0.95</f>
        <v>#REF!</v>
      </c>
      <c r="N31" s="100" t="e">
        <f t="shared" si="6"/>
        <v>#REF!</v>
      </c>
      <c r="O31" s="102" t="str">
        <f t="shared" si="7"/>
        <v/>
      </c>
      <c r="P31" s="102" t="e">
        <f t="shared" si="8"/>
        <v>#REF!</v>
      </c>
      <c r="Q31" s="90" t="s">
        <v>31</v>
      </c>
      <c r="R31" s="39">
        <f t="shared" si="9"/>
        <v>0</v>
      </c>
      <c r="S31" s="90" t="e">
        <f>INDEX(Tree!#REF!,MATCH($Q31,Tree!#REF!,0)+MATCH(Tree!#REF!,Tree!#REF!,0)-1)</f>
        <v>#REF!</v>
      </c>
      <c r="T31" s="104" t="e">
        <f t="shared" si="10"/>
        <v>#REF!</v>
      </c>
      <c r="U31" s="102" t="e">
        <f>'Example calcs 2000'!S31*0.8</f>
        <v>#REF!</v>
      </c>
      <c r="V31" s="100" t="e">
        <f t="shared" si="11"/>
        <v>#REF!</v>
      </c>
      <c r="W31" s="102" t="str">
        <f t="shared" si="12"/>
        <v/>
      </c>
      <c r="X31" s="102" t="e">
        <f t="shared" si="1"/>
        <v>#REF!</v>
      </c>
      <c r="Y31" s="80" t="s">
        <v>33</v>
      </c>
      <c r="Z31" s="39">
        <f t="shared" si="13"/>
        <v>0</v>
      </c>
      <c r="AA31" s="80" t="e">
        <f>Tree!#REF!</f>
        <v>#REF!</v>
      </c>
      <c r="AB31" s="80"/>
      <c r="AC31" s="104" t="e">
        <f>X31*AA31</f>
        <v>#REF!</v>
      </c>
      <c r="AD31" s="102" t="e">
        <f>'Example calcs 2000'!Y31*0.8</f>
        <v>#REF!</v>
      </c>
      <c r="AE31" s="100" t="e">
        <f t="shared" si="14"/>
        <v>#REF!</v>
      </c>
      <c r="AF31" s="102" t="str">
        <f t="shared" si="18"/>
        <v/>
      </c>
      <c r="AG31" s="102" t="e">
        <f t="shared" si="2"/>
        <v>#REF!</v>
      </c>
      <c r="AH31" s="80" t="s">
        <v>117</v>
      </c>
      <c r="AI31" s="39">
        <f t="shared" si="15"/>
        <v>1</v>
      </c>
      <c r="AJ31" s="80" t="e">
        <f>Tree!#REF!</f>
        <v>#REF!</v>
      </c>
      <c r="AK31" s="80"/>
      <c r="AL31" s="91" t="e">
        <f t="shared" si="16"/>
        <v>#REF!</v>
      </c>
      <c r="AM31" s="80" t="e">
        <f t="shared" si="17"/>
        <v>#REF!</v>
      </c>
    </row>
    <row r="32" spans="3:50" s="72" customFormat="1" x14ac:dyDescent="0.25">
      <c r="C32" s="121" t="e">
        <f>Tree!#REF!</f>
        <v>#REF!</v>
      </c>
      <c r="D32" s="41" t="e">
        <f>Tree!#REF!</f>
        <v>#REF!</v>
      </c>
      <c r="E32" s="122" t="e">
        <f t="shared" si="3"/>
        <v>#REF!</v>
      </c>
      <c r="F32" s="41" t="e">
        <f>Tree!#REF!</f>
        <v>#REF!</v>
      </c>
      <c r="G32" s="122" t="e">
        <f t="shared" si="4"/>
        <v>#REF!</v>
      </c>
      <c r="H32" s="79" t="e">
        <f>INDEX(Tree!#REF!,MATCH($J32,Tree!#REF!,0))</f>
        <v>#REF!</v>
      </c>
      <c r="I32" s="100" t="e">
        <f t="shared" si="5"/>
        <v>#REF!</v>
      </c>
      <c r="J32" s="80" t="s">
        <v>26</v>
      </c>
      <c r="K32" s="90" t="e">
        <f>INDEX(Tree!#REF!,MATCH($J32,Tree!#REF!,0))</f>
        <v>#REF!</v>
      </c>
      <c r="L32" s="104" t="e">
        <f t="shared" si="0"/>
        <v>#REF!</v>
      </c>
      <c r="M32" s="102" t="e">
        <f>'Example calcs 2000'!N32*0.95</f>
        <v>#REF!</v>
      </c>
      <c r="N32" s="100" t="e">
        <f t="shared" si="6"/>
        <v>#REF!</v>
      </c>
      <c r="O32" s="102" t="str">
        <f t="shared" si="7"/>
        <v/>
      </c>
      <c r="P32" s="102" t="e">
        <f t="shared" si="8"/>
        <v>#REF!</v>
      </c>
      <c r="Q32" s="90" t="s">
        <v>31</v>
      </c>
      <c r="R32" s="39">
        <f t="shared" si="9"/>
        <v>0</v>
      </c>
      <c r="S32" s="90" t="e">
        <f>INDEX(Tree!#REF!,MATCH($Q32,Tree!#REF!,0)+MATCH(Tree!#REF!,Tree!#REF!,0)-1)</f>
        <v>#REF!</v>
      </c>
      <c r="T32" s="104" t="e">
        <f t="shared" si="10"/>
        <v>#REF!</v>
      </c>
      <c r="U32" s="102" t="e">
        <f>'Example calcs 2000'!S32*0.8</f>
        <v>#REF!</v>
      </c>
      <c r="V32" s="100" t="e">
        <f t="shared" si="11"/>
        <v>#REF!</v>
      </c>
      <c r="W32" s="102" t="str">
        <f t="shared" si="12"/>
        <v/>
      </c>
      <c r="X32" s="102" t="e">
        <f t="shared" si="1"/>
        <v>#REF!</v>
      </c>
      <c r="Y32" s="80" t="s">
        <v>33</v>
      </c>
      <c r="Z32" s="39">
        <f t="shared" si="13"/>
        <v>0</v>
      </c>
      <c r="AA32" s="80" t="e">
        <f>Tree!#REF!</f>
        <v>#REF!</v>
      </c>
      <c r="AB32" s="80"/>
      <c r="AC32" s="104" t="e">
        <f>X32*AA32</f>
        <v>#REF!</v>
      </c>
      <c r="AD32" s="102" t="e">
        <f>'Example calcs 2000'!Y32*0.8</f>
        <v>#REF!</v>
      </c>
      <c r="AE32" s="100" t="e">
        <f t="shared" si="14"/>
        <v>#REF!</v>
      </c>
      <c r="AF32" s="102" t="str">
        <f t="shared" si="18"/>
        <v/>
      </c>
      <c r="AG32" s="102" t="e">
        <f t="shared" si="2"/>
        <v>#REF!</v>
      </c>
      <c r="AH32" s="80" t="s">
        <v>52</v>
      </c>
      <c r="AI32" s="39">
        <f t="shared" si="15"/>
        <v>1</v>
      </c>
      <c r="AJ32" s="80"/>
      <c r="AK32" s="80" t="e">
        <f>Tree!#REF!</f>
        <v>#REF!</v>
      </c>
      <c r="AL32" s="91" t="e">
        <f t="shared" si="16"/>
        <v>#REF!</v>
      </c>
      <c r="AM32" s="80" t="e">
        <f t="shared" si="17"/>
        <v>#REF!</v>
      </c>
    </row>
    <row r="33" spans="3:39" s="72" customFormat="1" x14ac:dyDescent="0.25">
      <c r="C33" s="121" t="e">
        <f>Tree!#REF!</f>
        <v>#REF!</v>
      </c>
      <c r="D33" s="41" t="e">
        <f>Tree!#REF!</f>
        <v>#REF!</v>
      </c>
      <c r="E33" s="122" t="e">
        <f t="shared" si="3"/>
        <v>#REF!</v>
      </c>
      <c r="F33" s="41" t="e">
        <f>Tree!#REF!</f>
        <v>#REF!</v>
      </c>
      <c r="G33" s="122" t="e">
        <f t="shared" si="4"/>
        <v>#REF!</v>
      </c>
      <c r="H33" s="79" t="e">
        <f>INDEX(Tree!#REF!,MATCH($J33,Tree!#REF!,0))</f>
        <v>#REF!</v>
      </c>
      <c r="I33" s="100" t="e">
        <f t="shared" si="5"/>
        <v>#REF!</v>
      </c>
      <c r="J33" s="80" t="s">
        <v>26</v>
      </c>
      <c r="K33" s="90" t="e">
        <f>INDEX(Tree!#REF!,MATCH($J33,Tree!#REF!,0))</f>
        <v>#REF!</v>
      </c>
      <c r="L33" s="104" t="e">
        <f t="shared" si="0"/>
        <v>#REF!</v>
      </c>
      <c r="M33" s="102" t="e">
        <f>'Example calcs 2000'!N33*0.95</f>
        <v>#REF!</v>
      </c>
      <c r="N33" s="100" t="e">
        <f t="shared" si="6"/>
        <v>#REF!</v>
      </c>
      <c r="O33" s="102" t="str">
        <f t="shared" si="7"/>
        <v/>
      </c>
      <c r="P33" s="102" t="e">
        <f t="shared" si="8"/>
        <v>#REF!</v>
      </c>
      <c r="Q33" s="90" t="s">
        <v>31</v>
      </c>
      <c r="R33" s="39">
        <f t="shared" si="9"/>
        <v>0</v>
      </c>
      <c r="S33" s="90" t="e">
        <f>INDEX(Tree!#REF!,MATCH($Q33,Tree!#REF!,0)+MATCH(Tree!#REF!,Tree!#REF!,0)-1)</f>
        <v>#REF!</v>
      </c>
      <c r="T33" s="104" t="e">
        <f t="shared" si="10"/>
        <v>#REF!</v>
      </c>
      <c r="U33" s="102" t="e">
        <f>'Example calcs 2000'!S33*0.8</f>
        <v>#REF!</v>
      </c>
      <c r="V33" s="100" t="e">
        <f t="shared" si="11"/>
        <v>#REF!</v>
      </c>
      <c r="W33" s="102" t="str">
        <f t="shared" si="12"/>
        <v/>
      </c>
      <c r="X33" s="102" t="e">
        <f t="shared" si="1"/>
        <v>#REF!</v>
      </c>
      <c r="Y33" s="80" t="s">
        <v>33</v>
      </c>
      <c r="Z33" s="39">
        <f t="shared" si="13"/>
        <v>0</v>
      </c>
      <c r="AA33" s="80" t="e">
        <f>Tree!#REF!</f>
        <v>#REF!</v>
      </c>
      <c r="AB33" s="80"/>
      <c r="AC33" s="104" t="e">
        <f>X33*AA33</f>
        <v>#REF!</v>
      </c>
      <c r="AD33" s="102" t="e">
        <f>'Example calcs 2000'!Y33*0.8</f>
        <v>#REF!</v>
      </c>
      <c r="AE33" s="100" t="e">
        <f t="shared" si="14"/>
        <v>#REF!</v>
      </c>
      <c r="AF33" s="102" t="str">
        <f t="shared" si="18"/>
        <v/>
      </c>
      <c r="AG33" s="102" t="e">
        <f t="shared" si="2"/>
        <v>#REF!</v>
      </c>
      <c r="AH33" s="80" t="s">
        <v>53</v>
      </c>
      <c r="AI33" s="39">
        <f t="shared" si="15"/>
        <v>1</v>
      </c>
      <c r="AJ33" s="80"/>
      <c r="AK33" s="80" t="e">
        <f>Tree!#REF!</f>
        <v>#REF!</v>
      </c>
      <c r="AL33" s="91" t="e">
        <f t="shared" si="16"/>
        <v>#REF!</v>
      </c>
      <c r="AM33" s="80" t="e">
        <f t="shared" si="17"/>
        <v>#REF!</v>
      </c>
    </row>
    <row r="34" spans="3:39" s="72" customFormat="1" x14ac:dyDescent="0.25">
      <c r="C34" s="121" t="e">
        <f>Tree!#REF!</f>
        <v>#REF!</v>
      </c>
      <c r="D34" s="41" t="e">
        <f>Tree!#REF!</f>
        <v>#REF!</v>
      </c>
      <c r="E34" s="122" t="e">
        <f t="shared" si="3"/>
        <v>#REF!</v>
      </c>
      <c r="F34" s="41" t="e">
        <f>Tree!#REF!</f>
        <v>#REF!</v>
      </c>
      <c r="G34" s="122" t="e">
        <f t="shared" si="4"/>
        <v>#REF!</v>
      </c>
      <c r="H34" s="79" t="e">
        <f>INDEX(Tree!#REF!,MATCH($J34,Tree!#REF!,0))</f>
        <v>#REF!</v>
      </c>
      <c r="I34" s="100" t="e">
        <f t="shared" si="5"/>
        <v>#REF!</v>
      </c>
      <c r="J34" s="80" t="s">
        <v>26</v>
      </c>
      <c r="K34" s="90" t="e">
        <f>INDEX(Tree!#REF!,MATCH($J34,Tree!#REF!,0))</f>
        <v>#REF!</v>
      </c>
      <c r="L34" s="104" t="e">
        <f t="shared" si="0"/>
        <v>#REF!</v>
      </c>
      <c r="M34" s="102" t="e">
        <f>'Example calcs 2000'!N34*0.95</f>
        <v>#REF!</v>
      </c>
      <c r="N34" s="100" t="e">
        <f t="shared" si="6"/>
        <v>#REF!</v>
      </c>
      <c r="O34" s="102" t="str">
        <f t="shared" si="7"/>
        <v/>
      </c>
      <c r="P34" s="102" t="e">
        <f t="shared" si="8"/>
        <v>#REF!</v>
      </c>
      <c r="Q34" s="90" t="s">
        <v>27</v>
      </c>
      <c r="R34" s="39">
        <f t="shared" si="9"/>
        <v>1</v>
      </c>
      <c r="S34" s="90" t="e">
        <f>INDEX(Tree!#REF!,MATCH($Q34,Tree!#REF!,0)+MATCH(Tree!#REF!,Tree!#REF!,0)-1)</f>
        <v>#REF!</v>
      </c>
      <c r="T34" s="104" t="e">
        <f t="shared" si="10"/>
        <v>#REF!</v>
      </c>
      <c r="U34" s="102" t="e">
        <f>'Example calcs 2000'!S34*0.8</f>
        <v>#REF!</v>
      </c>
      <c r="V34" s="100" t="e">
        <f t="shared" si="11"/>
        <v>#REF!</v>
      </c>
      <c r="W34" s="102" t="str">
        <f t="shared" si="12"/>
        <v/>
      </c>
      <c r="X34" s="102" t="e">
        <f t="shared" si="1"/>
        <v>#REF!</v>
      </c>
      <c r="Y34" s="80" t="s">
        <v>32</v>
      </c>
      <c r="Z34" s="39">
        <f t="shared" si="13"/>
        <v>1</v>
      </c>
      <c r="AA34" s="80"/>
      <c r="AB34" s="80" t="e">
        <f>Tree!#REF!</f>
        <v>#REF!</v>
      </c>
      <c r="AC34" s="104"/>
      <c r="AD34" s="102">
        <f>'Example calcs 2000'!Y34*0.8</f>
        <v>0</v>
      </c>
      <c r="AE34" s="100" t="e">
        <f t="shared" si="14"/>
        <v>#REF!</v>
      </c>
      <c r="AF34" s="102" t="str">
        <f t="shared" si="18"/>
        <v/>
      </c>
      <c r="AG34" s="102">
        <f t="shared" si="2"/>
        <v>0</v>
      </c>
      <c r="AH34" s="80"/>
      <c r="AI34" s="39">
        <f t="shared" si="15"/>
        <v>1</v>
      </c>
      <c r="AJ34" s="80"/>
      <c r="AK34" s="80"/>
      <c r="AL34" s="91" t="e">
        <f t="shared" si="16"/>
        <v>#REF!</v>
      </c>
      <c r="AM34" s="80">
        <f t="shared" si="17"/>
        <v>0</v>
      </c>
    </row>
    <row r="35" spans="3:39" s="72" customFormat="1" x14ac:dyDescent="0.25">
      <c r="C35" s="121" t="e">
        <f>Tree!#REF!</f>
        <v>#REF!</v>
      </c>
      <c r="D35" s="41" t="e">
        <f>Tree!#REF!</f>
        <v>#REF!</v>
      </c>
      <c r="E35" s="122" t="e">
        <f t="shared" si="3"/>
        <v>#REF!</v>
      </c>
      <c r="F35" s="41" t="e">
        <f>Tree!#REF!</f>
        <v>#REF!</v>
      </c>
      <c r="G35" s="122" t="e">
        <f t="shared" si="4"/>
        <v>#REF!</v>
      </c>
      <c r="H35" s="79" t="e">
        <f>INDEX(Tree!#REF!,MATCH($J35,Tree!#REF!,0))</f>
        <v>#REF!</v>
      </c>
      <c r="I35" s="100" t="e">
        <f t="shared" si="5"/>
        <v>#REF!</v>
      </c>
      <c r="J35" s="80" t="s">
        <v>26</v>
      </c>
      <c r="K35" s="90" t="e">
        <f>INDEX(Tree!#REF!,MATCH($J35,Tree!#REF!,0))</f>
        <v>#REF!</v>
      </c>
      <c r="L35" s="104" t="e">
        <f t="shared" si="0"/>
        <v>#REF!</v>
      </c>
      <c r="M35" s="102" t="e">
        <f>'Example calcs 2000'!N35*0.95</f>
        <v>#REF!</v>
      </c>
      <c r="N35" s="100" t="e">
        <f t="shared" si="6"/>
        <v>#REF!</v>
      </c>
      <c r="O35" s="102" t="str">
        <f t="shared" si="7"/>
        <v/>
      </c>
      <c r="P35" s="102" t="e">
        <f t="shared" si="8"/>
        <v>#REF!</v>
      </c>
      <c r="Q35" s="90" t="s">
        <v>27</v>
      </c>
      <c r="R35" s="39">
        <f t="shared" si="9"/>
        <v>0</v>
      </c>
      <c r="S35" s="90" t="e">
        <f>INDEX(Tree!#REF!,MATCH($Q35,Tree!#REF!,0)+MATCH(Tree!#REF!,Tree!#REF!,0)-1)</f>
        <v>#REF!</v>
      </c>
      <c r="T35" s="104" t="e">
        <f t="shared" si="10"/>
        <v>#REF!</v>
      </c>
      <c r="U35" s="102" t="e">
        <f>'Example calcs 2000'!S35*0.8</f>
        <v>#REF!</v>
      </c>
      <c r="V35" s="100" t="e">
        <f t="shared" si="11"/>
        <v>#REF!</v>
      </c>
      <c r="W35" s="102" t="str">
        <f t="shared" si="12"/>
        <v/>
      </c>
      <c r="X35" s="102" t="e">
        <f t="shared" si="1"/>
        <v>#REF!</v>
      </c>
      <c r="Y35" s="80" t="s">
        <v>33</v>
      </c>
      <c r="Z35" s="39">
        <f t="shared" si="13"/>
        <v>1</v>
      </c>
      <c r="AA35" s="80" t="e">
        <f>Tree!#REF!</f>
        <v>#REF!</v>
      </c>
      <c r="AB35" s="80"/>
      <c r="AC35" s="104" t="e">
        <f>X35*AA35</f>
        <v>#REF!</v>
      </c>
      <c r="AD35" s="102" t="e">
        <f>'Example calcs 2000'!Y35*0.8</f>
        <v>#REF!</v>
      </c>
      <c r="AE35" s="100" t="e">
        <f t="shared" si="14"/>
        <v>#REF!</v>
      </c>
      <c r="AF35" s="102" t="str">
        <f t="shared" si="18"/>
        <v/>
      </c>
      <c r="AG35" s="102" t="e">
        <f t="shared" si="2"/>
        <v>#REF!</v>
      </c>
      <c r="AH35" s="80" t="s">
        <v>54</v>
      </c>
      <c r="AI35" s="39">
        <f t="shared" si="15"/>
        <v>1</v>
      </c>
      <c r="AJ35" s="80" t="e">
        <f>Tree!#REF!</f>
        <v>#REF!</v>
      </c>
      <c r="AK35" s="80"/>
      <c r="AL35" s="91" t="e">
        <f t="shared" si="16"/>
        <v>#REF!</v>
      </c>
      <c r="AM35" s="80" t="e">
        <f t="shared" si="17"/>
        <v>#REF!</v>
      </c>
    </row>
    <row r="36" spans="3:39" s="72" customFormat="1" x14ac:dyDescent="0.25">
      <c r="C36" s="121" t="e">
        <f>Tree!#REF!</f>
        <v>#REF!</v>
      </c>
      <c r="D36" s="41" t="e">
        <f>Tree!#REF!</f>
        <v>#REF!</v>
      </c>
      <c r="E36" s="122" t="e">
        <f t="shared" si="3"/>
        <v>#REF!</v>
      </c>
      <c r="F36" s="41" t="e">
        <f>Tree!#REF!</f>
        <v>#REF!</v>
      </c>
      <c r="G36" s="122" t="e">
        <f t="shared" si="4"/>
        <v>#REF!</v>
      </c>
      <c r="H36" s="79" t="e">
        <f>INDEX(Tree!#REF!,MATCH($J36,Tree!#REF!,0))</f>
        <v>#REF!</v>
      </c>
      <c r="I36" s="100" t="e">
        <f t="shared" si="5"/>
        <v>#REF!</v>
      </c>
      <c r="J36" s="80" t="s">
        <v>26</v>
      </c>
      <c r="K36" s="90" t="e">
        <f>INDEX(Tree!#REF!,MATCH($J36,Tree!#REF!,0))</f>
        <v>#REF!</v>
      </c>
      <c r="L36" s="104" t="e">
        <f t="shared" ref="L36:L67" si="19">K36*I36</f>
        <v>#REF!</v>
      </c>
      <c r="M36" s="102" t="e">
        <f>'Example calcs 2000'!N36*0.95</f>
        <v>#REF!</v>
      </c>
      <c r="N36" s="100" t="e">
        <f t="shared" si="6"/>
        <v>#REF!</v>
      </c>
      <c r="O36" s="102" t="str">
        <f t="shared" si="7"/>
        <v/>
      </c>
      <c r="P36" s="102" t="e">
        <f t="shared" si="8"/>
        <v>#REF!</v>
      </c>
      <c r="Q36" s="90" t="s">
        <v>27</v>
      </c>
      <c r="R36" s="39">
        <f t="shared" si="9"/>
        <v>0</v>
      </c>
      <c r="S36" s="90" t="e">
        <f>INDEX(Tree!#REF!,MATCH($Q36,Tree!#REF!,0)+MATCH(Tree!#REF!,Tree!#REF!,0)-1)</f>
        <v>#REF!</v>
      </c>
      <c r="T36" s="104" t="e">
        <f t="shared" si="10"/>
        <v>#REF!</v>
      </c>
      <c r="U36" s="102" t="e">
        <f>'Example calcs 2000'!S36*0.8</f>
        <v>#REF!</v>
      </c>
      <c r="V36" s="100" t="e">
        <f t="shared" si="11"/>
        <v>#REF!</v>
      </c>
      <c r="W36" s="102" t="str">
        <f t="shared" si="12"/>
        <v/>
      </c>
      <c r="X36" s="102" t="e">
        <f t="shared" si="1"/>
        <v>#REF!</v>
      </c>
      <c r="Y36" s="80" t="s">
        <v>33</v>
      </c>
      <c r="Z36" s="39">
        <f t="shared" si="13"/>
        <v>0</v>
      </c>
      <c r="AA36" s="80" t="e">
        <f>Tree!#REF!</f>
        <v>#REF!</v>
      </c>
      <c r="AB36" s="80"/>
      <c r="AC36" s="104" t="e">
        <f>X36*AA36</f>
        <v>#REF!</v>
      </c>
      <c r="AD36" s="102" t="e">
        <f>'Example calcs 2000'!Y36*0.8</f>
        <v>#REF!</v>
      </c>
      <c r="AE36" s="100" t="e">
        <f t="shared" si="14"/>
        <v>#REF!</v>
      </c>
      <c r="AF36" s="102" t="str">
        <f t="shared" si="18"/>
        <v/>
      </c>
      <c r="AG36" s="102" t="e">
        <f t="shared" si="2"/>
        <v>#REF!</v>
      </c>
      <c r="AH36" s="80" t="s">
        <v>117</v>
      </c>
      <c r="AI36" s="39">
        <f t="shared" si="15"/>
        <v>1</v>
      </c>
      <c r="AJ36" s="80" t="e">
        <f>Tree!#REF!</f>
        <v>#REF!</v>
      </c>
      <c r="AK36" s="80"/>
      <c r="AL36" s="91" t="e">
        <f t="shared" si="16"/>
        <v>#REF!</v>
      </c>
      <c r="AM36" s="80" t="e">
        <f t="shared" si="17"/>
        <v>#REF!</v>
      </c>
    </row>
    <row r="37" spans="3:39" s="72" customFormat="1" x14ac:dyDescent="0.25">
      <c r="C37" s="121" t="e">
        <f>Tree!#REF!</f>
        <v>#REF!</v>
      </c>
      <c r="D37" s="41" t="e">
        <f>Tree!#REF!</f>
        <v>#REF!</v>
      </c>
      <c r="E37" s="122" t="e">
        <f t="shared" si="3"/>
        <v>#REF!</v>
      </c>
      <c r="F37" s="41" t="e">
        <f>Tree!#REF!</f>
        <v>#REF!</v>
      </c>
      <c r="G37" s="122" t="e">
        <f t="shared" si="4"/>
        <v>#REF!</v>
      </c>
      <c r="H37" s="79" t="e">
        <f>INDEX(Tree!#REF!,MATCH($J37,Tree!#REF!,0))</f>
        <v>#REF!</v>
      </c>
      <c r="I37" s="100" t="e">
        <f t="shared" si="5"/>
        <v>#REF!</v>
      </c>
      <c r="J37" s="80" t="s">
        <v>26</v>
      </c>
      <c r="K37" s="90" t="e">
        <f>INDEX(Tree!#REF!,MATCH($J37,Tree!#REF!,0))</f>
        <v>#REF!</v>
      </c>
      <c r="L37" s="104" t="e">
        <f t="shared" si="19"/>
        <v>#REF!</v>
      </c>
      <c r="M37" s="102" t="e">
        <f>'Example calcs 2000'!N37*0.95</f>
        <v>#REF!</v>
      </c>
      <c r="N37" s="100" t="e">
        <f t="shared" si="6"/>
        <v>#REF!</v>
      </c>
      <c r="O37" s="102" t="str">
        <f t="shared" si="7"/>
        <v/>
      </c>
      <c r="P37" s="102" t="e">
        <f t="shared" si="8"/>
        <v>#REF!</v>
      </c>
      <c r="Q37" s="90" t="s">
        <v>27</v>
      </c>
      <c r="R37" s="39">
        <f t="shared" si="9"/>
        <v>0</v>
      </c>
      <c r="S37" s="90" t="e">
        <f>INDEX(Tree!#REF!,MATCH($Q37,Tree!#REF!,0)+MATCH(Tree!#REF!,Tree!#REF!,0)-1)</f>
        <v>#REF!</v>
      </c>
      <c r="T37" s="104" t="e">
        <f t="shared" si="10"/>
        <v>#REF!</v>
      </c>
      <c r="U37" s="102" t="e">
        <f>'Example calcs 2000'!S37*0.8</f>
        <v>#REF!</v>
      </c>
      <c r="V37" s="100" t="e">
        <f t="shared" si="11"/>
        <v>#REF!</v>
      </c>
      <c r="W37" s="102" t="str">
        <f t="shared" si="12"/>
        <v/>
      </c>
      <c r="X37" s="102" t="e">
        <f t="shared" si="1"/>
        <v>#REF!</v>
      </c>
      <c r="Y37" s="80" t="s">
        <v>33</v>
      </c>
      <c r="Z37" s="39">
        <f t="shared" si="13"/>
        <v>0</v>
      </c>
      <c r="AA37" s="80" t="e">
        <f>Tree!#REF!</f>
        <v>#REF!</v>
      </c>
      <c r="AB37" s="80"/>
      <c r="AC37" s="104" t="e">
        <f>X37*AA37</f>
        <v>#REF!</v>
      </c>
      <c r="AD37" s="102" t="e">
        <f>'Example calcs 2000'!Y37*0.8</f>
        <v>#REF!</v>
      </c>
      <c r="AE37" s="100" t="e">
        <f t="shared" si="14"/>
        <v>#REF!</v>
      </c>
      <c r="AF37" s="102" t="str">
        <f t="shared" si="18"/>
        <v/>
      </c>
      <c r="AG37" s="102" t="e">
        <f t="shared" si="2"/>
        <v>#REF!</v>
      </c>
      <c r="AH37" s="80" t="s">
        <v>52</v>
      </c>
      <c r="AI37" s="39">
        <f t="shared" si="15"/>
        <v>1</v>
      </c>
      <c r="AJ37" s="80"/>
      <c r="AK37" s="80" t="e">
        <f>Tree!#REF!</f>
        <v>#REF!</v>
      </c>
      <c r="AL37" s="91" t="e">
        <f t="shared" si="16"/>
        <v>#REF!</v>
      </c>
      <c r="AM37" s="80" t="e">
        <f t="shared" si="17"/>
        <v>#REF!</v>
      </c>
    </row>
    <row r="38" spans="3:39" s="72" customFormat="1" x14ac:dyDescent="0.25">
      <c r="C38" s="121" t="e">
        <f>Tree!#REF!</f>
        <v>#REF!</v>
      </c>
      <c r="D38" s="41" t="e">
        <f>Tree!#REF!</f>
        <v>#REF!</v>
      </c>
      <c r="E38" s="122" t="e">
        <f t="shared" si="3"/>
        <v>#REF!</v>
      </c>
      <c r="F38" s="41" t="e">
        <f>Tree!#REF!</f>
        <v>#REF!</v>
      </c>
      <c r="G38" s="122" t="e">
        <f t="shared" si="4"/>
        <v>#REF!</v>
      </c>
      <c r="H38" s="79" t="e">
        <f>INDEX(Tree!#REF!,MATCH($J38,Tree!#REF!,0))</f>
        <v>#REF!</v>
      </c>
      <c r="I38" s="100" t="e">
        <f t="shared" si="5"/>
        <v>#REF!</v>
      </c>
      <c r="J38" s="80" t="s">
        <v>26</v>
      </c>
      <c r="K38" s="90" t="e">
        <f>INDEX(Tree!#REF!,MATCH($J38,Tree!#REF!,0))</f>
        <v>#REF!</v>
      </c>
      <c r="L38" s="104" t="e">
        <f t="shared" si="19"/>
        <v>#REF!</v>
      </c>
      <c r="M38" s="102" t="e">
        <f>'Example calcs 2000'!N38*0.95</f>
        <v>#REF!</v>
      </c>
      <c r="N38" s="100" t="e">
        <f t="shared" si="6"/>
        <v>#REF!</v>
      </c>
      <c r="O38" s="102" t="str">
        <f t="shared" si="7"/>
        <v/>
      </c>
      <c r="P38" s="102" t="e">
        <f t="shared" si="8"/>
        <v>#REF!</v>
      </c>
      <c r="Q38" s="90" t="s">
        <v>27</v>
      </c>
      <c r="R38" s="39">
        <f t="shared" si="9"/>
        <v>0</v>
      </c>
      <c r="S38" s="90" t="e">
        <f>INDEX(Tree!#REF!,MATCH($Q38,Tree!#REF!,0)+MATCH(Tree!#REF!,Tree!#REF!,0)-1)</f>
        <v>#REF!</v>
      </c>
      <c r="T38" s="104" t="e">
        <f t="shared" si="10"/>
        <v>#REF!</v>
      </c>
      <c r="U38" s="102" t="e">
        <f>'Example calcs 2000'!S38*0.8</f>
        <v>#REF!</v>
      </c>
      <c r="V38" s="100" t="e">
        <f t="shared" si="11"/>
        <v>#REF!</v>
      </c>
      <c r="W38" s="102" t="str">
        <f t="shared" si="12"/>
        <v/>
      </c>
      <c r="X38" s="102" t="e">
        <f t="shared" si="1"/>
        <v>#REF!</v>
      </c>
      <c r="Y38" s="80" t="s">
        <v>33</v>
      </c>
      <c r="Z38" s="39">
        <f t="shared" si="13"/>
        <v>0</v>
      </c>
      <c r="AA38" s="80" t="e">
        <f>Tree!#REF!</f>
        <v>#REF!</v>
      </c>
      <c r="AB38" s="80"/>
      <c r="AC38" s="104" t="e">
        <f>X38*AA38</f>
        <v>#REF!</v>
      </c>
      <c r="AD38" s="102" t="e">
        <f>'Example calcs 2000'!Y38*0.8</f>
        <v>#REF!</v>
      </c>
      <c r="AE38" s="100" t="e">
        <f t="shared" si="14"/>
        <v>#REF!</v>
      </c>
      <c r="AF38" s="102" t="str">
        <f t="shared" si="18"/>
        <v/>
      </c>
      <c r="AG38" s="102" t="e">
        <f t="shared" si="2"/>
        <v>#REF!</v>
      </c>
      <c r="AH38" s="80" t="s">
        <v>53</v>
      </c>
      <c r="AI38" s="39">
        <f t="shared" si="15"/>
        <v>1</v>
      </c>
      <c r="AJ38" s="80"/>
      <c r="AK38" s="80" t="e">
        <f>Tree!#REF!</f>
        <v>#REF!</v>
      </c>
      <c r="AL38" s="91" t="e">
        <f t="shared" si="16"/>
        <v>#REF!</v>
      </c>
      <c r="AM38" s="80" t="e">
        <f t="shared" si="17"/>
        <v>#REF!</v>
      </c>
    </row>
    <row r="39" spans="3:39" s="72" customFormat="1" x14ac:dyDescent="0.25">
      <c r="C39" s="121" t="e">
        <f>Tree!#REF!</f>
        <v>#REF!</v>
      </c>
      <c r="D39" s="41" t="e">
        <f>Tree!#REF!</f>
        <v>#REF!</v>
      </c>
      <c r="E39" s="122" t="e">
        <f t="shared" si="3"/>
        <v>#REF!</v>
      </c>
      <c r="F39" s="41" t="e">
        <f>Tree!#REF!</f>
        <v>#REF!</v>
      </c>
      <c r="G39" s="122" t="e">
        <f t="shared" si="4"/>
        <v>#REF!</v>
      </c>
      <c r="H39" s="79" t="e">
        <f>INDEX(Tree!#REF!,MATCH($J39,Tree!#REF!,0))</f>
        <v>#REF!</v>
      </c>
      <c r="I39" s="100" t="e">
        <f t="shared" si="5"/>
        <v>#REF!</v>
      </c>
      <c r="J39" s="80" t="s">
        <v>26</v>
      </c>
      <c r="K39" s="90" t="e">
        <f>INDEX(Tree!#REF!,MATCH($J39,Tree!#REF!,0))</f>
        <v>#REF!</v>
      </c>
      <c r="L39" s="104" t="e">
        <f t="shared" si="19"/>
        <v>#REF!</v>
      </c>
      <c r="M39" s="102" t="e">
        <f>'Example calcs 2000'!N39*0.95</f>
        <v>#REF!</v>
      </c>
      <c r="N39" s="100" t="e">
        <f t="shared" si="6"/>
        <v>#REF!</v>
      </c>
      <c r="O39" s="102" t="str">
        <f t="shared" si="7"/>
        <v/>
      </c>
      <c r="P39" s="102" t="e">
        <f t="shared" si="8"/>
        <v>#REF!</v>
      </c>
      <c r="Q39" s="90" t="s">
        <v>28</v>
      </c>
      <c r="R39" s="39">
        <f t="shared" si="9"/>
        <v>1</v>
      </c>
      <c r="S39" s="90" t="e">
        <f>INDEX(Tree!#REF!,MATCH($Q39,Tree!#REF!,0)+MATCH(Tree!#REF!,Tree!#REF!,0)-1)</f>
        <v>#REF!</v>
      </c>
      <c r="T39" s="104" t="e">
        <f t="shared" si="10"/>
        <v>#REF!</v>
      </c>
      <c r="U39" s="102" t="e">
        <f>'Example calcs 2000'!S39*0.8</f>
        <v>#REF!</v>
      </c>
      <c r="V39" s="100" t="e">
        <f t="shared" si="11"/>
        <v>#REF!</v>
      </c>
      <c r="W39" s="102" t="str">
        <f t="shared" si="12"/>
        <v/>
      </c>
      <c r="X39" s="102" t="e">
        <f t="shared" si="1"/>
        <v>#REF!</v>
      </c>
      <c r="Y39" s="80" t="s">
        <v>32</v>
      </c>
      <c r="Z39" s="39">
        <f t="shared" si="13"/>
        <v>1</v>
      </c>
      <c r="AA39" s="80"/>
      <c r="AB39" s="80" t="e">
        <f>Tree!#REF!</f>
        <v>#REF!</v>
      </c>
      <c r="AC39" s="104"/>
      <c r="AD39" s="102">
        <f>'Example calcs 2000'!Y39*0.8</f>
        <v>0</v>
      </c>
      <c r="AE39" s="100" t="e">
        <f t="shared" si="14"/>
        <v>#REF!</v>
      </c>
      <c r="AF39" s="102" t="str">
        <f t="shared" si="18"/>
        <v/>
      </c>
      <c r="AG39" s="102">
        <f t="shared" si="2"/>
        <v>0</v>
      </c>
      <c r="AH39" s="80"/>
      <c r="AI39" s="39">
        <f t="shared" si="15"/>
        <v>1</v>
      </c>
      <c r="AJ39" s="80"/>
      <c r="AK39" s="80"/>
      <c r="AL39" s="91" t="e">
        <f t="shared" si="16"/>
        <v>#REF!</v>
      </c>
      <c r="AM39" s="80">
        <f t="shared" si="17"/>
        <v>0</v>
      </c>
    </row>
    <row r="40" spans="3:39" s="72" customFormat="1" x14ac:dyDescent="0.25">
      <c r="C40" s="121" t="e">
        <f>Tree!#REF!</f>
        <v>#REF!</v>
      </c>
      <c r="D40" s="41" t="e">
        <f>Tree!#REF!</f>
        <v>#REF!</v>
      </c>
      <c r="E40" s="122" t="e">
        <f t="shared" si="3"/>
        <v>#REF!</v>
      </c>
      <c r="F40" s="41" t="e">
        <f>Tree!#REF!</f>
        <v>#REF!</v>
      </c>
      <c r="G40" s="122" t="e">
        <f t="shared" si="4"/>
        <v>#REF!</v>
      </c>
      <c r="H40" s="79" t="e">
        <f>INDEX(Tree!#REF!,MATCH($J40,Tree!#REF!,0))</f>
        <v>#REF!</v>
      </c>
      <c r="I40" s="100" t="e">
        <f t="shared" si="5"/>
        <v>#REF!</v>
      </c>
      <c r="J40" s="80" t="s">
        <v>26</v>
      </c>
      <c r="K40" s="90" t="e">
        <f>INDEX(Tree!#REF!,MATCH($J40,Tree!#REF!,0))</f>
        <v>#REF!</v>
      </c>
      <c r="L40" s="104" t="e">
        <f t="shared" si="19"/>
        <v>#REF!</v>
      </c>
      <c r="M40" s="102" t="e">
        <f>'Example calcs 2000'!N40*0.95</f>
        <v>#REF!</v>
      </c>
      <c r="N40" s="100" t="e">
        <f t="shared" si="6"/>
        <v>#REF!</v>
      </c>
      <c r="O40" s="102" t="str">
        <f t="shared" si="7"/>
        <v/>
      </c>
      <c r="P40" s="102" t="e">
        <f t="shared" si="8"/>
        <v>#REF!</v>
      </c>
      <c r="Q40" s="90" t="s">
        <v>28</v>
      </c>
      <c r="R40" s="39">
        <f t="shared" si="9"/>
        <v>0</v>
      </c>
      <c r="S40" s="90" t="e">
        <f>INDEX(Tree!#REF!,MATCH($Q40,Tree!#REF!,0)+MATCH(Tree!#REF!,Tree!#REF!,0)-1)</f>
        <v>#REF!</v>
      </c>
      <c r="T40" s="104" t="e">
        <f t="shared" si="10"/>
        <v>#REF!</v>
      </c>
      <c r="U40" s="102" t="e">
        <f>'Example calcs 2000'!S40*0.8</f>
        <v>#REF!</v>
      </c>
      <c r="V40" s="100" t="e">
        <f t="shared" si="11"/>
        <v>#REF!</v>
      </c>
      <c r="W40" s="102" t="str">
        <f t="shared" si="12"/>
        <v/>
      </c>
      <c r="X40" s="102" t="e">
        <f t="shared" si="1"/>
        <v>#REF!</v>
      </c>
      <c r="Y40" s="80" t="s">
        <v>33</v>
      </c>
      <c r="Z40" s="39">
        <f t="shared" si="13"/>
        <v>1</v>
      </c>
      <c r="AA40" s="80" t="e">
        <f>Tree!#REF!</f>
        <v>#REF!</v>
      </c>
      <c r="AB40" s="80"/>
      <c r="AC40" s="104" t="e">
        <f>X40*AA40</f>
        <v>#REF!</v>
      </c>
      <c r="AD40" s="102" t="e">
        <f>'Example calcs 2000'!Y40*0.8</f>
        <v>#REF!</v>
      </c>
      <c r="AE40" s="100" t="e">
        <f t="shared" si="14"/>
        <v>#REF!</v>
      </c>
      <c r="AF40" s="102" t="str">
        <f t="shared" si="18"/>
        <v/>
      </c>
      <c r="AG40" s="102" t="e">
        <f t="shared" si="2"/>
        <v>#REF!</v>
      </c>
      <c r="AH40" s="80" t="s">
        <v>54</v>
      </c>
      <c r="AI40" s="39">
        <f t="shared" si="15"/>
        <v>1</v>
      </c>
      <c r="AJ40" s="80" t="e">
        <f>Tree!#REF!</f>
        <v>#REF!</v>
      </c>
      <c r="AK40" s="80"/>
      <c r="AL40" s="91" t="e">
        <f t="shared" si="16"/>
        <v>#REF!</v>
      </c>
      <c r="AM40" s="80" t="e">
        <f t="shared" si="17"/>
        <v>#REF!</v>
      </c>
    </row>
    <row r="41" spans="3:39" s="72" customFormat="1" x14ac:dyDescent="0.25">
      <c r="C41" s="121" t="e">
        <f>Tree!#REF!</f>
        <v>#REF!</v>
      </c>
      <c r="D41" s="41" t="e">
        <f>Tree!#REF!</f>
        <v>#REF!</v>
      </c>
      <c r="E41" s="122" t="e">
        <f t="shared" si="3"/>
        <v>#REF!</v>
      </c>
      <c r="F41" s="41" t="e">
        <f>Tree!#REF!</f>
        <v>#REF!</v>
      </c>
      <c r="G41" s="122" t="e">
        <f t="shared" si="4"/>
        <v>#REF!</v>
      </c>
      <c r="H41" s="79" t="e">
        <f>INDEX(Tree!#REF!,MATCH($J41,Tree!#REF!,0))</f>
        <v>#REF!</v>
      </c>
      <c r="I41" s="100" t="e">
        <f t="shared" si="5"/>
        <v>#REF!</v>
      </c>
      <c r="J41" s="80" t="s">
        <v>26</v>
      </c>
      <c r="K41" s="90" t="e">
        <f>INDEX(Tree!#REF!,MATCH($J41,Tree!#REF!,0))</f>
        <v>#REF!</v>
      </c>
      <c r="L41" s="104" t="e">
        <f t="shared" si="19"/>
        <v>#REF!</v>
      </c>
      <c r="M41" s="102" t="e">
        <f>'Example calcs 2000'!N41*0.95</f>
        <v>#REF!</v>
      </c>
      <c r="N41" s="100" t="e">
        <f t="shared" si="6"/>
        <v>#REF!</v>
      </c>
      <c r="O41" s="102" t="str">
        <f t="shared" si="7"/>
        <v/>
      </c>
      <c r="P41" s="102" t="e">
        <f t="shared" si="8"/>
        <v>#REF!</v>
      </c>
      <c r="Q41" s="90" t="s">
        <v>28</v>
      </c>
      <c r="R41" s="39">
        <f t="shared" si="9"/>
        <v>0</v>
      </c>
      <c r="S41" s="90" t="e">
        <f>INDEX(Tree!#REF!,MATCH($Q41,Tree!#REF!,0)+MATCH(Tree!#REF!,Tree!#REF!,0)-1)</f>
        <v>#REF!</v>
      </c>
      <c r="T41" s="104" t="e">
        <f t="shared" si="10"/>
        <v>#REF!</v>
      </c>
      <c r="U41" s="102" t="e">
        <f>'Example calcs 2000'!S41*0.8</f>
        <v>#REF!</v>
      </c>
      <c r="V41" s="100" t="e">
        <f t="shared" si="11"/>
        <v>#REF!</v>
      </c>
      <c r="W41" s="102" t="str">
        <f t="shared" si="12"/>
        <v/>
      </c>
      <c r="X41" s="102" t="e">
        <f t="shared" si="1"/>
        <v>#REF!</v>
      </c>
      <c r="Y41" s="80" t="s">
        <v>33</v>
      </c>
      <c r="Z41" s="39">
        <f t="shared" si="13"/>
        <v>0</v>
      </c>
      <c r="AA41" s="80" t="e">
        <f>Tree!#REF!</f>
        <v>#REF!</v>
      </c>
      <c r="AB41" s="80"/>
      <c r="AC41" s="104" t="e">
        <f>X41*AA41</f>
        <v>#REF!</v>
      </c>
      <c r="AD41" s="102" t="e">
        <f>'Example calcs 2000'!Y41*0.8</f>
        <v>#REF!</v>
      </c>
      <c r="AE41" s="100" t="e">
        <f t="shared" si="14"/>
        <v>#REF!</v>
      </c>
      <c r="AF41" s="102" t="str">
        <f t="shared" si="18"/>
        <v/>
      </c>
      <c r="AG41" s="102" t="e">
        <f t="shared" si="2"/>
        <v>#REF!</v>
      </c>
      <c r="AH41" s="80" t="s">
        <v>117</v>
      </c>
      <c r="AI41" s="39">
        <f t="shared" si="15"/>
        <v>1</v>
      </c>
      <c r="AJ41" s="80" t="e">
        <f>Tree!#REF!</f>
        <v>#REF!</v>
      </c>
      <c r="AK41" s="80"/>
      <c r="AL41" s="91" t="e">
        <f t="shared" si="16"/>
        <v>#REF!</v>
      </c>
      <c r="AM41" s="80" t="e">
        <f t="shared" si="17"/>
        <v>#REF!</v>
      </c>
    </row>
    <row r="42" spans="3:39" s="72" customFormat="1" x14ac:dyDescent="0.25">
      <c r="C42" s="121" t="e">
        <f>Tree!#REF!</f>
        <v>#REF!</v>
      </c>
      <c r="D42" s="41" t="e">
        <f>Tree!#REF!</f>
        <v>#REF!</v>
      </c>
      <c r="E42" s="122" t="e">
        <f t="shared" si="3"/>
        <v>#REF!</v>
      </c>
      <c r="F42" s="41" t="e">
        <f>Tree!#REF!</f>
        <v>#REF!</v>
      </c>
      <c r="G42" s="122" t="e">
        <f t="shared" si="4"/>
        <v>#REF!</v>
      </c>
      <c r="H42" s="79" t="e">
        <f>INDEX(Tree!#REF!,MATCH($J42,Tree!#REF!,0))</f>
        <v>#REF!</v>
      </c>
      <c r="I42" s="100" t="e">
        <f t="shared" si="5"/>
        <v>#REF!</v>
      </c>
      <c r="J42" s="80" t="s">
        <v>26</v>
      </c>
      <c r="K42" s="90" t="e">
        <f>INDEX(Tree!#REF!,MATCH($J42,Tree!#REF!,0))</f>
        <v>#REF!</v>
      </c>
      <c r="L42" s="104" t="e">
        <f t="shared" si="19"/>
        <v>#REF!</v>
      </c>
      <c r="M42" s="102" t="e">
        <f>'Example calcs 2000'!N42*0.95</f>
        <v>#REF!</v>
      </c>
      <c r="N42" s="100" t="e">
        <f t="shared" si="6"/>
        <v>#REF!</v>
      </c>
      <c r="O42" s="102" t="str">
        <f t="shared" si="7"/>
        <v/>
      </c>
      <c r="P42" s="102" t="e">
        <f t="shared" si="8"/>
        <v>#REF!</v>
      </c>
      <c r="Q42" s="90" t="s">
        <v>28</v>
      </c>
      <c r="R42" s="39">
        <f t="shared" si="9"/>
        <v>0</v>
      </c>
      <c r="S42" s="90" t="e">
        <f>INDEX(Tree!#REF!,MATCH($Q42,Tree!#REF!,0)+MATCH(Tree!#REF!,Tree!#REF!,0)-1)</f>
        <v>#REF!</v>
      </c>
      <c r="T42" s="104" t="e">
        <f t="shared" si="10"/>
        <v>#REF!</v>
      </c>
      <c r="U42" s="102" t="e">
        <f>'Example calcs 2000'!S42*0.8</f>
        <v>#REF!</v>
      </c>
      <c r="V42" s="100" t="e">
        <f t="shared" si="11"/>
        <v>#REF!</v>
      </c>
      <c r="W42" s="102" t="str">
        <f t="shared" si="12"/>
        <v/>
      </c>
      <c r="X42" s="102" t="e">
        <f t="shared" si="1"/>
        <v>#REF!</v>
      </c>
      <c r="Y42" s="80" t="s">
        <v>33</v>
      </c>
      <c r="Z42" s="39">
        <f t="shared" si="13"/>
        <v>0</v>
      </c>
      <c r="AA42" s="80" t="e">
        <f>Tree!#REF!</f>
        <v>#REF!</v>
      </c>
      <c r="AB42" s="80"/>
      <c r="AC42" s="104" t="e">
        <f>X42*AA42</f>
        <v>#REF!</v>
      </c>
      <c r="AD42" s="102" t="e">
        <f>'Example calcs 2000'!Y42*0.8</f>
        <v>#REF!</v>
      </c>
      <c r="AE42" s="100" t="e">
        <f t="shared" si="14"/>
        <v>#REF!</v>
      </c>
      <c r="AF42" s="102" t="str">
        <f t="shared" si="18"/>
        <v/>
      </c>
      <c r="AG42" s="102" t="e">
        <f t="shared" si="2"/>
        <v>#REF!</v>
      </c>
      <c r="AH42" s="80" t="s">
        <v>52</v>
      </c>
      <c r="AI42" s="39">
        <f t="shared" si="15"/>
        <v>1</v>
      </c>
      <c r="AJ42" s="80"/>
      <c r="AK42" s="80" t="e">
        <f>Tree!#REF!</f>
        <v>#REF!</v>
      </c>
      <c r="AL42" s="91" t="e">
        <f t="shared" si="16"/>
        <v>#REF!</v>
      </c>
      <c r="AM42" s="80" t="e">
        <f t="shared" si="17"/>
        <v>#REF!</v>
      </c>
    </row>
    <row r="43" spans="3:39" s="72" customFormat="1" x14ac:dyDescent="0.25">
      <c r="C43" s="121" t="e">
        <f>Tree!#REF!</f>
        <v>#REF!</v>
      </c>
      <c r="D43" s="41" t="e">
        <f>Tree!#REF!</f>
        <v>#REF!</v>
      </c>
      <c r="E43" s="122" t="e">
        <f t="shared" si="3"/>
        <v>#REF!</v>
      </c>
      <c r="F43" s="41" t="e">
        <f>Tree!#REF!</f>
        <v>#REF!</v>
      </c>
      <c r="G43" s="122" t="e">
        <f t="shared" si="4"/>
        <v>#REF!</v>
      </c>
      <c r="H43" s="79" t="e">
        <f>INDEX(Tree!#REF!,MATCH($J43,Tree!#REF!,0))</f>
        <v>#REF!</v>
      </c>
      <c r="I43" s="100" t="e">
        <f t="shared" si="5"/>
        <v>#REF!</v>
      </c>
      <c r="J43" s="80" t="s">
        <v>26</v>
      </c>
      <c r="K43" s="90" t="e">
        <f>INDEX(Tree!#REF!,MATCH($J43,Tree!#REF!,0))</f>
        <v>#REF!</v>
      </c>
      <c r="L43" s="104" t="e">
        <f t="shared" si="19"/>
        <v>#REF!</v>
      </c>
      <c r="M43" s="102" t="e">
        <f>'Example calcs 2000'!N43*0.95</f>
        <v>#REF!</v>
      </c>
      <c r="N43" s="100" t="e">
        <f t="shared" si="6"/>
        <v>#REF!</v>
      </c>
      <c r="O43" s="102" t="str">
        <f t="shared" si="7"/>
        <v/>
      </c>
      <c r="P43" s="102" t="e">
        <f t="shared" si="8"/>
        <v>#REF!</v>
      </c>
      <c r="Q43" s="90" t="s">
        <v>28</v>
      </c>
      <c r="R43" s="39">
        <f t="shared" si="9"/>
        <v>0</v>
      </c>
      <c r="S43" s="90" t="e">
        <f>INDEX(Tree!#REF!,MATCH($Q43,Tree!#REF!,0)+MATCH(Tree!#REF!,Tree!#REF!,0)-1)</f>
        <v>#REF!</v>
      </c>
      <c r="T43" s="104" t="e">
        <f t="shared" si="10"/>
        <v>#REF!</v>
      </c>
      <c r="U43" s="102" t="e">
        <f>'Example calcs 2000'!S43*0.8</f>
        <v>#REF!</v>
      </c>
      <c r="V43" s="100" t="e">
        <f t="shared" si="11"/>
        <v>#REF!</v>
      </c>
      <c r="W43" s="102" t="str">
        <f t="shared" si="12"/>
        <v/>
      </c>
      <c r="X43" s="102" t="e">
        <f t="shared" si="1"/>
        <v>#REF!</v>
      </c>
      <c r="Y43" s="80" t="s">
        <v>33</v>
      </c>
      <c r="Z43" s="39">
        <f t="shared" si="13"/>
        <v>0</v>
      </c>
      <c r="AA43" s="80" t="e">
        <f>Tree!#REF!</f>
        <v>#REF!</v>
      </c>
      <c r="AB43" s="80"/>
      <c r="AC43" s="104" t="e">
        <f>X43*AA43</f>
        <v>#REF!</v>
      </c>
      <c r="AD43" s="102" t="e">
        <f>'Example calcs 2000'!Y43*0.8</f>
        <v>#REF!</v>
      </c>
      <c r="AE43" s="100" t="e">
        <f t="shared" si="14"/>
        <v>#REF!</v>
      </c>
      <c r="AF43" s="102" t="str">
        <f t="shared" si="18"/>
        <v/>
      </c>
      <c r="AG43" s="102" t="e">
        <f t="shared" si="2"/>
        <v>#REF!</v>
      </c>
      <c r="AH43" s="80" t="s">
        <v>53</v>
      </c>
      <c r="AI43" s="39">
        <f t="shared" si="15"/>
        <v>1</v>
      </c>
      <c r="AJ43" s="80"/>
      <c r="AK43" s="80" t="e">
        <f>Tree!#REF!</f>
        <v>#REF!</v>
      </c>
      <c r="AL43" s="91" t="e">
        <f t="shared" si="16"/>
        <v>#REF!</v>
      </c>
      <c r="AM43" s="80" t="e">
        <f t="shared" si="17"/>
        <v>#REF!</v>
      </c>
    </row>
    <row r="44" spans="3:39" s="72" customFormat="1" x14ac:dyDescent="0.25">
      <c r="C44" s="121" t="e">
        <f>Tree!#REF!</f>
        <v>#REF!</v>
      </c>
      <c r="D44" s="41" t="e">
        <f>Tree!#REF!</f>
        <v>#REF!</v>
      </c>
      <c r="E44" s="122" t="e">
        <f t="shared" si="3"/>
        <v>#REF!</v>
      </c>
      <c r="F44" s="41" t="e">
        <f>Tree!#REF!</f>
        <v>#REF!</v>
      </c>
      <c r="G44" s="122" t="e">
        <f t="shared" si="4"/>
        <v>#REF!</v>
      </c>
      <c r="H44" s="79" t="e">
        <f>INDEX(Tree!#REF!,MATCH($J44,Tree!#REF!,0))</f>
        <v>#REF!</v>
      </c>
      <c r="I44" s="100" t="e">
        <f t="shared" si="5"/>
        <v>#REF!</v>
      </c>
      <c r="J44" s="80" t="s">
        <v>26</v>
      </c>
      <c r="K44" s="90" t="e">
        <f>INDEX(Tree!#REF!,MATCH($J44,Tree!#REF!,0))</f>
        <v>#REF!</v>
      </c>
      <c r="L44" s="104" t="e">
        <f t="shared" si="19"/>
        <v>#REF!</v>
      </c>
      <c r="M44" s="102" t="e">
        <f>'Example calcs 2000'!N44*0.95</f>
        <v>#REF!</v>
      </c>
      <c r="N44" s="100" t="e">
        <f t="shared" si="6"/>
        <v>#REF!</v>
      </c>
      <c r="O44" s="102" t="str">
        <f t="shared" si="7"/>
        <v/>
      </c>
      <c r="P44" s="102" t="e">
        <f t="shared" si="8"/>
        <v>#REF!</v>
      </c>
      <c r="Q44" s="90" t="s">
        <v>30</v>
      </c>
      <c r="R44" s="39">
        <f t="shared" si="9"/>
        <v>1</v>
      </c>
      <c r="S44" s="90" t="e">
        <f>INDEX(Tree!#REF!,MATCH($Q44,Tree!#REF!,0)+MATCH(Tree!#REF!,Tree!#REF!,0)-1)</f>
        <v>#REF!</v>
      </c>
      <c r="T44" s="104" t="e">
        <f t="shared" si="10"/>
        <v>#REF!</v>
      </c>
      <c r="U44" s="102" t="e">
        <f>'Example calcs 2000'!S44*0.8</f>
        <v>#REF!</v>
      </c>
      <c r="V44" s="100" t="e">
        <f t="shared" si="11"/>
        <v>#REF!</v>
      </c>
      <c r="W44" s="102" t="str">
        <f t="shared" si="12"/>
        <v/>
      </c>
      <c r="X44" s="102" t="e">
        <f t="shared" si="1"/>
        <v>#REF!</v>
      </c>
      <c r="Y44" s="80" t="s">
        <v>32</v>
      </c>
      <c r="Z44" s="39">
        <f t="shared" si="13"/>
        <v>1</v>
      </c>
      <c r="AA44" s="80"/>
      <c r="AB44" s="80" t="e">
        <f>Tree!#REF!</f>
        <v>#REF!</v>
      </c>
      <c r="AC44" s="104"/>
      <c r="AD44" s="102">
        <f>'Example calcs 2000'!Y44*0.8</f>
        <v>0</v>
      </c>
      <c r="AE44" s="100" t="e">
        <f t="shared" si="14"/>
        <v>#REF!</v>
      </c>
      <c r="AF44" s="102" t="str">
        <f t="shared" si="18"/>
        <v/>
      </c>
      <c r="AG44" s="102">
        <f t="shared" si="2"/>
        <v>0</v>
      </c>
      <c r="AH44" s="80"/>
      <c r="AI44" s="39">
        <f t="shared" si="15"/>
        <v>1</v>
      </c>
      <c r="AJ44" s="80"/>
      <c r="AK44" s="80"/>
      <c r="AL44" s="91" t="e">
        <f t="shared" si="16"/>
        <v>#REF!</v>
      </c>
      <c r="AM44" s="80">
        <f t="shared" si="17"/>
        <v>0</v>
      </c>
    </row>
    <row r="45" spans="3:39" s="72" customFormat="1" x14ac:dyDescent="0.25">
      <c r="C45" s="121" t="e">
        <f>Tree!#REF!</f>
        <v>#REF!</v>
      </c>
      <c r="D45" s="41" t="e">
        <f>Tree!#REF!</f>
        <v>#REF!</v>
      </c>
      <c r="E45" s="122" t="e">
        <f t="shared" si="3"/>
        <v>#REF!</v>
      </c>
      <c r="F45" s="41" t="e">
        <f>Tree!#REF!</f>
        <v>#REF!</v>
      </c>
      <c r="G45" s="122" t="e">
        <f t="shared" si="4"/>
        <v>#REF!</v>
      </c>
      <c r="H45" s="79" t="e">
        <f>INDEX(Tree!#REF!,MATCH($J45,Tree!#REF!,0))</f>
        <v>#REF!</v>
      </c>
      <c r="I45" s="100" t="e">
        <f t="shared" si="5"/>
        <v>#REF!</v>
      </c>
      <c r="J45" s="80" t="s">
        <v>26</v>
      </c>
      <c r="K45" s="90" t="e">
        <f>INDEX(Tree!#REF!,MATCH($J45,Tree!#REF!,0))</f>
        <v>#REF!</v>
      </c>
      <c r="L45" s="104" t="e">
        <f t="shared" si="19"/>
        <v>#REF!</v>
      </c>
      <c r="M45" s="102" t="e">
        <f>'Example calcs 2000'!N45*0.95</f>
        <v>#REF!</v>
      </c>
      <c r="N45" s="100" t="e">
        <f t="shared" si="6"/>
        <v>#REF!</v>
      </c>
      <c r="O45" s="102" t="str">
        <f t="shared" si="7"/>
        <v/>
      </c>
      <c r="P45" s="102" t="e">
        <f t="shared" si="8"/>
        <v>#REF!</v>
      </c>
      <c r="Q45" s="90" t="s">
        <v>30</v>
      </c>
      <c r="R45" s="39">
        <f t="shared" si="9"/>
        <v>0</v>
      </c>
      <c r="S45" s="90" t="e">
        <f>INDEX(Tree!#REF!,MATCH($Q45,Tree!#REF!,0)+MATCH(Tree!#REF!,Tree!#REF!,0)-1)</f>
        <v>#REF!</v>
      </c>
      <c r="T45" s="104" t="e">
        <f t="shared" si="10"/>
        <v>#REF!</v>
      </c>
      <c r="U45" s="102" t="e">
        <f>'Example calcs 2000'!S45*0.8</f>
        <v>#REF!</v>
      </c>
      <c r="V45" s="100" t="e">
        <f t="shared" si="11"/>
        <v>#REF!</v>
      </c>
      <c r="W45" s="102" t="str">
        <f t="shared" si="12"/>
        <v/>
      </c>
      <c r="X45" s="102" t="e">
        <f t="shared" si="1"/>
        <v>#REF!</v>
      </c>
      <c r="Y45" s="80" t="s">
        <v>33</v>
      </c>
      <c r="Z45" s="39">
        <f t="shared" si="13"/>
        <v>1</v>
      </c>
      <c r="AA45" s="80" t="e">
        <f>Tree!#REF!</f>
        <v>#REF!</v>
      </c>
      <c r="AB45" s="80"/>
      <c r="AC45" s="104" t="e">
        <f>X45*AA45</f>
        <v>#REF!</v>
      </c>
      <c r="AD45" s="102" t="e">
        <f>'Example calcs 2000'!Y45*0.8</f>
        <v>#REF!</v>
      </c>
      <c r="AE45" s="100" t="e">
        <f t="shared" si="14"/>
        <v>#REF!</v>
      </c>
      <c r="AF45" s="102" t="str">
        <f t="shared" si="18"/>
        <v/>
      </c>
      <c r="AG45" s="102" t="e">
        <f t="shared" si="2"/>
        <v>#REF!</v>
      </c>
      <c r="AH45" s="80" t="s">
        <v>54</v>
      </c>
      <c r="AI45" s="39">
        <f t="shared" si="15"/>
        <v>1</v>
      </c>
      <c r="AJ45" s="80" t="e">
        <f>Tree!#REF!</f>
        <v>#REF!</v>
      </c>
      <c r="AK45" s="80"/>
      <c r="AL45" s="91" t="e">
        <f t="shared" si="16"/>
        <v>#REF!</v>
      </c>
      <c r="AM45" s="80" t="e">
        <f t="shared" si="17"/>
        <v>#REF!</v>
      </c>
    </row>
    <row r="46" spans="3:39" s="72" customFormat="1" x14ac:dyDescent="0.25">
      <c r="C46" s="121" t="e">
        <f>Tree!#REF!</f>
        <v>#REF!</v>
      </c>
      <c r="D46" s="41" t="e">
        <f>Tree!#REF!</f>
        <v>#REF!</v>
      </c>
      <c r="E46" s="122" t="e">
        <f t="shared" si="3"/>
        <v>#REF!</v>
      </c>
      <c r="F46" s="41" t="e">
        <f>Tree!#REF!</f>
        <v>#REF!</v>
      </c>
      <c r="G46" s="122" t="e">
        <f t="shared" si="4"/>
        <v>#REF!</v>
      </c>
      <c r="H46" s="79" t="e">
        <f>INDEX(Tree!#REF!,MATCH($J46,Tree!#REF!,0))</f>
        <v>#REF!</v>
      </c>
      <c r="I46" s="100" t="e">
        <f t="shared" si="5"/>
        <v>#REF!</v>
      </c>
      <c r="J46" s="80" t="s">
        <v>26</v>
      </c>
      <c r="K46" s="90" t="e">
        <f>INDEX(Tree!#REF!,MATCH($J46,Tree!#REF!,0))</f>
        <v>#REF!</v>
      </c>
      <c r="L46" s="104" t="e">
        <f t="shared" si="19"/>
        <v>#REF!</v>
      </c>
      <c r="M46" s="102" t="e">
        <f>'Example calcs 2000'!N46*0.95</f>
        <v>#REF!</v>
      </c>
      <c r="N46" s="100" t="e">
        <f t="shared" si="6"/>
        <v>#REF!</v>
      </c>
      <c r="O46" s="102" t="str">
        <f t="shared" si="7"/>
        <v/>
      </c>
      <c r="P46" s="102" t="e">
        <f t="shared" si="8"/>
        <v>#REF!</v>
      </c>
      <c r="Q46" s="90" t="s">
        <v>30</v>
      </c>
      <c r="R46" s="39">
        <f t="shared" si="9"/>
        <v>0</v>
      </c>
      <c r="S46" s="90" t="e">
        <f>INDEX(Tree!#REF!,MATCH($Q46,Tree!#REF!,0)+MATCH(Tree!#REF!,Tree!#REF!,0)-1)</f>
        <v>#REF!</v>
      </c>
      <c r="T46" s="104" t="e">
        <f t="shared" si="10"/>
        <v>#REF!</v>
      </c>
      <c r="U46" s="102" t="e">
        <f>'Example calcs 2000'!S46*0.8</f>
        <v>#REF!</v>
      </c>
      <c r="V46" s="100" t="e">
        <f t="shared" si="11"/>
        <v>#REF!</v>
      </c>
      <c r="W46" s="102" t="str">
        <f t="shared" si="12"/>
        <v/>
      </c>
      <c r="X46" s="102" t="e">
        <f t="shared" si="1"/>
        <v>#REF!</v>
      </c>
      <c r="Y46" s="80" t="s">
        <v>33</v>
      </c>
      <c r="Z46" s="39">
        <f t="shared" si="13"/>
        <v>0</v>
      </c>
      <c r="AA46" s="80" t="e">
        <f>Tree!#REF!</f>
        <v>#REF!</v>
      </c>
      <c r="AB46" s="80"/>
      <c r="AC46" s="104" t="e">
        <f>X46*AA46</f>
        <v>#REF!</v>
      </c>
      <c r="AD46" s="102" t="e">
        <f>'Example calcs 2000'!Y46*0.8</f>
        <v>#REF!</v>
      </c>
      <c r="AE46" s="100" t="e">
        <f t="shared" si="14"/>
        <v>#REF!</v>
      </c>
      <c r="AF46" s="102" t="str">
        <f t="shared" si="18"/>
        <v/>
      </c>
      <c r="AG46" s="102" t="e">
        <f t="shared" si="2"/>
        <v>#REF!</v>
      </c>
      <c r="AH46" s="80" t="s">
        <v>117</v>
      </c>
      <c r="AI46" s="39">
        <f t="shared" si="15"/>
        <v>1</v>
      </c>
      <c r="AJ46" s="80" t="e">
        <f>Tree!#REF!</f>
        <v>#REF!</v>
      </c>
      <c r="AK46" s="80"/>
      <c r="AL46" s="91" t="e">
        <f t="shared" si="16"/>
        <v>#REF!</v>
      </c>
      <c r="AM46" s="80" t="e">
        <f t="shared" si="17"/>
        <v>#REF!</v>
      </c>
    </row>
    <row r="47" spans="3:39" s="72" customFormat="1" x14ac:dyDescent="0.25">
      <c r="C47" s="121" t="e">
        <f>Tree!#REF!</f>
        <v>#REF!</v>
      </c>
      <c r="D47" s="41" t="e">
        <f>Tree!#REF!</f>
        <v>#REF!</v>
      </c>
      <c r="E47" s="122" t="e">
        <f t="shared" si="3"/>
        <v>#REF!</v>
      </c>
      <c r="F47" s="41" t="e">
        <f>Tree!#REF!</f>
        <v>#REF!</v>
      </c>
      <c r="G47" s="122" t="e">
        <f t="shared" si="4"/>
        <v>#REF!</v>
      </c>
      <c r="H47" s="79" t="e">
        <f>INDEX(Tree!#REF!,MATCH($J47,Tree!#REF!,0))</f>
        <v>#REF!</v>
      </c>
      <c r="I47" s="100" t="e">
        <f t="shared" si="5"/>
        <v>#REF!</v>
      </c>
      <c r="J47" s="80" t="s">
        <v>26</v>
      </c>
      <c r="K47" s="90" t="e">
        <f>INDEX(Tree!#REF!,MATCH($J47,Tree!#REF!,0))</f>
        <v>#REF!</v>
      </c>
      <c r="L47" s="104" t="e">
        <f t="shared" si="19"/>
        <v>#REF!</v>
      </c>
      <c r="M47" s="102" t="e">
        <f>'Example calcs 2000'!N47*0.95</f>
        <v>#REF!</v>
      </c>
      <c r="N47" s="100" t="e">
        <f t="shared" si="6"/>
        <v>#REF!</v>
      </c>
      <c r="O47" s="102" t="str">
        <f t="shared" si="7"/>
        <v/>
      </c>
      <c r="P47" s="102" t="e">
        <f t="shared" si="8"/>
        <v>#REF!</v>
      </c>
      <c r="Q47" s="90" t="s">
        <v>30</v>
      </c>
      <c r="R47" s="39">
        <f t="shared" si="9"/>
        <v>0</v>
      </c>
      <c r="S47" s="90" t="e">
        <f>INDEX(Tree!#REF!,MATCH($Q47,Tree!#REF!,0)+MATCH(Tree!#REF!,Tree!#REF!,0)-1)</f>
        <v>#REF!</v>
      </c>
      <c r="T47" s="104" t="e">
        <f t="shared" si="10"/>
        <v>#REF!</v>
      </c>
      <c r="U47" s="102" t="e">
        <f>'Example calcs 2000'!S47*0.8</f>
        <v>#REF!</v>
      </c>
      <c r="V47" s="100" t="e">
        <f t="shared" si="11"/>
        <v>#REF!</v>
      </c>
      <c r="W47" s="102" t="str">
        <f t="shared" si="12"/>
        <v/>
      </c>
      <c r="X47" s="102" t="e">
        <f t="shared" si="1"/>
        <v>#REF!</v>
      </c>
      <c r="Y47" s="80" t="s">
        <v>33</v>
      </c>
      <c r="Z47" s="39">
        <f t="shared" si="13"/>
        <v>0</v>
      </c>
      <c r="AA47" s="80" t="e">
        <f>Tree!#REF!</f>
        <v>#REF!</v>
      </c>
      <c r="AB47" s="80"/>
      <c r="AC47" s="104" t="e">
        <f>X47*AA47</f>
        <v>#REF!</v>
      </c>
      <c r="AD47" s="102" t="e">
        <f>'Example calcs 2000'!Y47*0.8</f>
        <v>#REF!</v>
      </c>
      <c r="AE47" s="100" t="e">
        <f t="shared" si="14"/>
        <v>#REF!</v>
      </c>
      <c r="AF47" s="102" t="str">
        <f t="shared" si="18"/>
        <v/>
      </c>
      <c r="AG47" s="102" t="e">
        <f t="shared" si="2"/>
        <v>#REF!</v>
      </c>
      <c r="AH47" s="80" t="s">
        <v>52</v>
      </c>
      <c r="AI47" s="39">
        <f t="shared" si="15"/>
        <v>1</v>
      </c>
      <c r="AJ47" s="80"/>
      <c r="AK47" s="80" t="e">
        <f>Tree!#REF!</f>
        <v>#REF!</v>
      </c>
      <c r="AL47" s="91" t="e">
        <f t="shared" si="16"/>
        <v>#REF!</v>
      </c>
      <c r="AM47" s="80" t="e">
        <f t="shared" si="17"/>
        <v>#REF!</v>
      </c>
    </row>
    <row r="48" spans="3:39" s="72" customFormat="1" x14ac:dyDescent="0.25">
      <c r="C48" s="121" t="e">
        <f>Tree!#REF!</f>
        <v>#REF!</v>
      </c>
      <c r="D48" s="41" t="e">
        <f>Tree!#REF!</f>
        <v>#REF!</v>
      </c>
      <c r="E48" s="122" t="e">
        <f t="shared" si="3"/>
        <v>#REF!</v>
      </c>
      <c r="F48" s="41" t="e">
        <f>Tree!#REF!</f>
        <v>#REF!</v>
      </c>
      <c r="G48" s="122" t="e">
        <f t="shared" si="4"/>
        <v>#REF!</v>
      </c>
      <c r="H48" s="79" t="e">
        <f>INDEX(Tree!#REF!,MATCH($J48,Tree!#REF!,0))</f>
        <v>#REF!</v>
      </c>
      <c r="I48" s="100" t="e">
        <f t="shared" si="5"/>
        <v>#REF!</v>
      </c>
      <c r="J48" s="80" t="s">
        <v>26</v>
      </c>
      <c r="K48" s="90" t="e">
        <f>INDEX(Tree!#REF!,MATCH($J48,Tree!#REF!,0))</f>
        <v>#REF!</v>
      </c>
      <c r="L48" s="104" t="e">
        <f t="shared" si="19"/>
        <v>#REF!</v>
      </c>
      <c r="M48" s="102" t="e">
        <f>'Example calcs 2000'!N48*0.95</f>
        <v>#REF!</v>
      </c>
      <c r="N48" s="100" t="e">
        <f t="shared" si="6"/>
        <v>#REF!</v>
      </c>
      <c r="O48" s="102" t="str">
        <f t="shared" si="7"/>
        <v/>
      </c>
      <c r="P48" s="102" t="e">
        <f t="shared" si="8"/>
        <v>#REF!</v>
      </c>
      <c r="Q48" s="90" t="s">
        <v>30</v>
      </c>
      <c r="R48" s="39">
        <f t="shared" si="9"/>
        <v>0</v>
      </c>
      <c r="S48" s="90" t="e">
        <f>INDEX(Tree!#REF!,MATCH($Q48,Tree!#REF!,0)+MATCH(Tree!#REF!,Tree!#REF!,0)-1)</f>
        <v>#REF!</v>
      </c>
      <c r="T48" s="104" t="e">
        <f t="shared" si="10"/>
        <v>#REF!</v>
      </c>
      <c r="U48" s="102" t="e">
        <f>'Example calcs 2000'!S48*0.8</f>
        <v>#REF!</v>
      </c>
      <c r="V48" s="100" t="e">
        <f t="shared" si="11"/>
        <v>#REF!</v>
      </c>
      <c r="W48" s="102" t="str">
        <f t="shared" si="12"/>
        <v/>
      </c>
      <c r="X48" s="102" t="e">
        <f t="shared" si="1"/>
        <v>#REF!</v>
      </c>
      <c r="Y48" s="80" t="s">
        <v>33</v>
      </c>
      <c r="Z48" s="39">
        <f t="shared" si="13"/>
        <v>0</v>
      </c>
      <c r="AA48" s="80" t="e">
        <f>Tree!#REF!</f>
        <v>#REF!</v>
      </c>
      <c r="AB48" s="80"/>
      <c r="AC48" s="104" t="e">
        <f>X48*AA48</f>
        <v>#REF!</v>
      </c>
      <c r="AD48" s="102" t="e">
        <f>'Example calcs 2000'!Y48*0.8</f>
        <v>#REF!</v>
      </c>
      <c r="AE48" s="100" t="e">
        <f t="shared" si="14"/>
        <v>#REF!</v>
      </c>
      <c r="AF48" s="102" t="str">
        <f t="shared" si="18"/>
        <v/>
      </c>
      <c r="AG48" s="102" t="e">
        <f t="shared" si="2"/>
        <v>#REF!</v>
      </c>
      <c r="AH48" s="80" t="s">
        <v>53</v>
      </c>
      <c r="AI48" s="39">
        <f t="shared" si="15"/>
        <v>1</v>
      </c>
      <c r="AJ48" s="80"/>
      <c r="AK48" s="80" t="e">
        <f>Tree!#REF!</f>
        <v>#REF!</v>
      </c>
      <c r="AL48" s="91" t="e">
        <f t="shared" si="16"/>
        <v>#REF!</v>
      </c>
      <c r="AM48" s="80" t="e">
        <f t="shared" si="17"/>
        <v>#REF!</v>
      </c>
    </row>
    <row r="49" spans="3:50" s="72" customFormat="1" x14ac:dyDescent="0.25">
      <c r="C49" s="121" t="e">
        <f>Tree!#REF!</f>
        <v>#REF!</v>
      </c>
      <c r="D49" s="41" t="e">
        <f>Tree!#REF!</f>
        <v>#REF!</v>
      </c>
      <c r="E49" s="122" t="e">
        <f t="shared" si="3"/>
        <v>#REF!</v>
      </c>
      <c r="F49" s="41" t="e">
        <f>Tree!#REF!</f>
        <v>#REF!</v>
      </c>
      <c r="G49" s="122" t="e">
        <f t="shared" si="4"/>
        <v>#REF!</v>
      </c>
      <c r="H49" s="79" t="e">
        <f>INDEX(Tree!#REF!,MATCH($J49,Tree!#REF!,0))</f>
        <v>#REF!</v>
      </c>
      <c r="I49" s="100" t="e">
        <f t="shared" si="5"/>
        <v>#REF!</v>
      </c>
      <c r="J49" s="80" t="s">
        <v>26</v>
      </c>
      <c r="K49" s="90" t="e">
        <f>INDEX(Tree!#REF!,MATCH($J49,Tree!#REF!,0))</f>
        <v>#REF!</v>
      </c>
      <c r="L49" s="104" t="e">
        <f t="shared" si="19"/>
        <v>#REF!</v>
      </c>
      <c r="M49" s="102" t="e">
        <f>'Example calcs 2000'!N49*0.95</f>
        <v>#REF!</v>
      </c>
      <c r="N49" s="100" t="e">
        <f t="shared" si="6"/>
        <v>#REF!</v>
      </c>
      <c r="O49" s="102" t="str">
        <f t="shared" si="7"/>
        <v/>
      </c>
      <c r="P49" s="102" t="e">
        <f t="shared" si="8"/>
        <v>#REF!</v>
      </c>
      <c r="Q49" s="90" t="s">
        <v>29</v>
      </c>
      <c r="R49" s="39">
        <f t="shared" si="9"/>
        <v>1</v>
      </c>
      <c r="S49" s="90" t="e">
        <f>INDEX(Tree!#REF!,MATCH($Q49,Tree!#REF!,0)+MATCH(Tree!#REF!,Tree!#REF!,0)-1)</f>
        <v>#REF!</v>
      </c>
      <c r="T49" s="104" t="e">
        <f t="shared" si="10"/>
        <v>#REF!</v>
      </c>
      <c r="U49" s="102" t="e">
        <f>'Example calcs 2000'!S49*0.8</f>
        <v>#REF!</v>
      </c>
      <c r="V49" s="100" t="e">
        <f t="shared" si="11"/>
        <v>#REF!</v>
      </c>
      <c r="W49" s="102" t="str">
        <f t="shared" si="12"/>
        <v/>
      </c>
      <c r="X49" s="102" t="e">
        <f t="shared" si="1"/>
        <v>#REF!</v>
      </c>
      <c r="Y49" s="80" t="s">
        <v>32</v>
      </c>
      <c r="Z49" s="39">
        <f t="shared" si="13"/>
        <v>1</v>
      </c>
      <c r="AA49" s="80"/>
      <c r="AB49" s="80" t="e">
        <f>Tree!#REF!</f>
        <v>#REF!</v>
      </c>
      <c r="AC49" s="104"/>
      <c r="AD49" s="102">
        <f>'Example calcs 2000'!Y49*0.8</f>
        <v>0</v>
      </c>
      <c r="AE49" s="100" t="e">
        <f t="shared" si="14"/>
        <v>#REF!</v>
      </c>
      <c r="AF49" s="102" t="str">
        <f t="shared" si="18"/>
        <v/>
      </c>
      <c r="AG49" s="102">
        <f t="shared" si="2"/>
        <v>0</v>
      </c>
      <c r="AH49" s="80"/>
      <c r="AI49" s="39">
        <f t="shared" si="15"/>
        <v>1</v>
      </c>
      <c r="AJ49" s="80"/>
      <c r="AK49" s="80"/>
      <c r="AL49" s="91" t="e">
        <f t="shared" si="16"/>
        <v>#REF!</v>
      </c>
      <c r="AM49" s="80">
        <f t="shared" si="17"/>
        <v>0</v>
      </c>
      <c r="AX49" s="126"/>
    </row>
    <row r="50" spans="3:50" s="72" customFormat="1" x14ac:dyDescent="0.25">
      <c r="C50" s="121" t="e">
        <f>Tree!#REF!</f>
        <v>#REF!</v>
      </c>
      <c r="D50" s="41" t="e">
        <f>Tree!#REF!</f>
        <v>#REF!</v>
      </c>
      <c r="E50" s="122" t="e">
        <f t="shared" si="3"/>
        <v>#REF!</v>
      </c>
      <c r="F50" s="41" t="e">
        <f>Tree!#REF!</f>
        <v>#REF!</v>
      </c>
      <c r="G50" s="122" t="e">
        <f t="shared" si="4"/>
        <v>#REF!</v>
      </c>
      <c r="H50" s="79" t="e">
        <f>INDEX(Tree!#REF!,MATCH($J50,Tree!#REF!,0))</f>
        <v>#REF!</v>
      </c>
      <c r="I50" s="100" t="e">
        <f t="shared" si="5"/>
        <v>#REF!</v>
      </c>
      <c r="J50" s="80" t="s">
        <v>26</v>
      </c>
      <c r="K50" s="90" t="e">
        <f>INDEX(Tree!#REF!,MATCH($J50,Tree!#REF!,0))</f>
        <v>#REF!</v>
      </c>
      <c r="L50" s="104" t="e">
        <f t="shared" si="19"/>
        <v>#REF!</v>
      </c>
      <c r="M50" s="102" t="e">
        <f>'Example calcs 2000'!N50*0.95</f>
        <v>#REF!</v>
      </c>
      <c r="N50" s="100" t="e">
        <f t="shared" si="6"/>
        <v>#REF!</v>
      </c>
      <c r="O50" s="102" t="str">
        <f t="shared" si="7"/>
        <v/>
      </c>
      <c r="P50" s="102" t="e">
        <f t="shared" si="8"/>
        <v>#REF!</v>
      </c>
      <c r="Q50" s="90" t="s">
        <v>29</v>
      </c>
      <c r="R50" s="39">
        <f t="shared" si="9"/>
        <v>0</v>
      </c>
      <c r="S50" s="90" t="e">
        <f>INDEX(Tree!#REF!,MATCH($Q50,Tree!#REF!,0)+MATCH(Tree!#REF!,Tree!#REF!,0)-1)</f>
        <v>#REF!</v>
      </c>
      <c r="T50" s="104" t="e">
        <f t="shared" si="10"/>
        <v>#REF!</v>
      </c>
      <c r="U50" s="102" t="e">
        <f>'Example calcs 2000'!S50*0.8</f>
        <v>#REF!</v>
      </c>
      <c r="V50" s="100" t="e">
        <f t="shared" si="11"/>
        <v>#REF!</v>
      </c>
      <c r="W50" s="102" t="str">
        <f t="shared" si="12"/>
        <v/>
      </c>
      <c r="X50" s="102" t="e">
        <f t="shared" si="1"/>
        <v>#REF!</v>
      </c>
      <c r="Y50" s="80" t="s">
        <v>33</v>
      </c>
      <c r="Z50" s="39">
        <f t="shared" si="13"/>
        <v>1</v>
      </c>
      <c r="AA50" s="80" t="e">
        <f>Tree!#REF!</f>
        <v>#REF!</v>
      </c>
      <c r="AB50" s="80"/>
      <c r="AC50" s="104" t="e">
        <f>X50*AA50</f>
        <v>#REF!</v>
      </c>
      <c r="AD50" s="102" t="e">
        <f>'Example calcs 2000'!Y50*0.8</f>
        <v>#REF!</v>
      </c>
      <c r="AE50" s="100" t="e">
        <f t="shared" si="14"/>
        <v>#REF!</v>
      </c>
      <c r="AF50" s="102" t="str">
        <f t="shared" si="18"/>
        <v/>
      </c>
      <c r="AG50" s="102" t="e">
        <f t="shared" si="2"/>
        <v>#REF!</v>
      </c>
      <c r="AH50" s="80" t="s">
        <v>54</v>
      </c>
      <c r="AI50" s="39">
        <f t="shared" si="15"/>
        <v>1</v>
      </c>
      <c r="AJ50" s="80" t="e">
        <f>Tree!#REF!</f>
        <v>#REF!</v>
      </c>
      <c r="AK50" s="80"/>
      <c r="AL50" s="91" t="e">
        <f t="shared" si="16"/>
        <v>#REF!</v>
      </c>
      <c r="AM50" s="80" t="e">
        <f t="shared" si="17"/>
        <v>#REF!</v>
      </c>
      <c r="AX50" s="126"/>
    </row>
    <row r="51" spans="3:50" s="72" customFormat="1" x14ac:dyDescent="0.25">
      <c r="C51" s="121" t="e">
        <f>Tree!#REF!</f>
        <v>#REF!</v>
      </c>
      <c r="D51" s="41" t="e">
        <f>Tree!#REF!</f>
        <v>#REF!</v>
      </c>
      <c r="E51" s="122" t="e">
        <f t="shared" si="3"/>
        <v>#REF!</v>
      </c>
      <c r="F51" s="41" t="e">
        <f>Tree!#REF!</f>
        <v>#REF!</v>
      </c>
      <c r="G51" s="122" t="e">
        <f t="shared" si="4"/>
        <v>#REF!</v>
      </c>
      <c r="H51" s="79" t="e">
        <f>INDEX(Tree!#REF!,MATCH($J51,Tree!#REF!,0))</f>
        <v>#REF!</v>
      </c>
      <c r="I51" s="100" t="e">
        <f t="shared" si="5"/>
        <v>#REF!</v>
      </c>
      <c r="J51" s="80" t="s">
        <v>26</v>
      </c>
      <c r="K51" s="90" t="e">
        <f>INDEX(Tree!#REF!,MATCH($J51,Tree!#REF!,0))</f>
        <v>#REF!</v>
      </c>
      <c r="L51" s="104" t="e">
        <f t="shared" si="19"/>
        <v>#REF!</v>
      </c>
      <c r="M51" s="102" t="e">
        <f>'Example calcs 2000'!N51*0.95</f>
        <v>#REF!</v>
      </c>
      <c r="N51" s="100" t="e">
        <f t="shared" si="6"/>
        <v>#REF!</v>
      </c>
      <c r="O51" s="102" t="str">
        <f t="shared" si="7"/>
        <v/>
      </c>
      <c r="P51" s="102" t="e">
        <f t="shared" si="8"/>
        <v>#REF!</v>
      </c>
      <c r="Q51" s="90" t="s">
        <v>29</v>
      </c>
      <c r="R51" s="39">
        <f t="shared" si="9"/>
        <v>0</v>
      </c>
      <c r="S51" s="90" t="e">
        <f>INDEX(Tree!#REF!,MATCH($Q51,Tree!#REF!,0)+MATCH(Tree!#REF!,Tree!#REF!,0)-1)</f>
        <v>#REF!</v>
      </c>
      <c r="T51" s="104" t="e">
        <f t="shared" si="10"/>
        <v>#REF!</v>
      </c>
      <c r="U51" s="102" t="e">
        <f>'Example calcs 2000'!S51*0.8</f>
        <v>#REF!</v>
      </c>
      <c r="V51" s="100" t="e">
        <f t="shared" si="11"/>
        <v>#REF!</v>
      </c>
      <c r="W51" s="102" t="str">
        <f t="shared" si="12"/>
        <v/>
      </c>
      <c r="X51" s="102" t="e">
        <f t="shared" si="1"/>
        <v>#REF!</v>
      </c>
      <c r="Y51" s="80" t="s">
        <v>33</v>
      </c>
      <c r="Z51" s="39">
        <f t="shared" si="13"/>
        <v>0</v>
      </c>
      <c r="AA51" s="80" t="e">
        <f>Tree!#REF!</f>
        <v>#REF!</v>
      </c>
      <c r="AB51" s="80"/>
      <c r="AC51" s="104" t="e">
        <f>X51*AA51</f>
        <v>#REF!</v>
      </c>
      <c r="AD51" s="102" t="e">
        <f>'Example calcs 2000'!Y51*0.8</f>
        <v>#REF!</v>
      </c>
      <c r="AE51" s="100" t="e">
        <f t="shared" si="14"/>
        <v>#REF!</v>
      </c>
      <c r="AF51" s="102" t="str">
        <f t="shared" si="18"/>
        <v/>
      </c>
      <c r="AG51" s="102" t="e">
        <f t="shared" si="2"/>
        <v>#REF!</v>
      </c>
      <c r="AH51" s="80" t="s">
        <v>117</v>
      </c>
      <c r="AI51" s="39">
        <f t="shared" si="15"/>
        <v>1</v>
      </c>
      <c r="AJ51" s="80" t="e">
        <f>Tree!#REF!</f>
        <v>#REF!</v>
      </c>
      <c r="AK51" s="80"/>
      <c r="AL51" s="91" t="e">
        <f t="shared" si="16"/>
        <v>#REF!</v>
      </c>
      <c r="AM51" s="80" t="e">
        <f t="shared" si="17"/>
        <v>#REF!</v>
      </c>
      <c r="AX51" s="126"/>
    </row>
    <row r="52" spans="3:50" s="72" customFormat="1" x14ac:dyDescent="0.25">
      <c r="C52" s="121" t="e">
        <f>Tree!#REF!</f>
        <v>#REF!</v>
      </c>
      <c r="D52" s="41" t="e">
        <f>Tree!#REF!</f>
        <v>#REF!</v>
      </c>
      <c r="E52" s="122" t="e">
        <f t="shared" si="3"/>
        <v>#REF!</v>
      </c>
      <c r="F52" s="41" t="e">
        <f>Tree!#REF!</f>
        <v>#REF!</v>
      </c>
      <c r="G52" s="122" t="e">
        <f t="shared" si="4"/>
        <v>#REF!</v>
      </c>
      <c r="H52" s="79" t="e">
        <f>INDEX(Tree!#REF!,MATCH($J52,Tree!#REF!,0))</f>
        <v>#REF!</v>
      </c>
      <c r="I52" s="100" t="e">
        <f t="shared" si="5"/>
        <v>#REF!</v>
      </c>
      <c r="J52" s="80" t="s">
        <v>26</v>
      </c>
      <c r="K52" s="90" t="e">
        <f>INDEX(Tree!#REF!,MATCH($J52,Tree!#REF!,0))</f>
        <v>#REF!</v>
      </c>
      <c r="L52" s="104" t="e">
        <f t="shared" si="19"/>
        <v>#REF!</v>
      </c>
      <c r="M52" s="102" t="e">
        <f>'Example calcs 2000'!N52*0.95</f>
        <v>#REF!</v>
      </c>
      <c r="N52" s="100" t="e">
        <f t="shared" si="6"/>
        <v>#REF!</v>
      </c>
      <c r="O52" s="102" t="str">
        <f t="shared" si="7"/>
        <v/>
      </c>
      <c r="P52" s="102" t="e">
        <f t="shared" si="8"/>
        <v>#REF!</v>
      </c>
      <c r="Q52" s="90" t="s">
        <v>29</v>
      </c>
      <c r="R52" s="39">
        <f t="shared" si="9"/>
        <v>0</v>
      </c>
      <c r="S52" s="90" t="e">
        <f>INDEX(Tree!#REF!,MATCH($Q52,Tree!#REF!,0)+MATCH(Tree!#REF!,Tree!#REF!,0)-1)</f>
        <v>#REF!</v>
      </c>
      <c r="T52" s="104" t="e">
        <f t="shared" si="10"/>
        <v>#REF!</v>
      </c>
      <c r="U52" s="102" t="e">
        <f>'Example calcs 2000'!S52*0.8</f>
        <v>#REF!</v>
      </c>
      <c r="V52" s="100" t="e">
        <f t="shared" si="11"/>
        <v>#REF!</v>
      </c>
      <c r="W52" s="102" t="str">
        <f t="shared" si="12"/>
        <v/>
      </c>
      <c r="X52" s="102" t="e">
        <f t="shared" si="1"/>
        <v>#REF!</v>
      </c>
      <c r="Y52" s="80" t="s">
        <v>33</v>
      </c>
      <c r="Z52" s="39">
        <f t="shared" si="13"/>
        <v>0</v>
      </c>
      <c r="AA52" s="80" t="e">
        <f>Tree!#REF!</f>
        <v>#REF!</v>
      </c>
      <c r="AB52" s="80"/>
      <c r="AC52" s="104" t="e">
        <f>X52*AA52</f>
        <v>#REF!</v>
      </c>
      <c r="AD52" s="102" t="e">
        <f>'Example calcs 2000'!Y52*0.8</f>
        <v>#REF!</v>
      </c>
      <c r="AE52" s="100" t="e">
        <f t="shared" si="14"/>
        <v>#REF!</v>
      </c>
      <c r="AF52" s="102" t="str">
        <f t="shared" si="18"/>
        <v/>
      </c>
      <c r="AG52" s="102" t="e">
        <f t="shared" si="2"/>
        <v>#REF!</v>
      </c>
      <c r="AH52" s="80" t="s">
        <v>52</v>
      </c>
      <c r="AI52" s="39">
        <f t="shared" si="15"/>
        <v>1</v>
      </c>
      <c r="AJ52" s="80"/>
      <c r="AK52" s="80" t="e">
        <f>Tree!#REF!</f>
        <v>#REF!</v>
      </c>
      <c r="AL52" s="91" t="e">
        <f t="shared" si="16"/>
        <v>#REF!</v>
      </c>
      <c r="AM52" s="80" t="e">
        <f t="shared" si="17"/>
        <v>#REF!</v>
      </c>
      <c r="AX52" s="126"/>
    </row>
    <row r="53" spans="3:50" s="72" customFormat="1" x14ac:dyDescent="0.25">
      <c r="C53" s="121" t="e">
        <f>Tree!#REF!</f>
        <v>#REF!</v>
      </c>
      <c r="D53" s="41" t="e">
        <f>Tree!#REF!</f>
        <v>#REF!</v>
      </c>
      <c r="E53" s="122" t="e">
        <f t="shared" si="3"/>
        <v>#REF!</v>
      </c>
      <c r="F53" s="41" t="e">
        <f>Tree!#REF!</f>
        <v>#REF!</v>
      </c>
      <c r="G53" s="122" t="e">
        <f t="shared" si="4"/>
        <v>#REF!</v>
      </c>
      <c r="H53" s="79" t="e">
        <f>INDEX(Tree!#REF!,MATCH($J53,Tree!#REF!,0))</f>
        <v>#REF!</v>
      </c>
      <c r="I53" s="100" t="e">
        <f t="shared" si="5"/>
        <v>#REF!</v>
      </c>
      <c r="J53" s="80" t="s">
        <v>26</v>
      </c>
      <c r="K53" s="90" t="e">
        <f>INDEX(Tree!#REF!,MATCH($J53,Tree!#REF!,0))</f>
        <v>#REF!</v>
      </c>
      <c r="L53" s="104" t="e">
        <f t="shared" si="19"/>
        <v>#REF!</v>
      </c>
      <c r="M53" s="102" t="e">
        <f>'Example calcs 2000'!N53*0.95</f>
        <v>#REF!</v>
      </c>
      <c r="N53" s="100" t="e">
        <f t="shared" si="6"/>
        <v>#REF!</v>
      </c>
      <c r="O53" s="102" t="str">
        <f t="shared" si="7"/>
        <v/>
      </c>
      <c r="P53" s="102" t="e">
        <f t="shared" si="8"/>
        <v>#REF!</v>
      </c>
      <c r="Q53" s="90" t="s">
        <v>29</v>
      </c>
      <c r="R53" s="39">
        <f t="shared" si="9"/>
        <v>0</v>
      </c>
      <c r="S53" s="90" t="e">
        <f>INDEX(Tree!#REF!,MATCH($Q53,Tree!#REF!,0)+MATCH(Tree!#REF!,Tree!#REF!,0)-1)</f>
        <v>#REF!</v>
      </c>
      <c r="T53" s="104" t="e">
        <f t="shared" si="10"/>
        <v>#REF!</v>
      </c>
      <c r="U53" s="102" t="e">
        <f>'Example calcs 2000'!S53*0.8</f>
        <v>#REF!</v>
      </c>
      <c r="V53" s="100" t="e">
        <f t="shared" si="11"/>
        <v>#REF!</v>
      </c>
      <c r="W53" s="102" t="str">
        <f t="shared" si="12"/>
        <v/>
      </c>
      <c r="X53" s="102" t="e">
        <f t="shared" si="1"/>
        <v>#REF!</v>
      </c>
      <c r="Y53" s="80" t="s">
        <v>33</v>
      </c>
      <c r="Z53" s="39">
        <f t="shared" si="13"/>
        <v>0</v>
      </c>
      <c r="AA53" s="80" t="e">
        <f>Tree!#REF!</f>
        <v>#REF!</v>
      </c>
      <c r="AB53" s="80"/>
      <c r="AC53" s="104" t="e">
        <f>X53*AA53</f>
        <v>#REF!</v>
      </c>
      <c r="AD53" s="102" t="e">
        <f>'Example calcs 2000'!Y53*0.8</f>
        <v>#REF!</v>
      </c>
      <c r="AE53" s="100" t="e">
        <f t="shared" si="14"/>
        <v>#REF!</v>
      </c>
      <c r="AF53" s="102" t="str">
        <f t="shared" si="18"/>
        <v/>
      </c>
      <c r="AG53" s="102" t="e">
        <f t="shared" si="2"/>
        <v>#REF!</v>
      </c>
      <c r="AH53" s="80" t="s">
        <v>53</v>
      </c>
      <c r="AI53" s="39">
        <f t="shared" si="15"/>
        <v>1</v>
      </c>
      <c r="AJ53" s="80"/>
      <c r="AK53" s="80" t="e">
        <f>Tree!#REF!</f>
        <v>#REF!</v>
      </c>
      <c r="AL53" s="91" t="e">
        <f t="shared" si="16"/>
        <v>#REF!</v>
      </c>
      <c r="AM53" s="80" t="e">
        <f t="shared" si="17"/>
        <v>#REF!</v>
      </c>
      <c r="AX53" s="126"/>
    </row>
    <row r="54" spans="3:50" s="72" customFormat="1" x14ac:dyDescent="0.25">
      <c r="C54" s="121" t="e">
        <f>Tree!#REF!</f>
        <v>#REF!</v>
      </c>
      <c r="D54" s="41" t="e">
        <f>Tree!#REF!</f>
        <v>#REF!</v>
      </c>
      <c r="E54" s="122" t="e">
        <f t="shared" si="3"/>
        <v>#REF!</v>
      </c>
      <c r="F54" s="41" t="e">
        <f>Tree!#REF!</f>
        <v>#REF!</v>
      </c>
      <c r="G54" s="122" t="e">
        <f t="shared" si="4"/>
        <v>#REF!</v>
      </c>
      <c r="H54" s="79" t="e">
        <f>INDEX(Tree!#REF!,MATCH($J54,Tree!#REF!,0))</f>
        <v>#REF!</v>
      </c>
      <c r="I54" s="100" t="e">
        <f t="shared" si="5"/>
        <v>#REF!</v>
      </c>
      <c r="J54" s="80" t="s">
        <v>24</v>
      </c>
      <c r="K54" s="90" t="e">
        <f>INDEX(Tree!#REF!,MATCH($J54,Tree!#REF!,0))</f>
        <v>#REF!</v>
      </c>
      <c r="L54" s="104" t="e">
        <f t="shared" si="19"/>
        <v>#REF!</v>
      </c>
      <c r="M54" s="102" t="e">
        <f>'Example calcs 2000'!N54*0.95</f>
        <v>#REF!</v>
      </c>
      <c r="N54" s="100" t="e">
        <f t="shared" si="6"/>
        <v>#REF!</v>
      </c>
      <c r="O54" s="102" t="str">
        <f t="shared" si="7"/>
        <v/>
      </c>
      <c r="P54" s="102" t="e">
        <f t="shared" si="8"/>
        <v>#REF!</v>
      </c>
      <c r="Q54" s="90" t="s">
        <v>31</v>
      </c>
      <c r="R54" s="39">
        <f t="shared" si="9"/>
        <v>1</v>
      </c>
      <c r="S54" s="90" t="e">
        <f>INDEX(Tree!#REF!,MATCH($Q54,Tree!#REF!,0)+MATCH(Tree!#REF!,Tree!#REF!,0)-1)</f>
        <v>#REF!</v>
      </c>
      <c r="T54" s="104" t="e">
        <f t="shared" si="10"/>
        <v>#REF!</v>
      </c>
      <c r="U54" s="102" t="e">
        <f>'Example calcs 2000'!S54*0.8</f>
        <v>#REF!</v>
      </c>
      <c r="V54" s="100" t="e">
        <f t="shared" si="11"/>
        <v>#REF!</v>
      </c>
      <c r="W54" s="102" t="str">
        <f t="shared" si="12"/>
        <v/>
      </c>
      <c r="X54" s="102" t="e">
        <f t="shared" si="1"/>
        <v>#REF!</v>
      </c>
      <c r="Y54" s="80" t="s">
        <v>32</v>
      </c>
      <c r="Z54" s="39">
        <f t="shared" si="13"/>
        <v>1</v>
      </c>
      <c r="AA54" s="80"/>
      <c r="AB54" s="80" t="e">
        <f>Tree!#REF!</f>
        <v>#REF!</v>
      </c>
      <c r="AC54" s="104"/>
      <c r="AD54" s="102">
        <f>'Example calcs 2000'!Y54*0.8</f>
        <v>0</v>
      </c>
      <c r="AE54" s="100" t="e">
        <f t="shared" si="14"/>
        <v>#REF!</v>
      </c>
      <c r="AF54" s="102" t="str">
        <f t="shared" si="18"/>
        <v/>
      </c>
      <c r="AG54" s="102">
        <f t="shared" si="2"/>
        <v>0</v>
      </c>
      <c r="AH54" s="80"/>
      <c r="AI54" s="39">
        <f t="shared" si="15"/>
        <v>1</v>
      </c>
      <c r="AJ54" s="80"/>
      <c r="AK54" s="80"/>
      <c r="AL54" s="91" t="e">
        <f t="shared" si="16"/>
        <v>#REF!</v>
      </c>
      <c r="AM54" s="80">
        <f t="shared" si="17"/>
        <v>0</v>
      </c>
      <c r="AX54" s="126"/>
    </row>
    <row r="55" spans="3:50" s="72" customFormat="1" x14ac:dyDescent="0.25">
      <c r="C55" s="121" t="e">
        <f>Tree!#REF!</f>
        <v>#REF!</v>
      </c>
      <c r="D55" s="41" t="e">
        <f>Tree!#REF!</f>
        <v>#REF!</v>
      </c>
      <c r="E55" s="122" t="e">
        <f t="shared" si="3"/>
        <v>#REF!</v>
      </c>
      <c r="F55" s="41" t="e">
        <f>Tree!#REF!</f>
        <v>#REF!</v>
      </c>
      <c r="G55" s="122" t="e">
        <f t="shared" si="4"/>
        <v>#REF!</v>
      </c>
      <c r="H55" s="79" t="e">
        <f>INDEX(Tree!#REF!,MATCH($J55,Tree!#REF!,0))</f>
        <v>#REF!</v>
      </c>
      <c r="I55" s="100" t="e">
        <f t="shared" si="5"/>
        <v>#REF!</v>
      </c>
      <c r="J55" s="80" t="s">
        <v>24</v>
      </c>
      <c r="K55" s="90" t="e">
        <f>INDEX(Tree!#REF!,MATCH($J55,Tree!#REF!,0))</f>
        <v>#REF!</v>
      </c>
      <c r="L55" s="104" t="e">
        <f t="shared" si="19"/>
        <v>#REF!</v>
      </c>
      <c r="M55" s="102" t="e">
        <f>'Example calcs 2000'!N55*0.95</f>
        <v>#REF!</v>
      </c>
      <c r="N55" s="100" t="e">
        <f t="shared" si="6"/>
        <v>#REF!</v>
      </c>
      <c r="O55" s="102" t="str">
        <f t="shared" si="7"/>
        <v/>
      </c>
      <c r="P55" s="102" t="e">
        <f t="shared" si="8"/>
        <v>#REF!</v>
      </c>
      <c r="Q55" s="90" t="s">
        <v>31</v>
      </c>
      <c r="R55" s="39">
        <f t="shared" si="9"/>
        <v>0</v>
      </c>
      <c r="S55" s="90" t="e">
        <f>INDEX(Tree!#REF!,MATCH($Q55,Tree!#REF!,0)+MATCH(Tree!#REF!,Tree!#REF!,0)-1)</f>
        <v>#REF!</v>
      </c>
      <c r="T55" s="104" t="e">
        <f t="shared" si="10"/>
        <v>#REF!</v>
      </c>
      <c r="U55" s="102" t="e">
        <f>'Example calcs 2000'!S55*0.8</f>
        <v>#REF!</v>
      </c>
      <c r="V55" s="100" t="e">
        <f t="shared" si="11"/>
        <v>#REF!</v>
      </c>
      <c r="W55" s="102" t="str">
        <f t="shared" si="12"/>
        <v/>
      </c>
      <c r="X55" s="102" t="e">
        <f t="shared" si="1"/>
        <v>#REF!</v>
      </c>
      <c r="Y55" s="80" t="s">
        <v>33</v>
      </c>
      <c r="Z55" s="39">
        <f t="shared" si="13"/>
        <v>1</v>
      </c>
      <c r="AA55" s="80" t="e">
        <f>Tree!#REF!</f>
        <v>#REF!</v>
      </c>
      <c r="AB55" s="80"/>
      <c r="AC55" s="104" t="e">
        <f>X55*AA55</f>
        <v>#REF!</v>
      </c>
      <c r="AD55" s="102" t="e">
        <f>'Example calcs 2000'!Y55*0.8</f>
        <v>#REF!</v>
      </c>
      <c r="AE55" s="100" t="e">
        <f t="shared" si="14"/>
        <v>#REF!</v>
      </c>
      <c r="AF55" s="102" t="str">
        <f t="shared" si="18"/>
        <v/>
      </c>
      <c r="AG55" s="102" t="e">
        <f t="shared" si="2"/>
        <v>#REF!</v>
      </c>
      <c r="AH55" s="80" t="s">
        <v>54</v>
      </c>
      <c r="AI55" s="39">
        <f t="shared" si="15"/>
        <v>1</v>
      </c>
      <c r="AJ55" s="80" t="e">
        <f>Tree!#REF!</f>
        <v>#REF!</v>
      </c>
      <c r="AK55" s="80"/>
      <c r="AL55" s="91" t="e">
        <f t="shared" si="16"/>
        <v>#REF!</v>
      </c>
      <c r="AM55" s="80" t="e">
        <f t="shared" si="17"/>
        <v>#REF!</v>
      </c>
      <c r="AX55" s="126"/>
    </row>
    <row r="56" spans="3:50" s="72" customFormat="1" x14ac:dyDescent="0.25">
      <c r="C56" s="121" t="e">
        <f>Tree!#REF!</f>
        <v>#REF!</v>
      </c>
      <c r="D56" s="41" t="e">
        <f>Tree!#REF!</f>
        <v>#REF!</v>
      </c>
      <c r="E56" s="122" t="e">
        <f t="shared" si="3"/>
        <v>#REF!</v>
      </c>
      <c r="F56" s="41" t="e">
        <f>Tree!#REF!</f>
        <v>#REF!</v>
      </c>
      <c r="G56" s="122" t="e">
        <f t="shared" si="4"/>
        <v>#REF!</v>
      </c>
      <c r="H56" s="79" t="e">
        <f>INDEX(Tree!#REF!,MATCH($J56,Tree!#REF!,0))</f>
        <v>#REF!</v>
      </c>
      <c r="I56" s="100" t="e">
        <f t="shared" si="5"/>
        <v>#REF!</v>
      </c>
      <c r="J56" s="80" t="s">
        <v>24</v>
      </c>
      <c r="K56" s="90" t="e">
        <f>INDEX(Tree!#REF!,MATCH($J56,Tree!#REF!,0))</f>
        <v>#REF!</v>
      </c>
      <c r="L56" s="104" t="e">
        <f t="shared" si="19"/>
        <v>#REF!</v>
      </c>
      <c r="M56" s="102" t="e">
        <f>'Example calcs 2000'!N56*0.95</f>
        <v>#REF!</v>
      </c>
      <c r="N56" s="100" t="e">
        <f t="shared" si="6"/>
        <v>#REF!</v>
      </c>
      <c r="O56" s="102" t="str">
        <f t="shared" si="7"/>
        <v/>
      </c>
      <c r="P56" s="102" t="e">
        <f t="shared" si="8"/>
        <v>#REF!</v>
      </c>
      <c r="Q56" s="90" t="s">
        <v>31</v>
      </c>
      <c r="R56" s="39">
        <f t="shared" si="9"/>
        <v>0</v>
      </c>
      <c r="S56" s="90" t="e">
        <f>INDEX(Tree!#REF!,MATCH($Q56,Tree!#REF!,0)+MATCH(Tree!#REF!,Tree!#REF!,0)-1)</f>
        <v>#REF!</v>
      </c>
      <c r="T56" s="104" t="e">
        <f t="shared" si="10"/>
        <v>#REF!</v>
      </c>
      <c r="U56" s="102" t="e">
        <f>'Example calcs 2000'!S56*0.8</f>
        <v>#REF!</v>
      </c>
      <c r="V56" s="100" t="e">
        <f t="shared" si="11"/>
        <v>#REF!</v>
      </c>
      <c r="W56" s="102" t="str">
        <f t="shared" si="12"/>
        <v/>
      </c>
      <c r="X56" s="102" t="e">
        <f t="shared" si="1"/>
        <v>#REF!</v>
      </c>
      <c r="Y56" s="80" t="s">
        <v>33</v>
      </c>
      <c r="Z56" s="39">
        <f t="shared" si="13"/>
        <v>0</v>
      </c>
      <c r="AA56" s="80" t="e">
        <f>Tree!#REF!</f>
        <v>#REF!</v>
      </c>
      <c r="AB56" s="80"/>
      <c r="AC56" s="104" t="e">
        <f>X56*AA56</f>
        <v>#REF!</v>
      </c>
      <c r="AD56" s="102" t="e">
        <f>'Example calcs 2000'!Y56*0.8</f>
        <v>#REF!</v>
      </c>
      <c r="AE56" s="100" t="e">
        <f t="shared" si="14"/>
        <v>#REF!</v>
      </c>
      <c r="AF56" s="102" t="str">
        <f t="shared" si="18"/>
        <v/>
      </c>
      <c r="AG56" s="102" t="e">
        <f t="shared" si="2"/>
        <v>#REF!</v>
      </c>
      <c r="AH56" s="80" t="s">
        <v>117</v>
      </c>
      <c r="AI56" s="39">
        <f t="shared" si="15"/>
        <v>1</v>
      </c>
      <c r="AJ56" s="80" t="e">
        <f>Tree!#REF!</f>
        <v>#REF!</v>
      </c>
      <c r="AK56" s="80"/>
      <c r="AL56" s="91" t="e">
        <f t="shared" si="16"/>
        <v>#REF!</v>
      </c>
      <c r="AM56" s="80" t="e">
        <f t="shared" si="17"/>
        <v>#REF!</v>
      </c>
      <c r="AX56" s="126"/>
    </row>
    <row r="57" spans="3:50" s="72" customFormat="1" x14ac:dyDescent="0.25">
      <c r="C57" s="121" t="e">
        <f>Tree!#REF!</f>
        <v>#REF!</v>
      </c>
      <c r="D57" s="41" t="e">
        <f>Tree!#REF!</f>
        <v>#REF!</v>
      </c>
      <c r="E57" s="122" t="e">
        <f t="shared" si="3"/>
        <v>#REF!</v>
      </c>
      <c r="F57" s="41" t="e">
        <f>Tree!#REF!</f>
        <v>#REF!</v>
      </c>
      <c r="G57" s="122" t="e">
        <f t="shared" si="4"/>
        <v>#REF!</v>
      </c>
      <c r="H57" s="79" t="e">
        <f>INDEX(Tree!#REF!,MATCH($J57,Tree!#REF!,0))</f>
        <v>#REF!</v>
      </c>
      <c r="I57" s="100" t="e">
        <f t="shared" si="5"/>
        <v>#REF!</v>
      </c>
      <c r="J57" s="80" t="s">
        <v>24</v>
      </c>
      <c r="K57" s="90" t="e">
        <f>INDEX(Tree!#REF!,MATCH($J57,Tree!#REF!,0))</f>
        <v>#REF!</v>
      </c>
      <c r="L57" s="104" t="e">
        <f t="shared" si="19"/>
        <v>#REF!</v>
      </c>
      <c r="M57" s="102" t="e">
        <f>'Example calcs 2000'!N57*0.95</f>
        <v>#REF!</v>
      </c>
      <c r="N57" s="100" t="e">
        <f t="shared" si="6"/>
        <v>#REF!</v>
      </c>
      <c r="O57" s="102" t="str">
        <f t="shared" si="7"/>
        <v/>
      </c>
      <c r="P57" s="102" t="e">
        <f t="shared" si="8"/>
        <v>#REF!</v>
      </c>
      <c r="Q57" s="90" t="s">
        <v>31</v>
      </c>
      <c r="R57" s="39">
        <f t="shared" si="9"/>
        <v>0</v>
      </c>
      <c r="S57" s="90" t="e">
        <f>INDEX(Tree!#REF!,MATCH($Q57,Tree!#REF!,0)+MATCH(Tree!#REF!,Tree!#REF!,0)-1)</f>
        <v>#REF!</v>
      </c>
      <c r="T57" s="104" t="e">
        <f t="shared" si="10"/>
        <v>#REF!</v>
      </c>
      <c r="U57" s="102" t="e">
        <f>'Example calcs 2000'!S57*0.8</f>
        <v>#REF!</v>
      </c>
      <c r="V57" s="100" t="e">
        <f t="shared" si="11"/>
        <v>#REF!</v>
      </c>
      <c r="W57" s="102" t="str">
        <f t="shared" si="12"/>
        <v/>
      </c>
      <c r="X57" s="102" t="e">
        <f t="shared" si="1"/>
        <v>#REF!</v>
      </c>
      <c r="Y57" s="80" t="s">
        <v>33</v>
      </c>
      <c r="Z57" s="39">
        <f t="shared" si="13"/>
        <v>0</v>
      </c>
      <c r="AA57" s="80" t="e">
        <f>Tree!#REF!</f>
        <v>#REF!</v>
      </c>
      <c r="AB57" s="80"/>
      <c r="AC57" s="104" t="e">
        <f>X57*AA57</f>
        <v>#REF!</v>
      </c>
      <c r="AD57" s="102" t="e">
        <f>'Example calcs 2000'!Y57*0.8</f>
        <v>#REF!</v>
      </c>
      <c r="AE57" s="100" t="e">
        <f t="shared" si="14"/>
        <v>#REF!</v>
      </c>
      <c r="AF57" s="102" t="str">
        <f t="shared" si="18"/>
        <v/>
      </c>
      <c r="AG57" s="102" t="e">
        <f t="shared" si="2"/>
        <v>#REF!</v>
      </c>
      <c r="AH57" s="80" t="s">
        <v>52</v>
      </c>
      <c r="AI57" s="39">
        <f t="shared" si="15"/>
        <v>1</v>
      </c>
      <c r="AJ57" s="80"/>
      <c r="AK57" s="80" t="e">
        <f>Tree!#REF!</f>
        <v>#REF!</v>
      </c>
      <c r="AL57" s="91" t="e">
        <f t="shared" si="16"/>
        <v>#REF!</v>
      </c>
      <c r="AM57" s="80" t="e">
        <f t="shared" si="17"/>
        <v>#REF!</v>
      </c>
      <c r="AX57" s="126"/>
    </row>
    <row r="58" spans="3:50" s="72" customFormat="1" x14ac:dyDescent="0.25">
      <c r="C58" s="121" t="e">
        <f>Tree!#REF!</f>
        <v>#REF!</v>
      </c>
      <c r="D58" s="41" t="e">
        <f>Tree!#REF!</f>
        <v>#REF!</v>
      </c>
      <c r="E58" s="122" t="e">
        <f t="shared" si="3"/>
        <v>#REF!</v>
      </c>
      <c r="F58" s="41" t="e">
        <f>Tree!#REF!</f>
        <v>#REF!</v>
      </c>
      <c r="G58" s="122" t="e">
        <f t="shared" si="4"/>
        <v>#REF!</v>
      </c>
      <c r="H58" s="79" t="e">
        <f>INDEX(Tree!#REF!,MATCH($J58,Tree!#REF!,0))</f>
        <v>#REF!</v>
      </c>
      <c r="I58" s="100" t="e">
        <f t="shared" si="5"/>
        <v>#REF!</v>
      </c>
      <c r="J58" s="80" t="s">
        <v>24</v>
      </c>
      <c r="K58" s="90" t="e">
        <f>INDEX(Tree!#REF!,MATCH($J58,Tree!#REF!,0))</f>
        <v>#REF!</v>
      </c>
      <c r="L58" s="104" t="e">
        <f t="shared" si="19"/>
        <v>#REF!</v>
      </c>
      <c r="M58" s="102" t="e">
        <f>'Example calcs 2000'!N58*0.95</f>
        <v>#REF!</v>
      </c>
      <c r="N58" s="100" t="e">
        <f t="shared" si="6"/>
        <v>#REF!</v>
      </c>
      <c r="O58" s="102" t="str">
        <f t="shared" si="7"/>
        <v/>
      </c>
      <c r="P58" s="102" t="e">
        <f t="shared" si="8"/>
        <v>#REF!</v>
      </c>
      <c r="Q58" s="90" t="s">
        <v>31</v>
      </c>
      <c r="R58" s="39">
        <f t="shared" si="9"/>
        <v>0</v>
      </c>
      <c r="S58" s="90" t="e">
        <f>INDEX(Tree!#REF!,MATCH($Q58,Tree!#REF!,0)+MATCH(Tree!#REF!,Tree!#REF!,0)-1)</f>
        <v>#REF!</v>
      </c>
      <c r="T58" s="104" t="e">
        <f t="shared" si="10"/>
        <v>#REF!</v>
      </c>
      <c r="U58" s="102" t="e">
        <f>'Example calcs 2000'!S58*0.8</f>
        <v>#REF!</v>
      </c>
      <c r="V58" s="100" t="e">
        <f t="shared" si="11"/>
        <v>#REF!</v>
      </c>
      <c r="W58" s="102" t="str">
        <f t="shared" si="12"/>
        <v/>
      </c>
      <c r="X58" s="102" t="e">
        <f t="shared" si="1"/>
        <v>#REF!</v>
      </c>
      <c r="Y58" s="80" t="s">
        <v>33</v>
      </c>
      <c r="Z58" s="39">
        <f t="shared" si="13"/>
        <v>0</v>
      </c>
      <c r="AA58" s="80" t="e">
        <f>Tree!#REF!</f>
        <v>#REF!</v>
      </c>
      <c r="AB58" s="80"/>
      <c r="AC58" s="104" t="e">
        <f>X58*AA58</f>
        <v>#REF!</v>
      </c>
      <c r="AD58" s="102" t="e">
        <f>'Example calcs 2000'!Y58*0.8</f>
        <v>#REF!</v>
      </c>
      <c r="AE58" s="100" t="e">
        <f t="shared" si="14"/>
        <v>#REF!</v>
      </c>
      <c r="AF58" s="102" t="str">
        <f t="shared" si="18"/>
        <v/>
      </c>
      <c r="AG58" s="102" t="e">
        <f t="shared" si="2"/>
        <v>#REF!</v>
      </c>
      <c r="AH58" s="80" t="s">
        <v>53</v>
      </c>
      <c r="AI58" s="39">
        <f t="shared" si="15"/>
        <v>1</v>
      </c>
      <c r="AJ58" s="80"/>
      <c r="AK58" s="80" t="e">
        <f>Tree!#REF!</f>
        <v>#REF!</v>
      </c>
      <c r="AL58" s="91" t="e">
        <f t="shared" si="16"/>
        <v>#REF!</v>
      </c>
      <c r="AM58" s="80" t="e">
        <f t="shared" si="17"/>
        <v>#REF!</v>
      </c>
    </row>
    <row r="59" spans="3:50" s="72" customFormat="1" x14ac:dyDescent="0.25">
      <c r="C59" s="121" t="e">
        <f>Tree!#REF!</f>
        <v>#REF!</v>
      </c>
      <c r="D59" s="41" t="e">
        <f>Tree!#REF!</f>
        <v>#REF!</v>
      </c>
      <c r="E59" s="122" t="e">
        <f t="shared" si="3"/>
        <v>#REF!</v>
      </c>
      <c r="F59" s="41" t="e">
        <f>Tree!#REF!</f>
        <v>#REF!</v>
      </c>
      <c r="G59" s="122" t="e">
        <f t="shared" si="4"/>
        <v>#REF!</v>
      </c>
      <c r="H59" s="79" t="e">
        <f>INDEX(Tree!#REF!,MATCH($J59,Tree!#REF!,0))</f>
        <v>#REF!</v>
      </c>
      <c r="I59" s="100" t="e">
        <f t="shared" si="5"/>
        <v>#REF!</v>
      </c>
      <c r="J59" s="80" t="s">
        <v>24</v>
      </c>
      <c r="K59" s="90" t="e">
        <f>INDEX(Tree!#REF!,MATCH($J59,Tree!#REF!,0))</f>
        <v>#REF!</v>
      </c>
      <c r="L59" s="104" t="e">
        <f t="shared" si="19"/>
        <v>#REF!</v>
      </c>
      <c r="M59" s="102" t="e">
        <f>'Example calcs 2000'!N59*0.95</f>
        <v>#REF!</v>
      </c>
      <c r="N59" s="100" t="e">
        <f t="shared" si="6"/>
        <v>#REF!</v>
      </c>
      <c r="O59" s="102" t="str">
        <f t="shared" si="7"/>
        <v/>
      </c>
      <c r="P59" s="102" t="e">
        <f t="shared" si="8"/>
        <v>#REF!</v>
      </c>
      <c r="Q59" s="90" t="s">
        <v>27</v>
      </c>
      <c r="R59" s="39">
        <f t="shared" si="9"/>
        <v>1</v>
      </c>
      <c r="S59" s="90" t="e">
        <f>INDEX(Tree!#REF!,MATCH($Q59,Tree!#REF!,0)+MATCH(Tree!#REF!,Tree!#REF!,0)-1)</f>
        <v>#REF!</v>
      </c>
      <c r="T59" s="104" t="e">
        <f t="shared" si="10"/>
        <v>#REF!</v>
      </c>
      <c r="U59" s="102" t="e">
        <f>'Example calcs 2000'!S59*0.8</f>
        <v>#REF!</v>
      </c>
      <c r="V59" s="100" t="e">
        <f t="shared" si="11"/>
        <v>#REF!</v>
      </c>
      <c r="W59" s="102" t="str">
        <f t="shared" si="12"/>
        <v/>
      </c>
      <c r="X59" s="102" t="e">
        <f t="shared" si="1"/>
        <v>#REF!</v>
      </c>
      <c r="Y59" s="80" t="s">
        <v>32</v>
      </c>
      <c r="Z59" s="39">
        <f t="shared" si="13"/>
        <v>1</v>
      </c>
      <c r="AA59" s="80"/>
      <c r="AB59" s="80" t="e">
        <f>Tree!#REF!</f>
        <v>#REF!</v>
      </c>
      <c r="AC59" s="104"/>
      <c r="AD59" s="102">
        <f>'Example calcs 2000'!Y59*0.8</f>
        <v>0</v>
      </c>
      <c r="AE59" s="100" t="e">
        <f t="shared" si="14"/>
        <v>#REF!</v>
      </c>
      <c r="AF59" s="102" t="str">
        <f t="shared" si="18"/>
        <v/>
      </c>
      <c r="AG59" s="102">
        <f t="shared" si="2"/>
        <v>0</v>
      </c>
      <c r="AH59" s="80"/>
      <c r="AI59" s="39">
        <f t="shared" si="15"/>
        <v>1</v>
      </c>
      <c r="AJ59" s="80"/>
      <c r="AK59" s="80"/>
      <c r="AL59" s="91" t="e">
        <f t="shared" si="16"/>
        <v>#REF!</v>
      </c>
      <c r="AM59" s="80">
        <f t="shared" si="17"/>
        <v>0</v>
      </c>
    </row>
    <row r="60" spans="3:50" s="72" customFormat="1" x14ac:dyDescent="0.25">
      <c r="C60" s="121" t="e">
        <f>Tree!#REF!</f>
        <v>#REF!</v>
      </c>
      <c r="D60" s="41" t="e">
        <f>Tree!#REF!</f>
        <v>#REF!</v>
      </c>
      <c r="E60" s="122" t="e">
        <f t="shared" si="3"/>
        <v>#REF!</v>
      </c>
      <c r="F60" s="41" t="e">
        <f>Tree!#REF!</f>
        <v>#REF!</v>
      </c>
      <c r="G60" s="122" t="e">
        <f t="shared" si="4"/>
        <v>#REF!</v>
      </c>
      <c r="H60" s="79" t="e">
        <f>INDEX(Tree!#REF!,MATCH($J60,Tree!#REF!,0))</f>
        <v>#REF!</v>
      </c>
      <c r="I60" s="100" t="e">
        <f t="shared" si="5"/>
        <v>#REF!</v>
      </c>
      <c r="J60" s="80" t="s">
        <v>24</v>
      </c>
      <c r="K60" s="90" t="e">
        <f>INDEX(Tree!#REF!,MATCH($J60,Tree!#REF!,0))</f>
        <v>#REF!</v>
      </c>
      <c r="L60" s="104" t="e">
        <f t="shared" si="19"/>
        <v>#REF!</v>
      </c>
      <c r="M60" s="102" t="e">
        <f>'Example calcs 2000'!N60*0.95</f>
        <v>#REF!</v>
      </c>
      <c r="N60" s="100" t="e">
        <f t="shared" si="6"/>
        <v>#REF!</v>
      </c>
      <c r="O60" s="102" t="str">
        <f t="shared" si="7"/>
        <v/>
      </c>
      <c r="P60" s="102" t="e">
        <f t="shared" si="8"/>
        <v>#REF!</v>
      </c>
      <c r="Q60" s="90" t="s">
        <v>27</v>
      </c>
      <c r="R60" s="39">
        <f t="shared" si="9"/>
        <v>0</v>
      </c>
      <c r="S60" s="90" t="e">
        <f>INDEX(Tree!#REF!,MATCH($Q60,Tree!#REF!,0)+MATCH(Tree!#REF!,Tree!#REF!,0)-1)</f>
        <v>#REF!</v>
      </c>
      <c r="T60" s="104" t="e">
        <f t="shared" si="10"/>
        <v>#REF!</v>
      </c>
      <c r="U60" s="102" t="e">
        <f>'Example calcs 2000'!S60*0.8</f>
        <v>#REF!</v>
      </c>
      <c r="V60" s="100" t="e">
        <f t="shared" si="11"/>
        <v>#REF!</v>
      </c>
      <c r="W60" s="102" t="str">
        <f t="shared" si="12"/>
        <v/>
      </c>
      <c r="X60" s="102" t="e">
        <f t="shared" si="1"/>
        <v>#REF!</v>
      </c>
      <c r="Y60" s="80" t="s">
        <v>33</v>
      </c>
      <c r="Z60" s="39">
        <f t="shared" si="13"/>
        <v>1</v>
      </c>
      <c r="AA60" s="80" t="e">
        <f>Tree!#REF!</f>
        <v>#REF!</v>
      </c>
      <c r="AB60" s="80"/>
      <c r="AC60" s="104" t="e">
        <f>X60*AA60</f>
        <v>#REF!</v>
      </c>
      <c r="AD60" s="102" t="e">
        <f>'Example calcs 2000'!Y60*0.8</f>
        <v>#REF!</v>
      </c>
      <c r="AE60" s="100" t="e">
        <f t="shared" si="14"/>
        <v>#REF!</v>
      </c>
      <c r="AF60" s="102" t="str">
        <f t="shared" si="18"/>
        <v/>
      </c>
      <c r="AG60" s="102" t="e">
        <f t="shared" si="2"/>
        <v>#REF!</v>
      </c>
      <c r="AH60" s="80" t="s">
        <v>54</v>
      </c>
      <c r="AI60" s="39">
        <f t="shared" si="15"/>
        <v>1</v>
      </c>
      <c r="AJ60" s="80" t="e">
        <f>Tree!#REF!</f>
        <v>#REF!</v>
      </c>
      <c r="AK60" s="80"/>
      <c r="AL60" s="91" t="e">
        <f t="shared" si="16"/>
        <v>#REF!</v>
      </c>
      <c r="AM60" s="80" t="e">
        <f t="shared" si="17"/>
        <v>#REF!</v>
      </c>
    </row>
    <row r="61" spans="3:50" s="72" customFormat="1" x14ac:dyDescent="0.25">
      <c r="C61" s="121" t="e">
        <f>Tree!#REF!</f>
        <v>#REF!</v>
      </c>
      <c r="D61" s="41" t="e">
        <f>Tree!#REF!</f>
        <v>#REF!</v>
      </c>
      <c r="E61" s="122" t="e">
        <f t="shared" si="3"/>
        <v>#REF!</v>
      </c>
      <c r="F61" s="41" t="e">
        <f>Tree!#REF!</f>
        <v>#REF!</v>
      </c>
      <c r="G61" s="122" t="e">
        <f t="shared" si="4"/>
        <v>#REF!</v>
      </c>
      <c r="H61" s="79" t="e">
        <f>INDEX(Tree!#REF!,MATCH($J61,Tree!#REF!,0))</f>
        <v>#REF!</v>
      </c>
      <c r="I61" s="100" t="e">
        <f t="shared" si="5"/>
        <v>#REF!</v>
      </c>
      <c r="J61" s="80" t="s">
        <v>24</v>
      </c>
      <c r="K61" s="90" t="e">
        <f>INDEX(Tree!#REF!,MATCH($J61,Tree!#REF!,0))</f>
        <v>#REF!</v>
      </c>
      <c r="L61" s="104" t="e">
        <f t="shared" si="19"/>
        <v>#REF!</v>
      </c>
      <c r="M61" s="102" t="e">
        <f>'Example calcs 2000'!N61*0.95</f>
        <v>#REF!</v>
      </c>
      <c r="N61" s="100" t="e">
        <f t="shared" si="6"/>
        <v>#REF!</v>
      </c>
      <c r="O61" s="102" t="str">
        <f t="shared" si="7"/>
        <v/>
      </c>
      <c r="P61" s="102" t="e">
        <f t="shared" si="8"/>
        <v>#REF!</v>
      </c>
      <c r="Q61" s="90" t="s">
        <v>27</v>
      </c>
      <c r="R61" s="39">
        <f t="shared" si="9"/>
        <v>0</v>
      </c>
      <c r="S61" s="90" t="e">
        <f>INDEX(Tree!#REF!,MATCH($Q61,Tree!#REF!,0)+MATCH(Tree!#REF!,Tree!#REF!,0)-1)</f>
        <v>#REF!</v>
      </c>
      <c r="T61" s="104" t="e">
        <f t="shared" si="10"/>
        <v>#REF!</v>
      </c>
      <c r="U61" s="102" t="e">
        <f>'Example calcs 2000'!S61*0.8</f>
        <v>#REF!</v>
      </c>
      <c r="V61" s="100" t="e">
        <f t="shared" si="11"/>
        <v>#REF!</v>
      </c>
      <c r="W61" s="102" t="str">
        <f t="shared" si="12"/>
        <v/>
      </c>
      <c r="X61" s="102" t="e">
        <f t="shared" si="1"/>
        <v>#REF!</v>
      </c>
      <c r="Y61" s="80" t="s">
        <v>33</v>
      </c>
      <c r="Z61" s="39">
        <f t="shared" si="13"/>
        <v>0</v>
      </c>
      <c r="AA61" s="80" t="e">
        <f>Tree!#REF!</f>
        <v>#REF!</v>
      </c>
      <c r="AB61" s="80"/>
      <c r="AC61" s="104" t="e">
        <f>X61*AA61</f>
        <v>#REF!</v>
      </c>
      <c r="AD61" s="102" t="e">
        <f>'Example calcs 2000'!Y61*0.8</f>
        <v>#REF!</v>
      </c>
      <c r="AE61" s="100" t="e">
        <f t="shared" si="14"/>
        <v>#REF!</v>
      </c>
      <c r="AF61" s="102" t="str">
        <f t="shared" si="18"/>
        <v/>
      </c>
      <c r="AG61" s="102" t="e">
        <f t="shared" si="2"/>
        <v>#REF!</v>
      </c>
      <c r="AH61" s="80" t="s">
        <v>117</v>
      </c>
      <c r="AI61" s="39">
        <f t="shared" si="15"/>
        <v>1</v>
      </c>
      <c r="AJ61" s="80" t="e">
        <f>Tree!#REF!</f>
        <v>#REF!</v>
      </c>
      <c r="AK61" s="80"/>
      <c r="AL61" s="91" t="e">
        <f t="shared" si="16"/>
        <v>#REF!</v>
      </c>
      <c r="AM61" s="80" t="e">
        <f t="shared" si="17"/>
        <v>#REF!</v>
      </c>
    </row>
    <row r="62" spans="3:50" s="72" customFormat="1" x14ac:dyDescent="0.25">
      <c r="C62" s="121" t="e">
        <f>Tree!#REF!</f>
        <v>#REF!</v>
      </c>
      <c r="D62" s="41" t="e">
        <f>Tree!#REF!</f>
        <v>#REF!</v>
      </c>
      <c r="E62" s="122" t="e">
        <f t="shared" si="3"/>
        <v>#REF!</v>
      </c>
      <c r="F62" s="41" t="e">
        <f>Tree!#REF!</f>
        <v>#REF!</v>
      </c>
      <c r="G62" s="122" t="e">
        <f t="shared" si="4"/>
        <v>#REF!</v>
      </c>
      <c r="H62" s="79" t="e">
        <f>INDEX(Tree!#REF!,MATCH($J62,Tree!#REF!,0))</f>
        <v>#REF!</v>
      </c>
      <c r="I62" s="100" t="e">
        <f t="shared" si="5"/>
        <v>#REF!</v>
      </c>
      <c r="J62" s="80" t="s">
        <v>24</v>
      </c>
      <c r="K62" s="90" t="e">
        <f>INDEX(Tree!#REF!,MATCH($J62,Tree!#REF!,0))</f>
        <v>#REF!</v>
      </c>
      <c r="L62" s="104" t="e">
        <f t="shared" si="19"/>
        <v>#REF!</v>
      </c>
      <c r="M62" s="102" t="e">
        <f>'Example calcs 2000'!N62*0.95</f>
        <v>#REF!</v>
      </c>
      <c r="N62" s="100" t="e">
        <f t="shared" si="6"/>
        <v>#REF!</v>
      </c>
      <c r="O62" s="102" t="str">
        <f t="shared" si="7"/>
        <v/>
      </c>
      <c r="P62" s="102" t="e">
        <f t="shared" si="8"/>
        <v>#REF!</v>
      </c>
      <c r="Q62" s="90" t="s">
        <v>27</v>
      </c>
      <c r="R62" s="39">
        <f t="shared" si="9"/>
        <v>0</v>
      </c>
      <c r="S62" s="90" t="e">
        <f>INDEX(Tree!#REF!,MATCH($Q62,Tree!#REF!,0)+MATCH(Tree!#REF!,Tree!#REF!,0)-1)</f>
        <v>#REF!</v>
      </c>
      <c r="T62" s="104" t="e">
        <f t="shared" si="10"/>
        <v>#REF!</v>
      </c>
      <c r="U62" s="102" t="e">
        <f>'Example calcs 2000'!S62*0.8</f>
        <v>#REF!</v>
      </c>
      <c r="V62" s="100" t="e">
        <f t="shared" si="11"/>
        <v>#REF!</v>
      </c>
      <c r="W62" s="102" t="str">
        <f t="shared" si="12"/>
        <v/>
      </c>
      <c r="X62" s="102" t="e">
        <f t="shared" si="1"/>
        <v>#REF!</v>
      </c>
      <c r="Y62" s="80" t="s">
        <v>33</v>
      </c>
      <c r="Z62" s="39">
        <f t="shared" si="13"/>
        <v>0</v>
      </c>
      <c r="AA62" s="80" t="e">
        <f>Tree!#REF!</f>
        <v>#REF!</v>
      </c>
      <c r="AB62" s="80"/>
      <c r="AC62" s="104" t="e">
        <f>X62*AA62</f>
        <v>#REF!</v>
      </c>
      <c r="AD62" s="102" t="e">
        <f>'Example calcs 2000'!Y62*0.8</f>
        <v>#REF!</v>
      </c>
      <c r="AE62" s="100" t="e">
        <f t="shared" si="14"/>
        <v>#REF!</v>
      </c>
      <c r="AF62" s="102" t="str">
        <f t="shared" si="18"/>
        <v/>
      </c>
      <c r="AG62" s="102" t="e">
        <f t="shared" si="2"/>
        <v>#REF!</v>
      </c>
      <c r="AH62" s="80" t="s">
        <v>52</v>
      </c>
      <c r="AI62" s="39">
        <f t="shared" si="15"/>
        <v>1</v>
      </c>
      <c r="AJ62" s="80"/>
      <c r="AK62" s="80" t="e">
        <f>Tree!#REF!</f>
        <v>#REF!</v>
      </c>
      <c r="AL62" s="91" t="e">
        <f t="shared" si="16"/>
        <v>#REF!</v>
      </c>
      <c r="AM62" s="80" t="e">
        <f t="shared" si="17"/>
        <v>#REF!</v>
      </c>
    </row>
    <row r="63" spans="3:50" s="72" customFormat="1" x14ac:dyDescent="0.25">
      <c r="C63" s="121" t="e">
        <f>Tree!#REF!</f>
        <v>#REF!</v>
      </c>
      <c r="D63" s="41" t="e">
        <f>Tree!#REF!</f>
        <v>#REF!</v>
      </c>
      <c r="E63" s="122" t="e">
        <f t="shared" si="3"/>
        <v>#REF!</v>
      </c>
      <c r="F63" s="41" t="e">
        <f>Tree!#REF!</f>
        <v>#REF!</v>
      </c>
      <c r="G63" s="122" t="e">
        <f t="shared" si="4"/>
        <v>#REF!</v>
      </c>
      <c r="H63" s="79" t="e">
        <f>INDEX(Tree!#REF!,MATCH($J63,Tree!#REF!,0))</f>
        <v>#REF!</v>
      </c>
      <c r="I63" s="100" t="e">
        <f t="shared" si="5"/>
        <v>#REF!</v>
      </c>
      <c r="J63" s="80" t="s">
        <v>24</v>
      </c>
      <c r="K63" s="90" t="e">
        <f>INDEX(Tree!#REF!,MATCH($J63,Tree!#REF!,0))</f>
        <v>#REF!</v>
      </c>
      <c r="L63" s="104" t="e">
        <f t="shared" si="19"/>
        <v>#REF!</v>
      </c>
      <c r="M63" s="102" t="e">
        <f>'Example calcs 2000'!N63*0.95</f>
        <v>#REF!</v>
      </c>
      <c r="N63" s="100" t="e">
        <f t="shared" si="6"/>
        <v>#REF!</v>
      </c>
      <c r="O63" s="102" t="str">
        <f t="shared" si="7"/>
        <v/>
      </c>
      <c r="P63" s="102" t="e">
        <f t="shared" si="8"/>
        <v>#REF!</v>
      </c>
      <c r="Q63" s="90" t="s">
        <v>27</v>
      </c>
      <c r="R63" s="39">
        <f t="shared" si="9"/>
        <v>0</v>
      </c>
      <c r="S63" s="90" t="e">
        <f>INDEX(Tree!#REF!,MATCH($Q63,Tree!#REF!,0)+MATCH(Tree!#REF!,Tree!#REF!,0)-1)</f>
        <v>#REF!</v>
      </c>
      <c r="T63" s="104" t="e">
        <f t="shared" si="10"/>
        <v>#REF!</v>
      </c>
      <c r="U63" s="102" t="e">
        <f>'Example calcs 2000'!S63*0.8</f>
        <v>#REF!</v>
      </c>
      <c r="V63" s="100" t="e">
        <f t="shared" si="11"/>
        <v>#REF!</v>
      </c>
      <c r="W63" s="102" t="str">
        <f t="shared" si="12"/>
        <v/>
      </c>
      <c r="X63" s="102" t="e">
        <f t="shared" si="1"/>
        <v>#REF!</v>
      </c>
      <c r="Y63" s="80" t="s">
        <v>33</v>
      </c>
      <c r="Z63" s="39">
        <f t="shared" si="13"/>
        <v>0</v>
      </c>
      <c r="AA63" s="80" t="e">
        <f>Tree!#REF!</f>
        <v>#REF!</v>
      </c>
      <c r="AB63" s="80"/>
      <c r="AC63" s="104" t="e">
        <f>X63*AA63</f>
        <v>#REF!</v>
      </c>
      <c r="AD63" s="102" t="e">
        <f>'Example calcs 2000'!Y63*0.8</f>
        <v>#REF!</v>
      </c>
      <c r="AE63" s="100" t="e">
        <f t="shared" si="14"/>
        <v>#REF!</v>
      </c>
      <c r="AF63" s="102" t="str">
        <f t="shared" si="18"/>
        <v/>
      </c>
      <c r="AG63" s="102" t="e">
        <f t="shared" si="2"/>
        <v>#REF!</v>
      </c>
      <c r="AH63" s="80" t="s">
        <v>53</v>
      </c>
      <c r="AI63" s="39">
        <f t="shared" si="15"/>
        <v>1</v>
      </c>
      <c r="AJ63" s="80"/>
      <c r="AK63" s="80" t="e">
        <f>Tree!#REF!</f>
        <v>#REF!</v>
      </c>
      <c r="AL63" s="91" t="e">
        <f t="shared" si="16"/>
        <v>#REF!</v>
      </c>
      <c r="AM63" s="80" t="e">
        <f t="shared" si="17"/>
        <v>#REF!</v>
      </c>
    </row>
    <row r="64" spans="3:50" s="72" customFormat="1" x14ac:dyDescent="0.25">
      <c r="C64" s="121" t="e">
        <f>Tree!#REF!</f>
        <v>#REF!</v>
      </c>
      <c r="D64" s="41" t="e">
        <f>Tree!#REF!</f>
        <v>#REF!</v>
      </c>
      <c r="E64" s="122" t="e">
        <f t="shared" si="3"/>
        <v>#REF!</v>
      </c>
      <c r="F64" s="41" t="e">
        <f>Tree!#REF!</f>
        <v>#REF!</v>
      </c>
      <c r="G64" s="122" t="e">
        <f t="shared" si="4"/>
        <v>#REF!</v>
      </c>
      <c r="H64" s="79" t="e">
        <f>INDEX(Tree!#REF!,MATCH($J64,Tree!#REF!,0))</f>
        <v>#REF!</v>
      </c>
      <c r="I64" s="100" t="e">
        <f t="shared" si="5"/>
        <v>#REF!</v>
      </c>
      <c r="J64" s="80" t="s">
        <v>24</v>
      </c>
      <c r="K64" s="90" t="e">
        <f>INDEX(Tree!#REF!,MATCH($J64,Tree!#REF!,0))</f>
        <v>#REF!</v>
      </c>
      <c r="L64" s="104" t="e">
        <f t="shared" si="19"/>
        <v>#REF!</v>
      </c>
      <c r="M64" s="102" t="e">
        <f>'Example calcs 2000'!N64*0.95</f>
        <v>#REF!</v>
      </c>
      <c r="N64" s="100" t="e">
        <f t="shared" si="6"/>
        <v>#REF!</v>
      </c>
      <c r="O64" s="102" t="str">
        <f t="shared" si="7"/>
        <v/>
      </c>
      <c r="P64" s="102" t="e">
        <f t="shared" si="8"/>
        <v>#REF!</v>
      </c>
      <c r="Q64" s="90" t="s">
        <v>28</v>
      </c>
      <c r="R64" s="39">
        <f t="shared" si="9"/>
        <v>1</v>
      </c>
      <c r="S64" s="90" t="e">
        <f>INDEX(Tree!#REF!,MATCH($Q64,Tree!#REF!,0)+MATCH(Tree!#REF!,Tree!#REF!,0)-1)</f>
        <v>#REF!</v>
      </c>
      <c r="T64" s="104" t="e">
        <f t="shared" si="10"/>
        <v>#REF!</v>
      </c>
      <c r="U64" s="102" t="e">
        <f>'Example calcs 2000'!S64*0.8</f>
        <v>#REF!</v>
      </c>
      <c r="V64" s="100" t="e">
        <f t="shared" si="11"/>
        <v>#REF!</v>
      </c>
      <c r="W64" s="102" t="str">
        <f t="shared" si="12"/>
        <v/>
      </c>
      <c r="X64" s="102" t="e">
        <f t="shared" si="1"/>
        <v>#REF!</v>
      </c>
      <c r="Y64" s="80" t="s">
        <v>32</v>
      </c>
      <c r="Z64" s="39">
        <f t="shared" si="13"/>
        <v>1</v>
      </c>
      <c r="AA64" s="80"/>
      <c r="AB64" s="80" t="e">
        <f>Tree!#REF!</f>
        <v>#REF!</v>
      </c>
      <c r="AC64" s="104"/>
      <c r="AD64" s="102">
        <f>'Example calcs 2000'!Y64*0.8</f>
        <v>0</v>
      </c>
      <c r="AE64" s="100" t="e">
        <f t="shared" si="14"/>
        <v>#REF!</v>
      </c>
      <c r="AF64" s="102" t="str">
        <f t="shared" si="18"/>
        <v/>
      </c>
      <c r="AG64" s="102">
        <f t="shared" si="2"/>
        <v>0</v>
      </c>
      <c r="AH64" s="80"/>
      <c r="AI64" s="39">
        <f t="shared" si="15"/>
        <v>1</v>
      </c>
      <c r="AJ64" s="80"/>
      <c r="AK64" s="80"/>
      <c r="AL64" s="91" t="e">
        <f t="shared" si="16"/>
        <v>#REF!</v>
      </c>
      <c r="AM64" s="80">
        <f t="shared" si="17"/>
        <v>0</v>
      </c>
    </row>
    <row r="65" spans="3:39" s="72" customFormat="1" x14ac:dyDescent="0.25">
      <c r="C65" s="121" t="e">
        <f>Tree!#REF!</f>
        <v>#REF!</v>
      </c>
      <c r="D65" s="41" t="e">
        <f>Tree!#REF!</f>
        <v>#REF!</v>
      </c>
      <c r="E65" s="122" t="e">
        <f t="shared" si="3"/>
        <v>#REF!</v>
      </c>
      <c r="F65" s="41" t="e">
        <f>Tree!#REF!</f>
        <v>#REF!</v>
      </c>
      <c r="G65" s="122" t="e">
        <f t="shared" si="4"/>
        <v>#REF!</v>
      </c>
      <c r="H65" s="79" t="e">
        <f>INDEX(Tree!#REF!,MATCH($J65,Tree!#REF!,0))</f>
        <v>#REF!</v>
      </c>
      <c r="I65" s="100" t="e">
        <f t="shared" si="5"/>
        <v>#REF!</v>
      </c>
      <c r="J65" s="80" t="s">
        <v>24</v>
      </c>
      <c r="K65" s="90" t="e">
        <f>INDEX(Tree!#REF!,MATCH($J65,Tree!#REF!,0))</f>
        <v>#REF!</v>
      </c>
      <c r="L65" s="104" t="e">
        <f t="shared" si="19"/>
        <v>#REF!</v>
      </c>
      <c r="M65" s="102" t="e">
        <f>'Example calcs 2000'!N65*0.95</f>
        <v>#REF!</v>
      </c>
      <c r="N65" s="100" t="e">
        <f t="shared" si="6"/>
        <v>#REF!</v>
      </c>
      <c r="O65" s="102" t="str">
        <f t="shared" si="7"/>
        <v/>
      </c>
      <c r="P65" s="102" t="e">
        <f t="shared" si="8"/>
        <v>#REF!</v>
      </c>
      <c r="Q65" s="90" t="s">
        <v>28</v>
      </c>
      <c r="R65" s="39">
        <f t="shared" si="9"/>
        <v>0</v>
      </c>
      <c r="S65" s="90" t="e">
        <f>INDEX(Tree!#REF!,MATCH($Q65,Tree!#REF!,0)+MATCH(Tree!#REF!,Tree!#REF!,0)-1)</f>
        <v>#REF!</v>
      </c>
      <c r="T65" s="104" t="e">
        <f t="shared" si="10"/>
        <v>#REF!</v>
      </c>
      <c r="U65" s="102" t="e">
        <f>'Example calcs 2000'!S65*0.8</f>
        <v>#REF!</v>
      </c>
      <c r="V65" s="100" t="e">
        <f t="shared" si="11"/>
        <v>#REF!</v>
      </c>
      <c r="W65" s="102" t="str">
        <f t="shared" si="12"/>
        <v/>
      </c>
      <c r="X65" s="102" t="e">
        <f t="shared" si="1"/>
        <v>#REF!</v>
      </c>
      <c r="Y65" s="80" t="s">
        <v>33</v>
      </c>
      <c r="Z65" s="39">
        <f t="shared" si="13"/>
        <v>1</v>
      </c>
      <c r="AA65" s="80" t="e">
        <f>Tree!#REF!</f>
        <v>#REF!</v>
      </c>
      <c r="AB65" s="80"/>
      <c r="AC65" s="104" t="e">
        <f>X65*AA65</f>
        <v>#REF!</v>
      </c>
      <c r="AD65" s="102" t="e">
        <f>'Example calcs 2000'!Y65*0.8</f>
        <v>#REF!</v>
      </c>
      <c r="AE65" s="100" t="e">
        <f t="shared" si="14"/>
        <v>#REF!</v>
      </c>
      <c r="AF65" s="102" t="str">
        <f t="shared" si="18"/>
        <v/>
      </c>
      <c r="AG65" s="102" t="e">
        <f t="shared" si="2"/>
        <v>#REF!</v>
      </c>
      <c r="AH65" s="80" t="s">
        <v>54</v>
      </c>
      <c r="AI65" s="39">
        <f t="shared" si="15"/>
        <v>1</v>
      </c>
      <c r="AJ65" s="80" t="e">
        <f>Tree!#REF!</f>
        <v>#REF!</v>
      </c>
      <c r="AK65" s="80"/>
      <c r="AL65" s="91" t="e">
        <f t="shared" si="16"/>
        <v>#REF!</v>
      </c>
      <c r="AM65" s="80" t="e">
        <f t="shared" si="17"/>
        <v>#REF!</v>
      </c>
    </row>
    <row r="66" spans="3:39" s="72" customFormat="1" x14ac:dyDescent="0.25">
      <c r="C66" s="121" t="e">
        <f>Tree!#REF!</f>
        <v>#REF!</v>
      </c>
      <c r="D66" s="41" t="e">
        <f>Tree!#REF!</f>
        <v>#REF!</v>
      </c>
      <c r="E66" s="122" t="e">
        <f t="shared" si="3"/>
        <v>#REF!</v>
      </c>
      <c r="F66" s="41" t="e">
        <f>Tree!#REF!</f>
        <v>#REF!</v>
      </c>
      <c r="G66" s="122" t="e">
        <f t="shared" si="4"/>
        <v>#REF!</v>
      </c>
      <c r="H66" s="79" t="e">
        <f>INDEX(Tree!#REF!,MATCH($J66,Tree!#REF!,0))</f>
        <v>#REF!</v>
      </c>
      <c r="I66" s="100" t="e">
        <f t="shared" si="5"/>
        <v>#REF!</v>
      </c>
      <c r="J66" s="80" t="s">
        <v>24</v>
      </c>
      <c r="K66" s="90" t="e">
        <f>INDEX(Tree!#REF!,MATCH($J66,Tree!#REF!,0))</f>
        <v>#REF!</v>
      </c>
      <c r="L66" s="104" t="e">
        <f t="shared" si="19"/>
        <v>#REF!</v>
      </c>
      <c r="M66" s="102" t="e">
        <f>'Example calcs 2000'!N66*0.95</f>
        <v>#REF!</v>
      </c>
      <c r="N66" s="100" t="e">
        <f t="shared" si="6"/>
        <v>#REF!</v>
      </c>
      <c r="O66" s="102" t="str">
        <f t="shared" si="7"/>
        <v/>
      </c>
      <c r="P66" s="102" t="e">
        <f t="shared" si="8"/>
        <v>#REF!</v>
      </c>
      <c r="Q66" s="90" t="s">
        <v>28</v>
      </c>
      <c r="R66" s="39">
        <f t="shared" si="9"/>
        <v>0</v>
      </c>
      <c r="S66" s="90" t="e">
        <f>INDEX(Tree!#REF!,MATCH($Q66,Tree!#REF!,0)+MATCH(Tree!#REF!,Tree!#REF!,0)-1)</f>
        <v>#REF!</v>
      </c>
      <c r="T66" s="104" t="e">
        <f t="shared" si="10"/>
        <v>#REF!</v>
      </c>
      <c r="U66" s="102" t="e">
        <f>'Example calcs 2000'!S66*0.8</f>
        <v>#REF!</v>
      </c>
      <c r="V66" s="100" t="e">
        <f t="shared" si="11"/>
        <v>#REF!</v>
      </c>
      <c r="W66" s="102" t="str">
        <f t="shared" si="12"/>
        <v/>
      </c>
      <c r="X66" s="102" t="e">
        <f t="shared" si="1"/>
        <v>#REF!</v>
      </c>
      <c r="Y66" s="80" t="s">
        <v>33</v>
      </c>
      <c r="Z66" s="39">
        <f t="shared" si="13"/>
        <v>0</v>
      </c>
      <c r="AA66" s="80" t="e">
        <f>Tree!#REF!</f>
        <v>#REF!</v>
      </c>
      <c r="AB66" s="80"/>
      <c r="AC66" s="104" t="e">
        <f>X66*AA66</f>
        <v>#REF!</v>
      </c>
      <c r="AD66" s="102" t="e">
        <f>'Example calcs 2000'!Y66*0.8</f>
        <v>#REF!</v>
      </c>
      <c r="AE66" s="100" t="e">
        <f t="shared" si="14"/>
        <v>#REF!</v>
      </c>
      <c r="AF66" s="102" t="str">
        <f t="shared" si="18"/>
        <v/>
      </c>
      <c r="AG66" s="102" t="e">
        <f t="shared" si="2"/>
        <v>#REF!</v>
      </c>
      <c r="AH66" s="80" t="s">
        <v>117</v>
      </c>
      <c r="AI66" s="39">
        <f t="shared" si="15"/>
        <v>1</v>
      </c>
      <c r="AJ66" s="80" t="e">
        <f>Tree!#REF!</f>
        <v>#REF!</v>
      </c>
      <c r="AK66" s="80"/>
      <c r="AL66" s="91" t="e">
        <f t="shared" si="16"/>
        <v>#REF!</v>
      </c>
      <c r="AM66" s="80" t="e">
        <f t="shared" si="17"/>
        <v>#REF!</v>
      </c>
    </row>
    <row r="67" spans="3:39" s="72" customFormat="1" x14ac:dyDescent="0.25">
      <c r="C67" s="121" t="e">
        <f>Tree!#REF!</f>
        <v>#REF!</v>
      </c>
      <c r="D67" s="41" t="e">
        <f>Tree!#REF!</f>
        <v>#REF!</v>
      </c>
      <c r="E67" s="122" t="e">
        <f t="shared" si="3"/>
        <v>#REF!</v>
      </c>
      <c r="F67" s="41" t="e">
        <f>Tree!#REF!</f>
        <v>#REF!</v>
      </c>
      <c r="G67" s="122" t="e">
        <f t="shared" si="4"/>
        <v>#REF!</v>
      </c>
      <c r="H67" s="79" t="e">
        <f>INDEX(Tree!#REF!,MATCH($J67,Tree!#REF!,0))</f>
        <v>#REF!</v>
      </c>
      <c r="I67" s="100" t="e">
        <f t="shared" si="5"/>
        <v>#REF!</v>
      </c>
      <c r="J67" s="80" t="s">
        <v>24</v>
      </c>
      <c r="K67" s="90" t="e">
        <f>INDEX(Tree!#REF!,MATCH($J67,Tree!#REF!,0))</f>
        <v>#REF!</v>
      </c>
      <c r="L67" s="104" t="e">
        <f t="shared" si="19"/>
        <v>#REF!</v>
      </c>
      <c r="M67" s="102" t="e">
        <f>'Example calcs 2000'!N67*0.95</f>
        <v>#REF!</v>
      </c>
      <c r="N67" s="100" t="e">
        <f t="shared" si="6"/>
        <v>#REF!</v>
      </c>
      <c r="O67" s="102" t="str">
        <f t="shared" si="7"/>
        <v/>
      </c>
      <c r="P67" s="102" t="e">
        <f t="shared" si="8"/>
        <v>#REF!</v>
      </c>
      <c r="Q67" s="90" t="s">
        <v>28</v>
      </c>
      <c r="R67" s="39">
        <f t="shared" si="9"/>
        <v>0</v>
      </c>
      <c r="S67" s="90" t="e">
        <f>INDEX(Tree!#REF!,MATCH($Q67,Tree!#REF!,0)+MATCH(Tree!#REF!,Tree!#REF!,0)-1)</f>
        <v>#REF!</v>
      </c>
      <c r="T67" s="104" t="e">
        <f t="shared" si="10"/>
        <v>#REF!</v>
      </c>
      <c r="U67" s="102" t="e">
        <f>'Example calcs 2000'!S67*0.8</f>
        <v>#REF!</v>
      </c>
      <c r="V67" s="100" t="e">
        <f t="shared" si="11"/>
        <v>#REF!</v>
      </c>
      <c r="W67" s="102" t="str">
        <f t="shared" si="12"/>
        <v/>
      </c>
      <c r="X67" s="102" t="e">
        <f t="shared" si="1"/>
        <v>#REF!</v>
      </c>
      <c r="Y67" s="80" t="s">
        <v>33</v>
      </c>
      <c r="Z67" s="39">
        <f t="shared" si="13"/>
        <v>0</v>
      </c>
      <c r="AA67" s="80" t="e">
        <f>Tree!#REF!</f>
        <v>#REF!</v>
      </c>
      <c r="AB67" s="80"/>
      <c r="AC67" s="104" t="e">
        <f>X67*AA67</f>
        <v>#REF!</v>
      </c>
      <c r="AD67" s="102" t="e">
        <f>'Example calcs 2000'!Y67*0.8</f>
        <v>#REF!</v>
      </c>
      <c r="AE67" s="100" t="e">
        <f t="shared" si="14"/>
        <v>#REF!</v>
      </c>
      <c r="AF67" s="102" t="str">
        <f t="shared" si="18"/>
        <v/>
      </c>
      <c r="AG67" s="102" t="e">
        <f t="shared" si="2"/>
        <v>#REF!</v>
      </c>
      <c r="AH67" s="80" t="s">
        <v>52</v>
      </c>
      <c r="AI67" s="39">
        <f t="shared" si="15"/>
        <v>1</v>
      </c>
      <c r="AJ67" s="80"/>
      <c r="AK67" s="80" t="e">
        <f>Tree!#REF!</f>
        <v>#REF!</v>
      </c>
      <c r="AL67" s="91" t="e">
        <f t="shared" si="16"/>
        <v>#REF!</v>
      </c>
      <c r="AM67" s="80" t="e">
        <f t="shared" si="17"/>
        <v>#REF!</v>
      </c>
    </row>
    <row r="68" spans="3:39" s="72" customFormat="1" x14ac:dyDescent="0.25">
      <c r="C68" s="121" t="e">
        <f>Tree!#REF!</f>
        <v>#REF!</v>
      </c>
      <c r="D68" s="41" t="e">
        <f>Tree!#REF!</f>
        <v>#REF!</v>
      </c>
      <c r="E68" s="122" t="e">
        <f t="shared" si="3"/>
        <v>#REF!</v>
      </c>
      <c r="F68" s="41" t="e">
        <f>Tree!#REF!</f>
        <v>#REF!</v>
      </c>
      <c r="G68" s="122" t="e">
        <f t="shared" si="4"/>
        <v>#REF!</v>
      </c>
      <c r="H68" s="79" t="e">
        <f>INDEX(Tree!#REF!,MATCH($J68,Tree!#REF!,0))</f>
        <v>#REF!</v>
      </c>
      <c r="I68" s="100" t="e">
        <f t="shared" si="5"/>
        <v>#REF!</v>
      </c>
      <c r="J68" s="80" t="s">
        <v>24</v>
      </c>
      <c r="K68" s="90" t="e">
        <f>INDEX(Tree!#REF!,MATCH($J68,Tree!#REF!,0))</f>
        <v>#REF!</v>
      </c>
      <c r="L68" s="104" t="e">
        <f t="shared" ref="L68:L99" si="20">K68*I68</f>
        <v>#REF!</v>
      </c>
      <c r="M68" s="102" t="e">
        <f>'Example calcs 2000'!N68*0.95</f>
        <v>#REF!</v>
      </c>
      <c r="N68" s="100" t="e">
        <f t="shared" si="6"/>
        <v>#REF!</v>
      </c>
      <c r="O68" s="102" t="str">
        <f t="shared" si="7"/>
        <v/>
      </c>
      <c r="P68" s="102" t="e">
        <f t="shared" si="8"/>
        <v>#REF!</v>
      </c>
      <c r="Q68" s="90" t="s">
        <v>28</v>
      </c>
      <c r="R68" s="39">
        <f t="shared" si="9"/>
        <v>0</v>
      </c>
      <c r="S68" s="90" t="e">
        <f>INDEX(Tree!#REF!,MATCH($Q68,Tree!#REF!,0)+MATCH(Tree!#REF!,Tree!#REF!,0)-1)</f>
        <v>#REF!</v>
      </c>
      <c r="T68" s="104" t="e">
        <f t="shared" si="10"/>
        <v>#REF!</v>
      </c>
      <c r="U68" s="102" t="e">
        <f>'Example calcs 2000'!S68*0.8</f>
        <v>#REF!</v>
      </c>
      <c r="V68" s="100" t="e">
        <f t="shared" si="11"/>
        <v>#REF!</v>
      </c>
      <c r="W68" s="102" t="str">
        <f t="shared" si="12"/>
        <v/>
      </c>
      <c r="X68" s="102" t="e">
        <f t="shared" ref="X68:X103" si="21">IFERROR(V68*W68,0)+U68</f>
        <v>#REF!</v>
      </c>
      <c r="Y68" s="80" t="s">
        <v>33</v>
      </c>
      <c r="Z68" s="39">
        <f t="shared" si="13"/>
        <v>0</v>
      </c>
      <c r="AA68" s="80" t="e">
        <f>Tree!#REF!</f>
        <v>#REF!</v>
      </c>
      <c r="AB68" s="80"/>
      <c r="AC68" s="104" t="e">
        <f>X68*AA68</f>
        <v>#REF!</v>
      </c>
      <c r="AD68" s="102" t="e">
        <f>'Example calcs 2000'!Y68*0.8</f>
        <v>#REF!</v>
      </c>
      <c r="AE68" s="100" t="e">
        <f t="shared" si="14"/>
        <v>#REF!</v>
      </c>
      <c r="AF68" s="102" t="str">
        <f t="shared" si="18"/>
        <v/>
      </c>
      <c r="AG68" s="102" t="e">
        <f t="shared" ref="AG68:AG103" si="22">IFERROR(AE68*AF68,0)+AD68</f>
        <v>#REF!</v>
      </c>
      <c r="AH68" s="80" t="s">
        <v>53</v>
      </c>
      <c r="AI68" s="39">
        <f t="shared" si="15"/>
        <v>1</v>
      </c>
      <c r="AJ68" s="80"/>
      <c r="AK68" s="80" t="e">
        <f>Tree!#REF!</f>
        <v>#REF!</v>
      </c>
      <c r="AL68" s="91" t="e">
        <f t="shared" si="16"/>
        <v>#REF!</v>
      </c>
      <c r="AM68" s="80" t="e">
        <f t="shared" si="17"/>
        <v>#REF!</v>
      </c>
    </row>
    <row r="69" spans="3:39" s="72" customFormat="1" x14ac:dyDescent="0.25">
      <c r="C69" s="121" t="e">
        <f>Tree!#REF!</f>
        <v>#REF!</v>
      </c>
      <c r="D69" s="41" t="e">
        <f>Tree!#REF!</f>
        <v>#REF!</v>
      </c>
      <c r="E69" s="122" t="e">
        <f t="shared" ref="E69:E103" si="23">D69*C69</f>
        <v>#REF!</v>
      </c>
      <c r="F69" s="41" t="e">
        <f>Tree!#REF!</f>
        <v>#REF!</v>
      </c>
      <c r="G69" s="122" t="e">
        <f t="shared" ref="G69:G103" si="24">F69*E69</f>
        <v>#REF!</v>
      </c>
      <c r="H69" s="79" t="e">
        <f>INDEX(Tree!#REF!,MATCH($J69,Tree!#REF!,0))</f>
        <v>#REF!</v>
      </c>
      <c r="I69" s="100" t="e">
        <f t="shared" ref="I69:I103" si="25">G69*H69</f>
        <v>#REF!</v>
      </c>
      <c r="J69" s="80" t="s">
        <v>24</v>
      </c>
      <c r="K69" s="90" t="e">
        <f>INDEX(Tree!#REF!,MATCH($J69,Tree!#REF!,0))</f>
        <v>#REF!</v>
      </c>
      <c r="L69" s="104" t="e">
        <f t="shared" si="20"/>
        <v>#REF!</v>
      </c>
      <c r="M69" s="102" t="e">
        <f>'Example calcs 2000'!N69*0.95</f>
        <v>#REF!</v>
      </c>
      <c r="N69" s="100" t="e">
        <f t="shared" ref="N69:N103" si="26">L69-SUMPRODUCT(M$4:M$103*($J$4:$J$103=$J69)*R$4:R$103)</f>
        <v>#REF!</v>
      </c>
      <c r="O69" s="102" t="str">
        <f t="shared" ref="O69:O103" si="27">IFERROR(INDEX($AQ$4:$AQ$6,MATCH(Q69,$AP$4:$AP$6,0))/SUM($AQ$4:$AQ$6),"")</f>
        <v/>
      </c>
      <c r="P69" s="102" t="e">
        <f t="shared" ref="P69:P103" si="28">IFERROR(N69*O69,0)+M69</f>
        <v>#REF!</v>
      </c>
      <c r="Q69" s="90" t="s">
        <v>30</v>
      </c>
      <c r="R69" s="39">
        <f t="shared" ref="R69:R103" si="29">IF(Q69&lt;&gt;Q68,1,0)</f>
        <v>1</v>
      </c>
      <c r="S69" s="90" t="e">
        <f>INDEX(Tree!#REF!,MATCH($Q69,Tree!#REF!,0)+MATCH(Tree!#REF!,Tree!#REF!,0)-1)</f>
        <v>#REF!</v>
      </c>
      <c r="T69" s="104" t="e">
        <f t="shared" ref="T69:T103" si="30">P69*S69</f>
        <v>#REF!</v>
      </c>
      <c r="U69" s="102" t="e">
        <f>'Example calcs 2000'!S69*0.8</f>
        <v>#REF!</v>
      </c>
      <c r="V69" s="100" t="e">
        <f t="shared" ref="V69:V103" si="31">T69-SUMPRODUCT(U$4:U$103*($J$4:$J$103=$J69)*($Q$4:$Q$103=$Q69)*Z$4:Z$103)</f>
        <v>#REF!</v>
      </c>
      <c r="W69" s="102" t="str">
        <f t="shared" ref="W69:W103" si="32">IFERROR(INDEX($AQ$8:$AQ$9,MATCH(Y69,$AP$8:$AP$9,0))/SUM($AQ$8:$AQ$9),"")</f>
        <v/>
      </c>
      <c r="X69" s="102" t="e">
        <f t="shared" si="21"/>
        <v>#REF!</v>
      </c>
      <c r="Y69" s="80" t="s">
        <v>32</v>
      </c>
      <c r="Z69" s="39">
        <f t="shared" ref="Z69:Z103" si="33">IF(Y69&lt;&gt;Y68,1,0)</f>
        <v>1</v>
      </c>
      <c r="AA69" s="80"/>
      <c r="AB69" s="80" t="e">
        <f>Tree!#REF!</f>
        <v>#REF!</v>
      </c>
      <c r="AC69" s="104"/>
      <c r="AD69" s="102">
        <f>'Example calcs 2000'!Y69*0.8</f>
        <v>0</v>
      </c>
      <c r="AE69" s="100" t="e">
        <f t="shared" ref="AE69:AE103" si="34">AC69-SUMPRODUCT(AD$4:AD$103*($J$4:$J$103=$J69)*($Q$4:$Q$103=$Q69)*($Y$4:$Y$103=$Y69)*AI$4:AI$103)</f>
        <v>#REF!</v>
      </c>
      <c r="AF69" s="102" t="str">
        <f t="shared" ref="AF69:AF103" si="35">IFERROR(INDEX($AQ$11:$AQ$13,MATCH(AH69,$AP$11:$AP$13,0))/SUM($AQ$11:$AQ$13),"")</f>
        <v/>
      </c>
      <c r="AG69" s="102">
        <f t="shared" si="22"/>
        <v>0</v>
      </c>
      <c r="AH69" s="80"/>
      <c r="AI69" s="39">
        <f t="shared" ref="AI69:AI103" si="36">IF(AH69&lt;&gt;AH68,1,0)</f>
        <v>1</v>
      </c>
      <c r="AJ69" s="80"/>
      <c r="AK69" s="80"/>
      <c r="AL69" s="91" t="e">
        <f t="shared" ref="AL69:AL103" si="37">AB69*X69+AJ69*AG69</f>
        <v>#REF!</v>
      </c>
      <c r="AM69" s="80">
        <f t="shared" ref="AM69:AM103" si="38">AK69*AG69</f>
        <v>0</v>
      </c>
    </row>
    <row r="70" spans="3:39" s="72" customFormat="1" x14ac:dyDescent="0.25">
      <c r="C70" s="121" t="e">
        <f>Tree!#REF!</f>
        <v>#REF!</v>
      </c>
      <c r="D70" s="41" t="e">
        <f>Tree!#REF!</f>
        <v>#REF!</v>
      </c>
      <c r="E70" s="122" t="e">
        <f t="shared" si="23"/>
        <v>#REF!</v>
      </c>
      <c r="F70" s="41" t="e">
        <f>Tree!#REF!</f>
        <v>#REF!</v>
      </c>
      <c r="G70" s="122" t="e">
        <f t="shared" si="24"/>
        <v>#REF!</v>
      </c>
      <c r="H70" s="79" t="e">
        <f>INDEX(Tree!#REF!,MATCH($J70,Tree!#REF!,0))</f>
        <v>#REF!</v>
      </c>
      <c r="I70" s="100" t="e">
        <f t="shared" si="25"/>
        <v>#REF!</v>
      </c>
      <c r="J70" s="80" t="s">
        <v>24</v>
      </c>
      <c r="K70" s="90" t="e">
        <f>INDEX(Tree!#REF!,MATCH($J70,Tree!#REF!,0))</f>
        <v>#REF!</v>
      </c>
      <c r="L70" s="104" t="e">
        <f t="shared" si="20"/>
        <v>#REF!</v>
      </c>
      <c r="M70" s="102" t="e">
        <f>'Example calcs 2000'!N70*0.95</f>
        <v>#REF!</v>
      </c>
      <c r="N70" s="100" t="e">
        <f t="shared" si="26"/>
        <v>#REF!</v>
      </c>
      <c r="O70" s="102" t="str">
        <f t="shared" si="27"/>
        <v/>
      </c>
      <c r="P70" s="102" t="e">
        <f t="shared" si="28"/>
        <v>#REF!</v>
      </c>
      <c r="Q70" s="90" t="s">
        <v>30</v>
      </c>
      <c r="R70" s="39">
        <f t="shared" si="29"/>
        <v>0</v>
      </c>
      <c r="S70" s="90" t="e">
        <f>INDEX(Tree!#REF!,MATCH($Q70,Tree!#REF!,0)+MATCH(Tree!#REF!,Tree!#REF!,0)-1)</f>
        <v>#REF!</v>
      </c>
      <c r="T70" s="104" t="e">
        <f t="shared" si="30"/>
        <v>#REF!</v>
      </c>
      <c r="U70" s="102" t="e">
        <f>'Example calcs 2000'!S70*0.8</f>
        <v>#REF!</v>
      </c>
      <c r="V70" s="100" t="e">
        <f t="shared" si="31"/>
        <v>#REF!</v>
      </c>
      <c r="W70" s="102" t="str">
        <f t="shared" si="32"/>
        <v/>
      </c>
      <c r="X70" s="102" t="e">
        <f t="shared" si="21"/>
        <v>#REF!</v>
      </c>
      <c r="Y70" s="80" t="s">
        <v>33</v>
      </c>
      <c r="Z70" s="39">
        <f t="shared" si="33"/>
        <v>1</v>
      </c>
      <c r="AA70" s="80" t="e">
        <f>Tree!#REF!</f>
        <v>#REF!</v>
      </c>
      <c r="AB70" s="80"/>
      <c r="AC70" s="104" t="e">
        <f>X70*AA70</f>
        <v>#REF!</v>
      </c>
      <c r="AD70" s="102" t="e">
        <f>'Example calcs 2000'!Y70*0.8</f>
        <v>#REF!</v>
      </c>
      <c r="AE70" s="100" t="e">
        <f t="shared" si="34"/>
        <v>#REF!</v>
      </c>
      <c r="AF70" s="102" t="str">
        <f t="shared" si="35"/>
        <v/>
      </c>
      <c r="AG70" s="102" t="e">
        <f t="shared" si="22"/>
        <v>#REF!</v>
      </c>
      <c r="AH70" s="80" t="s">
        <v>54</v>
      </c>
      <c r="AI70" s="39">
        <f t="shared" si="36"/>
        <v>1</v>
      </c>
      <c r="AJ70" s="80" t="e">
        <f>Tree!#REF!</f>
        <v>#REF!</v>
      </c>
      <c r="AK70" s="80"/>
      <c r="AL70" s="91" t="e">
        <f t="shared" si="37"/>
        <v>#REF!</v>
      </c>
      <c r="AM70" s="80" t="e">
        <f t="shared" si="38"/>
        <v>#REF!</v>
      </c>
    </row>
    <row r="71" spans="3:39" s="72" customFormat="1" x14ac:dyDescent="0.25">
      <c r="C71" s="121" t="e">
        <f>Tree!#REF!</f>
        <v>#REF!</v>
      </c>
      <c r="D71" s="41" t="e">
        <f>Tree!#REF!</f>
        <v>#REF!</v>
      </c>
      <c r="E71" s="122" t="e">
        <f t="shared" si="23"/>
        <v>#REF!</v>
      </c>
      <c r="F71" s="41" t="e">
        <f>Tree!#REF!</f>
        <v>#REF!</v>
      </c>
      <c r="G71" s="122" t="e">
        <f t="shared" si="24"/>
        <v>#REF!</v>
      </c>
      <c r="H71" s="79" t="e">
        <f>INDEX(Tree!#REF!,MATCH($J71,Tree!#REF!,0))</f>
        <v>#REF!</v>
      </c>
      <c r="I71" s="100" t="e">
        <f t="shared" si="25"/>
        <v>#REF!</v>
      </c>
      <c r="J71" s="80" t="s">
        <v>24</v>
      </c>
      <c r="K71" s="90" t="e">
        <f>INDEX(Tree!#REF!,MATCH($J71,Tree!#REF!,0))</f>
        <v>#REF!</v>
      </c>
      <c r="L71" s="104" t="e">
        <f t="shared" si="20"/>
        <v>#REF!</v>
      </c>
      <c r="M71" s="102" t="e">
        <f>'Example calcs 2000'!N71*0.95</f>
        <v>#REF!</v>
      </c>
      <c r="N71" s="100" t="e">
        <f t="shared" si="26"/>
        <v>#REF!</v>
      </c>
      <c r="O71" s="102" t="str">
        <f t="shared" si="27"/>
        <v/>
      </c>
      <c r="P71" s="102" t="e">
        <f t="shared" si="28"/>
        <v>#REF!</v>
      </c>
      <c r="Q71" s="90" t="s">
        <v>30</v>
      </c>
      <c r="R71" s="39">
        <f t="shared" si="29"/>
        <v>0</v>
      </c>
      <c r="S71" s="90" t="e">
        <f>INDEX(Tree!#REF!,MATCH($Q71,Tree!#REF!,0)+MATCH(Tree!#REF!,Tree!#REF!,0)-1)</f>
        <v>#REF!</v>
      </c>
      <c r="T71" s="104" t="e">
        <f t="shared" si="30"/>
        <v>#REF!</v>
      </c>
      <c r="U71" s="102" t="e">
        <f>'Example calcs 2000'!S71*0.8</f>
        <v>#REF!</v>
      </c>
      <c r="V71" s="100" t="e">
        <f t="shared" si="31"/>
        <v>#REF!</v>
      </c>
      <c r="W71" s="102" t="str">
        <f t="shared" si="32"/>
        <v/>
      </c>
      <c r="X71" s="102" t="e">
        <f t="shared" si="21"/>
        <v>#REF!</v>
      </c>
      <c r="Y71" s="80" t="s">
        <v>33</v>
      </c>
      <c r="Z71" s="39">
        <f t="shared" si="33"/>
        <v>0</v>
      </c>
      <c r="AA71" s="80" t="e">
        <f>Tree!#REF!</f>
        <v>#REF!</v>
      </c>
      <c r="AB71" s="80"/>
      <c r="AC71" s="104" t="e">
        <f>X71*AA71</f>
        <v>#REF!</v>
      </c>
      <c r="AD71" s="102" t="e">
        <f>'Example calcs 2000'!Y71*0.8</f>
        <v>#REF!</v>
      </c>
      <c r="AE71" s="100" t="e">
        <f t="shared" si="34"/>
        <v>#REF!</v>
      </c>
      <c r="AF71" s="102" t="str">
        <f t="shared" si="35"/>
        <v/>
      </c>
      <c r="AG71" s="102" t="e">
        <f t="shared" si="22"/>
        <v>#REF!</v>
      </c>
      <c r="AH71" s="80" t="s">
        <v>117</v>
      </c>
      <c r="AI71" s="39">
        <f t="shared" si="36"/>
        <v>1</v>
      </c>
      <c r="AJ71" s="80" t="e">
        <f>Tree!#REF!</f>
        <v>#REF!</v>
      </c>
      <c r="AK71" s="80"/>
      <c r="AL71" s="91" t="e">
        <f t="shared" si="37"/>
        <v>#REF!</v>
      </c>
      <c r="AM71" s="80" t="e">
        <f t="shared" si="38"/>
        <v>#REF!</v>
      </c>
    </row>
    <row r="72" spans="3:39" s="72" customFormat="1" x14ac:dyDescent="0.25">
      <c r="C72" s="121" t="e">
        <f>Tree!#REF!</f>
        <v>#REF!</v>
      </c>
      <c r="D72" s="41" t="e">
        <f>Tree!#REF!</f>
        <v>#REF!</v>
      </c>
      <c r="E72" s="122" t="e">
        <f t="shared" si="23"/>
        <v>#REF!</v>
      </c>
      <c r="F72" s="41" t="e">
        <f>Tree!#REF!</f>
        <v>#REF!</v>
      </c>
      <c r="G72" s="122" t="e">
        <f t="shared" si="24"/>
        <v>#REF!</v>
      </c>
      <c r="H72" s="79" t="e">
        <f>INDEX(Tree!#REF!,MATCH($J72,Tree!#REF!,0))</f>
        <v>#REF!</v>
      </c>
      <c r="I72" s="100" t="e">
        <f t="shared" si="25"/>
        <v>#REF!</v>
      </c>
      <c r="J72" s="80" t="s">
        <v>24</v>
      </c>
      <c r="K72" s="90" t="e">
        <f>INDEX(Tree!#REF!,MATCH($J72,Tree!#REF!,0))</f>
        <v>#REF!</v>
      </c>
      <c r="L72" s="104" t="e">
        <f t="shared" si="20"/>
        <v>#REF!</v>
      </c>
      <c r="M72" s="102" t="e">
        <f>'Example calcs 2000'!N72*0.95</f>
        <v>#REF!</v>
      </c>
      <c r="N72" s="100" t="e">
        <f t="shared" si="26"/>
        <v>#REF!</v>
      </c>
      <c r="O72" s="102" t="str">
        <f t="shared" si="27"/>
        <v/>
      </c>
      <c r="P72" s="102" t="e">
        <f t="shared" si="28"/>
        <v>#REF!</v>
      </c>
      <c r="Q72" s="90" t="s">
        <v>30</v>
      </c>
      <c r="R72" s="39">
        <f t="shared" si="29"/>
        <v>0</v>
      </c>
      <c r="S72" s="90" t="e">
        <f>INDEX(Tree!#REF!,MATCH($Q72,Tree!#REF!,0)+MATCH(Tree!#REF!,Tree!#REF!,0)-1)</f>
        <v>#REF!</v>
      </c>
      <c r="T72" s="104" t="e">
        <f t="shared" si="30"/>
        <v>#REF!</v>
      </c>
      <c r="U72" s="102" t="e">
        <f>'Example calcs 2000'!S72*0.8</f>
        <v>#REF!</v>
      </c>
      <c r="V72" s="100" t="e">
        <f t="shared" si="31"/>
        <v>#REF!</v>
      </c>
      <c r="W72" s="102" t="str">
        <f t="shared" si="32"/>
        <v/>
      </c>
      <c r="X72" s="102" t="e">
        <f t="shared" si="21"/>
        <v>#REF!</v>
      </c>
      <c r="Y72" s="80" t="s">
        <v>33</v>
      </c>
      <c r="Z72" s="39">
        <f t="shared" si="33"/>
        <v>0</v>
      </c>
      <c r="AA72" s="80" t="e">
        <f>Tree!#REF!</f>
        <v>#REF!</v>
      </c>
      <c r="AB72" s="80"/>
      <c r="AC72" s="104" t="e">
        <f>X72*AA72</f>
        <v>#REF!</v>
      </c>
      <c r="AD72" s="102" t="e">
        <f>'Example calcs 2000'!Y72*0.8</f>
        <v>#REF!</v>
      </c>
      <c r="AE72" s="100" t="e">
        <f t="shared" si="34"/>
        <v>#REF!</v>
      </c>
      <c r="AF72" s="102" t="str">
        <f t="shared" si="35"/>
        <v/>
      </c>
      <c r="AG72" s="102" t="e">
        <f t="shared" si="22"/>
        <v>#REF!</v>
      </c>
      <c r="AH72" s="80" t="s">
        <v>52</v>
      </c>
      <c r="AI72" s="39">
        <f t="shared" si="36"/>
        <v>1</v>
      </c>
      <c r="AJ72" s="80"/>
      <c r="AK72" s="80" t="e">
        <f>Tree!#REF!</f>
        <v>#REF!</v>
      </c>
      <c r="AL72" s="91" t="e">
        <f t="shared" si="37"/>
        <v>#REF!</v>
      </c>
      <c r="AM72" s="80" t="e">
        <f t="shared" si="38"/>
        <v>#REF!</v>
      </c>
    </row>
    <row r="73" spans="3:39" s="72" customFormat="1" x14ac:dyDescent="0.25">
      <c r="C73" s="121" t="e">
        <f>Tree!#REF!</f>
        <v>#REF!</v>
      </c>
      <c r="D73" s="41" t="e">
        <f>Tree!#REF!</f>
        <v>#REF!</v>
      </c>
      <c r="E73" s="122" t="e">
        <f t="shared" si="23"/>
        <v>#REF!</v>
      </c>
      <c r="F73" s="41" t="e">
        <f>Tree!#REF!</f>
        <v>#REF!</v>
      </c>
      <c r="G73" s="122" t="e">
        <f t="shared" si="24"/>
        <v>#REF!</v>
      </c>
      <c r="H73" s="79" t="e">
        <f>INDEX(Tree!#REF!,MATCH($J73,Tree!#REF!,0))</f>
        <v>#REF!</v>
      </c>
      <c r="I73" s="100" t="e">
        <f t="shared" si="25"/>
        <v>#REF!</v>
      </c>
      <c r="J73" s="80" t="s">
        <v>24</v>
      </c>
      <c r="K73" s="90" t="e">
        <f>INDEX(Tree!#REF!,MATCH($J73,Tree!#REF!,0))</f>
        <v>#REF!</v>
      </c>
      <c r="L73" s="104" t="e">
        <f t="shared" si="20"/>
        <v>#REF!</v>
      </c>
      <c r="M73" s="102" t="e">
        <f>'Example calcs 2000'!N73*0.95</f>
        <v>#REF!</v>
      </c>
      <c r="N73" s="100" t="e">
        <f t="shared" si="26"/>
        <v>#REF!</v>
      </c>
      <c r="O73" s="102" t="str">
        <f t="shared" si="27"/>
        <v/>
      </c>
      <c r="P73" s="102" t="e">
        <f t="shared" si="28"/>
        <v>#REF!</v>
      </c>
      <c r="Q73" s="90" t="s">
        <v>30</v>
      </c>
      <c r="R73" s="39">
        <f t="shared" si="29"/>
        <v>0</v>
      </c>
      <c r="S73" s="90" t="e">
        <f>INDEX(Tree!#REF!,MATCH($Q73,Tree!#REF!,0)+MATCH(Tree!#REF!,Tree!#REF!,0)-1)</f>
        <v>#REF!</v>
      </c>
      <c r="T73" s="104" t="e">
        <f t="shared" si="30"/>
        <v>#REF!</v>
      </c>
      <c r="U73" s="102" t="e">
        <f>'Example calcs 2000'!S73*0.8</f>
        <v>#REF!</v>
      </c>
      <c r="V73" s="100" t="e">
        <f t="shared" si="31"/>
        <v>#REF!</v>
      </c>
      <c r="W73" s="102" t="str">
        <f t="shared" si="32"/>
        <v/>
      </c>
      <c r="X73" s="102" t="e">
        <f t="shared" si="21"/>
        <v>#REF!</v>
      </c>
      <c r="Y73" s="80" t="s">
        <v>33</v>
      </c>
      <c r="Z73" s="39">
        <f t="shared" si="33"/>
        <v>0</v>
      </c>
      <c r="AA73" s="80" t="e">
        <f>Tree!#REF!</f>
        <v>#REF!</v>
      </c>
      <c r="AB73" s="80"/>
      <c r="AC73" s="104" t="e">
        <f>X73*AA73</f>
        <v>#REF!</v>
      </c>
      <c r="AD73" s="102" t="e">
        <f>'Example calcs 2000'!Y73*0.8</f>
        <v>#REF!</v>
      </c>
      <c r="AE73" s="100" t="e">
        <f t="shared" si="34"/>
        <v>#REF!</v>
      </c>
      <c r="AF73" s="102" t="str">
        <f t="shared" si="35"/>
        <v/>
      </c>
      <c r="AG73" s="102" t="e">
        <f t="shared" si="22"/>
        <v>#REF!</v>
      </c>
      <c r="AH73" s="80" t="s">
        <v>53</v>
      </c>
      <c r="AI73" s="39">
        <f t="shared" si="36"/>
        <v>1</v>
      </c>
      <c r="AJ73" s="80"/>
      <c r="AK73" s="80" t="e">
        <f>Tree!#REF!</f>
        <v>#REF!</v>
      </c>
      <c r="AL73" s="91" t="e">
        <f t="shared" si="37"/>
        <v>#REF!</v>
      </c>
      <c r="AM73" s="80" t="e">
        <f t="shared" si="38"/>
        <v>#REF!</v>
      </c>
    </row>
    <row r="74" spans="3:39" s="72" customFormat="1" x14ac:dyDescent="0.25">
      <c r="C74" s="121" t="e">
        <f>Tree!#REF!</f>
        <v>#REF!</v>
      </c>
      <c r="D74" s="41" t="e">
        <f>Tree!#REF!</f>
        <v>#REF!</v>
      </c>
      <c r="E74" s="122" t="e">
        <f t="shared" si="23"/>
        <v>#REF!</v>
      </c>
      <c r="F74" s="41" t="e">
        <f>Tree!#REF!</f>
        <v>#REF!</v>
      </c>
      <c r="G74" s="122" t="e">
        <f t="shared" si="24"/>
        <v>#REF!</v>
      </c>
      <c r="H74" s="79" t="e">
        <f>INDEX(Tree!#REF!,MATCH($J74,Tree!#REF!,0))</f>
        <v>#REF!</v>
      </c>
      <c r="I74" s="100" t="e">
        <f t="shared" si="25"/>
        <v>#REF!</v>
      </c>
      <c r="J74" s="80" t="s">
        <v>24</v>
      </c>
      <c r="K74" s="90" t="e">
        <f>INDEX(Tree!#REF!,MATCH($J74,Tree!#REF!,0))</f>
        <v>#REF!</v>
      </c>
      <c r="L74" s="104" t="e">
        <f t="shared" si="20"/>
        <v>#REF!</v>
      </c>
      <c r="M74" s="102" t="e">
        <f>'Example calcs 2000'!N74*0.95</f>
        <v>#REF!</v>
      </c>
      <c r="N74" s="100" t="e">
        <f t="shared" si="26"/>
        <v>#REF!</v>
      </c>
      <c r="O74" s="102" t="str">
        <f t="shared" si="27"/>
        <v/>
      </c>
      <c r="P74" s="102" t="e">
        <f t="shared" si="28"/>
        <v>#REF!</v>
      </c>
      <c r="Q74" s="90" t="s">
        <v>29</v>
      </c>
      <c r="R74" s="39">
        <f t="shared" si="29"/>
        <v>1</v>
      </c>
      <c r="S74" s="90" t="e">
        <f>INDEX(Tree!#REF!,MATCH($Q74,Tree!#REF!,0)+MATCH(Tree!#REF!,Tree!#REF!,0)-1)</f>
        <v>#REF!</v>
      </c>
      <c r="T74" s="104" t="e">
        <f t="shared" si="30"/>
        <v>#REF!</v>
      </c>
      <c r="U74" s="102" t="e">
        <f>'Example calcs 2000'!S74*0.8</f>
        <v>#REF!</v>
      </c>
      <c r="V74" s="100" t="e">
        <f t="shared" si="31"/>
        <v>#REF!</v>
      </c>
      <c r="W74" s="102" t="str">
        <f t="shared" si="32"/>
        <v/>
      </c>
      <c r="X74" s="102" t="e">
        <f t="shared" si="21"/>
        <v>#REF!</v>
      </c>
      <c r="Y74" s="80" t="s">
        <v>32</v>
      </c>
      <c r="Z74" s="39">
        <f t="shared" si="33"/>
        <v>1</v>
      </c>
      <c r="AA74" s="80"/>
      <c r="AB74" s="80" t="e">
        <f>Tree!#REF!</f>
        <v>#REF!</v>
      </c>
      <c r="AC74" s="104"/>
      <c r="AD74" s="102">
        <f>'Example calcs 2000'!Y74*0.8</f>
        <v>0</v>
      </c>
      <c r="AE74" s="100" t="e">
        <f t="shared" si="34"/>
        <v>#REF!</v>
      </c>
      <c r="AF74" s="102" t="str">
        <f t="shared" si="35"/>
        <v/>
      </c>
      <c r="AG74" s="102">
        <f t="shared" si="22"/>
        <v>0</v>
      </c>
      <c r="AH74" s="80"/>
      <c r="AI74" s="39">
        <f t="shared" si="36"/>
        <v>1</v>
      </c>
      <c r="AJ74" s="80"/>
      <c r="AK74" s="80"/>
      <c r="AL74" s="91" t="e">
        <f t="shared" si="37"/>
        <v>#REF!</v>
      </c>
      <c r="AM74" s="80">
        <f t="shared" si="38"/>
        <v>0</v>
      </c>
    </row>
    <row r="75" spans="3:39" s="72" customFormat="1" x14ac:dyDescent="0.25">
      <c r="C75" s="121" t="e">
        <f>Tree!#REF!</f>
        <v>#REF!</v>
      </c>
      <c r="D75" s="41" t="e">
        <f>Tree!#REF!</f>
        <v>#REF!</v>
      </c>
      <c r="E75" s="122" t="e">
        <f t="shared" si="23"/>
        <v>#REF!</v>
      </c>
      <c r="F75" s="41" t="e">
        <f>Tree!#REF!</f>
        <v>#REF!</v>
      </c>
      <c r="G75" s="122" t="e">
        <f t="shared" si="24"/>
        <v>#REF!</v>
      </c>
      <c r="H75" s="79" t="e">
        <f>INDEX(Tree!#REF!,MATCH($J75,Tree!#REF!,0))</f>
        <v>#REF!</v>
      </c>
      <c r="I75" s="100" t="e">
        <f t="shared" si="25"/>
        <v>#REF!</v>
      </c>
      <c r="J75" s="80" t="s">
        <v>24</v>
      </c>
      <c r="K75" s="90" t="e">
        <f>INDEX(Tree!#REF!,MATCH($J75,Tree!#REF!,0))</f>
        <v>#REF!</v>
      </c>
      <c r="L75" s="104" t="e">
        <f t="shared" si="20"/>
        <v>#REF!</v>
      </c>
      <c r="M75" s="102" t="e">
        <f>'Example calcs 2000'!N75*0.95</f>
        <v>#REF!</v>
      </c>
      <c r="N75" s="100" t="e">
        <f t="shared" si="26"/>
        <v>#REF!</v>
      </c>
      <c r="O75" s="102" t="str">
        <f t="shared" si="27"/>
        <v/>
      </c>
      <c r="P75" s="102" t="e">
        <f t="shared" si="28"/>
        <v>#REF!</v>
      </c>
      <c r="Q75" s="90" t="s">
        <v>29</v>
      </c>
      <c r="R75" s="39">
        <f t="shared" si="29"/>
        <v>0</v>
      </c>
      <c r="S75" s="90" t="e">
        <f>INDEX(Tree!#REF!,MATCH($Q75,Tree!#REF!,0)+MATCH(Tree!#REF!,Tree!#REF!,0)-1)</f>
        <v>#REF!</v>
      </c>
      <c r="T75" s="104" t="e">
        <f t="shared" si="30"/>
        <v>#REF!</v>
      </c>
      <c r="U75" s="102" t="e">
        <f>'Example calcs 2000'!S75*0.8</f>
        <v>#REF!</v>
      </c>
      <c r="V75" s="100" t="e">
        <f t="shared" si="31"/>
        <v>#REF!</v>
      </c>
      <c r="W75" s="102" t="str">
        <f t="shared" si="32"/>
        <v/>
      </c>
      <c r="X75" s="102" t="e">
        <f t="shared" si="21"/>
        <v>#REF!</v>
      </c>
      <c r="Y75" s="80" t="s">
        <v>33</v>
      </c>
      <c r="Z75" s="39">
        <f t="shared" si="33"/>
        <v>1</v>
      </c>
      <c r="AA75" s="80" t="e">
        <f>Tree!#REF!</f>
        <v>#REF!</v>
      </c>
      <c r="AB75" s="80"/>
      <c r="AC75" s="104" t="e">
        <f>X75*AA75</f>
        <v>#REF!</v>
      </c>
      <c r="AD75" s="102" t="e">
        <f>'Example calcs 2000'!Y75*0.8</f>
        <v>#REF!</v>
      </c>
      <c r="AE75" s="100" t="e">
        <f t="shared" si="34"/>
        <v>#REF!</v>
      </c>
      <c r="AF75" s="102" t="str">
        <f t="shared" si="35"/>
        <v/>
      </c>
      <c r="AG75" s="102" t="e">
        <f t="shared" si="22"/>
        <v>#REF!</v>
      </c>
      <c r="AH75" s="80" t="s">
        <v>54</v>
      </c>
      <c r="AI75" s="39">
        <f t="shared" si="36"/>
        <v>1</v>
      </c>
      <c r="AJ75" s="80" t="e">
        <f>Tree!#REF!</f>
        <v>#REF!</v>
      </c>
      <c r="AK75" s="80"/>
      <c r="AL75" s="91" t="e">
        <f t="shared" si="37"/>
        <v>#REF!</v>
      </c>
      <c r="AM75" s="80" t="e">
        <f t="shared" si="38"/>
        <v>#REF!</v>
      </c>
    </row>
    <row r="76" spans="3:39" s="72" customFormat="1" x14ac:dyDescent="0.25">
      <c r="C76" s="121" t="e">
        <f>Tree!#REF!</f>
        <v>#REF!</v>
      </c>
      <c r="D76" s="41" t="e">
        <f>Tree!#REF!</f>
        <v>#REF!</v>
      </c>
      <c r="E76" s="122" t="e">
        <f t="shared" si="23"/>
        <v>#REF!</v>
      </c>
      <c r="F76" s="41" t="e">
        <f>Tree!#REF!</f>
        <v>#REF!</v>
      </c>
      <c r="G76" s="122" t="e">
        <f t="shared" si="24"/>
        <v>#REF!</v>
      </c>
      <c r="H76" s="79" t="e">
        <f>INDEX(Tree!#REF!,MATCH($J76,Tree!#REF!,0))</f>
        <v>#REF!</v>
      </c>
      <c r="I76" s="100" t="e">
        <f t="shared" si="25"/>
        <v>#REF!</v>
      </c>
      <c r="J76" s="80" t="s">
        <v>24</v>
      </c>
      <c r="K76" s="90" t="e">
        <f>INDEX(Tree!#REF!,MATCH($J76,Tree!#REF!,0))</f>
        <v>#REF!</v>
      </c>
      <c r="L76" s="104" t="e">
        <f t="shared" si="20"/>
        <v>#REF!</v>
      </c>
      <c r="M76" s="102" t="e">
        <f>'Example calcs 2000'!N76*0.95</f>
        <v>#REF!</v>
      </c>
      <c r="N76" s="100" t="e">
        <f t="shared" si="26"/>
        <v>#REF!</v>
      </c>
      <c r="O76" s="102" t="str">
        <f t="shared" si="27"/>
        <v/>
      </c>
      <c r="P76" s="102" t="e">
        <f t="shared" si="28"/>
        <v>#REF!</v>
      </c>
      <c r="Q76" s="90" t="s">
        <v>29</v>
      </c>
      <c r="R76" s="39">
        <f t="shared" si="29"/>
        <v>0</v>
      </c>
      <c r="S76" s="90" t="e">
        <f>INDEX(Tree!#REF!,MATCH($Q76,Tree!#REF!,0)+MATCH(Tree!#REF!,Tree!#REF!,0)-1)</f>
        <v>#REF!</v>
      </c>
      <c r="T76" s="104" t="e">
        <f t="shared" si="30"/>
        <v>#REF!</v>
      </c>
      <c r="U76" s="102" t="e">
        <f>'Example calcs 2000'!S76*0.8</f>
        <v>#REF!</v>
      </c>
      <c r="V76" s="100" t="e">
        <f t="shared" si="31"/>
        <v>#REF!</v>
      </c>
      <c r="W76" s="102" t="str">
        <f t="shared" si="32"/>
        <v/>
      </c>
      <c r="X76" s="102" t="e">
        <f t="shared" si="21"/>
        <v>#REF!</v>
      </c>
      <c r="Y76" s="80" t="s">
        <v>33</v>
      </c>
      <c r="Z76" s="39">
        <f t="shared" si="33"/>
        <v>0</v>
      </c>
      <c r="AA76" s="80" t="e">
        <f>Tree!#REF!</f>
        <v>#REF!</v>
      </c>
      <c r="AB76" s="80"/>
      <c r="AC76" s="104" t="e">
        <f>X76*AA76</f>
        <v>#REF!</v>
      </c>
      <c r="AD76" s="102" t="e">
        <f>'Example calcs 2000'!Y76*0.8</f>
        <v>#REF!</v>
      </c>
      <c r="AE76" s="100" t="e">
        <f t="shared" si="34"/>
        <v>#REF!</v>
      </c>
      <c r="AF76" s="102" t="str">
        <f t="shared" si="35"/>
        <v/>
      </c>
      <c r="AG76" s="102" t="e">
        <f t="shared" si="22"/>
        <v>#REF!</v>
      </c>
      <c r="AH76" s="80" t="s">
        <v>117</v>
      </c>
      <c r="AI76" s="39">
        <f t="shared" si="36"/>
        <v>1</v>
      </c>
      <c r="AJ76" s="80" t="e">
        <f>Tree!#REF!</f>
        <v>#REF!</v>
      </c>
      <c r="AK76" s="80"/>
      <c r="AL76" s="91" t="e">
        <f t="shared" si="37"/>
        <v>#REF!</v>
      </c>
      <c r="AM76" s="80" t="e">
        <f t="shared" si="38"/>
        <v>#REF!</v>
      </c>
    </row>
    <row r="77" spans="3:39" s="72" customFormat="1" x14ac:dyDescent="0.25">
      <c r="C77" s="121" t="e">
        <f>Tree!#REF!</f>
        <v>#REF!</v>
      </c>
      <c r="D77" s="41" t="e">
        <f>Tree!#REF!</f>
        <v>#REF!</v>
      </c>
      <c r="E77" s="122" t="e">
        <f t="shared" si="23"/>
        <v>#REF!</v>
      </c>
      <c r="F77" s="41" t="e">
        <f>Tree!#REF!</f>
        <v>#REF!</v>
      </c>
      <c r="G77" s="122" t="e">
        <f t="shared" si="24"/>
        <v>#REF!</v>
      </c>
      <c r="H77" s="79" t="e">
        <f>INDEX(Tree!#REF!,MATCH($J77,Tree!#REF!,0))</f>
        <v>#REF!</v>
      </c>
      <c r="I77" s="100" t="e">
        <f t="shared" si="25"/>
        <v>#REF!</v>
      </c>
      <c r="J77" s="80" t="s">
        <v>24</v>
      </c>
      <c r="K77" s="90" t="e">
        <f>INDEX(Tree!#REF!,MATCH($J77,Tree!#REF!,0))</f>
        <v>#REF!</v>
      </c>
      <c r="L77" s="104" t="e">
        <f t="shared" si="20"/>
        <v>#REF!</v>
      </c>
      <c r="M77" s="102" t="e">
        <f>'Example calcs 2000'!N77*0.95</f>
        <v>#REF!</v>
      </c>
      <c r="N77" s="100" t="e">
        <f t="shared" si="26"/>
        <v>#REF!</v>
      </c>
      <c r="O77" s="102" t="str">
        <f t="shared" si="27"/>
        <v/>
      </c>
      <c r="P77" s="102" t="e">
        <f t="shared" si="28"/>
        <v>#REF!</v>
      </c>
      <c r="Q77" s="90" t="s">
        <v>29</v>
      </c>
      <c r="R77" s="39">
        <f t="shared" si="29"/>
        <v>0</v>
      </c>
      <c r="S77" s="90" t="e">
        <f>INDEX(Tree!#REF!,MATCH($Q77,Tree!#REF!,0)+MATCH(Tree!#REF!,Tree!#REF!,0)-1)</f>
        <v>#REF!</v>
      </c>
      <c r="T77" s="104" t="e">
        <f t="shared" si="30"/>
        <v>#REF!</v>
      </c>
      <c r="U77" s="102" t="e">
        <f>'Example calcs 2000'!S77*0.8</f>
        <v>#REF!</v>
      </c>
      <c r="V77" s="100" t="e">
        <f t="shared" si="31"/>
        <v>#REF!</v>
      </c>
      <c r="W77" s="102" t="str">
        <f t="shared" si="32"/>
        <v/>
      </c>
      <c r="X77" s="102" t="e">
        <f t="shared" si="21"/>
        <v>#REF!</v>
      </c>
      <c r="Y77" s="80" t="s">
        <v>33</v>
      </c>
      <c r="Z77" s="39">
        <f t="shared" si="33"/>
        <v>0</v>
      </c>
      <c r="AA77" s="80" t="e">
        <f>Tree!#REF!</f>
        <v>#REF!</v>
      </c>
      <c r="AB77" s="80"/>
      <c r="AC77" s="104" t="e">
        <f>X77*AA77</f>
        <v>#REF!</v>
      </c>
      <c r="AD77" s="102" t="e">
        <f>'Example calcs 2000'!Y77*0.8</f>
        <v>#REF!</v>
      </c>
      <c r="AE77" s="100" t="e">
        <f t="shared" si="34"/>
        <v>#REF!</v>
      </c>
      <c r="AF77" s="102" t="str">
        <f t="shared" si="35"/>
        <v/>
      </c>
      <c r="AG77" s="102" t="e">
        <f t="shared" si="22"/>
        <v>#REF!</v>
      </c>
      <c r="AH77" s="80" t="s">
        <v>52</v>
      </c>
      <c r="AI77" s="39">
        <f t="shared" si="36"/>
        <v>1</v>
      </c>
      <c r="AJ77" s="80"/>
      <c r="AK77" s="80" t="e">
        <f>Tree!#REF!</f>
        <v>#REF!</v>
      </c>
      <c r="AL77" s="91" t="e">
        <f t="shared" si="37"/>
        <v>#REF!</v>
      </c>
      <c r="AM77" s="80" t="e">
        <f t="shared" si="38"/>
        <v>#REF!</v>
      </c>
    </row>
    <row r="78" spans="3:39" s="72" customFormat="1" x14ac:dyDescent="0.25">
      <c r="C78" s="121" t="e">
        <f>Tree!#REF!</f>
        <v>#REF!</v>
      </c>
      <c r="D78" s="41" t="e">
        <f>Tree!#REF!</f>
        <v>#REF!</v>
      </c>
      <c r="E78" s="122" t="e">
        <f t="shared" si="23"/>
        <v>#REF!</v>
      </c>
      <c r="F78" s="41" t="e">
        <f>Tree!#REF!</f>
        <v>#REF!</v>
      </c>
      <c r="G78" s="122" t="e">
        <f t="shared" si="24"/>
        <v>#REF!</v>
      </c>
      <c r="H78" s="79" t="e">
        <f>INDEX(Tree!#REF!,MATCH($J78,Tree!#REF!,0))</f>
        <v>#REF!</v>
      </c>
      <c r="I78" s="100" t="e">
        <f t="shared" si="25"/>
        <v>#REF!</v>
      </c>
      <c r="J78" s="80" t="s">
        <v>24</v>
      </c>
      <c r="K78" s="90" t="e">
        <f>INDEX(Tree!#REF!,MATCH($J78,Tree!#REF!,0))</f>
        <v>#REF!</v>
      </c>
      <c r="L78" s="104" t="e">
        <f t="shared" si="20"/>
        <v>#REF!</v>
      </c>
      <c r="M78" s="102" t="e">
        <f>'Example calcs 2000'!N78*0.95</f>
        <v>#REF!</v>
      </c>
      <c r="N78" s="100" t="e">
        <f t="shared" si="26"/>
        <v>#REF!</v>
      </c>
      <c r="O78" s="102" t="str">
        <f t="shared" si="27"/>
        <v/>
      </c>
      <c r="P78" s="102" t="e">
        <f t="shared" si="28"/>
        <v>#REF!</v>
      </c>
      <c r="Q78" s="90" t="s">
        <v>29</v>
      </c>
      <c r="R78" s="39">
        <f t="shared" si="29"/>
        <v>0</v>
      </c>
      <c r="S78" s="90" t="e">
        <f>INDEX(Tree!#REF!,MATCH($Q78,Tree!#REF!,0)+MATCH(Tree!#REF!,Tree!#REF!,0)-1)</f>
        <v>#REF!</v>
      </c>
      <c r="T78" s="104" t="e">
        <f t="shared" si="30"/>
        <v>#REF!</v>
      </c>
      <c r="U78" s="102" t="e">
        <f>'Example calcs 2000'!S78*0.8</f>
        <v>#REF!</v>
      </c>
      <c r="V78" s="100" t="e">
        <f t="shared" si="31"/>
        <v>#REF!</v>
      </c>
      <c r="W78" s="102" t="str">
        <f t="shared" si="32"/>
        <v/>
      </c>
      <c r="X78" s="102" t="e">
        <f t="shared" si="21"/>
        <v>#REF!</v>
      </c>
      <c r="Y78" s="80" t="s">
        <v>33</v>
      </c>
      <c r="Z78" s="39">
        <f t="shared" si="33"/>
        <v>0</v>
      </c>
      <c r="AA78" s="80" t="e">
        <f>Tree!#REF!</f>
        <v>#REF!</v>
      </c>
      <c r="AB78" s="80"/>
      <c r="AC78" s="104" t="e">
        <f>X78*AA78</f>
        <v>#REF!</v>
      </c>
      <c r="AD78" s="102" t="e">
        <f>'Example calcs 2000'!Y78*0.8</f>
        <v>#REF!</v>
      </c>
      <c r="AE78" s="100" t="e">
        <f t="shared" si="34"/>
        <v>#REF!</v>
      </c>
      <c r="AF78" s="102" t="str">
        <f t="shared" si="35"/>
        <v/>
      </c>
      <c r="AG78" s="102" t="e">
        <f t="shared" si="22"/>
        <v>#REF!</v>
      </c>
      <c r="AH78" s="80" t="s">
        <v>53</v>
      </c>
      <c r="AI78" s="39">
        <f t="shared" si="36"/>
        <v>1</v>
      </c>
      <c r="AJ78" s="80"/>
      <c r="AK78" s="80" t="e">
        <f>Tree!#REF!</f>
        <v>#REF!</v>
      </c>
      <c r="AL78" s="91" t="e">
        <f t="shared" si="37"/>
        <v>#REF!</v>
      </c>
      <c r="AM78" s="80" t="e">
        <f t="shared" si="38"/>
        <v>#REF!</v>
      </c>
    </row>
    <row r="79" spans="3:39" s="72" customFormat="1" x14ac:dyDescent="0.25">
      <c r="C79" s="121" t="e">
        <f>Tree!#REF!</f>
        <v>#REF!</v>
      </c>
      <c r="D79" s="41" t="e">
        <f>Tree!#REF!</f>
        <v>#REF!</v>
      </c>
      <c r="E79" s="122" t="e">
        <f t="shared" si="23"/>
        <v>#REF!</v>
      </c>
      <c r="F79" s="41" t="e">
        <f>Tree!#REF!</f>
        <v>#REF!</v>
      </c>
      <c r="G79" s="122" t="e">
        <f t="shared" si="24"/>
        <v>#REF!</v>
      </c>
      <c r="H79" s="79" t="e">
        <f>INDEX(Tree!#REF!,MATCH($J79,Tree!#REF!,0))</f>
        <v>#REF!</v>
      </c>
      <c r="I79" s="100" t="e">
        <f t="shared" si="25"/>
        <v>#REF!</v>
      </c>
      <c r="J79" s="80" t="s">
        <v>23</v>
      </c>
      <c r="K79" s="90" t="e">
        <f>INDEX(Tree!#REF!,MATCH($J79,Tree!#REF!,0))</f>
        <v>#REF!</v>
      </c>
      <c r="L79" s="104" t="e">
        <f t="shared" si="20"/>
        <v>#REF!</v>
      </c>
      <c r="M79" s="102" t="e">
        <f>'Example calcs 2000'!N79*0.95</f>
        <v>#REF!</v>
      </c>
      <c r="N79" s="100" t="e">
        <f t="shared" si="26"/>
        <v>#REF!</v>
      </c>
      <c r="O79" s="102" t="str">
        <f t="shared" si="27"/>
        <v/>
      </c>
      <c r="P79" s="102" t="e">
        <f t="shared" si="28"/>
        <v>#REF!</v>
      </c>
      <c r="Q79" s="90" t="s">
        <v>31</v>
      </c>
      <c r="R79" s="39">
        <f t="shared" si="29"/>
        <v>1</v>
      </c>
      <c r="S79" s="90" t="e">
        <f>INDEX(Tree!#REF!,MATCH($Q79,Tree!#REF!,0)+MATCH(Tree!#REF!,Tree!#REF!,0)-1)</f>
        <v>#REF!</v>
      </c>
      <c r="T79" s="104" t="e">
        <f t="shared" si="30"/>
        <v>#REF!</v>
      </c>
      <c r="U79" s="102" t="e">
        <f>'Example calcs 2000'!S79*0.8</f>
        <v>#REF!</v>
      </c>
      <c r="V79" s="100" t="e">
        <f t="shared" si="31"/>
        <v>#REF!</v>
      </c>
      <c r="W79" s="102" t="str">
        <f t="shared" si="32"/>
        <v/>
      </c>
      <c r="X79" s="102" t="e">
        <f t="shared" si="21"/>
        <v>#REF!</v>
      </c>
      <c r="Y79" s="80" t="s">
        <v>32</v>
      </c>
      <c r="Z79" s="39">
        <f t="shared" si="33"/>
        <v>1</v>
      </c>
      <c r="AA79" s="80"/>
      <c r="AB79" s="80" t="e">
        <f>Tree!#REF!</f>
        <v>#REF!</v>
      </c>
      <c r="AC79" s="104"/>
      <c r="AD79" s="102">
        <f>'Example calcs 2000'!Y79*0.8</f>
        <v>0</v>
      </c>
      <c r="AE79" s="100" t="e">
        <f t="shared" si="34"/>
        <v>#REF!</v>
      </c>
      <c r="AF79" s="102" t="str">
        <f t="shared" si="35"/>
        <v/>
      </c>
      <c r="AG79" s="102">
        <f t="shared" si="22"/>
        <v>0</v>
      </c>
      <c r="AH79" s="80"/>
      <c r="AI79" s="39">
        <f t="shared" si="36"/>
        <v>1</v>
      </c>
      <c r="AJ79" s="80"/>
      <c r="AK79" s="80"/>
      <c r="AL79" s="91" t="e">
        <f t="shared" si="37"/>
        <v>#REF!</v>
      </c>
      <c r="AM79" s="80">
        <f t="shared" si="38"/>
        <v>0</v>
      </c>
    </row>
    <row r="80" spans="3:39" s="72" customFormat="1" x14ac:dyDescent="0.25">
      <c r="C80" s="121" t="e">
        <f>Tree!#REF!</f>
        <v>#REF!</v>
      </c>
      <c r="D80" s="41" t="e">
        <f>Tree!#REF!</f>
        <v>#REF!</v>
      </c>
      <c r="E80" s="122" t="e">
        <f t="shared" si="23"/>
        <v>#REF!</v>
      </c>
      <c r="F80" s="41" t="e">
        <f>Tree!#REF!</f>
        <v>#REF!</v>
      </c>
      <c r="G80" s="122" t="e">
        <f t="shared" si="24"/>
        <v>#REF!</v>
      </c>
      <c r="H80" s="79" t="e">
        <f>INDEX(Tree!#REF!,MATCH($J80,Tree!#REF!,0))</f>
        <v>#REF!</v>
      </c>
      <c r="I80" s="100" t="e">
        <f t="shared" si="25"/>
        <v>#REF!</v>
      </c>
      <c r="J80" s="80" t="s">
        <v>23</v>
      </c>
      <c r="K80" s="90" t="e">
        <f>INDEX(Tree!#REF!,MATCH($J80,Tree!#REF!,0))</f>
        <v>#REF!</v>
      </c>
      <c r="L80" s="104" t="e">
        <f t="shared" si="20"/>
        <v>#REF!</v>
      </c>
      <c r="M80" s="102" t="e">
        <f>'Example calcs 2000'!N80*0.95</f>
        <v>#REF!</v>
      </c>
      <c r="N80" s="100" t="e">
        <f t="shared" si="26"/>
        <v>#REF!</v>
      </c>
      <c r="O80" s="102" t="str">
        <f t="shared" si="27"/>
        <v/>
      </c>
      <c r="P80" s="102" t="e">
        <f t="shared" si="28"/>
        <v>#REF!</v>
      </c>
      <c r="Q80" s="90" t="s">
        <v>31</v>
      </c>
      <c r="R80" s="39">
        <f t="shared" si="29"/>
        <v>0</v>
      </c>
      <c r="S80" s="90" t="e">
        <f>INDEX(Tree!#REF!,MATCH($Q80,Tree!#REF!,0)+MATCH(Tree!#REF!,Tree!#REF!,0)-1)</f>
        <v>#REF!</v>
      </c>
      <c r="T80" s="104" t="e">
        <f t="shared" si="30"/>
        <v>#REF!</v>
      </c>
      <c r="U80" s="102" t="e">
        <f>'Example calcs 2000'!S80*0.8</f>
        <v>#REF!</v>
      </c>
      <c r="V80" s="100" t="e">
        <f t="shared" si="31"/>
        <v>#REF!</v>
      </c>
      <c r="W80" s="102" t="str">
        <f t="shared" si="32"/>
        <v/>
      </c>
      <c r="X80" s="102" t="e">
        <f t="shared" si="21"/>
        <v>#REF!</v>
      </c>
      <c r="Y80" s="80" t="s">
        <v>33</v>
      </c>
      <c r="Z80" s="39">
        <f t="shared" si="33"/>
        <v>1</v>
      </c>
      <c r="AA80" s="80" t="e">
        <f>Tree!#REF!</f>
        <v>#REF!</v>
      </c>
      <c r="AB80" s="80"/>
      <c r="AC80" s="104" t="e">
        <f>X80*AA80</f>
        <v>#REF!</v>
      </c>
      <c r="AD80" s="102" t="e">
        <f>'Example calcs 2000'!Y80*0.8</f>
        <v>#REF!</v>
      </c>
      <c r="AE80" s="100" t="e">
        <f t="shared" si="34"/>
        <v>#REF!</v>
      </c>
      <c r="AF80" s="102" t="str">
        <f t="shared" si="35"/>
        <v/>
      </c>
      <c r="AG80" s="102" t="e">
        <f t="shared" si="22"/>
        <v>#REF!</v>
      </c>
      <c r="AH80" s="80" t="s">
        <v>54</v>
      </c>
      <c r="AI80" s="39">
        <f t="shared" si="36"/>
        <v>1</v>
      </c>
      <c r="AJ80" s="80" t="e">
        <f>Tree!#REF!</f>
        <v>#REF!</v>
      </c>
      <c r="AK80" s="80"/>
      <c r="AL80" s="91" t="e">
        <f t="shared" si="37"/>
        <v>#REF!</v>
      </c>
      <c r="AM80" s="80" t="e">
        <f t="shared" si="38"/>
        <v>#REF!</v>
      </c>
    </row>
    <row r="81" spans="3:39" s="72" customFormat="1" x14ac:dyDescent="0.25">
      <c r="C81" s="121" t="e">
        <f>Tree!#REF!</f>
        <v>#REF!</v>
      </c>
      <c r="D81" s="41" t="e">
        <f>Tree!#REF!</f>
        <v>#REF!</v>
      </c>
      <c r="E81" s="122" t="e">
        <f t="shared" si="23"/>
        <v>#REF!</v>
      </c>
      <c r="F81" s="41" t="e">
        <f>Tree!#REF!</f>
        <v>#REF!</v>
      </c>
      <c r="G81" s="122" t="e">
        <f t="shared" si="24"/>
        <v>#REF!</v>
      </c>
      <c r="H81" s="79" t="e">
        <f>INDEX(Tree!#REF!,MATCH($J81,Tree!#REF!,0))</f>
        <v>#REF!</v>
      </c>
      <c r="I81" s="100" t="e">
        <f t="shared" si="25"/>
        <v>#REF!</v>
      </c>
      <c r="J81" s="80" t="s">
        <v>23</v>
      </c>
      <c r="K81" s="90" t="e">
        <f>INDEX(Tree!#REF!,MATCH($J81,Tree!#REF!,0))</f>
        <v>#REF!</v>
      </c>
      <c r="L81" s="104" t="e">
        <f t="shared" si="20"/>
        <v>#REF!</v>
      </c>
      <c r="M81" s="102" t="e">
        <f>'Example calcs 2000'!N81*0.95</f>
        <v>#REF!</v>
      </c>
      <c r="N81" s="100" t="e">
        <f t="shared" si="26"/>
        <v>#REF!</v>
      </c>
      <c r="O81" s="102" t="str">
        <f t="shared" si="27"/>
        <v/>
      </c>
      <c r="P81" s="102" t="e">
        <f t="shared" si="28"/>
        <v>#REF!</v>
      </c>
      <c r="Q81" s="90" t="s">
        <v>31</v>
      </c>
      <c r="R81" s="39">
        <f t="shared" si="29"/>
        <v>0</v>
      </c>
      <c r="S81" s="90" t="e">
        <f>INDEX(Tree!#REF!,MATCH($Q81,Tree!#REF!,0)+MATCH(Tree!#REF!,Tree!#REF!,0)-1)</f>
        <v>#REF!</v>
      </c>
      <c r="T81" s="104" t="e">
        <f t="shared" si="30"/>
        <v>#REF!</v>
      </c>
      <c r="U81" s="102" t="e">
        <f>'Example calcs 2000'!S81*0.8</f>
        <v>#REF!</v>
      </c>
      <c r="V81" s="100" t="e">
        <f t="shared" si="31"/>
        <v>#REF!</v>
      </c>
      <c r="W81" s="102" t="str">
        <f t="shared" si="32"/>
        <v/>
      </c>
      <c r="X81" s="102" t="e">
        <f t="shared" si="21"/>
        <v>#REF!</v>
      </c>
      <c r="Y81" s="80" t="s">
        <v>33</v>
      </c>
      <c r="Z81" s="39">
        <f t="shared" si="33"/>
        <v>0</v>
      </c>
      <c r="AA81" s="80" t="e">
        <f>Tree!#REF!</f>
        <v>#REF!</v>
      </c>
      <c r="AB81" s="80"/>
      <c r="AC81" s="104" t="e">
        <f>X81*AA81</f>
        <v>#REF!</v>
      </c>
      <c r="AD81" s="102" t="e">
        <f>'Example calcs 2000'!Y81*0.8</f>
        <v>#REF!</v>
      </c>
      <c r="AE81" s="100" t="e">
        <f t="shared" si="34"/>
        <v>#REF!</v>
      </c>
      <c r="AF81" s="102" t="str">
        <f t="shared" si="35"/>
        <v/>
      </c>
      <c r="AG81" s="102" t="e">
        <f t="shared" si="22"/>
        <v>#REF!</v>
      </c>
      <c r="AH81" s="80" t="s">
        <v>117</v>
      </c>
      <c r="AI81" s="39">
        <f t="shared" si="36"/>
        <v>1</v>
      </c>
      <c r="AJ81" s="80" t="e">
        <f>Tree!#REF!</f>
        <v>#REF!</v>
      </c>
      <c r="AK81" s="80"/>
      <c r="AL81" s="91" t="e">
        <f t="shared" si="37"/>
        <v>#REF!</v>
      </c>
      <c r="AM81" s="80" t="e">
        <f t="shared" si="38"/>
        <v>#REF!</v>
      </c>
    </row>
    <row r="82" spans="3:39" s="72" customFormat="1" x14ac:dyDescent="0.25">
      <c r="C82" s="121" t="e">
        <f>Tree!#REF!</f>
        <v>#REF!</v>
      </c>
      <c r="D82" s="41" t="e">
        <f>Tree!#REF!</f>
        <v>#REF!</v>
      </c>
      <c r="E82" s="122" t="e">
        <f t="shared" si="23"/>
        <v>#REF!</v>
      </c>
      <c r="F82" s="41" t="e">
        <f>Tree!#REF!</f>
        <v>#REF!</v>
      </c>
      <c r="G82" s="122" t="e">
        <f t="shared" si="24"/>
        <v>#REF!</v>
      </c>
      <c r="H82" s="79" t="e">
        <f>INDEX(Tree!#REF!,MATCH($J82,Tree!#REF!,0))</f>
        <v>#REF!</v>
      </c>
      <c r="I82" s="100" t="e">
        <f t="shared" si="25"/>
        <v>#REF!</v>
      </c>
      <c r="J82" s="80" t="s">
        <v>23</v>
      </c>
      <c r="K82" s="90" t="e">
        <f>INDEX(Tree!#REF!,MATCH($J82,Tree!#REF!,0))</f>
        <v>#REF!</v>
      </c>
      <c r="L82" s="104" t="e">
        <f t="shared" si="20"/>
        <v>#REF!</v>
      </c>
      <c r="M82" s="102" t="e">
        <f>'Example calcs 2000'!N82*0.95</f>
        <v>#REF!</v>
      </c>
      <c r="N82" s="100" t="e">
        <f t="shared" si="26"/>
        <v>#REF!</v>
      </c>
      <c r="O82" s="102" t="str">
        <f t="shared" si="27"/>
        <v/>
      </c>
      <c r="P82" s="102" t="e">
        <f t="shared" si="28"/>
        <v>#REF!</v>
      </c>
      <c r="Q82" s="90" t="s">
        <v>31</v>
      </c>
      <c r="R82" s="39">
        <f t="shared" si="29"/>
        <v>0</v>
      </c>
      <c r="S82" s="90" t="e">
        <f>INDEX(Tree!#REF!,MATCH($Q82,Tree!#REF!,0)+MATCH(Tree!#REF!,Tree!#REF!,0)-1)</f>
        <v>#REF!</v>
      </c>
      <c r="T82" s="104" t="e">
        <f t="shared" si="30"/>
        <v>#REF!</v>
      </c>
      <c r="U82" s="102" t="e">
        <f>'Example calcs 2000'!S82*0.8</f>
        <v>#REF!</v>
      </c>
      <c r="V82" s="100" t="e">
        <f t="shared" si="31"/>
        <v>#REF!</v>
      </c>
      <c r="W82" s="102" t="str">
        <f t="shared" si="32"/>
        <v/>
      </c>
      <c r="X82" s="102" t="e">
        <f t="shared" si="21"/>
        <v>#REF!</v>
      </c>
      <c r="Y82" s="80" t="s">
        <v>33</v>
      </c>
      <c r="Z82" s="39">
        <f t="shared" si="33"/>
        <v>0</v>
      </c>
      <c r="AA82" s="80" t="e">
        <f>Tree!#REF!</f>
        <v>#REF!</v>
      </c>
      <c r="AB82" s="80"/>
      <c r="AC82" s="104" t="e">
        <f>X82*AA82</f>
        <v>#REF!</v>
      </c>
      <c r="AD82" s="102" t="e">
        <f>'Example calcs 2000'!Y82*0.8</f>
        <v>#REF!</v>
      </c>
      <c r="AE82" s="100" t="e">
        <f t="shared" si="34"/>
        <v>#REF!</v>
      </c>
      <c r="AF82" s="102" t="str">
        <f t="shared" si="35"/>
        <v/>
      </c>
      <c r="AG82" s="102" t="e">
        <f t="shared" si="22"/>
        <v>#REF!</v>
      </c>
      <c r="AH82" s="80" t="s">
        <v>52</v>
      </c>
      <c r="AI82" s="39">
        <f t="shared" si="36"/>
        <v>1</v>
      </c>
      <c r="AJ82" s="80"/>
      <c r="AK82" s="80" t="e">
        <f>Tree!#REF!</f>
        <v>#REF!</v>
      </c>
      <c r="AL82" s="91" t="e">
        <f t="shared" si="37"/>
        <v>#REF!</v>
      </c>
      <c r="AM82" s="80" t="e">
        <f t="shared" si="38"/>
        <v>#REF!</v>
      </c>
    </row>
    <row r="83" spans="3:39" s="72" customFormat="1" x14ac:dyDescent="0.25">
      <c r="C83" s="121" t="e">
        <f>Tree!#REF!</f>
        <v>#REF!</v>
      </c>
      <c r="D83" s="41" t="e">
        <f>Tree!#REF!</f>
        <v>#REF!</v>
      </c>
      <c r="E83" s="122" t="e">
        <f t="shared" si="23"/>
        <v>#REF!</v>
      </c>
      <c r="F83" s="41" t="e">
        <f>Tree!#REF!</f>
        <v>#REF!</v>
      </c>
      <c r="G83" s="122" t="e">
        <f t="shared" si="24"/>
        <v>#REF!</v>
      </c>
      <c r="H83" s="79" t="e">
        <f>INDEX(Tree!#REF!,MATCH($J83,Tree!#REF!,0))</f>
        <v>#REF!</v>
      </c>
      <c r="I83" s="100" t="e">
        <f t="shared" si="25"/>
        <v>#REF!</v>
      </c>
      <c r="J83" s="80" t="s">
        <v>23</v>
      </c>
      <c r="K83" s="90" t="e">
        <f>INDEX(Tree!#REF!,MATCH($J83,Tree!#REF!,0))</f>
        <v>#REF!</v>
      </c>
      <c r="L83" s="104" t="e">
        <f t="shared" si="20"/>
        <v>#REF!</v>
      </c>
      <c r="M83" s="102" t="e">
        <f>'Example calcs 2000'!N83*0.95</f>
        <v>#REF!</v>
      </c>
      <c r="N83" s="100" t="e">
        <f t="shared" si="26"/>
        <v>#REF!</v>
      </c>
      <c r="O83" s="102" t="str">
        <f t="shared" si="27"/>
        <v/>
      </c>
      <c r="P83" s="102" t="e">
        <f t="shared" si="28"/>
        <v>#REF!</v>
      </c>
      <c r="Q83" s="90" t="s">
        <v>31</v>
      </c>
      <c r="R83" s="39">
        <f t="shared" si="29"/>
        <v>0</v>
      </c>
      <c r="S83" s="90" t="e">
        <f>INDEX(Tree!#REF!,MATCH($Q83,Tree!#REF!,0)+MATCH(Tree!#REF!,Tree!#REF!,0)-1)</f>
        <v>#REF!</v>
      </c>
      <c r="T83" s="104" t="e">
        <f t="shared" si="30"/>
        <v>#REF!</v>
      </c>
      <c r="U83" s="102" t="e">
        <f>'Example calcs 2000'!S83*0.8</f>
        <v>#REF!</v>
      </c>
      <c r="V83" s="100" t="e">
        <f t="shared" si="31"/>
        <v>#REF!</v>
      </c>
      <c r="W83" s="102" t="str">
        <f t="shared" si="32"/>
        <v/>
      </c>
      <c r="X83" s="102" t="e">
        <f t="shared" si="21"/>
        <v>#REF!</v>
      </c>
      <c r="Y83" s="80" t="s">
        <v>33</v>
      </c>
      <c r="Z83" s="39">
        <f t="shared" si="33"/>
        <v>0</v>
      </c>
      <c r="AA83" s="80" t="e">
        <f>Tree!#REF!</f>
        <v>#REF!</v>
      </c>
      <c r="AB83" s="80"/>
      <c r="AC83" s="104" t="e">
        <f>X83*AA83</f>
        <v>#REF!</v>
      </c>
      <c r="AD83" s="102" t="e">
        <f>'Example calcs 2000'!Y83*0.8</f>
        <v>#REF!</v>
      </c>
      <c r="AE83" s="100" t="e">
        <f t="shared" si="34"/>
        <v>#REF!</v>
      </c>
      <c r="AF83" s="102" t="str">
        <f t="shared" si="35"/>
        <v/>
      </c>
      <c r="AG83" s="102" t="e">
        <f t="shared" si="22"/>
        <v>#REF!</v>
      </c>
      <c r="AH83" s="80" t="s">
        <v>53</v>
      </c>
      <c r="AI83" s="39">
        <f t="shared" si="36"/>
        <v>1</v>
      </c>
      <c r="AJ83" s="80"/>
      <c r="AK83" s="80" t="e">
        <f>Tree!#REF!</f>
        <v>#REF!</v>
      </c>
      <c r="AL83" s="91" t="e">
        <f t="shared" si="37"/>
        <v>#REF!</v>
      </c>
      <c r="AM83" s="80" t="e">
        <f t="shared" si="38"/>
        <v>#REF!</v>
      </c>
    </row>
    <row r="84" spans="3:39" s="72" customFormat="1" x14ac:dyDescent="0.25">
      <c r="C84" s="121" t="e">
        <f>Tree!#REF!</f>
        <v>#REF!</v>
      </c>
      <c r="D84" s="41" t="e">
        <f>Tree!#REF!</f>
        <v>#REF!</v>
      </c>
      <c r="E84" s="122" t="e">
        <f t="shared" si="23"/>
        <v>#REF!</v>
      </c>
      <c r="F84" s="41" t="e">
        <f>Tree!#REF!</f>
        <v>#REF!</v>
      </c>
      <c r="G84" s="122" t="e">
        <f t="shared" si="24"/>
        <v>#REF!</v>
      </c>
      <c r="H84" s="79" t="e">
        <f>INDEX(Tree!#REF!,MATCH($J84,Tree!#REF!,0))</f>
        <v>#REF!</v>
      </c>
      <c r="I84" s="100" t="e">
        <f t="shared" si="25"/>
        <v>#REF!</v>
      </c>
      <c r="J84" s="80" t="s">
        <v>23</v>
      </c>
      <c r="K84" s="90" t="e">
        <f>INDEX(Tree!#REF!,MATCH($J84,Tree!#REF!,0))</f>
        <v>#REF!</v>
      </c>
      <c r="L84" s="104" t="e">
        <f t="shared" si="20"/>
        <v>#REF!</v>
      </c>
      <c r="M84" s="102" t="e">
        <f>'Example calcs 2000'!N84*0.95</f>
        <v>#REF!</v>
      </c>
      <c r="N84" s="100" t="e">
        <f t="shared" si="26"/>
        <v>#REF!</v>
      </c>
      <c r="O84" s="102" t="str">
        <f t="shared" si="27"/>
        <v/>
      </c>
      <c r="P84" s="102" t="e">
        <f t="shared" si="28"/>
        <v>#REF!</v>
      </c>
      <c r="Q84" s="90" t="s">
        <v>27</v>
      </c>
      <c r="R84" s="39">
        <f t="shared" si="29"/>
        <v>1</v>
      </c>
      <c r="S84" s="90" t="e">
        <f>INDEX(Tree!#REF!,MATCH($Q84,Tree!#REF!,0)+MATCH(Tree!#REF!,Tree!#REF!,0)-1)</f>
        <v>#REF!</v>
      </c>
      <c r="T84" s="104" t="e">
        <f t="shared" si="30"/>
        <v>#REF!</v>
      </c>
      <c r="U84" s="102" t="e">
        <f>'Example calcs 2000'!S84*0.8</f>
        <v>#REF!</v>
      </c>
      <c r="V84" s="100" t="e">
        <f t="shared" si="31"/>
        <v>#REF!</v>
      </c>
      <c r="W84" s="102" t="str">
        <f t="shared" si="32"/>
        <v/>
      </c>
      <c r="X84" s="102" t="e">
        <f t="shared" si="21"/>
        <v>#REF!</v>
      </c>
      <c r="Y84" s="80" t="s">
        <v>32</v>
      </c>
      <c r="Z84" s="39">
        <f t="shared" si="33"/>
        <v>1</v>
      </c>
      <c r="AA84" s="80"/>
      <c r="AB84" s="80" t="e">
        <f>Tree!#REF!</f>
        <v>#REF!</v>
      </c>
      <c r="AC84" s="104"/>
      <c r="AD84" s="102">
        <f>'Example calcs 2000'!Y84*0.8</f>
        <v>0</v>
      </c>
      <c r="AE84" s="100" t="e">
        <f t="shared" si="34"/>
        <v>#REF!</v>
      </c>
      <c r="AF84" s="102" t="str">
        <f t="shared" si="35"/>
        <v/>
      </c>
      <c r="AG84" s="102">
        <f t="shared" si="22"/>
        <v>0</v>
      </c>
      <c r="AH84" s="80"/>
      <c r="AI84" s="39">
        <f t="shared" si="36"/>
        <v>1</v>
      </c>
      <c r="AJ84" s="80"/>
      <c r="AK84" s="80"/>
      <c r="AL84" s="91" t="e">
        <f t="shared" si="37"/>
        <v>#REF!</v>
      </c>
      <c r="AM84" s="80">
        <f t="shared" si="38"/>
        <v>0</v>
      </c>
    </row>
    <row r="85" spans="3:39" s="72" customFormat="1" x14ac:dyDescent="0.25">
      <c r="C85" s="121" t="e">
        <f>Tree!#REF!</f>
        <v>#REF!</v>
      </c>
      <c r="D85" s="41" t="e">
        <f>Tree!#REF!</f>
        <v>#REF!</v>
      </c>
      <c r="E85" s="122" t="e">
        <f t="shared" si="23"/>
        <v>#REF!</v>
      </c>
      <c r="F85" s="41" t="e">
        <f>Tree!#REF!</f>
        <v>#REF!</v>
      </c>
      <c r="G85" s="122" t="e">
        <f t="shared" si="24"/>
        <v>#REF!</v>
      </c>
      <c r="H85" s="79" t="e">
        <f>INDEX(Tree!#REF!,MATCH($J85,Tree!#REF!,0))</f>
        <v>#REF!</v>
      </c>
      <c r="I85" s="100" t="e">
        <f t="shared" si="25"/>
        <v>#REF!</v>
      </c>
      <c r="J85" s="80" t="s">
        <v>23</v>
      </c>
      <c r="K85" s="90" t="e">
        <f>INDEX(Tree!#REF!,MATCH($J85,Tree!#REF!,0))</f>
        <v>#REF!</v>
      </c>
      <c r="L85" s="104" t="e">
        <f t="shared" si="20"/>
        <v>#REF!</v>
      </c>
      <c r="M85" s="102" t="e">
        <f>'Example calcs 2000'!N85*0.95</f>
        <v>#REF!</v>
      </c>
      <c r="N85" s="100" t="e">
        <f t="shared" si="26"/>
        <v>#REF!</v>
      </c>
      <c r="O85" s="102" t="str">
        <f t="shared" si="27"/>
        <v/>
      </c>
      <c r="P85" s="102" t="e">
        <f t="shared" si="28"/>
        <v>#REF!</v>
      </c>
      <c r="Q85" s="90" t="s">
        <v>27</v>
      </c>
      <c r="R85" s="39">
        <f t="shared" si="29"/>
        <v>0</v>
      </c>
      <c r="S85" s="90" t="e">
        <f>INDEX(Tree!#REF!,MATCH($Q85,Tree!#REF!,0)+MATCH(Tree!#REF!,Tree!#REF!,0)-1)</f>
        <v>#REF!</v>
      </c>
      <c r="T85" s="104" t="e">
        <f t="shared" si="30"/>
        <v>#REF!</v>
      </c>
      <c r="U85" s="102" t="e">
        <f>'Example calcs 2000'!S85*0.8</f>
        <v>#REF!</v>
      </c>
      <c r="V85" s="100" t="e">
        <f t="shared" si="31"/>
        <v>#REF!</v>
      </c>
      <c r="W85" s="102" t="str">
        <f t="shared" si="32"/>
        <v/>
      </c>
      <c r="X85" s="102" t="e">
        <f t="shared" si="21"/>
        <v>#REF!</v>
      </c>
      <c r="Y85" s="80" t="s">
        <v>33</v>
      </c>
      <c r="Z85" s="39">
        <f t="shared" si="33"/>
        <v>1</v>
      </c>
      <c r="AA85" s="80" t="e">
        <f>Tree!#REF!</f>
        <v>#REF!</v>
      </c>
      <c r="AB85" s="80"/>
      <c r="AC85" s="104" t="e">
        <f>X85*AA85</f>
        <v>#REF!</v>
      </c>
      <c r="AD85" s="102" t="e">
        <f>'Example calcs 2000'!Y85*0.8</f>
        <v>#REF!</v>
      </c>
      <c r="AE85" s="100" t="e">
        <f t="shared" si="34"/>
        <v>#REF!</v>
      </c>
      <c r="AF85" s="102" t="str">
        <f t="shared" si="35"/>
        <v/>
      </c>
      <c r="AG85" s="102" t="e">
        <f t="shared" si="22"/>
        <v>#REF!</v>
      </c>
      <c r="AH85" s="80" t="s">
        <v>54</v>
      </c>
      <c r="AI85" s="39">
        <f t="shared" si="36"/>
        <v>1</v>
      </c>
      <c r="AJ85" s="80" t="e">
        <f>Tree!#REF!</f>
        <v>#REF!</v>
      </c>
      <c r="AK85" s="80"/>
      <c r="AL85" s="91" t="e">
        <f t="shared" si="37"/>
        <v>#REF!</v>
      </c>
      <c r="AM85" s="80" t="e">
        <f t="shared" si="38"/>
        <v>#REF!</v>
      </c>
    </row>
    <row r="86" spans="3:39" s="72" customFormat="1" x14ac:dyDescent="0.25">
      <c r="C86" s="121" t="e">
        <f>Tree!#REF!</f>
        <v>#REF!</v>
      </c>
      <c r="D86" s="41" t="e">
        <f>Tree!#REF!</f>
        <v>#REF!</v>
      </c>
      <c r="E86" s="122" t="e">
        <f t="shared" si="23"/>
        <v>#REF!</v>
      </c>
      <c r="F86" s="41" t="e">
        <f>Tree!#REF!</f>
        <v>#REF!</v>
      </c>
      <c r="G86" s="122" t="e">
        <f t="shared" si="24"/>
        <v>#REF!</v>
      </c>
      <c r="H86" s="79" t="e">
        <f>INDEX(Tree!#REF!,MATCH($J86,Tree!#REF!,0))</f>
        <v>#REF!</v>
      </c>
      <c r="I86" s="100" t="e">
        <f t="shared" si="25"/>
        <v>#REF!</v>
      </c>
      <c r="J86" s="80" t="s">
        <v>23</v>
      </c>
      <c r="K86" s="90" t="e">
        <f>INDEX(Tree!#REF!,MATCH($J86,Tree!#REF!,0))</f>
        <v>#REF!</v>
      </c>
      <c r="L86" s="104" t="e">
        <f t="shared" si="20"/>
        <v>#REF!</v>
      </c>
      <c r="M86" s="102" t="e">
        <f>'Example calcs 2000'!N86*0.95</f>
        <v>#REF!</v>
      </c>
      <c r="N86" s="100" t="e">
        <f t="shared" si="26"/>
        <v>#REF!</v>
      </c>
      <c r="O86" s="102" t="str">
        <f t="shared" si="27"/>
        <v/>
      </c>
      <c r="P86" s="102" t="e">
        <f t="shared" si="28"/>
        <v>#REF!</v>
      </c>
      <c r="Q86" s="90" t="s">
        <v>27</v>
      </c>
      <c r="R86" s="39">
        <f t="shared" si="29"/>
        <v>0</v>
      </c>
      <c r="S86" s="90" t="e">
        <f>INDEX(Tree!#REF!,MATCH($Q86,Tree!#REF!,0)+MATCH(Tree!#REF!,Tree!#REF!,0)-1)</f>
        <v>#REF!</v>
      </c>
      <c r="T86" s="104" t="e">
        <f t="shared" si="30"/>
        <v>#REF!</v>
      </c>
      <c r="U86" s="102" t="e">
        <f>'Example calcs 2000'!S86*0.8</f>
        <v>#REF!</v>
      </c>
      <c r="V86" s="100" t="e">
        <f t="shared" si="31"/>
        <v>#REF!</v>
      </c>
      <c r="W86" s="102" t="str">
        <f t="shared" si="32"/>
        <v/>
      </c>
      <c r="X86" s="102" t="e">
        <f t="shared" si="21"/>
        <v>#REF!</v>
      </c>
      <c r="Y86" s="80" t="s">
        <v>33</v>
      </c>
      <c r="Z86" s="39">
        <f t="shared" si="33"/>
        <v>0</v>
      </c>
      <c r="AA86" s="80" t="e">
        <f>Tree!#REF!</f>
        <v>#REF!</v>
      </c>
      <c r="AB86" s="80"/>
      <c r="AC86" s="104" t="e">
        <f>X86*AA86</f>
        <v>#REF!</v>
      </c>
      <c r="AD86" s="102" t="e">
        <f>'Example calcs 2000'!Y86*0.8</f>
        <v>#REF!</v>
      </c>
      <c r="AE86" s="100" t="e">
        <f t="shared" si="34"/>
        <v>#REF!</v>
      </c>
      <c r="AF86" s="102" t="str">
        <f t="shared" si="35"/>
        <v/>
      </c>
      <c r="AG86" s="102" t="e">
        <f t="shared" si="22"/>
        <v>#REF!</v>
      </c>
      <c r="AH86" s="80" t="s">
        <v>117</v>
      </c>
      <c r="AI86" s="39">
        <f t="shared" si="36"/>
        <v>1</v>
      </c>
      <c r="AJ86" s="80" t="e">
        <f>Tree!#REF!</f>
        <v>#REF!</v>
      </c>
      <c r="AK86" s="80"/>
      <c r="AL86" s="91" t="e">
        <f t="shared" si="37"/>
        <v>#REF!</v>
      </c>
      <c r="AM86" s="80" t="e">
        <f t="shared" si="38"/>
        <v>#REF!</v>
      </c>
    </row>
    <row r="87" spans="3:39" s="72" customFormat="1" x14ac:dyDescent="0.25">
      <c r="C87" s="121" t="e">
        <f>Tree!#REF!</f>
        <v>#REF!</v>
      </c>
      <c r="D87" s="41" t="e">
        <f>Tree!#REF!</f>
        <v>#REF!</v>
      </c>
      <c r="E87" s="122" t="e">
        <f t="shared" si="23"/>
        <v>#REF!</v>
      </c>
      <c r="F87" s="41" t="e">
        <f>Tree!#REF!</f>
        <v>#REF!</v>
      </c>
      <c r="G87" s="122" t="e">
        <f t="shared" si="24"/>
        <v>#REF!</v>
      </c>
      <c r="H87" s="79" t="e">
        <f>INDEX(Tree!#REF!,MATCH($J87,Tree!#REF!,0))</f>
        <v>#REF!</v>
      </c>
      <c r="I87" s="100" t="e">
        <f t="shared" si="25"/>
        <v>#REF!</v>
      </c>
      <c r="J87" s="80" t="s">
        <v>23</v>
      </c>
      <c r="K87" s="90" t="e">
        <f>INDEX(Tree!#REF!,MATCH($J87,Tree!#REF!,0))</f>
        <v>#REF!</v>
      </c>
      <c r="L87" s="104" t="e">
        <f t="shared" si="20"/>
        <v>#REF!</v>
      </c>
      <c r="M87" s="102" t="e">
        <f>'Example calcs 2000'!N87*0.95</f>
        <v>#REF!</v>
      </c>
      <c r="N87" s="100" t="e">
        <f t="shared" si="26"/>
        <v>#REF!</v>
      </c>
      <c r="O87" s="102" t="str">
        <f t="shared" si="27"/>
        <v/>
      </c>
      <c r="P87" s="102" t="e">
        <f t="shared" si="28"/>
        <v>#REF!</v>
      </c>
      <c r="Q87" s="90" t="s">
        <v>27</v>
      </c>
      <c r="R87" s="39">
        <f t="shared" si="29"/>
        <v>0</v>
      </c>
      <c r="S87" s="90" t="e">
        <f>INDEX(Tree!#REF!,MATCH($Q87,Tree!#REF!,0)+MATCH(Tree!#REF!,Tree!#REF!,0)-1)</f>
        <v>#REF!</v>
      </c>
      <c r="T87" s="104" t="e">
        <f t="shared" si="30"/>
        <v>#REF!</v>
      </c>
      <c r="U87" s="102" t="e">
        <f>'Example calcs 2000'!S87*0.8</f>
        <v>#REF!</v>
      </c>
      <c r="V87" s="100" t="e">
        <f t="shared" si="31"/>
        <v>#REF!</v>
      </c>
      <c r="W87" s="102" t="str">
        <f t="shared" si="32"/>
        <v/>
      </c>
      <c r="X87" s="102" t="e">
        <f t="shared" si="21"/>
        <v>#REF!</v>
      </c>
      <c r="Y87" s="80" t="s">
        <v>33</v>
      </c>
      <c r="Z87" s="39">
        <f t="shared" si="33"/>
        <v>0</v>
      </c>
      <c r="AA87" s="80" t="e">
        <f>Tree!#REF!</f>
        <v>#REF!</v>
      </c>
      <c r="AB87" s="80"/>
      <c r="AC87" s="104" t="e">
        <f>X87*AA87</f>
        <v>#REF!</v>
      </c>
      <c r="AD87" s="102" t="e">
        <f>'Example calcs 2000'!Y87*0.8</f>
        <v>#REF!</v>
      </c>
      <c r="AE87" s="100" t="e">
        <f t="shared" si="34"/>
        <v>#REF!</v>
      </c>
      <c r="AF87" s="102" t="str">
        <f t="shared" si="35"/>
        <v/>
      </c>
      <c r="AG87" s="102" t="e">
        <f t="shared" si="22"/>
        <v>#REF!</v>
      </c>
      <c r="AH87" s="80" t="s">
        <v>52</v>
      </c>
      <c r="AI87" s="39">
        <f t="shared" si="36"/>
        <v>1</v>
      </c>
      <c r="AJ87" s="80"/>
      <c r="AK87" s="80" t="e">
        <f>Tree!#REF!</f>
        <v>#REF!</v>
      </c>
      <c r="AL87" s="91" t="e">
        <f t="shared" si="37"/>
        <v>#REF!</v>
      </c>
      <c r="AM87" s="80" t="e">
        <f t="shared" si="38"/>
        <v>#REF!</v>
      </c>
    </row>
    <row r="88" spans="3:39" s="72" customFormat="1" x14ac:dyDescent="0.25">
      <c r="C88" s="121" t="e">
        <f>Tree!#REF!</f>
        <v>#REF!</v>
      </c>
      <c r="D88" s="41" t="e">
        <f>Tree!#REF!</f>
        <v>#REF!</v>
      </c>
      <c r="E88" s="122" t="e">
        <f t="shared" si="23"/>
        <v>#REF!</v>
      </c>
      <c r="F88" s="41" t="e">
        <f>Tree!#REF!</f>
        <v>#REF!</v>
      </c>
      <c r="G88" s="122" t="e">
        <f t="shared" si="24"/>
        <v>#REF!</v>
      </c>
      <c r="H88" s="79" t="e">
        <f>INDEX(Tree!#REF!,MATCH($J88,Tree!#REF!,0))</f>
        <v>#REF!</v>
      </c>
      <c r="I88" s="100" t="e">
        <f t="shared" si="25"/>
        <v>#REF!</v>
      </c>
      <c r="J88" s="80" t="s">
        <v>23</v>
      </c>
      <c r="K88" s="90" t="e">
        <f>INDEX(Tree!#REF!,MATCH($J88,Tree!#REF!,0))</f>
        <v>#REF!</v>
      </c>
      <c r="L88" s="104" t="e">
        <f t="shared" si="20"/>
        <v>#REF!</v>
      </c>
      <c r="M88" s="102" t="e">
        <f>'Example calcs 2000'!N88*0.95</f>
        <v>#REF!</v>
      </c>
      <c r="N88" s="100" t="e">
        <f t="shared" si="26"/>
        <v>#REF!</v>
      </c>
      <c r="O88" s="102" t="str">
        <f t="shared" si="27"/>
        <v/>
      </c>
      <c r="P88" s="102" t="e">
        <f t="shared" si="28"/>
        <v>#REF!</v>
      </c>
      <c r="Q88" s="90" t="s">
        <v>27</v>
      </c>
      <c r="R88" s="39">
        <f t="shared" si="29"/>
        <v>0</v>
      </c>
      <c r="S88" s="90" t="e">
        <f>INDEX(Tree!#REF!,MATCH($Q88,Tree!#REF!,0)+MATCH(Tree!#REF!,Tree!#REF!,0)-1)</f>
        <v>#REF!</v>
      </c>
      <c r="T88" s="104" t="e">
        <f t="shared" si="30"/>
        <v>#REF!</v>
      </c>
      <c r="U88" s="102" t="e">
        <f>'Example calcs 2000'!S88*0.8</f>
        <v>#REF!</v>
      </c>
      <c r="V88" s="100" t="e">
        <f t="shared" si="31"/>
        <v>#REF!</v>
      </c>
      <c r="W88" s="102" t="str">
        <f t="shared" si="32"/>
        <v/>
      </c>
      <c r="X88" s="102" t="e">
        <f t="shared" si="21"/>
        <v>#REF!</v>
      </c>
      <c r="Y88" s="80" t="s">
        <v>33</v>
      </c>
      <c r="Z88" s="39">
        <f t="shared" si="33"/>
        <v>0</v>
      </c>
      <c r="AA88" s="80" t="e">
        <f>Tree!#REF!</f>
        <v>#REF!</v>
      </c>
      <c r="AB88" s="80"/>
      <c r="AC88" s="104" t="e">
        <f>X88*AA88</f>
        <v>#REF!</v>
      </c>
      <c r="AD88" s="102" t="e">
        <f>'Example calcs 2000'!Y88*0.8</f>
        <v>#REF!</v>
      </c>
      <c r="AE88" s="100" t="e">
        <f t="shared" si="34"/>
        <v>#REF!</v>
      </c>
      <c r="AF88" s="102" t="str">
        <f t="shared" si="35"/>
        <v/>
      </c>
      <c r="AG88" s="102" t="e">
        <f t="shared" si="22"/>
        <v>#REF!</v>
      </c>
      <c r="AH88" s="80" t="s">
        <v>53</v>
      </c>
      <c r="AI88" s="39">
        <f t="shared" si="36"/>
        <v>1</v>
      </c>
      <c r="AJ88" s="80"/>
      <c r="AK88" s="80" t="e">
        <f>Tree!#REF!</f>
        <v>#REF!</v>
      </c>
      <c r="AL88" s="91" t="e">
        <f t="shared" si="37"/>
        <v>#REF!</v>
      </c>
      <c r="AM88" s="80" t="e">
        <f t="shared" si="38"/>
        <v>#REF!</v>
      </c>
    </row>
    <row r="89" spans="3:39" s="72" customFormat="1" x14ac:dyDescent="0.25">
      <c r="C89" s="121" t="e">
        <f>Tree!#REF!</f>
        <v>#REF!</v>
      </c>
      <c r="D89" s="41" t="e">
        <f>Tree!#REF!</f>
        <v>#REF!</v>
      </c>
      <c r="E89" s="122" t="e">
        <f t="shared" si="23"/>
        <v>#REF!</v>
      </c>
      <c r="F89" s="41" t="e">
        <f>Tree!#REF!</f>
        <v>#REF!</v>
      </c>
      <c r="G89" s="122" t="e">
        <f t="shared" si="24"/>
        <v>#REF!</v>
      </c>
      <c r="H89" s="79" t="e">
        <f>INDEX(Tree!#REF!,MATCH($J89,Tree!#REF!,0))</f>
        <v>#REF!</v>
      </c>
      <c r="I89" s="100" t="e">
        <f t="shared" si="25"/>
        <v>#REF!</v>
      </c>
      <c r="J89" s="80" t="s">
        <v>23</v>
      </c>
      <c r="K89" s="90" t="e">
        <f>INDEX(Tree!#REF!,MATCH($J89,Tree!#REF!,0))</f>
        <v>#REF!</v>
      </c>
      <c r="L89" s="104" t="e">
        <f t="shared" si="20"/>
        <v>#REF!</v>
      </c>
      <c r="M89" s="102" t="e">
        <f>'Example calcs 2000'!N89*0.95</f>
        <v>#REF!</v>
      </c>
      <c r="N89" s="100" t="e">
        <f t="shared" si="26"/>
        <v>#REF!</v>
      </c>
      <c r="O89" s="102" t="str">
        <f t="shared" si="27"/>
        <v/>
      </c>
      <c r="P89" s="102" t="e">
        <f t="shared" si="28"/>
        <v>#REF!</v>
      </c>
      <c r="Q89" s="90" t="s">
        <v>28</v>
      </c>
      <c r="R89" s="39">
        <f t="shared" si="29"/>
        <v>1</v>
      </c>
      <c r="S89" s="90" t="e">
        <f>INDEX(Tree!#REF!,MATCH($Q89,Tree!#REF!,0)+MATCH(Tree!#REF!,Tree!#REF!,0)-1)</f>
        <v>#REF!</v>
      </c>
      <c r="T89" s="104" t="e">
        <f t="shared" si="30"/>
        <v>#REF!</v>
      </c>
      <c r="U89" s="102" t="e">
        <f>'Example calcs 2000'!S89*0.8</f>
        <v>#REF!</v>
      </c>
      <c r="V89" s="100" t="e">
        <f t="shared" si="31"/>
        <v>#REF!</v>
      </c>
      <c r="W89" s="102" t="str">
        <f t="shared" si="32"/>
        <v/>
      </c>
      <c r="X89" s="102" t="e">
        <f t="shared" si="21"/>
        <v>#REF!</v>
      </c>
      <c r="Y89" s="80" t="s">
        <v>32</v>
      </c>
      <c r="Z89" s="39">
        <f t="shared" si="33"/>
        <v>1</v>
      </c>
      <c r="AA89" s="80"/>
      <c r="AB89" s="80" t="e">
        <f>Tree!#REF!</f>
        <v>#REF!</v>
      </c>
      <c r="AC89" s="104"/>
      <c r="AD89" s="102">
        <f>'Example calcs 2000'!Y89*0.8</f>
        <v>0</v>
      </c>
      <c r="AE89" s="100" t="e">
        <f t="shared" si="34"/>
        <v>#REF!</v>
      </c>
      <c r="AF89" s="102" t="str">
        <f t="shared" si="35"/>
        <v/>
      </c>
      <c r="AG89" s="102">
        <f t="shared" si="22"/>
        <v>0</v>
      </c>
      <c r="AH89" s="80"/>
      <c r="AI89" s="39">
        <f t="shared" si="36"/>
        <v>1</v>
      </c>
      <c r="AJ89" s="80"/>
      <c r="AK89" s="80"/>
      <c r="AL89" s="91" t="e">
        <f t="shared" si="37"/>
        <v>#REF!</v>
      </c>
      <c r="AM89" s="80">
        <f t="shared" si="38"/>
        <v>0</v>
      </c>
    </row>
    <row r="90" spans="3:39" s="72" customFormat="1" x14ac:dyDescent="0.25">
      <c r="C90" s="121" t="e">
        <f>Tree!#REF!</f>
        <v>#REF!</v>
      </c>
      <c r="D90" s="41" t="e">
        <f>Tree!#REF!</f>
        <v>#REF!</v>
      </c>
      <c r="E90" s="122" t="e">
        <f t="shared" si="23"/>
        <v>#REF!</v>
      </c>
      <c r="F90" s="41" t="e">
        <f>Tree!#REF!</f>
        <v>#REF!</v>
      </c>
      <c r="G90" s="122" t="e">
        <f t="shared" si="24"/>
        <v>#REF!</v>
      </c>
      <c r="H90" s="79" t="e">
        <f>INDEX(Tree!#REF!,MATCH($J90,Tree!#REF!,0))</f>
        <v>#REF!</v>
      </c>
      <c r="I90" s="100" t="e">
        <f t="shared" si="25"/>
        <v>#REF!</v>
      </c>
      <c r="J90" s="80" t="s">
        <v>23</v>
      </c>
      <c r="K90" s="90" t="e">
        <f>INDEX(Tree!#REF!,MATCH($J90,Tree!#REF!,0))</f>
        <v>#REF!</v>
      </c>
      <c r="L90" s="104" t="e">
        <f t="shared" si="20"/>
        <v>#REF!</v>
      </c>
      <c r="M90" s="102" t="e">
        <f>'Example calcs 2000'!N90*0.95</f>
        <v>#REF!</v>
      </c>
      <c r="N90" s="100" t="e">
        <f t="shared" si="26"/>
        <v>#REF!</v>
      </c>
      <c r="O90" s="102" t="str">
        <f t="shared" si="27"/>
        <v/>
      </c>
      <c r="P90" s="102" t="e">
        <f t="shared" si="28"/>
        <v>#REF!</v>
      </c>
      <c r="Q90" s="90" t="s">
        <v>28</v>
      </c>
      <c r="R90" s="39">
        <f t="shared" si="29"/>
        <v>0</v>
      </c>
      <c r="S90" s="90" t="e">
        <f>INDEX(Tree!#REF!,MATCH($Q90,Tree!#REF!,0)+MATCH(Tree!#REF!,Tree!#REF!,0)-1)</f>
        <v>#REF!</v>
      </c>
      <c r="T90" s="104" t="e">
        <f t="shared" si="30"/>
        <v>#REF!</v>
      </c>
      <c r="U90" s="102" t="e">
        <f>'Example calcs 2000'!S90*0.8</f>
        <v>#REF!</v>
      </c>
      <c r="V90" s="100" t="e">
        <f t="shared" si="31"/>
        <v>#REF!</v>
      </c>
      <c r="W90" s="102" t="str">
        <f t="shared" si="32"/>
        <v/>
      </c>
      <c r="X90" s="102" t="e">
        <f t="shared" si="21"/>
        <v>#REF!</v>
      </c>
      <c r="Y90" s="80" t="s">
        <v>33</v>
      </c>
      <c r="Z90" s="39">
        <f t="shared" si="33"/>
        <v>1</v>
      </c>
      <c r="AA90" s="80" t="e">
        <f>Tree!#REF!</f>
        <v>#REF!</v>
      </c>
      <c r="AB90" s="80"/>
      <c r="AC90" s="104" t="e">
        <f>X90*AA90</f>
        <v>#REF!</v>
      </c>
      <c r="AD90" s="102" t="e">
        <f>'Example calcs 2000'!Y90*0.8</f>
        <v>#REF!</v>
      </c>
      <c r="AE90" s="100" t="e">
        <f t="shared" si="34"/>
        <v>#REF!</v>
      </c>
      <c r="AF90" s="102" t="str">
        <f t="shared" si="35"/>
        <v/>
      </c>
      <c r="AG90" s="102" t="e">
        <f t="shared" si="22"/>
        <v>#REF!</v>
      </c>
      <c r="AH90" s="80" t="s">
        <v>54</v>
      </c>
      <c r="AI90" s="39">
        <f t="shared" si="36"/>
        <v>1</v>
      </c>
      <c r="AJ90" s="80" t="e">
        <f>Tree!#REF!</f>
        <v>#REF!</v>
      </c>
      <c r="AK90" s="80"/>
      <c r="AL90" s="91" t="e">
        <f t="shared" si="37"/>
        <v>#REF!</v>
      </c>
      <c r="AM90" s="80" t="e">
        <f t="shared" si="38"/>
        <v>#REF!</v>
      </c>
    </row>
    <row r="91" spans="3:39" s="72" customFormat="1" x14ac:dyDescent="0.25">
      <c r="C91" s="121" t="e">
        <f>Tree!#REF!</f>
        <v>#REF!</v>
      </c>
      <c r="D91" s="41" t="e">
        <f>Tree!#REF!</f>
        <v>#REF!</v>
      </c>
      <c r="E91" s="122" t="e">
        <f t="shared" si="23"/>
        <v>#REF!</v>
      </c>
      <c r="F91" s="41" t="e">
        <f>Tree!#REF!</f>
        <v>#REF!</v>
      </c>
      <c r="G91" s="122" t="e">
        <f t="shared" si="24"/>
        <v>#REF!</v>
      </c>
      <c r="H91" s="79" t="e">
        <f>INDEX(Tree!#REF!,MATCH($J91,Tree!#REF!,0))</f>
        <v>#REF!</v>
      </c>
      <c r="I91" s="100" t="e">
        <f t="shared" si="25"/>
        <v>#REF!</v>
      </c>
      <c r="J91" s="80" t="s">
        <v>23</v>
      </c>
      <c r="K91" s="90" t="e">
        <f>INDEX(Tree!#REF!,MATCH($J91,Tree!#REF!,0))</f>
        <v>#REF!</v>
      </c>
      <c r="L91" s="104" t="e">
        <f t="shared" si="20"/>
        <v>#REF!</v>
      </c>
      <c r="M91" s="102" t="e">
        <f>'Example calcs 2000'!N91*0.95</f>
        <v>#REF!</v>
      </c>
      <c r="N91" s="100" t="e">
        <f t="shared" si="26"/>
        <v>#REF!</v>
      </c>
      <c r="O91" s="102" t="str">
        <f t="shared" si="27"/>
        <v/>
      </c>
      <c r="P91" s="102" t="e">
        <f t="shared" si="28"/>
        <v>#REF!</v>
      </c>
      <c r="Q91" s="90" t="s">
        <v>28</v>
      </c>
      <c r="R91" s="39">
        <f t="shared" si="29"/>
        <v>0</v>
      </c>
      <c r="S91" s="90" t="e">
        <f>INDEX(Tree!#REF!,MATCH($Q91,Tree!#REF!,0)+MATCH(Tree!#REF!,Tree!#REF!,0)-1)</f>
        <v>#REF!</v>
      </c>
      <c r="T91" s="104" t="e">
        <f t="shared" si="30"/>
        <v>#REF!</v>
      </c>
      <c r="U91" s="102" t="e">
        <f>'Example calcs 2000'!S91*0.8</f>
        <v>#REF!</v>
      </c>
      <c r="V91" s="100" t="e">
        <f t="shared" si="31"/>
        <v>#REF!</v>
      </c>
      <c r="W91" s="102" t="str">
        <f t="shared" si="32"/>
        <v/>
      </c>
      <c r="X91" s="102" t="e">
        <f t="shared" si="21"/>
        <v>#REF!</v>
      </c>
      <c r="Y91" s="80" t="s">
        <v>33</v>
      </c>
      <c r="Z91" s="39">
        <f t="shared" si="33"/>
        <v>0</v>
      </c>
      <c r="AA91" s="80" t="e">
        <f>Tree!#REF!</f>
        <v>#REF!</v>
      </c>
      <c r="AB91" s="80"/>
      <c r="AC91" s="104" t="e">
        <f>X91*AA91</f>
        <v>#REF!</v>
      </c>
      <c r="AD91" s="102" t="e">
        <f>'Example calcs 2000'!Y91*0.8</f>
        <v>#REF!</v>
      </c>
      <c r="AE91" s="100" t="e">
        <f t="shared" si="34"/>
        <v>#REF!</v>
      </c>
      <c r="AF91" s="102" t="str">
        <f t="shared" si="35"/>
        <v/>
      </c>
      <c r="AG91" s="102" t="e">
        <f t="shared" si="22"/>
        <v>#REF!</v>
      </c>
      <c r="AH91" s="80" t="s">
        <v>117</v>
      </c>
      <c r="AI91" s="39">
        <f t="shared" si="36"/>
        <v>1</v>
      </c>
      <c r="AJ91" s="80" t="e">
        <f>Tree!#REF!</f>
        <v>#REF!</v>
      </c>
      <c r="AK91" s="80"/>
      <c r="AL91" s="91" t="e">
        <f t="shared" si="37"/>
        <v>#REF!</v>
      </c>
      <c r="AM91" s="80" t="e">
        <f t="shared" si="38"/>
        <v>#REF!</v>
      </c>
    </row>
    <row r="92" spans="3:39" s="72" customFormat="1" x14ac:dyDescent="0.25">
      <c r="C92" s="121" t="e">
        <f>Tree!#REF!</f>
        <v>#REF!</v>
      </c>
      <c r="D92" s="41" t="e">
        <f>Tree!#REF!</f>
        <v>#REF!</v>
      </c>
      <c r="E92" s="122" t="e">
        <f t="shared" si="23"/>
        <v>#REF!</v>
      </c>
      <c r="F92" s="41" t="e">
        <f>Tree!#REF!</f>
        <v>#REF!</v>
      </c>
      <c r="G92" s="122" t="e">
        <f t="shared" si="24"/>
        <v>#REF!</v>
      </c>
      <c r="H92" s="79" t="e">
        <f>INDEX(Tree!#REF!,MATCH($J92,Tree!#REF!,0))</f>
        <v>#REF!</v>
      </c>
      <c r="I92" s="100" t="e">
        <f t="shared" si="25"/>
        <v>#REF!</v>
      </c>
      <c r="J92" s="80" t="s">
        <v>23</v>
      </c>
      <c r="K92" s="90" t="e">
        <f>INDEX(Tree!#REF!,MATCH($J92,Tree!#REF!,0))</f>
        <v>#REF!</v>
      </c>
      <c r="L92" s="104" t="e">
        <f t="shared" si="20"/>
        <v>#REF!</v>
      </c>
      <c r="M92" s="102" t="e">
        <f>'Example calcs 2000'!N92*0.95</f>
        <v>#REF!</v>
      </c>
      <c r="N92" s="100" t="e">
        <f t="shared" si="26"/>
        <v>#REF!</v>
      </c>
      <c r="O92" s="102" t="str">
        <f t="shared" si="27"/>
        <v/>
      </c>
      <c r="P92" s="102" t="e">
        <f t="shared" si="28"/>
        <v>#REF!</v>
      </c>
      <c r="Q92" s="90" t="s">
        <v>28</v>
      </c>
      <c r="R92" s="39">
        <f t="shared" si="29"/>
        <v>0</v>
      </c>
      <c r="S92" s="90" t="e">
        <f>INDEX(Tree!#REF!,MATCH($Q92,Tree!#REF!,0)+MATCH(Tree!#REF!,Tree!#REF!,0)-1)</f>
        <v>#REF!</v>
      </c>
      <c r="T92" s="104" t="e">
        <f t="shared" si="30"/>
        <v>#REF!</v>
      </c>
      <c r="U92" s="102" t="e">
        <f>'Example calcs 2000'!S92*0.8</f>
        <v>#REF!</v>
      </c>
      <c r="V92" s="100" t="e">
        <f t="shared" si="31"/>
        <v>#REF!</v>
      </c>
      <c r="W92" s="102" t="str">
        <f t="shared" si="32"/>
        <v/>
      </c>
      <c r="X92" s="102" t="e">
        <f t="shared" si="21"/>
        <v>#REF!</v>
      </c>
      <c r="Y92" s="80" t="s">
        <v>33</v>
      </c>
      <c r="Z92" s="39">
        <f t="shared" si="33"/>
        <v>0</v>
      </c>
      <c r="AA92" s="80" t="e">
        <f>Tree!#REF!</f>
        <v>#REF!</v>
      </c>
      <c r="AB92" s="80"/>
      <c r="AC92" s="104" t="e">
        <f>X92*AA92</f>
        <v>#REF!</v>
      </c>
      <c r="AD92" s="102" t="e">
        <f>'Example calcs 2000'!Y92*0.8</f>
        <v>#REF!</v>
      </c>
      <c r="AE92" s="100" t="e">
        <f t="shared" si="34"/>
        <v>#REF!</v>
      </c>
      <c r="AF92" s="102" t="str">
        <f t="shared" si="35"/>
        <v/>
      </c>
      <c r="AG92" s="102" t="e">
        <f t="shared" si="22"/>
        <v>#REF!</v>
      </c>
      <c r="AH92" s="80" t="s">
        <v>52</v>
      </c>
      <c r="AI92" s="39">
        <f t="shared" si="36"/>
        <v>1</v>
      </c>
      <c r="AJ92" s="80"/>
      <c r="AK92" s="80" t="e">
        <f>Tree!#REF!</f>
        <v>#REF!</v>
      </c>
      <c r="AL92" s="91" t="e">
        <f t="shared" si="37"/>
        <v>#REF!</v>
      </c>
      <c r="AM92" s="80" t="e">
        <f t="shared" si="38"/>
        <v>#REF!</v>
      </c>
    </row>
    <row r="93" spans="3:39" s="72" customFormat="1" x14ac:dyDescent="0.25">
      <c r="C93" s="121" t="e">
        <f>Tree!#REF!</f>
        <v>#REF!</v>
      </c>
      <c r="D93" s="41" t="e">
        <f>Tree!#REF!</f>
        <v>#REF!</v>
      </c>
      <c r="E93" s="122" t="e">
        <f t="shared" si="23"/>
        <v>#REF!</v>
      </c>
      <c r="F93" s="41" t="e">
        <f>Tree!#REF!</f>
        <v>#REF!</v>
      </c>
      <c r="G93" s="122" t="e">
        <f t="shared" si="24"/>
        <v>#REF!</v>
      </c>
      <c r="H93" s="79" t="e">
        <f>INDEX(Tree!#REF!,MATCH($J93,Tree!#REF!,0))</f>
        <v>#REF!</v>
      </c>
      <c r="I93" s="100" t="e">
        <f t="shared" si="25"/>
        <v>#REF!</v>
      </c>
      <c r="J93" s="80" t="s">
        <v>23</v>
      </c>
      <c r="K93" s="90" t="e">
        <f>INDEX(Tree!#REF!,MATCH($J93,Tree!#REF!,0))</f>
        <v>#REF!</v>
      </c>
      <c r="L93" s="104" t="e">
        <f t="shared" si="20"/>
        <v>#REF!</v>
      </c>
      <c r="M93" s="102" t="e">
        <f>'Example calcs 2000'!N93*0.95</f>
        <v>#REF!</v>
      </c>
      <c r="N93" s="100" t="e">
        <f t="shared" si="26"/>
        <v>#REF!</v>
      </c>
      <c r="O93" s="102" t="str">
        <f t="shared" si="27"/>
        <v/>
      </c>
      <c r="P93" s="102" t="e">
        <f t="shared" si="28"/>
        <v>#REF!</v>
      </c>
      <c r="Q93" s="90" t="s">
        <v>28</v>
      </c>
      <c r="R93" s="39">
        <f t="shared" si="29"/>
        <v>0</v>
      </c>
      <c r="S93" s="90" t="e">
        <f>INDEX(Tree!#REF!,MATCH($Q93,Tree!#REF!,0)+MATCH(Tree!#REF!,Tree!#REF!,0)-1)</f>
        <v>#REF!</v>
      </c>
      <c r="T93" s="104" t="e">
        <f t="shared" si="30"/>
        <v>#REF!</v>
      </c>
      <c r="U93" s="102" t="e">
        <f>'Example calcs 2000'!S93*0.8</f>
        <v>#REF!</v>
      </c>
      <c r="V93" s="100" t="e">
        <f t="shared" si="31"/>
        <v>#REF!</v>
      </c>
      <c r="W93" s="102" t="str">
        <f t="shared" si="32"/>
        <v/>
      </c>
      <c r="X93" s="102" t="e">
        <f t="shared" si="21"/>
        <v>#REF!</v>
      </c>
      <c r="Y93" s="80" t="s">
        <v>33</v>
      </c>
      <c r="Z93" s="39">
        <f t="shared" si="33"/>
        <v>0</v>
      </c>
      <c r="AA93" s="80" t="e">
        <f>Tree!#REF!</f>
        <v>#REF!</v>
      </c>
      <c r="AB93" s="80"/>
      <c r="AC93" s="104" t="e">
        <f>X93*AA93</f>
        <v>#REF!</v>
      </c>
      <c r="AD93" s="102" t="e">
        <f>'Example calcs 2000'!Y93*0.8</f>
        <v>#REF!</v>
      </c>
      <c r="AE93" s="100" t="e">
        <f t="shared" si="34"/>
        <v>#REF!</v>
      </c>
      <c r="AF93" s="102" t="str">
        <f t="shared" si="35"/>
        <v/>
      </c>
      <c r="AG93" s="102" t="e">
        <f t="shared" si="22"/>
        <v>#REF!</v>
      </c>
      <c r="AH93" s="80" t="s">
        <v>53</v>
      </c>
      <c r="AI93" s="39">
        <f t="shared" si="36"/>
        <v>1</v>
      </c>
      <c r="AJ93" s="80"/>
      <c r="AK93" s="80" t="e">
        <f>Tree!#REF!</f>
        <v>#REF!</v>
      </c>
      <c r="AL93" s="91" t="e">
        <f t="shared" si="37"/>
        <v>#REF!</v>
      </c>
      <c r="AM93" s="80" t="e">
        <f t="shared" si="38"/>
        <v>#REF!</v>
      </c>
    </row>
    <row r="94" spans="3:39" s="72" customFormat="1" x14ac:dyDescent="0.25">
      <c r="C94" s="121" t="e">
        <f>Tree!#REF!</f>
        <v>#REF!</v>
      </c>
      <c r="D94" s="41" t="e">
        <f>Tree!#REF!</f>
        <v>#REF!</v>
      </c>
      <c r="E94" s="122" t="e">
        <f t="shared" si="23"/>
        <v>#REF!</v>
      </c>
      <c r="F94" s="41" t="e">
        <f>Tree!#REF!</f>
        <v>#REF!</v>
      </c>
      <c r="G94" s="122" t="e">
        <f t="shared" si="24"/>
        <v>#REF!</v>
      </c>
      <c r="H94" s="79" t="e">
        <f>INDEX(Tree!#REF!,MATCH($J94,Tree!#REF!,0))</f>
        <v>#REF!</v>
      </c>
      <c r="I94" s="100" t="e">
        <f t="shared" si="25"/>
        <v>#REF!</v>
      </c>
      <c r="J94" s="80" t="s">
        <v>23</v>
      </c>
      <c r="K94" s="90" t="e">
        <f>INDEX(Tree!#REF!,MATCH($J94,Tree!#REF!,0))</f>
        <v>#REF!</v>
      </c>
      <c r="L94" s="104" t="e">
        <f t="shared" si="20"/>
        <v>#REF!</v>
      </c>
      <c r="M94" s="102" t="e">
        <f>'Example calcs 2000'!N94*0.95</f>
        <v>#REF!</v>
      </c>
      <c r="N94" s="100" t="e">
        <f t="shared" si="26"/>
        <v>#REF!</v>
      </c>
      <c r="O94" s="102" t="str">
        <f t="shared" si="27"/>
        <v/>
      </c>
      <c r="P94" s="102" t="e">
        <f t="shared" si="28"/>
        <v>#REF!</v>
      </c>
      <c r="Q94" s="90" t="s">
        <v>30</v>
      </c>
      <c r="R94" s="39">
        <f t="shared" si="29"/>
        <v>1</v>
      </c>
      <c r="S94" s="90" t="e">
        <f>INDEX(Tree!#REF!,MATCH($Q94,Tree!#REF!,0)+MATCH(Tree!#REF!,Tree!#REF!,0)-1)</f>
        <v>#REF!</v>
      </c>
      <c r="T94" s="104" t="e">
        <f t="shared" si="30"/>
        <v>#REF!</v>
      </c>
      <c r="U94" s="102" t="e">
        <f>'Example calcs 2000'!S94*0.8</f>
        <v>#REF!</v>
      </c>
      <c r="V94" s="100" t="e">
        <f t="shared" si="31"/>
        <v>#REF!</v>
      </c>
      <c r="W94" s="102" t="str">
        <f t="shared" si="32"/>
        <v/>
      </c>
      <c r="X94" s="102" t="e">
        <f t="shared" si="21"/>
        <v>#REF!</v>
      </c>
      <c r="Y94" s="80" t="s">
        <v>32</v>
      </c>
      <c r="Z94" s="39">
        <f t="shared" si="33"/>
        <v>1</v>
      </c>
      <c r="AA94" s="80"/>
      <c r="AB94" s="80" t="e">
        <f>Tree!#REF!</f>
        <v>#REF!</v>
      </c>
      <c r="AC94" s="104"/>
      <c r="AD94" s="102">
        <f>'Example calcs 2000'!Y94*0.8</f>
        <v>0</v>
      </c>
      <c r="AE94" s="100" t="e">
        <f t="shared" si="34"/>
        <v>#REF!</v>
      </c>
      <c r="AF94" s="102" t="str">
        <f t="shared" si="35"/>
        <v/>
      </c>
      <c r="AG94" s="102">
        <f t="shared" si="22"/>
        <v>0</v>
      </c>
      <c r="AH94" s="80"/>
      <c r="AI94" s="39">
        <f t="shared" si="36"/>
        <v>1</v>
      </c>
      <c r="AJ94" s="80"/>
      <c r="AK94" s="80"/>
      <c r="AL94" s="91" t="e">
        <f t="shared" si="37"/>
        <v>#REF!</v>
      </c>
      <c r="AM94" s="80">
        <f t="shared" si="38"/>
        <v>0</v>
      </c>
    </row>
    <row r="95" spans="3:39" s="72" customFormat="1" x14ac:dyDescent="0.25">
      <c r="C95" s="121" t="e">
        <f>Tree!#REF!</f>
        <v>#REF!</v>
      </c>
      <c r="D95" s="41" t="e">
        <f>Tree!#REF!</f>
        <v>#REF!</v>
      </c>
      <c r="E95" s="122" t="e">
        <f t="shared" si="23"/>
        <v>#REF!</v>
      </c>
      <c r="F95" s="41" t="e">
        <f>Tree!#REF!</f>
        <v>#REF!</v>
      </c>
      <c r="G95" s="122" t="e">
        <f t="shared" si="24"/>
        <v>#REF!</v>
      </c>
      <c r="H95" s="79" t="e">
        <f>INDEX(Tree!#REF!,MATCH($J95,Tree!#REF!,0))</f>
        <v>#REF!</v>
      </c>
      <c r="I95" s="100" t="e">
        <f t="shared" si="25"/>
        <v>#REF!</v>
      </c>
      <c r="J95" s="80" t="s">
        <v>23</v>
      </c>
      <c r="K95" s="90" t="e">
        <f>INDEX(Tree!#REF!,MATCH($J95,Tree!#REF!,0))</f>
        <v>#REF!</v>
      </c>
      <c r="L95" s="104" t="e">
        <f t="shared" si="20"/>
        <v>#REF!</v>
      </c>
      <c r="M95" s="102" t="e">
        <f>'Example calcs 2000'!N95*0.95</f>
        <v>#REF!</v>
      </c>
      <c r="N95" s="100" t="e">
        <f t="shared" si="26"/>
        <v>#REF!</v>
      </c>
      <c r="O95" s="102" t="str">
        <f t="shared" si="27"/>
        <v/>
      </c>
      <c r="P95" s="102" t="e">
        <f t="shared" si="28"/>
        <v>#REF!</v>
      </c>
      <c r="Q95" s="90" t="s">
        <v>30</v>
      </c>
      <c r="R95" s="39">
        <f t="shared" si="29"/>
        <v>0</v>
      </c>
      <c r="S95" s="90" t="e">
        <f>INDEX(Tree!#REF!,MATCH($Q95,Tree!#REF!,0)+MATCH(Tree!#REF!,Tree!#REF!,0)-1)</f>
        <v>#REF!</v>
      </c>
      <c r="T95" s="104" t="e">
        <f t="shared" si="30"/>
        <v>#REF!</v>
      </c>
      <c r="U95" s="102" t="e">
        <f>'Example calcs 2000'!S95*0.8</f>
        <v>#REF!</v>
      </c>
      <c r="V95" s="100" t="e">
        <f t="shared" si="31"/>
        <v>#REF!</v>
      </c>
      <c r="W95" s="102" t="str">
        <f t="shared" si="32"/>
        <v/>
      </c>
      <c r="X95" s="102" t="e">
        <f t="shared" si="21"/>
        <v>#REF!</v>
      </c>
      <c r="Y95" s="80" t="s">
        <v>33</v>
      </c>
      <c r="Z95" s="39">
        <f t="shared" si="33"/>
        <v>1</v>
      </c>
      <c r="AA95" s="80" t="e">
        <f>Tree!#REF!</f>
        <v>#REF!</v>
      </c>
      <c r="AB95" s="80"/>
      <c r="AC95" s="104" t="e">
        <f>X95*AA95</f>
        <v>#REF!</v>
      </c>
      <c r="AD95" s="102" t="e">
        <f>'Example calcs 2000'!Y95*0.8</f>
        <v>#REF!</v>
      </c>
      <c r="AE95" s="100" t="e">
        <f t="shared" si="34"/>
        <v>#REF!</v>
      </c>
      <c r="AF95" s="102" t="str">
        <f t="shared" si="35"/>
        <v/>
      </c>
      <c r="AG95" s="102" t="e">
        <f t="shared" si="22"/>
        <v>#REF!</v>
      </c>
      <c r="AH95" s="80" t="s">
        <v>54</v>
      </c>
      <c r="AI95" s="39">
        <f t="shared" si="36"/>
        <v>1</v>
      </c>
      <c r="AJ95" s="80" t="e">
        <f>Tree!#REF!</f>
        <v>#REF!</v>
      </c>
      <c r="AK95" s="80"/>
      <c r="AL95" s="91" t="e">
        <f t="shared" si="37"/>
        <v>#REF!</v>
      </c>
      <c r="AM95" s="80" t="e">
        <f t="shared" si="38"/>
        <v>#REF!</v>
      </c>
    </row>
    <row r="96" spans="3:39" s="72" customFormat="1" x14ac:dyDescent="0.25">
      <c r="C96" s="121" t="e">
        <f>Tree!#REF!</f>
        <v>#REF!</v>
      </c>
      <c r="D96" s="41" t="e">
        <f>Tree!#REF!</f>
        <v>#REF!</v>
      </c>
      <c r="E96" s="122" t="e">
        <f t="shared" si="23"/>
        <v>#REF!</v>
      </c>
      <c r="F96" s="41" t="e">
        <f>Tree!#REF!</f>
        <v>#REF!</v>
      </c>
      <c r="G96" s="122" t="e">
        <f t="shared" si="24"/>
        <v>#REF!</v>
      </c>
      <c r="H96" s="79" t="e">
        <f>INDEX(Tree!#REF!,MATCH($J96,Tree!#REF!,0))</f>
        <v>#REF!</v>
      </c>
      <c r="I96" s="100" t="e">
        <f t="shared" si="25"/>
        <v>#REF!</v>
      </c>
      <c r="J96" s="80" t="s">
        <v>23</v>
      </c>
      <c r="K96" s="90" t="e">
        <f>INDEX(Tree!#REF!,MATCH($J96,Tree!#REF!,0))</f>
        <v>#REF!</v>
      </c>
      <c r="L96" s="104" t="e">
        <f t="shared" si="20"/>
        <v>#REF!</v>
      </c>
      <c r="M96" s="102" t="e">
        <f>'Example calcs 2000'!N96*0.95</f>
        <v>#REF!</v>
      </c>
      <c r="N96" s="100" t="e">
        <f t="shared" si="26"/>
        <v>#REF!</v>
      </c>
      <c r="O96" s="102" t="str">
        <f t="shared" si="27"/>
        <v/>
      </c>
      <c r="P96" s="102" t="e">
        <f t="shared" si="28"/>
        <v>#REF!</v>
      </c>
      <c r="Q96" s="90" t="s">
        <v>30</v>
      </c>
      <c r="R96" s="39">
        <f t="shared" si="29"/>
        <v>0</v>
      </c>
      <c r="S96" s="90" t="e">
        <f>INDEX(Tree!#REF!,MATCH($Q96,Tree!#REF!,0)+MATCH(Tree!#REF!,Tree!#REF!,0)-1)</f>
        <v>#REF!</v>
      </c>
      <c r="T96" s="104" t="e">
        <f t="shared" si="30"/>
        <v>#REF!</v>
      </c>
      <c r="U96" s="102" t="e">
        <f>'Example calcs 2000'!S96*0.8</f>
        <v>#REF!</v>
      </c>
      <c r="V96" s="100" t="e">
        <f t="shared" si="31"/>
        <v>#REF!</v>
      </c>
      <c r="W96" s="102" t="str">
        <f t="shared" si="32"/>
        <v/>
      </c>
      <c r="X96" s="102" t="e">
        <f t="shared" si="21"/>
        <v>#REF!</v>
      </c>
      <c r="Y96" s="80" t="s">
        <v>33</v>
      </c>
      <c r="Z96" s="39">
        <f t="shared" si="33"/>
        <v>0</v>
      </c>
      <c r="AA96" s="80" t="e">
        <f>Tree!#REF!</f>
        <v>#REF!</v>
      </c>
      <c r="AB96" s="80"/>
      <c r="AC96" s="104" t="e">
        <f>X96*AA96</f>
        <v>#REF!</v>
      </c>
      <c r="AD96" s="102" t="e">
        <f>'Example calcs 2000'!Y96*0.8</f>
        <v>#REF!</v>
      </c>
      <c r="AE96" s="100" t="e">
        <f t="shared" si="34"/>
        <v>#REF!</v>
      </c>
      <c r="AF96" s="102" t="str">
        <f t="shared" si="35"/>
        <v/>
      </c>
      <c r="AG96" s="102" t="e">
        <f t="shared" si="22"/>
        <v>#REF!</v>
      </c>
      <c r="AH96" s="80" t="s">
        <v>117</v>
      </c>
      <c r="AI96" s="39">
        <f t="shared" si="36"/>
        <v>1</v>
      </c>
      <c r="AJ96" s="80" t="e">
        <f>Tree!#REF!</f>
        <v>#REF!</v>
      </c>
      <c r="AK96" s="80"/>
      <c r="AL96" s="91" t="e">
        <f t="shared" si="37"/>
        <v>#REF!</v>
      </c>
      <c r="AM96" s="80" t="e">
        <f t="shared" si="38"/>
        <v>#REF!</v>
      </c>
    </row>
    <row r="97" spans="3:50" s="72" customFormat="1" x14ac:dyDescent="0.25">
      <c r="C97" s="121" t="e">
        <f>Tree!#REF!</f>
        <v>#REF!</v>
      </c>
      <c r="D97" s="41" t="e">
        <f>Tree!#REF!</f>
        <v>#REF!</v>
      </c>
      <c r="E97" s="122" t="e">
        <f t="shared" si="23"/>
        <v>#REF!</v>
      </c>
      <c r="F97" s="41" t="e">
        <f>Tree!#REF!</f>
        <v>#REF!</v>
      </c>
      <c r="G97" s="122" t="e">
        <f t="shared" si="24"/>
        <v>#REF!</v>
      </c>
      <c r="H97" s="79" t="e">
        <f>INDEX(Tree!#REF!,MATCH($J97,Tree!#REF!,0))</f>
        <v>#REF!</v>
      </c>
      <c r="I97" s="100" t="e">
        <f t="shared" si="25"/>
        <v>#REF!</v>
      </c>
      <c r="J97" s="80" t="s">
        <v>23</v>
      </c>
      <c r="K97" s="90" t="e">
        <f>INDEX(Tree!#REF!,MATCH($J97,Tree!#REF!,0))</f>
        <v>#REF!</v>
      </c>
      <c r="L97" s="104" t="e">
        <f t="shared" si="20"/>
        <v>#REF!</v>
      </c>
      <c r="M97" s="102" t="e">
        <f>'Example calcs 2000'!N97*0.95</f>
        <v>#REF!</v>
      </c>
      <c r="N97" s="100" t="e">
        <f t="shared" si="26"/>
        <v>#REF!</v>
      </c>
      <c r="O97" s="102" t="str">
        <f t="shared" si="27"/>
        <v/>
      </c>
      <c r="P97" s="102" t="e">
        <f t="shared" si="28"/>
        <v>#REF!</v>
      </c>
      <c r="Q97" s="90" t="s">
        <v>30</v>
      </c>
      <c r="R97" s="39">
        <f t="shared" si="29"/>
        <v>0</v>
      </c>
      <c r="S97" s="90" t="e">
        <f>INDEX(Tree!#REF!,MATCH($Q97,Tree!#REF!,0)+MATCH(Tree!#REF!,Tree!#REF!,0)-1)</f>
        <v>#REF!</v>
      </c>
      <c r="T97" s="104" t="e">
        <f t="shared" si="30"/>
        <v>#REF!</v>
      </c>
      <c r="U97" s="102" t="e">
        <f>'Example calcs 2000'!S97*0.8</f>
        <v>#REF!</v>
      </c>
      <c r="V97" s="100" t="e">
        <f t="shared" si="31"/>
        <v>#REF!</v>
      </c>
      <c r="W97" s="102" t="str">
        <f t="shared" si="32"/>
        <v/>
      </c>
      <c r="X97" s="102" t="e">
        <f t="shared" si="21"/>
        <v>#REF!</v>
      </c>
      <c r="Y97" s="80" t="s">
        <v>33</v>
      </c>
      <c r="Z97" s="39">
        <f t="shared" si="33"/>
        <v>0</v>
      </c>
      <c r="AA97" s="80" t="e">
        <f>Tree!#REF!</f>
        <v>#REF!</v>
      </c>
      <c r="AB97" s="80"/>
      <c r="AC97" s="104" t="e">
        <f>X97*AA97</f>
        <v>#REF!</v>
      </c>
      <c r="AD97" s="102" t="e">
        <f>'Example calcs 2000'!Y97*0.8</f>
        <v>#REF!</v>
      </c>
      <c r="AE97" s="100" t="e">
        <f t="shared" si="34"/>
        <v>#REF!</v>
      </c>
      <c r="AF97" s="102" t="str">
        <f t="shared" si="35"/>
        <v/>
      </c>
      <c r="AG97" s="102" t="e">
        <f t="shared" si="22"/>
        <v>#REF!</v>
      </c>
      <c r="AH97" s="80" t="s">
        <v>52</v>
      </c>
      <c r="AI97" s="39">
        <f t="shared" si="36"/>
        <v>1</v>
      </c>
      <c r="AJ97" s="80"/>
      <c r="AK97" s="80" t="e">
        <f>Tree!#REF!</f>
        <v>#REF!</v>
      </c>
      <c r="AL97" s="91" t="e">
        <f t="shared" si="37"/>
        <v>#REF!</v>
      </c>
      <c r="AM97" s="80" t="e">
        <f t="shared" si="38"/>
        <v>#REF!</v>
      </c>
    </row>
    <row r="98" spans="3:50" s="72" customFormat="1" x14ac:dyDescent="0.25">
      <c r="C98" s="121" t="e">
        <f>Tree!#REF!</f>
        <v>#REF!</v>
      </c>
      <c r="D98" s="41" t="e">
        <f>Tree!#REF!</f>
        <v>#REF!</v>
      </c>
      <c r="E98" s="122" t="e">
        <f t="shared" si="23"/>
        <v>#REF!</v>
      </c>
      <c r="F98" s="41" t="e">
        <f>Tree!#REF!</f>
        <v>#REF!</v>
      </c>
      <c r="G98" s="122" t="e">
        <f t="shared" si="24"/>
        <v>#REF!</v>
      </c>
      <c r="H98" s="79" t="e">
        <f>INDEX(Tree!#REF!,MATCH($J98,Tree!#REF!,0))</f>
        <v>#REF!</v>
      </c>
      <c r="I98" s="100" t="e">
        <f t="shared" si="25"/>
        <v>#REF!</v>
      </c>
      <c r="J98" s="80" t="s">
        <v>23</v>
      </c>
      <c r="K98" s="90" t="e">
        <f>INDEX(Tree!#REF!,MATCH($J98,Tree!#REF!,0))</f>
        <v>#REF!</v>
      </c>
      <c r="L98" s="104" t="e">
        <f t="shared" si="20"/>
        <v>#REF!</v>
      </c>
      <c r="M98" s="102" t="e">
        <f>'Example calcs 2000'!N98*0.95</f>
        <v>#REF!</v>
      </c>
      <c r="N98" s="100" t="e">
        <f t="shared" si="26"/>
        <v>#REF!</v>
      </c>
      <c r="O98" s="102" t="str">
        <f t="shared" si="27"/>
        <v/>
      </c>
      <c r="P98" s="102" t="e">
        <f t="shared" si="28"/>
        <v>#REF!</v>
      </c>
      <c r="Q98" s="90" t="s">
        <v>30</v>
      </c>
      <c r="R98" s="39">
        <f t="shared" si="29"/>
        <v>0</v>
      </c>
      <c r="S98" s="90" t="e">
        <f>INDEX(Tree!#REF!,MATCH($Q98,Tree!#REF!,0)+MATCH(Tree!#REF!,Tree!#REF!,0)-1)</f>
        <v>#REF!</v>
      </c>
      <c r="T98" s="104" t="e">
        <f t="shared" si="30"/>
        <v>#REF!</v>
      </c>
      <c r="U98" s="102" t="e">
        <f>'Example calcs 2000'!S98*0.8</f>
        <v>#REF!</v>
      </c>
      <c r="V98" s="100" t="e">
        <f t="shared" si="31"/>
        <v>#REF!</v>
      </c>
      <c r="W98" s="102" t="str">
        <f t="shared" si="32"/>
        <v/>
      </c>
      <c r="X98" s="102" t="e">
        <f t="shared" si="21"/>
        <v>#REF!</v>
      </c>
      <c r="Y98" s="80" t="s">
        <v>33</v>
      </c>
      <c r="Z98" s="39">
        <f t="shared" si="33"/>
        <v>0</v>
      </c>
      <c r="AA98" s="80" t="e">
        <f>Tree!#REF!</f>
        <v>#REF!</v>
      </c>
      <c r="AB98" s="80"/>
      <c r="AC98" s="104" t="e">
        <f>X98*AA98</f>
        <v>#REF!</v>
      </c>
      <c r="AD98" s="102" t="e">
        <f>'Example calcs 2000'!Y98*0.8</f>
        <v>#REF!</v>
      </c>
      <c r="AE98" s="100" t="e">
        <f t="shared" si="34"/>
        <v>#REF!</v>
      </c>
      <c r="AF98" s="102" t="str">
        <f t="shared" si="35"/>
        <v/>
      </c>
      <c r="AG98" s="102" t="e">
        <f t="shared" si="22"/>
        <v>#REF!</v>
      </c>
      <c r="AH98" s="80" t="s">
        <v>53</v>
      </c>
      <c r="AI98" s="39">
        <f t="shared" si="36"/>
        <v>1</v>
      </c>
      <c r="AJ98" s="80"/>
      <c r="AK98" s="80" t="e">
        <f>Tree!#REF!</f>
        <v>#REF!</v>
      </c>
      <c r="AL98" s="91" t="e">
        <f t="shared" si="37"/>
        <v>#REF!</v>
      </c>
      <c r="AM98" s="80" t="e">
        <f t="shared" si="38"/>
        <v>#REF!</v>
      </c>
    </row>
    <row r="99" spans="3:50" s="72" customFormat="1" x14ac:dyDescent="0.25">
      <c r="C99" s="121" t="e">
        <f>Tree!#REF!</f>
        <v>#REF!</v>
      </c>
      <c r="D99" s="41" t="e">
        <f>Tree!#REF!</f>
        <v>#REF!</v>
      </c>
      <c r="E99" s="122" t="e">
        <f t="shared" si="23"/>
        <v>#REF!</v>
      </c>
      <c r="F99" s="41" t="e">
        <f>Tree!#REF!</f>
        <v>#REF!</v>
      </c>
      <c r="G99" s="122" t="e">
        <f t="shared" si="24"/>
        <v>#REF!</v>
      </c>
      <c r="H99" s="79" t="e">
        <f>INDEX(Tree!#REF!,MATCH($J99,Tree!#REF!,0))</f>
        <v>#REF!</v>
      </c>
      <c r="I99" s="100" t="e">
        <f t="shared" si="25"/>
        <v>#REF!</v>
      </c>
      <c r="J99" s="80" t="s">
        <v>23</v>
      </c>
      <c r="K99" s="90" t="e">
        <f>INDEX(Tree!#REF!,MATCH($J99,Tree!#REF!,0))</f>
        <v>#REF!</v>
      </c>
      <c r="L99" s="104" t="e">
        <f t="shared" si="20"/>
        <v>#REF!</v>
      </c>
      <c r="M99" s="102" t="e">
        <f>'Example calcs 2000'!N99*0.95</f>
        <v>#REF!</v>
      </c>
      <c r="N99" s="100" t="e">
        <f t="shared" si="26"/>
        <v>#REF!</v>
      </c>
      <c r="O99" s="102" t="str">
        <f t="shared" si="27"/>
        <v/>
      </c>
      <c r="P99" s="102" t="e">
        <f t="shared" si="28"/>
        <v>#REF!</v>
      </c>
      <c r="Q99" s="90" t="s">
        <v>29</v>
      </c>
      <c r="R99" s="39">
        <f t="shared" si="29"/>
        <v>1</v>
      </c>
      <c r="S99" s="90" t="e">
        <f>INDEX(Tree!#REF!,MATCH($Q99,Tree!#REF!,0)+MATCH(Tree!#REF!,Tree!#REF!,0)-1)</f>
        <v>#REF!</v>
      </c>
      <c r="T99" s="104" t="e">
        <f t="shared" si="30"/>
        <v>#REF!</v>
      </c>
      <c r="U99" s="102" t="e">
        <f>'Example calcs 2000'!S99*0.8</f>
        <v>#REF!</v>
      </c>
      <c r="V99" s="100" t="e">
        <f t="shared" si="31"/>
        <v>#REF!</v>
      </c>
      <c r="W99" s="102" t="str">
        <f t="shared" si="32"/>
        <v/>
      </c>
      <c r="X99" s="102" t="e">
        <f t="shared" si="21"/>
        <v>#REF!</v>
      </c>
      <c r="Y99" s="80" t="s">
        <v>32</v>
      </c>
      <c r="Z99" s="39">
        <f t="shared" si="33"/>
        <v>1</v>
      </c>
      <c r="AA99" s="80"/>
      <c r="AB99" s="80" t="e">
        <f>Tree!#REF!</f>
        <v>#REF!</v>
      </c>
      <c r="AC99" s="104"/>
      <c r="AD99" s="102">
        <f>'Example calcs 2000'!Y99*0.8</f>
        <v>0</v>
      </c>
      <c r="AE99" s="100" t="e">
        <f t="shared" si="34"/>
        <v>#REF!</v>
      </c>
      <c r="AF99" s="102" t="str">
        <f t="shared" si="35"/>
        <v/>
      </c>
      <c r="AG99" s="102">
        <f t="shared" si="22"/>
        <v>0</v>
      </c>
      <c r="AH99" s="80"/>
      <c r="AI99" s="39">
        <f t="shared" si="36"/>
        <v>1</v>
      </c>
      <c r="AJ99" s="80"/>
      <c r="AK99" s="80"/>
      <c r="AL99" s="91" t="e">
        <f t="shared" si="37"/>
        <v>#REF!</v>
      </c>
      <c r="AM99" s="80">
        <f t="shared" si="38"/>
        <v>0</v>
      </c>
    </row>
    <row r="100" spans="3:50" s="72" customFormat="1" x14ac:dyDescent="0.25">
      <c r="C100" s="121" t="e">
        <f>Tree!#REF!</f>
        <v>#REF!</v>
      </c>
      <c r="D100" s="41" t="e">
        <f>Tree!#REF!</f>
        <v>#REF!</v>
      </c>
      <c r="E100" s="122" t="e">
        <f t="shared" si="23"/>
        <v>#REF!</v>
      </c>
      <c r="F100" s="41" t="e">
        <f>Tree!#REF!</f>
        <v>#REF!</v>
      </c>
      <c r="G100" s="122" t="e">
        <f t="shared" si="24"/>
        <v>#REF!</v>
      </c>
      <c r="H100" s="79" t="e">
        <f>INDEX(Tree!#REF!,MATCH($J100,Tree!#REF!,0))</f>
        <v>#REF!</v>
      </c>
      <c r="I100" s="100" t="e">
        <f t="shared" si="25"/>
        <v>#REF!</v>
      </c>
      <c r="J100" s="80" t="s">
        <v>23</v>
      </c>
      <c r="K100" s="90" t="e">
        <f>INDEX(Tree!#REF!,MATCH($J100,Tree!#REF!,0))</f>
        <v>#REF!</v>
      </c>
      <c r="L100" s="104" t="e">
        <f>K100*I100</f>
        <v>#REF!</v>
      </c>
      <c r="M100" s="102" t="e">
        <f>'Example calcs 2000'!N100*0.95</f>
        <v>#REF!</v>
      </c>
      <c r="N100" s="100" t="e">
        <f t="shared" si="26"/>
        <v>#REF!</v>
      </c>
      <c r="O100" s="102" t="str">
        <f t="shared" si="27"/>
        <v/>
      </c>
      <c r="P100" s="102" t="e">
        <f t="shared" si="28"/>
        <v>#REF!</v>
      </c>
      <c r="Q100" s="90" t="s">
        <v>29</v>
      </c>
      <c r="R100" s="39">
        <f t="shared" si="29"/>
        <v>0</v>
      </c>
      <c r="S100" s="90" t="e">
        <f>INDEX(Tree!#REF!,MATCH($Q100,Tree!#REF!,0)+MATCH(Tree!#REF!,Tree!#REF!,0)-1)</f>
        <v>#REF!</v>
      </c>
      <c r="T100" s="104" t="e">
        <f t="shared" si="30"/>
        <v>#REF!</v>
      </c>
      <c r="U100" s="102" t="e">
        <f>'Example calcs 2000'!S100*0.8</f>
        <v>#REF!</v>
      </c>
      <c r="V100" s="100" t="e">
        <f t="shared" si="31"/>
        <v>#REF!</v>
      </c>
      <c r="W100" s="102" t="str">
        <f t="shared" si="32"/>
        <v/>
      </c>
      <c r="X100" s="102" t="e">
        <f t="shared" si="21"/>
        <v>#REF!</v>
      </c>
      <c r="Y100" s="80" t="s">
        <v>33</v>
      </c>
      <c r="Z100" s="39">
        <f t="shared" si="33"/>
        <v>1</v>
      </c>
      <c r="AA100" s="80" t="e">
        <f>Tree!#REF!</f>
        <v>#REF!</v>
      </c>
      <c r="AB100" s="80"/>
      <c r="AC100" s="104" t="e">
        <f>X100*AA100</f>
        <v>#REF!</v>
      </c>
      <c r="AD100" s="102" t="e">
        <f>'Example calcs 2000'!Y100*0.8</f>
        <v>#REF!</v>
      </c>
      <c r="AE100" s="100" t="e">
        <f t="shared" si="34"/>
        <v>#REF!</v>
      </c>
      <c r="AF100" s="102" t="str">
        <f t="shared" si="35"/>
        <v/>
      </c>
      <c r="AG100" s="102" t="e">
        <f t="shared" si="22"/>
        <v>#REF!</v>
      </c>
      <c r="AH100" s="80" t="s">
        <v>54</v>
      </c>
      <c r="AI100" s="39">
        <f t="shared" si="36"/>
        <v>1</v>
      </c>
      <c r="AJ100" s="80" t="e">
        <f>Tree!#REF!</f>
        <v>#REF!</v>
      </c>
      <c r="AK100" s="80"/>
      <c r="AL100" s="91" t="e">
        <f t="shared" si="37"/>
        <v>#REF!</v>
      </c>
      <c r="AM100" s="80" t="e">
        <f t="shared" si="38"/>
        <v>#REF!</v>
      </c>
    </row>
    <row r="101" spans="3:50" s="72" customFormat="1" x14ac:dyDescent="0.25">
      <c r="C101" s="121" t="e">
        <f>Tree!#REF!</f>
        <v>#REF!</v>
      </c>
      <c r="D101" s="41" t="e">
        <f>Tree!#REF!</f>
        <v>#REF!</v>
      </c>
      <c r="E101" s="122" t="e">
        <f t="shared" si="23"/>
        <v>#REF!</v>
      </c>
      <c r="F101" s="41" t="e">
        <f>Tree!#REF!</f>
        <v>#REF!</v>
      </c>
      <c r="G101" s="122" t="e">
        <f t="shared" si="24"/>
        <v>#REF!</v>
      </c>
      <c r="H101" s="79" t="e">
        <f>INDEX(Tree!#REF!,MATCH($J101,Tree!#REF!,0))</f>
        <v>#REF!</v>
      </c>
      <c r="I101" s="100" t="e">
        <f t="shared" si="25"/>
        <v>#REF!</v>
      </c>
      <c r="J101" s="80" t="s">
        <v>23</v>
      </c>
      <c r="K101" s="90" t="e">
        <f>INDEX(Tree!#REF!,MATCH($J101,Tree!#REF!,0))</f>
        <v>#REF!</v>
      </c>
      <c r="L101" s="104" t="e">
        <f>K101*I101</f>
        <v>#REF!</v>
      </c>
      <c r="M101" s="102" t="e">
        <f>'Example calcs 2000'!N101*0.95</f>
        <v>#REF!</v>
      </c>
      <c r="N101" s="100" t="e">
        <f t="shared" si="26"/>
        <v>#REF!</v>
      </c>
      <c r="O101" s="102" t="str">
        <f t="shared" si="27"/>
        <v/>
      </c>
      <c r="P101" s="102" t="e">
        <f t="shared" si="28"/>
        <v>#REF!</v>
      </c>
      <c r="Q101" s="90" t="s">
        <v>29</v>
      </c>
      <c r="R101" s="39">
        <f t="shared" si="29"/>
        <v>0</v>
      </c>
      <c r="S101" s="90" t="e">
        <f>INDEX(Tree!#REF!,MATCH($Q101,Tree!#REF!,0)+MATCH(Tree!#REF!,Tree!#REF!,0)-1)</f>
        <v>#REF!</v>
      </c>
      <c r="T101" s="104" t="e">
        <f t="shared" si="30"/>
        <v>#REF!</v>
      </c>
      <c r="U101" s="102" t="e">
        <f>'Example calcs 2000'!S101*0.8</f>
        <v>#REF!</v>
      </c>
      <c r="V101" s="100" t="e">
        <f t="shared" si="31"/>
        <v>#REF!</v>
      </c>
      <c r="W101" s="102" t="str">
        <f t="shared" si="32"/>
        <v/>
      </c>
      <c r="X101" s="102" t="e">
        <f t="shared" si="21"/>
        <v>#REF!</v>
      </c>
      <c r="Y101" s="80" t="s">
        <v>33</v>
      </c>
      <c r="Z101" s="39">
        <f t="shared" si="33"/>
        <v>0</v>
      </c>
      <c r="AA101" s="80" t="e">
        <f>Tree!#REF!</f>
        <v>#REF!</v>
      </c>
      <c r="AB101" s="80"/>
      <c r="AC101" s="104" t="e">
        <f>X101*AA101</f>
        <v>#REF!</v>
      </c>
      <c r="AD101" s="102" t="e">
        <f>'Example calcs 2000'!Y101*0.8</f>
        <v>#REF!</v>
      </c>
      <c r="AE101" s="100" t="e">
        <f t="shared" si="34"/>
        <v>#REF!</v>
      </c>
      <c r="AF101" s="102" t="str">
        <f t="shared" si="35"/>
        <v/>
      </c>
      <c r="AG101" s="102" t="e">
        <f t="shared" si="22"/>
        <v>#REF!</v>
      </c>
      <c r="AH101" s="80" t="s">
        <v>117</v>
      </c>
      <c r="AI101" s="39">
        <f t="shared" si="36"/>
        <v>1</v>
      </c>
      <c r="AJ101" s="80" t="e">
        <f>Tree!#REF!</f>
        <v>#REF!</v>
      </c>
      <c r="AK101" s="80"/>
      <c r="AL101" s="91" t="e">
        <f t="shared" si="37"/>
        <v>#REF!</v>
      </c>
      <c r="AM101" s="80" t="e">
        <f t="shared" si="38"/>
        <v>#REF!</v>
      </c>
    </row>
    <row r="102" spans="3:50" s="72" customFormat="1" x14ac:dyDescent="0.25">
      <c r="C102" s="121" t="e">
        <f>Tree!#REF!</f>
        <v>#REF!</v>
      </c>
      <c r="D102" s="41" t="e">
        <f>Tree!#REF!</f>
        <v>#REF!</v>
      </c>
      <c r="E102" s="122" t="e">
        <f t="shared" si="23"/>
        <v>#REF!</v>
      </c>
      <c r="F102" s="41" t="e">
        <f>Tree!#REF!</f>
        <v>#REF!</v>
      </c>
      <c r="G102" s="122" t="e">
        <f t="shared" si="24"/>
        <v>#REF!</v>
      </c>
      <c r="H102" s="79" t="e">
        <f>INDEX(Tree!#REF!,MATCH($J102,Tree!#REF!,0))</f>
        <v>#REF!</v>
      </c>
      <c r="I102" s="100" t="e">
        <f t="shared" si="25"/>
        <v>#REF!</v>
      </c>
      <c r="J102" s="80" t="s">
        <v>23</v>
      </c>
      <c r="K102" s="90" t="e">
        <f>INDEX(Tree!#REF!,MATCH($J102,Tree!#REF!,0))</f>
        <v>#REF!</v>
      </c>
      <c r="L102" s="104" t="e">
        <f>K102*I102</f>
        <v>#REF!</v>
      </c>
      <c r="M102" s="102" t="e">
        <f>'Example calcs 2000'!N102*0.95</f>
        <v>#REF!</v>
      </c>
      <c r="N102" s="100" t="e">
        <f t="shared" si="26"/>
        <v>#REF!</v>
      </c>
      <c r="O102" s="102" t="str">
        <f t="shared" si="27"/>
        <v/>
      </c>
      <c r="P102" s="102" t="e">
        <f t="shared" si="28"/>
        <v>#REF!</v>
      </c>
      <c r="Q102" s="90" t="s">
        <v>29</v>
      </c>
      <c r="R102" s="39">
        <f t="shared" si="29"/>
        <v>0</v>
      </c>
      <c r="S102" s="90" t="e">
        <f>INDEX(Tree!#REF!,MATCH($Q102,Tree!#REF!,0)+MATCH(Tree!#REF!,Tree!#REF!,0)-1)</f>
        <v>#REF!</v>
      </c>
      <c r="T102" s="104" t="e">
        <f t="shared" si="30"/>
        <v>#REF!</v>
      </c>
      <c r="U102" s="102" t="e">
        <f>'Example calcs 2000'!S102*0.8</f>
        <v>#REF!</v>
      </c>
      <c r="V102" s="100" t="e">
        <f t="shared" si="31"/>
        <v>#REF!</v>
      </c>
      <c r="W102" s="102" t="str">
        <f t="shared" si="32"/>
        <v/>
      </c>
      <c r="X102" s="102" t="e">
        <f t="shared" si="21"/>
        <v>#REF!</v>
      </c>
      <c r="Y102" s="80" t="s">
        <v>33</v>
      </c>
      <c r="Z102" s="39">
        <f t="shared" si="33"/>
        <v>0</v>
      </c>
      <c r="AA102" s="80" t="e">
        <f>Tree!#REF!</f>
        <v>#REF!</v>
      </c>
      <c r="AB102" s="80"/>
      <c r="AC102" s="104" t="e">
        <f>X102*AA102</f>
        <v>#REF!</v>
      </c>
      <c r="AD102" s="102" t="e">
        <f>'Example calcs 2000'!Y102*0.8</f>
        <v>#REF!</v>
      </c>
      <c r="AE102" s="100" t="e">
        <f t="shared" si="34"/>
        <v>#REF!</v>
      </c>
      <c r="AF102" s="102" t="str">
        <f t="shared" si="35"/>
        <v/>
      </c>
      <c r="AG102" s="102" t="e">
        <f t="shared" si="22"/>
        <v>#REF!</v>
      </c>
      <c r="AH102" s="80" t="s">
        <v>52</v>
      </c>
      <c r="AI102" s="39">
        <f t="shared" si="36"/>
        <v>1</v>
      </c>
      <c r="AJ102" s="80"/>
      <c r="AK102" s="80" t="e">
        <f>Tree!#REF!</f>
        <v>#REF!</v>
      </c>
      <c r="AL102" s="91" t="e">
        <f t="shared" si="37"/>
        <v>#REF!</v>
      </c>
      <c r="AM102" s="80" t="e">
        <f t="shared" si="38"/>
        <v>#REF!</v>
      </c>
    </row>
    <row r="103" spans="3:50" s="72" customFormat="1" x14ac:dyDescent="0.25">
      <c r="C103" s="121" t="e">
        <f>Tree!#REF!</f>
        <v>#REF!</v>
      </c>
      <c r="D103" s="41" t="e">
        <f>Tree!#REF!</f>
        <v>#REF!</v>
      </c>
      <c r="E103" s="122" t="e">
        <f t="shared" si="23"/>
        <v>#REF!</v>
      </c>
      <c r="F103" s="41" t="e">
        <f>Tree!#REF!</f>
        <v>#REF!</v>
      </c>
      <c r="G103" s="122" t="e">
        <f t="shared" si="24"/>
        <v>#REF!</v>
      </c>
      <c r="H103" s="79" t="e">
        <f>INDEX(Tree!#REF!,MATCH($J103,Tree!#REF!,0))</f>
        <v>#REF!</v>
      </c>
      <c r="I103" s="100" t="e">
        <f t="shared" si="25"/>
        <v>#REF!</v>
      </c>
      <c r="J103" s="80" t="s">
        <v>23</v>
      </c>
      <c r="K103" s="90" t="e">
        <f>INDEX(Tree!#REF!,MATCH($J103,Tree!#REF!,0))</f>
        <v>#REF!</v>
      </c>
      <c r="L103" s="104" t="e">
        <f>K103*I103</f>
        <v>#REF!</v>
      </c>
      <c r="M103" s="102" t="e">
        <f>'Example calcs 2000'!N103*0.95</f>
        <v>#REF!</v>
      </c>
      <c r="N103" s="100" t="e">
        <f t="shared" si="26"/>
        <v>#REF!</v>
      </c>
      <c r="O103" s="102" t="str">
        <f t="shared" si="27"/>
        <v/>
      </c>
      <c r="P103" s="102" t="e">
        <f t="shared" si="28"/>
        <v>#REF!</v>
      </c>
      <c r="Q103" s="90" t="s">
        <v>29</v>
      </c>
      <c r="R103" s="39">
        <f t="shared" si="29"/>
        <v>0</v>
      </c>
      <c r="S103" s="90" t="e">
        <f>INDEX(Tree!#REF!,MATCH($Q103,Tree!#REF!,0)+MATCH(Tree!#REF!,Tree!#REF!,0)-1)</f>
        <v>#REF!</v>
      </c>
      <c r="T103" s="104" t="e">
        <f t="shared" si="30"/>
        <v>#REF!</v>
      </c>
      <c r="U103" s="102" t="e">
        <f>'Example calcs 2000'!S103*0.8</f>
        <v>#REF!</v>
      </c>
      <c r="V103" s="100" t="e">
        <f t="shared" si="31"/>
        <v>#REF!</v>
      </c>
      <c r="W103" s="102" t="str">
        <f t="shared" si="32"/>
        <v/>
      </c>
      <c r="X103" s="102" t="e">
        <f t="shared" si="21"/>
        <v>#REF!</v>
      </c>
      <c r="Y103" s="80" t="s">
        <v>33</v>
      </c>
      <c r="Z103" s="39">
        <f t="shared" si="33"/>
        <v>0</v>
      </c>
      <c r="AA103" s="80" t="e">
        <f>Tree!#REF!</f>
        <v>#REF!</v>
      </c>
      <c r="AB103" s="80"/>
      <c r="AC103" s="104" t="e">
        <f>X103*AA103</f>
        <v>#REF!</v>
      </c>
      <c r="AD103" s="102" t="e">
        <f>'Example calcs 2000'!Y103*0.8</f>
        <v>#REF!</v>
      </c>
      <c r="AE103" s="100" t="e">
        <f t="shared" si="34"/>
        <v>#REF!</v>
      </c>
      <c r="AF103" s="102" t="str">
        <f t="shared" si="35"/>
        <v/>
      </c>
      <c r="AG103" s="102" t="e">
        <f t="shared" si="22"/>
        <v>#REF!</v>
      </c>
      <c r="AH103" s="80" t="s">
        <v>53</v>
      </c>
      <c r="AI103" s="39">
        <f t="shared" si="36"/>
        <v>1</v>
      </c>
      <c r="AJ103" s="80"/>
      <c r="AK103" s="80" t="e">
        <f>Tree!#REF!</f>
        <v>#REF!</v>
      </c>
      <c r="AL103" s="91" t="e">
        <f t="shared" si="37"/>
        <v>#REF!</v>
      </c>
      <c r="AM103" s="80" t="e">
        <f t="shared" si="38"/>
        <v>#REF!</v>
      </c>
      <c r="AP103"/>
      <c r="AQ103"/>
      <c r="AR103"/>
      <c r="AS103"/>
      <c r="AT103"/>
      <c r="AU103"/>
      <c r="AV103"/>
      <c r="AW103"/>
      <c r="AX10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21</vt:i4>
      </vt:variant>
    </vt:vector>
  </HeadingPairs>
  <TitlesOfParts>
    <vt:vector size="37" baseType="lpstr">
      <vt:lpstr>Notes</vt:lpstr>
      <vt:lpstr>Formulas</vt:lpstr>
      <vt:lpstr>Lists</vt:lpstr>
      <vt:lpstr>Conversions</vt:lpstr>
      <vt:lpstr>Coefficients</vt:lpstr>
      <vt:lpstr>Incompatible</vt:lpstr>
      <vt:lpstr>Tree</vt:lpstr>
      <vt:lpstr>Model</vt:lpstr>
      <vt:lpstr>Technologies</vt:lpstr>
      <vt:lpstr>Sheet3</vt:lpstr>
      <vt:lpstr>Macro</vt:lpstr>
      <vt:lpstr>Prices</vt:lpstr>
      <vt:lpstr>Residential</vt:lpstr>
      <vt:lpstr>Electricity</vt:lpstr>
      <vt:lpstr>Example calcs 2000</vt:lpstr>
      <vt:lpstr>Example calcs 2005</vt:lpstr>
      <vt:lpstr>CH4_GJ</vt:lpstr>
      <vt:lpstr>CO2_GJ</vt:lpstr>
      <vt:lpstr>CoeffIndex</vt:lpstr>
      <vt:lpstr>CoeffYear</vt:lpstr>
      <vt:lpstr>FuelPrices_Commercial</vt:lpstr>
      <vt:lpstr>FuelPrices_Industrial</vt:lpstr>
      <vt:lpstr>FuelPrices_Region</vt:lpstr>
      <vt:lpstr>FuelPrices_Residential</vt:lpstr>
      <vt:lpstr>FuelPrices_Transportation</vt:lpstr>
      <vt:lpstr>FuelPrices_Type</vt:lpstr>
      <vt:lpstr>gal_per_bbl</vt:lpstr>
      <vt:lpstr>GJ_per_MMBtu</vt:lpstr>
      <vt:lpstr>GJ_per_MWh</vt:lpstr>
      <vt:lpstr>l_per_gal</vt:lpstr>
      <vt:lpstr>N2O_GJ</vt:lpstr>
      <vt:lpstr>Formulas!OLE_LINK11</vt:lpstr>
      <vt:lpstr>Formulas!OLE_LINK15</vt:lpstr>
      <vt:lpstr>Formulas!OLE_LINK16</vt:lpstr>
      <vt:lpstr>Formulas!OLE_LINK3</vt:lpstr>
      <vt:lpstr>Formulas!OLE_LINK8</vt:lpstr>
      <vt:lpstr>Model!Year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Brad</dc:creator>
  <cp:lastModifiedBy>Griffin</cp:lastModifiedBy>
  <dcterms:created xsi:type="dcterms:W3CDTF">2019-06-05T23:49:53Z</dcterms:created>
  <dcterms:modified xsi:type="dcterms:W3CDTF">2019-12-02T20:25:46Z</dcterms:modified>
</cp:coreProperties>
</file>